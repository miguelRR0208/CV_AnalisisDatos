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ltra\Documents\Ingenieria\CV_Para_Vacantes\Dashboard_Gasera\"/>
    </mc:Choice>
  </mc:AlternateContent>
  <xr:revisionPtr revIDLastSave="0" documentId="13_ncr:1_{E4721783-512E-45D4-825D-69865B3CE04E}" xr6:coauthVersionLast="47" xr6:coauthVersionMax="47" xr10:uidLastSave="{00000000-0000-0000-0000-000000000000}"/>
  <bookViews>
    <workbookView xWindow="-108" yWindow="-108" windowWidth="23256" windowHeight="12456" firstSheet="5" activeTab="6" xr2:uid="{C78DCB6A-81B8-444A-AFC9-F482B97B07F9}"/>
  </bookViews>
  <sheets>
    <sheet name="Calendario" sheetId="7" r:id="rId1"/>
    <sheet name="Compras_Full" sheetId="6" r:id="rId2"/>
    <sheet name="Movimientos" sheetId="4" r:id="rId3"/>
    <sheet name="Clientes" sheetId="2" r:id="rId4"/>
    <sheet name="Clientes_Resumen" sheetId="8" r:id="rId5"/>
    <sheet name="Ficha_Cliente" sheetId="9" r:id="rId6"/>
    <sheet name="Dashboard" sheetId="10" r:id="rId7"/>
    <sheet name="Tablas" sheetId="12" r:id="rId8"/>
    <sheet name="Pareto" sheetId="11" r:id="rId9"/>
  </sheets>
  <definedNames>
    <definedName name="Corte">'Clientes_Resumen'!$B$1</definedName>
    <definedName name="DatosExternos_1" localSheetId="3" hidden="1">'Clientes'!$A$1:$G$301</definedName>
    <definedName name="DatosExternos_1" localSheetId="4" hidden="1">'Clientes_Resumen'!$A$3:$E$303</definedName>
    <definedName name="DatosExternos_3" localSheetId="2" hidden="1">Movimientos!$A$1:$K$3180</definedName>
    <definedName name="DatosExternos_5" localSheetId="1" hidden="1">'Compras_Full'!$A$1:$T$3001</definedName>
    <definedName name="DatosExternos_6" localSheetId="0" hidden="1">'Calendario'!$A$1:$C$366</definedName>
    <definedName name="ListaClientes">Clientes[user]</definedName>
    <definedName name="SegmentaciónDeDatos_Mes">#N/A</definedName>
    <definedName name="SegmentaciónDeDatos_Personal">#N/A</definedName>
    <definedName name="SegmentaciónDeDatos_TipoCompra">#N/A</definedName>
  </definedNames>
  <calcPr calcId="191029"/>
  <pivotCaches>
    <pivotCache cacheId="0" r:id="rId10"/>
    <pivotCache cacheId="1" r:id="rId11"/>
    <pivotCache cacheId="2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2" i="11"/>
  <c r="I3" i="10"/>
  <c r="G3" i="10"/>
  <c r="E3" i="10"/>
  <c r="C3" i="10"/>
  <c r="A3" i="10"/>
  <c r="H5" i="8"/>
  <c r="I5" i="8" s="1"/>
  <c r="J5" i="8" s="1" a="1"/>
  <c r="H6" i="8"/>
  <c r="I6" i="8" s="1"/>
  <c r="J6" i="8" s="1" a="1"/>
  <c r="H7" i="8"/>
  <c r="I7" i="8" s="1"/>
  <c r="J7" i="8" s="1" a="1"/>
  <c r="H8" i="8"/>
  <c r="I8" i="8" s="1"/>
  <c r="J8" i="8" s="1" a="1"/>
  <c r="H9" i="8"/>
  <c r="I9" i="8" s="1"/>
  <c r="J9" i="8" s="1" a="1"/>
  <c r="H10" i="8"/>
  <c r="I10" i="8" s="1"/>
  <c r="J10" i="8" s="1" a="1"/>
  <c r="H11" i="8"/>
  <c r="I11" i="8" s="1"/>
  <c r="J11" i="8" s="1" a="1"/>
  <c r="H12" i="8"/>
  <c r="I12" i="8" s="1"/>
  <c r="J12" i="8" s="1" a="1"/>
  <c r="H13" i="8"/>
  <c r="I13" i="8" s="1"/>
  <c r="J13" i="8" s="1" a="1"/>
  <c r="H14" i="8"/>
  <c r="I14" i="8" s="1"/>
  <c r="J14" i="8" s="1" a="1"/>
  <c r="H15" i="8"/>
  <c r="I15" i="8" s="1"/>
  <c r="J15" i="8" s="1" a="1"/>
  <c r="H16" i="8"/>
  <c r="I16" i="8" s="1"/>
  <c r="J16" i="8" s="1" a="1"/>
  <c r="H17" i="8"/>
  <c r="I17" i="8" s="1"/>
  <c r="J17" i="8" s="1" a="1"/>
  <c r="H18" i="8"/>
  <c r="I18" i="8" s="1"/>
  <c r="J18" i="8" s="1" a="1"/>
  <c r="H19" i="8"/>
  <c r="I19" i="8" s="1"/>
  <c r="J19" i="8" s="1" a="1"/>
  <c r="H20" i="8"/>
  <c r="I20" i="8" s="1"/>
  <c r="J20" i="8" s="1" a="1"/>
  <c r="H21" i="8"/>
  <c r="I21" i="8" s="1"/>
  <c r="J21" i="8" s="1" a="1"/>
  <c r="H22" i="8"/>
  <c r="I22" i="8" s="1"/>
  <c r="J22" i="8" s="1" a="1"/>
  <c r="H23" i="8"/>
  <c r="I23" i="8" s="1"/>
  <c r="J23" i="8" s="1" a="1"/>
  <c r="H24" i="8"/>
  <c r="I24" i="8" s="1"/>
  <c r="J24" i="8" s="1" a="1"/>
  <c r="H25" i="8"/>
  <c r="I25" i="8" s="1"/>
  <c r="J25" i="8" s="1" a="1"/>
  <c r="H26" i="8"/>
  <c r="I26" i="8" s="1"/>
  <c r="J26" i="8" s="1" a="1"/>
  <c r="H27" i="8"/>
  <c r="I27" i="8" s="1"/>
  <c r="J27" i="8" s="1" a="1"/>
  <c r="H28" i="8"/>
  <c r="I28" i="8" s="1"/>
  <c r="J28" i="8" s="1" a="1"/>
  <c r="H29" i="8"/>
  <c r="I29" i="8" s="1"/>
  <c r="J29" i="8" s="1" a="1"/>
  <c r="H30" i="8"/>
  <c r="I30" i="8" s="1"/>
  <c r="J30" i="8" s="1" a="1"/>
  <c r="H31" i="8"/>
  <c r="I31" i="8" s="1"/>
  <c r="J31" i="8" s="1" a="1"/>
  <c r="H32" i="8"/>
  <c r="I32" i="8" s="1"/>
  <c r="J32" i="8" s="1" a="1"/>
  <c r="H33" i="8"/>
  <c r="I33" i="8" s="1"/>
  <c r="J33" i="8" s="1" a="1"/>
  <c r="H34" i="8"/>
  <c r="I34" i="8" s="1"/>
  <c r="J34" i="8" s="1" a="1"/>
  <c r="H35" i="8"/>
  <c r="I35" i="8" s="1"/>
  <c r="J35" i="8" s="1" a="1"/>
  <c r="H36" i="8"/>
  <c r="I36" i="8" s="1"/>
  <c r="J36" i="8" s="1" a="1"/>
  <c r="H37" i="8"/>
  <c r="I37" i="8" s="1"/>
  <c r="J37" i="8" s="1" a="1"/>
  <c r="H38" i="8"/>
  <c r="I38" i="8" s="1"/>
  <c r="J38" i="8" s="1" a="1"/>
  <c r="H39" i="8"/>
  <c r="I39" i="8" s="1"/>
  <c r="J39" i="8" s="1" a="1"/>
  <c r="H40" i="8"/>
  <c r="I40" i="8" s="1"/>
  <c r="J40" i="8" s="1" a="1"/>
  <c r="H41" i="8"/>
  <c r="I41" i="8" s="1"/>
  <c r="J41" i="8" s="1" a="1"/>
  <c r="H42" i="8"/>
  <c r="I42" i="8" s="1"/>
  <c r="J42" i="8" s="1" a="1"/>
  <c r="H43" i="8"/>
  <c r="I43" i="8" s="1"/>
  <c r="J43" i="8" s="1" a="1"/>
  <c r="H44" i="8"/>
  <c r="I44" i="8" s="1"/>
  <c r="J44" i="8" s="1" a="1"/>
  <c r="H45" i="8"/>
  <c r="I45" i="8" s="1"/>
  <c r="J45" i="8" s="1" a="1"/>
  <c r="H46" i="8"/>
  <c r="I46" i="8" s="1"/>
  <c r="J46" i="8" s="1" a="1"/>
  <c r="H47" i="8"/>
  <c r="I47" i="8" s="1"/>
  <c r="J47" i="8" s="1" a="1"/>
  <c r="H48" i="8"/>
  <c r="I48" i="8" s="1"/>
  <c r="J48" i="8" s="1" a="1"/>
  <c r="H49" i="8"/>
  <c r="I49" i="8" s="1"/>
  <c r="J49" i="8" s="1" a="1"/>
  <c r="H50" i="8"/>
  <c r="I50" i="8" s="1"/>
  <c r="J50" i="8" s="1" a="1"/>
  <c r="H51" i="8"/>
  <c r="I51" i="8" s="1"/>
  <c r="J51" i="8" s="1" a="1"/>
  <c r="H52" i="8"/>
  <c r="I52" i="8" s="1"/>
  <c r="J52" i="8" s="1" a="1"/>
  <c r="H53" i="8"/>
  <c r="I53" i="8" s="1"/>
  <c r="J53" i="8" s="1" a="1"/>
  <c r="H54" i="8"/>
  <c r="I54" i="8" s="1"/>
  <c r="J54" i="8" s="1" a="1"/>
  <c r="H55" i="8"/>
  <c r="I55" i="8" s="1"/>
  <c r="J55" i="8" s="1" a="1"/>
  <c r="H56" i="8"/>
  <c r="I56" i="8" s="1"/>
  <c r="J56" i="8" s="1" a="1"/>
  <c r="H57" i="8"/>
  <c r="I57" i="8" s="1"/>
  <c r="J57" i="8" s="1" a="1"/>
  <c r="H58" i="8"/>
  <c r="I58" i="8" s="1"/>
  <c r="J58" i="8" s="1" a="1"/>
  <c r="H59" i="8"/>
  <c r="I59" i="8" s="1"/>
  <c r="J59" i="8" s="1" a="1"/>
  <c r="H60" i="8"/>
  <c r="I60" i="8" s="1"/>
  <c r="J60" i="8" s="1" a="1"/>
  <c r="H61" i="8"/>
  <c r="I61" i="8" s="1"/>
  <c r="J61" i="8" s="1" a="1"/>
  <c r="H62" i="8"/>
  <c r="I62" i="8" s="1"/>
  <c r="J62" i="8" s="1" a="1"/>
  <c r="H63" i="8"/>
  <c r="I63" i="8" s="1"/>
  <c r="J63" i="8" s="1" a="1"/>
  <c r="H64" i="8"/>
  <c r="I64" i="8" s="1"/>
  <c r="J64" i="8" s="1" a="1"/>
  <c r="H65" i="8"/>
  <c r="I65" i="8" s="1"/>
  <c r="J65" i="8" s="1" a="1"/>
  <c r="H66" i="8"/>
  <c r="I66" i="8" s="1"/>
  <c r="J66" i="8" s="1" a="1"/>
  <c r="H67" i="8"/>
  <c r="I67" i="8" s="1"/>
  <c r="J67" i="8" s="1" a="1"/>
  <c r="H68" i="8"/>
  <c r="I68" i="8" s="1"/>
  <c r="J68" i="8" s="1" a="1"/>
  <c r="H69" i="8"/>
  <c r="I69" i="8" s="1"/>
  <c r="J69" i="8" s="1" a="1"/>
  <c r="H70" i="8"/>
  <c r="I70" i="8" s="1"/>
  <c r="J70" i="8" s="1" a="1"/>
  <c r="H71" i="8"/>
  <c r="I71" i="8" s="1"/>
  <c r="J71" i="8" s="1" a="1"/>
  <c r="H72" i="8"/>
  <c r="I72" i="8" s="1"/>
  <c r="J72" i="8" s="1" a="1"/>
  <c r="H73" i="8"/>
  <c r="I73" i="8" s="1"/>
  <c r="J73" i="8" s="1" a="1"/>
  <c r="H74" i="8"/>
  <c r="I74" i="8" s="1"/>
  <c r="J74" i="8" s="1" a="1"/>
  <c r="H75" i="8"/>
  <c r="I75" i="8" s="1"/>
  <c r="J75" i="8" s="1" a="1"/>
  <c r="H76" i="8"/>
  <c r="I76" i="8" s="1"/>
  <c r="J76" i="8" s="1" a="1"/>
  <c r="H77" i="8"/>
  <c r="I77" i="8" s="1"/>
  <c r="J77" i="8" s="1" a="1"/>
  <c r="H78" i="8"/>
  <c r="I78" i="8" s="1"/>
  <c r="J78" i="8" s="1" a="1"/>
  <c r="H79" i="8"/>
  <c r="I79" i="8" s="1"/>
  <c r="J79" i="8" s="1" a="1"/>
  <c r="H80" i="8"/>
  <c r="I80" i="8" s="1"/>
  <c r="J80" i="8" s="1" a="1"/>
  <c r="H81" i="8"/>
  <c r="I81" i="8" s="1"/>
  <c r="J81" i="8" s="1" a="1"/>
  <c r="H82" i="8"/>
  <c r="I82" i="8" s="1"/>
  <c r="J82" i="8" s="1" a="1"/>
  <c r="H83" i="8"/>
  <c r="I83" i="8" s="1"/>
  <c r="J83" i="8" s="1" a="1"/>
  <c r="H84" i="8"/>
  <c r="I84" i="8" s="1"/>
  <c r="J84" i="8" s="1" a="1"/>
  <c r="H85" i="8"/>
  <c r="I85" i="8" s="1"/>
  <c r="J85" i="8" s="1" a="1"/>
  <c r="H86" i="8"/>
  <c r="I86" i="8" s="1"/>
  <c r="J86" i="8" s="1" a="1"/>
  <c r="H87" i="8"/>
  <c r="I87" i="8" s="1"/>
  <c r="J87" i="8" s="1" a="1"/>
  <c r="H88" i="8"/>
  <c r="I88" i="8" s="1"/>
  <c r="J88" i="8" s="1" a="1"/>
  <c r="H89" i="8"/>
  <c r="I89" i="8" s="1"/>
  <c r="J89" i="8" s="1" a="1"/>
  <c r="H90" i="8"/>
  <c r="I90" i="8" s="1"/>
  <c r="J90" i="8" s="1" a="1"/>
  <c r="H91" i="8"/>
  <c r="I91" i="8" s="1"/>
  <c r="J91" i="8" s="1" a="1"/>
  <c r="H92" i="8"/>
  <c r="I92" i="8" s="1"/>
  <c r="J92" i="8" s="1" a="1"/>
  <c r="H93" i="8"/>
  <c r="I93" i="8" s="1"/>
  <c r="J93" i="8" s="1" a="1"/>
  <c r="H94" i="8"/>
  <c r="I94" i="8" s="1"/>
  <c r="J94" i="8" s="1" a="1"/>
  <c r="H95" i="8"/>
  <c r="I95" i="8" s="1"/>
  <c r="J95" i="8" s="1" a="1"/>
  <c r="H96" i="8"/>
  <c r="I96" i="8" s="1"/>
  <c r="J96" i="8" s="1" a="1"/>
  <c r="H97" i="8"/>
  <c r="I97" i="8" s="1"/>
  <c r="J97" i="8" s="1" a="1"/>
  <c r="H98" i="8"/>
  <c r="I98" i="8" s="1"/>
  <c r="J98" i="8" s="1" a="1"/>
  <c r="H99" i="8"/>
  <c r="I99" i="8" s="1"/>
  <c r="J99" i="8" s="1" a="1"/>
  <c r="H100" i="8"/>
  <c r="I100" i="8" s="1"/>
  <c r="J100" i="8" s="1" a="1"/>
  <c r="H101" i="8"/>
  <c r="I101" i="8" s="1"/>
  <c r="J101" i="8" s="1" a="1"/>
  <c r="H102" i="8"/>
  <c r="I102" i="8" s="1"/>
  <c r="J102" i="8" s="1" a="1"/>
  <c r="H103" i="8"/>
  <c r="I103" i="8" s="1"/>
  <c r="J103" i="8" s="1" a="1"/>
  <c r="H104" i="8"/>
  <c r="I104" i="8" s="1"/>
  <c r="J104" i="8" s="1" a="1"/>
  <c r="H105" i="8"/>
  <c r="I105" i="8" s="1"/>
  <c r="J105" i="8" s="1" a="1"/>
  <c r="H106" i="8"/>
  <c r="I106" i="8" s="1"/>
  <c r="J106" i="8" s="1" a="1"/>
  <c r="H107" i="8"/>
  <c r="I107" i="8" s="1"/>
  <c r="J107" i="8" s="1" a="1"/>
  <c r="H108" i="8"/>
  <c r="I108" i="8" s="1"/>
  <c r="J108" i="8" s="1" a="1"/>
  <c r="H109" i="8"/>
  <c r="I109" i="8" s="1"/>
  <c r="J109" i="8" s="1" a="1"/>
  <c r="H110" i="8"/>
  <c r="I110" i="8" s="1"/>
  <c r="J110" i="8" s="1" a="1"/>
  <c r="H111" i="8"/>
  <c r="I111" i="8" s="1"/>
  <c r="J111" i="8" s="1" a="1"/>
  <c r="H112" i="8"/>
  <c r="I112" i="8" s="1"/>
  <c r="J112" i="8" s="1" a="1"/>
  <c r="H113" i="8"/>
  <c r="I113" i="8" s="1"/>
  <c r="J113" i="8" s="1" a="1"/>
  <c r="H114" i="8"/>
  <c r="I114" i="8" s="1"/>
  <c r="J114" i="8" s="1" a="1"/>
  <c r="H115" i="8"/>
  <c r="I115" i="8" s="1"/>
  <c r="J115" i="8" s="1" a="1"/>
  <c r="H116" i="8"/>
  <c r="I116" i="8" s="1"/>
  <c r="J116" i="8" s="1" a="1"/>
  <c r="H117" i="8"/>
  <c r="I117" i="8" s="1"/>
  <c r="J117" i="8" s="1" a="1"/>
  <c r="H118" i="8"/>
  <c r="I118" i="8" s="1"/>
  <c r="J118" i="8" s="1" a="1"/>
  <c r="H119" i="8"/>
  <c r="I119" i="8" s="1"/>
  <c r="J119" i="8" s="1" a="1"/>
  <c r="H120" i="8"/>
  <c r="I120" i="8" s="1"/>
  <c r="J120" i="8" s="1" a="1"/>
  <c r="H121" i="8"/>
  <c r="I121" i="8" s="1"/>
  <c r="J121" i="8" s="1" a="1"/>
  <c r="H122" i="8"/>
  <c r="I122" i="8" s="1"/>
  <c r="J122" i="8" s="1" a="1"/>
  <c r="H123" i="8"/>
  <c r="I123" i="8" s="1"/>
  <c r="J123" i="8" s="1" a="1"/>
  <c r="H124" i="8"/>
  <c r="I124" i="8" s="1"/>
  <c r="J124" i="8" s="1" a="1"/>
  <c r="H125" i="8"/>
  <c r="I125" i="8" s="1"/>
  <c r="J125" i="8" s="1" a="1"/>
  <c r="H126" i="8"/>
  <c r="I126" i="8" s="1"/>
  <c r="J126" i="8" s="1" a="1"/>
  <c r="H127" i="8"/>
  <c r="I127" i="8" s="1"/>
  <c r="J127" i="8" s="1" a="1"/>
  <c r="H128" i="8"/>
  <c r="I128" i="8" s="1"/>
  <c r="J128" i="8" s="1" a="1"/>
  <c r="H129" i="8"/>
  <c r="I129" i="8" s="1"/>
  <c r="J129" i="8" s="1" a="1"/>
  <c r="H130" i="8"/>
  <c r="I130" i="8" s="1"/>
  <c r="J130" i="8" s="1" a="1"/>
  <c r="H131" i="8"/>
  <c r="I131" i="8" s="1"/>
  <c r="J131" i="8" s="1" a="1"/>
  <c r="H132" i="8"/>
  <c r="I132" i="8" s="1"/>
  <c r="J132" i="8" s="1" a="1"/>
  <c r="H133" i="8"/>
  <c r="I133" i="8" s="1"/>
  <c r="J133" i="8" s="1" a="1"/>
  <c r="H134" i="8"/>
  <c r="I134" i="8" s="1"/>
  <c r="J134" i="8" s="1" a="1"/>
  <c r="H135" i="8"/>
  <c r="I135" i="8" s="1"/>
  <c r="J135" i="8" s="1" a="1"/>
  <c r="H136" i="8"/>
  <c r="I136" i="8" s="1"/>
  <c r="J136" i="8" s="1" a="1"/>
  <c r="H137" i="8"/>
  <c r="I137" i="8" s="1"/>
  <c r="J137" i="8" s="1" a="1"/>
  <c r="H138" i="8"/>
  <c r="I138" i="8" s="1"/>
  <c r="J138" i="8" s="1" a="1"/>
  <c r="H139" i="8"/>
  <c r="I139" i="8" s="1"/>
  <c r="J139" i="8" s="1" a="1"/>
  <c r="H140" i="8"/>
  <c r="I140" i="8" s="1"/>
  <c r="J140" i="8" s="1" a="1"/>
  <c r="H141" i="8"/>
  <c r="I141" i="8" s="1"/>
  <c r="J141" i="8" s="1" a="1"/>
  <c r="H142" i="8"/>
  <c r="I142" i="8" s="1"/>
  <c r="J142" i="8" s="1" a="1"/>
  <c r="H143" i="8"/>
  <c r="I143" i="8" s="1"/>
  <c r="J143" i="8" s="1" a="1"/>
  <c r="H144" i="8"/>
  <c r="I144" i="8" s="1"/>
  <c r="J144" i="8" s="1" a="1"/>
  <c r="H145" i="8"/>
  <c r="I145" i="8" s="1"/>
  <c r="J145" i="8" s="1" a="1"/>
  <c r="H146" i="8"/>
  <c r="I146" i="8" s="1"/>
  <c r="J146" i="8" s="1" a="1"/>
  <c r="H147" i="8"/>
  <c r="I147" i="8" s="1"/>
  <c r="J147" i="8" s="1" a="1"/>
  <c r="H148" i="8"/>
  <c r="I148" i="8" s="1"/>
  <c r="J148" i="8" s="1" a="1"/>
  <c r="H149" i="8"/>
  <c r="I149" i="8" s="1"/>
  <c r="J149" i="8" s="1" a="1"/>
  <c r="H150" i="8"/>
  <c r="I150" i="8" s="1"/>
  <c r="J150" i="8" s="1" a="1"/>
  <c r="H151" i="8"/>
  <c r="I151" i="8" s="1"/>
  <c r="J151" i="8" s="1" a="1"/>
  <c r="H152" i="8"/>
  <c r="I152" i="8" s="1"/>
  <c r="J152" i="8" s="1" a="1"/>
  <c r="H153" i="8"/>
  <c r="I153" i="8" s="1"/>
  <c r="J153" i="8" s="1" a="1"/>
  <c r="H154" i="8"/>
  <c r="I154" i="8" s="1"/>
  <c r="J154" i="8" s="1" a="1"/>
  <c r="H155" i="8"/>
  <c r="I155" i="8" s="1"/>
  <c r="J155" i="8" s="1" a="1"/>
  <c r="H156" i="8"/>
  <c r="I156" i="8" s="1"/>
  <c r="J156" i="8" s="1" a="1"/>
  <c r="H157" i="8"/>
  <c r="I157" i="8" s="1"/>
  <c r="J157" i="8" s="1" a="1"/>
  <c r="H158" i="8"/>
  <c r="I158" i="8" s="1"/>
  <c r="J158" i="8" s="1" a="1"/>
  <c r="H159" i="8"/>
  <c r="I159" i="8" s="1"/>
  <c r="J159" i="8" s="1" a="1"/>
  <c r="H160" i="8"/>
  <c r="I160" i="8" s="1"/>
  <c r="J160" i="8" s="1" a="1"/>
  <c r="H161" i="8"/>
  <c r="I161" i="8" s="1"/>
  <c r="J161" i="8" s="1" a="1"/>
  <c r="H162" i="8"/>
  <c r="I162" i="8" s="1"/>
  <c r="J162" i="8" s="1" a="1"/>
  <c r="H163" i="8"/>
  <c r="I163" i="8" s="1"/>
  <c r="J163" i="8" s="1" a="1"/>
  <c r="H164" i="8"/>
  <c r="I164" i="8" s="1"/>
  <c r="J164" i="8" s="1" a="1"/>
  <c r="H165" i="8"/>
  <c r="I165" i="8" s="1"/>
  <c r="J165" i="8" s="1" a="1"/>
  <c r="H166" i="8"/>
  <c r="I166" i="8" s="1"/>
  <c r="J166" i="8" s="1" a="1"/>
  <c r="H167" i="8"/>
  <c r="I167" i="8" s="1"/>
  <c r="J167" i="8" s="1" a="1"/>
  <c r="H168" i="8"/>
  <c r="I168" i="8" s="1"/>
  <c r="J168" i="8" s="1" a="1"/>
  <c r="H169" i="8"/>
  <c r="I169" i="8" s="1"/>
  <c r="J169" i="8" s="1" a="1"/>
  <c r="H170" i="8"/>
  <c r="I170" i="8" s="1"/>
  <c r="J170" i="8" s="1" a="1"/>
  <c r="H171" i="8"/>
  <c r="I171" i="8" s="1"/>
  <c r="J171" i="8" s="1" a="1"/>
  <c r="H172" i="8"/>
  <c r="I172" i="8" s="1"/>
  <c r="J172" i="8" s="1" a="1"/>
  <c r="H173" i="8"/>
  <c r="I173" i="8" s="1"/>
  <c r="J173" i="8" s="1" a="1"/>
  <c r="H174" i="8"/>
  <c r="I174" i="8" s="1"/>
  <c r="J174" i="8" s="1" a="1"/>
  <c r="H175" i="8"/>
  <c r="I175" i="8" s="1"/>
  <c r="J175" i="8" s="1" a="1"/>
  <c r="H176" i="8"/>
  <c r="I176" i="8" s="1"/>
  <c r="J176" i="8" s="1" a="1"/>
  <c r="H177" i="8"/>
  <c r="I177" i="8" s="1"/>
  <c r="J177" i="8" s="1" a="1"/>
  <c r="H178" i="8"/>
  <c r="I178" i="8" s="1"/>
  <c r="J178" i="8" s="1" a="1"/>
  <c r="H179" i="8"/>
  <c r="I179" i="8" s="1"/>
  <c r="J179" i="8" s="1" a="1"/>
  <c r="H180" i="8"/>
  <c r="I180" i="8" s="1"/>
  <c r="J180" i="8" s="1" a="1"/>
  <c r="H181" i="8"/>
  <c r="I181" i="8" s="1"/>
  <c r="J181" i="8" s="1" a="1"/>
  <c r="H182" i="8"/>
  <c r="I182" i="8" s="1"/>
  <c r="J182" i="8" s="1" a="1"/>
  <c r="H183" i="8"/>
  <c r="I183" i="8" s="1"/>
  <c r="J183" i="8" s="1" a="1"/>
  <c r="H184" i="8"/>
  <c r="I184" i="8" s="1"/>
  <c r="J184" i="8" s="1" a="1"/>
  <c r="H185" i="8"/>
  <c r="I185" i="8" s="1"/>
  <c r="J185" i="8" s="1" a="1"/>
  <c r="H186" i="8"/>
  <c r="I186" i="8" s="1"/>
  <c r="J186" i="8" s="1" a="1"/>
  <c r="H187" i="8"/>
  <c r="I187" i="8" s="1"/>
  <c r="J187" i="8" s="1" a="1"/>
  <c r="H188" i="8"/>
  <c r="I188" i="8" s="1"/>
  <c r="J188" i="8" s="1" a="1"/>
  <c r="H189" i="8"/>
  <c r="I189" i="8" s="1"/>
  <c r="J189" i="8" s="1" a="1"/>
  <c r="H190" i="8"/>
  <c r="I190" i="8" s="1"/>
  <c r="J190" i="8" s="1" a="1"/>
  <c r="H191" i="8"/>
  <c r="I191" i="8" s="1"/>
  <c r="J191" i="8" s="1" a="1"/>
  <c r="H192" i="8"/>
  <c r="I192" i="8" s="1"/>
  <c r="J192" i="8" s="1" a="1"/>
  <c r="H193" i="8"/>
  <c r="I193" i="8" s="1"/>
  <c r="J193" i="8" s="1" a="1"/>
  <c r="H194" i="8"/>
  <c r="I194" i="8" s="1"/>
  <c r="J194" i="8" s="1" a="1"/>
  <c r="H195" i="8"/>
  <c r="I195" i="8" s="1"/>
  <c r="J195" i="8" s="1" a="1"/>
  <c r="H196" i="8"/>
  <c r="I196" i="8" s="1"/>
  <c r="J196" i="8" s="1" a="1"/>
  <c r="H197" i="8"/>
  <c r="I197" i="8" s="1"/>
  <c r="J197" i="8" s="1" a="1"/>
  <c r="H198" i="8"/>
  <c r="I198" i="8" s="1"/>
  <c r="J198" i="8" s="1" a="1"/>
  <c r="H199" i="8"/>
  <c r="I199" i="8" s="1"/>
  <c r="J199" i="8" s="1" a="1"/>
  <c r="H200" i="8"/>
  <c r="I200" i="8" s="1"/>
  <c r="J200" i="8" s="1" a="1"/>
  <c r="H201" i="8"/>
  <c r="I201" i="8" s="1"/>
  <c r="J201" i="8" s="1" a="1"/>
  <c r="H202" i="8"/>
  <c r="I202" i="8" s="1"/>
  <c r="J202" i="8" s="1" a="1"/>
  <c r="H203" i="8"/>
  <c r="I203" i="8" s="1"/>
  <c r="J203" i="8" s="1" a="1"/>
  <c r="H204" i="8"/>
  <c r="I204" i="8" s="1"/>
  <c r="J204" i="8" s="1" a="1"/>
  <c r="H205" i="8"/>
  <c r="I205" i="8" s="1"/>
  <c r="J205" i="8" s="1" a="1"/>
  <c r="H206" i="8"/>
  <c r="I206" i="8" s="1"/>
  <c r="J206" i="8" s="1" a="1"/>
  <c r="H207" i="8"/>
  <c r="I207" i="8" s="1"/>
  <c r="J207" i="8" s="1" a="1"/>
  <c r="H208" i="8"/>
  <c r="I208" i="8" s="1"/>
  <c r="J208" i="8" s="1" a="1"/>
  <c r="H209" i="8"/>
  <c r="I209" i="8" s="1"/>
  <c r="J209" i="8" s="1" a="1"/>
  <c r="H210" i="8"/>
  <c r="I210" i="8" s="1"/>
  <c r="J210" i="8" s="1" a="1"/>
  <c r="H211" i="8"/>
  <c r="I211" i="8" s="1"/>
  <c r="J211" i="8" s="1" a="1"/>
  <c r="H212" i="8"/>
  <c r="I212" i="8" s="1"/>
  <c r="J212" i="8" s="1" a="1"/>
  <c r="H213" i="8"/>
  <c r="I213" i="8" s="1"/>
  <c r="J213" i="8" s="1" a="1"/>
  <c r="H214" i="8"/>
  <c r="I214" i="8" s="1"/>
  <c r="J214" i="8" s="1" a="1"/>
  <c r="H215" i="8"/>
  <c r="I215" i="8" s="1"/>
  <c r="J215" i="8" s="1" a="1"/>
  <c r="H216" i="8"/>
  <c r="I216" i="8" s="1"/>
  <c r="J216" i="8" s="1" a="1"/>
  <c r="H217" i="8"/>
  <c r="I217" i="8" s="1"/>
  <c r="J217" i="8" s="1" a="1"/>
  <c r="H218" i="8"/>
  <c r="I218" i="8" s="1"/>
  <c r="J218" i="8" s="1" a="1"/>
  <c r="H219" i="8"/>
  <c r="I219" i="8" s="1"/>
  <c r="J219" i="8" s="1" a="1"/>
  <c r="H220" i="8"/>
  <c r="I220" i="8" s="1"/>
  <c r="J220" i="8" s="1" a="1"/>
  <c r="H221" i="8"/>
  <c r="I221" i="8" s="1"/>
  <c r="J221" i="8" s="1" a="1"/>
  <c r="H222" i="8"/>
  <c r="I222" i="8" s="1"/>
  <c r="J222" i="8" s="1" a="1"/>
  <c r="H223" i="8"/>
  <c r="I223" i="8" s="1"/>
  <c r="J223" i="8" s="1" a="1"/>
  <c r="H224" i="8"/>
  <c r="I224" i="8" s="1"/>
  <c r="J224" i="8" s="1" a="1"/>
  <c r="H225" i="8"/>
  <c r="I225" i="8" s="1"/>
  <c r="J225" i="8" s="1" a="1"/>
  <c r="H226" i="8"/>
  <c r="I226" i="8" s="1"/>
  <c r="J226" i="8" s="1" a="1"/>
  <c r="H227" i="8"/>
  <c r="I227" i="8" s="1"/>
  <c r="J227" i="8" s="1" a="1"/>
  <c r="H228" i="8"/>
  <c r="I228" i="8" s="1"/>
  <c r="J228" i="8" s="1" a="1"/>
  <c r="H229" i="8"/>
  <c r="I229" i="8" s="1"/>
  <c r="J229" i="8" s="1" a="1"/>
  <c r="H230" i="8"/>
  <c r="I230" i="8" s="1"/>
  <c r="J230" i="8" s="1" a="1"/>
  <c r="H231" i="8"/>
  <c r="I231" i="8" s="1"/>
  <c r="J231" i="8" s="1" a="1"/>
  <c r="H232" i="8"/>
  <c r="I232" i="8" s="1"/>
  <c r="J232" i="8" s="1" a="1"/>
  <c r="H233" i="8"/>
  <c r="I233" i="8" s="1"/>
  <c r="J233" i="8" s="1" a="1"/>
  <c r="H234" i="8"/>
  <c r="I234" i="8" s="1"/>
  <c r="J234" i="8" s="1" a="1"/>
  <c r="H235" i="8"/>
  <c r="I235" i="8" s="1"/>
  <c r="J235" i="8" s="1" a="1"/>
  <c r="H236" i="8"/>
  <c r="I236" i="8" s="1"/>
  <c r="J236" i="8" s="1" a="1"/>
  <c r="H237" i="8"/>
  <c r="I237" i="8" s="1"/>
  <c r="J237" i="8" s="1" a="1"/>
  <c r="H238" i="8"/>
  <c r="I238" i="8" s="1"/>
  <c r="J238" i="8" s="1" a="1"/>
  <c r="H239" i="8"/>
  <c r="I239" i="8" s="1"/>
  <c r="J239" i="8" s="1" a="1"/>
  <c r="H240" i="8"/>
  <c r="I240" i="8" s="1"/>
  <c r="J240" i="8" s="1" a="1"/>
  <c r="H241" i="8"/>
  <c r="I241" i="8" s="1"/>
  <c r="J241" i="8" s="1" a="1"/>
  <c r="H242" i="8"/>
  <c r="I242" i="8" s="1"/>
  <c r="J242" i="8" s="1" a="1"/>
  <c r="H243" i="8"/>
  <c r="I243" i="8" s="1"/>
  <c r="J243" i="8" s="1" a="1"/>
  <c r="H244" i="8"/>
  <c r="I244" i="8" s="1"/>
  <c r="J244" i="8" s="1" a="1"/>
  <c r="H245" i="8"/>
  <c r="I245" i="8" s="1"/>
  <c r="J245" i="8" s="1" a="1"/>
  <c r="H246" i="8"/>
  <c r="I246" i="8" s="1"/>
  <c r="J246" i="8" s="1" a="1"/>
  <c r="H247" i="8"/>
  <c r="I247" i="8" s="1"/>
  <c r="J247" i="8" s="1" a="1"/>
  <c r="H248" i="8"/>
  <c r="I248" i="8" s="1"/>
  <c r="J248" i="8" s="1" a="1"/>
  <c r="H249" i="8"/>
  <c r="I249" i="8" s="1"/>
  <c r="J249" i="8" s="1" a="1"/>
  <c r="H250" i="8"/>
  <c r="I250" i="8" s="1"/>
  <c r="J250" i="8" s="1" a="1"/>
  <c r="H251" i="8"/>
  <c r="I251" i="8" s="1"/>
  <c r="J251" i="8" s="1" a="1"/>
  <c r="H252" i="8"/>
  <c r="I252" i="8" s="1"/>
  <c r="J252" i="8" s="1" a="1"/>
  <c r="H253" i="8"/>
  <c r="I253" i="8" s="1"/>
  <c r="J253" i="8" s="1" a="1"/>
  <c r="H254" i="8"/>
  <c r="I254" i="8" s="1"/>
  <c r="J254" i="8" s="1" a="1"/>
  <c r="H255" i="8"/>
  <c r="I255" i="8" s="1"/>
  <c r="J255" i="8" s="1" a="1"/>
  <c r="H256" i="8"/>
  <c r="I256" i="8" s="1"/>
  <c r="J256" i="8" s="1" a="1"/>
  <c r="H257" i="8"/>
  <c r="I257" i="8" s="1"/>
  <c r="J257" i="8" s="1" a="1"/>
  <c r="H258" i="8"/>
  <c r="I258" i="8" s="1"/>
  <c r="J258" i="8" s="1" a="1"/>
  <c r="H259" i="8"/>
  <c r="I259" i="8" s="1"/>
  <c r="J259" i="8" s="1" a="1"/>
  <c r="H260" i="8"/>
  <c r="I260" i="8" s="1"/>
  <c r="J260" i="8" s="1" a="1"/>
  <c r="H261" i="8"/>
  <c r="I261" i="8" s="1"/>
  <c r="J261" i="8" s="1" a="1"/>
  <c r="H262" i="8"/>
  <c r="I262" i="8" s="1"/>
  <c r="J262" i="8" s="1" a="1"/>
  <c r="H263" i="8"/>
  <c r="I263" i="8" s="1"/>
  <c r="J263" i="8" s="1" a="1"/>
  <c r="H264" i="8"/>
  <c r="I264" i="8" s="1"/>
  <c r="J264" i="8" s="1" a="1"/>
  <c r="H265" i="8"/>
  <c r="I265" i="8" s="1"/>
  <c r="J265" i="8" s="1" a="1"/>
  <c r="H266" i="8"/>
  <c r="I266" i="8" s="1"/>
  <c r="J266" i="8" s="1" a="1"/>
  <c r="H267" i="8"/>
  <c r="I267" i="8" s="1"/>
  <c r="J267" i="8" s="1" a="1"/>
  <c r="H268" i="8"/>
  <c r="I268" i="8" s="1"/>
  <c r="J268" i="8" s="1" a="1"/>
  <c r="H269" i="8"/>
  <c r="I269" i="8" s="1"/>
  <c r="J269" i="8" s="1" a="1"/>
  <c r="H270" i="8"/>
  <c r="I270" i="8" s="1"/>
  <c r="J270" i="8" s="1" a="1"/>
  <c r="H271" i="8"/>
  <c r="I271" i="8" s="1"/>
  <c r="J271" i="8" s="1" a="1"/>
  <c r="H272" i="8"/>
  <c r="I272" i="8" s="1"/>
  <c r="J272" i="8" s="1" a="1"/>
  <c r="H273" i="8"/>
  <c r="I273" i="8" s="1"/>
  <c r="J273" i="8" s="1" a="1"/>
  <c r="H274" i="8"/>
  <c r="I274" i="8" s="1"/>
  <c r="J274" i="8" s="1" a="1"/>
  <c r="H275" i="8"/>
  <c r="I275" i="8" s="1"/>
  <c r="J275" i="8" s="1" a="1"/>
  <c r="H276" i="8"/>
  <c r="I276" i="8" s="1"/>
  <c r="J276" i="8" s="1" a="1"/>
  <c r="H277" i="8"/>
  <c r="I277" i="8" s="1"/>
  <c r="J277" i="8" s="1" a="1"/>
  <c r="H278" i="8"/>
  <c r="I278" i="8" s="1"/>
  <c r="J278" i="8" s="1" a="1"/>
  <c r="H279" i="8"/>
  <c r="I279" i="8" s="1"/>
  <c r="J279" i="8" s="1" a="1"/>
  <c r="H280" i="8"/>
  <c r="I280" i="8" s="1"/>
  <c r="J280" i="8" s="1" a="1"/>
  <c r="H281" i="8"/>
  <c r="I281" i="8" s="1"/>
  <c r="J281" i="8" s="1" a="1"/>
  <c r="H282" i="8"/>
  <c r="I282" i="8" s="1"/>
  <c r="J282" i="8" s="1" a="1"/>
  <c r="H283" i="8"/>
  <c r="I283" i="8" s="1"/>
  <c r="J283" i="8" s="1" a="1"/>
  <c r="H284" i="8"/>
  <c r="I284" i="8" s="1"/>
  <c r="J284" i="8" s="1" a="1"/>
  <c r="H285" i="8"/>
  <c r="I285" i="8" s="1"/>
  <c r="J285" i="8" s="1" a="1"/>
  <c r="H286" i="8"/>
  <c r="I286" i="8" s="1"/>
  <c r="J286" i="8" s="1" a="1"/>
  <c r="H287" i="8"/>
  <c r="I287" i="8" s="1"/>
  <c r="J287" i="8" s="1" a="1"/>
  <c r="H288" i="8"/>
  <c r="I288" i="8" s="1"/>
  <c r="J288" i="8" s="1" a="1"/>
  <c r="H289" i="8"/>
  <c r="I289" i="8" s="1"/>
  <c r="J289" i="8" s="1" a="1"/>
  <c r="H290" i="8"/>
  <c r="I290" i="8" s="1"/>
  <c r="J290" i="8" s="1" a="1"/>
  <c r="H291" i="8"/>
  <c r="I291" i="8" s="1"/>
  <c r="J291" i="8" s="1" a="1"/>
  <c r="H292" i="8"/>
  <c r="I292" i="8" s="1"/>
  <c r="J292" i="8" s="1" a="1"/>
  <c r="H293" i="8"/>
  <c r="I293" i="8" s="1"/>
  <c r="J293" i="8" s="1" a="1"/>
  <c r="H294" i="8"/>
  <c r="I294" i="8" s="1"/>
  <c r="J294" i="8" s="1" a="1"/>
  <c r="H295" i="8"/>
  <c r="I295" i="8" s="1"/>
  <c r="J295" i="8" s="1" a="1"/>
  <c r="H296" i="8"/>
  <c r="I296" i="8" s="1"/>
  <c r="J296" i="8" s="1" a="1"/>
  <c r="H297" i="8"/>
  <c r="I297" i="8" s="1"/>
  <c r="J297" i="8" s="1" a="1"/>
  <c r="H298" i="8"/>
  <c r="I298" i="8" s="1"/>
  <c r="J298" i="8" s="1" a="1"/>
  <c r="H299" i="8"/>
  <c r="I299" i="8" s="1"/>
  <c r="J299" i="8" s="1" a="1"/>
  <c r="H300" i="8"/>
  <c r="I300" i="8" s="1"/>
  <c r="J300" i="8" s="1" a="1"/>
  <c r="H301" i="8"/>
  <c r="I301" i="8" s="1"/>
  <c r="J301" i="8" s="1" a="1"/>
  <c r="H302" i="8"/>
  <c r="I302" i="8" s="1"/>
  <c r="J302" i="8" s="1" a="1"/>
  <c r="H303" i="8"/>
  <c r="I303" i="8" s="1"/>
  <c r="J303" i="8" s="1" a="1"/>
  <c r="K4" i="8"/>
  <c r="L4" i="8" s="1"/>
  <c r="K5" i="8"/>
  <c r="L5" i="8" s="1"/>
  <c r="K6" i="8"/>
  <c r="L6" i="8" s="1"/>
  <c r="K7" i="8"/>
  <c r="L7" i="8" s="1"/>
  <c r="K8" i="8"/>
  <c r="L8" i="8" s="1"/>
  <c r="K9" i="8"/>
  <c r="L9" i="8" s="1"/>
  <c r="K10" i="8"/>
  <c r="L10" i="8" s="1"/>
  <c r="K11" i="8"/>
  <c r="L11" i="8" s="1"/>
  <c r="K12" i="8"/>
  <c r="L12" i="8" s="1"/>
  <c r="K13" i="8"/>
  <c r="L13" i="8" s="1"/>
  <c r="K14" i="8"/>
  <c r="L14" i="8" s="1"/>
  <c r="K15" i="8"/>
  <c r="L15" i="8" s="1"/>
  <c r="K16" i="8"/>
  <c r="L16" i="8" s="1"/>
  <c r="K17" i="8"/>
  <c r="L17" i="8" s="1"/>
  <c r="K18" i="8"/>
  <c r="L18" i="8" s="1"/>
  <c r="K19" i="8"/>
  <c r="L19" i="8" s="1"/>
  <c r="K20" i="8"/>
  <c r="L20" i="8" s="1"/>
  <c r="K21" i="8"/>
  <c r="L21" i="8" s="1"/>
  <c r="K22" i="8"/>
  <c r="L22" i="8" s="1"/>
  <c r="K23" i="8"/>
  <c r="L23" i="8" s="1"/>
  <c r="K24" i="8"/>
  <c r="L24" i="8" s="1"/>
  <c r="K25" i="8"/>
  <c r="L25" i="8" s="1"/>
  <c r="K26" i="8"/>
  <c r="L26" i="8" s="1"/>
  <c r="K27" i="8"/>
  <c r="L27" i="8" s="1"/>
  <c r="K28" i="8"/>
  <c r="L28" i="8" s="1"/>
  <c r="K29" i="8"/>
  <c r="L29" i="8" s="1"/>
  <c r="K30" i="8"/>
  <c r="L30" i="8" s="1"/>
  <c r="K31" i="8"/>
  <c r="L31" i="8" s="1"/>
  <c r="K32" i="8"/>
  <c r="L32" i="8" s="1"/>
  <c r="K33" i="8"/>
  <c r="L33" i="8" s="1"/>
  <c r="K34" i="8"/>
  <c r="L34" i="8" s="1"/>
  <c r="K35" i="8"/>
  <c r="L35" i="8" s="1"/>
  <c r="K36" i="8"/>
  <c r="L36" i="8" s="1"/>
  <c r="K37" i="8"/>
  <c r="L37" i="8" s="1"/>
  <c r="K38" i="8"/>
  <c r="L38" i="8" s="1"/>
  <c r="K39" i="8"/>
  <c r="L39" i="8" s="1"/>
  <c r="K40" i="8"/>
  <c r="L40" i="8" s="1"/>
  <c r="K41" i="8"/>
  <c r="L41" i="8" s="1"/>
  <c r="K42" i="8"/>
  <c r="L42" i="8" s="1"/>
  <c r="K43" i="8"/>
  <c r="L43" i="8" s="1"/>
  <c r="K44" i="8"/>
  <c r="L44" i="8" s="1"/>
  <c r="K45" i="8"/>
  <c r="L45" i="8" s="1"/>
  <c r="K46" i="8"/>
  <c r="L46" i="8" s="1"/>
  <c r="K47" i="8"/>
  <c r="L47" i="8" s="1"/>
  <c r="K48" i="8"/>
  <c r="L48" i="8" s="1"/>
  <c r="K49" i="8"/>
  <c r="L49" i="8" s="1"/>
  <c r="K50" i="8"/>
  <c r="L50" i="8" s="1"/>
  <c r="K51" i="8"/>
  <c r="L51" i="8" s="1"/>
  <c r="K52" i="8"/>
  <c r="L52" i="8" s="1"/>
  <c r="K53" i="8"/>
  <c r="L53" i="8" s="1"/>
  <c r="K54" i="8"/>
  <c r="L54" i="8" s="1"/>
  <c r="K55" i="8"/>
  <c r="L55" i="8" s="1"/>
  <c r="K56" i="8"/>
  <c r="L56" i="8" s="1"/>
  <c r="K57" i="8"/>
  <c r="L57" i="8" s="1"/>
  <c r="K58" i="8"/>
  <c r="L58" i="8" s="1"/>
  <c r="K59" i="8"/>
  <c r="L59" i="8" s="1"/>
  <c r="K60" i="8"/>
  <c r="L60" i="8" s="1"/>
  <c r="K61" i="8"/>
  <c r="L61" i="8" s="1"/>
  <c r="K62" i="8"/>
  <c r="L62" i="8" s="1"/>
  <c r="K63" i="8"/>
  <c r="L63" i="8" s="1"/>
  <c r="K64" i="8"/>
  <c r="L64" i="8" s="1"/>
  <c r="K65" i="8"/>
  <c r="L65" i="8" s="1"/>
  <c r="K66" i="8"/>
  <c r="L66" i="8" s="1"/>
  <c r="K67" i="8"/>
  <c r="L67" i="8" s="1"/>
  <c r="K68" i="8"/>
  <c r="L68" i="8" s="1"/>
  <c r="K69" i="8"/>
  <c r="L69" i="8" s="1"/>
  <c r="K70" i="8"/>
  <c r="L70" i="8" s="1"/>
  <c r="K71" i="8"/>
  <c r="L71" i="8" s="1"/>
  <c r="K72" i="8"/>
  <c r="L72" i="8" s="1"/>
  <c r="K73" i="8"/>
  <c r="L73" i="8" s="1"/>
  <c r="K74" i="8"/>
  <c r="L74" i="8" s="1"/>
  <c r="K75" i="8"/>
  <c r="L75" i="8" s="1"/>
  <c r="K76" i="8"/>
  <c r="L76" i="8" s="1"/>
  <c r="K77" i="8"/>
  <c r="L77" i="8" s="1"/>
  <c r="K78" i="8"/>
  <c r="L78" i="8" s="1"/>
  <c r="K79" i="8"/>
  <c r="L79" i="8" s="1"/>
  <c r="K80" i="8"/>
  <c r="L80" i="8" s="1"/>
  <c r="K81" i="8"/>
  <c r="L81" i="8" s="1"/>
  <c r="K82" i="8"/>
  <c r="L82" i="8" s="1"/>
  <c r="K83" i="8"/>
  <c r="L83" i="8" s="1"/>
  <c r="K84" i="8"/>
  <c r="L84" i="8" s="1"/>
  <c r="K85" i="8"/>
  <c r="L85" i="8" s="1"/>
  <c r="K86" i="8"/>
  <c r="L86" i="8" s="1"/>
  <c r="K87" i="8"/>
  <c r="L87" i="8" s="1"/>
  <c r="K88" i="8"/>
  <c r="L88" i="8" s="1"/>
  <c r="K89" i="8"/>
  <c r="L89" i="8" s="1"/>
  <c r="K90" i="8"/>
  <c r="L90" i="8" s="1"/>
  <c r="K91" i="8"/>
  <c r="L91" i="8" s="1"/>
  <c r="K92" i="8"/>
  <c r="L92" i="8" s="1"/>
  <c r="K93" i="8"/>
  <c r="L93" i="8" s="1"/>
  <c r="K94" i="8"/>
  <c r="L94" i="8" s="1"/>
  <c r="K95" i="8"/>
  <c r="L95" i="8" s="1"/>
  <c r="K96" i="8"/>
  <c r="L96" i="8" s="1"/>
  <c r="K97" i="8"/>
  <c r="L97" i="8" s="1"/>
  <c r="K98" i="8"/>
  <c r="L98" i="8" s="1"/>
  <c r="K99" i="8"/>
  <c r="L99" i="8" s="1"/>
  <c r="K100" i="8"/>
  <c r="L100" i="8" s="1"/>
  <c r="K101" i="8"/>
  <c r="L101" i="8" s="1"/>
  <c r="K102" i="8"/>
  <c r="L102" i="8" s="1"/>
  <c r="K103" i="8"/>
  <c r="L103" i="8" s="1"/>
  <c r="K104" i="8"/>
  <c r="L104" i="8" s="1"/>
  <c r="K105" i="8"/>
  <c r="L105" i="8" s="1"/>
  <c r="K106" i="8"/>
  <c r="L106" i="8" s="1"/>
  <c r="K107" i="8"/>
  <c r="L107" i="8" s="1"/>
  <c r="K108" i="8"/>
  <c r="L108" i="8" s="1"/>
  <c r="K109" i="8"/>
  <c r="L109" i="8" s="1"/>
  <c r="K110" i="8"/>
  <c r="L110" i="8" s="1"/>
  <c r="K111" i="8"/>
  <c r="L111" i="8" s="1"/>
  <c r="K112" i="8"/>
  <c r="L112" i="8" s="1"/>
  <c r="K113" i="8"/>
  <c r="L113" i="8" s="1"/>
  <c r="K114" i="8"/>
  <c r="L114" i="8" s="1"/>
  <c r="K115" i="8"/>
  <c r="L115" i="8" s="1"/>
  <c r="K116" i="8"/>
  <c r="L116" i="8" s="1"/>
  <c r="K117" i="8"/>
  <c r="L117" i="8" s="1"/>
  <c r="K118" i="8"/>
  <c r="L118" i="8" s="1"/>
  <c r="K119" i="8"/>
  <c r="L119" i="8" s="1"/>
  <c r="K120" i="8"/>
  <c r="L120" i="8" s="1"/>
  <c r="K121" i="8"/>
  <c r="L121" i="8" s="1"/>
  <c r="K122" i="8"/>
  <c r="L122" i="8" s="1"/>
  <c r="K123" i="8"/>
  <c r="L123" i="8" s="1"/>
  <c r="K124" i="8"/>
  <c r="L124" i="8" s="1"/>
  <c r="K125" i="8"/>
  <c r="L125" i="8" s="1"/>
  <c r="K126" i="8"/>
  <c r="L126" i="8" s="1"/>
  <c r="K127" i="8"/>
  <c r="L127" i="8" s="1"/>
  <c r="K128" i="8"/>
  <c r="L128" i="8" s="1"/>
  <c r="K129" i="8"/>
  <c r="L129" i="8" s="1"/>
  <c r="K130" i="8"/>
  <c r="L130" i="8" s="1"/>
  <c r="K131" i="8"/>
  <c r="L131" i="8" s="1"/>
  <c r="K132" i="8"/>
  <c r="L132" i="8" s="1"/>
  <c r="K133" i="8"/>
  <c r="L133" i="8" s="1"/>
  <c r="K134" i="8"/>
  <c r="L134" i="8" s="1"/>
  <c r="K135" i="8"/>
  <c r="L135" i="8" s="1"/>
  <c r="K136" i="8"/>
  <c r="L136" i="8" s="1"/>
  <c r="K137" i="8"/>
  <c r="L137" i="8" s="1"/>
  <c r="K138" i="8"/>
  <c r="L138" i="8" s="1"/>
  <c r="K139" i="8"/>
  <c r="L139" i="8" s="1"/>
  <c r="K140" i="8"/>
  <c r="L140" i="8" s="1"/>
  <c r="K141" i="8"/>
  <c r="L141" i="8" s="1"/>
  <c r="K142" i="8"/>
  <c r="L142" i="8" s="1"/>
  <c r="K143" i="8"/>
  <c r="L143" i="8" s="1"/>
  <c r="K144" i="8"/>
  <c r="L144" i="8" s="1"/>
  <c r="K145" i="8"/>
  <c r="L145" i="8" s="1"/>
  <c r="K146" i="8"/>
  <c r="L146" i="8" s="1"/>
  <c r="K147" i="8"/>
  <c r="L147" i="8" s="1"/>
  <c r="K148" i="8"/>
  <c r="L148" i="8" s="1"/>
  <c r="K149" i="8"/>
  <c r="L149" i="8" s="1"/>
  <c r="K150" i="8"/>
  <c r="L150" i="8" s="1"/>
  <c r="K151" i="8"/>
  <c r="L151" i="8" s="1"/>
  <c r="K152" i="8"/>
  <c r="L152" i="8" s="1"/>
  <c r="K153" i="8"/>
  <c r="L153" i="8" s="1"/>
  <c r="K154" i="8"/>
  <c r="L154" i="8" s="1"/>
  <c r="K155" i="8"/>
  <c r="L155" i="8" s="1"/>
  <c r="K156" i="8"/>
  <c r="L156" i="8" s="1"/>
  <c r="K157" i="8"/>
  <c r="L157" i="8" s="1"/>
  <c r="K158" i="8"/>
  <c r="L158" i="8" s="1"/>
  <c r="K159" i="8"/>
  <c r="L159" i="8" s="1"/>
  <c r="K160" i="8"/>
  <c r="L160" i="8" s="1"/>
  <c r="K161" i="8"/>
  <c r="L161" i="8" s="1"/>
  <c r="K162" i="8"/>
  <c r="L162" i="8" s="1"/>
  <c r="K163" i="8"/>
  <c r="L163" i="8" s="1"/>
  <c r="K164" i="8"/>
  <c r="L164" i="8" s="1"/>
  <c r="K165" i="8"/>
  <c r="L165" i="8" s="1"/>
  <c r="K166" i="8"/>
  <c r="L166" i="8" s="1"/>
  <c r="K167" i="8"/>
  <c r="L167" i="8" s="1"/>
  <c r="K168" i="8"/>
  <c r="L168" i="8" s="1"/>
  <c r="K169" i="8"/>
  <c r="L169" i="8" s="1"/>
  <c r="K170" i="8"/>
  <c r="L170" i="8" s="1"/>
  <c r="K171" i="8"/>
  <c r="L171" i="8" s="1"/>
  <c r="K172" i="8"/>
  <c r="L172" i="8" s="1"/>
  <c r="K173" i="8"/>
  <c r="L173" i="8" s="1"/>
  <c r="K174" i="8"/>
  <c r="L174" i="8" s="1"/>
  <c r="K175" i="8"/>
  <c r="L175" i="8" s="1"/>
  <c r="K176" i="8"/>
  <c r="L176" i="8" s="1"/>
  <c r="K177" i="8"/>
  <c r="L177" i="8" s="1"/>
  <c r="K178" i="8"/>
  <c r="L178" i="8" s="1"/>
  <c r="K179" i="8"/>
  <c r="L179" i="8" s="1"/>
  <c r="K180" i="8"/>
  <c r="L180" i="8" s="1"/>
  <c r="K181" i="8"/>
  <c r="L181" i="8" s="1"/>
  <c r="K182" i="8"/>
  <c r="L182" i="8" s="1"/>
  <c r="K183" i="8"/>
  <c r="L183" i="8" s="1"/>
  <c r="K184" i="8"/>
  <c r="L184" i="8" s="1"/>
  <c r="K185" i="8"/>
  <c r="L185" i="8" s="1"/>
  <c r="K186" i="8"/>
  <c r="L186" i="8" s="1"/>
  <c r="K187" i="8"/>
  <c r="L187" i="8" s="1"/>
  <c r="K188" i="8"/>
  <c r="L188" i="8" s="1"/>
  <c r="K189" i="8"/>
  <c r="L189" i="8" s="1"/>
  <c r="K190" i="8"/>
  <c r="L190" i="8" s="1"/>
  <c r="K191" i="8"/>
  <c r="L191" i="8" s="1"/>
  <c r="K192" i="8"/>
  <c r="L192" i="8" s="1"/>
  <c r="K193" i="8"/>
  <c r="L193" i="8" s="1"/>
  <c r="K194" i="8"/>
  <c r="L194" i="8" s="1"/>
  <c r="K195" i="8"/>
  <c r="L195" i="8" s="1"/>
  <c r="K196" i="8"/>
  <c r="L196" i="8" s="1"/>
  <c r="K197" i="8"/>
  <c r="L197" i="8" s="1"/>
  <c r="K198" i="8"/>
  <c r="L198" i="8" s="1"/>
  <c r="K199" i="8"/>
  <c r="L199" i="8" s="1"/>
  <c r="K200" i="8"/>
  <c r="L200" i="8" s="1"/>
  <c r="K201" i="8"/>
  <c r="L201" i="8" s="1"/>
  <c r="K202" i="8"/>
  <c r="L202" i="8" s="1"/>
  <c r="K203" i="8"/>
  <c r="L203" i="8" s="1"/>
  <c r="K204" i="8"/>
  <c r="L204" i="8" s="1"/>
  <c r="K205" i="8"/>
  <c r="L205" i="8" s="1"/>
  <c r="K206" i="8"/>
  <c r="L206" i="8" s="1"/>
  <c r="K207" i="8"/>
  <c r="L207" i="8" s="1"/>
  <c r="K208" i="8"/>
  <c r="L208" i="8" s="1"/>
  <c r="K209" i="8"/>
  <c r="L209" i="8" s="1"/>
  <c r="K210" i="8"/>
  <c r="L210" i="8" s="1"/>
  <c r="K211" i="8"/>
  <c r="L211" i="8" s="1"/>
  <c r="K212" i="8"/>
  <c r="L212" i="8" s="1"/>
  <c r="K213" i="8"/>
  <c r="L213" i="8" s="1"/>
  <c r="K214" i="8"/>
  <c r="L214" i="8" s="1"/>
  <c r="K215" i="8"/>
  <c r="L215" i="8" s="1"/>
  <c r="K216" i="8"/>
  <c r="L216" i="8" s="1"/>
  <c r="K217" i="8"/>
  <c r="L217" i="8" s="1"/>
  <c r="K218" i="8"/>
  <c r="L218" i="8" s="1"/>
  <c r="K219" i="8"/>
  <c r="L219" i="8" s="1"/>
  <c r="K220" i="8"/>
  <c r="L220" i="8" s="1"/>
  <c r="K221" i="8"/>
  <c r="L221" i="8" s="1"/>
  <c r="K222" i="8"/>
  <c r="L222" i="8" s="1"/>
  <c r="K223" i="8"/>
  <c r="L223" i="8" s="1"/>
  <c r="K224" i="8"/>
  <c r="L224" i="8" s="1"/>
  <c r="K225" i="8"/>
  <c r="L225" i="8" s="1"/>
  <c r="K226" i="8"/>
  <c r="L226" i="8" s="1"/>
  <c r="K227" i="8"/>
  <c r="L227" i="8" s="1"/>
  <c r="K228" i="8"/>
  <c r="L228" i="8" s="1"/>
  <c r="K229" i="8"/>
  <c r="L229" i="8" s="1"/>
  <c r="K230" i="8"/>
  <c r="L230" i="8" s="1"/>
  <c r="K231" i="8"/>
  <c r="L231" i="8" s="1"/>
  <c r="K232" i="8"/>
  <c r="L232" i="8" s="1"/>
  <c r="K233" i="8"/>
  <c r="L233" i="8" s="1"/>
  <c r="K234" i="8"/>
  <c r="L234" i="8" s="1"/>
  <c r="K235" i="8"/>
  <c r="L235" i="8" s="1"/>
  <c r="K236" i="8"/>
  <c r="L236" i="8" s="1"/>
  <c r="K237" i="8"/>
  <c r="L237" i="8" s="1"/>
  <c r="K238" i="8"/>
  <c r="L238" i="8" s="1"/>
  <c r="K239" i="8"/>
  <c r="L239" i="8" s="1"/>
  <c r="K240" i="8"/>
  <c r="L240" i="8" s="1"/>
  <c r="K241" i="8"/>
  <c r="L241" i="8" s="1"/>
  <c r="K242" i="8"/>
  <c r="L242" i="8" s="1"/>
  <c r="K243" i="8"/>
  <c r="L243" i="8" s="1"/>
  <c r="K244" i="8"/>
  <c r="L244" i="8" s="1"/>
  <c r="K245" i="8"/>
  <c r="L245" i="8" s="1"/>
  <c r="K246" i="8"/>
  <c r="L246" i="8" s="1"/>
  <c r="K247" i="8"/>
  <c r="L247" i="8" s="1"/>
  <c r="K248" i="8"/>
  <c r="L248" i="8" s="1"/>
  <c r="K249" i="8"/>
  <c r="L249" i="8" s="1"/>
  <c r="K250" i="8"/>
  <c r="L250" i="8" s="1"/>
  <c r="K251" i="8"/>
  <c r="L251" i="8" s="1"/>
  <c r="K252" i="8"/>
  <c r="L252" i="8" s="1"/>
  <c r="K253" i="8"/>
  <c r="L253" i="8" s="1"/>
  <c r="K254" i="8"/>
  <c r="L254" i="8" s="1"/>
  <c r="K255" i="8"/>
  <c r="L255" i="8" s="1"/>
  <c r="K256" i="8"/>
  <c r="L256" i="8" s="1"/>
  <c r="K257" i="8"/>
  <c r="L257" i="8" s="1"/>
  <c r="K258" i="8"/>
  <c r="L258" i="8" s="1"/>
  <c r="K259" i="8"/>
  <c r="L259" i="8" s="1"/>
  <c r="K260" i="8"/>
  <c r="L260" i="8" s="1"/>
  <c r="K261" i="8"/>
  <c r="L261" i="8" s="1"/>
  <c r="K262" i="8"/>
  <c r="L262" i="8" s="1"/>
  <c r="K263" i="8"/>
  <c r="L263" i="8" s="1"/>
  <c r="K264" i="8"/>
  <c r="L264" i="8" s="1"/>
  <c r="K265" i="8"/>
  <c r="L265" i="8" s="1"/>
  <c r="K266" i="8"/>
  <c r="L266" i="8" s="1"/>
  <c r="K267" i="8"/>
  <c r="L267" i="8" s="1"/>
  <c r="K268" i="8"/>
  <c r="L268" i="8" s="1"/>
  <c r="K269" i="8"/>
  <c r="L269" i="8" s="1"/>
  <c r="K270" i="8"/>
  <c r="L270" i="8" s="1"/>
  <c r="K271" i="8"/>
  <c r="L271" i="8" s="1"/>
  <c r="K272" i="8"/>
  <c r="L272" i="8" s="1"/>
  <c r="K273" i="8"/>
  <c r="L273" i="8" s="1"/>
  <c r="K274" i="8"/>
  <c r="L274" i="8" s="1"/>
  <c r="K275" i="8"/>
  <c r="L275" i="8" s="1"/>
  <c r="K276" i="8"/>
  <c r="L276" i="8" s="1"/>
  <c r="K277" i="8"/>
  <c r="L277" i="8" s="1"/>
  <c r="K278" i="8"/>
  <c r="L278" i="8" s="1"/>
  <c r="K279" i="8"/>
  <c r="L279" i="8" s="1"/>
  <c r="K280" i="8"/>
  <c r="L280" i="8" s="1"/>
  <c r="K281" i="8"/>
  <c r="L281" i="8" s="1"/>
  <c r="K282" i="8"/>
  <c r="L282" i="8" s="1"/>
  <c r="K283" i="8"/>
  <c r="L283" i="8" s="1"/>
  <c r="K284" i="8"/>
  <c r="L284" i="8" s="1"/>
  <c r="K285" i="8"/>
  <c r="L285" i="8" s="1"/>
  <c r="K286" i="8"/>
  <c r="L286" i="8" s="1"/>
  <c r="K287" i="8"/>
  <c r="L287" i="8" s="1"/>
  <c r="K288" i="8"/>
  <c r="L288" i="8" s="1"/>
  <c r="K289" i="8"/>
  <c r="L289" i="8" s="1"/>
  <c r="K290" i="8"/>
  <c r="L290" i="8" s="1"/>
  <c r="K291" i="8"/>
  <c r="L291" i="8" s="1"/>
  <c r="K292" i="8"/>
  <c r="L292" i="8" s="1"/>
  <c r="K293" i="8"/>
  <c r="L293" i="8" s="1"/>
  <c r="K294" i="8"/>
  <c r="L294" i="8" s="1"/>
  <c r="K295" i="8"/>
  <c r="L295" i="8" s="1"/>
  <c r="K296" i="8"/>
  <c r="L296" i="8" s="1"/>
  <c r="K297" i="8"/>
  <c r="L297" i="8" s="1"/>
  <c r="K298" i="8"/>
  <c r="L298" i="8" s="1"/>
  <c r="K299" i="8"/>
  <c r="L299" i="8" s="1"/>
  <c r="K300" i="8"/>
  <c r="L300" i="8" s="1"/>
  <c r="K301" i="8"/>
  <c r="L301" i="8" s="1"/>
  <c r="K302" i="8"/>
  <c r="L302" i="8" s="1"/>
  <c r="K303" i="8"/>
  <c r="L303" i="8" s="1"/>
  <c r="H4" i="8"/>
  <c r="I4" i="8" s="1"/>
  <c r="J4" i="8" s="1" a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C16" i="9"/>
  <c r="B16" i="9"/>
  <c r="D16" i="9" s="1"/>
  <c r="C15" i="9"/>
  <c r="B15" i="9"/>
  <c r="D15" i="9" s="1"/>
  <c r="C14" i="9"/>
  <c r="B14" i="9"/>
  <c r="D14" i="9" s="1"/>
  <c r="C13" i="9"/>
  <c r="B13" i="9"/>
  <c r="D13" i="9" s="1"/>
  <c r="C12" i="9"/>
  <c r="B12" i="9"/>
  <c r="D12" i="9" s="1"/>
  <c r="C9" i="9"/>
  <c r="B9" i="9"/>
  <c r="D9" i="9" s="1"/>
  <c r="C8" i="9"/>
  <c r="C10" i="9" s="1"/>
  <c r="C11" i="9" s="1"/>
  <c r="B8" i="9"/>
  <c r="C7" i="9"/>
  <c r="B7" i="9"/>
  <c r="D7" i="9" s="1"/>
  <c r="C6" i="9"/>
  <c r="B6" i="9"/>
  <c r="D6" i="9" s="1"/>
  <c r="C5" i="9"/>
  <c r="B5" i="9"/>
  <c r="D5" i="9" s="1"/>
  <c r="G1" i="8"/>
  <c r="D8" i="9" l="1"/>
  <c r="B10" i="9"/>
  <c r="D10" i="9" l="1"/>
  <c r="B11" i="9"/>
  <c r="D11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D9D0A-98F9-4BC2-80E1-73C71BED54E7}" keepAlive="1" name="Consulta - Calendario" description="Conexión a la consulta 'Calendario' en el libro." type="5" refreshedVersion="8" background="1" saveData="1">
    <dbPr connection="Provider=Microsoft.Mashup.OleDb.1;Data Source=$Workbook$;Location=Calendario;Extended Properties=&quot;&quot;" command="SELECT * FROM [Calendario]"/>
  </connection>
  <connection id="2" xr16:uid="{CFFE4571-8226-48AA-8D97-350DAE4F87FC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3" xr16:uid="{7EAA5138-3F86-4CA7-BD3C-96A02464B45E}" keepAlive="1" name="Consulta - Clientes (2)" description="Conexión a la consulta 'Clientes (2)' en el libro." type="5" refreshedVersion="8" background="1" saveData="1">
    <dbPr connection="Provider=Microsoft.Mashup.OleDb.1;Data Source=$Workbook$;Location=&quot;Clientes (2)&quot;;Extended Properties=&quot;&quot;" command="SELECT * FROM [Clientes (2)]"/>
  </connection>
  <connection id="4" xr16:uid="{4045556D-10DB-4AF4-96EF-DA5F27FC112B}" keepAlive="1" name="Consulta - Compras" description="Conexión a la consulta 'Compras' en el libro." type="5" refreshedVersion="0" background="1">
    <dbPr connection="Provider=Microsoft.Mashup.OleDb.1;Data Source=$Workbook$;Location=Compras;Extended Properties=&quot;&quot;" command="SELECT * FROM [Compras]"/>
  </connection>
  <connection id="5" xr16:uid="{13287491-54E9-4820-B5B7-39FDD086D972}" keepAlive="1" name="Consulta - Compras_Full" description="Conexión a la consulta 'Compras_Full' en el libro." type="5" refreshedVersion="8" background="1" saveData="1">
    <dbPr connection="Provider=Microsoft.Mashup.OleDb.1;Data Source=$Workbook$;Location=Compras_Full;Extended Properties=&quot;&quot;" command="SELECT * FROM [Compras_Full]"/>
  </connection>
  <connection id="6" xr16:uid="{7344E1F0-0530-46BF-B732-2E796CFE6695}" keepAlive="1" name="Consulta - Movimientos" description="Conexión a la consulta 'Movimientos' en el libro." type="5" refreshedVersion="8" background="1" saveData="1">
    <dbPr connection="Provider=Microsoft.Mashup.OleDb.1;Data Source=$Workbook$;Location=Movimientos;Extended Properties=&quot;&quot;" command="SELECT * FROM [Movimientos]"/>
  </connection>
  <connection id="7" xr16:uid="{979C6F19-880B-45EB-901C-AD52E063DC6B}" keepAlive="1" name="Consulta - Personal" description="Conexión a la consulta 'Personal' en el libro." type="5" refreshedVersion="8" background="1" saveData="1">
    <dbPr connection="Provider=Microsoft.Mashup.OleDb.1;Data Source=$Workbook$;Location=Personal;Extended Properties=&quot;&quot;" command="SELECT * FROM [Persona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<sst xmlns="http://schemas.openxmlformats.org/spreadsheetml/2006/main" count="29556" uniqueCount="832">
  <si>
    <t>id</t>
  </si>
  <si>
    <t>role</t>
  </si>
  <si>
    <t>name</t>
  </si>
  <si>
    <t>user</t>
  </si>
  <si>
    <t>points</t>
  </si>
  <si>
    <t>active</t>
  </si>
  <si>
    <t>createdAt</t>
  </si>
  <si>
    <t>USER</t>
  </si>
  <si>
    <t>Raúl Ortiz Cruz</t>
  </si>
  <si>
    <t>750000000001</t>
  </si>
  <si>
    <t>Teresa Rodríguez Herrera</t>
  </si>
  <si>
    <t>750000000002</t>
  </si>
  <si>
    <t>Javier Zacatecas García</t>
  </si>
  <si>
    <t>750000000003</t>
  </si>
  <si>
    <t>Teresa Romero Cruz</t>
  </si>
  <si>
    <t>750000000004</t>
  </si>
  <si>
    <t>José Gómez Herrera</t>
  </si>
  <si>
    <t>750000000005</t>
  </si>
  <si>
    <t>Guadalupe Pérez Rodríguez</t>
  </si>
  <si>
    <t>750000000006</t>
  </si>
  <si>
    <t>Rosa Gutiérrez Martínez</t>
  </si>
  <si>
    <t>750000000007</t>
  </si>
  <si>
    <t>Laura Rodríguez Quiñones</t>
  </si>
  <si>
    <t>750000000008</t>
  </si>
  <si>
    <t>Patricia Santoyo Reyes</t>
  </si>
  <si>
    <t>750000000009</t>
  </si>
  <si>
    <t>Javier Ramos Rodríguez</t>
  </si>
  <si>
    <t>750000000010</t>
  </si>
  <si>
    <t>Laura Chávez Rangel</t>
  </si>
  <si>
    <t>750000000011</t>
  </si>
  <si>
    <t>Patricia Castillo Morales</t>
  </si>
  <si>
    <t>750000000012</t>
  </si>
  <si>
    <t>Carlos Gómez Ávila</t>
  </si>
  <si>
    <t>750000000013</t>
  </si>
  <si>
    <t>Laura Chávez Quiñones</t>
  </si>
  <si>
    <t>750000000014</t>
  </si>
  <si>
    <t>Luis Cruz Martínez</t>
  </si>
  <si>
    <t>750000000015</t>
  </si>
  <si>
    <t>Carlos Morales Santoyo</t>
  </si>
  <si>
    <t>750000000016</t>
  </si>
  <si>
    <t>Martha Moreno Rangel</t>
  </si>
  <si>
    <t>750000000017</t>
  </si>
  <si>
    <t>Gabriela Ávila Gutiérrez</t>
  </si>
  <si>
    <t>750000000018</t>
  </si>
  <si>
    <t>Isabel Moreno Vázquez</t>
  </si>
  <si>
    <t>750000000019</t>
  </si>
  <si>
    <t>Martha Rodríguez López</t>
  </si>
  <si>
    <t>750000000020</t>
  </si>
  <si>
    <t>Ricardo Herrera González</t>
  </si>
  <si>
    <t>750000000021</t>
  </si>
  <si>
    <t>Alicia Gutiérrez Quiñones</t>
  </si>
  <si>
    <t>750000000022</t>
  </si>
  <si>
    <t>Francisco Ávila Chávez</t>
  </si>
  <si>
    <t>750000000023</t>
  </si>
  <si>
    <t>Héctor Herrera Gómez</t>
  </si>
  <si>
    <t>750000000024</t>
  </si>
  <si>
    <t>Sergio Zacatecas Díaz</t>
  </si>
  <si>
    <t>750000000025</t>
  </si>
  <si>
    <t>Óscar Zacatecas Reyes</t>
  </si>
  <si>
    <t>750000000026</t>
  </si>
  <si>
    <t>Teresa Delgado Hernández</t>
  </si>
  <si>
    <t>750000000027</t>
  </si>
  <si>
    <t>Francisco Vázquez Mendoza</t>
  </si>
  <si>
    <t>750000000028</t>
  </si>
  <si>
    <t>Lucía Rodríguez Rodríguez</t>
  </si>
  <si>
    <t>750000000029</t>
  </si>
  <si>
    <t>Teresa Ramírez Ramírez</t>
  </si>
  <si>
    <t>750000000030</t>
  </si>
  <si>
    <t>Sergio Delgado Herrera</t>
  </si>
  <si>
    <t>750000000031</t>
  </si>
  <si>
    <t>Fernando Mendoza Moreno</t>
  </si>
  <si>
    <t>750000000032</t>
  </si>
  <si>
    <t>Verónica Delgado Medina</t>
  </si>
  <si>
    <t>750000000033</t>
  </si>
  <si>
    <t>Guadalupe García Quiñones</t>
  </si>
  <si>
    <t>750000000034</t>
  </si>
  <si>
    <t>Carlos López Cruz</t>
  </si>
  <si>
    <t>750000000035</t>
  </si>
  <si>
    <t>Guadalupe González Zacatecas</t>
  </si>
  <si>
    <t>750000000036</t>
  </si>
  <si>
    <t>Roberto Ávila Ramírez</t>
  </si>
  <si>
    <t>750000000037</t>
  </si>
  <si>
    <t>Silvia Ortiz Salazar</t>
  </si>
  <si>
    <t>750000000038</t>
  </si>
  <si>
    <t>Pedro Herrera Castillo</t>
  </si>
  <si>
    <t>750000000039</t>
  </si>
  <si>
    <t>Luis Pérez López</t>
  </si>
  <si>
    <t>750000000040</t>
  </si>
  <si>
    <t>Pedro Ortiz Reyes</t>
  </si>
  <si>
    <t>750000000041</t>
  </si>
  <si>
    <t>Carmen Díaz Chávez</t>
  </si>
  <si>
    <t>750000000042</t>
  </si>
  <si>
    <t>Carlos Medina Quiñones</t>
  </si>
  <si>
    <t>750000000043</t>
  </si>
  <si>
    <t>José Rodríguez Ortiz</t>
  </si>
  <si>
    <t>750000000044</t>
  </si>
  <si>
    <t>Roberto Moreno López</t>
  </si>
  <si>
    <t>750000000045</t>
  </si>
  <si>
    <t>Sergio Rangel Ramos</t>
  </si>
  <si>
    <t>750000000046</t>
  </si>
  <si>
    <t>Gabriela Villalobos Flores</t>
  </si>
  <si>
    <t>750000000047</t>
  </si>
  <si>
    <t>Isabel Ávila López</t>
  </si>
  <si>
    <t>750000000048</t>
  </si>
  <si>
    <t>Isabel Salazar Zacatecas</t>
  </si>
  <si>
    <t>750000000049</t>
  </si>
  <si>
    <t>Luis Zacatecas Rodríguez</t>
  </si>
  <si>
    <t>750000000050</t>
  </si>
  <si>
    <t>Carlos Ortiz Moreno</t>
  </si>
  <si>
    <t>750000000051</t>
  </si>
  <si>
    <t>Isabel Martínez Rodríguez</t>
  </si>
  <si>
    <t>750000000052</t>
  </si>
  <si>
    <t>Alicia Ruiz Gutiérrez</t>
  </si>
  <si>
    <t>750000000053</t>
  </si>
  <si>
    <t>Daniel Gutiérrez Moreno</t>
  </si>
  <si>
    <t>750000000054</t>
  </si>
  <si>
    <t>Leticia Ruiz González</t>
  </si>
  <si>
    <t>750000000055</t>
  </si>
  <si>
    <t>Pedro González Ávila</t>
  </si>
  <si>
    <t>750000000056</t>
  </si>
  <si>
    <t>Rosa González Ortiz</t>
  </si>
  <si>
    <t>750000000057</t>
  </si>
  <si>
    <t>Teresa Mendoza Delgado</t>
  </si>
  <si>
    <t>750000000058</t>
  </si>
  <si>
    <t>Óscar Pérez Ramírez</t>
  </si>
  <si>
    <t>750000000059</t>
  </si>
  <si>
    <t>Gabriela Flores Chávez</t>
  </si>
  <si>
    <t>750000000060</t>
  </si>
  <si>
    <t>Guadalupe Morales Gutiérrez</t>
  </si>
  <si>
    <t>750000000061</t>
  </si>
  <si>
    <t>Luis Rodríguez Herrera</t>
  </si>
  <si>
    <t>750000000062</t>
  </si>
  <si>
    <t>Guadalupe Ramírez Gutiérrez</t>
  </si>
  <si>
    <t>750000000063</t>
  </si>
  <si>
    <t>Carmen Quiñones Hernández</t>
  </si>
  <si>
    <t>750000000064</t>
  </si>
  <si>
    <t>Manuel Ávila Martínez</t>
  </si>
  <si>
    <t>750000000065</t>
  </si>
  <si>
    <t>Manuel Herrera Ramírez</t>
  </si>
  <si>
    <t>750000000066</t>
  </si>
  <si>
    <t>Miguel Castillo Morales</t>
  </si>
  <si>
    <t>750000000067</t>
  </si>
  <si>
    <t>Rosa Quiñones Romero</t>
  </si>
  <si>
    <t>750000000068</t>
  </si>
  <si>
    <t>Daniel Gómez Díaz</t>
  </si>
  <si>
    <t>750000000069</t>
  </si>
  <si>
    <t>Guadalupe Romero Ortiz</t>
  </si>
  <si>
    <t>750000000070</t>
  </si>
  <si>
    <t>Pedro Jiménez Martínez</t>
  </si>
  <si>
    <t>750000000071</t>
  </si>
  <si>
    <t>Leticia Castillo Mendoza</t>
  </si>
  <si>
    <t>750000000072</t>
  </si>
  <si>
    <t>Juan Reyes Moreno</t>
  </si>
  <si>
    <t>750000000073</t>
  </si>
  <si>
    <t>Raúl Castillo Zacatecas</t>
  </si>
  <si>
    <t>750000000074</t>
  </si>
  <si>
    <t>Juan Sánchez Gutiérrez</t>
  </si>
  <si>
    <t>750000000075</t>
  </si>
  <si>
    <t>750000000076</t>
  </si>
  <si>
    <t>Norma Zacatecas Sánchez</t>
  </si>
  <si>
    <t>750000000077</t>
  </si>
  <si>
    <t>Sergio Martínez Herrera</t>
  </si>
  <si>
    <t>750000000078</t>
  </si>
  <si>
    <t>Fernando Vázquez Herrera</t>
  </si>
  <si>
    <t>750000000079</t>
  </si>
  <si>
    <t>Guadalupe Ruiz Sánchez</t>
  </si>
  <si>
    <t>750000000080</t>
  </si>
  <si>
    <t>Óscar Romero Ruiz</t>
  </si>
  <si>
    <t>750000000081</t>
  </si>
  <si>
    <t>Antonio Reyes Romero</t>
  </si>
  <si>
    <t>750000000082</t>
  </si>
  <si>
    <t>Alejandro Santoyo Mendoza</t>
  </si>
  <si>
    <t>750000000083</t>
  </si>
  <si>
    <t>Héctor Morales Herrera</t>
  </si>
  <si>
    <t>750000000084</t>
  </si>
  <si>
    <t>María Rangel Medina</t>
  </si>
  <si>
    <t>750000000085</t>
  </si>
  <si>
    <t>Silvia Gómez Rodríguez</t>
  </si>
  <si>
    <t>750000000086</t>
  </si>
  <si>
    <t>Irma Aguilar Rodríguez</t>
  </si>
  <si>
    <t>750000000087</t>
  </si>
  <si>
    <t>Óscar Cruz Reyes</t>
  </si>
  <si>
    <t>750000000088</t>
  </si>
  <si>
    <t>Silvia González Rangel</t>
  </si>
  <si>
    <t>750000000089</t>
  </si>
  <si>
    <t>Fernando Jiménez Villalobos</t>
  </si>
  <si>
    <t>750000000090</t>
  </si>
  <si>
    <t>José Pérez Herrera</t>
  </si>
  <si>
    <t>750000000091</t>
  </si>
  <si>
    <t>Alicia Rangel López</t>
  </si>
  <si>
    <t>750000000092</t>
  </si>
  <si>
    <t>Antonio Rangel Delgado</t>
  </si>
  <si>
    <t>750000000093</t>
  </si>
  <si>
    <t>Verónica Zacatecas Herrera</t>
  </si>
  <si>
    <t>750000000094</t>
  </si>
  <si>
    <t>Ricardo Salazar Medina</t>
  </si>
  <si>
    <t>750000000095</t>
  </si>
  <si>
    <t>Raúl Delgado Villalobos</t>
  </si>
  <si>
    <t>750000000096</t>
  </si>
  <si>
    <t>Carlos Ramos Ortiz</t>
  </si>
  <si>
    <t>750000000097</t>
  </si>
  <si>
    <t>Teresa Rodríguez Ramírez</t>
  </si>
  <si>
    <t>750000000098</t>
  </si>
  <si>
    <t>Manuel Morales González</t>
  </si>
  <si>
    <t>750000000099</t>
  </si>
  <si>
    <t>Leticia Romero López</t>
  </si>
  <si>
    <t>750000000100</t>
  </si>
  <si>
    <t>Isabel García Santoyo</t>
  </si>
  <si>
    <t>750000000101</t>
  </si>
  <si>
    <t>Óscar Jiménez Romero</t>
  </si>
  <si>
    <t>750000000102</t>
  </si>
  <si>
    <t>Norma Cruz Villalobos</t>
  </si>
  <si>
    <t>750000000103</t>
  </si>
  <si>
    <t>Juan Jiménez Aguilar</t>
  </si>
  <si>
    <t>750000000104</t>
  </si>
  <si>
    <t>Ricardo Rangel Ramírez</t>
  </si>
  <si>
    <t>750000000105</t>
  </si>
  <si>
    <t>Ana Santoyo García</t>
  </si>
  <si>
    <t>750000000106</t>
  </si>
  <si>
    <t>Leticia Díaz López</t>
  </si>
  <si>
    <t>750000000107</t>
  </si>
  <si>
    <t>Leticia Ruiz Aguilar</t>
  </si>
  <si>
    <t>750000000108</t>
  </si>
  <si>
    <t>Elena Gutiérrez Rodríguez</t>
  </si>
  <si>
    <t>750000000109</t>
  </si>
  <si>
    <t>Luis Castillo Cruz</t>
  </si>
  <si>
    <t>750000000110</t>
  </si>
  <si>
    <t>Miguel García Ortiz</t>
  </si>
  <si>
    <t>750000000111</t>
  </si>
  <si>
    <t>Manuel Ortiz Ramírez</t>
  </si>
  <si>
    <t>750000000112</t>
  </si>
  <si>
    <t>Roberto Rangel Gutiérrez</t>
  </si>
  <si>
    <t>750000000113</t>
  </si>
  <si>
    <t>Norma Sánchez Gómez</t>
  </si>
  <si>
    <t>750000000114</t>
  </si>
  <si>
    <t>Juan Mendoza Santoyo</t>
  </si>
  <si>
    <t>750000000115</t>
  </si>
  <si>
    <t>Fernando González Ortiz</t>
  </si>
  <si>
    <t>750000000116</t>
  </si>
  <si>
    <t>Norma Sánchez Santoyo</t>
  </si>
  <si>
    <t>750000000117</t>
  </si>
  <si>
    <t>Carmen Vázquez González</t>
  </si>
  <si>
    <t>750000000118</t>
  </si>
  <si>
    <t>Elena Villalobos Pérez</t>
  </si>
  <si>
    <t>750000000119</t>
  </si>
  <si>
    <t>Leticia Flores Herrera</t>
  </si>
  <si>
    <t>750000000120</t>
  </si>
  <si>
    <t>Raúl Ávila Salazar</t>
  </si>
  <si>
    <t>750000000121</t>
  </si>
  <si>
    <t>Raúl Ruiz Ortiz</t>
  </si>
  <si>
    <t>750000000122</t>
  </si>
  <si>
    <t>Verónica Ortiz Rangel</t>
  </si>
  <si>
    <t>750000000123</t>
  </si>
  <si>
    <t>Guadalupe García Villalobos</t>
  </si>
  <si>
    <t>750000000124</t>
  </si>
  <si>
    <t>Roberto Castillo Gutiérrez</t>
  </si>
  <si>
    <t>750000000125</t>
  </si>
  <si>
    <t>Raúl Quiñones Hernández</t>
  </si>
  <si>
    <t>750000000126</t>
  </si>
  <si>
    <t>Daniel Romero Villalobos</t>
  </si>
  <si>
    <t>750000000127</t>
  </si>
  <si>
    <t>Silvia Villalobos Medina</t>
  </si>
  <si>
    <t>750000000128</t>
  </si>
  <si>
    <t>Javier Moreno Ortiz</t>
  </si>
  <si>
    <t>750000000129</t>
  </si>
  <si>
    <t>Silvia Quiñones Delgado</t>
  </si>
  <si>
    <t>750000000130</t>
  </si>
  <si>
    <t>Guadalupe Castillo Rangel</t>
  </si>
  <si>
    <t>750000000131</t>
  </si>
  <si>
    <t>Francisco Reyes Ruiz</t>
  </si>
  <si>
    <t>750000000132</t>
  </si>
  <si>
    <t>Alejandro Reyes Morales</t>
  </si>
  <si>
    <t>750000000133</t>
  </si>
  <si>
    <t>Isabel Delgado Ramos</t>
  </si>
  <si>
    <t>750000000134</t>
  </si>
  <si>
    <t>Javier Vázquez Díaz</t>
  </si>
  <si>
    <t>750000000135</t>
  </si>
  <si>
    <t>Antonio Chávez Martínez</t>
  </si>
  <si>
    <t>750000000136</t>
  </si>
  <si>
    <t>Antonio Villalobos Pérez</t>
  </si>
  <si>
    <t>750000000137</t>
  </si>
  <si>
    <t>Silvia Salazar Medina</t>
  </si>
  <si>
    <t>750000000138</t>
  </si>
  <si>
    <t>Silvia Sánchez González</t>
  </si>
  <si>
    <t>750000000139</t>
  </si>
  <si>
    <t>Luis Flores Flores</t>
  </si>
  <si>
    <t>750000000140</t>
  </si>
  <si>
    <t>Daniel Sánchez Quiñones</t>
  </si>
  <si>
    <t>750000000141</t>
  </si>
  <si>
    <t>Irma Cruz Delgado</t>
  </si>
  <si>
    <t>750000000142</t>
  </si>
  <si>
    <t>Isabel Herrera Mendoza</t>
  </si>
  <si>
    <t>750000000143</t>
  </si>
  <si>
    <t>Pedro Morales Morales</t>
  </si>
  <si>
    <t>750000000144</t>
  </si>
  <si>
    <t>Daniel Díaz Quiñones</t>
  </si>
  <si>
    <t>750000000145</t>
  </si>
  <si>
    <t>Verónica Salazar Ramos</t>
  </si>
  <si>
    <t>750000000146</t>
  </si>
  <si>
    <t>Héctor Rangel González</t>
  </si>
  <si>
    <t>750000000147</t>
  </si>
  <si>
    <t>Isabel Reyes Herrera</t>
  </si>
  <si>
    <t>750000000148</t>
  </si>
  <si>
    <t>Manuel Chávez Flores</t>
  </si>
  <si>
    <t>750000000149</t>
  </si>
  <si>
    <t>Óscar Santoyo Ramos</t>
  </si>
  <si>
    <t>750000000150</t>
  </si>
  <si>
    <t>Óscar Moreno Chávez</t>
  </si>
  <si>
    <t>750000000151</t>
  </si>
  <si>
    <t>Jorge Martínez Herrera</t>
  </si>
  <si>
    <t>750000000152</t>
  </si>
  <si>
    <t>Juan Rodríguez Cruz</t>
  </si>
  <si>
    <t>750000000153</t>
  </si>
  <si>
    <t>Juan Chávez Santoyo</t>
  </si>
  <si>
    <t>750000000154</t>
  </si>
  <si>
    <t>Silvia Delgado Medina</t>
  </si>
  <si>
    <t>750000000155</t>
  </si>
  <si>
    <t>Carmen Villalobos Rodríguez</t>
  </si>
  <si>
    <t>750000000156</t>
  </si>
  <si>
    <t>María Pérez Gómez</t>
  </si>
  <si>
    <t>750000000157</t>
  </si>
  <si>
    <t>Héctor Moreno Quiñones</t>
  </si>
  <si>
    <t>750000000158</t>
  </si>
  <si>
    <t>Sergio Ruiz Sánchez</t>
  </si>
  <si>
    <t>750000000159</t>
  </si>
  <si>
    <t>Claudia Hernández Ávila</t>
  </si>
  <si>
    <t>750000000160</t>
  </si>
  <si>
    <t>Alicia Vázquez Villalobos</t>
  </si>
  <si>
    <t>750000000161</t>
  </si>
  <si>
    <t>Roberto Chávez Quiñones</t>
  </si>
  <si>
    <t>750000000162</t>
  </si>
  <si>
    <t>Martha Sánchez García</t>
  </si>
  <si>
    <t>750000000163</t>
  </si>
  <si>
    <t>Daniel Gómez Mendoza</t>
  </si>
  <si>
    <t>750000000164</t>
  </si>
  <si>
    <t>Jorge Cruz Sánchez</t>
  </si>
  <si>
    <t>750000000165</t>
  </si>
  <si>
    <t>Manuel Villalobos Ramos</t>
  </si>
  <si>
    <t>750000000166</t>
  </si>
  <si>
    <t>Silvia Salazar Ortiz</t>
  </si>
  <si>
    <t>750000000167</t>
  </si>
  <si>
    <t>Fernando Zacatecas Ramírez</t>
  </si>
  <si>
    <t>750000000168</t>
  </si>
  <si>
    <t>Elena Aguilar Zacatecas</t>
  </si>
  <si>
    <t>750000000169</t>
  </si>
  <si>
    <t>Óscar Villalobos Flores</t>
  </si>
  <si>
    <t>750000000170</t>
  </si>
  <si>
    <t>Guadalupe Quiñones Ávila</t>
  </si>
  <si>
    <t>750000000171</t>
  </si>
  <si>
    <t>Fernando Ortiz Santoyo</t>
  </si>
  <si>
    <t>750000000172</t>
  </si>
  <si>
    <t>Miguel Ruiz Salazar</t>
  </si>
  <si>
    <t>750000000173</t>
  </si>
  <si>
    <t>Laura Flores Villalobos</t>
  </si>
  <si>
    <t>750000000174</t>
  </si>
  <si>
    <t>Isabel Aguilar Pérez</t>
  </si>
  <si>
    <t>750000000175</t>
  </si>
  <si>
    <t>Alicia Rangel Hernández</t>
  </si>
  <si>
    <t>750000000176</t>
  </si>
  <si>
    <t>Manuel González Salazar</t>
  </si>
  <si>
    <t>750000000177</t>
  </si>
  <si>
    <t>Irma Moreno Rodríguez</t>
  </si>
  <si>
    <t>750000000178</t>
  </si>
  <si>
    <t>Teresa Jiménez Ruiz</t>
  </si>
  <si>
    <t>750000000179</t>
  </si>
  <si>
    <t>Teresa Martínez González</t>
  </si>
  <si>
    <t>750000000180</t>
  </si>
  <si>
    <t>Héctor Cruz Rodríguez</t>
  </si>
  <si>
    <t>750000000181</t>
  </si>
  <si>
    <t>Pedro Medina Gómez</t>
  </si>
  <si>
    <t>750000000182</t>
  </si>
  <si>
    <t>María López Ramos</t>
  </si>
  <si>
    <t>750000000183</t>
  </si>
  <si>
    <t>Daniel Delgado Romero</t>
  </si>
  <si>
    <t>750000000184</t>
  </si>
  <si>
    <t>Ricardo Díaz Rodríguez</t>
  </si>
  <si>
    <t>750000000185</t>
  </si>
  <si>
    <t>Daniel Villalobos Flores</t>
  </si>
  <si>
    <t>750000000186</t>
  </si>
  <si>
    <t>Leticia Gutiérrez Hernández</t>
  </si>
  <si>
    <t>750000000187</t>
  </si>
  <si>
    <t>Héctor Ávila Gómez</t>
  </si>
  <si>
    <t>750000000188</t>
  </si>
  <si>
    <t>Óscar Herrera Gutiérrez</t>
  </si>
  <si>
    <t>750000000189</t>
  </si>
  <si>
    <t>Laura Salazar Pérez</t>
  </si>
  <si>
    <t>750000000190</t>
  </si>
  <si>
    <t>Lucía Ramos Ramos</t>
  </si>
  <si>
    <t>750000000191</t>
  </si>
  <si>
    <t>Raúl Hernández Santoyo</t>
  </si>
  <si>
    <t>750000000192</t>
  </si>
  <si>
    <t>Luis Villalobos Ramos</t>
  </si>
  <si>
    <t>750000000193</t>
  </si>
  <si>
    <t>Rosa Cruz Reyes</t>
  </si>
  <si>
    <t>750000000194</t>
  </si>
  <si>
    <t>Antonio Pérez Martínez</t>
  </si>
  <si>
    <t>750000000195</t>
  </si>
  <si>
    <t>Isabel Vázquez Ramírez</t>
  </si>
  <si>
    <t>750000000196</t>
  </si>
  <si>
    <t>Elena Díaz Reyes</t>
  </si>
  <si>
    <t>750000000197</t>
  </si>
  <si>
    <t>Patricia Delgado Zacatecas</t>
  </si>
  <si>
    <t>750000000198</t>
  </si>
  <si>
    <t>Silvia Ramos Aguilar</t>
  </si>
  <si>
    <t>750000000199</t>
  </si>
  <si>
    <t>Manuel Cruz Moreno</t>
  </si>
  <si>
    <t>750000000200</t>
  </si>
  <si>
    <t>Patricia Rodríguez Moreno</t>
  </si>
  <si>
    <t>750000000201</t>
  </si>
  <si>
    <t>Leticia Vázquez Gutiérrez</t>
  </si>
  <si>
    <t>750000000202</t>
  </si>
  <si>
    <t>Pedro Cruz Salazar</t>
  </si>
  <si>
    <t>750000000203</t>
  </si>
  <si>
    <t>Irma Cruz González</t>
  </si>
  <si>
    <t>750000000204</t>
  </si>
  <si>
    <t>Óscar Romero Sánchez</t>
  </si>
  <si>
    <t>750000000205</t>
  </si>
  <si>
    <t>Martha Sánchez Pérez</t>
  </si>
  <si>
    <t>750000000206</t>
  </si>
  <si>
    <t>Laura Rangel Vázquez</t>
  </si>
  <si>
    <t>750000000207</t>
  </si>
  <si>
    <t>Teresa Romero Flores</t>
  </si>
  <si>
    <t>750000000208</t>
  </si>
  <si>
    <t>Martha Romero Chávez</t>
  </si>
  <si>
    <t>750000000209</t>
  </si>
  <si>
    <t>Verónica Medina Ortiz</t>
  </si>
  <si>
    <t>750000000210</t>
  </si>
  <si>
    <t>Patricia Ávila Castillo</t>
  </si>
  <si>
    <t>750000000211</t>
  </si>
  <si>
    <t>Francisco Rangel Rodríguez</t>
  </si>
  <si>
    <t>750000000212</t>
  </si>
  <si>
    <t>Norma García López</t>
  </si>
  <si>
    <t>750000000213</t>
  </si>
  <si>
    <t>Lucía Morales González</t>
  </si>
  <si>
    <t>750000000214</t>
  </si>
  <si>
    <t>Isabel Morales Cruz</t>
  </si>
  <si>
    <t>750000000215</t>
  </si>
  <si>
    <t>Norma Hernández Chávez</t>
  </si>
  <si>
    <t>750000000216</t>
  </si>
  <si>
    <t>Teresa Gutiérrez Díaz</t>
  </si>
  <si>
    <t>750000000217</t>
  </si>
  <si>
    <t>José Castillo Ortiz</t>
  </si>
  <si>
    <t>750000000218</t>
  </si>
  <si>
    <t>Sergio López Ramírez</t>
  </si>
  <si>
    <t>750000000219</t>
  </si>
  <si>
    <t>Carlos Salazar Medina</t>
  </si>
  <si>
    <t>750000000220</t>
  </si>
  <si>
    <t>Pedro Medina Zacatecas</t>
  </si>
  <si>
    <t>750000000221</t>
  </si>
  <si>
    <t>Alicia Mendoza Rangel</t>
  </si>
  <si>
    <t>750000000222</t>
  </si>
  <si>
    <t>Silvia Moreno Herrera</t>
  </si>
  <si>
    <t>750000000223</t>
  </si>
  <si>
    <t>Verónica González Rodríguez</t>
  </si>
  <si>
    <t>750000000224</t>
  </si>
  <si>
    <t>Antonio Chávez Quiñones</t>
  </si>
  <si>
    <t>750000000225</t>
  </si>
  <si>
    <t>Alicia Ramos Rangel</t>
  </si>
  <si>
    <t>750000000226</t>
  </si>
  <si>
    <t>Francisco Quiñones Morales</t>
  </si>
  <si>
    <t>750000000227</t>
  </si>
  <si>
    <t>Guadalupe Rangel Moreno</t>
  </si>
  <si>
    <t>750000000228</t>
  </si>
  <si>
    <t>Carmen Ruiz Gutiérrez</t>
  </si>
  <si>
    <t>750000000229</t>
  </si>
  <si>
    <t>Silvia González Rodríguez</t>
  </si>
  <si>
    <t>750000000230</t>
  </si>
  <si>
    <t>Pedro Vázquez Ramírez</t>
  </si>
  <si>
    <t>750000000231</t>
  </si>
  <si>
    <t>Gabriela Aguilar Sánchez</t>
  </si>
  <si>
    <t>750000000232</t>
  </si>
  <si>
    <t>Carmen López Ramos</t>
  </si>
  <si>
    <t>750000000233</t>
  </si>
  <si>
    <t>Lucía Zacatecas Morales</t>
  </si>
  <si>
    <t>750000000234</t>
  </si>
  <si>
    <t>Pedro Castillo Quiñones</t>
  </si>
  <si>
    <t>750000000235</t>
  </si>
  <si>
    <t>Lucía Cruz Herrera</t>
  </si>
  <si>
    <t>750000000236</t>
  </si>
  <si>
    <t>Irma Quiñones García</t>
  </si>
  <si>
    <t>750000000237</t>
  </si>
  <si>
    <t>Raúl García Díaz</t>
  </si>
  <si>
    <t>750000000238</t>
  </si>
  <si>
    <t>Guadalupe Castillo Hernández</t>
  </si>
  <si>
    <t>750000000239</t>
  </si>
  <si>
    <t>Ana González Flores</t>
  </si>
  <si>
    <t>750000000240</t>
  </si>
  <si>
    <t>Alicia Morales Jiménez</t>
  </si>
  <si>
    <t>750000000241</t>
  </si>
  <si>
    <t>Patricia Mendoza Ruiz</t>
  </si>
  <si>
    <t>750000000242</t>
  </si>
  <si>
    <t>Jorge López Flores</t>
  </si>
  <si>
    <t>750000000243</t>
  </si>
  <si>
    <t>Jorge Chávez Medina</t>
  </si>
  <si>
    <t>750000000244</t>
  </si>
  <si>
    <t>Verónica Romero Chávez</t>
  </si>
  <si>
    <t>750000000245</t>
  </si>
  <si>
    <t>Rosa Herrera Sánchez</t>
  </si>
  <si>
    <t>750000000246</t>
  </si>
  <si>
    <t>Martha Delgado Mendoza</t>
  </si>
  <si>
    <t>750000000247</t>
  </si>
  <si>
    <t>Luis Hernández Morales</t>
  </si>
  <si>
    <t>750000000248</t>
  </si>
  <si>
    <t>Antonio Gutiérrez Ramos</t>
  </si>
  <si>
    <t>750000000249</t>
  </si>
  <si>
    <t>Carmen Díaz Ramírez</t>
  </si>
  <si>
    <t>750000000250</t>
  </si>
  <si>
    <t>Claudia Quiñones Castillo</t>
  </si>
  <si>
    <t>750000000251</t>
  </si>
  <si>
    <t>Carmen García Rangel</t>
  </si>
  <si>
    <t>750000000252</t>
  </si>
  <si>
    <t>Carmen Santoyo Moreno</t>
  </si>
  <si>
    <t>750000000253</t>
  </si>
  <si>
    <t>Francisco Moreno García</t>
  </si>
  <si>
    <t>750000000254</t>
  </si>
  <si>
    <t>Irma Rangel Vázquez</t>
  </si>
  <si>
    <t>750000000255</t>
  </si>
  <si>
    <t>Carmen Moreno Delgado</t>
  </si>
  <si>
    <t>750000000256</t>
  </si>
  <si>
    <t>Guadalupe Cruz Aguilar</t>
  </si>
  <si>
    <t>750000000257</t>
  </si>
  <si>
    <t>Francisco Delgado Zacatecas</t>
  </si>
  <si>
    <t>750000000258</t>
  </si>
  <si>
    <t>Rosa Flores Ortiz</t>
  </si>
  <si>
    <t>750000000259</t>
  </si>
  <si>
    <t>Alejandro Flores González</t>
  </si>
  <si>
    <t>750000000260</t>
  </si>
  <si>
    <t>Martha Rangel Santoyo</t>
  </si>
  <si>
    <t>750000000261</t>
  </si>
  <si>
    <t>Lucía Ruiz Ruiz</t>
  </si>
  <si>
    <t>750000000262</t>
  </si>
  <si>
    <t>Verónica Mendoza Chávez</t>
  </si>
  <si>
    <t>750000000263</t>
  </si>
  <si>
    <t>Carlos Mendoza Rangel</t>
  </si>
  <si>
    <t>750000000264</t>
  </si>
  <si>
    <t>Héctor González Rodríguez</t>
  </si>
  <si>
    <t>750000000265</t>
  </si>
  <si>
    <t>Leticia Quiñones Martínez</t>
  </si>
  <si>
    <t>750000000266</t>
  </si>
  <si>
    <t>Fernando Ruiz Salazar</t>
  </si>
  <si>
    <t>750000000267</t>
  </si>
  <si>
    <t>Pedro Aguilar Rodríguez</t>
  </si>
  <si>
    <t>750000000268</t>
  </si>
  <si>
    <t>Daniel Medina Medina</t>
  </si>
  <si>
    <t>750000000269</t>
  </si>
  <si>
    <t>Patricia Vázquez Ramos</t>
  </si>
  <si>
    <t>750000000270</t>
  </si>
  <si>
    <t>Norma López Aguilar</t>
  </si>
  <si>
    <t>750000000271</t>
  </si>
  <si>
    <t>Laura Ramos Gutiérrez</t>
  </si>
  <si>
    <t>750000000272</t>
  </si>
  <si>
    <t>Norma Flores Aguilar</t>
  </si>
  <si>
    <t>750000000273</t>
  </si>
  <si>
    <t>Rosa Mendoza Moreno</t>
  </si>
  <si>
    <t>750000000274</t>
  </si>
  <si>
    <t>Óscar Quiñones Jiménez</t>
  </si>
  <si>
    <t>750000000275</t>
  </si>
  <si>
    <t>Antonio Delgado Rodríguez</t>
  </si>
  <si>
    <t>750000000276</t>
  </si>
  <si>
    <t>Patricia García Vázquez</t>
  </si>
  <si>
    <t>750000000277</t>
  </si>
  <si>
    <t>Martha Reyes Cruz</t>
  </si>
  <si>
    <t>750000000278</t>
  </si>
  <si>
    <t>Héctor Pérez Zacatecas</t>
  </si>
  <si>
    <t>750000000279</t>
  </si>
  <si>
    <t>Alicia Martínez Aguilar</t>
  </si>
  <si>
    <t>750000000280</t>
  </si>
  <si>
    <t>Norma Jiménez Flores</t>
  </si>
  <si>
    <t>750000000281</t>
  </si>
  <si>
    <t>Irma Gómez Medina</t>
  </si>
  <si>
    <t>750000000282</t>
  </si>
  <si>
    <t>Daniel Medina Ramos</t>
  </si>
  <si>
    <t>750000000283</t>
  </si>
  <si>
    <t>Javier Ávila Ortiz</t>
  </si>
  <si>
    <t>750000000284</t>
  </si>
  <si>
    <t>Silvia Reyes Vázquez</t>
  </si>
  <si>
    <t>750000000285</t>
  </si>
  <si>
    <t>Leticia Ramos Jiménez</t>
  </si>
  <si>
    <t>750000000286</t>
  </si>
  <si>
    <t>Fernando Ramírez Gutiérrez</t>
  </si>
  <si>
    <t>750000000287</t>
  </si>
  <si>
    <t>Patricia Quiñones Pérez</t>
  </si>
  <si>
    <t>750000000288</t>
  </si>
  <si>
    <t>Francisco Ramos Rodríguez</t>
  </si>
  <si>
    <t>750000000289</t>
  </si>
  <si>
    <t>Claudia Flores Herrera</t>
  </si>
  <si>
    <t>750000000290</t>
  </si>
  <si>
    <t>Verónica Castillo García</t>
  </si>
  <si>
    <t>750000000291</t>
  </si>
  <si>
    <t>Patricia Ortiz Jiménez</t>
  </si>
  <si>
    <t>750000000292</t>
  </si>
  <si>
    <t>Juan Ruiz Pérez</t>
  </si>
  <si>
    <t>750000000293</t>
  </si>
  <si>
    <t>Manuel Ramírez Martínez</t>
  </si>
  <si>
    <t>750000000294</t>
  </si>
  <si>
    <t>Antonio Salazar Medina</t>
  </si>
  <si>
    <t>750000000295</t>
  </si>
  <si>
    <t>Sergio Morales Flores</t>
  </si>
  <si>
    <t>750000000296</t>
  </si>
  <si>
    <t>Alicia Herrera Sánchez</t>
  </si>
  <si>
    <t>750000000297</t>
  </si>
  <si>
    <t>Francisco López Ortiz</t>
  </si>
  <si>
    <t>750000000298</t>
  </si>
  <si>
    <t>Leticia González Sánchez</t>
  </si>
  <si>
    <t>750000000299</t>
  </si>
  <si>
    <t>Teresa García Zacatecas</t>
  </si>
  <si>
    <t>750000000300</t>
  </si>
  <si>
    <t>customer_id</t>
  </si>
  <si>
    <t>staff_id</t>
  </si>
  <si>
    <t>liters</t>
  </si>
  <si>
    <t>usedPoints</t>
  </si>
  <si>
    <t>rewardRate</t>
  </si>
  <si>
    <t>status</t>
  </si>
  <si>
    <t>canceled_by</t>
  </si>
  <si>
    <t>cancelReason</t>
  </si>
  <si>
    <t>canceledAt</t>
  </si>
  <si>
    <t>Fecha</t>
  </si>
  <si>
    <t>Mes</t>
  </si>
  <si>
    <t>TipoCompra</t>
  </si>
  <si>
    <t>Compra</t>
  </si>
  <si>
    <t>Cancelada</t>
  </si>
  <si>
    <t>LitrosActivos</t>
  </si>
  <si>
    <t>ACTIVE</t>
  </si>
  <si>
    <t/>
  </si>
  <si>
    <t>2025-10</t>
  </si>
  <si>
    <t>Normal</t>
  </si>
  <si>
    <t>CANCELED</t>
  </si>
  <si>
    <t>Error de captura</t>
  </si>
  <si>
    <t>Monto duplicado por error de sistema</t>
  </si>
  <si>
    <t>Canje</t>
  </si>
  <si>
    <t>2025-11</t>
  </si>
  <si>
    <t>Solicitud del cliente</t>
  </si>
  <si>
    <t>Cliente canceló la operación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</si>
  <si>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</si>
  <si>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</si>
  <si>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</si>
  <si>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</si>
  <si>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</si>
  <si>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</si>
  <si>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</si>
  <si>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</si>
  <si>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</si>
  <si>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</si>
  <si>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</si>
  <si>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purchase_id</t>
  </si>
  <si>
    <t>type</t>
  </si>
  <si>
    <t>reason</t>
  </si>
  <si>
    <t>PtsEmitidos</t>
  </si>
  <si>
    <t>PtsCanjeados</t>
  </si>
  <si>
    <t>ADJUSTMENT</t>
  </si>
  <si>
    <t>Compensación por falla en la bomba</t>
  </si>
  <si>
    <t>EARNED</t>
  </si>
  <si>
    <t>Corrección de saldo detectada en auditoría</t>
  </si>
  <si>
    <t>Ajuste por reclamo de cliente</t>
  </si>
  <si>
    <t>Reverso por cancelación de compra #48: Error de captura</t>
  </si>
  <si>
    <t>Reverso por cancelación de compra #49: Monto duplicado por error de sistema</t>
  </si>
  <si>
    <t>Promoción especial de aniversario</t>
  </si>
  <si>
    <t>REDEEMED</t>
  </si>
  <si>
    <t>Reverso por cancelación de compra #99: Solicitud del cliente</t>
  </si>
  <si>
    <t>Reverso por cancelación de compra #111: Error de captura</t>
  </si>
  <si>
    <t>Corrección por captura duplicada</t>
  </si>
  <si>
    <t>Reverso por cancelación de compra #166: Error de captura</t>
  </si>
  <si>
    <t>Reverso por cancelación de compra #171: Solicitud del cliente</t>
  </si>
  <si>
    <t>Reverso por cancelación de compra #205: Cliente canceló la operación</t>
  </si>
  <si>
    <t>Reverso por cancelación de compra #233: Solicitud del cliente</t>
  </si>
  <si>
    <t>Reverso por cancelación de compra #221: Cliente canceló la operación</t>
  </si>
  <si>
    <t>Reverso por cancelación de compra #303: Monto duplicado por error de sistema</t>
  </si>
  <si>
    <t>Reverso por cancelación de compra #300: Cliente canceló la operación</t>
  </si>
  <si>
    <t>Reverso por cancelación de compra #335: Error de captura</t>
  </si>
  <si>
    <t>Reverso por cancelación de compra #344: Solicitud del cliente</t>
  </si>
  <si>
    <t>Reverso por cancelación de compra #348: Solicitud del cliente</t>
  </si>
  <si>
    <t>Reverso por cancelación de compra #368: Monto duplicado por error de sistema</t>
  </si>
  <si>
    <t>Reverso por cancelación de compra #425: Cliente canceló la operación</t>
  </si>
  <si>
    <t>Reverso por cancelación de compra #435: Monto duplicado por error de sistema</t>
  </si>
  <si>
    <t>Reverso por cancelación de compra #488: Error de captura</t>
  </si>
  <si>
    <t>Reverso por cancelación de compra #504: Solicitud del cliente</t>
  </si>
  <si>
    <t>Reverso por cancelación de compra #509: Monto duplicado por error de sistema</t>
  </si>
  <si>
    <t>Reverso por cancelación de compra #603: Monto duplicado por error de sistema</t>
  </si>
  <si>
    <t>Reverso por cancelación de compra #632: Monto duplicado por error de sistema</t>
  </si>
  <si>
    <t>Reverso por cancelación de compra #723: Solicitud del cliente</t>
  </si>
  <si>
    <t>Reverso por cancelación de compra #767: Cliente canceló la operación</t>
  </si>
  <si>
    <t>Reverso por cancelación de compra #760: Cliente canceló la operación</t>
  </si>
  <si>
    <t>Reverso por cancelación de compra #768: Solicitud del cliente</t>
  </si>
  <si>
    <t>Reverso por cancelación de compra #776: Cliente canceló la operación</t>
  </si>
  <si>
    <t>Reverso por cancelación de compra #793: Cliente canceló la operación</t>
  </si>
  <si>
    <t>Reverso por cancelación de compra #794: Cliente canceló la operación</t>
  </si>
  <si>
    <t>Reverso por cancelación de compra #795: Error de captura</t>
  </si>
  <si>
    <t>Reverso por cancelación de compra #804: Monto duplicado por error de sistema</t>
  </si>
  <si>
    <t>Reverso por cancelación de compra #814: Cliente canceló la operación</t>
  </si>
  <si>
    <t>Reverso por cancelación de compra #817: Error de captura</t>
  </si>
  <si>
    <t>Reverso por cancelación de compra #825: Solicitud del cliente</t>
  </si>
  <si>
    <t>Reverso por cancelación de compra #838: Error de captura</t>
  </si>
  <si>
    <t>Reverso por cancelación de compra #834: Monto duplicado por error de sistema</t>
  </si>
  <si>
    <t>Reverso por cancelación de compra #846: Cliente canceló la operación</t>
  </si>
  <si>
    <t>Reverso por cancelación de compra #855: Monto duplicado por error de sistema</t>
  </si>
  <si>
    <t>Reverso por cancelación de compra #850: Solicitud del cliente</t>
  </si>
  <si>
    <t>Reverso por cancelación de compra #878: Monto duplicado por error de sistema</t>
  </si>
  <si>
    <t>Reverso por cancelación de compra #916: Monto duplicado por error de sistema</t>
  </si>
  <si>
    <t>Reverso por cancelación de compra #923: Error de captura</t>
  </si>
  <si>
    <t>Reverso por cancelación de compra #913: Monto duplicado por error de sistema</t>
  </si>
  <si>
    <t>Reverso por cancelación de compra #1045: Monto duplicado por error de sistema</t>
  </si>
  <si>
    <t>Reverso por cancelación de compra #1057: Solicitud del cliente</t>
  </si>
  <si>
    <t>Reverso por cancelación de compra #1074: Monto duplicado por error de sistema</t>
  </si>
  <si>
    <t>Reverso por cancelación de compra #1098: Error de captura</t>
  </si>
  <si>
    <t>Reverso por cancelación de compra #1140: Monto duplicado por error de sistema</t>
  </si>
  <si>
    <t>Reverso por cancelación de compra #1179: Solicitud del cliente</t>
  </si>
  <si>
    <t>Reverso por cancelación de compra #1187: Cliente canceló la operación</t>
  </si>
  <si>
    <t>Reverso por cancelación de compra #1181: Solicitud del cliente</t>
  </si>
  <si>
    <t>Reverso por cancelación de compra #1202: Cliente canceló la operación</t>
  </si>
  <si>
    <t>Reverso por cancelación de compra #1229: Solicitud del cliente</t>
  </si>
  <si>
    <t>Reverso por cancelación de compra #1248: Cliente canceló la operación</t>
  </si>
  <si>
    <t>Reverso por cancelación de compra #1275: Error de captura</t>
  </si>
  <si>
    <t>Reverso por cancelación de compra #1308: Cliente canceló la operación</t>
  </si>
  <si>
    <t>Reverso por cancelación de compra #1318: Cliente canceló la operación</t>
  </si>
  <si>
    <t>Reverso por cancelación de compra #1336: Solicitud del cliente</t>
  </si>
  <si>
    <t>Reverso por cancelación de compra #1366: Error de captura</t>
  </si>
  <si>
    <t>Reverso por cancelación de compra #1377: Error de captura</t>
  </si>
  <si>
    <t>Reverso por cancelación de compra #1387: Cliente canceló la operación</t>
  </si>
  <si>
    <t>Reverso por cancelación de compra #1433: Solicitud del cliente</t>
  </si>
  <si>
    <t>Reverso por cancelación de compra #1474: Cliente canceló la operación</t>
  </si>
  <si>
    <t>Reverso por cancelación de compra #1511: Cliente canceló la operación</t>
  </si>
  <si>
    <t>Reverso por cancelación de compra #1532: Monto duplicado por error de sistema</t>
  </si>
  <si>
    <t>Reverso por cancelación de compra #1542: Cliente canceló la operación</t>
  </si>
  <si>
    <t>Reverso por cancelación de compra #1555: Solicitud del cliente</t>
  </si>
  <si>
    <t>Reverso por cancelación de compra #1576: Solicitud del cliente</t>
  </si>
  <si>
    <t>Reverso por cancelación de compra #1628: Cliente canceló la operación</t>
  </si>
  <si>
    <t>Reverso por cancelación de compra #1766: Cliente canceló la operación</t>
  </si>
  <si>
    <t>Reverso por cancelación de compra #1789: Cliente canceló la operación</t>
  </si>
  <si>
    <t>Reverso por cancelación de compra #1819: Monto duplicado por error de sistema</t>
  </si>
  <si>
    <t>Reverso por cancelación de compra #1908: Solicitud del cliente</t>
  </si>
  <si>
    <t>Reverso por cancelación de compra #1909: Solicitud del cliente</t>
  </si>
  <si>
    <t>Reverso por cancelación de compra #1910: Error de captura</t>
  </si>
  <si>
    <t>Reverso por cancelación de compra #1931: Error de captura</t>
  </si>
  <si>
    <t>Reverso por cancelación de compra #1964: Monto duplicado por error de sistema</t>
  </si>
  <si>
    <t>Reverso por cancelación de compra #1974: Error de captura</t>
  </si>
  <si>
    <t>Reverso por cancelación de compra #2005: Monto duplicado por error de sistema</t>
  </si>
  <si>
    <t>Reverso por cancelación de compra #2018: Cliente canceló la operación</t>
  </si>
  <si>
    <t>Reverso por cancelación de compra #2046: Monto duplicado por error de sistema</t>
  </si>
  <si>
    <t>Reverso por cancelación de compra #2049: Error de captura</t>
  </si>
  <si>
    <t>Reverso por cancelación de compra #2076: Cliente canceló la operación</t>
  </si>
  <si>
    <t>Reverso por cancelación de compra #2114: Monto duplicado por error de sistema</t>
  </si>
  <si>
    <t>Reverso por cancelación de compra #2135: Monto duplicado por error de sistema</t>
  </si>
  <si>
    <t>Reverso por cancelación de compra #2142: Error de captura</t>
  </si>
  <si>
    <t>Reverso por cancelación de compra #2198: Solicitud del cliente</t>
  </si>
  <si>
    <t>Reverso por cancelación de compra #2195: Monto duplicado por error de sistema</t>
  </si>
  <si>
    <t>Reverso por cancelación de compra #2207: Solicitud del cliente</t>
  </si>
  <si>
    <t>Reverso por cancelación de compra #2261: Error de captura</t>
  </si>
  <si>
    <t>Reverso por cancelación de compra #2260: Cliente canceló la operación</t>
  </si>
  <si>
    <t>Reverso por cancelación de compra #2276: Solicitud del cliente</t>
  </si>
  <si>
    <t>Reverso por cancelación de compra #2289: Solicitud del cliente</t>
  </si>
  <si>
    <t>Reverso por cancelación de compra #2295: Monto duplicado por error de sistema</t>
  </si>
  <si>
    <t>Reverso por cancelación de compra #2297: Solicitud del cliente</t>
  </si>
  <si>
    <t>Reverso por cancelación de compra #2317: Cliente canceló la operación</t>
  </si>
  <si>
    <t>Reverso por cancelación de compra #2349: Solicitud del cliente</t>
  </si>
  <si>
    <t>Reverso por cancelación de compra #2410: Cliente canceló la operación</t>
  </si>
  <si>
    <t>Reverso por cancelación de compra #2414: Error de captura</t>
  </si>
  <si>
    <t>Reverso por cancelación de compra #2436: Monto duplicado por error de sistema</t>
  </si>
  <si>
    <t>Reverso por cancelación de compra #2445: Error de captura</t>
  </si>
  <si>
    <t>Reverso por cancelación de compra #2444: Monto duplicado por error de sistema</t>
  </si>
  <si>
    <t>Reverso por cancelación de compra #2480: Monto duplicado por error de sistema</t>
  </si>
  <si>
    <t>Reverso por cancelación de compra #2496: Error de captura</t>
  </si>
  <si>
    <t>Reverso por cancelación de compra #2541: Error de captura</t>
  </si>
  <si>
    <t>Reverso por cancelación de compra #2537: Solicitud del cliente</t>
  </si>
  <si>
    <t>Reverso por cancelación de compra #2563: Monto duplicado por error de sistema</t>
  </si>
  <si>
    <t>Reverso por cancelación de compra #2637: Cliente canceló la operación</t>
  </si>
  <si>
    <t>Reverso por cancelación de compra #2647: Solicitud del cliente</t>
  </si>
  <si>
    <t>Reverso por cancelación de compra #2669: Error de captura</t>
  </si>
  <si>
    <t>Reverso por cancelación de compra #2693: Solicitud del cliente</t>
  </si>
  <si>
    <t>Reverso por cancelación de compra #2719: Error de captura</t>
  </si>
  <si>
    <t>Reverso por cancelación de compra #2752: Monto duplicado por error de sistema</t>
  </si>
  <si>
    <t>Reverso por cancelación de compra #2763: Cliente canceló la operación</t>
  </si>
  <si>
    <t>Reverso por cancelación de compra #2770: Error de captura</t>
  </si>
  <si>
    <t>Reverso por cancelación de compra #2842: Monto duplicado por error de sistema</t>
  </si>
  <si>
    <t>Reverso por cancelación de compra #2924: Error de captura</t>
  </si>
  <si>
    <t>Reverso por cancelación de compra #2941: Monto duplicado por error de sistema</t>
  </si>
  <si>
    <t>Reverso por cancelación de compra #2999: Error de captura</t>
  </si>
  <si>
    <t>Luis Ortega</t>
  </si>
  <si>
    <t>María Salazar</t>
  </si>
  <si>
    <t>Jorge Rangel</t>
  </si>
  <si>
    <t>Ana Villalobos</t>
  </si>
  <si>
    <t>Cliente</t>
  </si>
  <si>
    <t>Personal</t>
  </si>
  <si>
    <t>Año</t>
  </si>
  <si>
    <t>Fecha de corte</t>
  </si>
  <si>
    <t>Litros</t>
  </si>
  <si>
    <t>Compras</t>
  </si>
  <si>
    <t>Última compra</t>
  </si>
  <si>
    <t>Días sin comprar</t>
  </si>
  <si>
    <t>Bucket</t>
  </si>
  <si>
    <t>Saldo ledger</t>
  </si>
  <si>
    <t>Diferencia</t>
  </si>
  <si>
    <t>Inconsistencias de saldo:</t>
  </si>
  <si>
    <t>Ficha de cliente</t>
  </si>
  <si>
    <t>Elige un código de barras en la celda amarilla. Columna B: BUSCARX · Columna C: ÍNDICE/COINCIDIR · Columna D: verifica que ambas den lo mismo.</t>
  </si>
  <si>
    <t>Dato</t>
  </si>
  <si>
    <t>BUSCARX</t>
  </si>
  <si>
    <t>ÍNDICE/COINCIDIR</t>
  </si>
  <si>
    <t>¿Coinciden?</t>
  </si>
  <si>
    <t>Código de barras</t>
  </si>
  <si>
    <t>← elige de la lista</t>
  </si>
  <si>
    <t>Nombre</t>
  </si>
  <si>
    <t>ID de cliente</t>
  </si>
  <si>
    <t>Estado</t>
  </si>
  <si>
    <t>Saldo almacenado (puntos)</t>
  </si>
  <si>
    <t>Saldo recalculado del ledger</t>
  </si>
  <si>
    <t>Estado de conciliación</t>
  </si>
  <si>
    <t>Litros comprados</t>
  </si>
  <si>
    <t>Compras activas</t>
  </si>
  <si>
    <t>Etiquetas de fila</t>
  </si>
  <si>
    <t>Total general</t>
  </si>
  <si>
    <t>Suma de LitrosActivos</t>
  </si>
  <si>
    <t>Suma de Compra</t>
  </si>
  <si>
    <t>Suma de Cancelada</t>
  </si>
  <si>
    <t>Suma de PctCancel</t>
  </si>
  <si>
    <t>Suma de PtsEmitidos</t>
  </si>
  <si>
    <t>Suma de PtsCanjeados</t>
  </si>
  <si>
    <t>Suma de TasaCanje</t>
  </si>
  <si>
    <t>Octubre de 2025 y 2026 son meses parciales</t>
  </si>
  <si>
    <t>31-60</t>
  </si>
  <si>
    <t>61-90</t>
  </si>
  <si>
    <t>90+</t>
  </si>
  <si>
    <t>Activo</t>
  </si>
  <si>
    <t>Sin compras</t>
  </si>
  <si>
    <t>Cuenta de user</t>
  </si>
  <si>
    <t>Más de un tercio de los clientes lleva más de 90 días sin comprar</t>
  </si>
  <si>
    <t>Dashboard de la gasera</t>
  </si>
  <si>
    <t>Litros vendidos</t>
  </si>
  <si>
    <t>% Cancelación</t>
  </si>
  <si>
    <t>Tasa de canje</t>
  </si>
  <si>
    <t>Saldos inconsistentes</t>
  </si>
  <si>
    <t>Rank</t>
  </si>
  <si>
    <t>%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</si>
</sst>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rgb="FF595959"/>
      <name val="Aptos Narrow"/>
      <family val="2"/>
      <scheme val="minor"/>
    </font>
    <font>
      <b/>
      <sz val="20"/>
      <color rgb="FF1F3864"/>
      <name val="Aptos Narrow"/>
      <family val="2"/>
      <scheme val="minor"/>
    </font>
    <font>
      <i/>
      <sz val="9"/>
      <color rgb="FF7F7F7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3" fillId="0" borderId="0" xfId="0" applyFont="1"/>
    <xf numFmtId="0" fontId="2" fillId="4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2" fontId="0" fillId="0" borderId="1" xfId="0" applyNumberFormat="1" applyBorder="1"/>
    <xf numFmtId="14" fontId="0" fillId="0" borderId="1" xfId="0" applyNumberFormat="1" applyBorder="1"/>
    <xf numFmtId="0" fontId="4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2" fontId="0" fillId="0" borderId="0" xfId="0" applyNumberFormat="1" applyAlignment="1">
      <alignment horizontal="left"/>
    </xf>
    <xf numFmtId="0" fontId="2" fillId="0" borderId="0" xfId="0" applyFont="1"/>
    <xf numFmtId="9" fontId="0" fillId="0" borderId="0" xfId="1" applyFont="1"/>
    <xf numFmtId="0" fontId="6" fillId="0" borderId="0" xfId="0" applyFont="1"/>
    <xf numFmtId="0" fontId="7" fillId="4" borderId="0" xfId="0" applyFont="1" applyFill="1" applyAlignment="1">
      <alignment horizontal="left" indent="1"/>
    </xf>
    <xf numFmtId="3" fontId="8" fillId="4" borderId="0" xfId="0" applyNumberFormat="1" applyFont="1" applyFill="1" applyAlignment="1">
      <alignment horizontal="left" indent="1"/>
    </xf>
    <xf numFmtId="164" fontId="8" fillId="4" borderId="0" xfId="0" applyNumberFormat="1" applyFont="1" applyFill="1" applyAlignment="1">
      <alignment horizontal="left" indent="1"/>
    </xf>
    <xf numFmtId="1" fontId="8" fillId="4" borderId="0" xfId="0" applyNumberFormat="1" applyFont="1" applyFill="1" applyAlignment="1">
      <alignment horizontal="left" indent="1"/>
    </xf>
    <xf numFmtId="0" fontId="9" fillId="0" borderId="0" xfId="0" applyFont="1"/>
    <xf numFmtId="0" fontId="0" fillId="4" borderId="0" xfId="0" applyFill="1"/>
  </cellXfs>
  <cellStyles count="2">
    <cellStyle name="Normal" xfId="0" builtinId="0"/>
    <cellStyle name="Porcentaje" xfId="1" builtinId="5"/>
  </cellStyles>
  <dxfs count="39">
    <dxf>
      <fill>
        <patternFill>
          <bgColor rgb="FFC00000"/>
        </patternFill>
      </fill>
    </dxf>
    <dxf>
      <fill>
        <patternFill>
          <bgColor rgb="FFC00000"/>
        </patternFill>
      </fill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[Libro1_v4.xlsx]Tablas!TablaDinámica1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>
                <a:solidFill>
                  <a:srgbClr val="404040"/>
                </a:solidFill>
              </a:defRPr>
            </a:pPr>
            <a:r>
              <a:rPr lang="es-MX" sz="1200" b="1">
                <a:solidFill>
                  <a:srgbClr val="404040"/>
                </a:solidFill>
              </a:rPr>
              <a:t>Los litros mensuales bajan de ≈ 30 mil (dic-2025) a ≈ 16 mil (sep-2026)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1F38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Tablas!$A$4:$A$17</c:f>
              <c:strCache>
                <c:ptCount val="13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</c:strCache>
            </c:strRef>
          </c:cat>
          <c:val>
            <c:numRef>
              <c:f>Tablas!$B$4:$B$17</c:f>
              <c:numCache>
                <c:formatCode>0.00</c:formatCode>
                <c:ptCount val="13"/>
                <c:pt idx="0">
                  <c:v>7645.2600000000029</c:v>
                </c:pt>
                <c:pt idx="1">
                  <c:v>25016.310000000023</c:v>
                </c:pt>
                <c:pt idx="2">
                  <c:v>29977.680000000008</c:v>
                </c:pt>
                <c:pt idx="3">
                  <c:v>28299.129999999986</c:v>
                </c:pt>
                <c:pt idx="4">
                  <c:v>20808.899999999994</c:v>
                </c:pt>
                <c:pt idx="5">
                  <c:v>18721.380000000012</c:v>
                </c:pt>
                <c:pt idx="6">
                  <c:v>17000.989999999998</c:v>
                </c:pt>
                <c:pt idx="7">
                  <c:v>18441.689999999999</c:v>
                </c:pt>
                <c:pt idx="8">
                  <c:v>16257.210000000008</c:v>
                </c:pt>
                <c:pt idx="9">
                  <c:v>15337.689999999999</c:v>
                </c:pt>
                <c:pt idx="10">
                  <c:v>15928.589999999997</c:v>
                </c:pt>
                <c:pt idx="11">
                  <c:v>15648.86</c:v>
                </c:pt>
                <c:pt idx="12">
                  <c:v>11673.620000000003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7-4DA1-8E46-6C040FEFF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00784"/>
        <c:axId val="788503184"/>
      </c:barChart>
      <c:catAx>
        <c:axId val="78850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88503184"/>
        <c:crosses val="autoZero"/>
        <c:auto val="1"/>
        <c:lblAlgn val="ctr"/>
        <c:lblOffset val="100"/>
        <c:noMultiLvlLbl val="0"/>
      </c:catAx>
      <c:valAx>
        <c:axId val="78850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8850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[Libro1_v4.xlsx]Tablas!TablaDinámica5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>
                <a:solidFill>
                  <a:srgbClr val="404040"/>
                </a:solidFill>
              </a:defRPr>
            </a:pPr>
            <a:r>
              <a:rPr lang="es-MX" sz="1200" b="1">
                <a:solidFill>
                  <a:srgbClr val="404040"/>
                </a:solidFill>
              </a:rPr>
              <a:t>El reparto entre el personal es parejo: de 23 % a 27 % de los litros cada uno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1F38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Tablas!$N$4:$N$8</c:f>
              <c:strCache>
                <c:ptCount val="4"/>
                <c:pt idx="0">
                  <c:v>Ana Villalobos</c:v>
                </c:pt>
                <c:pt idx="1">
                  <c:v>Jorge Rangel</c:v>
                </c:pt>
                <c:pt idx="2">
                  <c:v>Luis Ortega</c:v>
                </c:pt>
                <c:pt idx="3">
                  <c:v>María Salazar</c:v>
                </c:pt>
              </c:strCache>
            </c:strRef>
          </c:cat>
          <c:val>
            <c:numRef>
              <c:f>Tablas!$O$4:$O$8</c:f>
              <c:numCache>
                <c:formatCode>General</c:formatCode>
                <c:ptCount val="4"/>
                <c:pt idx="0">
                  <c:v>59310.999999999993</c:v>
                </c:pt>
                <c:pt idx="1">
                  <c:v>59938.579999999994</c:v>
                </c:pt>
                <c:pt idx="2">
                  <c:v>66033.250000000029</c:v>
                </c:pt>
                <c:pt idx="3">
                  <c:v>55474.480000000047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D-4156-BA90-529DD580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0172031"/>
        <c:axId val="490172511"/>
      </c:barChart>
      <c:catAx>
        <c:axId val="49017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0172511"/>
        <c:crosses val="autoZero"/>
        <c:auto val="1"/>
        <c:lblAlgn val="ctr"/>
        <c:lblOffset val="100"/>
        <c:noMultiLvlLbl val="0"/>
      </c:catAx>
      <c:valAx>
        <c:axId val="49017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017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[Libro1_v4.xlsx]Tablas!TablaDinámica2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>
                <a:solidFill>
                  <a:srgbClr val="404040"/>
                </a:solidFill>
              </a:defRPr>
            </a:pPr>
            <a:r>
              <a:rPr lang="es-MX" sz="1200" b="1">
                <a:solidFill>
                  <a:srgbClr val="404040"/>
                </a:solidFill>
              </a:rPr>
              <a:t>101 de 300 clientes (34 %) llevan más de 90 días sin comprar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1F38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Tablas!$Q$4:$Q$9</c:f>
              <c:strCache>
                <c:ptCount val="5"/>
                <c:pt idx="0">
                  <c:v>Activo</c:v>
                </c:pt>
                <c:pt idx="1">
                  <c:v>31-60</c:v>
                </c:pt>
                <c:pt idx="2">
                  <c:v>61-90</c:v>
                </c:pt>
                <c:pt idx="3">
                  <c:v>90+</c:v>
                </c:pt>
                <c:pt idx="4">
                  <c:v>Sin compras</c:v>
                </c:pt>
              </c:strCache>
            </c:strRef>
          </c:cat>
          <c:val>
            <c:numRef>
              <c:f>Tablas!$R$4:$R$9</c:f>
              <c:numCache>
                <c:formatCode>General</c:formatCode>
                <c:ptCount val="5"/>
                <c:pt idx="0">
                  <c:v>90</c:v>
                </c:pt>
                <c:pt idx="1">
                  <c:v>52</c:v>
                </c:pt>
                <c:pt idx="2">
                  <c:v>37</c:v>
                </c:pt>
                <c:pt idx="3">
                  <c:v>101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E-4675-91F0-D8D336411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679327"/>
        <c:axId val="752679807"/>
      </c:barChart>
      <c:catAx>
        <c:axId val="75267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2679807"/>
        <c:crosses val="autoZero"/>
        <c:auto val="1"/>
        <c:lblAlgn val="ctr"/>
        <c:lblOffset val="100"/>
        <c:noMultiLvlLbl val="0"/>
      </c:catAx>
      <c:valAx>
        <c:axId val="75267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267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1" i="0" u="none" strike="noStrike" baseline="0"/>
              <a:t>El 20 % de clientes genera ≈ 71 % de los litros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Pareto!$C$1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rgbClr val="1F3864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A2:A301</c:v>
              </c:pt>
            </c:strLit>
          </c:cat>
          <c:val>
            <c:numRef>
              <c:f>Pareto!$C$2:$C$301</c:f>
              <c:numCache>
                <c:formatCode>0%</c:formatCode>
                <c:ptCount val="300"/>
                <c:pt idx="0">
                  <c:v>9.306720531144004E-2</c:v>
                </c:pt>
                <c:pt idx="1">
                  <c:v>0.1362475349138933</c:v>
                </c:pt>
                <c:pt idx="2">
                  <c:v>0.17408401846656302</c:v>
                </c:pt>
                <c:pt idx="3">
                  <c:v>0.20738045295488663</c:v>
                </c:pt>
                <c:pt idx="4">
                  <c:v>0.2289108480236802</c:v>
                </c:pt>
                <c:pt idx="5">
                  <c:v>0.24924896361402302</c:v>
                </c:pt>
                <c:pt idx="6">
                  <c:v>0.26793512520969798</c:v>
                </c:pt>
                <c:pt idx="7">
                  <c:v>0.28648318092605402</c:v>
                </c:pt>
                <c:pt idx="8">
                  <c:v>0.30502255570142434</c:v>
                </c:pt>
                <c:pt idx="9">
                  <c:v>0.32111182833867052</c:v>
                </c:pt>
                <c:pt idx="10">
                  <c:v>0.33593343437837919</c:v>
                </c:pt>
                <c:pt idx="11">
                  <c:v>0.35023480699298437</c:v>
                </c:pt>
                <c:pt idx="12">
                  <c:v>0.36428372621375488</c:v>
                </c:pt>
                <c:pt idx="13">
                  <c:v>0.37785465371747223</c:v>
                </c:pt>
                <c:pt idx="14">
                  <c:v>0.39008576728158373</c:v>
                </c:pt>
                <c:pt idx="15">
                  <c:v>0.40185728940068371</c:v>
                </c:pt>
                <c:pt idx="16">
                  <c:v>0.4134038546950044</c:v>
                </c:pt>
                <c:pt idx="17">
                  <c:v>0.42480172253129145</c:v>
                </c:pt>
                <c:pt idx="18">
                  <c:v>0.4360077789538358</c:v>
                </c:pt>
                <c:pt idx="19">
                  <c:v>0.44689359587877153</c:v>
                </c:pt>
                <c:pt idx="20">
                  <c:v>0.45776383695265627</c:v>
                </c:pt>
                <c:pt idx="21">
                  <c:v>0.46776307643576898</c:v>
                </c:pt>
                <c:pt idx="22">
                  <c:v>0.47703976257252634</c:v>
                </c:pt>
                <c:pt idx="23">
                  <c:v>0.48617140638429679</c:v>
                </c:pt>
                <c:pt idx="24">
                  <c:v>0.49514641943789839</c:v>
                </c:pt>
                <c:pt idx="25">
                  <c:v>0.50373893112529022</c:v>
                </c:pt>
                <c:pt idx="26">
                  <c:v>0.51224068752055807</c:v>
                </c:pt>
                <c:pt idx="27">
                  <c:v>0.52057472315170883</c:v>
                </c:pt>
                <c:pt idx="28">
                  <c:v>0.52884579080901062</c:v>
                </c:pt>
                <c:pt idx="29">
                  <c:v>0.5369138739754159</c:v>
                </c:pt>
                <c:pt idx="30">
                  <c:v>0.54497772051033522</c:v>
                </c:pt>
                <c:pt idx="31">
                  <c:v>0.55296858899113022</c:v>
                </c:pt>
                <c:pt idx="32">
                  <c:v>0.56079314891830345</c:v>
                </c:pt>
                <c:pt idx="33">
                  <c:v>0.56792261053257387</c:v>
                </c:pt>
                <c:pt idx="34">
                  <c:v>0.57497971712676188</c:v>
                </c:pt>
                <c:pt idx="35">
                  <c:v>0.58189460581695374</c:v>
                </c:pt>
                <c:pt idx="36">
                  <c:v>0.58876509294774948</c:v>
                </c:pt>
                <c:pt idx="37">
                  <c:v>0.59556098213591158</c:v>
                </c:pt>
                <c:pt idx="38">
                  <c:v>0.60200307105940065</c:v>
                </c:pt>
                <c:pt idx="39">
                  <c:v>0.60832927565107009</c:v>
                </c:pt>
                <c:pt idx="40">
                  <c:v>0.61430359061579531</c:v>
                </c:pt>
                <c:pt idx="41">
                  <c:v>0.62017738942173817</c:v>
                </c:pt>
                <c:pt idx="42">
                  <c:v>0.6259116286022639</c:v>
                </c:pt>
                <c:pt idx="43">
                  <c:v>0.63145987135343939</c:v>
                </c:pt>
                <c:pt idx="44">
                  <c:v>0.63700645268050271</c:v>
                </c:pt>
                <c:pt idx="45">
                  <c:v>0.64228259569771784</c:v>
                </c:pt>
                <c:pt idx="46">
                  <c:v>0.64748414077229943</c:v>
                </c:pt>
                <c:pt idx="47">
                  <c:v>0.65245670006862977</c:v>
                </c:pt>
                <c:pt idx="48">
                  <c:v>0.6573886375454191</c:v>
                </c:pt>
                <c:pt idx="49">
                  <c:v>0.66220381844273024</c:v>
                </c:pt>
                <c:pt idx="50">
                  <c:v>0.66700263431253703</c:v>
                </c:pt>
                <c:pt idx="51">
                  <c:v>0.67170882578809388</c:v>
                </c:pt>
                <c:pt idx="52">
                  <c:v>0.67632584032443333</c:v>
                </c:pt>
                <c:pt idx="53">
                  <c:v>0.68093496309624035</c:v>
                </c:pt>
                <c:pt idx="54">
                  <c:v>0.68550923749729598</c:v>
                </c:pt>
                <c:pt idx="55">
                  <c:v>0.68998669240821853</c:v>
                </c:pt>
                <c:pt idx="56">
                  <c:v>0.69438477278218513</c:v>
                </c:pt>
                <c:pt idx="57">
                  <c:v>0.69876499284694671</c:v>
                </c:pt>
                <c:pt idx="58">
                  <c:v>0.70314222234830637</c:v>
                </c:pt>
                <c:pt idx="59">
                  <c:v>0.7074076380069213</c:v>
                </c:pt>
                <c:pt idx="60">
                  <c:v>0.71164555709648081</c:v>
                </c:pt>
                <c:pt idx="61">
                  <c:v>0.71583865927061618</c:v>
                </c:pt>
                <c:pt idx="62">
                  <c:v>0.72000098356307485</c:v>
                </c:pt>
                <c:pt idx="63">
                  <c:v>0.72406486847689111</c:v>
                </c:pt>
                <c:pt idx="64">
                  <c:v>0.72801353362853294</c:v>
                </c:pt>
                <c:pt idx="65">
                  <c:v>0.73195999739322615</c:v>
                </c:pt>
                <c:pt idx="66">
                  <c:v>0.73580066997758098</c:v>
                </c:pt>
                <c:pt idx="67">
                  <c:v>0.7395750517398626</c:v>
                </c:pt>
                <c:pt idx="68">
                  <c:v>0.74333622518045306</c:v>
                </c:pt>
                <c:pt idx="69">
                  <c:v>0.74705004803384845</c:v>
                </c:pt>
                <c:pt idx="70">
                  <c:v>0.75074941649746851</c:v>
                </c:pt>
                <c:pt idx="71">
                  <c:v>0.75441867164905663</c:v>
                </c:pt>
                <c:pt idx="72">
                  <c:v>0.75807874743242543</c:v>
                </c:pt>
                <c:pt idx="73">
                  <c:v>0.76169953053554285</c:v>
                </c:pt>
                <c:pt idx="74">
                  <c:v>0.76508493137757749</c:v>
                </c:pt>
                <c:pt idx="75">
                  <c:v>0.76844507857310818</c:v>
                </c:pt>
                <c:pt idx="76">
                  <c:v>0.77177627545348537</c:v>
                </c:pt>
                <c:pt idx="77">
                  <c:v>0.7750754483841017</c:v>
                </c:pt>
                <c:pt idx="78">
                  <c:v>0.77830920274030368</c:v>
                </c:pt>
                <c:pt idx="79">
                  <c:v>0.78153751593253862</c:v>
                </c:pt>
                <c:pt idx="80">
                  <c:v>0.784703858005392</c:v>
                </c:pt>
                <c:pt idx="81">
                  <c:v>0.78778908104597178</c:v>
                </c:pt>
                <c:pt idx="82">
                  <c:v>0.7907717111476289</c:v>
                </c:pt>
                <c:pt idx="83">
                  <c:v>0.79375101840106188</c:v>
                </c:pt>
                <c:pt idx="84">
                  <c:v>0.79666195805228157</c:v>
                </c:pt>
                <c:pt idx="85">
                  <c:v>0.79954631491770756</c:v>
                </c:pt>
                <c:pt idx="86">
                  <c:v>0.80242132627250295</c:v>
                </c:pt>
                <c:pt idx="87">
                  <c:v>0.80526792727498131</c:v>
                </c:pt>
                <c:pt idx="88">
                  <c:v>0.80809421736768927</c:v>
                </c:pt>
                <c:pt idx="89">
                  <c:v>0.81085882709023527</c:v>
                </c:pt>
                <c:pt idx="90">
                  <c:v>0.81360117372967888</c:v>
                </c:pt>
                <c:pt idx="91">
                  <c:v>0.8163080904999318</c:v>
                </c:pt>
                <c:pt idx="92">
                  <c:v>0.81901305509685307</c:v>
                </c:pt>
                <c:pt idx="93">
                  <c:v>0.82168063765125188</c:v>
                </c:pt>
                <c:pt idx="94">
                  <c:v>0.82434294518409479</c:v>
                </c:pt>
                <c:pt idx="95">
                  <c:v>0.82699736095240528</c:v>
                </c:pt>
                <c:pt idx="96">
                  <c:v>0.82960318006543654</c:v>
                </c:pt>
                <c:pt idx="97">
                  <c:v>0.83214187764433867</c:v>
                </c:pt>
                <c:pt idx="98">
                  <c:v>0.83461307986868649</c:v>
                </c:pt>
                <c:pt idx="99">
                  <c:v>0.83708336830977259</c:v>
                </c:pt>
                <c:pt idx="100">
                  <c:v>0.83953862086264419</c:v>
                </c:pt>
                <c:pt idx="101">
                  <c:v>0.84198178655510025</c:v>
                </c:pt>
                <c:pt idx="102">
                  <c:v>0.84440588740586975</c:v>
                </c:pt>
                <c:pt idx="103">
                  <c:v>0.84680539917978026</c:v>
                </c:pt>
                <c:pt idx="104">
                  <c:v>0.8492034572075926</c:v>
                </c:pt>
                <c:pt idx="105">
                  <c:v>0.8515721080286206</c:v>
                </c:pt>
                <c:pt idx="106">
                  <c:v>0.85391430067066332</c:v>
                </c:pt>
                <c:pt idx="107">
                  <c:v>0.85625105214873887</c:v>
                </c:pt>
                <c:pt idx="108">
                  <c:v>0.85853488726884386</c:v>
                </c:pt>
                <c:pt idx="109">
                  <c:v>0.86078433090982831</c:v>
                </c:pt>
                <c:pt idx="110">
                  <c:v>0.86298293497298206</c:v>
                </c:pt>
                <c:pt idx="111">
                  <c:v>0.86511616199732455</c:v>
                </c:pt>
                <c:pt idx="112">
                  <c:v>0.86723966969061128</c:v>
                </c:pt>
                <c:pt idx="113">
                  <c:v>0.86935275194759443</c:v>
                </c:pt>
                <c:pt idx="114">
                  <c:v>0.87138886873258414</c:v>
                </c:pt>
                <c:pt idx="115">
                  <c:v>0.87342016738764883</c:v>
                </c:pt>
                <c:pt idx="116">
                  <c:v>0.87543343959109721</c:v>
                </c:pt>
                <c:pt idx="117">
                  <c:v>0.87741443863116786</c:v>
                </c:pt>
                <c:pt idx="118">
                  <c:v>0.87936897949225323</c:v>
                </c:pt>
                <c:pt idx="119">
                  <c:v>0.8812593063114057</c:v>
                </c:pt>
                <c:pt idx="120">
                  <c:v>0.88312720390504462</c:v>
                </c:pt>
                <c:pt idx="121">
                  <c:v>0.88498056403770264</c:v>
                </c:pt>
                <c:pt idx="122">
                  <c:v>0.88682752768752915</c:v>
                </c:pt>
                <c:pt idx="123">
                  <c:v>0.88860961272577788</c:v>
                </c:pt>
                <c:pt idx="124">
                  <c:v>0.89037541580772794</c:v>
                </c:pt>
                <c:pt idx="125">
                  <c:v>0.89212111565792152</c:v>
                </c:pt>
                <c:pt idx="126">
                  <c:v>0.89382611061736839</c:v>
                </c:pt>
                <c:pt idx="127">
                  <c:v>0.89550747181882051</c:v>
                </c:pt>
                <c:pt idx="128">
                  <c:v>0.89716532386908643</c:v>
                </c:pt>
                <c:pt idx="129">
                  <c:v>0.89879036279313818</c:v>
                </c:pt>
                <c:pt idx="130">
                  <c:v>0.90041411411350303</c:v>
                </c:pt>
                <c:pt idx="131">
                  <c:v>0.90201909134140112</c:v>
                </c:pt>
                <c:pt idx="132">
                  <c:v>0.90361405848902376</c:v>
                </c:pt>
                <c:pt idx="133">
                  <c:v>0.90519266060914216</c:v>
                </c:pt>
                <c:pt idx="134">
                  <c:v>0.90673172083539244</c:v>
                </c:pt>
                <c:pt idx="135">
                  <c:v>0.90822426118650368</c:v>
                </c:pt>
                <c:pt idx="136">
                  <c:v>0.90968888961253158</c:v>
                </c:pt>
                <c:pt idx="137">
                  <c:v>0.91114392331431193</c:v>
                </c:pt>
                <c:pt idx="138">
                  <c:v>0.91258840697298049</c:v>
                </c:pt>
                <c:pt idx="139">
                  <c:v>0.91400996297890202</c:v>
                </c:pt>
                <c:pt idx="140">
                  <c:v>0.91539110484329644</c:v>
                </c:pt>
                <c:pt idx="141">
                  <c:v>0.91674254875168693</c:v>
                </c:pt>
                <c:pt idx="142">
                  <c:v>0.91809291273440463</c:v>
                </c:pt>
                <c:pt idx="143">
                  <c:v>0.9194358833798234</c:v>
                </c:pt>
                <c:pt idx="144">
                  <c:v>0.92077208372198538</c:v>
                </c:pt>
                <c:pt idx="145">
                  <c:v>0.92210417203946993</c:v>
                </c:pt>
                <c:pt idx="146">
                  <c:v>0.92338255482253062</c:v>
                </c:pt>
                <c:pt idx="147">
                  <c:v>0.92465877775424554</c:v>
                </c:pt>
                <c:pt idx="148">
                  <c:v>0.92590164759690996</c:v>
                </c:pt>
                <c:pt idx="149">
                  <c:v>0.92712528645547676</c:v>
                </c:pt>
                <c:pt idx="150">
                  <c:v>0.92834477175376329</c:v>
                </c:pt>
                <c:pt idx="151">
                  <c:v>0.92955300090369031</c:v>
                </c:pt>
                <c:pt idx="152">
                  <c:v>0.9307502646544773</c:v>
                </c:pt>
                <c:pt idx="153">
                  <c:v>0.93193236791024137</c:v>
                </c:pt>
                <c:pt idx="154">
                  <c:v>0.93310687015069249</c:v>
                </c:pt>
                <c:pt idx="155">
                  <c:v>0.9342612276237845</c:v>
                </c:pt>
                <c:pt idx="156">
                  <c:v>0.93539951081859174</c:v>
                </c:pt>
                <c:pt idx="157">
                  <c:v>0.93652508411894131</c:v>
                </c:pt>
                <c:pt idx="158">
                  <c:v>0.93762129174810949</c:v>
                </c:pt>
                <c:pt idx="159">
                  <c:v>0.93871363656621698</c:v>
                </c:pt>
                <c:pt idx="160">
                  <c:v>0.9397922746353996</c:v>
                </c:pt>
                <c:pt idx="161">
                  <c:v>0.94084707126857348</c:v>
                </c:pt>
                <c:pt idx="162">
                  <c:v>0.94190058029806056</c:v>
                </c:pt>
                <c:pt idx="163">
                  <c:v>0.94293166010203411</c:v>
                </c:pt>
                <c:pt idx="164">
                  <c:v>0.94395032076076957</c:v>
                </c:pt>
                <c:pt idx="165">
                  <c:v>0.94495556541979986</c:v>
                </c:pt>
                <c:pt idx="166">
                  <c:v>0.94595769490861992</c:v>
                </c:pt>
                <c:pt idx="167">
                  <c:v>0.94695911829219237</c:v>
                </c:pt>
                <c:pt idx="168">
                  <c:v>0.94795705268512942</c:v>
                </c:pt>
                <c:pt idx="169">
                  <c:v>0.94894647227949191</c:v>
                </c:pt>
                <c:pt idx="170">
                  <c:v>0.94991495793004188</c:v>
                </c:pt>
                <c:pt idx="171">
                  <c:v>0.95087629945690977</c:v>
                </c:pt>
                <c:pt idx="172">
                  <c:v>0.95181940685414723</c:v>
                </c:pt>
                <c:pt idx="173">
                  <c:v>0.95273377161424533</c:v>
                </c:pt>
                <c:pt idx="174">
                  <c:v>0.95364626727221735</c:v>
                </c:pt>
                <c:pt idx="175">
                  <c:v>0.95454368550637181</c:v>
                </c:pt>
                <c:pt idx="176">
                  <c:v>0.95541701309090088</c:v>
                </c:pt>
                <c:pt idx="177">
                  <c:v>0.95627862763543958</c:v>
                </c:pt>
                <c:pt idx="178">
                  <c:v>0.95712732460750649</c:v>
                </c:pt>
                <c:pt idx="179">
                  <c:v>0.95797469244028388</c:v>
                </c:pt>
                <c:pt idx="180">
                  <c:v>0.95880768895449142</c:v>
                </c:pt>
                <c:pt idx="181">
                  <c:v>0.95963777797650285</c:v>
                </c:pt>
                <c:pt idx="182">
                  <c:v>0.96045939373554257</c:v>
                </c:pt>
                <c:pt idx="183">
                  <c:v>0.96126734428126015</c:v>
                </c:pt>
                <c:pt idx="184">
                  <c:v>0.96206192036287519</c:v>
                </c:pt>
                <c:pt idx="185">
                  <c:v>0.96285350588108842</c:v>
                </c:pt>
                <c:pt idx="186">
                  <c:v>0.96362448974031167</c:v>
                </c:pt>
                <c:pt idx="187">
                  <c:v>0.96439036472039019</c:v>
                </c:pt>
                <c:pt idx="188">
                  <c:v>0.96515441213394548</c:v>
                </c:pt>
                <c:pt idx="189">
                  <c:v>0.96590915557247281</c:v>
                </c:pt>
                <c:pt idx="190">
                  <c:v>0.96664541566775297</c:v>
                </c:pt>
                <c:pt idx="191">
                  <c:v>0.96738092812218268</c:v>
                </c:pt>
                <c:pt idx="192">
                  <c:v>0.96811299312157983</c:v>
                </c:pt>
                <c:pt idx="193">
                  <c:v>0.96883762324807521</c:v>
                </c:pt>
                <c:pt idx="194">
                  <c:v>0.96956133959130897</c:v>
                </c:pt>
                <c:pt idx="195">
                  <c:v>0.9702763749935569</c:v>
                </c:pt>
                <c:pt idx="196">
                  <c:v>0.97096557525086158</c:v>
                </c:pt>
                <c:pt idx="197">
                  <c:v>0.97165220030079258</c:v>
                </c:pt>
                <c:pt idx="198">
                  <c:v>0.97232711231073321</c:v>
                </c:pt>
                <c:pt idx="199">
                  <c:v>0.97299375873571614</c:v>
                </c:pt>
                <c:pt idx="200">
                  <c:v>0.9736569577056664</c:v>
                </c:pt>
                <c:pt idx="201">
                  <c:v>0.97430665760470592</c:v>
                </c:pt>
                <c:pt idx="202">
                  <c:v>0.97493396981383462</c:v>
                </c:pt>
                <c:pt idx="203">
                  <c:v>0.97556057591771572</c:v>
                </c:pt>
                <c:pt idx="204">
                  <c:v>0.97618510524145663</c:v>
                </c:pt>
                <c:pt idx="205">
                  <c:v>0.97679680006393155</c:v>
                </c:pt>
                <c:pt idx="206">
                  <c:v>0.97740832874399541</c:v>
                </c:pt>
                <c:pt idx="207">
                  <c:v>0.97801910978320861</c:v>
                </c:pt>
                <c:pt idx="208">
                  <c:v>0.97862864475433786</c:v>
                </c:pt>
                <c:pt idx="209">
                  <c:v>0.97923145095781305</c:v>
                </c:pt>
                <c:pt idx="210">
                  <c:v>0.97980057178741531</c:v>
                </c:pt>
                <c:pt idx="211">
                  <c:v>0.98036080399801773</c:v>
                </c:pt>
                <c:pt idx="212">
                  <c:v>0.98091875175046594</c:v>
                </c:pt>
                <c:pt idx="213">
                  <c:v>0.98144205881017688</c:v>
                </c:pt>
                <c:pt idx="214">
                  <c:v>0.98194414117685558</c:v>
                </c:pt>
                <c:pt idx="215">
                  <c:v>0.98243521660879163</c:v>
                </c:pt>
                <c:pt idx="216">
                  <c:v>0.98291291757662513</c:v>
                </c:pt>
                <c:pt idx="217">
                  <c:v>0.98338467895325787</c:v>
                </c:pt>
                <c:pt idx="218">
                  <c:v>0.98385602497386271</c:v>
                </c:pt>
                <c:pt idx="219">
                  <c:v>0.98431831623305632</c:v>
                </c:pt>
                <c:pt idx="220">
                  <c:v>0.98477732617962876</c:v>
                </c:pt>
                <c:pt idx="221">
                  <c:v>0.98522748904280411</c:v>
                </c:pt>
                <c:pt idx="222">
                  <c:v>0.98567765190597956</c:v>
                </c:pt>
                <c:pt idx="223">
                  <c:v>0.98612494881256152</c:v>
                </c:pt>
                <c:pt idx="224">
                  <c:v>0.98656701223319032</c:v>
                </c:pt>
                <c:pt idx="225">
                  <c:v>0.98700359295424922</c:v>
                </c:pt>
                <c:pt idx="226">
                  <c:v>0.98742605157035512</c:v>
                </c:pt>
                <c:pt idx="227">
                  <c:v>0.98783924774703613</c:v>
                </c:pt>
                <c:pt idx="228">
                  <c:v>0.98824824882783413</c:v>
                </c:pt>
                <c:pt idx="229">
                  <c:v>0.98865002271374436</c:v>
                </c:pt>
                <c:pt idx="230">
                  <c:v>0.98904174498377639</c:v>
                </c:pt>
                <c:pt idx="231">
                  <c:v>0.98942748612700482</c:v>
                </c:pt>
                <c:pt idx="232">
                  <c:v>0.98980550164811198</c:v>
                </c:pt>
                <c:pt idx="233">
                  <c:v>0.9901832679556023</c:v>
                </c:pt>
                <c:pt idx="234">
                  <c:v>0.99054873972466295</c:v>
                </c:pt>
                <c:pt idx="235">
                  <c:v>0.99091304849684525</c:v>
                </c:pt>
                <c:pt idx="236">
                  <c:v>0.99127590352292927</c:v>
                </c:pt>
                <c:pt idx="237">
                  <c:v>0.99163647409085931</c:v>
                </c:pt>
                <c:pt idx="238">
                  <c:v>0.99198661922248577</c:v>
                </c:pt>
                <c:pt idx="239">
                  <c:v>0.99232883105397707</c:v>
                </c:pt>
                <c:pt idx="240">
                  <c:v>0.99263876972209064</c:v>
                </c:pt>
                <c:pt idx="241">
                  <c:v>0.99293529239049894</c:v>
                </c:pt>
                <c:pt idx="242">
                  <c:v>0.99322263569068781</c:v>
                </c:pt>
                <c:pt idx="243">
                  <c:v>0.99350914827882064</c:v>
                </c:pt>
                <c:pt idx="244">
                  <c:v>0.99379532858213104</c:v>
                </c:pt>
                <c:pt idx="245">
                  <c:v>0.9940737001921145</c:v>
                </c:pt>
                <c:pt idx="246">
                  <c:v>0.99435119955443918</c:v>
                </c:pt>
                <c:pt idx="247">
                  <c:v>0.99462205322031538</c:v>
                </c:pt>
                <c:pt idx="248">
                  <c:v>0.9948906224280375</c:v>
                </c:pt>
                <c:pt idx="249">
                  <c:v>0.99515088451519906</c:v>
                </c:pt>
                <c:pt idx="250">
                  <c:v>0.99541089738874378</c:v>
                </c:pt>
                <c:pt idx="251">
                  <c:v>0.99566227085690551</c:v>
                </c:pt>
                <c:pt idx="252">
                  <c:v>0.99591235672138045</c:v>
                </c:pt>
                <c:pt idx="253">
                  <c:v>0.99615293093281354</c:v>
                </c:pt>
                <c:pt idx="254">
                  <c:v>0.99639288211020449</c:v>
                </c:pt>
                <c:pt idx="255">
                  <c:v>0.99662627066235276</c:v>
                </c:pt>
                <c:pt idx="256">
                  <c:v>0.99685849621762257</c:v>
                </c:pt>
                <c:pt idx="257">
                  <c:v>0.99707381678255158</c:v>
                </c:pt>
                <c:pt idx="258">
                  <c:v>0.99728726824535452</c:v>
                </c:pt>
                <c:pt idx="259">
                  <c:v>0.99749918289085371</c:v>
                </c:pt>
                <c:pt idx="260">
                  <c:v>0.99769589550572713</c:v>
                </c:pt>
                <c:pt idx="261">
                  <c:v>0.99787894290727852</c:v>
                </c:pt>
                <c:pt idx="262">
                  <c:v>0.99805899974542822</c:v>
                </c:pt>
                <c:pt idx="263">
                  <c:v>0.99822996028656397</c:v>
                </c:pt>
                <c:pt idx="264">
                  <c:v>0.99839867790514847</c:v>
                </c:pt>
                <c:pt idx="265">
                  <c:v>0.99856727091692443</c:v>
                </c:pt>
                <c:pt idx="266">
                  <c:v>0.99868863794831386</c:v>
                </c:pt>
                <c:pt idx="267">
                  <c:v>0.99880909119644168</c:v>
                </c:pt>
                <c:pt idx="268">
                  <c:v>0.99892672002357885</c:v>
                </c:pt>
                <c:pt idx="269">
                  <c:v>0.99904239667738426</c:v>
                </c:pt>
                <c:pt idx="270">
                  <c:v>0.99915612115785801</c:v>
                </c:pt>
                <c:pt idx="271">
                  <c:v>0.99926826728542528</c:v>
                </c:pt>
                <c:pt idx="272">
                  <c:v>0.99937090175995058</c:v>
                </c:pt>
                <c:pt idx="273">
                  <c:v>0.99947341162766756</c:v>
                </c:pt>
                <c:pt idx="274">
                  <c:v>0.99957185100630996</c:v>
                </c:pt>
                <c:pt idx="275">
                  <c:v>0.99966921045927948</c:v>
                </c:pt>
                <c:pt idx="276">
                  <c:v>0.99975726593722114</c:v>
                </c:pt>
                <c:pt idx="277">
                  <c:v>0.99984316156381703</c:v>
                </c:pt>
                <c:pt idx="278">
                  <c:v>0.99992249456517024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6-4200-ADD9-466D5A9F3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511024"/>
        <c:axId val="736522064"/>
      </c:lineChart>
      <c:catAx>
        <c:axId val="736511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6522064"/>
        <c:crosses val="autoZero"/>
        <c:auto val="1"/>
        <c:lblAlgn val="ctr"/>
        <c:lblOffset val="100"/>
        <c:noMultiLvlLbl val="0"/>
      </c:catAx>
      <c:valAx>
        <c:axId val="7365220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651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>
                <a:solidFill>
                  <a:srgbClr val="404040"/>
                </a:solidFill>
              </a:defRPr>
            </a:pPr>
            <a:r>
              <a:rPr lang="es-MX" sz="1200" b="1">
                <a:solidFill>
                  <a:srgbClr val="404040"/>
                </a:solidFill>
              </a:rPr>
              <a:t>La tasa de canje sube de 10 % (oct-2025) a 68 % (oct-2026)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Puntos canjeados</c:v>
          </c:tx>
          <c:spPr>
            <a:solidFill>
              <a:srgbClr val="A6A6A6"/>
            </a:solidFill>
          </c:spPr>
          <c:invertIfNegative val="0"/>
          <c:cat>
            <c:strRef>
              <c:f>Tablas!$I$4:$I$16</c:f>
            </c:strRef>
          </c:cat>
          <c:val>
            <c:numRef>
              <c:f>Tablas!$J$4:$J$16</c:f>
            </c:numRef>
          </c:val>
        </c:ser>
        <c:ser>
          <c:idx val="1"/>
          <c:order val="1"/>
          <c:tx>
            <c:v>Puntos emitidos</c:v>
          </c:tx>
          <c:spPr>
            <a:solidFill>
              <a:srgbClr val="1F3864"/>
            </a:solidFill>
          </c:spPr>
          <c:invertIfNegative val="0"/>
          <c:cat>
            <c:strRef>
              <c:f>Tablas!$I$4:$I$16</c:f>
            </c:strRef>
          </c:cat>
          <c:val>
            <c:numRef>
              <c:f>Tablas!$K$4:$K$16</c:f>
            </c:numRef>
          </c:val>
        </c:ser>
        <c:gapWidth val="60"/>
        <c:axId val="5001"/>
        <c:axId val="5002"/>
      </c:barChart>
      <c:lineChart>
        <c:grouping val="standard"/>
        <c:varyColors val="0"/>
        <c:ser>
          <c:idx val="2"/>
          <c:order val="2"/>
          <c:tx>
            <c:v>Tasa de canje</c:v>
          </c:tx>
          <c:spPr>
            <a:ln w="28575" cap="rnd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  <a:ln>
                <a:noFill/>
              </a:ln>
            </c:spPr>
          </c:marker>
          <c:cat>
            <c:strRef>
              <c:f>Tablas!$I$4:$I$16</c:f>
            </c:strRef>
          </c:cat>
          <c:val>
            <c:numRef>
              <c:f>Tablas!$L$4:$L$16</c:f>
            </c:numRef>
          </c:val>
          <c:smooth val="0"/>
        </c:ser>
        <c:marker val="1"/>
        <c:axId val="5003"/>
        <c:axId val="5004"/>
      </c:lineChart>
      <c:catAx>
        <c:axId val="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1"/>
        <c:crosses val="autoZero"/>
        <c:crossBetween val="between"/>
      </c:valAx>
      <c:catAx>
        <c:axId val="500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4"/>
        <c:crosses val="autoZero"/>
        <c:auto val="1"/>
        <c:lblAlgn val="ctr"/>
        <c:lblOffset val="100"/>
        <c:noMultiLvlLbl val="0"/>
      </c:catAx>
      <c:valAx>
        <c:axId val="5004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 w="9525">
      <a:solidFill>
        <a:srgbClr val="D9D9D9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>
                <a:solidFill>
                  <a:srgbClr val="404040"/>
                </a:solidFill>
              </a:defRPr>
            </a:pPr>
            <a:r>
              <a:rPr lang="es-MX" sz="1200" b="1">
                <a:solidFill>
                  <a:srgbClr val="404040"/>
                </a:solidFill>
              </a:rPr>
              <a:t>La cancelación oscila entre 1.5 % y 6.9 % mensual (4.0 % en total)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cancelación</c:v>
          </c:tx>
          <c:spPr>
            <a:solidFill>
              <a:srgbClr val="1F3864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595959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Tablas!$D$4:$D$16</c:f>
            </c:strRef>
          </c:cat>
          <c:val>
            <c:numRef>
              <c:f>Tablas!$G$4:$G$16</c:f>
            </c:numRef>
          </c:val>
        </c:ser>
        <c:gapWidth val="60"/>
        <c:axId val="6001"/>
        <c:axId val="6002"/>
      </c:barChart>
      <c:catAx>
        <c:axId val="6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6002"/>
        <c:crosses val="autoZero"/>
        <c:auto val="1"/>
        <c:lblAlgn val="ctr"/>
        <c:lblOffset val="100"/>
        <c:noMultiLvlLbl val="0"/>
      </c:catAx>
      <c:valAx>
        <c:axId val="6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6001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D9D9D9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780000</xdr:colOff>
      <xdr:row>19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F8DA8E-BFBC-05B7-77AF-1C91B645B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780000</xdr:colOff>
      <xdr:row>37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2C4A81-5F1E-7BCC-00DA-D1DDAA0A6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60000</xdr:colOff>
      <xdr:row>22</xdr:row>
      <xdr:rowOff>0</xdr:rowOff>
    </xdr:from>
    <xdr:to>
      <xdr:col>15</xdr:col>
      <xdr:colOff>780000</xdr:colOff>
      <xdr:row>37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FFC1B5-B3F5-E8D7-E049-AD3CEFCA0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4</xdr:row>
      <xdr:rowOff>0</xdr:rowOff>
    </xdr:from>
    <xdr:to>
      <xdr:col>19</xdr:col>
      <xdr:colOff>720000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">
              <a:extLst>
                <a:ext uri="{FF2B5EF4-FFF2-40B4-BE49-F238E27FC236}">
                  <a16:creationId xmlns:a16="http://schemas.microsoft.com/office/drawing/2014/main" id="{84C78FE3-01A7-2412-7831-C401A9B296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3870" y="1060670"/>
              <a:ext cx="1800864" cy="2534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0</xdr:colOff>
      <xdr:row>17</xdr:row>
      <xdr:rowOff>0</xdr:rowOff>
    </xdr:from>
    <xdr:to>
      <xdr:col>19</xdr:col>
      <xdr:colOff>720000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ipoCompra">
              <a:extLst>
                <a:ext uri="{FF2B5EF4-FFF2-40B4-BE49-F238E27FC236}">
                  <a16:creationId xmlns:a16="http://schemas.microsoft.com/office/drawing/2014/main" id="{38886B24-6A94-4F20-9A85-A0F9560275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Comp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46563" y="1079007"/>
              <a:ext cx="1821393" cy="8264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0</xdr:colOff>
      <xdr:row>24</xdr:row>
      <xdr:rowOff>0</xdr:rowOff>
    </xdr:from>
    <xdr:to>
      <xdr:col>19</xdr:col>
      <xdr:colOff>720000</xdr:colOff>
      <xdr:row>34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ersonal">
              <a:extLst>
                <a:ext uri="{FF2B5EF4-FFF2-40B4-BE49-F238E27FC236}">
                  <a16:creationId xmlns:a16="http://schemas.microsoft.com/office/drawing/2014/main" id="{500A1FA8-8677-2C1E-25A0-135C241FD8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94364" y="3903311"/>
              <a:ext cx="1800864" cy="16538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39</xdr:row>
      <xdr:rowOff>0</xdr:rowOff>
    </xdr:from>
    <xdr:to>
      <xdr:col>7</xdr:col>
      <xdr:colOff>780000</xdr:colOff>
      <xdr:row>54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B70D874-8BAC-4883-8E10-E9A26EABF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60000</xdr:colOff>
      <xdr:row>4</xdr:row>
      <xdr:rowOff>0</xdr:rowOff>
    </xdr:from>
    <xdr:to>
      <xdr:col>15</xdr:col>
      <xdr:colOff>780000</xdr:colOff>
      <xdr:row>19</xdr:row>
      <xdr:rowOff>0</xdr:rowOff>
    </xdr:to>
    <xdr:graphicFrame macro="">
      <xdr:nvGraphicFramePr>
        <xdr:cNvPr id="11" name="Gráfico punt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60000</xdr:colOff>
      <xdr:row>39</xdr:row>
      <xdr:rowOff>0</xdr:rowOff>
    </xdr:from>
    <xdr:to>
      <xdr:col>15</xdr:col>
      <xdr:colOff>780000</xdr:colOff>
      <xdr:row>54</xdr:row>
      <xdr:rowOff>0</xdr:rowOff>
    </xdr:to>
    <xdr:graphicFrame macro="">
      <xdr:nvGraphicFramePr>
        <xdr:cNvPr id="12" name="Gráfico cancelació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Esau Rivera Roman" refreshedDate="46316.041720370369" createdVersion="8" refreshedVersion="8" minRefreshableVersion="3" recordCount="3179" xr:uid="{DE0B6193-74CC-4CEA-B647-E89CC5A2A87E}">
  <cacheSource type="worksheet">
    <worksheetSource name="Movimientos"/>
  </cacheSource>
  <cacheFields count="12">
    <cacheField name="id" numFmtId="0">
      <sharedItems containsSemiMixedTypes="0" containsString="0" containsNumber="1" containsInteger="1" minValue="1" maxValue="3179"/>
    </cacheField>
    <cacheField name="customer_id" numFmtId="0">
      <sharedItems containsSemiMixedTypes="0" containsString="0" containsNumber="1" containsInteger="1" minValue="6" maxValue="305"/>
    </cacheField>
    <cacheField name="staff_id" numFmtId="0">
      <sharedItems containsSemiMixedTypes="0" containsString="0" containsNumber="1" containsInteger="1" minValue="1" maxValue="5"/>
    </cacheField>
    <cacheField name="purchase_id" numFmtId="0">
      <sharedItems containsString="0" containsBlank="1" containsNumber="1" containsInteger="1" minValue="1" maxValue="3000"/>
    </cacheField>
    <cacheField name="type" numFmtId="0">
      <sharedItems/>
    </cacheField>
    <cacheField name="points" numFmtId="0">
      <sharedItems containsSemiMixedTypes="0" containsString="0" containsNumber="1" minValue="-29.73" maxValue="300"/>
    </cacheField>
    <cacheField name="reason" numFmtId="0">
      <sharedItems/>
    </cacheField>
    <cacheField name="createdAt" numFmtId="22">
      <sharedItems containsSemiMixedTypes="0" containsNonDate="0" containsDate="1" containsString="0" minDate="2025-10-21T00:51:57" maxDate="2026-10-20T20:31:35"/>
    </cacheField>
    <cacheField name="Mes" numFmtId="0">
      <sharedItems count="13"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  <s v="2026-09"/>
        <s v="2026-10"/>
      </sharedItems>
    </cacheField>
    <cacheField name="PtsEmitidos" numFmtId="0">
      <sharedItems containsSemiMixedTypes="0" containsString="0" containsNumber="1" minValue="0" maxValue="30"/>
    </cacheField>
    <cacheField name="PtsCanjeados" numFmtId="0">
      <sharedItems containsSemiMixedTypes="0" containsString="0" containsNumber="1" minValue="0" maxValue="300"/>
    </cacheField>
    <cacheField name="TasaCanje" numFmtId="0" formula="PtsCanjeados/PtsEmitido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Esau Rivera Roman" refreshedDate="46316.050465162036" createdVersion="8" refreshedVersion="8" minRefreshableVersion="3" recordCount="3000" xr:uid="{8CF9089C-1510-4C84-A5C3-7812E808AE2B}">
  <cacheSource type="worksheet">
    <worksheetSource name="Compras_Full"/>
  </cacheSource>
  <cacheFields count="21">
    <cacheField name="id" numFmtId="0">
      <sharedItems containsSemiMixedTypes="0" containsString="0" containsNumber="1" containsInteger="1" minValue="1" maxValue="3000"/>
    </cacheField>
    <cacheField name="customer_id" numFmtId="0">
      <sharedItems containsSemiMixedTypes="0" containsString="0" containsNumber="1" containsInteger="1" minValue="6" maxValue="305"/>
    </cacheField>
    <cacheField name="staff_id" numFmtId="0">
      <sharedItems containsSemiMixedTypes="0" containsString="0" containsNumber="1" containsInteger="1" minValue="2" maxValue="5"/>
    </cacheField>
    <cacheField name="liters" numFmtId="0">
      <sharedItems containsSemiMixedTypes="0" containsString="0" containsNumber="1" minValue="9.2899999999999991" maxValue="300"/>
    </cacheField>
    <cacheField name="points" numFmtId="0">
      <sharedItems containsSemiMixedTypes="0" containsString="0" containsNumber="1" minValue="0" maxValue="30"/>
    </cacheField>
    <cacheField name="usedPoints" numFmtId="0">
      <sharedItems containsSemiMixedTypes="0" containsString="0" containsNumber="1" containsInteger="1" minValue="0" maxValue="1"/>
    </cacheField>
    <cacheField name="rewardRate" numFmtId="0">
      <sharedItems containsSemiMixedTypes="0" containsString="0" containsNumber="1" minValue="0.1" maxValue="0.1"/>
    </cacheField>
    <cacheField name="status" numFmtId="0">
      <sharedItems/>
    </cacheField>
    <cacheField name="canceled_by" numFmtId="0">
      <sharedItems containsString="0" containsBlank="1" containsNumber="1" containsInteger="1" minValue="2" maxValue="5"/>
    </cacheField>
    <cacheField name="cancelReason" numFmtId="0">
      <sharedItems/>
    </cacheField>
    <cacheField name="canceledAt" numFmtId="22">
      <sharedItems containsNonDate="0" containsDate="1" containsString="0" containsBlank="1" minDate="2025-10-27T20:18:07" maxDate="2026-10-20T20:31:35"/>
    </cacheField>
    <cacheField name="createdAt" numFmtId="22">
      <sharedItems containsSemiMixedTypes="0" containsNonDate="0" containsDate="1" containsString="0" minDate="2025-10-21T07:03:54" maxDate="2026-10-20T19:48:45"/>
    </cacheField>
    <cacheField name="Fecha" numFmtId="14">
      <sharedItems containsSemiMixedTypes="0" containsNonDate="0" containsDate="1" containsString="0" minDate="2025-10-21T00:00:00" maxDate="2026-10-21T00:00:00"/>
    </cacheField>
    <cacheField name="Mes" numFmtId="0">
      <sharedItems count="13"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  <s v="2026-09"/>
        <s v="2026-10"/>
      </sharedItems>
    </cacheField>
    <cacheField name="TipoCompra" numFmtId="0">
      <sharedItems count="2">
        <s v="Normal"/>
        <s v="Canje"/>
      </sharedItems>
    </cacheField>
    <cacheField name="Compra" numFmtId="0">
      <sharedItems containsSemiMixedTypes="0" containsString="0" containsNumber="1" containsInteger="1" minValue="1" maxValue="1"/>
    </cacheField>
    <cacheField name="Cancelada" numFmtId="0">
      <sharedItems containsSemiMixedTypes="0" containsString="0" containsNumber="1" containsInteger="1" minValue="0" maxValue="1"/>
    </cacheField>
    <cacheField name="LitrosActivos" numFmtId="0">
      <sharedItems containsSemiMixedTypes="0" containsString="0" containsNumber="1" minValue="0" maxValue="300" count="2515">
        <n v="22.39"/>
        <n v="17.54"/>
        <n v="41.82"/>
        <n v="70.14"/>
        <n v="123.28"/>
        <n v="49.06"/>
        <n v="59.12"/>
        <n v="146.44999999999999"/>
        <n v="171.7"/>
        <n v="96.77"/>
        <n v="289.02999999999997"/>
        <n v="164.7"/>
        <n v="22.96"/>
        <n v="28.75"/>
        <n v="32.909999999999997"/>
        <n v="26.62"/>
        <n v="65.28"/>
        <n v="66.95"/>
        <n v="97.63"/>
        <n v="46.87"/>
        <n v="70.89"/>
        <n v="74.959999999999994"/>
        <n v="42.36"/>
        <n v="104.75"/>
        <n v="282"/>
        <n v="217.76"/>
        <n v="94.72"/>
        <n v="247.05"/>
        <n v="257.35000000000002"/>
        <n v="25.04"/>
        <n v="40.229999999999997"/>
        <n v="20.96"/>
        <n v="0"/>
        <n v="18.809999999999999"/>
        <n v="25.05"/>
        <n v="50.69"/>
        <n v="15.74"/>
        <n v="46.46"/>
        <n v="74.510000000000005"/>
        <n v="23.21"/>
        <n v="38.32"/>
        <n v="28.32"/>
        <n v="38.58"/>
        <n v="30.61"/>
        <n v="30.71"/>
        <n v="29.6"/>
        <n v="33.43"/>
        <n v="24.71"/>
        <n v="40.33"/>
        <n v="32.31"/>
        <n v="37.450000000000003"/>
        <n v="37.71"/>
        <n v="31.27"/>
        <n v="182.33"/>
        <n v="180.72"/>
        <n v="260.54000000000002"/>
        <n v="134.36000000000001"/>
        <n v="262.82"/>
        <n v="153.46"/>
        <n v="172.44"/>
        <n v="201.86"/>
        <n v="211.1"/>
        <n v="220.47"/>
        <n v="248.53"/>
        <n v="74.02"/>
        <n v="93.95"/>
        <n v="28.96"/>
        <n v="13.17"/>
        <n v="26.44"/>
        <n v="21.9"/>
        <n v="185.25"/>
        <n v="260.45"/>
        <n v="210.81"/>
        <n v="225.31"/>
        <n v="300"/>
        <n v="239.9"/>
        <n v="235.51"/>
        <n v="149.69999999999999"/>
        <n v="80"/>
        <n v="161.05000000000001"/>
        <n v="111.21"/>
        <n v="169.47"/>
        <n v="182.24"/>
        <n v="238.54"/>
        <n v="219.96"/>
        <n v="167.92"/>
        <n v="162.96"/>
        <n v="147.51"/>
        <n v="200.11"/>
        <n v="127.25"/>
        <n v="212.75"/>
        <n v="133.46"/>
        <n v="103.9"/>
        <n v="192.09"/>
        <n v="148.80000000000001"/>
        <n v="252.92"/>
        <n v="106.93"/>
        <n v="207.99"/>
        <n v="227.5"/>
        <n v="234.11"/>
        <n v="137.38"/>
        <n v="120.39"/>
        <n v="37.03"/>
        <n v="14.26"/>
        <n v="32.049999999999997"/>
        <n v="35.06"/>
        <n v="32.17"/>
        <n v="32.44"/>
        <n v="24.63"/>
        <n v="108.49"/>
        <n v="83.59"/>
        <n v="102.16"/>
        <n v="211.68"/>
        <n v="122.72"/>
        <n v="37.83"/>
        <n v="44.78"/>
        <n v="26.47"/>
        <n v="35.840000000000003"/>
        <n v="24.16"/>
        <n v="27.28"/>
        <n v="16.87"/>
        <n v="16.510000000000002"/>
        <n v="33.840000000000003"/>
        <n v="30.69"/>
        <n v="57.1"/>
        <n v="34.909999999999997"/>
        <n v="17.91"/>
        <n v="30.92"/>
        <n v="28.85"/>
        <n v="40.06"/>
        <n v="30.36"/>
        <n v="14.33"/>
        <n v="23.23"/>
        <n v="60.78"/>
        <n v="60.83"/>
        <n v="67.8"/>
        <n v="113.78"/>
        <n v="64.77"/>
        <n v="120.44"/>
        <n v="178.83"/>
        <n v="63.48"/>
        <n v="78.83"/>
        <n v="68.930000000000007"/>
        <n v="86.19"/>
        <n v="43.26"/>
        <n v="27.96"/>
        <n v="43.64"/>
        <n v="26.39"/>
        <n v="19.12"/>
        <n v="30.55"/>
        <n v="39.229999999999997"/>
        <n v="33.99"/>
        <n v="56.04"/>
        <n v="18.72"/>
        <n v="27.87"/>
        <n v="28.09"/>
        <n v="45.55"/>
        <n v="23.67"/>
        <n v="117.69"/>
        <n v="23.31"/>
        <n v="53.78"/>
        <n v="23.11"/>
        <n v="27.08"/>
        <n v="32.090000000000003"/>
        <n v="66.290000000000006"/>
        <n v="165.49"/>
        <n v="39.450000000000003"/>
        <n v="220.27"/>
        <n v="250.71"/>
        <n v="105"/>
        <n v="170.35"/>
        <n v="196.58"/>
        <n v="133.36000000000001"/>
        <n v="93.92"/>
        <n v="111.86"/>
        <n v="27.58"/>
        <n v="30.19"/>
        <n v="28.92"/>
        <n v="57.29"/>
        <n v="72.959999999999994"/>
        <n v="27.16"/>
        <n v="34.950000000000003"/>
        <n v="21.53"/>
        <n v="17.88"/>
        <n v="22.78"/>
        <n v="18.13"/>
        <n v="15.02"/>
        <n v="30.7"/>
        <n v="49.02"/>
        <n v="47.42"/>
        <n v="30.08"/>
        <n v="41.12"/>
        <n v="35.24"/>
        <n v="172.15"/>
        <n v="64.510000000000005"/>
        <n v="82.19"/>
        <n v="144.91999999999999"/>
        <n v="30.54"/>
        <n v="72.61"/>
        <n v="130.29"/>
        <n v="220"/>
        <n v="91.02"/>
        <n v="52.18"/>
        <n v="29.73"/>
        <n v="21"/>
        <n v="32.94"/>
        <n v="51.37"/>
        <n v="46.6"/>
        <n v="33.29"/>
        <n v="40.42"/>
        <n v="136.86000000000001"/>
        <n v="172.59"/>
        <n v="38.03"/>
        <n v="77.52"/>
        <n v="76.790000000000006"/>
        <n v="46.57"/>
        <n v="75.010000000000005"/>
        <n v="95.31"/>
        <n v="81.53"/>
        <n v="21.87"/>
        <n v="14.34"/>
        <n v="37.81"/>
        <n v="91.6"/>
        <n v="65.47"/>
        <n v="118.97"/>
        <n v="54.06"/>
        <n v="99.89"/>
        <n v="72.239999999999995"/>
        <n v="63.81"/>
        <n v="28.43"/>
        <n v="19"/>
        <n v="42.72"/>
        <n v="19.02"/>
        <n v="57.5"/>
        <n v="36.75"/>
        <n v="27.97"/>
        <n v="23.51"/>
        <n v="186.56"/>
        <n v="124.65"/>
        <n v="68.86"/>
        <n v="186.72"/>
        <n v="209.03"/>
        <n v="102.34"/>
        <n v="247.63"/>
        <n v="61.61"/>
        <n v="222.04"/>
        <n v="24.99"/>
        <n v="40.92"/>
        <n v="96.92"/>
        <n v="87.31"/>
        <n v="133.88"/>
        <n v="97.31"/>
        <n v="106.78"/>
        <n v="233.89"/>
        <n v="147.52000000000001"/>
        <n v="95.27"/>
        <n v="87.66"/>
        <n v="73.459999999999994"/>
        <n v="51.1"/>
        <n v="36.32"/>
        <n v="33.19"/>
        <n v="55.79"/>
        <n v="240.38"/>
        <n v="23.35"/>
        <n v="25.63"/>
        <n v="17.57"/>
        <n v="26.8"/>
        <n v="95.77"/>
        <n v="81.319999999999993"/>
        <n v="67.86"/>
        <n v="123.9"/>
        <n v="75.52"/>
        <n v="35.799999999999997"/>
        <n v="24.23"/>
        <n v="121.07"/>
        <n v="64.02"/>
        <n v="82.8"/>
        <n v="183.9"/>
        <n v="34.28"/>
        <n v="19.13"/>
        <n v="59.41"/>
        <n v="38.83"/>
        <n v="17.239999999999998"/>
        <n v="39.380000000000003"/>
        <n v="135.19999999999999"/>
        <n v="53.91"/>
        <n v="30.68"/>
        <n v="26.13"/>
        <n v="173.66"/>
        <n v="41.35"/>
        <n v="42.84"/>
        <n v="19.62"/>
        <n v="33"/>
        <n v="152.87"/>
        <n v="39.340000000000003"/>
        <n v="49.27"/>
        <n v="43.41"/>
        <n v="23.81"/>
        <n v="26.3"/>
        <n v="30.94"/>
        <n v="90.94"/>
        <n v="137.44"/>
        <n v="115.14"/>
        <n v="64.739999999999995"/>
        <n v="57.64"/>
        <n v="45.76"/>
        <n v="99.24"/>
        <n v="37.619999999999997"/>
        <n v="107.22"/>
        <n v="97.08"/>
        <n v="145.86000000000001"/>
        <n v="103.96"/>
        <n v="159.43"/>
        <n v="34.75"/>
        <n v="58.54"/>
        <n v="251.9"/>
        <n v="224.24"/>
        <n v="66.47"/>
        <n v="252.37"/>
        <n v="28.49"/>
        <n v="157.72999999999999"/>
        <n v="28.62"/>
        <n v="187.54"/>
        <n v="106.97"/>
        <n v="111.46"/>
        <n v="41.24"/>
        <n v="38.409999999999997"/>
        <n v="79.989999999999995"/>
        <n v="39.18"/>
        <n v="85.63"/>
        <n v="88.83"/>
        <n v="61.24"/>
        <n v="74.31"/>
        <n v="74.83"/>
        <n v="18.97"/>
        <n v="29.95"/>
        <n v="19.39"/>
        <n v="76.47"/>
        <n v="44.48"/>
        <n v="26.07"/>
        <n v="22.77"/>
        <n v="16.86"/>
        <n v="36.93"/>
        <n v="111.77"/>
        <n v="37.49"/>
        <n v="214.64"/>
        <n v="165.26"/>
        <n v="18.88"/>
        <n v="148.19"/>
        <n v="140.74"/>
        <n v="19.760000000000002"/>
        <n v="146.71"/>
        <n v="82.29"/>
        <n v="84.93"/>
        <n v="18.47"/>
        <n v="90.46"/>
        <n v="31.1"/>
        <n v="36.74"/>
        <n v="77.11"/>
        <n v="33.93"/>
        <n v="90.76"/>
        <n v="25.92"/>
        <n v="105.17"/>
        <n v="43.33"/>
        <n v="60.14"/>
        <n v="25.47"/>
        <n v="21.6"/>
        <n v="166.66"/>
        <n v="85.15"/>
        <n v="51.72"/>
        <n v="44.64"/>
        <n v="101.59"/>
        <n v="46.77"/>
        <n v="58.99"/>
        <n v="21.52"/>
        <n v="33.11"/>
        <n v="64.040000000000006"/>
        <n v="37.630000000000003"/>
        <n v="26.63"/>
        <n v="77.400000000000006"/>
        <n v="22.72"/>
        <n v="24.26"/>
        <n v="119.89"/>
        <n v="202.95"/>
        <n v="42.39"/>
        <n v="58.72"/>
        <n v="19.96"/>
        <n v="80.36"/>
        <n v="68.08"/>
        <n v="72.680000000000007"/>
        <n v="28.84"/>
        <n v="37.58"/>
        <n v="106.62"/>
        <n v="25.18"/>
        <n v="143.87"/>
        <n v="37.22"/>
        <n v="159.81"/>
        <n v="102"/>
        <n v="32.409999999999997"/>
        <n v="38.590000000000003"/>
        <n v="153.35"/>
        <n v="133.62"/>
        <n v="57.38"/>
        <n v="51.15"/>
        <n v="18.77"/>
        <n v="38.89"/>
        <n v="104.33"/>
        <n v="30.1"/>
        <n v="46.79"/>
        <n v="175.89"/>
        <n v="24.89"/>
        <n v="32.22"/>
        <n v="33.78"/>
        <n v="47.25"/>
        <n v="31.68"/>
        <n v="27.25"/>
        <n v="182.18"/>
        <n v="82.04"/>
        <n v="31.91"/>
        <n v="29.06"/>
        <n v="90.75"/>
        <n v="61.51"/>
        <n v="136.24"/>
        <n v="20.49"/>
        <n v="133.80000000000001"/>
        <n v="203.63"/>
        <n v="27.41"/>
        <n v="39.46"/>
        <n v="149.47"/>
        <n v="43.7"/>
        <n v="25.9"/>
        <n v="68.17"/>
        <n v="19.28"/>
        <n v="30.79"/>
        <n v="194.1"/>
        <n v="25.14"/>
        <n v="23.87"/>
        <n v="37.28"/>
        <n v="171.52"/>
        <n v="204.45"/>
        <n v="140.99"/>
        <n v="52.73"/>
        <n v="214.27"/>
        <n v="11.89"/>
        <n v="22.48"/>
        <n v="36.47"/>
        <n v="22.22"/>
        <n v="45.02"/>
        <n v="29.1"/>
        <n v="62.39"/>
        <n v="98.72"/>
        <n v="132.05000000000001"/>
        <n v="40.74"/>
        <n v="121.23"/>
        <n v="193.92"/>
        <n v="61.47"/>
        <n v="41.21"/>
        <n v="177.83"/>
        <n v="193.24"/>
        <n v="70.540000000000006"/>
        <n v="29.4"/>
        <n v="30.34"/>
        <n v="17.04"/>
        <n v="87.93"/>
        <n v="30.84"/>
        <n v="109.97"/>
        <n v="49.24"/>
        <n v="81.06"/>
        <n v="50.57"/>
        <n v="240.49"/>
        <n v="54.83"/>
        <n v="20.75"/>
        <n v="16.850000000000001"/>
        <n v="29.26"/>
        <n v="20.09"/>
        <n v="76.84"/>
        <n v="76.680000000000007"/>
        <n v="32.19"/>
        <n v="29.92"/>
        <n v="55.64"/>
        <n v="84.85"/>
        <n v="24.45"/>
        <n v="21.44"/>
        <n v="107.33"/>
        <n v="26.35"/>
        <n v="26.65"/>
        <n v="24.12"/>
        <n v="81.11"/>
        <n v="61.27"/>
        <n v="200.29"/>
        <n v="70.150000000000006"/>
        <n v="37.590000000000003"/>
        <n v="33.22"/>
        <n v="50.91"/>
        <n v="24.33"/>
        <n v="22.31"/>
        <n v="36.01"/>
        <n v="34.020000000000003"/>
        <n v="114.76"/>
        <n v="113.18"/>
        <n v="32.04"/>
        <n v="22.24"/>
        <n v="25.11"/>
        <n v="99.39"/>
        <n v="64.959999999999994"/>
        <n v="87.5"/>
        <n v="176.77"/>
        <n v="43.12"/>
        <n v="38.39"/>
        <n v="39.06"/>
        <n v="37.6"/>
        <n v="74.53"/>
        <n v="19.22"/>
        <n v="31.8"/>
        <n v="43.05"/>
        <n v="36.450000000000003"/>
        <n v="125.29"/>
        <n v="20.66"/>
        <n v="25.49"/>
        <n v="37.39"/>
        <n v="96.13"/>
        <n v="193.48"/>
        <n v="14.18"/>
        <n v="292.19"/>
        <n v="28.63"/>
        <n v="70.91"/>
        <n v="68.48"/>
        <n v="70.97"/>
        <n v="35.21"/>
        <n v="230.91"/>
        <n v="45.4"/>
        <n v="67.23"/>
        <n v="94.7"/>
        <n v="157.16"/>
        <n v="37.11"/>
        <n v="123.42"/>
        <n v="278.97000000000003"/>
        <n v="19.670000000000002"/>
        <n v="94.51"/>
        <n v="65.260000000000005"/>
        <n v="22.56"/>
        <n v="163.38999999999999"/>
        <n v="112.64"/>
        <n v="51.8"/>
        <n v="174.89"/>
        <n v="32.86"/>
        <n v="34.58"/>
        <n v="89.55"/>
        <n v="112.96"/>
        <n v="78.680000000000007"/>
        <n v="253.28"/>
        <n v="233.49"/>
        <n v="23.32"/>
        <n v="51.39"/>
        <n v="18.399999999999999"/>
        <n v="119.36"/>
        <n v="27.82"/>
        <n v="157.72"/>
        <n v="37.25"/>
        <n v="128.19"/>
        <n v="24.58"/>
        <n v="70.599999999999994"/>
        <n v="49.62"/>
        <n v="19.309999999999999"/>
        <n v="112.56"/>
        <n v="20.93"/>
        <n v="26.9"/>
        <n v="110.13"/>
        <n v="158.80000000000001"/>
        <n v="95.91"/>
        <n v="149.75"/>
        <n v="35.630000000000003"/>
        <n v="116.9"/>
        <n v="72.48"/>
        <n v="40.380000000000003"/>
        <n v="34.18"/>
        <n v="111.48"/>
        <n v="85.23"/>
        <n v="120.31"/>
        <n v="220.9"/>
        <n v="83.75"/>
        <n v="116.37"/>
        <n v="26.85"/>
        <n v="126.12"/>
        <n v="19.73"/>
        <n v="17.77"/>
        <n v="149.34"/>
        <n v="288.98"/>
        <n v="37.93"/>
        <n v="74.62"/>
        <n v="35.94"/>
        <n v="31.07"/>
        <n v="21.26"/>
        <n v="32.700000000000003"/>
        <n v="20.239999999999998"/>
        <n v="78.37"/>
        <n v="179.78"/>
        <n v="81.34"/>
        <n v="98.5"/>
        <n v="33.590000000000003"/>
        <n v="49.71"/>
        <n v="19.47"/>
        <n v="15.49"/>
        <n v="63.95"/>
        <n v="158.77000000000001"/>
        <n v="18.91"/>
        <n v="119.57"/>
        <n v="20.62"/>
        <n v="139.83000000000001"/>
        <n v="99.59"/>
        <n v="129.74"/>
        <n v="27.29"/>
        <n v="36.520000000000003"/>
        <n v="22.6"/>
        <n v="182.5"/>
        <n v="60.67"/>
        <n v="33.770000000000003"/>
        <n v="219.27"/>
        <n v="26.38"/>
        <n v="133.58000000000001"/>
        <n v="34.729999999999997"/>
        <n v="30.91"/>
        <n v="18.739999999999998"/>
        <n v="65.790000000000006"/>
        <n v="39.78"/>
        <n v="95.04"/>
        <n v="36.200000000000003"/>
        <n v="90.29"/>
        <n v="27.04"/>
        <n v="195.07"/>
        <n v="148.77000000000001"/>
        <n v="40.54"/>
        <n v="159.13"/>
        <n v="30.58"/>
        <n v="29.55"/>
        <n v="19.329999999999998"/>
        <n v="79.63"/>
        <n v="254.82"/>
        <n v="231.82"/>
        <n v="103.91"/>
        <n v="66.87"/>
        <n v="170.3"/>
        <n v="223.87"/>
        <n v="105.13"/>
        <n v="34.1"/>
        <n v="35.46"/>
        <n v="34.450000000000003"/>
        <n v="164.81"/>
        <n v="242.39"/>
        <n v="36.25"/>
        <n v="123.12"/>
        <n v="46.82"/>
        <n v="132.54"/>
        <n v="68.11"/>
        <n v="178.06"/>
        <n v="258.23"/>
        <n v="96.72"/>
        <n v="23.92"/>
        <n v="126.25"/>
        <n v="159.74"/>
        <n v="63.82"/>
        <n v="31.6"/>
        <n v="108.92"/>
        <n v="41.85"/>
        <n v="57.45"/>
        <n v="31.97"/>
        <n v="71"/>
        <n v="87.88"/>
        <n v="27.63"/>
        <n v="163.11000000000001"/>
        <n v="38.299999999999997"/>
        <n v="13.8"/>
        <n v="116.16"/>
        <n v="81.81"/>
        <n v="72.28"/>
        <n v="39.24"/>
        <n v="27.64"/>
        <n v="31.56"/>
        <n v="117.76"/>
        <n v="114.51"/>
        <n v="73.69"/>
        <n v="61.35"/>
        <n v="37.64"/>
        <n v="189.64"/>
        <n v="214.97"/>
        <n v="37.32"/>
        <n v="45.11"/>
        <n v="67.03"/>
        <n v="73.650000000000006"/>
        <n v="230.28"/>
        <n v="31.43"/>
        <n v="50.17"/>
        <n v="31.73"/>
        <n v="26.5"/>
        <n v="164.71"/>
        <n v="19.649999999999999"/>
        <n v="34.61"/>
        <n v="18"/>
        <n v="58.6"/>
        <n v="119.06"/>
        <n v="67.56"/>
        <n v="215.21"/>
        <n v="97.72"/>
        <n v="137.16999999999999"/>
        <n v="34.21"/>
        <n v="25.65"/>
        <n v="70.760000000000005"/>
        <n v="17.190000000000001"/>
        <n v="60.79"/>
        <n v="25.76"/>
        <n v="57.23"/>
        <n v="26.45"/>
        <n v="47.16"/>
        <n v="95.23"/>
        <n v="180.51"/>
        <n v="133.01"/>
        <n v="19.54"/>
        <n v="262.43"/>
        <n v="48.8"/>
        <n v="136.68"/>
        <n v="25.28"/>
        <n v="44.41"/>
        <n v="30.09"/>
        <n v="69.459999999999994"/>
        <n v="69.31"/>
        <n v="56.56"/>
        <n v="92.06"/>
        <n v="47.26"/>
        <n v="29.82"/>
        <n v="101.13"/>
        <n v="74.010000000000005"/>
        <n v="39.32"/>
        <n v="141.72999999999999"/>
        <n v="30.75"/>
        <n v="231.19"/>
        <n v="119.34"/>
        <n v="28.19"/>
        <n v="67.680000000000007"/>
        <n v="269.41000000000003"/>
        <n v="96.45"/>
        <n v="64.13"/>
        <n v="40.299999999999997"/>
        <n v="140.52000000000001"/>
        <n v="34.17"/>
        <n v="234.37"/>
        <n v="129.75"/>
        <n v="71.67"/>
        <n v="66.03"/>
        <n v="258.8"/>
        <n v="71.08"/>
        <n v="124.67"/>
        <n v="80.62"/>
        <n v="104.62"/>
        <n v="89.77"/>
        <n v="115.7"/>
        <n v="38.43"/>
        <n v="199.12"/>
        <n v="39.42"/>
        <n v="76.31"/>
        <n v="53.27"/>
        <n v="27.77"/>
        <n v="22.7"/>
        <n v="134.28"/>
        <n v="162.28"/>
        <n v="141.41"/>
        <n v="221.42"/>
        <n v="38.229999999999997"/>
        <n v="220.28"/>
        <n v="78.5"/>
        <n v="121.98"/>
        <n v="137.87"/>
        <n v="39.68"/>
        <n v="90.27"/>
        <n v="23.05"/>
        <n v="113.09"/>
        <n v="126"/>
        <n v="41.13"/>
        <n v="29.07"/>
        <n v="25.99"/>
        <n v="160.68"/>
        <n v="30.18"/>
        <n v="69.39"/>
        <n v="56.32"/>
        <n v="124.32"/>
        <n v="175.53"/>
        <n v="63.37"/>
        <n v="271.67"/>
        <n v="27.59"/>
        <n v="111.35"/>
        <n v="28.55"/>
        <n v="137.31"/>
        <n v="15.9"/>
        <n v="32.270000000000003"/>
        <n v="84.38"/>
        <n v="29.99"/>
        <n v="43.83"/>
        <n v="23.16"/>
        <n v="29.01"/>
        <n v="177.85"/>
        <n v="110.32"/>
        <n v="171.38"/>
        <n v="21.86"/>
        <n v="121.45"/>
        <n v="222.39"/>
        <n v="25.89"/>
        <n v="25.66"/>
        <n v="71.180000000000007"/>
        <n v="135.62"/>
        <n v="172.55"/>
        <n v="74.05"/>
        <n v="99.51"/>
        <n v="178.42"/>
        <n v="38.47"/>
        <n v="38.130000000000003"/>
        <n v="161.43"/>
        <n v="34.64"/>
        <n v="61.14"/>
        <n v="67.77"/>
        <n v="208.71"/>
        <n v="41.28"/>
        <n v="24.93"/>
        <n v="22.08"/>
        <n v="43.28"/>
        <n v="60.59"/>
        <n v="137.62"/>
        <n v="29.44"/>
        <n v="74.44"/>
        <n v="35.36"/>
        <n v="128.01"/>
        <n v="30.57"/>
        <n v="20.85"/>
        <n v="120.49"/>
        <n v="36.869999999999997"/>
        <n v="89.2"/>
        <n v="24"/>
        <n v="139.1"/>
        <n v="277.13"/>
        <n v="38.22"/>
        <n v="103.39"/>
        <n v="23.68"/>
        <n v="185.64"/>
        <n v="76.239999999999995"/>
        <n v="188.34"/>
        <n v="24.31"/>
        <n v="46.51"/>
        <n v="12.89"/>
        <n v="28.5"/>
        <n v="21.79"/>
        <n v="131.68"/>
        <n v="89.1"/>
        <n v="19.48"/>
        <n v="112.38"/>
        <n v="155.91999999999999"/>
        <n v="222.44"/>
        <n v="245.53"/>
        <n v="30.81"/>
        <n v="75.62"/>
        <n v="134.59"/>
        <n v="168.1"/>
        <n v="32.03"/>
        <n v="22.85"/>
        <n v="30.03"/>
        <n v="38.9"/>
        <n v="26.77"/>
        <n v="31.08"/>
        <n v="97.97"/>
        <n v="148.15"/>
        <n v="14.52"/>
        <n v="191.67"/>
        <n v="106.1"/>
        <n v="69.38"/>
        <n v="31.42"/>
        <n v="110.05"/>
        <n v="79.099999999999994"/>
        <n v="85.14"/>
        <n v="61.58"/>
        <n v="70.209999999999994"/>
        <n v="135.07"/>
        <n v="43.01"/>
        <n v="68.95"/>
        <n v="147.09"/>
        <n v="146.46"/>
        <n v="44.08"/>
        <n v="51.71"/>
        <n v="67.959999999999994"/>
        <n v="18.87"/>
        <n v="83.07"/>
        <n v="22.89"/>
        <n v="38.119999999999997"/>
        <n v="191.87"/>
        <n v="37.14"/>
        <n v="33.64"/>
        <n v="31.93"/>
        <n v="191.54"/>
        <n v="96.76"/>
        <n v="194.39"/>
        <n v="103.97"/>
        <n v="28.7"/>
        <n v="26.89"/>
        <n v="23.03"/>
        <n v="15.17"/>
        <n v="77.7"/>
        <n v="41.98"/>
        <n v="86.58"/>
        <n v="101.33"/>
        <n v="78.05"/>
        <n v="44.56"/>
        <n v="140.26"/>
        <n v="118.29"/>
        <n v="79.06"/>
        <n v="193.72"/>
        <n v="82.89"/>
        <n v="72.150000000000006"/>
        <n v="204.57"/>
        <n v="23.22"/>
        <n v="69.44"/>
        <n v="149.65"/>
        <n v="35.29"/>
        <n v="165.12"/>
        <n v="160.56"/>
        <n v="57.43"/>
        <n v="30.21"/>
        <n v="27.95"/>
        <n v="52.94"/>
        <n v="26.08"/>
        <n v="203.18"/>
        <n v="33.24"/>
        <n v="33.54"/>
        <n v="15.08"/>
        <n v="191.65"/>
        <n v="279.92"/>
        <n v="235.25"/>
        <n v="141.26"/>
        <n v="31.51"/>
        <n v="44.28"/>
        <n v="162.82"/>
        <n v="38.53"/>
        <n v="77.790000000000006"/>
        <n v="38.21"/>
        <n v="28.04"/>
        <n v="84.79"/>
        <n v="87.16"/>
        <n v="89.54"/>
        <n v="19.079999999999998"/>
        <n v="66.53"/>
        <n v="102.35"/>
        <n v="25.86"/>
        <n v="125.62"/>
        <n v="82.68"/>
        <n v="38.159999999999997"/>
        <n v="223.73"/>
        <n v="153.06"/>
        <n v="186.44"/>
        <n v="31.67"/>
        <n v="15.06"/>
        <n v="141.54"/>
        <n v="48.23"/>
        <n v="60.03"/>
        <n v="168.14"/>
        <n v="221.25"/>
        <n v="100.67"/>
        <n v="35.15"/>
        <n v="36.04"/>
        <n v="88.44"/>
        <n v="31.87"/>
        <n v="196.66"/>
        <n v="60.39"/>
        <n v="32.28"/>
        <n v="36.79"/>
        <n v="19.18"/>
        <n v="18.23"/>
        <n v="98.55"/>
        <n v="20.67"/>
        <n v="268.2"/>
        <n v="17.309999999999999"/>
        <n v="30.32"/>
        <n v="268.69"/>
        <n v="63.12"/>
        <n v="105.04"/>
        <n v="107.89"/>
        <n v="18.38"/>
        <n v="71.599999999999994"/>
        <n v="19.52"/>
        <n v="41.72"/>
        <n v="41.48"/>
        <n v="35.76"/>
        <n v="140.53"/>
        <n v="29.76"/>
        <n v="12.88"/>
        <n v="71.760000000000005"/>
        <n v="28.12"/>
        <n v="30.07"/>
        <n v="21.41"/>
        <n v="29.94"/>
        <n v="192.87"/>
        <n v="23.91"/>
        <n v="27.43"/>
        <n v="97.91"/>
        <n v="110.04"/>
        <n v="42.6"/>
        <n v="31.23"/>
        <n v="109.73"/>
        <n v="33.75"/>
        <n v="128.61000000000001"/>
        <n v="31.4"/>
        <n v="14.47"/>
        <n v="25.12"/>
        <n v="70.62"/>
        <n v="17.670000000000002"/>
        <n v="87.87"/>
        <n v="33.01"/>
        <n v="15.18"/>
        <n v="107.45"/>
        <n v="149.97999999999999"/>
        <n v="26.92"/>
        <n v="54.9"/>
        <n v="43.21"/>
        <n v="19.61"/>
        <n v="181.2"/>
        <n v="43"/>
        <n v="107.24"/>
        <n v="23.69"/>
        <n v="98.88"/>
        <n v="161.41999999999999"/>
        <n v="42.96"/>
        <n v="156.49"/>
        <n v="76.36"/>
        <n v="138.41999999999999"/>
        <n v="61.36"/>
        <n v="35.700000000000003"/>
        <n v="44.74"/>
        <n v="41.15"/>
        <n v="23.04"/>
        <n v="35.61"/>
        <n v="265.12"/>
        <n v="44.38"/>
        <n v="82.53"/>
        <n v="44.96"/>
        <n v="19.53"/>
        <n v="29.27"/>
        <n v="18.98"/>
        <n v="26.26"/>
        <n v="17.64"/>
        <n v="58.26"/>
        <n v="30.3"/>
        <n v="38.619999999999997"/>
        <n v="130.75"/>
        <n v="30.39"/>
        <n v="40.590000000000003"/>
        <n v="63.77"/>
        <n v="196.44"/>
        <n v="77.59"/>
        <n v="148.16"/>
        <n v="58.63"/>
        <n v="31.11"/>
        <n v="199.04"/>
        <n v="59.7"/>
        <n v="135.6"/>
        <n v="56.46"/>
        <n v="295.49"/>
        <n v="51.18"/>
        <n v="139.13"/>
        <n v="155.81"/>
        <n v="96.91"/>
        <n v="38.61"/>
        <n v="75.680000000000007"/>
        <n v="140.63999999999999"/>
        <n v="167.93"/>
        <n v="68.14"/>
        <n v="22.87"/>
        <n v="216.57"/>
        <n v="147.57"/>
        <n v="106.46"/>
        <n v="24.39"/>
        <n v="15.55"/>
        <n v="151.62"/>
        <n v="119.33"/>
        <n v="48.7"/>
        <n v="25.62"/>
        <n v="66.14"/>
        <n v="47.93"/>
        <n v="174.22"/>
        <n v="293.54000000000002"/>
        <n v="39.020000000000003"/>
        <n v="34.049999999999997"/>
        <n v="35.89"/>
        <n v="49"/>
        <n v="71.959999999999994"/>
        <n v="90.47"/>
        <n v="22.81"/>
        <n v="34.07"/>
        <n v="106.41"/>
        <n v="24.59"/>
        <n v="121.1"/>
        <n v="175.5"/>
        <n v="113.8"/>
        <n v="194.38"/>
        <n v="26.4"/>
        <n v="15.05"/>
        <n v="104.05"/>
        <n v="55.54"/>
        <n v="36.479999999999997"/>
        <n v="34.08"/>
        <n v="187.87"/>
        <n v="227.56"/>
        <n v="126.26"/>
        <n v="199.33"/>
        <n v="21.72"/>
        <n v="58.48"/>
        <n v="114.62"/>
        <n v="166.59"/>
        <n v="188.15"/>
        <n v="158.59"/>
        <n v="39.520000000000003"/>
        <n v="21.67"/>
        <n v="142.66999999999999"/>
        <n v="129.31"/>
        <n v="32.46"/>
        <n v="63.64"/>
        <n v="27.34"/>
        <n v="90.13"/>
        <n v="21.93"/>
        <n v="23.02"/>
        <n v="36.43"/>
        <n v="33.68"/>
        <n v="253.63"/>
        <n v="33.97"/>
        <n v="48.72"/>
        <n v="16.2"/>
        <n v="25.84"/>
        <n v="75.88"/>
        <n v="28.24"/>
        <n v="139.71"/>
        <n v="145.51"/>
        <n v="38.04"/>
        <n v="24.94"/>
        <n v="37.72"/>
        <n v="111.51"/>
        <n v="33.65"/>
        <n v="84.24"/>
        <n v="98.07"/>
        <n v="21.92"/>
        <n v="127.99"/>
        <n v="22.02"/>
        <n v="38.909999999999997"/>
        <n v="103.59"/>
        <n v="23.9"/>
        <n v="97.7"/>
        <n v="35.770000000000003"/>
        <n v="123.08"/>
        <n v="130.44"/>
        <n v="166.2"/>
        <n v="84.21"/>
        <n v="32.21"/>
        <n v="27.73"/>
        <n v="161.22"/>
        <n v="31.16"/>
        <n v="94.11"/>
        <n v="127.47"/>
        <n v="205.08"/>
        <n v="33.450000000000003"/>
        <n v="51.69"/>
        <n v="124.89"/>
        <n v="24.84"/>
        <n v="20.16"/>
        <n v="31.72"/>
        <n v="23.63"/>
        <n v="53.74"/>
        <n v="14.14"/>
        <n v="147.58000000000001"/>
        <n v="20.22"/>
        <n v="18.579999999999998"/>
        <n v="77.91"/>
        <n v="73.44"/>
        <n v="30.14"/>
        <n v="62.71"/>
        <n v="26.04"/>
        <n v="57.51"/>
        <n v="36.549999999999997"/>
        <n v="100.54"/>
        <n v="40.53"/>
        <n v="45.53"/>
        <n v="73.94"/>
        <n v="32.42"/>
        <n v="47.8"/>
        <n v="61.46"/>
        <n v="75.06"/>
        <n v="166.97"/>
        <n v="60.99"/>
        <n v="203.94"/>
        <n v="26.81"/>
        <n v="110.92"/>
        <n v="38.33"/>
        <n v="85.78"/>
        <n v="63.86"/>
        <n v="149.32"/>
        <n v="119.65"/>
        <n v="201.22"/>
        <n v="31.44"/>
        <n v="92.54"/>
        <n v="40.69"/>
        <n v="21.15"/>
        <n v="55.66"/>
        <n v="50.95"/>
        <n v="42.57"/>
        <n v="18.04"/>
        <n v="22.63"/>
        <n v="34.340000000000003"/>
        <n v="64.23"/>
        <n v="41.46"/>
        <n v="211.61"/>
        <n v="27.15"/>
        <n v="22.88"/>
        <n v="15.57"/>
        <n v="33.340000000000003"/>
        <n v="23.74"/>
        <n v="98.95"/>
        <n v="17.7"/>
        <n v="75.27"/>
        <n v="24.28"/>
        <n v="148.06"/>
        <n v="128.05000000000001"/>
        <n v="23.88"/>
        <n v="41.4"/>
        <n v="57.04"/>
        <n v="133.55000000000001"/>
        <n v="217.44"/>
        <n v="33.28"/>
        <n v="154.94999999999999"/>
        <n v="114.27"/>
        <n v="19.05"/>
        <n v="135.02000000000001"/>
        <n v="24.1"/>
        <n v="23.85"/>
        <n v="80.739999999999995"/>
        <n v="111.97"/>
        <n v="65.78"/>
        <n v="82.63"/>
        <n v="236.03"/>
        <n v="177.37"/>
        <n v="65.8"/>
        <n v="29.31"/>
        <n v="204.16"/>
        <n v="71.59"/>
        <n v="16.739999999999998"/>
        <n v="98.51"/>
        <n v="28.76"/>
        <n v="65.849999999999994"/>
        <n v="55.07"/>
        <n v="177.81"/>
        <n v="42.91"/>
        <n v="60.12"/>
        <n v="152.03"/>
        <n v="45.93"/>
        <n v="15.32"/>
        <n v="29.16"/>
        <n v="210.04"/>
        <n v="96.93"/>
        <n v="140.79"/>
        <n v="71.989999999999995"/>
        <n v="17.170000000000002"/>
        <n v="32.4"/>
        <n v="220.74"/>
        <n v="25.88"/>
        <n v="71.39"/>
        <n v="34.83"/>
        <n v="35.57"/>
        <n v="179.49"/>
        <n v="171.59"/>
        <n v="18.86"/>
        <n v="69.430000000000007"/>
        <n v="19.489999999999998"/>
        <n v="21.1"/>
        <n v="184.71"/>
        <n v="21.03"/>
        <n v="115.86"/>
        <n v="98.13"/>
        <n v="158.24"/>
        <n v="29.68"/>
        <n v="69.52"/>
        <n v="102.9"/>
        <n v="41.66"/>
        <n v="56.21"/>
        <n v="227.55"/>
        <n v="200.07"/>
        <n v="31.17"/>
        <n v="172.29"/>
        <n v="75.12"/>
        <n v="69.17"/>
        <n v="63.13"/>
        <n v="17.420000000000002"/>
        <n v="23.42"/>
        <n v="22.09"/>
        <n v="66.41"/>
        <n v="232.47"/>
        <n v="25.82"/>
        <n v="117.44"/>
        <n v="73.790000000000006"/>
        <n v="75.63"/>
        <n v="21.42"/>
        <n v="48.59"/>
        <n v="173.13"/>
        <n v="177.86"/>
        <n v="26.22"/>
        <n v="181.09"/>
        <n v="23.7"/>
        <n v="54.24"/>
        <n v="37.82"/>
        <n v="48.25"/>
        <n v="56.51"/>
        <n v="23.44"/>
        <n v="54.69"/>
        <n v="98.89"/>
        <n v="38.75"/>
        <n v="208.47"/>
        <n v="23.41"/>
        <n v="130.5"/>
        <n v="46.75"/>
        <n v="32.99"/>
        <n v="28.41"/>
        <n v="31.15"/>
        <n v="30.56"/>
        <n v="41.18"/>
        <n v="55.21"/>
        <n v="16.7"/>
        <n v="33.880000000000003"/>
        <n v="213.89"/>
        <n v="167.6"/>
        <n v="22.73"/>
        <n v="34.31"/>
        <n v="46.37"/>
        <n v="28.48"/>
        <n v="66.23"/>
        <n v="36.07"/>
        <n v="186.98"/>
        <n v="42.14"/>
        <n v="52.61"/>
        <n v="126.53"/>
        <n v="250.6"/>
        <n v="37.1"/>
        <n v="16.899999999999999"/>
        <n v="42.07"/>
        <n v="35.119999999999997"/>
        <n v="75.430000000000007"/>
        <n v="214.62"/>
        <n v="46.47"/>
        <n v="17.760000000000002"/>
        <n v="78.540000000000006"/>
        <n v="36.18"/>
        <n v="40.619999999999997"/>
        <n v="91.95"/>
        <n v="166.26"/>
        <n v="30.45"/>
        <n v="22.66"/>
        <n v="31.12"/>
        <n v="16.75"/>
        <n v="93.36"/>
        <n v="34.270000000000003"/>
        <n v="193.87"/>
        <n v="190.12"/>
        <n v="73.010000000000005"/>
        <n v="25.25"/>
        <n v="232.1"/>
        <n v="44.6"/>
        <n v="189.01"/>
        <n v="31.95"/>
        <n v="161.97"/>
        <n v="162.97999999999999"/>
        <n v="26"/>
        <n v="30.9"/>
        <n v="24.34"/>
        <n v="37.049999999999997"/>
        <n v="183.15"/>
        <n v="83.5"/>
        <n v="155.54"/>
        <n v="118.4"/>
        <n v="139.72"/>
        <n v="13.71"/>
        <n v="151.06"/>
        <n v="118.08"/>
        <n v="34.79"/>
        <n v="82.72"/>
        <n v="126.85"/>
        <n v="24.54"/>
        <n v="32.020000000000003"/>
        <n v="38.07"/>
        <n v="73.11"/>
        <n v="33.26"/>
        <n v="246.11"/>
        <n v="17.16"/>
        <n v="19.57"/>
        <n v="16.18"/>
        <n v="177.56"/>
        <n v="225.53"/>
        <n v="98.79"/>
        <n v="198.73"/>
        <n v="171.71"/>
        <n v="38.08"/>
        <n v="26.33"/>
        <n v="28.98"/>
        <n v="140.82"/>
        <n v="201.7"/>
        <n v="103.28"/>
        <n v="43.44"/>
        <n v="192.97"/>
        <n v="33.58"/>
        <n v="28.46"/>
        <n v="107.43"/>
        <n v="85.4"/>
        <n v="43.18"/>
        <n v="27.4"/>
        <n v="76.92"/>
        <n v="23.57"/>
        <n v="17.14"/>
        <n v="69.45"/>
        <n v="41.07"/>
        <n v="26.96"/>
        <n v="70.12"/>
        <n v="41.61"/>
        <n v="105.91"/>
        <n v="33.96"/>
        <n v="173.16"/>
        <n v="29.67"/>
        <n v="58.81"/>
        <n v="95.48"/>
        <n v="25.81"/>
        <n v="166.61"/>
        <n v="44.85"/>
        <n v="139.25"/>
        <n v="19.510000000000002"/>
        <n v="61.73"/>
        <n v="27.85"/>
        <n v="63.4"/>
        <n v="32.61"/>
        <n v="271.17"/>
        <n v="149.38"/>
        <n v="19.21"/>
        <n v="54"/>
        <n v="15.54"/>
        <n v="197.53"/>
        <n v="228.51"/>
        <n v="38.57"/>
        <n v="100.07"/>
        <n v="15.72"/>
        <n v="158.43"/>
        <n v="218.71"/>
        <n v="22.11"/>
        <n v="120.71"/>
        <n v="33.92"/>
        <n v="107.85"/>
        <n v="22.16"/>
        <n v="116.48"/>
        <n v="138.63999999999999"/>
        <n v="61.87"/>
        <n v="170.49"/>
        <n v="95.3"/>
        <n v="206.69"/>
        <n v="255.46"/>
        <n v="135.29"/>
        <n v="109.48"/>
        <n v="35.19"/>
        <n v="111.98"/>
        <n v="95"/>
        <n v="40.26"/>
        <n v="57.47"/>
        <n v="74.930000000000007"/>
        <n v="23.34"/>
        <n v="39.19"/>
        <n v="62.03"/>
        <n v="97.1"/>
        <n v="15.71"/>
        <n v="84.51"/>
        <n v="139.35"/>
        <n v="22.76"/>
        <n v="163.06"/>
        <n v="116.69"/>
        <n v="31.53"/>
        <n v="97.65"/>
        <n v="51.5"/>
        <n v="23.06"/>
        <n v="25.45"/>
        <n v="28.26"/>
        <n v="68.55"/>
        <n v="36.909999999999997"/>
        <n v="172.31"/>
        <n v="20.94"/>
        <n v="20.260000000000002"/>
        <n v="178.69"/>
        <n v="46.35"/>
        <n v="142.24"/>
        <n v="88.62"/>
        <n v="82.67"/>
        <n v="36.89"/>
        <n v="287.38"/>
        <n v="54.71"/>
        <n v="38.99"/>
        <n v="58.67"/>
        <n v="238.84"/>
        <n v="87.02"/>
        <n v="117.23"/>
        <n v="139.53"/>
        <n v="23"/>
        <n v="21.21"/>
        <n v="23.55"/>
        <n v="86.01"/>
        <n v="45.12"/>
        <n v="139.41"/>
        <n v="118.49"/>
        <n v="232.58"/>
        <n v="37.21"/>
        <n v="21.43"/>
        <n v="29.21"/>
        <n v="263.29000000000002"/>
        <n v="77.78"/>
        <n v="33.659999999999997"/>
        <n v="32.83"/>
        <n v="78.56"/>
        <n v="113.54"/>
        <n v="120.02"/>
        <n v="76.73"/>
        <n v="47.84"/>
        <n v="83.67"/>
        <n v="50.44"/>
        <n v="34.54"/>
        <n v="164.83"/>
        <n v="44.4"/>
        <n v="29.3"/>
        <n v="39.99"/>
        <n v="79.59"/>
        <n v="112.07"/>
        <n v="20.8"/>
        <n v="51.43"/>
        <n v="156.68"/>
        <n v="255.8"/>
        <n v="122.53"/>
        <n v="16.010000000000002"/>
        <n v="189.59"/>
        <n v="125.69"/>
        <n v="26.24"/>
        <n v="112.31"/>
        <n v="20.02"/>
        <n v="106.5"/>
        <n v="17.36"/>
        <n v="69.86"/>
        <n v="55.58"/>
        <n v="207.67"/>
        <n v="13.62"/>
        <n v="191.08"/>
        <n v="20.41"/>
        <n v="83.39"/>
        <n v="40.729999999999997"/>
        <n v="287.14999999999998"/>
        <n v="107.66"/>
        <n v="107.8"/>
        <n v="35.299999999999997"/>
        <n v="63.06"/>
        <n v="67.97"/>
        <n v="96.86"/>
        <n v="10.58"/>
        <n v="231.77"/>
        <n v="71.739999999999995"/>
        <n v="31.04"/>
        <n v="35.9"/>
        <n v="41.06"/>
        <n v="55.69"/>
        <n v="22.53"/>
        <n v="153.03"/>
        <n v="35.1"/>
        <n v="75.44"/>
        <n v="121.97"/>
        <n v="110.01"/>
        <n v="29.5"/>
        <n v="26.93"/>
        <n v="88.48"/>
        <n v="168.94"/>
        <n v="47.36"/>
        <n v="200.01"/>
        <n v="17"/>
        <n v="73.22"/>
        <n v="104.48"/>
        <n v="131.75"/>
        <n v="143.62"/>
        <n v="195.91"/>
        <n v="42.53"/>
        <n v="141.55000000000001"/>
        <n v="68.67"/>
        <n v="23.96"/>
        <n v="29.62"/>
        <n v="89.73"/>
        <n v="98.56"/>
        <n v="24.32"/>
        <n v="35.64"/>
        <n v="54.58"/>
        <n v="111.94"/>
        <n v="44.99"/>
        <n v="74"/>
        <n v="81.83"/>
        <n v="99.44"/>
        <n v="88.37"/>
        <n v="46.14"/>
        <n v="35.96"/>
        <n v="185.35"/>
        <n v="84.91"/>
        <n v="29.48"/>
        <n v="33.82"/>
        <n v="101.49"/>
        <n v="235.76"/>
        <n v="25"/>
        <n v="117.34"/>
        <n v="74.28"/>
        <n v="21.36"/>
        <n v="83.45"/>
        <n v="24.83"/>
        <n v="107.78"/>
        <n v="46.16"/>
        <n v="35.01"/>
        <n v="32.729999999999997"/>
        <n v="45.7"/>
        <n v="143.9"/>
        <n v="32.78"/>
        <n v="33.74"/>
        <n v="89.94"/>
        <n v="29.15"/>
        <n v="173.22"/>
        <n v="99.48"/>
        <n v="78.12"/>
        <n v="223.01"/>
        <n v="27.09"/>
        <n v="88.93"/>
        <n v="111.47"/>
        <n v="23.43"/>
        <n v="131.32"/>
        <n v="103.69"/>
        <n v="57.71"/>
        <n v="137.32"/>
        <n v="94.54"/>
        <n v="109.76"/>
        <n v="80.09"/>
        <n v="137.1"/>
        <n v="36.630000000000003"/>
        <n v="43.09"/>
        <n v="33.380000000000003"/>
        <n v="19.8"/>
        <n v="96.56"/>
        <n v="56.79"/>
        <n v="208.21"/>
        <n v="258.92"/>
        <n v="54.6"/>
        <n v="104.24"/>
        <n v="70.930000000000007"/>
        <n v="33.369999999999997"/>
        <n v="109.03"/>
        <n v="67.17"/>
        <n v="27.49"/>
        <n v="13.9"/>
        <n v="127.54"/>
        <n v="37.67"/>
        <n v="32.799999999999997"/>
        <n v="21.22"/>
        <n v="283.45"/>
        <n v="179.81"/>
        <n v="161.16999999999999"/>
        <n v="201.2"/>
        <n v="52.8"/>
        <n v="29.46"/>
        <n v="36.729999999999997"/>
        <n v="130.72"/>
        <n v="60.82"/>
        <n v="56.86"/>
        <n v="62.66"/>
        <n v="234.81"/>
        <n v="130.94"/>
        <n v="172.68"/>
        <n v="23.99"/>
        <n v="231.02"/>
        <n v="35.659999999999997"/>
        <n v="112.21"/>
        <n v="78.239999999999995"/>
        <n v="128.26"/>
        <n v="51.34"/>
        <n v="127.94"/>
        <n v="46.69"/>
        <n v="131.44999999999999"/>
        <n v="17.48"/>
        <n v="28.21"/>
        <n v="44.32"/>
        <n v="18.66"/>
        <n v="95.92"/>
        <n v="228.92"/>
        <n v="50.23"/>
        <n v="55.96"/>
        <n v="36.44"/>
        <n v="78.150000000000006"/>
        <n v="104.54"/>
        <n v="50.27"/>
        <n v="280.92"/>
        <n v="99.06"/>
        <n v="152.94"/>
        <n v="38.82"/>
        <n v="48.94"/>
        <n v="29.7"/>
        <n v="275.08"/>
        <n v="92.46"/>
        <n v="233.98"/>
        <n v="83.54"/>
        <n v="38.94"/>
        <n v="25.08"/>
        <n v="16.91"/>
        <n v="118.34"/>
        <n v="124.78"/>
        <n v="131.13"/>
        <n v="83.64"/>
        <n v="34.32"/>
        <n v="106.75"/>
        <n v="105.66"/>
        <n v="30.25"/>
        <n v="161.62"/>
        <n v="283.67"/>
        <n v="42.8"/>
        <n v="215.24"/>
        <n v="162.61000000000001"/>
        <n v="173.18"/>
        <n v="80.91"/>
        <n v="60.63"/>
        <n v="107.91"/>
        <n v="198.25"/>
        <n v="136.15"/>
        <n v="13.91"/>
        <n v="35.869999999999997"/>
        <n v="103.94"/>
        <n v="111.27"/>
        <n v="68.36"/>
        <n v="41.11"/>
        <n v="205.14"/>
        <n v="114.23"/>
        <n v="106.95"/>
        <n v="19.82"/>
        <n v="33.17"/>
        <n v="16.61"/>
        <n v="120.17"/>
        <n v="200.03"/>
        <n v="31.65"/>
        <n v="52.62"/>
        <n v="78.11"/>
        <n v="245.96"/>
        <n v="33.6"/>
        <n v="38.31"/>
        <n v="109.78"/>
        <n v="127.21"/>
        <n v="20.91"/>
        <n v="29.75"/>
        <n v="42.85"/>
        <n v="25.55"/>
        <n v="46.66"/>
        <n v="159.16"/>
        <n v="46.32"/>
        <n v="113.05"/>
        <n v="157.35"/>
        <n v="35.549999999999997"/>
        <n v="214.12"/>
        <n v="39.44"/>
        <n v="33.71"/>
        <n v="93"/>
        <n v="107.19"/>
        <n v="51.07"/>
        <n v="19.71"/>
        <n v="184.73"/>
        <n v="88.49"/>
        <n v="25.85"/>
        <n v="23.5"/>
        <n v="45.07"/>
        <n v="51.42"/>
        <n v="46.07"/>
        <n v="16.62"/>
        <n v="83.1"/>
        <n v="229.54"/>
        <n v="92.83"/>
        <n v="17.350000000000001"/>
        <n v="64.31"/>
        <n v="103"/>
        <n v="97.02"/>
        <n v="130.33000000000001"/>
        <n v="27.14"/>
        <n v="30.52"/>
        <n v="98.73"/>
        <n v="73.05"/>
        <n v="91.48"/>
        <n v="63.1"/>
        <n v="73.89"/>
        <n v="26.27"/>
        <n v="73.23"/>
        <n v="41.79"/>
        <n v="83.92"/>
        <n v="24.7"/>
        <n v="29.35"/>
        <n v="27.84"/>
        <n v="156.44999999999999"/>
        <n v="105.25"/>
        <n v="215.1"/>
        <n v="27.06"/>
        <n v="15.66"/>
        <n v="46.44"/>
        <n v="27.92"/>
        <n v="50.4"/>
        <n v="78.31"/>
        <n v="53.66"/>
        <n v="23.71"/>
        <n v="146.21"/>
        <n v="149.19999999999999"/>
        <n v="91.78"/>
        <n v="120.96"/>
        <n v="82.61"/>
        <n v="28.91"/>
        <n v="59.05"/>
        <n v="74.099999999999994"/>
        <n v="81.95"/>
        <n v="34.94"/>
        <n v="123.18"/>
        <n v="149.53"/>
        <n v="181.97"/>
        <n v="83.69"/>
        <n v="109.12"/>
        <n v="40.5"/>
        <n v="183.41"/>
        <n v="133.66999999999999"/>
        <n v="113.98"/>
        <n v="60.43"/>
        <n v="58.86"/>
        <n v="166.64"/>
        <n v="57.37"/>
        <n v="66.099999999999994"/>
        <n v="25.67"/>
        <n v="119.42"/>
        <n v="121.52"/>
        <n v="68.13"/>
        <n v="268.89999999999998"/>
        <n v="21.56"/>
        <n v="30.63"/>
        <n v="165.16"/>
        <n v="29.51"/>
        <n v="222.25"/>
        <n v="135.32"/>
        <n v="30.64"/>
        <n v="25.52"/>
        <n v="137.22999999999999"/>
        <n v="160.61000000000001"/>
        <n v="20.64"/>
        <n v="114.64"/>
        <n v="203.85"/>
        <n v="93.59"/>
        <n v="64.45"/>
        <n v="24.19"/>
        <n v="108.76"/>
        <n v="34.619999999999997"/>
        <n v="83.62"/>
        <n v="100.35"/>
        <n v="38.700000000000003"/>
        <n v="86.59"/>
        <n v="72.83"/>
        <n v="181.58"/>
        <n v="106.63"/>
        <n v="126.49"/>
        <n v="185.78"/>
        <n v="47.23"/>
        <n v="19.059999999999999"/>
        <n v="33.79"/>
        <n v="114.97"/>
        <n v="23.24"/>
        <n v="41.04"/>
        <n v="48.34"/>
        <n v="35.26"/>
        <n v="143.99"/>
        <n v="93.66"/>
        <n v="135.1"/>
        <n v="55.22"/>
        <n v="23.28"/>
        <n v="15.68"/>
        <n v="101.67"/>
        <n v="179.45"/>
        <n v="82.6"/>
        <n v="42.82"/>
        <n v="143.61000000000001"/>
        <n v="97.56"/>
        <n v="28.2"/>
        <n v="64.56"/>
        <n v="19.78"/>
        <n v="28.64"/>
        <n v="265.81"/>
        <n v="12.75"/>
        <n v="179.26"/>
        <n v="248.77"/>
        <n v="170.4"/>
        <n v="60.3"/>
        <n v="90.87"/>
        <n v="38.369999999999997"/>
        <n v="248.24"/>
        <n v="25.35"/>
        <n v="102.92"/>
        <n v="54.42"/>
        <n v="84.25"/>
        <n v="90.57"/>
        <n v="63.45"/>
        <n v="141.01"/>
        <n v="52.14"/>
        <n v="66.650000000000006"/>
        <n v="72"/>
        <n v="143.57"/>
        <n v="121.04"/>
        <n v="64.25"/>
        <n v="52.47"/>
        <n v="18.71"/>
        <n v="140.19"/>
        <n v="65.5"/>
        <n v="46.36"/>
        <n v="28.17"/>
        <n v="51.05"/>
        <n v="26.73"/>
        <n v="160.51"/>
        <n v="58.35"/>
        <n v="29.88"/>
        <n v="72.73"/>
        <n v="13.39"/>
        <n v="80.64"/>
        <n v="204.85"/>
        <n v="58.16"/>
        <n v="142.31"/>
        <n v="47.3"/>
        <n v="130.9"/>
        <n v="138.4"/>
        <n v="22.41"/>
        <n v="24.11"/>
        <n v="41.55"/>
        <n v="217.88"/>
        <n v="59.65"/>
        <n v="87.59"/>
        <n v="17.18"/>
        <n v="93.41"/>
        <n v="49.97"/>
        <n v="88.66"/>
        <n v="53.37"/>
        <n v="24.05"/>
        <n v="50.15"/>
        <n v="27.61"/>
        <n v="87.55"/>
        <n v="25.58"/>
        <n v="177.91"/>
        <n v="43.8"/>
        <n v="28.67"/>
        <n v="186.51"/>
        <n v="36.64"/>
        <n v="40.76"/>
        <n v="71.680000000000007"/>
        <n v="81.96"/>
        <n v="127.05"/>
        <n v="91.09"/>
        <n v="74.709999999999994"/>
        <n v="85.43"/>
        <n v="108"/>
        <n v="161.6"/>
        <n v="80.88"/>
        <n v="129.61000000000001"/>
        <n v="15.09"/>
        <n v="24.17"/>
        <n v="40.29"/>
        <n v="52.51"/>
        <n v="84.43"/>
        <n v="66.88"/>
        <n v="27.75"/>
        <n v="34.67"/>
        <n v="267.27999999999997"/>
        <n v="53.14"/>
        <n v="131.41"/>
        <n v="40.119999999999997"/>
        <n v="67.489999999999995"/>
        <n v="51.56"/>
        <n v="20.149999999999999"/>
        <n v="58.13"/>
        <n v="33.06"/>
        <n v="60.05"/>
        <n v="46.48"/>
        <n v="102.95"/>
        <n v="35.51"/>
        <n v="78.959999999999994"/>
        <n v="30.43"/>
        <n v="79.83"/>
        <n v="12.83"/>
        <n v="113.4"/>
        <n v="86.79"/>
        <n v="56.85"/>
        <n v="51.84"/>
        <n v="115.34"/>
        <n v="215.95"/>
        <n v="88.17"/>
        <n v="82.18"/>
        <n v="59.15"/>
        <n v="53.15"/>
        <n v="177.51"/>
        <n v="75.55"/>
        <n v="104.03"/>
        <n v="24.5"/>
        <n v="271.49"/>
        <n v="139.91999999999999"/>
        <n v="89.96"/>
        <n v="187.3"/>
        <n v="84.52"/>
        <n v="103.46"/>
        <n v="24.74"/>
        <n v="94.96"/>
        <n v="11.5"/>
        <n v="45.8"/>
        <n v="58.41"/>
        <n v="22.94"/>
        <n v="25.93"/>
        <n v="254.78"/>
        <n v="14.06"/>
        <n v="76.81"/>
        <n v="81.67"/>
        <n v="110.34"/>
        <n v="116.8"/>
        <n v="29.47"/>
        <n v="45.72"/>
        <n v="20.79"/>
        <n v="40.93"/>
        <n v="57.72"/>
        <n v="109.54"/>
        <n v="13.92"/>
        <n v="41.08"/>
        <n v="139.87"/>
        <n v="214.11"/>
        <n v="199.23"/>
        <n v="31.33"/>
        <n v="208.28"/>
        <n v="48.69"/>
        <n v="90.88"/>
        <n v="22.65"/>
        <n v="45.54"/>
        <n v="39.49"/>
        <n v="91.21"/>
        <n v="175.58"/>
        <n v="63.14"/>
        <n v="50.67"/>
        <n v="32.200000000000003"/>
        <n v="75.3"/>
        <n v="21.91"/>
        <n v="91.44"/>
        <n v="26.02"/>
        <n v="36.97"/>
        <n v="31.63"/>
        <n v="23.8"/>
        <n v="20.190000000000001"/>
        <n v="230.72"/>
        <n v="32.549999999999997"/>
        <n v="91.45"/>
        <n v="190.4"/>
        <n v="22.67"/>
        <n v="31.21"/>
        <n v="40.78"/>
        <n v="86.07"/>
        <n v="239.39"/>
        <n v="45.99"/>
        <n v="61.67"/>
        <n v="49.32"/>
        <n v="120.84"/>
        <n v="242.58"/>
        <n v="30.16"/>
        <n v="100.89"/>
        <n v="150.74"/>
        <n v="130.97"/>
        <n v="44.46"/>
        <n v="92.9"/>
        <n v="12.85"/>
        <n v="105.45"/>
        <n v="152.30000000000001"/>
        <n v="59.3"/>
        <n v="72.52"/>
        <n v="109.77"/>
        <n v="57.94"/>
        <n v="51.01"/>
        <n v="51.79"/>
        <n v="58.47"/>
        <n v="58.44"/>
        <n v="94.12"/>
        <n v="108.38"/>
        <n v="56.43"/>
        <n v="137.69999999999999"/>
        <n v="30.37"/>
        <n v="30.98"/>
        <n v="71.62"/>
        <n v="238.61"/>
        <n v="148.62"/>
        <n v="178.86"/>
        <n v="29.22"/>
        <n v="26.72"/>
        <n v="186.66"/>
        <n v="186.92"/>
        <n v="58.38"/>
        <n v="46.15"/>
        <n v="25.36"/>
        <n v="24.47"/>
        <n v="72.19"/>
        <n v="149.29"/>
        <n v="29.79"/>
        <n v="101.65"/>
        <n v="128.22"/>
        <n v="78.849999999999994"/>
        <n v="65.66"/>
        <n v="85.41"/>
        <n v="25.13"/>
        <n v="25.07"/>
        <n v="35.07"/>
        <n v="13.53"/>
        <n v="122.3"/>
        <n v="93.19"/>
        <n v="147.59"/>
        <n v="24.37"/>
        <n v="61.95"/>
        <n v="68.66"/>
        <n v="30.97"/>
        <n v="152.81"/>
        <n v="28.89"/>
        <n v="156.66"/>
        <n v="37.68"/>
        <n v="129.91"/>
        <n v="18.649999999999999"/>
        <n v="32.69"/>
        <n v="105.76"/>
        <n v="35.22"/>
        <n v="102.76"/>
        <n v="152.25"/>
        <n v="42.83"/>
        <n v="29.8"/>
        <n v="21.24"/>
        <n v="141.19999999999999"/>
        <n v="144.21"/>
        <n v="148.53"/>
        <n v="19.86"/>
        <n v="19.5"/>
        <n v="21.32"/>
        <n v="133.63999999999999"/>
        <n v="76.09"/>
        <n v="14.41"/>
        <n v="33.03"/>
        <n v="217.19"/>
        <n v="51.96"/>
        <n v="113.53"/>
        <n v="43.35"/>
        <n v="49.81"/>
        <n v="81.08"/>
        <n v="101.18"/>
        <n v="31.77"/>
        <n v="27.56"/>
        <n v="21.16"/>
        <n v="15.4"/>
        <n v="29.14"/>
        <n v="83.27"/>
        <n v="64.650000000000006"/>
        <n v="66.42"/>
        <n v="52.52"/>
        <n v="79.349999999999994"/>
        <n v="52.41"/>
        <n v="42.78"/>
        <n v="20.46"/>
        <n v="17.63"/>
        <n v="276.68"/>
        <n v="21.98"/>
        <n v="69.040000000000006"/>
        <n v="48.12"/>
        <n v="134.1"/>
        <n v="98.36"/>
        <n v="40.630000000000003"/>
        <n v="24.46"/>
        <n v="68.900000000000006"/>
        <n v="161.38999999999999"/>
        <n v="35.71"/>
        <n v="165.62"/>
        <n v="119.83"/>
        <n v="175.41"/>
        <n v="22.29"/>
        <n v="62.22"/>
        <n v="41.89"/>
        <n v="148.38999999999999"/>
        <n v="16.690000000000001"/>
        <n v="117.07"/>
        <n v="62.98"/>
        <n v="18.68"/>
        <n v="222.63"/>
        <n v="127.58"/>
        <n v="125.35"/>
        <n v="242.54"/>
        <n v="79.239999999999995"/>
        <n v="79.17"/>
        <n v="31.55"/>
        <n v="120.21"/>
        <n v="97.12"/>
        <n v="139.65"/>
        <n v="155.41"/>
        <n v="130.16"/>
        <n v="158.55000000000001"/>
        <n v="26.78"/>
        <n v="54.56"/>
        <n v="77.430000000000007"/>
        <n v="75.86"/>
        <n v="72.81"/>
        <n v="196.46"/>
        <n v="91.01"/>
        <n v="148.05000000000001"/>
        <n v="150.27000000000001"/>
        <n v="82.17"/>
        <n v="30.12"/>
        <n v="63.56"/>
        <n v="138.6"/>
        <n v="14.13"/>
        <n v="42.4"/>
        <n v="26.41"/>
        <n v="168.37"/>
        <n v="31.29"/>
        <n v="108.53"/>
        <n v="173.14"/>
        <n v="72.66"/>
        <n v="44.76"/>
        <n v="109.65"/>
        <n v="58.36"/>
        <n v="44.19"/>
        <n v="48.55"/>
        <n v="9.2899999999999991"/>
        <n v="31.61"/>
        <n v="66.94"/>
        <n v="152.16999999999999"/>
        <n v="32.340000000000003"/>
        <n v="282.44"/>
        <n v="292.7"/>
        <n v="46.29"/>
        <n v="188.32"/>
        <n v="193.8"/>
        <n v="85.02"/>
        <n v="107.99"/>
        <n v="51.67"/>
        <n v="27"/>
        <n v="124.12"/>
        <n v="56.97"/>
        <n v="108.12"/>
        <n v="56.99"/>
        <n v="96.26"/>
        <n v="129.69"/>
        <n v="24.68"/>
        <n v="29.33"/>
        <n v="69.72"/>
        <n v="12.15"/>
        <n v="61.81"/>
        <n v="26.05"/>
        <n v="125.96"/>
        <n v="191.43"/>
        <n v="11.01"/>
        <n v="72.930000000000007"/>
        <n v="165.69"/>
        <n v="69.62"/>
        <n v="20"/>
        <n v="34.380000000000003"/>
        <n v="87.71"/>
        <n v="43.67"/>
        <n v="30.24"/>
        <n v="117.61"/>
        <n v="31.28"/>
        <n v="82.74"/>
        <n v="21.2"/>
        <n v="40.35"/>
        <n v="47.31"/>
        <n v="25.98"/>
        <n v="13.36"/>
        <n v="41.16"/>
        <n v="57.77"/>
        <n v="107"/>
        <n v="108.46"/>
        <n v="44.07"/>
        <n v="34.479999999999997"/>
        <n v="84.44"/>
        <n v="12.92"/>
        <n v="38.96"/>
        <n v="206.35"/>
        <n v="21.57"/>
        <n v="21.54"/>
        <n v="30.65"/>
        <n v="148.4"/>
        <n v="78.22"/>
        <n v="58.17"/>
        <n v="160.55000000000001"/>
        <n v="23.84"/>
        <n v="41.6"/>
        <n v="41.54"/>
        <n v="29"/>
        <n v="30.77"/>
        <n v="11.83"/>
        <n v="40.9"/>
        <n v="105.44"/>
        <n v="19.739999999999998"/>
        <n v="119.1"/>
        <n v="115.39"/>
        <n v="32.81"/>
        <n v="33.85"/>
        <n v="104.38"/>
        <n v="27.38"/>
        <n v="44.04"/>
        <n v="34.630000000000003"/>
        <n v="173.77"/>
        <n v="134.41"/>
        <n v="149.6"/>
        <n v="96.75"/>
        <n v="126.7"/>
        <n v="165.8"/>
        <n v="28.47"/>
        <n v="90.34"/>
        <n v="214.45"/>
        <n v="39.130000000000003"/>
        <n v="125.48"/>
        <n v="40.659999999999997"/>
        <n v="130.4"/>
        <n v="53.07"/>
        <n v="87.99"/>
        <n v="99.04"/>
        <n v="29.08"/>
        <n v="88.25"/>
        <n v="147.44"/>
        <n v="20.68"/>
        <n v="23.75"/>
        <n v="79.97"/>
        <n v="21.5"/>
        <n v="21.33"/>
        <n v="34.92"/>
        <n v="96.85"/>
        <n v="58.64"/>
        <n v="99.75"/>
        <n v="31.99"/>
        <n v="65.05"/>
        <n v="82.15"/>
        <n v="97.67"/>
        <n v="100.08"/>
        <n v="31.47"/>
        <n v="128.94999999999999"/>
        <n v="18.54"/>
        <n v="83.87"/>
        <n v="59.27"/>
        <n v="27.13"/>
        <n v="32.47"/>
        <n v="73.39"/>
        <n v="13.56"/>
        <n v="102.61"/>
        <n v="274.26"/>
        <n v="78.92"/>
        <n v="36.99"/>
        <n v="41.51"/>
        <n v="130.83000000000001"/>
        <n v="87.45"/>
        <n v="17.5"/>
        <n v="179.4"/>
        <n v="39.71"/>
        <n v="136.18"/>
        <n v="42.59"/>
        <n v="210.83"/>
        <n v="134.38"/>
        <n v="115.56"/>
        <n v="126.68"/>
        <n v="23.78"/>
        <n v="231.59"/>
        <n v="35.159999999999997"/>
        <n v="218.23"/>
        <n v="47.96"/>
        <n v="104.58"/>
        <n v="267.37"/>
        <n v="72.89"/>
        <n v="12.82"/>
        <n v="43.91"/>
        <n v="17.8"/>
        <n v="37.31"/>
        <n v="59.42"/>
        <n v="37.36"/>
        <n v="27.19"/>
        <n v="26.64"/>
        <n v="35.78"/>
        <n v="93.27"/>
        <n v="49.44"/>
        <n v="57.18"/>
        <n v="72.430000000000007"/>
        <n v="44"/>
        <n v="96.43"/>
        <n v="20.399999999999999"/>
        <n v="38.270000000000003"/>
        <n v="111.9"/>
        <n v="25.75"/>
        <n v="60.53"/>
        <n v="25.56"/>
        <n v="23.17"/>
        <n v="19.100000000000001"/>
        <n v="21.82"/>
        <n v="110.09"/>
        <n v="82.1"/>
        <n v="80.61"/>
        <n v="118.23"/>
        <n v="23.25"/>
        <n v="105.58"/>
        <n v="78.02"/>
        <n v="73.680000000000007"/>
        <n v="77.67"/>
        <n v="45.58"/>
        <n v="42.08"/>
        <n v="42.38"/>
        <n v="83.3"/>
        <n v="85.85"/>
        <n v="36.340000000000003"/>
        <n v="59.85"/>
        <n v="129.91999999999999"/>
        <n v="48.43"/>
        <n v="80.680000000000007"/>
        <n v="122.78"/>
        <n v="89.86"/>
        <n v="104.89"/>
        <n v="111.03"/>
        <n v="193.33"/>
        <n v="23.6"/>
        <n v="41.96"/>
        <n v="63.99"/>
        <n v="28.05"/>
        <n v="40.19"/>
        <n v="45.08"/>
        <n v="62.87"/>
        <n v="116.94"/>
        <n v="73.7"/>
        <n v="57.85"/>
        <n v="280.67"/>
        <n v="109.6"/>
        <n v="112.53"/>
        <n v="25.17"/>
        <n v="75.2"/>
        <n v="56.06"/>
        <n v="109.55"/>
        <n v="98.86"/>
        <n v="105.03"/>
        <n v="293.17"/>
        <n v="28.25"/>
        <n v="77.849999999999994"/>
        <n v="64.989999999999995"/>
        <n v="219.79"/>
        <n v="122.54"/>
        <n v="43.39"/>
        <n v="26.99"/>
        <n v="156.41999999999999"/>
        <n v="259.92"/>
        <n v="169.03"/>
        <n v="160.88"/>
        <n v="127.11"/>
        <n v="220.97"/>
        <n v="198.09"/>
        <n v="90.33"/>
        <n v="112.14"/>
        <n v="65.97"/>
        <n v="115.04"/>
        <n v="75.42"/>
        <n v="59.39"/>
        <n v="166.55"/>
        <n v="25.69"/>
        <n v="24.13"/>
        <n v="26.37"/>
        <n v="127.42"/>
        <n v="108.07"/>
        <n v="135.49"/>
        <n v="230.98"/>
        <n v="76.180000000000007"/>
        <n v="89.64"/>
        <n v="84.3"/>
        <n v="101.95"/>
        <n v="37.4"/>
        <n v="132.87"/>
        <n v="13.33"/>
        <n v="10.68"/>
        <n v="95.39"/>
        <n v="126.8"/>
        <n v="36.71"/>
        <n v="29.87"/>
        <n v="102.84"/>
        <n v="65.53"/>
        <n v="92.97"/>
        <n v="43.72"/>
        <n v="215.08"/>
        <n v="161.07"/>
        <n v="34.799999999999997"/>
        <n v="111.04"/>
        <n v="27.93"/>
        <n v="64.47"/>
        <n v="111.24"/>
        <n v="15.94"/>
        <n v="84.84"/>
        <n v="243"/>
        <n v="44.93"/>
        <n v="19.2"/>
        <n v="86.78"/>
        <n v="21.49"/>
        <n v="24.56"/>
        <n v="104.72"/>
        <n v="20.04"/>
        <n v="146.75"/>
        <n v="31.52"/>
        <n v="104.07"/>
        <n v="28.18"/>
        <n v="56.62"/>
        <n v="139.15"/>
        <n v="238.16"/>
        <n v="149.19"/>
        <n v="112.22"/>
        <n v="23.89"/>
        <n v="38.67"/>
        <n v="174.3"/>
        <n v="119.09"/>
        <n v="91.64"/>
        <n v="67.02"/>
        <n v="157.99"/>
        <n v="56.19"/>
      </sharedItems>
    </cacheField>
    <cacheField name="Cliente" numFmtId="0">
      <sharedItems/>
    </cacheField>
    <cacheField name="Personal" numFmtId="0">
      <sharedItems count="4">
        <s v="María Salazar"/>
        <s v="Luis Ortega"/>
        <s v="Ana Villalobos"/>
        <s v="Jorge Rangel"/>
      </sharedItems>
    </cacheField>
    <cacheField name="PctCancel" numFmtId="0" formula="Cancelada/Compra" databaseField="0"/>
  </cacheFields>
  <extLst>
    <ext xmlns:x14="http://schemas.microsoft.com/office/spreadsheetml/2009/9/main" uri="{725AE2AE-9491-48be-B2B4-4EB974FC3084}">
      <x14:pivotCacheDefinition pivotCacheId="137190696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Esau Rivera Roman" refreshedDate="46316.057625578702" createdVersion="8" refreshedVersion="8" minRefreshableVersion="3" recordCount="300" xr:uid="{54A0D1CC-FB13-4989-A922-9D35AED9F314}">
  <cacheSource type="worksheet">
    <worksheetSource name="Clientes_Resumen"/>
  </cacheSource>
  <cacheFields count="12">
    <cacheField name="id" numFmtId="0">
      <sharedItems containsSemiMixedTypes="0" containsString="0" containsNumber="1" containsInteger="1" minValue="6" maxValue="305"/>
    </cacheField>
    <cacheField name="name" numFmtId="0">
      <sharedItems/>
    </cacheField>
    <cacheField name="user" numFmtId="0">
      <sharedItems/>
    </cacheField>
    <cacheField name="points" numFmtId="0">
      <sharedItems containsSemiMixedTypes="0" containsString="0" containsNumber="1" minValue="0" maxValue="387.35"/>
    </cacheField>
    <cacheField name="active" numFmtId="0">
      <sharedItems containsSemiMixedTypes="0" containsString="0" containsNumber="1" containsInteger="1" minValue="0" maxValue="1"/>
    </cacheField>
    <cacheField name="Litros" numFmtId="0">
      <sharedItems containsSemiMixedTypes="0" containsString="0" containsNumber="1" minValue="0" maxValue="22406.609999999993"/>
    </cacheField>
    <cacheField name="Compras" numFmtId="0">
      <sharedItems containsSemiMixedTypes="0" containsString="0" containsNumber="1" containsInteger="1" minValue="0" maxValue="117"/>
    </cacheField>
    <cacheField name="Última compra" numFmtId="14">
      <sharedItems containsSemiMixedTypes="0" containsNonDate="0" containsDate="1" containsString="0" minDate="1899-12-30T00:00:00" maxDate="2026-10-21T00:00:00"/>
    </cacheField>
    <cacheField name="Días sin comprar" numFmtId="0">
      <sharedItems containsMixedTypes="1" containsNumber="1" containsInteger="1" minValue="0" maxValue="357"/>
    </cacheField>
    <cacheField name="Bucket" numFmtId="0">
      <sharedItems count="5">
        <s v="90+"/>
        <s v="Activo"/>
        <s v="31-60"/>
        <s v="61-90"/>
        <s v="Sin compras"/>
      </sharedItems>
    </cacheField>
    <cacheField name="Saldo ledger" numFmtId="0">
      <sharedItems containsSemiMixedTypes="0" containsString="0" containsNumber="1" minValue="0" maxValue="387.35"/>
    </cacheField>
    <cacheField name="Diferencia" numFmtId="0">
      <sharedItems containsSemiMixedTypes="0" containsString="0" containsNumber="1" minValue="-12.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9">
  <r>
    <n v="1"/>
    <n v="7"/>
    <n v="1"/>
    <m/>
    <s v="ADJUSTMENT"/>
    <n v="8.8000000000000007"/>
    <s v="Compensación por falla en la bomba"/>
    <d v="2025-10-21T00:51:57"/>
    <x v="0"/>
    <n v="0"/>
    <n v="0"/>
  </r>
  <r>
    <n v="2"/>
    <n v="6"/>
    <n v="3"/>
    <n v="1"/>
    <s v="EARNED"/>
    <n v="2.2400000000000002"/>
    <s v=""/>
    <d v="2025-10-21T07:03:54"/>
    <x v="0"/>
    <n v="2.2400000000000002"/>
    <n v="0"/>
  </r>
  <r>
    <n v="3"/>
    <n v="58"/>
    <n v="4"/>
    <n v="2"/>
    <s v="EARNED"/>
    <n v="12.33"/>
    <s v=""/>
    <d v="2025-10-21T08:34:12"/>
    <x v="0"/>
    <n v="12.33"/>
    <n v="0"/>
  </r>
  <r>
    <n v="4"/>
    <n v="51"/>
    <n v="3"/>
    <n v="3"/>
    <s v="EARNED"/>
    <n v="28.9"/>
    <s v=""/>
    <d v="2025-10-21T08:37:12"/>
    <x v="0"/>
    <n v="28.9"/>
    <n v="0"/>
  </r>
  <r>
    <n v="5"/>
    <n v="27"/>
    <n v="4"/>
    <n v="4"/>
    <s v="EARNED"/>
    <n v="6.53"/>
    <s v=""/>
    <d v="2025-10-21T08:56:11"/>
    <x v="0"/>
    <n v="6.53"/>
    <n v="0"/>
  </r>
  <r>
    <n v="6"/>
    <n v="27"/>
    <n v="2"/>
    <n v="5"/>
    <s v="EARNED"/>
    <n v="6.7"/>
    <s v=""/>
    <d v="2025-10-21T09:06:46"/>
    <x v="0"/>
    <n v="6.7"/>
    <n v="0"/>
  </r>
  <r>
    <n v="7"/>
    <n v="36"/>
    <n v="2"/>
    <n v="6"/>
    <s v="EARNED"/>
    <n v="10.48"/>
    <s v=""/>
    <d v="2025-10-21T09:17:49"/>
    <x v="0"/>
    <n v="10.48"/>
    <n v="0"/>
  </r>
  <r>
    <n v="8"/>
    <n v="44"/>
    <n v="5"/>
    <n v="7"/>
    <s v="EARNED"/>
    <n v="2.5"/>
    <s v=""/>
    <d v="2025-10-21T09:40:53"/>
    <x v="0"/>
    <n v="2.5"/>
    <n v="0"/>
  </r>
  <r>
    <n v="9"/>
    <n v="47"/>
    <n v="2"/>
    <n v="8"/>
    <s v="EARNED"/>
    <n v="3.07"/>
    <s v=""/>
    <d v="2025-10-21T12:57:00"/>
    <x v="0"/>
    <n v="3.07"/>
    <n v="0"/>
  </r>
  <r>
    <n v="10"/>
    <n v="16"/>
    <n v="2"/>
    <n v="9"/>
    <s v="EARNED"/>
    <n v="18.23"/>
    <s v=""/>
    <d v="2025-10-21T16:32:51"/>
    <x v="0"/>
    <n v="18.23"/>
    <n v="0"/>
  </r>
  <r>
    <n v="11"/>
    <n v="10"/>
    <n v="2"/>
    <n v="10"/>
    <s v="EARNED"/>
    <n v="7.09"/>
    <s v=""/>
    <d v="2025-10-21T17:00:15"/>
    <x v="0"/>
    <n v="7.09"/>
    <n v="0"/>
  </r>
  <r>
    <n v="12"/>
    <n v="31"/>
    <n v="3"/>
    <n v="11"/>
    <s v="EARNED"/>
    <n v="2.9"/>
    <s v=""/>
    <d v="2025-10-21T19:00:00"/>
    <x v="0"/>
    <n v="2.9"/>
    <n v="0"/>
  </r>
  <r>
    <n v="13"/>
    <n v="39"/>
    <n v="2"/>
    <n v="12"/>
    <s v="EARNED"/>
    <n v="18.53"/>
    <s v=""/>
    <d v="2025-10-22T09:14:52"/>
    <x v="0"/>
    <n v="18.53"/>
    <n v="0"/>
  </r>
  <r>
    <n v="14"/>
    <n v="52"/>
    <n v="2"/>
    <n v="13"/>
    <s v="EARNED"/>
    <n v="3.7"/>
    <s v=""/>
    <d v="2025-10-22T09:17:48"/>
    <x v="0"/>
    <n v="3.7"/>
    <n v="0"/>
  </r>
  <r>
    <n v="15"/>
    <n v="45"/>
    <n v="4"/>
    <n v="14"/>
    <s v="EARNED"/>
    <n v="21.17"/>
    <s v=""/>
    <d v="2025-10-22T09:58:44"/>
    <x v="0"/>
    <n v="21.17"/>
    <n v="0"/>
  </r>
  <r>
    <n v="16"/>
    <n v="65"/>
    <n v="2"/>
    <n v="15"/>
    <s v="EARNED"/>
    <n v="4.4800000000000004"/>
    <s v=""/>
    <d v="2025-10-22T12:03:50"/>
    <x v="0"/>
    <n v="4.4800000000000004"/>
    <n v="0"/>
  </r>
  <r>
    <n v="17"/>
    <n v="39"/>
    <n v="5"/>
    <n v="16"/>
    <s v="EARNED"/>
    <n v="26.05"/>
    <s v=""/>
    <d v="2025-10-22T15:49:31"/>
    <x v="0"/>
    <n v="26.05"/>
    <n v="0"/>
  </r>
  <r>
    <n v="18"/>
    <n v="37"/>
    <n v="2"/>
    <n v="17"/>
    <s v="EARNED"/>
    <n v="6.08"/>
    <s v=""/>
    <d v="2025-10-22T17:46:46"/>
    <x v="0"/>
    <n v="6.08"/>
    <n v="0"/>
  </r>
  <r>
    <n v="19"/>
    <n v="49"/>
    <n v="4"/>
    <n v="18"/>
    <s v="EARNED"/>
    <n v="11.38"/>
    <s v=""/>
    <d v="2025-10-22T17:48:29"/>
    <x v="0"/>
    <n v="11.38"/>
    <n v="0"/>
  </r>
  <r>
    <n v="20"/>
    <n v="8"/>
    <n v="5"/>
    <n v="19"/>
    <s v="EARNED"/>
    <n v="2.2999999999999998"/>
    <s v=""/>
    <d v="2025-10-22T18:02:00"/>
    <x v="0"/>
    <n v="2.2999999999999998"/>
    <n v="0"/>
  </r>
  <r>
    <n v="21"/>
    <n v="16"/>
    <n v="4"/>
    <n v="20"/>
    <s v="EARNED"/>
    <n v="18.07"/>
    <s v=""/>
    <d v="2025-10-23T09:12:16"/>
    <x v="0"/>
    <n v="18.07"/>
    <n v="0"/>
  </r>
  <r>
    <n v="22"/>
    <n v="160"/>
    <n v="1"/>
    <m/>
    <s v="ADJUSTMENT"/>
    <n v="5.92"/>
    <s v="Corrección de saldo detectada en auditoría"/>
    <d v="2025-10-23T11:14:52"/>
    <x v="0"/>
    <n v="0"/>
    <n v="0"/>
  </r>
  <r>
    <n v="23"/>
    <n v="57"/>
    <n v="2"/>
    <n v="21"/>
    <s v="EARNED"/>
    <n v="6.89"/>
    <s v=""/>
    <d v="2025-10-23T12:46:15"/>
    <x v="0"/>
    <n v="6.89"/>
    <n v="0"/>
  </r>
  <r>
    <n v="24"/>
    <n v="21"/>
    <n v="4"/>
    <n v="22"/>
    <s v="EARNED"/>
    <n v="3.09"/>
    <s v=""/>
    <d v="2025-10-23T14:02:06"/>
    <x v="0"/>
    <n v="3.09"/>
    <n v="0"/>
  </r>
  <r>
    <n v="25"/>
    <n v="32"/>
    <n v="3"/>
    <n v="23"/>
    <s v="EARNED"/>
    <n v="4.33"/>
    <s v=""/>
    <d v="2025-10-23T15:44:51"/>
    <x v="0"/>
    <n v="4.33"/>
    <n v="0"/>
  </r>
  <r>
    <n v="26"/>
    <n v="164"/>
    <n v="2"/>
    <n v="24"/>
    <s v="EARNED"/>
    <n v="1.91"/>
    <s v=""/>
    <d v="2025-10-23T16:51:41"/>
    <x v="0"/>
    <n v="1.91"/>
    <n v="0"/>
  </r>
  <r>
    <n v="27"/>
    <n v="11"/>
    <n v="1"/>
    <m/>
    <s v="ADJUSTMENT"/>
    <n v="6.38"/>
    <s v="Ajuste por reclamo de cliente"/>
    <d v="2025-10-23T23:02:58"/>
    <x v="0"/>
    <n v="0"/>
    <n v="0"/>
  </r>
  <r>
    <n v="28"/>
    <n v="55"/>
    <n v="2"/>
    <n v="25"/>
    <s v="EARNED"/>
    <n v="2.79"/>
    <s v=""/>
    <d v="2025-10-24T09:51:39"/>
    <x v="0"/>
    <n v="2.79"/>
    <n v="0"/>
  </r>
  <r>
    <n v="29"/>
    <n v="6"/>
    <n v="5"/>
    <n v="26"/>
    <s v="EARNED"/>
    <n v="4.18"/>
    <s v=""/>
    <d v="2025-10-24T10:30:37"/>
    <x v="0"/>
    <n v="4.18"/>
    <n v="0"/>
  </r>
  <r>
    <n v="30"/>
    <n v="44"/>
    <n v="3"/>
    <n v="27"/>
    <s v="EARNED"/>
    <n v="4.0199999999999996"/>
    <s v=""/>
    <d v="2025-10-24T11:12:05"/>
    <x v="0"/>
    <n v="4.0199999999999996"/>
    <n v="0"/>
  </r>
  <r>
    <n v="31"/>
    <n v="6"/>
    <n v="2"/>
    <n v="28"/>
    <s v="EARNED"/>
    <n v="1.75"/>
    <s v=""/>
    <d v="2025-10-24T11:33:12"/>
    <x v="0"/>
    <n v="1.75"/>
    <n v="0"/>
  </r>
  <r>
    <n v="32"/>
    <n v="47"/>
    <n v="5"/>
    <n v="29"/>
    <s v="EARNED"/>
    <n v="2.96"/>
    <s v=""/>
    <d v="2025-10-24T12:57:30"/>
    <x v="0"/>
    <n v="2.96"/>
    <n v="0"/>
  </r>
  <r>
    <n v="33"/>
    <n v="164"/>
    <n v="3"/>
    <n v="30"/>
    <s v="EARNED"/>
    <n v="3.06"/>
    <s v=""/>
    <d v="2025-10-24T15:29:05"/>
    <x v="0"/>
    <n v="3.06"/>
    <n v="0"/>
  </r>
  <r>
    <n v="34"/>
    <n v="44"/>
    <n v="2"/>
    <n v="31"/>
    <s v="EARNED"/>
    <n v="2.1"/>
    <s v=""/>
    <d v="2025-10-24T18:32:29"/>
    <x v="0"/>
    <n v="2.1"/>
    <n v="0"/>
  </r>
  <r>
    <n v="35"/>
    <n v="55"/>
    <n v="4"/>
    <n v="32"/>
    <s v="EARNED"/>
    <n v="2.81"/>
    <s v=""/>
    <d v="2025-10-25T08:07:31"/>
    <x v="0"/>
    <n v="2.81"/>
    <n v="0"/>
  </r>
  <r>
    <n v="36"/>
    <n v="49"/>
    <n v="3"/>
    <n v="33"/>
    <s v="EARNED"/>
    <n v="6.48"/>
    <s v=""/>
    <d v="2025-10-25T08:11:58"/>
    <x v="0"/>
    <n v="6.48"/>
    <n v="0"/>
  </r>
  <r>
    <n v="37"/>
    <n v="16"/>
    <n v="4"/>
    <n v="34"/>
    <s v="EARNED"/>
    <n v="26.05"/>
    <s v=""/>
    <d v="2025-10-25T08:50:00"/>
    <x v="0"/>
    <n v="26.05"/>
    <n v="0"/>
  </r>
  <r>
    <n v="38"/>
    <n v="72"/>
    <n v="5"/>
    <n v="35"/>
    <s v="EARNED"/>
    <n v="2.71"/>
    <s v=""/>
    <d v="2025-10-25T09:18:16"/>
    <x v="0"/>
    <n v="2.71"/>
    <n v="0"/>
  </r>
  <r>
    <n v="39"/>
    <n v="29"/>
    <n v="2"/>
    <n v="36"/>
    <s v="EARNED"/>
    <n v="3.7"/>
    <s v=""/>
    <d v="2025-10-25T11:21:41"/>
    <x v="0"/>
    <n v="3.7"/>
    <n v="0"/>
  </r>
  <r>
    <n v="40"/>
    <n v="65"/>
    <n v="3"/>
    <n v="37"/>
    <s v="EARNED"/>
    <n v="2.65"/>
    <s v=""/>
    <d v="2025-10-25T11:49:05"/>
    <x v="0"/>
    <n v="2.65"/>
    <n v="0"/>
  </r>
  <r>
    <n v="41"/>
    <n v="209"/>
    <n v="2"/>
    <n v="38"/>
    <s v="EARNED"/>
    <n v="30"/>
    <s v=""/>
    <d v="2025-10-25T15:09:46"/>
    <x v="0"/>
    <n v="30"/>
    <n v="0"/>
  </r>
  <r>
    <n v="42"/>
    <n v="112"/>
    <n v="3"/>
    <n v="39"/>
    <s v="EARNED"/>
    <n v="3.95"/>
    <s v=""/>
    <d v="2025-10-25T15:37:33"/>
    <x v="0"/>
    <n v="3.95"/>
    <n v="0"/>
  </r>
  <r>
    <n v="43"/>
    <n v="39"/>
    <n v="2"/>
    <n v="40"/>
    <s v="EARNED"/>
    <n v="21.08"/>
    <s v=""/>
    <d v="2025-10-25T15:42:25"/>
    <x v="0"/>
    <n v="21.08"/>
    <n v="0"/>
  </r>
  <r>
    <n v="44"/>
    <n v="52"/>
    <n v="4"/>
    <n v="41"/>
    <s v="EARNED"/>
    <n v="1.43"/>
    <s v=""/>
    <d v="2025-10-25T16:33:04"/>
    <x v="0"/>
    <n v="1.43"/>
    <n v="0"/>
  </r>
  <r>
    <n v="45"/>
    <n v="36"/>
    <n v="4"/>
    <n v="42"/>
    <s v="EARNED"/>
    <n v="28.2"/>
    <s v=""/>
    <d v="2025-10-25T18:21:14"/>
    <x v="0"/>
    <n v="28.2"/>
    <n v="0"/>
  </r>
  <r>
    <n v="46"/>
    <n v="151"/>
    <n v="3"/>
    <n v="43"/>
    <s v="EARNED"/>
    <n v="22.03"/>
    <s v=""/>
    <d v="2025-10-26T09:26:19"/>
    <x v="0"/>
    <n v="22.03"/>
    <n v="0"/>
  </r>
  <r>
    <n v="47"/>
    <n v="29"/>
    <n v="5"/>
    <n v="44"/>
    <s v="EARNED"/>
    <n v="5.6"/>
    <s v=""/>
    <d v="2025-10-26T11:55:15"/>
    <x v="0"/>
    <n v="5.6"/>
    <n v="0"/>
  </r>
  <r>
    <n v="48"/>
    <n v="15"/>
    <n v="3"/>
    <n v="45"/>
    <s v="EARNED"/>
    <n v="7.4"/>
    <s v=""/>
    <d v="2025-10-26T15:52:03"/>
    <x v="0"/>
    <n v="7.4"/>
    <n v="0"/>
  </r>
  <r>
    <n v="49"/>
    <n v="293"/>
    <n v="3"/>
    <n v="46"/>
    <s v="EARNED"/>
    <n v="2.76"/>
    <s v=""/>
    <d v="2025-10-26T17:05:26"/>
    <x v="0"/>
    <n v="2.76"/>
    <n v="0"/>
  </r>
  <r>
    <n v="50"/>
    <n v="62"/>
    <n v="2"/>
    <n v="47"/>
    <s v="EARNED"/>
    <n v="5.73"/>
    <s v=""/>
    <d v="2025-10-26T18:13:57"/>
    <x v="0"/>
    <n v="5.73"/>
    <n v="0"/>
  </r>
  <r>
    <n v="51"/>
    <n v="48"/>
    <n v="4"/>
    <n v="48"/>
    <s v="EARNED"/>
    <n v="17.84"/>
    <s v=""/>
    <d v="2025-10-27T08:18:07"/>
    <x v="0"/>
    <n v="17.84"/>
    <n v="0"/>
  </r>
  <r>
    <n v="52"/>
    <n v="9"/>
    <n v="1"/>
    <m/>
    <s v="ADJUSTMENT"/>
    <n v="16.71"/>
    <s v="Ajuste por reclamo de cliente"/>
    <d v="2025-10-27T09:09:05"/>
    <x v="0"/>
    <n v="0"/>
    <n v="0"/>
  </r>
  <r>
    <n v="53"/>
    <n v="44"/>
    <n v="2"/>
    <n v="49"/>
    <s v="EARNED"/>
    <n v="3.61"/>
    <s v=""/>
    <d v="2025-10-27T09:28:16"/>
    <x v="0"/>
    <n v="3.61"/>
    <n v="0"/>
  </r>
  <r>
    <n v="54"/>
    <n v="18"/>
    <n v="5"/>
    <n v="50"/>
    <s v="EARNED"/>
    <n v="10.85"/>
    <s v=""/>
    <d v="2025-10-27T09:37:03"/>
    <x v="0"/>
    <n v="10.85"/>
    <n v="0"/>
  </r>
  <r>
    <n v="55"/>
    <n v="65"/>
    <n v="2"/>
    <n v="51"/>
    <s v="EARNED"/>
    <n v="3.58"/>
    <s v=""/>
    <d v="2025-10-27T10:21:50"/>
    <x v="0"/>
    <n v="3.58"/>
    <n v="0"/>
  </r>
  <r>
    <n v="56"/>
    <n v="11"/>
    <n v="2"/>
    <n v="52"/>
    <s v="EARNED"/>
    <n v="9.4700000000000006"/>
    <s v=""/>
    <d v="2025-10-27T14:42:33"/>
    <x v="0"/>
    <n v="9.4700000000000006"/>
    <n v="0"/>
  </r>
  <r>
    <n v="57"/>
    <n v="59"/>
    <n v="4"/>
    <n v="53"/>
    <s v="EARNED"/>
    <n v="2.15"/>
    <s v=""/>
    <d v="2025-10-27T15:34:00"/>
    <x v="0"/>
    <n v="2.15"/>
    <n v="0"/>
  </r>
  <r>
    <n v="58"/>
    <n v="154"/>
    <n v="4"/>
    <n v="54"/>
    <s v="EARNED"/>
    <n v="4.9000000000000004"/>
    <s v=""/>
    <d v="2025-10-27T16:29:11"/>
    <x v="0"/>
    <n v="4.9000000000000004"/>
    <n v="0"/>
  </r>
  <r>
    <n v="59"/>
    <n v="48"/>
    <n v="3"/>
    <n v="48"/>
    <s v="ADJUSTMENT"/>
    <n v="-17.84"/>
    <s v="Reverso por cancelación de compra #48: Error de captura"/>
    <d v="2025-10-27T20:18:07"/>
    <x v="0"/>
    <n v="0"/>
    <n v="0"/>
  </r>
  <r>
    <n v="60"/>
    <n v="39"/>
    <n v="3"/>
    <n v="55"/>
    <s v="EARNED"/>
    <n v="22.53"/>
    <s v=""/>
    <d v="2025-10-28T09:11:52"/>
    <x v="0"/>
    <n v="22.53"/>
    <n v="0"/>
  </r>
  <r>
    <n v="61"/>
    <n v="44"/>
    <n v="3"/>
    <n v="56"/>
    <s v="EARNED"/>
    <n v="1.88"/>
    <s v=""/>
    <d v="2025-10-28T11:45:22"/>
    <x v="0"/>
    <n v="1.88"/>
    <n v="0"/>
  </r>
  <r>
    <n v="62"/>
    <n v="39"/>
    <n v="2"/>
    <n v="57"/>
    <s v="EARNED"/>
    <n v="30"/>
    <s v=""/>
    <d v="2025-10-28T12:42:36"/>
    <x v="0"/>
    <n v="30"/>
    <n v="0"/>
  </r>
  <r>
    <n v="63"/>
    <n v="39"/>
    <n v="2"/>
    <n v="58"/>
    <s v="EARNED"/>
    <n v="30"/>
    <s v=""/>
    <d v="2025-10-28T14:53:28"/>
    <x v="0"/>
    <n v="30"/>
    <n v="0"/>
  </r>
  <r>
    <n v="64"/>
    <n v="154"/>
    <n v="5"/>
    <n v="59"/>
    <s v="EARNED"/>
    <n v="4.74"/>
    <s v=""/>
    <d v="2025-10-28T15:24:41"/>
    <x v="0"/>
    <n v="4.74"/>
    <n v="0"/>
  </r>
  <r>
    <n v="65"/>
    <n v="16"/>
    <n v="2"/>
    <n v="60"/>
    <s v="EARNED"/>
    <n v="13.44"/>
    <s v=""/>
    <d v="2025-10-28T15:51:24"/>
    <x v="0"/>
    <n v="13.44"/>
    <n v="0"/>
  </r>
  <r>
    <n v="66"/>
    <n v="65"/>
    <n v="2"/>
    <n v="61"/>
    <s v="EARNED"/>
    <n v="2.42"/>
    <s v=""/>
    <d v="2025-10-28T16:15:53"/>
    <x v="0"/>
    <n v="2.42"/>
    <n v="0"/>
  </r>
  <r>
    <n v="67"/>
    <n v="61"/>
    <n v="3"/>
    <n v="62"/>
    <s v="EARNED"/>
    <n v="6.45"/>
    <s v=""/>
    <d v="2025-10-28T16:48:53"/>
    <x v="0"/>
    <n v="6.45"/>
    <n v="0"/>
  </r>
  <r>
    <n v="68"/>
    <n v="29"/>
    <n v="4"/>
    <n v="63"/>
    <s v="EARNED"/>
    <n v="1.87"/>
    <s v=""/>
    <d v="2025-10-28T17:41:24"/>
    <x v="0"/>
    <n v="1.87"/>
    <n v="0"/>
  </r>
  <r>
    <n v="69"/>
    <n v="30"/>
    <n v="2"/>
    <n v="64"/>
    <s v="EARNED"/>
    <n v="2.83"/>
    <s v=""/>
    <d v="2025-10-28T18:39:02"/>
    <x v="0"/>
    <n v="2.83"/>
    <n v="0"/>
  </r>
  <r>
    <n v="70"/>
    <n v="44"/>
    <n v="5"/>
    <n v="49"/>
    <s v="ADJUSTMENT"/>
    <n v="-3.61"/>
    <s v="Reverso por cancelación de compra #49: Monto duplicado por error de sistema"/>
    <d v="2025-10-29T06:28:16"/>
    <x v="0"/>
    <n v="0"/>
    <n v="0"/>
  </r>
  <r>
    <n v="71"/>
    <n v="24"/>
    <n v="1"/>
    <m/>
    <s v="ADJUSTMENT"/>
    <n v="39.44"/>
    <s v="Promoción especial de aniversario"/>
    <d v="2025-10-29T07:06:09"/>
    <x v="0"/>
    <n v="0"/>
    <n v="0"/>
  </r>
  <r>
    <n v="72"/>
    <n v="21"/>
    <n v="4"/>
    <n v="65"/>
    <s v="EARNED"/>
    <n v="2.89"/>
    <s v=""/>
    <d v="2025-10-29T09:36:42"/>
    <x v="0"/>
    <n v="2.89"/>
    <n v="0"/>
  </r>
  <r>
    <n v="73"/>
    <n v="32"/>
    <n v="3"/>
    <n v="66"/>
    <s v="EARNED"/>
    <n v="2.8"/>
    <s v=""/>
    <d v="2025-10-29T10:12:06"/>
    <x v="0"/>
    <n v="2.8"/>
    <n v="0"/>
  </r>
  <r>
    <n v="74"/>
    <n v="65"/>
    <n v="2"/>
    <n v="67"/>
    <s v="EARNED"/>
    <n v="2.73"/>
    <s v=""/>
    <d v="2025-10-29T13:07:23"/>
    <x v="0"/>
    <n v="2.73"/>
    <n v="0"/>
  </r>
  <r>
    <n v="75"/>
    <n v="7"/>
    <n v="4"/>
    <n v="68"/>
    <s v="EARNED"/>
    <n v="5.91"/>
    <s v=""/>
    <d v="2025-10-29T14:23:24"/>
    <x v="0"/>
    <n v="5.91"/>
    <n v="0"/>
  </r>
  <r>
    <n v="76"/>
    <n v="31"/>
    <n v="5"/>
    <n v="69"/>
    <s v="EARNED"/>
    <n v="1.32"/>
    <s v=""/>
    <d v="2025-10-29T17:21:21"/>
    <x v="0"/>
    <n v="1.32"/>
    <n v="0"/>
  </r>
  <r>
    <n v="77"/>
    <n v="32"/>
    <n v="5"/>
    <n v="70"/>
    <s v="EARNED"/>
    <n v="4.3600000000000003"/>
    <s v=""/>
    <d v="2025-10-29T17:34:37"/>
    <x v="0"/>
    <n v="4.3600000000000003"/>
    <n v="0"/>
  </r>
  <r>
    <n v="78"/>
    <n v="64"/>
    <n v="4"/>
    <n v="71"/>
    <s v="EARNED"/>
    <n v="5.22"/>
    <s v=""/>
    <d v="2025-10-29T18:16:46"/>
    <x v="0"/>
    <n v="5.22"/>
    <n v="0"/>
  </r>
  <r>
    <n v="79"/>
    <n v="20"/>
    <n v="5"/>
    <n v="72"/>
    <s v="EARNED"/>
    <n v="1.79"/>
    <s v=""/>
    <d v="2025-10-30T07:49:37"/>
    <x v="0"/>
    <n v="1.79"/>
    <n v="0"/>
  </r>
  <r>
    <n v="80"/>
    <n v="36"/>
    <n v="5"/>
    <n v="73"/>
    <s v="EARNED"/>
    <n v="21.78"/>
    <s v=""/>
    <d v="2025-10-30T09:58:24"/>
    <x v="0"/>
    <n v="21.78"/>
    <n v="0"/>
  </r>
  <r>
    <n v="81"/>
    <n v="65"/>
    <n v="4"/>
    <n v="74"/>
    <s v="EARNED"/>
    <n v="1.69"/>
    <s v=""/>
    <d v="2025-10-30T11:29:49"/>
    <x v="0"/>
    <n v="1.69"/>
    <n v="0"/>
  </r>
  <r>
    <n v="82"/>
    <n v="223"/>
    <n v="3"/>
    <n v="75"/>
    <s v="EARNED"/>
    <n v="3.8"/>
    <s v=""/>
    <d v="2025-10-30T12:57:45"/>
    <x v="0"/>
    <n v="3.8"/>
    <n v="0"/>
  </r>
  <r>
    <n v="83"/>
    <n v="262"/>
    <n v="5"/>
    <n v="76"/>
    <s v="EARNED"/>
    <n v="7.75"/>
    <s v=""/>
    <d v="2025-10-30T13:25:03"/>
    <x v="0"/>
    <n v="7.75"/>
    <n v="0"/>
  </r>
  <r>
    <n v="84"/>
    <n v="48"/>
    <n v="2"/>
    <n v="77"/>
    <s v="EARNED"/>
    <n v="17.04"/>
    <s v=""/>
    <d v="2025-10-30T13:49:23"/>
    <x v="0"/>
    <n v="17.04"/>
    <n v="0"/>
  </r>
  <r>
    <n v="85"/>
    <n v="262"/>
    <n v="5"/>
    <n v="78"/>
    <s v="EARNED"/>
    <n v="7.68"/>
    <s v=""/>
    <d v="2025-10-30T14:57:21"/>
    <x v="0"/>
    <n v="7.68"/>
    <n v="0"/>
  </r>
  <r>
    <n v="86"/>
    <n v="194"/>
    <n v="3"/>
    <n v="79"/>
    <s v="EARNED"/>
    <n v="9.16"/>
    <s v=""/>
    <d v="2025-10-31T08:00:45"/>
    <x v="0"/>
    <n v="9.16"/>
    <n v="0"/>
  </r>
  <r>
    <n v="87"/>
    <n v="62"/>
    <n v="4"/>
    <n v="80"/>
    <s v="EARNED"/>
    <n v="7.3"/>
    <s v=""/>
    <d v="2025-10-31T08:04:24"/>
    <x v="0"/>
    <n v="7.3"/>
    <n v="0"/>
  </r>
  <r>
    <n v="88"/>
    <n v="43"/>
    <n v="2"/>
    <n v="81"/>
    <s v="EARNED"/>
    <n v="6.63"/>
    <s v=""/>
    <d v="2025-10-31T08:50:37"/>
    <x v="0"/>
    <n v="6.63"/>
    <n v="0"/>
  </r>
  <r>
    <n v="89"/>
    <n v="39"/>
    <n v="4"/>
    <n v="82"/>
    <s v="EARNED"/>
    <n v="23.99"/>
    <s v=""/>
    <d v="2025-10-31T09:21:53"/>
    <x v="0"/>
    <n v="23.99"/>
    <n v="0"/>
  </r>
  <r>
    <n v="90"/>
    <n v="202"/>
    <n v="3"/>
    <n v="83"/>
    <s v="EARNED"/>
    <n v="2.84"/>
    <s v=""/>
    <d v="2025-10-31T09:53:12"/>
    <x v="0"/>
    <n v="2.84"/>
    <n v="0"/>
  </r>
  <r>
    <n v="91"/>
    <n v="38"/>
    <n v="5"/>
    <n v="84"/>
    <s v="EARNED"/>
    <n v="2.33"/>
    <s v=""/>
    <d v="2025-10-31T10:26:26"/>
    <x v="0"/>
    <n v="2.33"/>
    <n v="0"/>
  </r>
  <r>
    <n v="92"/>
    <n v="155"/>
    <n v="1"/>
    <m/>
    <s v="ADJUSTMENT"/>
    <n v="19.91"/>
    <s v="Compensación por falla en la bomba"/>
    <d v="2025-10-31T10:43:13"/>
    <x v="0"/>
    <n v="0"/>
    <n v="0"/>
  </r>
  <r>
    <n v="93"/>
    <n v="39"/>
    <n v="3"/>
    <n v="85"/>
    <s v="EARNED"/>
    <n v="23.55"/>
    <s v=""/>
    <d v="2025-10-31T14:10:39"/>
    <x v="0"/>
    <n v="23.55"/>
    <n v="0"/>
  </r>
  <r>
    <n v="94"/>
    <n v="39"/>
    <n v="2"/>
    <n v="86"/>
    <s v="EARNED"/>
    <n v="14.97"/>
    <s v=""/>
    <d v="2025-10-31T15:26:05"/>
    <x v="0"/>
    <n v="14.97"/>
    <n v="0"/>
  </r>
  <r>
    <n v="95"/>
    <n v="19"/>
    <n v="3"/>
    <n v="87"/>
    <s v="EARNED"/>
    <n v="3.78"/>
    <s v=""/>
    <d v="2025-10-31T15:36:36"/>
    <x v="0"/>
    <n v="3.78"/>
    <n v="0"/>
  </r>
  <r>
    <n v="96"/>
    <n v="39"/>
    <n v="2"/>
    <n v="88"/>
    <s v="REDEEMED"/>
    <n v="80"/>
    <s v=""/>
    <d v="2025-10-31T15:55:58"/>
    <x v="0"/>
    <n v="0"/>
    <n v="80"/>
  </r>
  <r>
    <n v="97"/>
    <n v="207"/>
    <n v="5"/>
    <n v="89"/>
    <s v="EARNED"/>
    <n v="5.75"/>
    <s v=""/>
    <d v="2025-10-31T16:14:08"/>
    <x v="0"/>
    <n v="5.75"/>
    <n v="0"/>
  </r>
  <r>
    <n v="98"/>
    <n v="154"/>
    <n v="2"/>
    <n v="90"/>
    <s v="EARNED"/>
    <n v="3.01"/>
    <s v=""/>
    <d v="2025-11-01T08:00:23"/>
    <x v="1"/>
    <n v="3.01"/>
    <n v="0"/>
  </r>
  <r>
    <n v="99"/>
    <n v="61"/>
    <n v="4"/>
    <n v="91"/>
    <s v="EARNED"/>
    <n v="8.2200000000000006"/>
    <s v=""/>
    <d v="2025-11-01T08:27:07"/>
    <x v="1"/>
    <n v="8.2200000000000006"/>
    <n v="0"/>
  </r>
  <r>
    <n v="100"/>
    <n v="11"/>
    <n v="2"/>
    <n v="92"/>
    <s v="EARNED"/>
    <n v="24.71"/>
    <s v=""/>
    <d v="2025-11-01T09:36:36"/>
    <x v="1"/>
    <n v="24.71"/>
    <n v="0"/>
  </r>
  <r>
    <n v="101"/>
    <n v="65"/>
    <n v="3"/>
    <n v="93"/>
    <s v="EARNED"/>
    <n v="3.77"/>
    <s v=""/>
    <d v="2025-11-01T10:53:23"/>
    <x v="1"/>
    <n v="3.77"/>
    <n v="0"/>
  </r>
  <r>
    <n v="102"/>
    <n v="51"/>
    <n v="4"/>
    <n v="94"/>
    <s v="EARNED"/>
    <n v="16.47"/>
    <s v=""/>
    <d v="2025-11-01T12:49:06"/>
    <x v="1"/>
    <n v="16.47"/>
    <n v="0"/>
  </r>
  <r>
    <n v="103"/>
    <n v="164"/>
    <n v="5"/>
    <n v="95"/>
    <s v="EARNED"/>
    <n v="3.92"/>
    <s v=""/>
    <d v="2025-11-01T13:51:20"/>
    <x v="1"/>
    <n v="3.92"/>
    <n v="0"/>
  </r>
  <r>
    <n v="104"/>
    <n v="279"/>
    <n v="2"/>
    <n v="96"/>
    <s v="EARNED"/>
    <n v="18.670000000000002"/>
    <s v=""/>
    <d v="2025-11-01T14:58:51"/>
    <x v="1"/>
    <n v="18.670000000000002"/>
    <n v="0"/>
  </r>
  <r>
    <n v="105"/>
    <n v="296"/>
    <n v="5"/>
    <n v="97"/>
    <s v="EARNED"/>
    <n v="6.16"/>
    <s v=""/>
    <d v="2025-11-01T15:24:48"/>
    <x v="1"/>
    <n v="6.16"/>
    <n v="0"/>
  </r>
  <r>
    <n v="106"/>
    <n v="39"/>
    <n v="4"/>
    <n v="98"/>
    <s v="EARNED"/>
    <n v="16.11"/>
    <s v=""/>
    <d v="2025-11-01T17:20:15"/>
    <x v="1"/>
    <n v="16.11"/>
    <n v="0"/>
  </r>
  <r>
    <n v="107"/>
    <n v="70"/>
    <n v="3"/>
    <n v="99"/>
    <s v="EARNED"/>
    <n v="14.38"/>
    <s v=""/>
    <d v="2025-11-01T17:42:28"/>
    <x v="1"/>
    <n v="14.38"/>
    <n v="0"/>
  </r>
  <r>
    <n v="108"/>
    <n v="70"/>
    <n v="3"/>
    <n v="99"/>
    <s v="ADJUSTMENT"/>
    <n v="-14.38"/>
    <s v="Reverso por cancelación de compra #99: Solicitud del cliente"/>
    <d v="2025-11-02T01:42:28"/>
    <x v="1"/>
    <n v="0"/>
    <n v="0"/>
  </r>
  <r>
    <n v="109"/>
    <n v="36"/>
    <n v="1"/>
    <m/>
    <s v="ADJUSTMENT"/>
    <n v="-24.59"/>
    <s v="Promoción especial de aniversario"/>
    <d v="2025-11-02T05:30:59"/>
    <x v="1"/>
    <n v="0"/>
    <n v="0"/>
  </r>
  <r>
    <n v="110"/>
    <n v="8"/>
    <n v="3"/>
    <n v="100"/>
    <s v="EARNED"/>
    <n v="2.88"/>
    <s v=""/>
    <d v="2025-11-02T08:04:05"/>
    <x v="1"/>
    <n v="2.88"/>
    <n v="0"/>
  </r>
  <r>
    <n v="111"/>
    <n v="217"/>
    <n v="3"/>
    <n v="101"/>
    <s v="EARNED"/>
    <n v="2.5"/>
    <s v=""/>
    <d v="2025-11-02T10:49:45"/>
    <x v="1"/>
    <n v="2.5"/>
    <n v="0"/>
  </r>
  <r>
    <n v="112"/>
    <n v="207"/>
    <n v="4"/>
    <n v="102"/>
    <s v="EARNED"/>
    <n v="3.68"/>
    <s v=""/>
    <d v="2025-11-02T13:01:41"/>
    <x v="1"/>
    <n v="3.68"/>
    <n v="0"/>
  </r>
  <r>
    <n v="113"/>
    <n v="69"/>
    <n v="2"/>
    <n v="103"/>
    <s v="EARNED"/>
    <n v="2.1"/>
    <s v=""/>
    <d v="2025-11-02T16:45:47"/>
    <x v="1"/>
    <n v="2.1"/>
    <n v="0"/>
  </r>
  <r>
    <n v="114"/>
    <n v="12"/>
    <n v="2"/>
    <n v="104"/>
    <s v="EARNED"/>
    <n v="2.83"/>
    <s v=""/>
    <d v="2025-11-02T17:58:26"/>
    <x v="1"/>
    <n v="2.83"/>
    <n v="0"/>
  </r>
  <r>
    <n v="115"/>
    <n v="151"/>
    <n v="4"/>
    <n v="105"/>
    <s v="EARNED"/>
    <n v="25.07"/>
    <s v=""/>
    <d v="2025-11-02T18:47:19"/>
    <x v="1"/>
    <n v="25.07"/>
    <n v="0"/>
  </r>
  <r>
    <n v="116"/>
    <n v="21"/>
    <n v="5"/>
    <n v="106"/>
    <s v="EARNED"/>
    <n v="4.01"/>
    <s v=""/>
    <d v="2025-11-03T07:57:45"/>
    <x v="1"/>
    <n v="4.01"/>
    <n v="0"/>
  </r>
  <r>
    <n v="117"/>
    <n v="39"/>
    <n v="2"/>
    <n v="107"/>
    <s v="EARNED"/>
    <n v="11.12"/>
    <s v=""/>
    <d v="2025-11-03T08:23:53"/>
    <x v="1"/>
    <n v="11.12"/>
    <n v="0"/>
  </r>
  <r>
    <n v="118"/>
    <n v="240"/>
    <n v="3"/>
    <n v="108"/>
    <s v="EARNED"/>
    <n v="13.39"/>
    <s v=""/>
    <d v="2025-11-03T08:29:52"/>
    <x v="1"/>
    <n v="13.39"/>
    <n v="0"/>
  </r>
  <r>
    <n v="119"/>
    <n v="52"/>
    <n v="3"/>
    <n v="109"/>
    <s v="EARNED"/>
    <n v="3.21"/>
    <s v=""/>
    <d v="2025-11-03T09:05:28"/>
    <x v="1"/>
    <n v="3.21"/>
    <n v="0"/>
  </r>
  <r>
    <n v="120"/>
    <n v="194"/>
    <n v="5"/>
    <n v="110"/>
    <s v="EARNED"/>
    <n v="6.55"/>
    <s v=""/>
    <d v="2025-11-03T09:28:41"/>
    <x v="1"/>
    <n v="6.55"/>
    <n v="0"/>
  </r>
  <r>
    <n v="121"/>
    <n v="279"/>
    <n v="3"/>
    <n v="111"/>
    <s v="EARNED"/>
    <n v="9.7899999999999991"/>
    <s v=""/>
    <d v="2025-11-03T09:31:39"/>
    <x v="1"/>
    <n v="9.7899999999999991"/>
    <n v="0"/>
  </r>
  <r>
    <n v="122"/>
    <n v="61"/>
    <n v="5"/>
    <n v="112"/>
    <s v="EARNED"/>
    <n v="14.49"/>
    <s v=""/>
    <d v="2025-11-03T12:23:07"/>
    <x v="1"/>
    <n v="14.49"/>
    <n v="0"/>
  </r>
  <r>
    <n v="123"/>
    <n v="240"/>
    <n v="1"/>
    <m/>
    <s v="ADJUSTMENT"/>
    <n v="-7.38"/>
    <s v="Ajuste por reclamo de cliente"/>
    <d v="2025-11-03T15:25:50"/>
    <x v="1"/>
    <n v="0"/>
    <n v="0"/>
  </r>
  <r>
    <n v="124"/>
    <n v="61"/>
    <n v="2"/>
    <n v="113"/>
    <s v="EARNED"/>
    <n v="3.05"/>
    <s v=""/>
    <d v="2025-11-03T15:55:28"/>
    <x v="1"/>
    <n v="3.05"/>
    <n v="0"/>
  </r>
  <r>
    <n v="125"/>
    <n v="17"/>
    <n v="3"/>
    <n v="114"/>
    <s v="EARNED"/>
    <n v="12.04"/>
    <s v=""/>
    <d v="2025-11-03T16:32:48"/>
    <x v="1"/>
    <n v="12.04"/>
    <n v="0"/>
  </r>
  <r>
    <n v="126"/>
    <n v="59"/>
    <n v="3"/>
    <n v="115"/>
    <s v="EARNED"/>
    <n v="1.79"/>
    <s v=""/>
    <d v="2025-11-03T18:24:59"/>
    <x v="1"/>
    <n v="1.79"/>
    <n v="0"/>
  </r>
  <r>
    <n v="127"/>
    <n v="154"/>
    <n v="5"/>
    <n v="116"/>
    <s v="EARNED"/>
    <n v="4.1100000000000003"/>
    <s v=""/>
    <d v="2025-11-03T18:38:28"/>
    <x v="1"/>
    <n v="4.1100000000000003"/>
    <n v="0"/>
  </r>
  <r>
    <n v="128"/>
    <n v="279"/>
    <n v="5"/>
    <n v="111"/>
    <s v="ADJUSTMENT"/>
    <n v="-9.7899999999999991"/>
    <s v="Reverso por cancelación de compra #111: Error de captura"/>
    <d v="2025-11-04T00:31:39"/>
    <x v="1"/>
    <n v="0"/>
    <n v="0"/>
  </r>
  <r>
    <n v="129"/>
    <n v="52"/>
    <n v="5"/>
    <n v="117"/>
    <s v="EARNED"/>
    <n v="3.51"/>
    <s v=""/>
    <d v="2025-11-04T08:50:25"/>
    <x v="1"/>
    <n v="3.51"/>
    <n v="0"/>
  </r>
  <r>
    <n v="130"/>
    <n v="65"/>
    <n v="3"/>
    <n v="118"/>
    <s v="EARNED"/>
    <n v="1.65"/>
    <s v=""/>
    <d v="2025-11-04T08:53:50"/>
    <x v="1"/>
    <n v="1.65"/>
    <n v="0"/>
  </r>
  <r>
    <n v="131"/>
    <n v="13"/>
    <n v="5"/>
    <n v="119"/>
    <s v="EARNED"/>
    <n v="3.23"/>
    <s v=""/>
    <d v="2025-11-04T10:37:07"/>
    <x v="1"/>
    <n v="3.23"/>
    <n v="0"/>
  </r>
  <r>
    <n v="132"/>
    <n v="279"/>
    <n v="4"/>
    <n v="120"/>
    <s v="EARNED"/>
    <n v="20.9"/>
    <s v=""/>
    <d v="2025-11-04T11:48:40"/>
    <x v="1"/>
    <n v="20.9"/>
    <n v="0"/>
  </r>
  <r>
    <n v="133"/>
    <n v="293"/>
    <n v="4"/>
    <n v="121"/>
    <s v="EARNED"/>
    <n v="3.02"/>
    <s v=""/>
    <d v="2025-11-04T15:03:45"/>
    <x v="1"/>
    <n v="3.02"/>
    <n v="0"/>
  </r>
  <r>
    <n v="134"/>
    <n v="280"/>
    <n v="4"/>
    <n v="122"/>
    <s v="EARNED"/>
    <n v="5.1100000000000003"/>
    <s v=""/>
    <d v="2025-11-04T15:06:45"/>
    <x v="1"/>
    <n v="5.1100000000000003"/>
    <n v="0"/>
  </r>
  <r>
    <n v="135"/>
    <n v="33"/>
    <n v="2"/>
    <n v="123"/>
    <s v="EARNED"/>
    <n v="2.37"/>
    <s v=""/>
    <d v="2025-11-04T15:43:24"/>
    <x v="1"/>
    <n v="2.37"/>
    <n v="0"/>
  </r>
  <r>
    <n v="136"/>
    <n v="104"/>
    <n v="2"/>
    <n v="124"/>
    <s v="EARNED"/>
    <n v="22.2"/>
    <s v=""/>
    <d v="2025-11-04T16:08:42"/>
    <x v="1"/>
    <n v="22.2"/>
    <n v="0"/>
  </r>
  <r>
    <n v="137"/>
    <n v="39"/>
    <n v="5"/>
    <n v="125"/>
    <s v="EARNED"/>
    <n v="16.95"/>
    <s v=""/>
    <d v="2025-11-04T16:53:39"/>
    <x v="1"/>
    <n v="16.95"/>
    <n v="0"/>
  </r>
  <r>
    <n v="138"/>
    <n v="240"/>
    <n v="3"/>
    <n v="126"/>
    <s v="EARNED"/>
    <n v="9.73"/>
    <s v=""/>
    <d v="2025-11-05T07:09:21"/>
    <x v="1"/>
    <n v="9.73"/>
    <n v="0"/>
  </r>
  <r>
    <n v="139"/>
    <n v="24"/>
    <n v="5"/>
    <n v="127"/>
    <s v="EARNED"/>
    <n v="17.88"/>
    <s v=""/>
    <d v="2025-11-05T07:12:18"/>
    <x v="1"/>
    <n v="17.88"/>
    <n v="0"/>
  </r>
  <r>
    <n v="140"/>
    <n v="39"/>
    <n v="5"/>
    <n v="128"/>
    <s v="EARNED"/>
    <n v="18.22"/>
    <s v=""/>
    <d v="2025-11-05T08:27:33"/>
    <x v="1"/>
    <n v="18.22"/>
    <n v="0"/>
  </r>
  <r>
    <n v="141"/>
    <n v="21"/>
    <n v="4"/>
    <n v="129"/>
    <s v="EARNED"/>
    <n v="3.04"/>
    <s v=""/>
    <d v="2025-11-05T09:05:17"/>
    <x v="1"/>
    <n v="3.04"/>
    <n v="0"/>
  </r>
  <r>
    <n v="142"/>
    <n v="45"/>
    <n v="4"/>
    <n v="130"/>
    <s v="EARNED"/>
    <n v="12.27"/>
    <s v=""/>
    <d v="2025-11-05T09:11:42"/>
    <x v="1"/>
    <n v="12.27"/>
    <n v="0"/>
  </r>
  <r>
    <n v="143"/>
    <n v="48"/>
    <n v="4"/>
    <n v="131"/>
    <s v="EARNED"/>
    <n v="19.66"/>
    <s v=""/>
    <d v="2025-11-05T12:19:36"/>
    <x v="1"/>
    <n v="19.66"/>
    <n v="0"/>
  </r>
  <r>
    <n v="144"/>
    <n v="61"/>
    <n v="5"/>
    <n v="132"/>
    <s v="EARNED"/>
    <n v="7.26"/>
    <s v=""/>
    <d v="2025-11-05T14:54:27"/>
    <x v="1"/>
    <n v="7.26"/>
    <n v="0"/>
  </r>
  <r>
    <n v="145"/>
    <n v="164"/>
    <n v="2"/>
    <n v="133"/>
    <s v="EARNED"/>
    <n v="3.4"/>
    <s v=""/>
    <d v="2025-11-06T07:03:42"/>
    <x v="1"/>
    <n v="3.4"/>
    <n v="0"/>
  </r>
  <r>
    <n v="146"/>
    <n v="152"/>
    <n v="4"/>
    <n v="134"/>
    <s v="EARNED"/>
    <n v="24.04"/>
    <s v=""/>
    <d v="2025-11-06T09:08:52"/>
    <x v="1"/>
    <n v="24.04"/>
    <n v="0"/>
  </r>
  <r>
    <n v="147"/>
    <n v="52"/>
    <n v="5"/>
    <n v="135"/>
    <s v="EARNED"/>
    <n v="3.22"/>
    <s v=""/>
    <d v="2025-11-06T10:07:55"/>
    <x v="1"/>
    <n v="3.22"/>
    <n v="0"/>
  </r>
  <r>
    <n v="148"/>
    <n v="287"/>
    <n v="4"/>
    <n v="136"/>
    <s v="EARNED"/>
    <n v="2.34"/>
    <s v=""/>
    <d v="2025-11-06T11:26:50"/>
    <x v="1"/>
    <n v="2.34"/>
    <n v="0"/>
  </r>
  <r>
    <n v="149"/>
    <n v="39"/>
    <n v="4"/>
    <n v="137"/>
    <s v="EARNED"/>
    <n v="23.85"/>
    <s v=""/>
    <d v="2025-11-06T15:07:28"/>
    <x v="1"/>
    <n v="23.85"/>
    <n v="0"/>
  </r>
  <r>
    <n v="150"/>
    <n v="57"/>
    <n v="1"/>
    <m/>
    <s v="ADJUSTMENT"/>
    <n v="7.79"/>
    <s v="Promoción especial de aniversario"/>
    <d v="2025-11-07T00:57:39"/>
    <x v="1"/>
    <n v="0"/>
    <n v="0"/>
  </r>
  <r>
    <n v="151"/>
    <n v="29"/>
    <n v="1"/>
    <m/>
    <s v="ADJUSTMENT"/>
    <n v="16.829999999999998"/>
    <s v="Ajuste por reclamo de cliente"/>
    <d v="2025-11-07T03:41:57"/>
    <x v="1"/>
    <n v="0"/>
    <n v="0"/>
  </r>
  <r>
    <n v="152"/>
    <n v="16"/>
    <n v="3"/>
    <n v="138"/>
    <s v="EARNED"/>
    <n v="26.28"/>
    <s v=""/>
    <d v="2025-11-07T08:37:00"/>
    <x v="1"/>
    <n v="26.28"/>
    <n v="0"/>
  </r>
  <r>
    <n v="153"/>
    <n v="48"/>
    <n v="5"/>
    <n v="139"/>
    <s v="EARNED"/>
    <n v="13.34"/>
    <s v=""/>
    <d v="2025-11-07T09:19:16"/>
    <x v="1"/>
    <n v="13.34"/>
    <n v="0"/>
  </r>
  <r>
    <n v="154"/>
    <n v="39"/>
    <n v="4"/>
    <n v="140"/>
    <s v="EARNED"/>
    <n v="22"/>
    <s v=""/>
    <d v="2025-11-07T10:34:48"/>
    <x v="1"/>
    <n v="22"/>
    <n v="0"/>
  </r>
  <r>
    <n v="155"/>
    <n v="94"/>
    <n v="4"/>
    <n v="141"/>
    <s v="EARNED"/>
    <n v="18.66"/>
    <s v=""/>
    <d v="2025-11-07T11:11:10"/>
    <x v="1"/>
    <n v="18.66"/>
    <n v="0"/>
  </r>
  <r>
    <n v="156"/>
    <n v="12"/>
    <n v="4"/>
    <n v="142"/>
    <s v="EARNED"/>
    <n v="3.86"/>
    <s v=""/>
    <d v="2025-11-07T11:29:39"/>
    <x v="1"/>
    <n v="3.86"/>
    <n v="0"/>
  </r>
  <r>
    <n v="157"/>
    <n v="27"/>
    <n v="2"/>
    <n v="143"/>
    <s v="EARNED"/>
    <n v="9.76"/>
    <s v=""/>
    <d v="2025-11-07T11:59:27"/>
    <x v="1"/>
    <n v="9.76"/>
    <n v="0"/>
  </r>
  <r>
    <n v="158"/>
    <n v="42"/>
    <n v="4"/>
    <n v="144"/>
    <s v="EARNED"/>
    <n v="3.21"/>
    <s v=""/>
    <d v="2025-11-07T12:17:57"/>
    <x v="1"/>
    <n v="3.21"/>
    <n v="0"/>
  </r>
  <r>
    <n v="159"/>
    <n v="39"/>
    <n v="3"/>
    <n v="145"/>
    <s v="EARNED"/>
    <n v="16.79"/>
    <s v=""/>
    <d v="2025-11-07T13:11:06"/>
    <x v="1"/>
    <n v="16.79"/>
    <n v="0"/>
  </r>
  <r>
    <n v="160"/>
    <n v="296"/>
    <n v="1"/>
    <m/>
    <s v="ADJUSTMENT"/>
    <n v="8.75"/>
    <s v="Compensación por falla en la bomba"/>
    <d v="2025-11-07T13:20:00"/>
    <x v="1"/>
    <n v="0"/>
    <n v="0"/>
  </r>
  <r>
    <n v="161"/>
    <n v="85"/>
    <n v="4"/>
    <n v="146"/>
    <s v="EARNED"/>
    <n v="9.99"/>
    <s v=""/>
    <d v="2025-11-07T13:28:27"/>
    <x v="1"/>
    <n v="9.99"/>
    <n v="0"/>
  </r>
  <r>
    <n v="162"/>
    <n v="70"/>
    <n v="2"/>
    <n v="147"/>
    <s v="EARNED"/>
    <n v="13.69"/>
    <s v=""/>
    <d v="2025-11-07T15:07:15"/>
    <x v="1"/>
    <n v="13.69"/>
    <n v="0"/>
  </r>
  <r>
    <n v="163"/>
    <n v="279"/>
    <n v="4"/>
    <n v="148"/>
    <s v="EARNED"/>
    <n v="10.23"/>
    <s v=""/>
    <d v="2025-11-07T18:51:29"/>
    <x v="1"/>
    <n v="10.23"/>
    <n v="0"/>
  </r>
  <r>
    <n v="164"/>
    <n v="28"/>
    <n v="1"/>
    <m/>
    <s v="ADJUSTMENT"/>
    <n v="26.55"/>
    <s v="Corrección por captura duplicada"/>
    <d v="2025-11-07T18:55:08"/>
    <x v="1"/>
    <n v="0"/>
    <n v="0"/>
  </r>
  <r>
    <n v="165"/>
    <n v="69"/>
    <n v="5"/>
    <n v="149"/>
    <s v="EARNED"/>
    <n v="3.29"/>
    <s v=""/>
    <d v="2025-11-07T19:51:47"/>
    <x v="1"/>
    <n v="3.29"/>
    <n v="0"/>
  </r>
  <r>
    <n v="166"/>
    <n v="215"/>
    <n v="2"/>
    <n v="150"/>
    <s v="EARNED"/>
    <n v="2.56"/>
    <s v=""/>
    <d v="2025-11-08T07:05:18"/>
    <x v="1"/>
    <n v="2.56"/>
    <n v="0"/>
  </r>
  <r>
    <n v="167"/>
    <n v="155"/>
    <n v="4"/>
    <n v="151"/>
    <s v="EARNED"/>
    <n v="1.76"/>
    <s v=""/>
    <d v="2025-11-08T09:09:35"/>
    <x v="1"/>
    <n v="1.76"/>
    <n v="0"/>
  </r>
  <r>
    <n v="168"/>
    <n v="24"/>
    <n v="5"/>
    <n v="152"/>
    <s v="EARNED"/>
    <n v="8"/>
    <s v=""/>
    <d v="2025-11-08T09:30:16"/>
    <x v="1"/>
    <n v="8"/>
    <n v="0"/>
  </r>
  <r>
    <n v="169"/>
    <n v="279"/>
    <n v="5"/>
    <n v="153"/>
    <s v="EARNED"/>
    <n v="24.76"/>
    <s v=""/>
    <d v="2025-11-08T09:33:02"/>
    <x v="1"/>
    <n v="24.76"/>
    <n v="0"/>
  </r>
  <r>
    <n v="170"/>
    <n v="21"/>
    <n v="3"/>
    <n v="154"/>
    <s v="EARNED"/>
    <n v="1.43"/>
    <s v=""/>
    <d v="2025-11-08T10:00:31"/>
    <x v="1"/>
    <n v="1.43"/>
    <n v="0"/>
  </r>
  <r>
    <n v="171"/>
    <n v="15"/>
    <n v="4"/>
    <n v="155"/>
    <s v="EARNED"/>
    <n v="9.4"/>
    <s v=""/>
    <d v="2025-11-08T11:18:32"/>
    <x v="1"/>
    <n v="9.4"/>
    <n v="0"/>
  </r>
  <r>
    <n v="172"/>
    <n v="21"/>
    <n v="4"/>
    <n v="156"/>
    <s v="EARNED"/>
    <n v="2.3199999999999998"/>
    <s v=""/>
    <d v="2025-11-08T11:41:51"/>
    <x v="1"/>
    <n v="2.3199999999999998"/>
    <n v="0"/>
  </r>
  <r>
    <n v="173"/>
    <n v="18"/>
    <n v="2"/>
    <n v="157"/>
    <s v="EARNED"/>
    <n v="8.36"/>
    <s v=""/>
    <d v="2025-11-08T11:47:40"/>
    <x v="1"/>
    <n v="8.36"/>
    <n v="0"/>
  </r>
  <r>
    <n v="174"/>
    <n v="54"/>
    <n v="2"/>
    <n v="158"/>
    <s v="EARNED"/>
    <n v="2.72"/>
    <s v=""/>
    <d v="2025-11-08T12:30:19"/>
    <x v="1"/>
    <n v="2.72"/>
    <n v="0"/>
  </r>
  <r>
    <n v="175"/>
    <n v="39"/>
    <n v="3"/>
    <n v="159"/>
    <s v="EARNED"/>
    <n v="16.3"/>
    <s v=""/>
    <d v="2025-11-08T13:44:07"/>
    <x v="1"/>
    <n v="16.3"/>
    <n v="0"/>
  </r>
  <r>
    <n v="176"/>
    <n v="54"/>
    <n v="3"/>
    <n v="160"/>
    <s v="EARNED"/>
    <n v="3.5"/>
    <s v=""/>
    <d v="2025-11-08T14:12:48"/>
    <x v="1"/>
    <n v="3.5"/>
    <n v="0"/>
  </r>
  <r>
    <n v="177"/>
    <n v="44"/>
    <n v="5"/>
    <n v="161"/>
    <s v="EARNED"/>
    <n v="2.5099999999999998"/>
    <s v=""/>
    <d v="2025-11-08T15:00:04"/>
    <x v="1"/>
    <n v="2.5099999999999998"/>
    <n v="0"/>
  </r>
  <r>
    <n v="178"/>
    <n v="202"/>
    <n v="3"/>
    <n v="162"/>
    <s v="EARNED"/>
    <n v="1.9"/>
    <s v=""/>
    <d v="2025-11-08T15:23:45"/>
    <x v="1"/>
    <n v="1.9"/>
    <n v="0"/>
  </r>
  <r>
    <n v="179"/>
    <n v="138"/>
    <n v="4"/>
    <n v="163"/>
    <s v="EARNED"/>
    <n v="3.32"/>
    <s v=""/>
    <d v="2025-11-08T15:25:09"/>
    <x v="1"/>
    <n v="3.32"/>
    <n v="0"/>
  </r>
  <r>
    <n v="180"/>
    <n v="202"/>
    <n v="3"/>
    <n v="164"/>
    <s v="EARNED"/>
    <n v="4.2699999999999996"/>
    <s v=""/>
    <d v="2025-11-08T16:37:07"/>
    <x v="1"/>
    <n v="4.2699999999999996"/>
    <n v="0"/>
  </r>
  <r>
    <n v="181"/>
    <n v="13"/>
    <n v="3"/>
    <n v="165"/>
    <s v="EARNED"/>
    <n v="3.75"/>
    <s v=""/>
    <d v="2025-11-08T17:02:07"/>
    <x v="1"/>
    <n v="3.75"/>
    <n v="0"/>
  </r>
  <r>
    <n v="182"/>
    <n v="117"/>
    <n v="3"/>
    <n v="166"/>
    <s v="EARNED"/>
    <n v="7.08"/>
    <s v=""/>
    <d v="2025-11-08T17:08:25"/>
    <x v="1"/>
    <n v="7.08"/>
    <n v="0"/>
  </r>
  <r>
    <n v="183"/>
    <n v="12"/>
    <n v="5"/>
    <n v="167"/>
    <s v="EARNED"/>
    <n v="3.06"/>
    <s v=""/>
    <d v="2025-11-08T17:14:30"/>
    <x v="1"/>
    <n v="3.06"/>
    <n v="0"/>
  </r>
  <r>
    <n v="184"/>
    <n v="39"/>
    <n v="5"/>
    <n v="168"/>
    <s v="EARNED"/>
    <n v="14.75"/>
    <s v=""/>
    <d v="2025-11-09T07:29:21"/>
    <x v="1"/>
    <n v="14.75"/>
    <n v="0"/>
  </r>
  <r>
    <n v="185"/>
    <n v="117"/>
    <n v="2"/>
    <n v="166"/>
    <s v="ADJUSTMENT"/>
    <n v="-7.08"/>
    <s v="Reverso por cancelación de compra #166: Error de captura"/>
    <d v="2025-11-09T13:08:25"/>
    <x v="1"/>
    <n v="0"/>
    <n v="0"/>
  </r>
  <r>
    <n v="186"/>
    <n v="65"/>
    <n v="2"/>
    <n v="169"/>
    <s v="EARNED"/>
    <n v="3.38"/>
    <s v=""/>
    <d v="2025-11-09T16:44:52"/>
    <x v="1"/>
    <n v="3.38"/>
    <n v="0"/>
  </r>
  <r>
    <n v="187"/>
    <n v="34"/>
    <n v="5"/>
    <n v="170"/>
    <s v="EARNED"/>
    <n v="11.77"/>
    <s v=""/>
    <d v="2025-11-09T16:52:22"/>
    <x v="1"/>
    <n v="11.77"/>
    <n v="0"/>
  </r>
  <r>
    <n v="188"/>
    <n v="69"/>
    <n v="5"/>
    <n v="171"/>
    <s v="EARNED"/>
    <n v="2.3199999999999998"/>
    <s v=""/>
    <d v="2025-11-10T09:08:56"/>
    <x v="1"/>
    <n v="2.3199999999999998"/>
    <n v="0"/>
  </r>
  <r>
    <n v="189"/>
    <n v="69"/>
    <n v="5"/>
    <n v="172"/>
    <s v="EARNED"/>
    <n v="5.14"/>
    <s v=""/>
    <d v="2025-11-10T09:37:48"/>
    <x v="1"/>
    <n v="5.14"/>
    <n v="0"/>
  </r>
  <r>
    <n v="190"/>
    <n v="39"/>
    <n v="3"/>
    <n v="173"/>
    <s v="EARNED"/>
    <n v="20.010000000000002"/>
    <s v=""/>
    <d v="2025-11-10T09:40:00"/>
    <x v="1"/>
    <n v="20.010000000000002"/>
    <n v="0"/>
  </r>
  <r>
    <n v="191"/>
    <n v="39"/>
    <n v="5"/>
    <n v="174"/>
    <s v="EARNED"/>
    <n v="30"/>
    <s v=""/>
    <d v="2025-11-10T09:48:12"/>
    <x v="1"/>
    <n v="30"/>
    <n v="0"/>
  </r>
  <r>
    <n v="192"/>
    <n v="31"/>
    <n v="3"/>
    <n v="175"/>
    <s v="EARNED"/>
    <n v="2.64"/>
    <s v=""/>
    <d v="2025-11-10T10:08:26"/>
    <x v="1"/>
    <n v="2.64"/>
    <n v="0"/>
  </r>
  <r>
    <n v="193"/>
    <n v="44"/>
    <n v="3"/>
    <n v="176"/>
    <s v="EARNED"/>
    <n v="5.07"/>
    <s v=""/>
    <d v="2025-11-10T11:40:32"/>
    <x v="1"/>
    <n v="5.07"/>
    <n v="0"/>
  </r>
  <r>
    <n v="194"/>
    <n v="48"/>
    <n v="3"/>
    <n v="177"/>
    <s v="EARNED"/>
    <n v="9.39"/>
    <s v=""/>
    <d v="2025-11-10T12:18:13"/>
    <x v="1"/>
    <n v="9.39"/>
    <n v="0"/>
  </r>
  <r>
    <n v="195"/>
    <n v="154"/>
    <n v="4"/>
    <n v="178"/>
    <s v="EARNED"/>
    <n v="3.52"/>
    <s v=""/>
    <d v="2025-11-10T12:26:19"/>
    <x v="1"/>
    <n v="3.52"/>
    <n v="0"/>
  </r>
  <r>
    <n v="196"/>
    <n v="16"/>
    <n v="3"/>
    <n v="179"/>
    <s v="EARNED"/>
    <n v="15.35"/>
    <s v=""/>
    <d v="2025-11-10T13:43:23"/>
    <x v="1"/>
    <n v="15.35"/>
    <n v="0"/>
  </r>
  <r>
    <n v="197"/>
    <n v="152"/>
    <n v="5"/>
    <n v="180"/>
    <s v="EARNED"/>
    <n v="8"/>
    <s v=""/>
    <d v="2025-11-10T16:43:32"/>
    <x v="1"/>
    <n v="8"/>
    <n v="0"/>
  </r>
  <r>
    <n v="198"/>
    <n v="85"/>
    <n v="4"/>
    <n v="181"/>
    <s v="EARNED"/>
    <n v="7.22"/>
    <s v=""/>
    <d v="2025-11-10T18:17:57"/>
    <x v="1"/>
    <n v="7.22"/>
    <n v="0"/>
  </r>
  <r>
    <n v="199"/>
    <n v="69"/>
    <n v="2"/>
    <n v="171"/>
    <s v="ADJUSTMENT"/>
    <n v="-2.3199999999999998"/>
    <s v="Reverso por cancelación de compra #171: Solicitud del cliente"/>
    <d v="2025-11-10T19:08:56"/>
    <x v="1"/>
    <n v="0"/>
    <n v="0"/>
  </r>
  <r>
    <n v="200"/>
    <n v="39"/>
    <n v="2"/>
    <n v="182"/>
    <s v="EARNED"/>
    <n v="12.73"/>
    <s v=""/>
    <d v="2025-11-11T11:30:06"/>
    <x v="1"/>
    <n v="12.73"/>
    <n v="0"/>
  </r>
  <r>
    <n v="201"/>
    <n v="16"/>
    <n v="5"/>
    <n v="183"/>
    <s v="EARNED"/>
    <n v="17.239999999999998"/>
    <s v=""/>
    <d v="2025-11-11T14:15:49"/>
    <x v="1"/>
    <n v="17.239999999999998"/>
    <n v="0"/>
  </r>
  <r>
    <n v="202"/>
    <n v="39"/>
    <n v="5"/>
    <n v="184"/>
    <s v="EARNED"/>
    <n v="21.28"/>
    <s v=""/>
    <d v="2025-11-11T15:08:15"/>
    <x v="1"/>
    <n v="21.28"/>
    <n v="0"/>
  </r>
  <r>
    <n v="203"/>
    <n v="47"/>
    <n v="3"/>
    <n v="185"/>
    <s v="EARNED"/>
    <n v="3.34"/>
    <s v=""/>
    <d v="2025-11-11T15:13:04"/>
    <x v="1"/>
    <n v="3.34"/>
    <n v="0"/>
  </r>
  <r>
    <n v="204"/>
    <n v="85"/>
    <n v="3"/>
    <n v="186"/>
    <s v="EARNED"/>
    <n v="6.38"/>
    <s v=""/>
    <d v="2025-11-11T16:03:19"/>
    <x v="1"/>
    <n v="6.38"/>
    <n v="0"/>
  </r>
  <r>
    <n v="205"/>
    <n v="81"/>
    <n v="3"/>
    <n v="187"/>
    <s v="EARNED"/>
    <n v="2.19"/>
    <s v=""/>
    <d v="2025-11-11T16:07:31"/>
    <x v="1"/>
    <n v="2.19"/>
    <n v="0"/>
  </r>
  <r>
    <n v="206"/>
    <n v="65"/>
    <n v="5"/>
    <n v="188"/>
    <s v="EARNED"/>
    <n v="3.07"/>
    <s v=""/>
    <d v="2025-11-11T16:13:48"/>
    <x v="1"/>
    <n v="3.07"/>
    <n v="0"/>
  </r>
  <r>
    <n v="207"/>
    <n v="55"/>
    <n v="3"/>
    <n v="189"/>
    <s v="EARNED"/>
    <n v="4.5599999999999996"/>
    <s v=""/>
    <d v="2025-11-11T17:26:59"/>
    <x v="1"/>
    <n v="4.5599999999999996"/>
    <n v="0"/>
  </r>
  <r>
    <n v="208"/>
    <n v="240"/>
    <n v="4"/>
    <n v="190"/>
    <s v="EARNED"/>
    <n v="10.68"/>
    <s v=""/>
    <d v="2025-11-11T19:40:20"/>
    <x v="1"/>
    <n v="10.68"/>
    <n v="0"/>
  </r>
  <r>
    <n v="209"/>
    <n v="22"/>
    <n v="2"/>
    <n v="191"/>
    <s v="EARNED"/>
    <n v="6.78"/>
    <s v=""/>
    <d v="2025-11-12T08:57:49"/>
    <x v="1"/>
    <n v="6.78"/>
    <n v="0"/>
  </r>
  <r>
    <n v="210"/>
    <n v="117"/>
    <n v="2"/>
    <n v="192"/>
    <s v="EARNED"/>
    <n v="9.5299999999999994"/>
    <s v=""/>
    <d v="2025-11-12T11:33:06"/>
    <x v="1"/>
    <n v="9.5299999999999994"/>
    <n v="0"/>
  </r>
  <r>
    <n v="211"/>
    <n v="39"/>
    <n v="3"/>
    <n v="193"/>
    <s v="REDEEMED"/>
    <n v="300"/>
    <s v=""/>
    <d v="2025-11-12T11:35:04"/>
    <x v="1"/>
    <n v="0"/>
    <n v="300"/>
  </r>
  <r>
    <n v="212"/>
    <n v="138"/>
    <n v="3"/>
    <n v="194"/>
    <s v="EARNED"/>
    <n v="5.58"/>
    <s v=""/>
    <d v="2025-11-12T13:01:39"/>
    <x v="1"/>
    <n v="5.58"/>
    <n v="0"/>
  </r>
  <r>
    <n v="213"/>
    <n v="25"/>
    <n v="2"/>
    <n v="195"/>
    <s v="EARNED"/>
    <n v="6.35"/>
    <s v=""/>
    <d v="2025-11-12T13:04:36"/>
    <x v="1"/>
    <n v="6.35"/>
    <n v="0"/>
  </r>
  <r>
    <n v="214"/>
    <n v="38"/>
    <n v="3"/>
    <n v="196"/>
    <s v="EARNED"/>
    <n v="5.38"/>
    <s v=""/>
    <d v="2025-11-12T13:10:47"/>
    <x v="1"/>
    <n v="5.38"/>
    <n v="0"/>
  </r>
  <r>
    <n v="215"/>
    <n v="257"/>
    <n v="5"/>
    <n v="197"/>
    <s v="EARNED"/>
    <n v="6.79"/>
    <s v=""/>
    <d v="2025-11-12T15:57:13"/>
    <x v="1"/>
    <n v="6.79"/>
    <n v="0"/>
  </r>
  <r>
    <n v="216"/>
    <n v="58"/>
    <n v="5"/>
    <n v="198"/>
    <s v="EARNED"/>
    <n v="7.01"/>
    <s v=""/>
    <d v="2025-11-12T16:08:09"/>
    <x v="1"/>
    <n v="7.01"/>
    <n v="0"/>
  </r>
  <r>
    <n v="217"/>
    <n v="203"/>
    <n v="2"/>
    <n v="199"/>
    <s v="EARNED"/>
    <n v="12.39"/>
    <s v=""/>
    <d v="2025-11-13T08:10:57"/>
    <x v="1"/>
    <n v="12.39"/>
    <n v="0"/>
  </r>
  <r>
    <n v="218"/>
    <n v="25"/>
    <n v="2"/>
    <n v="200"/>
    <s v="EARNED"/>
    <n v="7.88"/>
    <s v=""/>
    <d v="2025-11-13T08:26:46"/>
    <x v="1"/>
    <n v="7.88"/>
    <n v="0"/>
  </r>
  <r>
    <n v="219"/>
    <n v="61"/>
    <n v="5"/>
    <n v="201"/>
    <s v="EARNED"/>
    <n v="13.03"/>
    <s v=""/>
    <d v="2025-11-13T09:40:39"/>
    <x v="1"/>
    <n v="13.03"/>
    <n v="0"/>
  </r>
  <r>
    <n v="220"/>
    <n v="277"/>
    <n v="2"/>
    <n v="202"/>
    <s v="EARNED"/>
    <n v="7.55"/>
    <s v=""/>
    <d v="2025-11-13T11:43:19"/>
    <x v="1"/>
    <n v="7.55"/>
    <n v="0"/>
  </r>
  <r>
    <n v="221"/>
    <n v="227"/>
    <n v="2"/>
    <n v="203"/>
    <s v="EARNED"/>
    <n v="3.58"/>
    <s v=""/>
    <d v="2025-11-13T12:18:49"/>
    <x v="1"/>
    <n v="3.58"/>
    <n v="0"/>
  </r>
  <r>
    <n v="222"/>
    <n v="268"/>
    <n v="2"/>
    <n v="204"/>
    <s v="EARNED"/>
    <n v="2.42"/>
    <s v=""/>
    <d v="2025-11-13T13:15:45"/>
    <x v="1"/>
    <n v="2.42"/>
    <n v="0"/>
  </r>
  <r>
    <n v="223"/>
    <n v="97"/>
    <n v="5"/>
    <n v="205"/>
    <s v="EARNED"/>
    <n v="9.9499999999999993"/>
    <s v=""/>
    <d v="2025-11-13T15:11:24"/>
    <x v="1"/>
    <n v="9.9499999999999993"/>
    <n v="0"/>
  </r>
  <r>
    <n v="224"/>
    <n v="8"/>
    <n v="3"/>
    <n v="206"/>
    <s v="EARNED"/>
    <n v="3.29"/>
    <s v=""/>
    <d v="2025-11-13T15:49:28"/>
    <x v="1"/>
    <n v="3.29"/>
    <n v="0"/>
  </r>
  <r>
    <n v="225"/>
    <n v="48"/>
    <n v="3"/>
    <n v="207"/>
    <s v="EARNED"/>
    <n v="11.19"/>
    <s v=""/>
    <d v="2025-11-13T16:43:43"/>
    <x v="1"/>
    <n v="11.19"/>
    <n v="0"/>
  </r>
  <r>
    <n v="226"/>
    <n v="21"/>
    <n v="2"/>
    <n v="208"/>
    <s v="EARNED"/>
    <n v="6.08"/>
    <s v=""/>
    <d v="2025-11-13T18:55:13"/>
    <x v="1"/>
    <n v="6.08"/>
    <n v="0"/>
  </r>
  <r>
    <n v="227"/>
    <n v="217"/>
    <n v="1"/>
    <m/>
    <s v="ADJUSTMENT"/>
    <n v="25.87"/>
    <s v="Compensación por falla en la bomba"/>
    <d v="2025-11-13T19:07:33"/>
    <x v="1"/>
    <n v="0"/>
    <n v="0"/>
  </r>
  <r>
    <n v="228"/>
    <n v="249"/>
    <n v="5"/>
    <n v="209"/>
    <s v="EARNED"/>
    <n v="6.4"/>
    <s v=""/>
    <d v="2025-11-13T19:17:08"/>
    <x v="1"/>
    <n v="6.4"/>
    <n v="0"/>
  </r>
  <r>
    <n v="229"/>
    <n v="106"/>
    <n v="4"/>
    <n v="210"/>
    <s v="EARNED"/>
    <n v="9.69"/>
    <s v=""/>
    <d v="2025-11-14T09:13:36"/>
    <x v="1"/>
    <n v="9.69"/>
    <n v="0"/>
  </r>
  <r>
    <n v="230"/>
    <n v="265"/>
    <n v="3"/>
    <n v="211"/>
    <s v="EARNED"/>
    <n v="8.2799999999999994"/>
    <s v=""/>
    <d v="2025-11-14T09:46:30"/>
    <x v="1"/>
    <n v="8.2799999999999994"/>
    <n v="0"/>
  </r>
  <r>
    <n v="231"/>
    <n v="10"/>
    <n v="5"/>
    <n v="212"/>
    <s v="EARNED"/>
    <n v="7.5"/>
    <s v=""/>
    <d v="2025-11-14T12:47:37"/>
    <x v="1"/>
    <n v="7.5"/>
    <n v="0"/>
  </r>
  <r>
    <n v="232"/>
    <n v="39"/>
    <n v="2"/>
    <n v="213"/>
    <s v="EARNED"/>
    <n v="13.35"/>
    <s v=""/>
    <d v="2025-11-14T13:04:31"/>
    <x v="1"/>
    <n v="13.35"/>
    <n v="0"/>
  </r>
  <r>
    <n v="233"/>
    <n v="32"/>
    <n v="2"/>
    <n v="214"/>
    <s v="EARNED"/>
    <n v="2.64"/>
    <s v=""/>
    <d v="2025-11-14T15:16:06"/>
    <x v="1"/>
    <n v="2.64"/>
    <n v="0"/>
  </r>
  <r>
    <n v="234"/>
    <n v="262"/>
    <n v="2"/>
    <n v="215"/>
    <s v="EARNED"/>
    <n v="4.66"/>
    <s v=""/>
    <d v="2025-11-14T15:18:44"/>
    <x v="1"/>
    <n v="4.66"/>
    <n v="0"/>
  </r>
  <r>
    <n v="235"/>
    <n v="202"/>
    <n v="2"/>
    <n v="216"/>
    <s v="EARNED"/>
    <n v="1.9"/>
    <s v=""/>
    <d v="2025-11-14T15:23:09"/>
    <x v="1"/>
    <n v="1.9"/>
    <n v="0"/>
  </r>
  <r>
    <n v="236"/>
    <n v="81"/>
    <n v="5"/>
    <n v="217"/>
    <s v="EARNED"/>
    <n v="1.43"/>
    <s v=""/>
    <d v="2025-11-14T16:44:20"/>
    <x v="1"/>
    <n v="1.43"/>
    <n v="0"/>
  </r>
  <r>
    <n v="237"/>
    <n v="194"/>
    <n v="5"/>
    <n v="218"/>
    <s v="EARNED"/>
    <n v="11.9"/>
    <s v=""/>
    <d v="2025-11-14T17:26:43"/>
    <x v="1"/>
    <n v="11.9"/>
    <n v="0"/>
  </r>
  <r>
    <n v="238"/>
    <n v="11"/>
    <n v="3"/>
    <n v="219"/>
    <s v="EARNED"/>
    <n v="25.74"/>
    <s v=""/>
    <d v="2025-11-14T17:55:10"/>
    <x v="1"/>
    <n v="25.74"/>
    <n v="0"/>
  </r>
  <r>
    <n v="239"/>
    <n v="117"/>
    <n v="4"/>
    <n v="220"/>
    <s v="EARNED"/>
    <n v="8.77"/>
    <s v=""/>
    <d v="2025-11-14T18:04:13"/>
    <x v="1"/>
    <n v="8.77"/>
    <n v="0"/>
  </r>
  <r>
    <n v="240"/>
    <n v="202"/>
    <n v="2"/>
    <n v="221"/>
    <s v="EARNED"/>
    <n v="4.33"/>
    <s v=""/>
    <d v="2025-11-14T18:06:18"/>
    <x v="1"/>
    <n v="4.33"/>
    <n v="0"/>
  </r>
  <r>
    <n v="241"/>
    <n v="70"/>
    <n v="2"/>
    <n v="222"/>
    <s v="EARNED"/>
    <n v="17.260000000000002"/>
    <s v=""/>
    <d v="2025-11-15T08:59:14"/>
    <x v="1"/>
    <n v="17.260000000000002"/>
    <n v="0"/>
  </r>
  <r>
    <n v="242"/>
    <n v="264"/>
    <n v="5"/>
    <n v="223"/>
    <s v="EARNED"/>
    <n v="18.39"/>
    <s v=""/>
    <d v="2025-11-15T09:07:54"/>
    <x v="1"/>
    <n v="18.39"/>
    <n v="0"/>
  </r>
  <r>
    <n v="243"/>
    <n v="293"/>
    <n v="4"/>
    <n v="224"/>
    <s v="EARNED"/>
    <n v="2.89"/>
    <s v=""/>
    <d v="2025-11-15T09:20:48"/>
    <x v="1"/>
    <n v="2.89"/>
    <n v="0"/>
  </r>
  <r>
    <n v="244"/>
    <n v="13"/>
    <n v="4"/>
    <n v="225"/>
    <s v="EARNED"/>
    <n v="3.77"/>
    <s v=""/>
    <d v="2025-11-15T09:31:12"/>
    <x v="1"/>
    <n v="3.77"/>
    <n v="0"/>
  </r>
  <r>
    <n v="245"/>
    <n v="97"/>
    <n v="4"/>
    <n v="205"/>
    <s v="ADJUSTMENT"/>
    <n v="-9.9499999999999993"/>
    <s v="Reverso por cancelación de compra #205: Cliente canceló la operación"/>
    <d v="2025-11-15T10:11:24"/>
    <x v="1"/>
    <n v="0"/>
    <n v="0"/>
  </r>
  <r>
    <n v="246"/>
    <n v="280"/>
    <n v="5"/>
    <n v="226"/>
    <s v="EARNED"/>
    <n v="3.63"/>
    <s v=""/>
    <d v="2025-11-15T11:09:38"/>
    <x v="1"/>
    <n v="3.63"/>
    <n v="0"/>
  </r>
  <r>
    <n v="247"/>
    <n v="117"/>
    <n v="4"/>
    <n v="227"/>
    <s v="EARNED"/>
    <n v="7.35"/>
    <s v=""/>
    <d v="2025-11-15T12:13:00"/>
    <x v="1"/>
    <n v="7.35"/>
    <n v="0"/>
  </r>
  <r>
    <n v="248"/>
    <n v="10"/>
    <n v="5"/>
    <n v="228"/>
    <s v="EARNED"/>
    <n v="4.24"/>
    <s v=""/>
    <d v="2025-11-15T14:54:21"/>
    <x v="1"/>
    <n v="4.24"/>
    <n v="0"/>
  </r>
  <r>
    <n v="249"/>
    <n v="44"/>
    <n v="3"/>
    <n v="229"/>
    <s v="EARNED"/>
    <n v="1.57"/>
    <s v=""/>
    <d v="2025-11-15T15:47:51"/>
    <x v="1"/>
    <n v="1.57"/>
    <n v="0"/>
  </r>
  <r>
    <n v="250"/>
    <n v="16"/>
    <n v="5"/>
    <n v="230"/>
    <s v="EARNED"/>
    <n v="20.190000000000001"/>
    <s v=""/>
    <d v="2025-11-15T15:50:07"/>
    <x v="1"/>
    <n v="20.190000000000001"/>
    <n v="0"/>
  </r>
  <r>
    <n v="251"/>
    <n v="39"/>
    <n v="4"/>
    <n v="231"/>
    <s v="EARNED"/>
    <n v="10.39"/>
    <s v=""/>
    <d v="2025-11-15T16:32:51"/>
    <x v="1"/>
    <n v="10.39"/>
    <n v="0"/>
  </r>
  <r>
    <n v="252"/>
    <n v="60"/>
    <n v="5"/>
    <n v="232"/>
    <s v="EARNED"/>
    <n v="17.22"/>
    <s v=""/>
    <d v="2025-11-15T16:59:01"/>
    <x v="1"/>
    <n v="17.22"/>
    <n v="0"/>
  </r>
  <r>
    <n v="253"/>
    <n v="44"/>
    <n v="3"/>
    <n v="233"/>
    <s v="EARNED"/>
    <n v="5.81"/>
    <s v=""/>
    <d v="2025-11-15T18:30:20"/>
    <x v="1"/>
    <n v="5.81"/>
    <n v="0"/>
  </r>
  <r>
    <n v="254"/>
    <n v="52"/>
    <n v="5"/>
    <n v="234"/>
    <s v="EARNED"/>
    <n v="3.24"/>
    <s v=""/>
    <d v="2025-11-15T18:47:19"/>
    <x v="1"/>
    <n v="3.24"/>
    <n v="0"/>
  </r>
  <r>
    <n v="255"/>
    <n v="16"/>
    <n v="5"/>
    <n v="235"/>
    <s v="EARNED"/>
    <n v="21.11"/>
    <s v=""/>
    <d v="2025-11-16T09:06:06"/>
    <x v="1"/>
    <n v="21.11"/>
    <n v="0"/>
  </r>
  <r>
    <n v="256"/>
    <n v="16"/>
    <n v="2"/>
    <n v="236"/>
    <s v="EARNED"/>
    <n v="22.05"/>
    <s v=""/>
    <d v="2025-11-16T09:13:27"/>
    <x v="1"/>
    <n v="22.05"/>
    <n v="0"/>
  </r>
  <r>
    <n v="257"/>
    <n v="44"/>
    <n v="5"/>
    <n v="233"/>
    <s v="ADJUSTMENT"/>
    <n v="-5.81"/>
    <s v="Reverso por cancelación de compra #233: Solicitud del cliente"/>
    <d v="2025-11-16T12:30:20"/>
    <x v="1"/>
    <n v="0"/>
    <n v="0"/>
  </r>
  <r>
    <n v="258"/>
    <n v="69"/>
    <n v="2"/>
    <n v="237"/>
    <s v="EARNED"/>
    <n v="4.66"/>
    <s v=""/>
    <d v="2025-11-16T14:15:56"/>
    <x v="1"/>
    <n v="4.66"/>
    <n v="0"/>
  </r>
  <r>
    <n v="259"/>
    <n v="39"/>
    <n v="4"/>
    <n v="238"/>
    <s v="EARNED"/>
    <n v="19.21"/>
    <s v=""/>
    <d v="2025-11-16T16:09:03"/>
    <x v="1"/>
    <n v="19.21"/>
    <n v="0"/>
  </r>
  <r>
    <n v="260"/>
    <n v="288"/>
    <n v="4"/>
    <n v="239"/>
    <s v="EARNED"/>
    <n v="3.43"/>
    <s v=""/>
    <d v="2025-11-16T16:19:09"/>
    <x v="1"/>
    <n v="3.43"/>
    <n v="0"/>
  </r>
  <r>
    <n v="261"/>
    <n v="7"/>
    <n v="5"/>
    <n v="240"/>
    <s v="EARNED"/>
    <n v="14.65"/>
    <s v=""/>
    <d v="2025-11-16T16:45:28"/>
    <x v="1"/>
    <n v="14.65"/>
    <n v="0"/>
  </r>
  <r>
    <n v="262"/>
    <n v="18"/>
    <n v="3"/>
    <n v="241"/>
    <s v="EARNED"/>
    <n v="10.220000000000001"/>
    <s v=""/>
    <d v="2025-11-16T17:18:04"/>
    <x v="1"/>
    <n v="10.220000000000001"/>
    <n v="0"/>
  </r>
  <r>
    <n v="263"/>
    <n v="202"/>
    <n v="5"/>
    <n v="221"/>
    <s v="ADJUSTMENT"/>
    <n v="-4.33"/>
    <s v="Reverso por cancelación de compra #221: Cliente canceló la operación"/>
    <d v="2025-11-16T18:06:18"/>
    <x v="1"/>
    <n v="0"/>
    <n v="0"/>
  </r>
  <r>
    <n v="264"/>
    <n v="262"/>
    <n v="5"/>
    <n v="242"/>
    <s v="EARNED"/>
    <n v="7.5"/>
    <s v=""/>
    <d v="2025-11-17T07:00:52"/>
    <x v="1"/>
    <n v="7.5"/>
    <n v="0"/>
  </r>
  <r>
    <n v="265"/>
    <n v="39"/>
    <n v="5"/>
    <n v="243"/>
    <s v="EARNED"/>
    <n v="14.88"/>
    <s v=""/>
    <d v="2025-11-17T07:48:14"/>
    <x v="1"/>
    <n v="14.88"/>
    <n v="0"/>
  </r>
  <r>
    <n v="266"/>
    <n v="47"/>
    <n v="3"/>
    <n v="244"/>
    <s v="EARNED"/>
    <n v="2.4700000000000002"/>
    <s v=""/>
    <d v="2025-11-17T08:44:04"/>
    <x v="1"/>
    <n v="2.4700000000000002"/>
    <n v="0"/>
  </r>
  <r>
    <n v="267"/>
    <n v="7"/>
    <n v="4"/>
    <n v="245"/>
    <s v="EARNED"/>
    <n v="17.170000000000002"/>
    <s v=""/>
    <d v="2025-11-17T08:50:47"/>
    <x v="1"/>
    <n v="17.170000000000002"/>
    <n v="0"/>
  </r>
  <r>
    <n v="268"/>
    <n v="59"/>
    <n v="2"/>
    <n v="246"/>
    <s v="EARNED"/>
    <n v="2.2799999999999998"/>
    <s v=""/>
    <d v="2025-11-17T08:56:08"/>
    <x v="1"/>
    <n v="2.2799999999999998"/>
    <n v="0"/>
  </r>
  <r>
    <n v="269"/>
    <n v="23"/>
    <n v="3"/>
    <n v="247"/>
    <s v="EARNED"/>
    <n v="12.04"/>
    <s v=""/>
    <d v="2025-11-17T09:27:44"/>
    <x v="1"/>
    <n v="12.04"/>
    <n v="0"/>
  </r>
  <r>
    <n v="270"/>
    <n v="81"/>
    <n v="2"/>
    <n v="248"/>
    <s v="EARNED"/>
    <n v="3.78"/>
    <s v=""/>
    <d v="2025-11-17T09:41:58"/>
    <x v="1"/>
    <n v="3.78"/>
    <n v="0"/>
  </r>
  <r>
    <n v="271"/>
    <n v="59"/>
    <n v="2"/>
    <n v="249"/>
    <s v="EARNED"/>
    <n v="1.81"/>
    <s v=""/>
    <d v="2025-11-17T11:59:59"/>
    <x v="1"/>
    <n v="1.81"/>
    <n v="0"/>
  </r>
  <r>
    <n v="272"/>
    <n v="245"/>
    <n v="5"/>
    <n v="250"/>
    <s v="EARNED"/>
    <n v="1.91"/>
    <s v=""/>
    <d v="2025-11-17T12:38:57"/>
    <x v="1"/>
    <n v="1.91"/>
    <n v="0"/>
  </r>
  <r>
    <n v="273"/>
    <n v="209"/>
    <n v="4"/>
    <n v="251"/>
    <s v="EARNED"/>
    <n v="30"/>
    <s v=""/>
    <d v="2025-11-17T12:42:05"/>
    <x v="1"/>
    <n v="30"/>
    <n v="0"/>
  </r>
  <r>
    <n v="274"/>
    <n v="39"/>
    <n v="5"/>
    <n v="252"/>
    <s v="EARNED"/>
    <n v="25.29"/>
    <s v=""/>
    <d v="2025-11-17T13:39:09"/>
    <x v="1"/>
    <n v="25.29"/>
    <n v="0"/>
  </r>
  <r>
    <n v="275"/>
    <n v="262"/>
    <n v="5"/>
    <n v="253"/>
    <s v="EARNED"/>
    <n v="9.5299999999999994"/>
    <s v=""/>
    <d v="2025-11-17T15:45:40"/>
    <x v="1"/>
    <n v="9.5299999999999994"/>
    <n v="0"/>
  </r>
  <r>
    <n v="276"/>
    <n v="57"/>
    <n v="4"/>
    <n v="254"/>
    <s v="EARNED"/>
    <n v="8.6199999999999992"/>
    <s v=""/>
    <d v="2025-11-17T17:42:30"/>
    <x v="1"/>
    <n v="8.6199999999999992"/>
    <n v="0"/>
  </r>
  <r>
    <n v="277"/>
    <n v="13"/>
    <n v="4"/>
    <n v="255"/>
    <s v="EARNED"/>
    <n v="3.13"/>
    <s v=""/>
    <d v="2025-11-17T19:28:52"/>
    <x v="1"/>
    <n v="3.13"/>
    <n v="0"/>
  </r>
  <r>
    <n v="278"/>
    <n v="197"/>
    <n v="5"/>
    <n v="256"/>
    <s v="EARNED"/>
    <n v="9.58"/>
    <s v=""/>
    <d v="2025-11-18T08:46:45"/>
    <x v="1"/>
    <n v="9.58"/>
    <n v="0"/>
  </r>
  <r>
    <n v="279"/>
    <n v="43"/>
    <n v="2"/>
    <n v="257"/>
    <s v="EARNED"/>
    <n v="16.55"/>
    <s v=""/>
    <d v="2025-11-18T10:41:06"/>
    <x v="1"/>
    <n v="16.55"/>
    <n v="0"/>
  </r>
  <r>
    <n v="280"/>
    <n v="44"/>
    <n v="4"/>
    <n v="258"/>
    <s v="EARNED"/>
    <n v="4.6500000000000004"/>
    <s v=""/>
    <d v="2025-11-18T11:48:26"/>
    <x v="1"/>
    <n v="4.6500000000000004"/>
    <n v="0"/>
  </r>
  <r>
    <n v="281"/>
    <n v="197"/>
    <n v="3"/>
    <n v="259"/>
    <s v="EARNED"/>
    <n v="8.1300000000000008"/>
    <s v=""/>
    <d v="2025-11-18T14:24:42"/>
    <x v="1"/>
    <n v="8.1300000000000008"/>
    <n v="0"/>
  </r>
  <r>
    <n v="282"/>
    <n v="69"/>
    <n v="5"/>
    <n v="260"/>
    <s v="EARNED"/>
    <n v="3.33"/>
    <s v=""/>
    <d v="2025-11-18T14:40:29"/>
    <x v="1"/>
    <n v="3.33"/>
    <n v="0"/>
  </r>
  <r>
    <n v="283"/>
    <n v="59"/>
    <n v="2"/>
    <n v="261"/>
    <s v="EARNED"/>
    <n v="1.5"/>
    <s v=""/>
    <d v="2025-11-18T15:24:56"/>
    <x v="1"/>
    <n v="1.5"/>
    <n v="0"/>
  </r>
  <r>
    <n v="284"/>
    <n v="262"/>
    <n v="4"/>
    <n v="262"/>
    <s v="EARNED"/>
    <n v="8.15"/>
    <s v=""/>
    <d v="2025-11-18T16:15:39"/>
    <x v="1"/>
    <n v="8.15"/>
    <n v="0"/>
  </r>
  <r>
    <n v="285"/>
    <n v="211"/>
    <n v="5"/>
    <n v="263"/>
    <s v="EARNED"/>
    <n v="12.11"/>
    <s v=""/>
    <d v="2025-11-18T17:07:49"/>
    <x v="1"/>
    <n v="12.11"/>
    <n v="0"/>
  </r>
  <r>
    <n v="286"/>
    <n v="217"/>
    <n v="2"/>
    <n v="264"/>
    <s v="EARNED"/>
    <n v="4.09"/>
    <s v=""/>
    <d v="2025-11-18T17:23:28"/>
    <x v="1"/>
    <n v="4.09"/>
    <n v="0"/>
  </r>
  <r>
    <n v="287"/>
    <n v="58"/>
    <n v="5"/>
    <n v="265"/>
    <s v="EARNED"/>
    <n v="4.91"/>
    <s v=""/>
    <d v="2025-11-18T17:35:55"/>
    <x v="1"/>
    <n v="4.91"/>
    <n v="0"/>
  </r>
  <r>
    <n v="288"/>
    <n v="16"/>
    <n v="4"/>
    <n v="266"/>
    <s v="EARNED"/>
    <n v="24.85"/>
    <s v=""/>
    <d v="2025-11-19T09:48:02"/>
    <x v="1"/>
    <n v="24.85"/>
    <n v="0"/>
  </r>
  <r>
    <n v="289"/>
    <n v="39"/>
    <n v="5"/>
    <n v="267"/>
    <s v="EARNED"/>
    <n v="10.69"/>
    <s v=""/>
    <d v="2025-11-19T10:47:55"/>
    <x v="1"/>
    <n v="10.69"/>
    <n v="0"/>
  </r>
  <r>
    <n v="290"/>
    <n v="31"/>
    <n v="2"/>
    <n v="268"/>
    <s v="EARNED"/>
    <n v="2.19"/>
    <s v=""/>
    <d v="2025-11-19T11:23:39"/>
    <x v="1"/>
    <n v="2.19"/>
    <n v="0"/>
  </r>
  <r>
    <n v="291"/>
    <n v="7"/>
    <n v="4"/>
    <n v="269"/>
    <s v="EARNED"/>
    <n v="9.68"/>
    <s v=""/>
    <d v="2025-11-19T11:36:07"/>
    <x v="1"/>
    <n v="9.68"/>
    <n v="0"/>
  </r>
  <r>
    <n v="292"/>
    <n v="97"/>
    <n v="3"/>
    <n v="270"/>
    <s v="EARNED"/>
    <n v="6.89"/>
    <s v=""/>
    <d v="2025-11-19T13:11:49"/>
    <x v="1"/>
    <n v="6.89"/>
    <n v="0"/>
  </r>
  <r>
    <n v="293"/>
    <n v="11"/>
    <n v="1"/>
    <m/>
    <s v="ADJUSTMENT"/>
    <n v="-7.75"/>
    <s v="Promoción especial de aniversario"/>
    <d v="2025-11-19T14:52:18"/>
    <x v="1"/>
    <n v="0"/>
    <n v="0"/>
  </r>
  <r>
    <n v="294"/>
    <n v="152"/>
    <n v="5"/>
    <n v="271"/>
    <s v="EARNED"/>
    <n v="8"/>
    <s v=""/>
    <d v="2025-11-19T16:19:52"/>
    <x v="1"/>
    <n v="8"/>
    <n v="0"/>
  </r>
  <r>
    <n v="295"/>
    <n v="8"/>
    <n v="2"/>
    <n v="272"/>
    <s v="EARNED"/>
    <n v="2.66"/>
    <s v=""/>
    <d v="2025-11-19T17:05:41"/>
    <x v="1"/>
    <n v="2.66"/>
    <n v="0"/>
  </r>
  <r>
    <n v="296"/>
    <n v="84"/>
    <n v="3"/>
    <n v="273"/>
    <s v="EARNED"/>
    <n v="5.41"/>
    <s v=""/>
    <d v="2025-11-19T17:47:57"/>
    <x v="1"/>
    <n v="5.41"/>
    <n v="0"/>
  </r>
  <r>
    <n v="297"/>
    <n v="39"/>
    <n v="3"/>
    <n v="274"/>
    <s v="EARNED"/>
    <n v="20.8"/>
    <s v=""/>
    <d v="2025-11-20T07:26:33"/>
    <x v="1"/>
    <n v="20.8"/>
    <n v="0"/>
  </r>
  <r>
    <n v="298"/>
    <n v="94"/>
    <n v="2"/>
    <n v="275"/>
    <s v="EARNED"/>
    <n v="12.47"/>
    <s v=""/>
    <d v="2025-11-20T07:41:12"/>
    <x v="1"/>
    <n v="12.47"/>
    <n v="0"/>
  </r>
  <r>
    <n v="299"/>
    <n v="104"/>
    <n v="4"/>
    <n v="276"/>
    <s v="EARNED"/>
    <n v="30"/>
    <s v=""/>
    <d v="2025-11-20T08:33:38"/>
    <x v="1"/>
    <n v="30"/>
    <n v="0"/>
  </r>
  <r>
    <n v="300"/>
    <n v="69"/>
    <n v="4"/>
    <n v="277"/>
    <s v="EARNED"/>
    <n v="4.04"/>
    <s v=""/>
    <d v="2025-11-20T09:51:12"/>
    <x v="1"/>
    <n v="4.04"/>
    <n v="0"/>
  </r>
  <r>
    <n v="301"/>
    <n v="160"/>
    <n v="5"/>
    <n v="278"/>
    <s v="EARNED"/>
    <n v="2.68"/>
    <s v=""/>
    <d v="2025-11-20T09:58:37"/>
    <x v="1"/>
    <n v="2.68"/>
    <n v="0"/>
  </r>
  <r>
    <n v="302"/>
    <n v="47"/>
    <n v="2"/>
    <n v="279"/>
    <s v="EARNED"/>
    <n v="4.03"/>
    <s v=""/>
    <d v="2025-11-20T10:23:57"/>
    <x v="1"/>
    <n v="4.03"/>
    <n v="0"/>
  </r>
  <r>
    <n v="303"/>
    <n v="151"/>
    <n v="5"/>
    <n v="280"/>
    <s v="EARNED"/>
    <n v="10.5"/>
    <s v=""/>
    <d v="2025-11-20T12:19:10"/>
    <x v="1"/>
    <n v="10.5"/>
    <n v="0"/>
  </r>
  <r>
    <n v="304"/>
    <n v="65"/>
    <n v="2"/>
    <n v="281"/>
    <s v="EARNED"/>
    <n v="5.71"/>
    <s v=""/>
    <d v="2025-11-20T13:30:16"/>
    <x v="1"/>
    <n v="5.71"/>
    <n v="0"/>
  </r>
  <r>
    <n v="305"/>
    <n v="39"/>
    <n v="5"/>
    <n v="282"/>
    <s v="EARNED"/>
    <n v="22.75"/>
    <s v=""/>
    <d v="2025-11-20T14:05:47"/>
    <x v="1"/>
    <n v="22.75"/>
    <n v="0"/>
  </r>
  <r>
    <n v="306"/>
    <n v="44"/>
    <n v="5"/>
    <n v="283"/>
    <s v="EARNED"/>
    <n v="7.45"/>
    <s v=""/>
    <d v="2025-11-20T15:58:29"/>
    <x v="1"/>
    <n v="7.45"/>
    <n v="0"/>
  </r>
  <r>
    <n v="307"/>
    <n v="65"/>
    <n v="5"/>
    <n v="284"/>
    <s v="EARNED"/>
    <n v="3.49"/>
    <s v=""/>
    <d v="2025-11-20T18:57:54"/>
    <x v="1"/>
    <n v="3.49"/>
    <n v="0"/>
  </r>
  <r>
    <n v="308"/>
    <n v="240"/>
    <n v="5"/>
    <n v="285"/>
    <s v="EARNED"/>
    <n v="23.39"/>
    <s v=""/>
    <d v="2025-11-21T07:35:49"/>
    <x v="1"/>
    <n v="23.39"/>
    <n v="0"/>
  </r>
  <r>
    <n v="309"/>
    <n v="61"/>
    <n v="4"/>
    <n v="286"/>
    <s v="EARNED"/>
    <n v="22"/>
    <s v=""/>
    <d v="2025-11-21T07:56:24"/>
    <x v="1"/>
    <n v="22"/>
    <n v="0"/>
  </r>
  <r>
    <n v="310"/>
    <n v="38"/>
    <n v="4"/>
    <n v="287"/>
    <s v="EARNED"/>
    <n v="2.31"/>
    <s v=""/>
    <d v="2025-11-21T08:21:59"/>
    <x v="1"/>
    <n v="2.31"/>
    <n v="0"/>
  </r>
  <r>
    <n v="311"/>
    <n v="106"/>
    <n v="5"/>
    <n v="288"/>
    <s v="EARNED"/>
    <n v="8.73"/>
    <s v=""/>
    <d v="2025-11-21T09:04:08"/>
    <x v="1"/>
    <n v="8.73"/>
    <n v="0"/>
  </r>
  <r>
    <n v="312"/>
    <n v="44"/>
    <n v="5"/>
    <n v="289"/>
    <s v="EARNED"/>
    <n v="2.3199999999999998"/>
    <s v=""/>
    <d v="2025-11-21T10:30:44"/>
    <x v="1"/>
    <n v="2.3199999999999998"/>
    <n v="0"/>
  </r>
  <r>
    <n v="313"/>
    <n v="27"/>
    <n v="3"/>
    <n v="290"/>
    <s v="EARNED"/>
    <n v="4.6900000000000004"/>
    <s v=""/>
    <d v="2025-11-21T10:59:18"/>
    <x v="1"/>
    <n v="4.6900000000000004"/>
    <n v="0"/>
  </r>
  <r>
    <n v="314"/>
    <n v="64"/>
    <n v="5"/>
    <n v="291"/>
    <s v="EARNED"/>
    <n v="2.97"/>
    <s v=""/>
    <d v="2025-11-21T11:35:53"/>
    <x v="1"/>
    <n v="2.97"/>
    <n v="0"/>
  </r>
  <r>
    <n v="315"/>
    <n v="39"/>
    <n v="4"/>
    <n v="292"/>
    <s v="EARNED"/>
    <n v="23.41"/>
    <s v=""/>
    <d v="2025-11-21T12:12:56"/>
    <x v="1"/>
    <n v="23.41"/>
    <n v="0"/>
  </r>
  <r>
    <n v="316"/>
    <n v="240"/>
    <n v="2"/>
    <n v="293"/>
    <s v="EARNED"/>
    <n v="14.75"/>
    <s v=""/>
    <d v="2025-11-21T15:02:15"/>
    <x v="1"/>
    <n v="14.75"/>
    <n v="0"/>
  </r>
  <r>
    <n v="317"/>
    <n v="207"/>
    <n v="5"/>
    <n v="294"/>
    <s v="EARNED"/>
    <n v="2.8"/>
    <s v=""/>
    <d v="2025-11-21T15:02:46"/>
    <x v="1"/>
    <n v="2.8"/>
    <n v="0"/>
  </r>
  <r>
    <n v="318"/>
    <n v="52"/>
    <n v="3"/>
    <n v="295"/>
    <s v="EARNED"/>
    <n v="2.46"/>
    <s v=""/>
    <d v="2025-11-21T15:51:34"/>
    <x v="1"/>
    <n v="2.46"/>
    <n v="0"/>
  </r>
  <r>
    <n v="319"/>
    <n v="59"/>
    <n v="4"/>
    <n v="296"/>
    <s v="EARNED"/>
    <n v="3.07"/>
    <s v=""/>
    <d v="2025-11-21T17:14:15"/>
    <x v="1"/>
    <n v="3.07"/>
    <n v="0"/>
  </r>
  <r>
    <n v="320"/>
    <n v="61"/>
    <n v="4"/>
    <n v="297"/>
    <s v="EARNED"/>
    <n v="9.1"/>
    <s v=""/>
    <d v="2025-11-21T18:32:45"/>
    <x v="1"/>
    <n v="9.1"/>
    <n v="0"/>
  </r>
  <r>
    <n v="321"/>
    <n v="207"/>
    <n v="4"/>
    <n v="298"/>
    <s v="EARNED"/>
    <n v="2.35"/>
    <s v=""/>
    <d v="2025-11-22T08:16:46"/>
    <x v="1"/>
    <n v="2.35"/>
    <n v="0"/>
  </r>
  <r>
    <n v="322"/>
    <n v="44"/>
    <n v="3"/>
    <n v="299"/>
    <s v="EARNED"/>
    <n v="3.83"/>
    <s v=""/>
    <d v="2025-11-22T08:16:49"/>
    <x v="1"/>
    <n v="3.83"/>
    <n v="0"/>
  </r>
  <r>
    <n v="323"/>
    <n v="47"/>
    <n v="4"/>
    <n v="300"/>
    <s v="EARNED"/>
    <n v="3.3"/>
    <s v=""/>
    <d v="2025-11-22T08:48:15"/>
    <x v="1"/>
    <n v="3.3"/>
    <n v="0"/>
  </r>
  <r>
    <n v="324"/>
    <n v="39"/>
    <n v="3"/>
    <n v="301"/>
    <s v="EARNED"/>
    <n v="13.74"/>
    <s v=""/>
    <d v="2025-11-22T09:02:54"/>
    <x v="1"/>
    <n v="13.74"/>
    <n v="0"/>
  </r>
  <r>
    <n v="325"/>
    <n v="261"/>
    <n v="5"/>
    <n v="302"/>
    <s v="EARNED"/>
    <n v="5.94"/>
    <s v=""/>
    <d v="2025-11-22T09:09:39"/>
    <x v="1"/>
    <n v="5.94"/>
    <n v="0"/>
  </r>
  <r>
    <n v="326"/>
    <n v="16"/>
    <n v="5"/>
    <n v="303"/>
    <s v="REDEEMED"/>
    <n v="130.58000000000001"/>
    <s v=""/>
    <d v="2025-11-22T09:16:32"/>
    <x v="1"/>
    <n v="0"/>
    <n v="130.58000000000001"/>
  </r>
  <r>
    <n v="327"/>
    <n v="84"/>
    <n v="2"/>
    <n v="304"/>
    <s v="EARNED"/>
    <n v="3.88"/>
    <s v=""/>
    <d v="2025-11-22T09:47:33"/>
    <x v="1"/>
    <n v="3.88"/>
    <n v="0"/>
  </r>
  <r>
    <n v="328"/>
    <n v="168"/>
    <n v="2"/>
    <n v="305"/>
    <s v="EARNED"/>
    <n v="1.72"/>
    <s v=""/>
    <d v="2025-11-22T10:08:10"/>
    <x v="1"/>
    <n v="1.72"/>
    <n v="0"/>
  </r>
  <r>
    <n v="329"/>
    <n v="32"/>
    <n v="5"/>
    <n v="306"/>
    <s v="EARNED"/>
    <n v="3.94"/>
    <s v=""/>
    <d v="2025-11-22T10:55:16"/>
    <x v="1"/>
    <n v="3.94"/>
    <n v="0"/>
  </r>
  <r>
    <n v="330"/>
    <n v="249"/>
    <n v="5"/>
    <n v="307"/>
    <s v="EARNED"/>
    <n v="13.52"/>
    <s v=""/>
    <d v="2025-11-22T11:22:29"/>
    <x v="1"/>
    <n v="13.52"/>
    <n v="0"/>
  </r>
  <r>
    <n v="331"/>
    <n v="155"/>
    <n v="4"/>
    <n v="308"/>
    <s v="EARNED"/>
    <n v="5.39"/>
    <s v=""/>
    <d v="2025-11-22T13:23:26"/>
    <x v="1"/>
    <n v="5.39"/>
    <n v="0"/>
  </r>
  <r>
    <n v="332"/>
    <n v="137"/>
    <n v="2"/>
    <n v="309"/>
    <s v="EARNED"/>
    <n v="3.07"/>
    <s v=""/>
    <d v="2025-11-22T13:54:12"/>
    <x v="1"/>
    <n v="3.07"/>
    <n v="0"/>
  </r>
  <r>
    <n v="333"/>
    <n v="38"/>
    <n v="3"/>
    <n v="310"/>
    <s v="EARNED"/>
    <n v="2.61"/>
    <s v=""/>
    <d v="2025-11-22T14:00:33"/>
    <x v="1"/>
    <n v="2.61"/>
    <n v="0"/>
  </r>
  <r>
    <n v="334"/>
    <n v="39"/>
    <n v="2"/>
    <n v="311"/>
    <s v="EARNED"/>
    <n v="17.37"/>
    <s v=""/>
    <d v="2025-11-22T14:23:42"/>
    <x v="1"/>
    <n v="17.37"/>
    <n v="0"/>
  </r>
  <r>
    <n v="335"/>
    <n v="16"/>
    <n v="3"/>
    <n v="303"/>
    <s v="ADJUSTMENT"/>
    <n v="130.58000000000001"/>
    <s v="Reverso por cancelación de compra #303: Monto duplicado por error de sistema"/>
    <d v="2025-11-22T15:16:32"/>
    <x v="1"/>
    <n v="0"/>
    <n v="0"/>
  </r>
  <r>
    <n v="336"/>
    <n v="76"/>
    <n v="4"/>
    <n v="312"/>
    <s v="EARNED"/>
    <n v="4.1399999999999997"/>
    <s v=""/>
    <d v="2025-11-22T15:21:31"/>
    <x v="1"/>
    <n v="4.1399999999999997"/>
    <n v="0"/>
  </r>
  <r>
    <n v="337"/>
    <n v="44"/>
    <n v="4"/>
    <n v="313"/>
    <s v="EARNED"/>
    <n v="4.28"/>
    <s v=""/>
    <d v="2025-11-22T15:40:25"/>
    <x v="1"/>
    <n v="4.28"/>
    <n v="0"/>
  </r>
  <r>
    <n v="338"/>
    <n v="44"/>
    <n v="2"/>
    <n v="314"/>
    <s v="EARNED"/>
    <n v="1.96"/>
    <s v=""/>
    <d v="2025-11-22T17:33:51"/>
    <x v="1"/>
    <n v="1.96"/>
    <n v="0"/>
  </r>
  <r>
    <n v="339"/>
    <n v="138"/>
    <n v="3"/>
    <n v="315"/>
    <s v="EARNED"/>
    <n v="3.3"/>
    <s v=""/>
    <d v="2025-11-22T18:57:14"/>
    <x v="1"/>
    <n v="3.3"/>
    <n v="0"/>
  </r>
  <r>
    <n v="340"/>
    <n v="280"/>
    <n v="1"/>
    <m/>
    <s v="ADJUSTMENT"/>
    <n v="33.549999999999997"/>
    <s v="Corrección por captura duplicada"/>
    <d v="2025-11-22T22:38:52"/>
    <x v="1"/>
    <n v="0"/>
    <n v="0"/>
  </r>
  <r>
    <n v="341"/>
    <n v="16"/>
    <n v="5"/>
    <n v="316"/>
    <s v="EARNED"/>
    <n v="15.29"/>
    <s v=""/>
    <d v="2025-11-23T16:07:00"/>
    <x v="1"/>
    <n v="15.29"/>
    <n v="0"/>
  </r>
  <r>
    <n v="342"/>
    <n v="53"/>
    <n v="4"/>
    <n v="317"/>
    <s v="EARNED"/>
    <n v="3.93"/>
    <s v=""/>
    <d v="2025-11-23T16:54:09"/>
    <x v="1"/>
    <n v="3.93"/>
    <n v="0"/>
  </r>
  <r>
    <n v="343"/>
    <n v="47"/>
    <n v="5"/>
    <n v="300"/>
    <s v="ADJUSTMENT"/>
    <n v="-3.3"/>
    <s v="Reverso por cancelación de compra #300: Cliente canceló la operación"/>
    <d v="2025-11-24T04:48:15"/>
    <x v="1"/>
    <n v="0"/>
    <n v="0"/>
  </r>
  <r>
    <n v="344"/>
    <n v="137"/>
    <n v="3"/>
    <n v="318"/>
    <s v="EARNED"/>
    <n v="4.93"/>
    <s v=""/>
    <d v="2025-11-24T07:59:35"/>
    <x v="1"/>
    <n v="4.93"/>
    <n v="0"/>
  </r>
  <r>
    <n v="345"/>
    <n v="55"/>
    <n v="2"/>
    <n v="319"/>
    <s v="EARNED"/>
    <n v="4.34"/>
    <s v=""/>
    <d v="2025-11-24T08:58:23"/>
    <x v="1"/>
    <n v="4.34"/>
    <n v="0"/>
  </r>
  <r>
    <n v="346"/>
    <n v="13"/>
    <n v="5"/>
    <n v="320"/>
    <s v="EARNED"/>
    <n v="1.79"/>
    <s v=""/>
    <d v="2025-11-24T11:16:06"/>
    <x v="1"/>
    <n v="1.79"/>
    <n v="0"/>
  </r>
  <r>
    <n v="347"/>
    <n v="21"/>
    <n v="3"/>
    <n v="321"/>
    <s v="EARNED"/>
    <n v="2.38"/>
    <s v=""/>
    <d v="2025-11-24T13:00:25"/>
    <x v="1"/>
    <n v="2.38"/>
    <n v="0"/>
  </r>
  <r>
    <n v="348"/>
    <n v="65"/>
    <n v="3"/>
    <n v="322"/>
    <s v="EARNED"/>
    <n v="2.63"/>
    <s v=""/>
    <d v="2025-11-24T15:22:43"/>
    <x v="1"/>
    <n v="2.63"/>
    <n v="0"/>
  </r>
  <r>
    <n v="349"/>
    <n v="65"/>
    <n v="2"/>
    <n v="323"/>
    <s v="EARNED"/>
    <n v="3.09"/>
    <s v=""/>
    <d v="2025-11-24T16:20:26"/>
    <x v="1"/>
    <n v="3.09"/>
    <n v="0"/>
  </r>
  <r>
    <n v="350"/>
    <n v="76"/>
    <n v="4"/>
    <n v="324"/>
    <s v="EARNED"/>
    <n v="9.09"/>
    <s v=""/>
    <d v="2025-11-24T17:58:02"/>
    <x v="1"/>
    <n v="9.09"/>
    <n v="0"/>
  </r>
  <r>
    <n v="351"/>
    <n v="117"/>
    <n v="4"/>
    <n v="325"/>
    <s v="EARNED"/>
    <n v="13.74"/>
    <s v=""/>
    <d v="2025-11-24T18:45:30"/>
    <x v="1"/>
    <n v="13.74"/>
    <n v="0"/>
  </r>
  <r>
    <n v="352"/>
    <n v="277"/>
    <n v="3"/>
    <n v="326"/>
    <s v="EARNED"/>
    <n v="11.51"/>
    <s v=""/>
    <d v="2025-11-25T09:06:58"/>
    <x v="1"/>
    <n v="11.51"/>
    <n v="0"/>
  </r>
  <r>
    <n v="353"/>
    <n v="44"/>
    <n v="2"/>
    <n v="327"/>
    <s v="EARNED"/>
    <n v="6.47"/>
    <s v=""/>
    <d v="2025-11-25T09:19:32"/>
    <x v="1"/>
    <n v="6.47"/>
    <n v="0"/>
  </r>
  <r>
    <n v="354"/>
    <n v="57"/>
    <n v="2"/>
    <n v="328"/>
    <s v="EARNED"/>
    <n v="5.76"/>
    <s v=""/>
    <d v="2025-11-25T10:46:11"/>
    <x v="1"/>
    <n v="5.76"/>
    <n v="0"/>
  </r>
  <r>
    <n v="355"/>
    <n v="113"/>
    <n v="5"/>
    <n v="329"/>
    <s v="EARNED"/>
    <n v="4.58"/>
    <s v=""/>
    <d v="2025-11-25T12:08:40"/>
    <x v="1"/>
    <n v="4.58"/>
    <n v="0"/>
  </r>
  <r>
    <n v="356"/>
    <n v="126"/>
    <n v="3"/>
    <n v="330"/>
    <s v="EARNED"/>
    <n v="9.92"/>
    <s v=""/>
    <d v="2025-11-25T13:27:13"/>
    <x v="1"/>
    <n v="9.92"/>
    <n v="0"/>
  </r>
  <r>
    <n v="357"/>
    <n v="32"/>
    <n v="3"/>
    <n v="331"/>
    <s v="EARNED"/>
    <n v="3.76"/>
    <s v=""/>
    <d v="2025-11-25T15:37:33"/>
    <x v="1"/>
    <n v="3.76"/>
    <n v="0"/>
  </r>
  <r>
    <n v="358"/>
    <n v="76"/>
    <n v="1"/>
    <m/>
    <s v="ADJUSTMENT"/>
    <n v="6.28"/>
    <s v="Corrección por captura duplicada"/>
    <d v="2025-11-26T07:19:27"/>
    <x v="1"/>
    <n v="0"/>
    <n v="0"/>
  </r>
  <r>
    <n v="359"/>
    <n v="17"/>
    <n v="5"/>
    <n v="332"/>
    <s v="EARNED"/>
    <n v="10.72"/>
    <s v=""/>
    <d v="2025-11-26T07:24:11"/>
    <x v="1"/>
    <n v="10.72"/>
    <n v="0"/>
  </r>
  <r>
    <n v="360"/>
    <n v="40"/>
    <n v="3"/>
    <n v="333"/>
    <s v="EARNED"/>
    <n v="9.7100000000000009"/>
    <s v=""/>
    <d v="2025-11-26T07:29:11"/>
    <x v="1"/>
    <n v="9.7100000000000009"/>
    <n v="0"/>
  </r>
  <r>
    <n v="361"/>
    <n v="32"/>
    <n v="1"/>
    <m/>
    <s v="ADJUSTMENT"/>
    <n v="8.9499999999999993"/>
    <s v="Corrección de saldo detectada en auditoría"/>
    <d v="2025-11-26T07:34:40"/>
    <x v="1"/>
    <n v="0"/>
    <n v="0"/>
  </r>
  <r>
    <n v="362"/>
    <n v="16"/>
    <n v="5"/>
    <n v="334"/>
    <s v="EARNED"/>
    <n v="14.59"/>
    <s v=""/>
    <d v="2025-11-26T08:18:22"/>
    <x v="1"/>
    <n v="14.59"/>
    <n v="0"/>
  </r>
  <r>
    <n v="363"/>
    <n v="117"/>
    <n v="3"/>
    <n v="335"/>
    <s v="EARNED"/>
    <n v="6.94"/>
    <s v=""/>
    <d v="2025-11-26T08:36:37"/>
    <x v="1"/>
    <n v="6.94"/>
    <n v="0"/>
  </r>
  <r>
    <n v="364"/>
    <n v="152"/>
    <n v="2"/>
    <n v="336"/>
    <s v="EARNED"/>
    <n v="10.4"/>
    <s v=""/>
    <d v="2025-11-26T08:48:23"/>
    <x v="1"/>
    <n v="10.4"/>
    <n v="0"/>
  </r>
  <r>
    <n v="365"/>
    <n v="117"/>
    <n v="2"/>
    <n v="337"/>
    <s v="EARNED"/>
    <n v="15.94"/>
    <s v=""/>
    <d v="2025-11-26T08:57:02"/>
    <x v="1"/>
    <n v="15.94"/>
    <n v="0"/>
  </r>
  <r>
    <n v="366"/>
    <n v="62"/>
    <n v="5"/>
    <n v="338"/>
    <s v="EARNED"/>
    <n v="3.48"/>
    <s v=""/>
    <d v="2025-11-26T10:08:25"/>
    <x v="1"/>
    <n v="3.48"/>
    <n v="0"/>
  </r>
  <r>
    <n v="367"/>
    <n v="262"/>
    <n v="3"/>
    <n v="339"/>
    <s v="EARNED"/>
    <n v="5.85"/>
    <s v=""/>
    <d v="2025-11-26T11:06:47"/>
    <x v="1"/>
    <n v="5.85"/>
    <n v="0"/>
  </r>
  <r>
    <n v="368"/>
    <n v="104"/>
    <n v="3"/>
    <n v="340"/>
    <s v="EARNED"/>
    <n v="25.19"/>
    <s v=""/>
    <d v="2025-11-26T11:18:02"/>
    <x v="1"/>
    <n v="25.19"/>
    <n v="0"/>
  </r>
  <r>
    <n v="369"/>
    <n v="39"/>
    <n v="2"/>
    <n v="341"/>
    <s v="EARNED"/>
    <n v="22.42"/>
    <s v=""/>
    <d v="2025-11-26T12:01:21"/>
    <x v="1"/>
    <n v="22.42"/>
    <n v="0"/>
  </r>
  <r>
    <n v="370"/>
    <n v="251"/>
    <n v="3"/>
    <n v="342"/>
    <s v="EARNED"/>
    <n v="6.65"/>
    <s v=""/>
    <d v="2025-11-26T12:26:54"/>
    <x v="1"/>
    <n v="6.65"/>
    <n v="0"/>
  </r>
  <r>
    <n v="371"/>
    <n v="266"/>
    <n v="2"/>
    <n v="343"/>
    <s v="EARNED"/>
    <n v="25.24"/>
    <s v=""/>
    <d v="2025-11-26T14:31:09"/>
    <x v="1"/>
    <n v="25.24"/>
    <n v="0"/>
  </r>
  <r>
    <n v="372"/>
    <n v="51"/>
    <n v="4"/>
    <n v="344"/>
    <s v="EARNED"/>
    <n v="19.78"/>
    <s v=""/>
    <d v="2025-11-26T15:09:07"/>
    <x v="1"/>
    <n v="19.78"/>
    <n v="0"/>
  </r>
  <r>
    <n v="373"/>
    <n v="245"/>
    <n v="5"/>
    <n v="345"/>
    <s v="EARNED"/>
    <n v="2.85"/>
    <s v=""/>
    <d v="2025-11-26T15:29:55"/>
    <x v="1"/>
    <n v="2.85"/>
    <n v="0"/>
  </r>
  <r>
    <n v="374"/>
    <n v="39"/>
    <n v="4"/>
    <n v="346"/>
    <s v="REDEEMED"/>
    <n v="157.72999999999999"/>
    <s v=""/>
    <d v="2025-11-26T18:19:29"/>
    <x v="1"/>
    <n v="0"/>
    <n v="157.72999999999999"/>
  </r>
  <r>
    <n v="375"/>
    <n v="44"/>
    <n v="3"/>
    <n v="347"/>
    <s v="EARNED"/>
    <n v="2.86"/>
    <s v=""/>
    <d v="2025-11-26T19:46:17"/>
    <x v="1"/>
    <n v="2.86"/>
    <n v="0"/>
  </r>
  <r>
    <n v="376"/>
    <n v="117"/>
    <n v="3"/>
    <n v="335"/>
    <s v="ADJUSTMENT"/>
    <n v="-6.94"/>
    <s v="Reverso por cancelación de compra #335: Error de captura"/>
    <d v="2025-11-26T23:36:37"/>
    <x v="1"/>
    <n v="0"/>
    <n v="0"/>
  </r>
  <r>
    <n v="377"/>
    <n v="137"/>
    <n v="4"/>
    <n v="348"/>
    <s v="EARNED"/>
    <n v="4.08"/>
    <s v=""/>
    <d v="2025-11-27T09:44:15"/>
    <x v="1"/>
    <n v="4.08"/>
    <n v="0"/>
  </r>
  <r>
    <n v="378"/>
    <n v="240"/>
    <n v="5"/>
    <n v="349"/>
    <s v="EARNED"/>
    <n v="18.75"/>
    <s v=""/>
    <d v="2025-11-27T10:02:43"/>
    <x v="1"/>
    <n v="18.75"/>
    <n v="0"/>
  </r>
  <r>
    <n v="379"/>
    <n v="266"/>
    <n v="5"/>
    <n v="350"/>
    <s v="EARNED"/>
    <n v="10.7"/>
    <s v=""/>
    <d v="2025-11-27T12:34:09"/>
    <x v="1"/>
    <n v="10.7"/>
    <n v="0"/>
  </r>
  <r>
    <n v="380"/>
    <n v="249"/>
    <n v="1"/>
    <m/>
    <s v="ADJUSTMENT"/>
    <n v="23.2"/>
    <s v="Corrección de saldo detectada en auditoría"/>
    <d v="2025-11-27T14:45:54"/>
    <x v="1"/>
    <n v="0"/>
    <n v="0"/>
  </r>
  <r>
    <n v="381"/>
    <n v="106"/>
    <n v="2"/>
    <n v="351"/>
    <s v="EARNED"/>
    <n v="11.15"/>
    <s v=""/>
    <d v="2025-11-27T16:52:23"/>
    <x v="1"/>
    <n v="11.15"/>
    <n v="0"/>
  </r>
  <r>
    <n v="382"/>
    <n v="137"/>
    <n v="4"/>
    <n v="352"/>
    <s v="EARNED"/>
    <n v="4.12"/>
    <s v=""/>
    <d v="2025-11-27T17:41:06"/>
    <x v="1"/>
    <n v="4.12"/>
    <n v="0"/>
  </r>
  <r>
    <n v="383"/>
    <n v="262"/>
    <n v="1"/>
    <m/>
    <s v="ADJUSTMENT"/>
    <n v="-5.47"/>
    <s v="Corrección de saldo detectada en auditoría"/>
    <d v="2025-11-27T20:52:12"/>
    <x v="1"/>
    <n v="0"/>
    <n v="0"/>
  </r>
  <r>
    <n v="384"/>
    <n v="207"/>
    <n v="3"/>
    <n v="353"/>
    <s v="EARNED"/>
    <n v="3.84"/>
    <s v=""/>
    <d v="2025-11-28T10:05:47"/>
    <x v="1"/>
    <n v="3.84"/>
    <n v="0"/>
  </r>
  <r>
    <n v="385"/>
    <n v="117"/>
    <n v="3"/>
    <n v="354"/>
    <s v="EARNED"/>
    <n v="8"/>
    <s v=""/>
    <d v="2025-11-28T10:09:48"/>
    <x v="1"/>
    <n v="8"/>
    <n v="0"/>
  </r>
  <r>
    <n v="386"/>
    <n v="44"/>
    <n v="4"/>
    <n v="355"/>
    <s v="EARNED"/>
    <n v="3.92"/>
    <s v=""/>
    <d v="2025-11-28T10:23:19"/>
    <x v="1"/>
    <n v="3.92"/>
    <n v="0"/>
  </r>
  <r>
    <n v="387"/>
    <n v="57"/>
    <n v="2"/>
    <n v="356"/>
    <s v="EARNED"/>
    <n v="8.56"/>
    <s v=""/>
    <d v="2025-11-28T11:09:32"/>
    <x v="1"/>
    <n v="8.56"/>
    <n v="0"/>
  </r>
  <r>
    <n v="388"/>
    <n v="51"/>
    <n v="2"/>
    <n v="344"/>
    <s v="ADJUSTMENT"/>
    <n v="-19.78"/>
    <s v="Reverso por cancelación de compra #344: Solicitud del cliente"/>
    <d v="2025-11-28T12:09:07"/>
    <x v="1"/>
    <n v="0"/>
    <n v="0"/>
  </r>
  <r>
    <n v="389"/>
    <n v="106"/>
    <n v="3"/>
    <n v="357"/>
    <s v="EARNED"/>
    <n v="8.8800000000000008"/>
    <s v=""/>
    <d v="2025-11-28T16:51:23"/>
    <x v="1"/>
    <n v="8.8800000000000008"/>
    <n v="0"/>
  </r>
  <r>
    <n v="390"/>
    <n v="300"/>
    <n v="3"/>
    <n v="358"/>
    <s v="EARNED"/>
    <n v="6.12"/>
    <s v=""/>
    <d v="2025-11-28T17:51:39"/>
    <x v="1"/>
    <n v="6.12"/>
    <n v="0"/>
  </r>
  <r>
    <n v="391"/>
    <n v="7"/>
    <n v="5"/>
    <n v="359"/>
    <s v="EARNED"/>
    <n v="7.43"/>
    <s v=""/>
    <d v="2025-11-28T18:42:25"/>
    <x v="1"/>
    <n v="7.43"/>
    <n v="0"/>
  </r>
  <r>
    <n v="392"/>
    <n v="25"/>
    <n v="1"/>
    <m/>
    <s v="ADJUSTMENT"/>
    <n v="33.39"/>
    <s v="Promoción especial de aniversario"/>
    <d v="2025-11-28T20:56:22"/>
    <x v="1"/>
    <n v="0"/>
    <n v="0"/>
  </r>
  <r>
    <n v="393"/>
    <n v="137"/>
    <n v="3"/>
    <n v="348"/>
    <s v="ADJUSTMENT"/>
    <n v="-4.08"/>
    <s v="Reverso por cancelación de compra #348: Solicitud del cliente"/>
    <d v="2025-11-28T21:44:15"/>
    <x v="1"/>
    <n v="0"/>
    <n v="0"/>
  </r>
  <r>
    <n v="394"/>
    <n v="117"/>
    <n v="4"/>
    <n v="360"/>
    <s v="EARNED"/>
    <n v="7.48"/>
    <s v=""/>
    <d v="2025-11-29T07:23:31"/>
    <x v="1"/>
    <n v="7.48"/>
    <n v="0"/>
  </r>
  <r>
    <n v="395"/>
    <n v="202"/>
    <n v="4"/>
    <n v="361"/>
    <s v="EARNED"/>
    <n v="1.9"/>
    <s v=""/>
    <d v="2025-11-29T09:16:21"/>
    <x v="1"/>
    <n v="1.9"/>
    <n v="0"/>
  </r>
  <r>
    <n v="396"/>
    <n v="202"/>
    <n v="3"/>
    <n v="362"/>
    <s v="EARNED"/>
    <n v="3"/>
    <s v=""/>
    <d v="2025-11-29T09:26:49"/>
    <x v="1"/>
    <n v="3"/>
    <n v="0"/>
  </r>
  <r>
    <n v="397"/>
    <n v="38"/>
    <n v="2"/>
    <n v="363"/>
    <s v="EARNED"/>
    <n v="1.94"/>
    <s v=""/>
    <d v="2025-11-29T09:44:09"/>
    <x v="1"/>
    <n v="1.94"/>
    <n v="0"/>
  </r>
  <r>
    <n v="398"/>
    <n v="48"/>
    <n v="5"/>
    <n v="364"/>
    <s v="EARNED"/>
    <n v="7.65"/>
    <s v=""/>
    <d v="2025-11-29T10:00:45"/>
    <x v="1"/>
    <n v="7.65"/>
    <n v="0"/>
  </r>
  <r>
    <n v="399"/>
    <n v="137"/>
    <n v="4"/>
    <n v="365"/>
    <s v="EARNED"/>
    <n v="4.45"/>
    <s v=""/>
    <d v="2025-11-29T11:26:24"/>
    <x v="1"/>
    <n v="4.45"/>
    <n v="0"/>
  </r>
  <r>
    <n v="400"/>
    <n v="52"/>
    <n v="4"/>
    <n v="366"/>
    <s v="EARNED"/>
    <n v="2.61"/>
    <s v=""/>
    <d v="2025-11-29T12:19:12"/>
    <x v="1"/>
    <n v="2.61"/>
    <n v="0"/>
  </r>
  <r>
    <n v="401"/>
    <n v="138"/>
    <n v="3"/>
    <n v="367"/>
    <s v="EARNED"/>
    <n v="2.2799999999999998"/>
    <s v=""/>
    <d v="2025-11-29T13:22:21"/>
    <x v="1"/>
    <n v="2.2799999999999998"/>
    <n v="0"/>
  </r>
  <r>
    <n v="402"/>
    <n v="217"/>
    <n v="5"/>
    <n v="368"/>
    <s v="EARNED"/>
    <n v="4.34"/>
    <s v=""/>
    <d v="2025-11-29T13:44:48"/>
    <x v="1"/>
    <n v="4.34"/>
    <n v="0"/>
  </r>
  <r>
    <n v="403"/>
    <n v="137"/>
    <n v="2"/>
    <n v="369"/>
    <s v="EARNED"/>
    <n v="1.69"/>
    <s v=""/>
    <d v="2025-11-29T14:58:56"/>
    <x v="1"/>
    <n v="1.69"/>
    <n v="0"/>
  </r>
  <r>
    <n v="404"/>
    <n v="46"/>
    <n v="5"/>
    <n v="370"/>
    <s v="EARNED"/>
    <n v="3.69"/>
    <s v=""/>
    <d v="2025-11-29T15:22:27"/>
    <x v="1"/>
    <n v="3.69"/>
    <n v="0"/>
  </r>
  <r>
    <n v="405"/>
    <n v="186"/>
    <n v="2"/>
    <n v="371"/>
    <s v="EARNED"/>
    <n v="11.18"/>
    <s v=""/>
    <d v="2025-11-29T16:07:31"/>
    <x v="1"/>
    <n v="11.18"/>
    <n v="0"/>
  </r>
  <r>
    <n v="406"/>
    <n v="38"/>
    <n v="2"/>
    <n v="372"/>
    <s v="EARNED"/>
    <n v="3.75"/>
    <s v=""/>
    <d v="2025-11-29T16:43:09"/>
    <x v="1"/>
    <n v="3.75"/>
    <n v="0"/>
  </r>
  <r>
    <n v="407"/>
    <n v="70"/>
    <n v="5"/>
    <n v="373"/>
    <s v="EARNED"/>
    <n v="21.46"/>
    <s v=""/>
    <d v="2025-11-29T17:44:08"/>
    <x v="1"/>
    <n v="21.46"/>
    <n v="0"/>
  </r>
  <r>
    <n v="408"/>
    <n v="126"/>
    <n v="2"/>
    <n v="374"/>
    <s v="EARNED"/>
    <n v="16.53"/>
    <s v=""/>
    <d v="2025-11-29T17:51:03"/>
    <x v="1"/>
    <n v="16.53"/>
    <n v="0"/>
  </r>
  <r>
    <n v="409"/>
    <n v="217"/>
    <n v="2"/>
    <n v="368"/>
    <s v="ADJUSTMENT"/>
    <n v="-4.34"/>
    <s v="Reverso por cancelación de compra #368: Monto duplicado por error de sistema"/>
    <d v="2025-11-29T18:44:48"/>
    <x v="1"/>
    <n v="0"/>
    <n v="0"/>
  </r>
  <r>
    <n v="410"/>
    <n v="72"/>
    <n v="4"/>
    <n v="375"/>
    <s v="EARNED"/>
    <n v="1.89"/>
    <s v=""/>
    <d v="2025-11-29T19:45:36"/>
    <x v="1"/>
    <n v="1.89"/>
    <n v="0"/>
  </r>
  <r>
    <n v="411"/>
    <n v="217"/>
    <n v="1"/>
    <m/>
    <s v="ADJUSTMENT"/>
    <n v="25.06"/>
    <s v="Ajuste por reclamo de cliente"/>
    <d v="2025-11-29T20:26:33"/>
    <x v="1"/>
    <n v="0"/>
    <n v="0"/>
  </r>
  <r>
    <n v="412"/>
    <n v="155"/>
    <n v="1"/>
    <m/>
    <s v="ADJUSTMENT"/>
    <n v="14"/>
    <s v="Ajuste por reclamo de cliente"/>
    <d v="2025-11-30T01:49:22"/>
    <x v="1"/>
    <n v="0"/>
    <n v="0"/>
  </r>
  <r>
    <n v="413"/>
    <n v="16"/>
    <n v="2"/>
    <n v="376"/>
    <s v="EARNED"/>
    <n v="14.82"/>
    <s v=""/>
    <d v="2025-11-30T08:35:26"/>
    <x v="1"/>
    <n v="14.82"/>
    <n v="0"/>
  </r>
  <r>
    <n v="414"/>
    <n v="151"/>
    <n v="3"/>
    <n v="377"/>
    <s v="EARNED"/>
    <n v="14.07"/>
    <s v=""/>
    <d v="2025-11-30T09:16:47"/>
    <x v="1"/>
    <n v="14.07"/>
    <n v="0"/>
  </r>
  <r>
    <n v="415"/>
    <n v="63"/>
    <n v="2"/>
    <n v="378"/>
    <s v="EARNED"/>
    <n v="1.98"/>
    <s v=""/>
    <d v="2025-11-30T10:34:10"/>
    <x v="1"/>
    <n v="1.98"/>
    <n v="0"/>
  </r>
  <r>
    <n v="416"/>
    <n v="240"/>
    <n v="5"/>
    <n v="379"/>
    <s v="EARNED"/>
    <n v="14.67"/>
    <s v=""/>
    <d v="2025-11-30T10:45:58"/>
    <x v="1"/>
    <n v="14.67"/>
    <n v="0"/>
  </r>
  <r>
    <n v="417"/>
    <n v="18"/>
    <n v="4"/>
    <n v="380"/>
    <s v="EARNED"/>
    <n v="8.23"/>
    <s v=""/>
    <d v="2025-11-30T11:00:14"/>
    <x v="1"/>
    <n v="8.23"/>
    <n v="0"/>
  </r>
  <r>
    <n v="418"/>
    <n v="40"/>
    <n v="3"/>
    <n v="381"/>
    <s v="EARNED"/>
    <n v="8.49"/>
    <s v=""/>
    <d v="2025-11-30T14:20:53"/>
    <x v="1"/>
    <n v="8.49"/>
    <n v="0"/>
  </r>
  <r>
    <n v="419"/>
    <n v="35"/>
    <n v="5"/>
    <n v="382"/>
    <s v="EARNED"/>
    <n v="1.85"/>
    <s v=""/>
    <d v="2025-11-30T15:18:26"/>
    <x v="1"/>
    <n v="1.85"/>
    <n v="0"/>
  </r>
  <r>
    <n v="420"/>
    <n v="141"/>
    <n v="4"/>
    <n v="383"/>
    <s v="EARNED"/>
    <n v="9.0500000000000007"/>
    <s v=""/>
    <d v="2025-12-01T07:27:01"/>
    <x v="2"/>
    <n v="9.0500000000000007"/>
    <n v="0"/>
  </r>
  <r>
    <n v="421"/>
    <n v="52"/>
    <n v="3"/>
    <n v="384"/>
    <s v="EARNED"/>
    <n v="3.11"/>
    <s v=""/>
    <d v="2025-12-01T09:02:20"/>
    <x v="2"/>
    <n v="3.11"/>
    <n v="0"/>
  </r>
  <r>
    <n v="422"/>
    <n v="113"/>
    <n v="4"/>
    <n v="385"/>
    <s v="EARNED"/>
    <n v="3.67"/>
    <s v=""/>
    <d v="2025-12-01T10:28:27"/>
    <x v="2"/>
    <n v="3.67"/>
    <n v="0"/>
  </r>
  <r>
    <n v="423"/>
    <n v="117"/>
    <n v="2"/>
    <n v="386"/>
    <s v="EARNED"/>
    <n v="7.71"/>
    <s v=""/>
    <d v="2025-12-01T10:37:22"/>
    <x v="2"/>
    <n v="7.71"/>
    <n v="0"/>
  </r>
  <r>
    <n v="424"/>
    <n v="38"/>
    <n v="2"/>
    <n v="387"/>
    <s v="EARNED"/>
    <n v="3.39"/>
    <s v=""/>
    <d v="2025-12-01T11:43:27"/>
    <x v="2"/>
    <n v="3.39"/>
    <n v="0"/>
  </r>
  <r>
    <n v="425"/>
    <n v="85"/>
    <n v="2"/>
    <n v="388"/>
    <s v="EARNED"/>
    <n v="9.08"/>
    <s v=""/>
    <d v="2025-12-01T13:37:56"/>
    <x v="2"/>
    <n v="9.08"/>
    <n v="0"/>
  </r>
  <r>
    <n v="426"/>
    <n v="9"/>
    <n v="3"/>
    <n v="389"/>
    <s v="EARNED"/>
    <n v="2.59"/>
    <s v=""/>
    <d v="2025-12-01T14:30:04"/>
    <x v="2"/>
    <n v="2.59"/>
    <n v="0"/>
  </r>
  <r>
    <n v="427"/>
    <n v="251"/>
    <n v="2"/>
    <n v="390"/>
    <s v="EARNED"/>
    <n v="10.52"/>
    <s v=""/>
    <d v="2025-12-01T15:21:26"/>
    <x v="2"/>
    <n v="10.52"/>
    <n v="0"/>
  </r>
  <r>
    <n v="428"/>
    <n v="35"/>
    <n v="4"/>
    <n v="391"/>
    <s v="EARNED"/>
    <n v="4.33"/>
    <s v=""/>
    <d v="2025-12-01T16:15:04"/>
    <x v="2"/>
    <n v="4.33"/>
    <n v="0"/>
  </r>
  <r>
    <n v="429"/>
    <n v="94"/>
    <n v="2"/>
    <n v="392"/>
    <s v="EARNED"/>
    <n v="30"/>
    <s v=""/>
    <d v="2025-12-01T16:22:20"/>
    <x v="2"/>
    <n v="30"/>
    <n v="0"/>
  </r>
  <r>
    <n v="430"/>
    <n v="194"/>
    <n v="4"/>
    <n v="393"/>
    <s v="EARNED"/>
    <n v="6.01"/>
    <s v=""/>
    <d v="2025-12-01T17:53:17"/>
    <x v="2"/>
    <n v="6.01"/>
    <n v="0"/>
  </r>
  <r>
    <n v="431"/>
    <n v="245"/>
    <n v="2"/>
    <n v="394"/>
    <s v="EARNED"/>
    <n v="2.5499999999999998"/>
    <s v=""/>
    <d v="2025-12-01T18:54:14"/>
    <x v="2"/>
    <n v="2.5499999999999998"/>
    <n v="0"/>
  </r>
  <r>
    <n v="432"/>
    <n v="154"/>
    <n v="1"/>
    <m/>
    <s v="ADJUSTMENT"/>
    <n v="-18.09"/>
    <s v="Corrección de saldo detectada en auditoría"/>
    <d v="2025-12-02T03:31:15"/>
    <x v="2"/>
    <n v="0"/>
    <n v="0"/>
  </r>
  <r>
    <n v="433"/>
    <n v="201"/>
    <n v="4"/>
    <n v="395"/>
    <s v="EARNED"/>
    <n v="2.16"/>
    <s v=""/>
    <d v="2025-12-02T08:40:29"/>
    <x v="2"/>
    <n v="2.16"/>
    <n v="0"/>
  </r>
  <r>
    <n v="434"/>
    <n v="265"/>
    <n v="2"/>
    <n v="396"/>
    <s v="EARNED"/>
    <n v="16.670000000000002"/>
    <s v=""/>
    <d v="2025-12-02T10:39:54"/>
    <x v="2"/>
    <n v="16.670000000000002"/>
    <n v="0"/>
  </r>
  <r>
    <n v="435"/>
    <n v="150"/>
    <n v="3"/>
    <n v="397"/>
    <s v="EARNED"/>
    <n v="8.52"/>
    <s v=""/>
    <d v="2025-12-02T10:44:25"/>
    <x v="2"/>
    <n v="8.52"/>
    <n v="0"/>
  </r>
  <r>
    <n v="436"/>
    <n v="279"/>
    <n v="4"/>
    <n v="398"/>
    <s v="EARNED"/>
    <n v="30"/>
    <s v=""/>
    <d v="2025-12-02T10:45:24"/>
    <x v="2"/>
    <n v="30"/>
    <n v="0"/>
  </r>
  <r>
    <n v="437"/>
    <n v="211"/>
    <n v="2"/>
    <n v="399"/>
    <s v="EARNED"/>
    <n v="5.17"/>
    <s v=""/>
    <d v="2025-12-02T11:12:26"/>
    <x v="2"/>
    <n v="5.17"/>
    <n v="0"/>
  </r>
  <r>
    <n v="438"/>
    <n v="137"/>
    <n v="4"/>
    <n v="400"/>
    <s v="EARNED"/>
    <n v="3.93"/>
    <s v=""/>
    <d v="2025-12-02T14:33:46"/>
    <x v="2"/>
    <n v="3.93"/>
    <n v="0"/>
  </r>
  <r>
    <n v="439"/>
    <n v="20"/>
    <n v="2"/>
    <n v="401"/>
    <s v="EARNED"/>
    <n v="4.46"/>
    <s v=""/>
    <d v="2025-12-02T14:54:07"/>
    <x v="2"/>
    <n v="4.46"/>
    <n v="0"/>
  </r>
  <r>
    <n v="440"/>
    <n v="240"/>
    <n v="4"/>
    <n v="402"/>
    <s v="EARNED"/>
    <n v="10.16"/>
    <s v=""/>
    <d v="2025-12-02T15:05:33"/>
    <x v="2"/>
    <n v="10.16"/>
    <n v="0"/>
  </r>
  <r>
    <n v="441"/>
    <n v="21"/>
    <n v="3"/>
    <n v="403"/>
    <s v="EARNED"/>
    <n v="4.68"/>
    <s v=""/>
    <d v="2025-12-02T15:54:10"/>
    <x v="2"/>
    <n v="4.68"/>
    <n v="0"/>
  </r>
  <r>
    <n v="442"/>
    <n v="40"/>
    <n v="4"/>
    <n v="404"/>
    <s v="EARNED"/>
    <n v="5.9"/>
    <s v=""/>
    <d v="2025-12-02T16:10:50"/>
    <x v="2"/>
    <n v="5.9"/>
    <n v="0"/>
  </r>
  <r>
    <n v="443"/>
    <n v="92"/>
    <n v="4"/>
    <n v="405"/>
    <s v="EARNED"/>
    <n v="2.15"/>
    <s v=""/>
    <d v="2025-12-03T10:33:51"/>
    <x v="2"/>
    <n v="2.15"/>
    <n v="0"/>
  </r>
  <r>
    <n v="444"/>
    <n v="38"/>
    <n v="5"/>
    <n v="406"/>
    <s v="EARNED"/>
    <n v="3.31"/>
    <s v=""/>
    <d v="2025-12-03T11:14:43"/>
    <x v="2"/>
    <n v="3.31"/>
    <n v="0"/>
  </r>
  <r>
    <n v="445"/>
    <n v="112"/>
    <n v="5"/>
    <n v="407"/>
    <s v="EARNED"/>
    <n v="3.09"/>
    <s v=""/>
    <d v="2025-12-03T11:51:54"/>
    <x v="2"/>
    <n v="3.09"/>
    <n v="0"/>
  </r>
  <r>
    <n v="446"/>
    <n v="244"/>
    <n v="4"/>
    <n v="408"/>
    <s v="EARNED"/>
    <n v="6.4"/>
    <s v=""/>
    <d v="2025-12-03T12:14:58"/>
    <x v="2"/>
    <n v="6.4"/>
    <n v="0"/>
  </r>
  <r>
    <n v="447"/>
    <n v="55"/>
    <n v="3"/>
    <n v="409"/>
    <s v="EARNED"/>
    <n v="3.76"/>
    <s v=""/>
    <d v="2025-12-03T13:05:25"/>
    <x v="2"/>
    <n v="3.76"/>
    <n v="0"/>
  </r>
  <r>
    <n v="448"/>
    <n v="29"/>
    <n v="4"/>
    <n v="410"/>
    <s v="EARNED"/>
    <n v="2.66"/>
    <s v=""/>
    <d v="2025-12-03T13:57:36"/>
    <x v="2"/>
    <n v="2.66"/>
    <n v="0"/>
  </r>
  <r>
    <n v="449"/>
    <n v="106"/>
    <n v="4"/>
    <n v="411"/>
    <s v="EARNED"/>
    <n v="7.74"/>
    <s v=""/>
    <d v="2025-12-03T15:17:21"/>
    <x v="2"/>
    <n v="7.74"/>
    <n v="0"/>
  </r>
  <r>
    <n v="450"/>
    <n v="21"/>
    <n v="2"/>
    <n v="412"/>
    <s v="EARNED"/>
    <n v="2.27"/>
    <s v=""/>
    <d v="2025-12-03T15:31:48"/>
    <x v="2"/>
    <n v="2.27"/>
    <n v="0"/>
  </r>
  <r>
    <n v="451"/>
    <n v="137"/>
    <n v="5"/>
    <n v="413"/>
    <s v="EARNED"/>
    <n v="2.4300000000000002"/>
    <s v=""/>
    <d v="2025-12-03T15:33:43"/>
    <x v="2"/>
    <n v="2.4300000000000002"/>
    <n v="0"/>
  </r>
  <r>
    <n v="452"/>
    <n v="21"/>
    <n v="2"/>
    <n v="414"/>
    <s v="EARNED"/>
    <n v="3.76"/>
    <s v=""/>
    <d v="2025-12-03T16:06:09"/>
    <x v="2"/>
    <n v="3.76"/>
    <n v="0"/>
  </r>
  <r>
    <n v="453"/>
    <n v="186"/>
    <n v="3"/>
    <n v="415"/>
    <s v="EARNED"/>
    <n v="11.99"/>
    <s v=""/>
    <d v="2025-12-03T16:20:49"/>
    <x v="2"/>
    <n v="11.99"/>
    <n v="0"/>
  </r>
  <r>
    <n v="454"/>
    <n v="16"/>
    <n v="2"/>
    <n v="416"/>
    <s v="EARNED"/>
    <n v="20.3"/>
    <s v=""/>
    <d v="2025-12-03T16:26:58"/>
    <x v="2"/>
    <n v="20.3"/>
    <n v="0"/>
  </r>
  <r>
    <n v="455"/>
    <n v="65"/>
    <n v="2"/>
    <n v="417"/>
    <s v="EARNED"/>
    <n v="4.24"/>
    <s v=""/>
    <d v="2025-12-03T17:31:45"/>
    <x v="2"/>
    <n v="4.24"/>
    <n v="0"/>
  </r>
  <r>
    <n v="456"/>
    <n v="211"/>
    <n v="3"/>
    <n v="418"/>
    <s v="EARNED"/>
    <n v="5.87"/>
    <s v=""/>
    <d v="2025-12-03T18:55:30"/>
    <x v="2"/>
    <n v="5.87"/>
    <n v="0"/>
  </r>
  <r>
    <n v="457"/>
    <n v="137"/>
    <n v="2"/>
    <n v="419"/>
    <s v="EARNED"/>
    <n v="2"/>
    <s v=""/>
    <d v="2025-12-03T19:49:09"/>
    <x v="2"/>
    <n v="2"/>
    <n v="0"/>
  </r>
  <r>
    <n v="458"/>
    <n v="39"/>
    <n v="5"/>
    <n v="420"/>
    <s v="EARNED"/>
    <n v="8.0399999999999991"/>
    <s v=""/>
    <d v="2025-12-04T08:10:45"/>
    <x v="2"/>
    <n v="8.0399999999999991"/>
    <n v="0"/>
  </r>
  <r>
    <n v="459"/>
    <n v="262"/>
    <n v="5"/>
    <n v="421"/>
    <s v="EARNED"/>
    <n v="6.81"/>
    <s v=""/>
    <d v="2025-12-04T08:47:32"/>
    <x v="2"/>
    <n v="6.81"/>
    <n v="0"/>
  </r>
  <r>
    <n v="460"/>
    <n v="25"/>
    <n v="5"/>
    <n v="422"/>
    <s v="EARNED"/>
    <n v="7.27"/>
    <s v=""/>
    <d v="2025-12-04T09:36:00"/>
    <x v="2"/>
    <n v="7.27"/>
    <n v="0"/>
  </r>
  <r>
    <n v="461"/>
    <n v="117"/>
    <n v="5"/>
    <n v="423"/>
    <s v="EARNED"/>
    <n v="22"/>
    <s v=""/>
    <d v="2025-12-04T10:05:15"/>
    <x v="2"/>
    <n v="22"/>
    <n v="0"/>
  </r>
  <r>
    <n v="462"/>
    <n v="290"/>
    <n v="3"/>
    <n v="424"/>
    <s v="EARNED"/>
    <n v="2.88"/>
    <s v=""/>
    <d v="2025-12-04T11:57:39"/>
    <x v="2"/>
    <n v="2.88"/>
    <n v="0"/>
  </r>
  <r>
    <n v="463"/>
    <n v="245"/>
    <n v="5"/>
    <n v="425"/>
    <s v="EARNED"/>
    <n v="3.91"/>
    <s v=""/>
    <d v="2025-12-04T13:01:14"/>
    <x v="2"/>
    <n v="3.91"/>
    <n v="0"/>
  </r>
  <r>
    <n v="464"/>
    <n v="55"/>
    <n v="2"/>
    <n v="426"/>
    <s v="EARNED"/>
    <n v="3.76"/>
    <s v=""/>
    <d v="2025-12-04T13:53:59"/>
    <x v="2"/>
    <n v="3.76"/>
    <n v="0"/>
  </r>
  <r>
    <n v="465"/>
    <n v="244"/>
    <n v="2"/>
    <n v="427"/>
    <s v="EARNED"/>
    <n v="10.66"/>
    <s v=""/>
    <d v="2025-12-04T15:11:50"/>
    <x v="2"/>
    <n v="10.66"/>
    <n v="0"/>
  </r>
  <r>
    <n v="466"/>
    <n v="293"/>
    <n v="2"/>
    <n v="428"/>
    <s v="EARNED"/>
    <n v="2.52"/>
    <s v=""/>
    <d v="2025-12-04T15:32:33"/>
    <x v="2"/>
    <n v="2.52"/>
    <n v="0"/>
  </r>
  <r>
    <n v="467"/>
    <n v="34"/>
    <n v="4"/>
    <n v="429"/>
    <s v="EARNED"/>
    <n v="14.39"/>
    <s v=""/>
    <d v="2025-12-04T16:53:10"/>
    <x v="2"/>
    <n v="14.39"/>
    <n v="0"/>
  </r>
  <r>
    <n v="468"/>
    <n v="154"/>
    <n v="5"/>
    <n v="430"/>
    <s v="EARNED"/>
    <n v="3.72"/>
    <s v=""/>
    <d v="2025-12-04T16:55:50"/>
    <x v="2"/>
    <n v="3.72"/>
    <n v="0"/>
  </r>
  <r>
    <n v="469"/>
    <n v="117"/>
    <n v="2"/>
    <n v="431"/>
    <s v="EARNED"/>
    <n v="15.98"/>
    <s v=""/>
    <d v="2025-12-04T18:50:15"/>
    <x v="2"/>
    <n v="15.98"/>
    <n v="0"/>
  </r>
  <r>
    <n v="470"/>
    <n v="58"/>
    <n v="5"/>
    <n v="432"/>
    <s v="EARNED"/>
    <n v="10.199999999999999"/>
    <s v=""/>
    <d v="2025-12-04T18:58:15"/>
    <x v="2"/>
    <n v="10.199999999999999"/>
    <n v="0"/>
  </r>
  <r>
    <n v="471"/>
    <n v="175"/>
    <n v="5"/>
    <n v="433"/>
    <s v="EARNED"/>
    <n v="3.24"/>
    <s v=""/>
    <d v="2025-12-04T19:55:44"/>
    <x v="2"/>
    <n v="3.24"/>
    <n v="0"/>
  </r>
  <r>
    <n v="472"/>
    <n v="245"/>
    <n v="5"/>
    <n v="425"/>
    <s v="ADJUSTMENT"/>
    <n v="-3.91"/>
    <s v="Reverso por cancelación de compra #425: Cliente canceló la operación"/>
    <d v="2025-12-05T02:01:14"/>
    <x v="2"/>
    <n v="0"/>
    <n v="0"/>
  </r>
  <r>
    <n v="473"/>
    <n v="202"/>
    <n v="3"/>
    <n v="434"/>
    <s v="EARNED"/>
    <n v="3.86"/>
    <s v=""/>
    <d v="2025-12-05T08:19:15"/>
    <x v="2"/>
    <n v="3.86"/>
    <n v="0"/>
  </r>
  <r>
    <n v="474"/>
    <n v="47"/>
    <n v="2"/>
    <n v="435"/>
    <s v="EARNED"/>
    <n v="1.37"/>
    <s v=""/>
    <d v="2025-12-05T09:05:09"/>
    <x v="2"/>
    <n v="1.37"/>
    <n v="0"/>
  </r>
  <r>
    <n v="475"/>
    <n v="25"/>
    <n v="3"/>
    <n v="436"/>
    <s v="EARNED"/>
    <n v="15.34"/>
    <s v=""/>
    <d v="2025-12-05T09:08:13"/>
    <x v="2"/>
    <n v="15.34"/>
    <n v="0"/>
  </r>
  <r>
    <n v="476"/>
    <n v="40"/>
    <n v="3"/>
    <n v="437"/>
    <s v="EARNED"/>
    <n v="13.36"/>
    <s v=""/>
    <d v="2025-12-05T09:23:33"/>
    <x v="2"/>
    <n v="13.36"/>
    <n v="0"/>
  </r>
  <r>
    <n v="477"/>
    <n v="245"/>
    <n v="2"/>
    <n v="438"/>
    <s v="EARNED"/>
    <n v="5.74"/>
    <s v=""/>
    <d v="2025-12-05T10:05:19"/>
    <x v="2"/>
    <n v="5.74"/>
    <n v="0"/>
  </r>
  <r>
    <n v="478"/>
    <n v="137"/>
    <n v="3"/>
    <n v="439"/>
    <s v="EARNED"/>
    <n v="5.12"/>
    <s v=""/>
    <d v="2025-12-05T10:20:00"/>
    <x v="2"/>
    <n v="5.12"/>
    <n v="0"/>
  </r>
  <r>
    <n v="479"/>
    <n v="47"/>
    <n v="2"/>
    <n v="440"/>
    <s v="EARNED"/>
    <n v="1.88"/>
    <s v=""/>
    <d v="2025-12-05T12:23:52"/>
    <x v="2"/>
    <n v="1.88"/>
    <n v="0"/>
  </r>
  <r>
    <n v="480"/>
    <n v="290"/>
    <n v="3"/>
    <n v="441"/>
    <s v="EARNED"/>
    <n v="3.89"/>
    <s v=""/>
    <d v="2025-12-05T12:59:56"/>
    <x v="2"/>
    <n v="3.89"/>
    <n v="0"/>
  </r>
  <r>
    <n v="481"/>
    <n v="39"/>
    <n v="2"/>
    <n v="442"/>
    <s v="REDEEMED"/>
    <n v="104.33"/>
    <s v=""/>
    <d v="2025-12-05T13:31:51"/>
    <x v="2"/>
    <n v="0"/>
    <n v="104.33"/>
  </r>
  <r>
    <n v="482"/>
    <n v="137"/>
    <n v="3"/>
    <n v="443"/>
    <s v="EARNED"/>
    <n v="3.01"/>
    <s v=""/>
    <d v="2025-12-05T16:12:05"/>
    <x v="2"/>
    <n v="3.01"/>
    <n v="0"/>
  </r>
  <r>
    <n v="483"/>
    <n v="106"/>
    <n v="5"/>
    <n v="444"/>
    <s v="EARNED"/>
    <n v="4.68"/>
    <s v=""/>
    <d v="2025-12-05T16:15:10"/>
    <x v="2"/>
    <n v="4.68"/>
    <n v="0"/>
  </r>
  <r>
    <n v="484"/>
    <n v="257"/>
    <n v="3"/>
    <n v="445"/>
    <s v="EARNED"/>
    <n v="15.34"/>
    <s v=""/>
    <d v="2025-12-05T16:27:37"/>
    <x v="2"/>
    <n v="15.34"/>
    <n v="0"/>
  </r>
  <r>
    <n v="485"/>
    <n v="30"/>
    <n v="1"/>
    <m/>
    <s v="ADJUSTMENT"/>
    <n v="12.85"/>
    <s v="Corrección por captura duplicada"/>
    <d v="2025-12-05T18:41:09"/>
    <x v="2"/>
    <n v="0"/>
    <n v="0"/>
  </r>
  <r>
    <n v="486"/>
    <n v="47"/>
    <n v="3"/>
    <n v="435"/>
    <s v="ADJUSTMENT"/>
    <n v="-1.37"/>
    <s v="Reverso por cancelación de compra #435: Monto duplicado por error de sistema"/>
    <d v="2025-12-05T21:05:09"/>
    <x v="2"/>
    <n v="0"/>
    <n v="0"/>
  </r>
  <r>
    <n v="487"/>
    <n v="11"/>
    <n v="1"/>
    <m/>
    <s v="ADJUSTMENT"/>
    <n v="39.67"/>
    <s v="Corrección por captura duplicada"/>
    <d v="2025-12-06T03:06:05"/>
    <x v="2"/>
    <n v="0"/>
    <n v="0"/>
  </r>
  <r>
    <n v="488"/>
    <n v="244"/>
    <n v="5"/>
    <n v="446"/>
    <s v="EARNED"/>
    <n v="17.59"/>
    <s v=""/>
    <d v="2025-12-06T08:27:17"/>
    <x v="2"/>
    <n v="17.59"/>
    <n v="0"/>
  </r>
  <r>
    <n v="489"/>
    <n v="137"/>
    <n v="4"/>
    <n v="447"/>
    <s v="EARNED"/>
    <n v="2.4900000000000002"/>
    <s v=""/>
    <d v="2025-12-06T08:30:57"/>
    <x v="2"/>
    <n v="2.4900000000000002"/>
    <n v="0"/>
  </r>
  <r>
    <n v="490"/>
    <n v="244"/>
    <n v="3"/>
    <n v="448"/>
    <s v="EARNED"/>
    <n v="3.22"/>
    <s v=""/>
    <d v="2025-12-06T08:32:09"/>
    <x v="2"/>
    <n v="3.22"/>
    <n v="0"/>
  </r>
  <r>
    <n v="491"/>
    <n v="46"/>
    <n v="2"/>
    <n v="449"/>
    <s v="EARNED"/>
    <n v="3.38"/>
    <s v=""/>
    <d v="2025-12-06T08:43:48"/>
    <x v="2"/>
    <n v="3.38"/>
    <n v="0"/>
  </r>
  <r>
    <n v="492"/>
    <n v="46"/>
    <n v="3"/>
    <n v="450"/>
    <s v="EARNED"/>
    <n v="4.7300000000000004"/>
    <s v=""/>
    <d v="2025-12-06T09:17:26"/>
    <x v="2"/>
    <n v="4.7300000000000004"/>
    <n v="0"/>
  </r>
  <r>
    <n v="493"/>
    <n v="293"/>
    <n v="5"/>
    <n v="451"/>
    <s v="EARNED"/>
    <n v="3.17"/>
    <s v=""/>
    <d v="2025-12-06T09:36:02"/>
    <x v="2"/>
    <n v="3.17"/>
    <n v="0"/>
  </r>
  <r>
    <n v="494"/>
    <n v="44"/>
    <n v="5"/>
    <n v="452"/>
    <s v="EARNED"/>
    <n v="2.73"/>
    <s v=""/>
    <d v="2025-12-06T09:40:50"/>
    <x v="2"/>
    <n v="2.73"/>
    <n v="0"/>
  </r>
  <r>
    <n v="495"/>
    <n v="60"/>
    <n v="5"/>
    <n v="453"/>
    <s v="EARNED"/>
    <n v="18.22"/>
    <s v=""/>
    <d v="2025-12-06T10:07:36"/>
    <x v="2"/>
    <n v="18.22"/>
    <n v="0"/>
  </r>
  <r>
    <n v="496"/>
    <n v="240"/>
    <n v="4"/>
    <n v="454"/>
    <s v="EARNED"/>
    <n v="30"/>
    <s v=""/>
    <d v="2025-12-06T10:15:48"/>
    <x v="2"/>
    <n v="30"/>
    <n v="0"/>
  </r>
  <r>
    <n v="497"/>
    <n v="197"/>
    <n v="5"/>
    <n v="455"/>
    <s v="EARNED"/>
    <n v="8.1999999999999993"/>
    <s v=""/>
    <d v="2025-12-06T10:30:36"/>
    <x v="2"/>
    <n v="8.1999999999999993"/>
    <n v="0"/>
  </r>
  <r>
    <n v="498"/>
    <n v="252"/>
    <n v="3"/>
    <n v="456"/>
    <s v="EARNED"/>
    <n v="3.19"/>
    <s v=""/>
    <d v="2025-12-06T11:07:10"/>
    <x v="2"/>
    <n v="3.19"/>
    <n v="0"/>
  </r>
  <r>
    <n v="499"/>
    <n v="47"/>
    <n v="3"/>
    <n v="457"/>
    <s v="EARNED"/>
    <n v="2.91"/>
    <s v=""/>
    <d v="2025-12-06T12:10:34"/>
    <x v="2"/>
    <n v="2.91"/>
    <n v="0"/>
  </r>
  <r>
    <n v="500"/>
    <n v="23"/>
    <n v="2"/>
    <n v="458"/>
    <s v="EARNED"/>
    <n v="9.08"/>
    <s v=""/>
    <d v="2025-12-06T14:03:14"/>
    <x v="2"/>
    <n v="9.08"/>
    <n v="0"/>
  </r>
  <r>
    <n v="501"/>
    <n v="240"/>
    <n v="4"/>
    <n v="459"/>
    <s v="EARNED"/>
    <n v="30"/>
    <s v=""/>
    <d v="2025-12-06T15:02:09"/>
    <x v="2"/>
    <n v="30"/>
    <n v="0"/>
  </r>
  <r>
    <n v="502"/>
    <n v="44"/>
    <n v="2"/>
    <n v="460"/>
    <s v="EARNED"/>
    <n v="6.15"/>
    <s v=""/>
    <d v="2025-12-06T15:04:46"/>
    <x v="2"/>
    <n v="6.15"/>
    <n v="0"/>
  </r>
  <r>
    <n v="503"/>
    <n v="221"/>
    <n v="5"/>
    <n v="461"/>
    <s v="EARNED"/>
    <n v="30"/>
    <s v=""/>
    <d v="2025-12-06T16:57:03"/>
    <x v="2"/>
    <n v="30"/>
    <n v="0"/>
  </r>
  <r>
    <n v="504"/>
    <n v="16"/>
    <n v="5"/>
    <n v="462"/>
    <s v="EARNED"/>
    <n v="13.62"/>
    <s v=""/>
    <d v="2025-12-06T16:57:39"/>
    <x v="2"/>
    <n v="13.62"/>
    <n v="0"/>
  </r>
  <r>
    <n v="505"/>
    <n v="27"/>
    <n v="1"/>
    <m/>
    <s v="ADJUSTMENT"/>
    <n v="24.98"/>
    <s v="Ajuste por reclamo de cliente"/>
    <d v="2025-12-06T17:04:01"/>
    <x v="2"/>
    <n v="0"/>
    <n v="0"/>
  </r>
  <r>
    <n v="506"/>
    <n v="103"/>
    <n v="4"/>
    <n v="463"/>
    <s v="EARNED"/>
    <n v="2.0499999999999998"/>
    <s v=""/>
    <d v="2025-12-06T17:58:30"/>
    <x v="2"/>
    <n v="2.0499999999999998"/>
    <n v="0"/>
  </r>
  <r>
    <n v="507"/>
    <n v="16"/>
    <n v="4"/>
    <n v="464"/>
    <s v="REDEEMED"/>
    <n v="133.80000000000001"/>
    <s v=""/>
    <d v="2025-12-06T18:27:05"/>
    <x v="2"/>
    <n v="0"/>
    <n v="133.80000000000001"/>
  </r>
  <r>
    <n v="508"/>
    <n v="11"/>
    <n v="3"/>
    <n v="465"/>
    <s v="EARNED"/>
    <n v="20.36"/>
    <s v=""/>
    <d v="2025-12-07T09:08:11"/>
    <x v="2"/>
    <n v="20.36"/>
    <n v="0"/>
  </r>
  <r>
    <n v="509"/>
    <n v="227"/>
    <n v="5"/>
    <n v="466"/>
    <s v="EARNED"/>
    <n v="2.74"/>
    <s v=""/>
    <d v="2025-12-07T09:38:45"/>
    <x v="2"/>
    <n v="2.74"/>
    <n v="0"/>
  </r>
  <r>
    <n v="510"/>
    <n v="92"/>
    <n v="5"/>
    <n v="467"/>
    <s v="EARNED"/>
    <n v="3.95"/>
    <s v=""/>
    <d v="2025-12-07T10:43:52"/>
    <x v="2"/>
    <n v="3.95"/>
    <n v="0"/>
  </r>
  <r>
    <n v="511"/>
    <n v="135"/>
    <n v="5"/>
    <n v="468"/>
    <s v="EARNED"/>
    <n v="14.95"/>
    <s v=""/>
    <d v="2025-12-07T10:59:45"/>
    <x v="2"/>
    <n v="14.95"/>
    <n v="0"/>
  </r>
  <r>
    <n v="512"/>
    <n v="42"/>
    <n v="4"/>
    <n v="469"/>
    <s v="EARNED"/>
    <n v="4.37"/>
    <s v=""/>
    <d v="2025-12-07T12:51:11"/>
    <x v="2"/>
    <n v="4.37"/>
    <n v="0"/>
  </r>
  <r>
    <n v="513"/>
    <n v="38"/>
    <n v="5"/>
    <n v="470"/>
    <s v="EARNED"/>
    <n v="2.59"/>
    <s v=""/>
    <d v="2025-12-07T16:50:25"/>
    <x v="2"/>
    <n v="2.59"/>
    <n v="0"/>
  </r>
  <r>
    <n v="514"/>
    <n v="244"/>
    <n v="5"/>
    <n v="471"/>
    <s v="EARNED"/>
    <n v="6.82"/>
    <s v=""/>
    <d v="2025-12-07T18:39:27"/>
    <x v="2"/>
    <n v="6.82"/>
    <n v="0"/>
  </r>
  <r>
    <n v="515"/>
    <n v="138"/>
    <n v="4"/>
    <n v="472"/>
    <s v="EARNED"/>
    <n v="1.93"/>
    <s v=""/>
    <d v="2025-12-07T19:39:35"/>
    <x v="2"/>
    <n v="1.93"/>
    <n v="0"/>
  </r>
  <r>
    <n v="516"/>
    <n v="137"/>
    <n v="4"/>
    <n v="473"/>
    <s v="EARNED"/>
    <n v="3.08"/>
    <s v=""/>
    <d v="2025-12-08T07:40:47"/>
    <x v="2"/>
    <n v="3.08"/>
    <n v="0"/>
  </r>
  <r>
    <n v="517"/>
    <n v="122"/>
    <n v="3"/>
    <n v="474"/>
    <s v="EARNED"/>
    <n v="19.41"/>
    <s v=""/>
    <d v="2025-12-08T08:24:10"/>
    <x v="2"/>
    <n v="19.41"/>
    <n v="0"/>
  </r>
  <r>
    <n v="518"/>
    <n v="192"/>
    <n v="3"/>
    <n v="475"/>
    <s v="EARNED"/>
    <n v="2.5099999999999998"/>
    <s v=""/>
    <d v="2025-12-08T08:24:36"/>
    <x v="2"/>
    <n v="2.5099999999999998"/>
    <n v="0"/>
  </r>
  <r>
    <n v="519"/>
    <n v="252"/>
    <n v="2"/>
    <n v="476"/>
    <s v="EARNED"/>
    <n v="2.39"/>
    <s v=""/>
    <d v="2025-12-08T09:12:50"/>
    <x v="2"/>
    <n v="2.39"/>
    <n v="0"/>
  </r>
  <r>
    <n v="520"/>
    <n v="13"/>
    <n v="4"/>
    <n v="477"/>
    <s v="EARNED"/>
    <n v="3.73"/>
    <s v=""/>
    <d v="2025-12-08T10:13:45"/>
    <x v="2"/>
    <n v="3.73"/>
    <n v="0"/>
  </r>
  <r>
    <n v="521"/>
    <n v="69"/>
    <n v="5"/>
    <n v="478"/>
    <s v="EARNED"/>
    <n v="3.94"/>
    <s v=""/>
    <d v="2025-12-08T11:11:57"/>
    <x v="2"/>
    <n v="3.94"/>
    <n v="0"/>
  </r>
  <r>
    <n v="522"/>
    <n v="60"/>
    <n v="2"/>
    <n v="479"/>
    <s v="EARNED"/>
    <n v="17.149999999999999"/>
    <s v=""/>
    <d v="2025-12-08T12:26:49"/>
    <x v="2"/>
    <n v="17.149999999999999"/>
    <n v="0"/>
  </r>
  <r>
    <n v="523"/>
    <n v="39"/>
    <n v="2"/>
    <n v="480"/>
    <s v="EARNED"/>
    <n v="20.45"/>
    <s v=""/>
    <d v="2025-12-08T13:49:43"/>
    <x v="2"/>
    <n v="20.45"/>
    <n v="0"/>
  </r>
  <r>
    <n v="524"/>
    <n v="279"/>
    <n v="3"/>
    <n v="481"/>
    <s v="EARNED"/>
    <n v="14.1"/>
    <s v=""/>
    <d v="2025-12-08T14:51:20"/>
    <x v="2"/>
    <n v="14.1"/>
    <n v="0"/>
  </r>
  <r>
    <n v="525"/>
    <n v="201"/>
    <n v="2"/>
    <n v="482"/>
    <s v="EARNED"/>
    <n v="5.27"/>
    <s v=""/>
    <d v="2025-12-08T15:25:28"/>
    <x v="2"/>
    <n v="5.27"/>
    <n v="0"/>
  </r>
  <r>
    <n v="526"/>
    <n v="16"/>
    <n v="4"/>
    <n v="483"/>
    <s v="EARNED"/>
    <n v="21.43"/>
    <s v=""/>
    <d v="2025-12-08T15:48:02"/>
    <x v="2"/>
    <n v="21.43"/>
    <n v="0"/>
  </r>
  <r>
    <n v="527"/>
    <n v="268"/>
    <n v="5"/>
    <n v="484"/>
    <s v="EARNED"/>
    <n v="1.19"/>
    <s v=""/>
    <d v="2025-12-08T16:24:26"/>
    <x v="2"/>
    <n v="1.19"/>
    <n v="0"/>
  </r>
  <r>
    <n v="528"/>
    <n v="201"/>
    <n v="2"/>
    <n v="485"/>
    <s v="EARNED"/>
    <n v="2.25"/>
    <s v=""/>
    <d v="2025-12-08T17:02:38"/>
    <x v="2"/>
    <n v="2.25"/>
    <n v="0"/>
  </r>
  <r>
    <n v="529"/>
    <n v="101"/>
    <n v="2"/>
    <n v="486"/>
    <s v="EARNED"/>
    <n v="3.65"/>
    <s v=""/>
    <d v="2025-12-08T17:12:30"/>
    <x v="2"/>
    <n v="3.65"/>
    <n v="0"/>
  </r>
  <r>
    <n v="530"/>
    <n v="202"/>
    <n v="3"/>
    <n v="487"/>
    <s v="EARNED"/>
    <n v="2.2200000000000002"/>
    <s v=""/>
    <d v="2025-12-08T18:30:01"/>
    <x v="2"/>
    <n v="2.2200000000000002"/>
    <n v="0"/>
  </r>
  <r>
    <n v="531"/>
    <n v="16"/>
    <n v="5"/>
    <n v="488"/>
    <s v="EARNED"/>
    <n v="21.64"/>
    <s v=""/>
    <d v="2025-12-09T07:32:07"/>
    <x v="2"/>
    <n v="21.64"/>
    <n v="0"/>
  </r>
  <r>
    <n v="532"/>
    <n v="215"/>
    <n v="4"/>
    <n v="489"/>
    <s v="EARNED"/>
    <n v="4.5"/>
    <s v=""/>
    <d v="2025-12-09T08:16:50"/>
    <x v="2"/>
    <n v="4.5"/>
    <n v="0"/>
  </r>
  <r>
    <n v="533"/>
    <n v="92"/>
    <n v="2"/>
    <n v="490"/>
    <s v="EARNED"/>
    <n v="2.91"/>
    <s v=""/>
    <d v="2025-12-09T08:34:26"/>
    <x v="2"/>
    <n v="2.91"/>
    <n v="0"/>
  </r>
  <r>
    <n v="534"/>
    <n v="262"/>
    <n v="3"/>
    <n v="491"/>
    <s v="EARNED"/>
    <n v="6.24"/>
    <s v=""/>
    <d v="2025-12-09T08:39:21"/>
    <x v="2"/>
    <n v="6.24"/>
    <n v="0"/>
  </r>
  <r>
    <n v="535"/>
    <n v="106"/>
    <n v="2"/>
    <n v="492"/>
    <s v="EARNED"/>
    <n v="9.8699999999999992"/>
    <s v=""/>
    <d v="2025-12-09T08:39:35"/>
    <x v="2"/>
    <n v="9.8699999999999992"/>
    <n v="0"/>
  </r>
  <r>
    <n v="536"/>
    <n v="40"/>
    <n v="3"/>
    <n v="493"/>
    <s v="EARNED"/>
    <n v="13.21"/>
    <s v=""/>
    <d v="2025-12-09T09:56:37"/>
    <x v="2"/>
    <n v="13.21"/>
    <n v="0"/>
  </r>
  <r>
    <n v="537"/>
    <n v="202"/>
    <n v="3"/>
    <n v="494"/>
    <s v="EARNED"/>
    <n v="4.07"/>
    <s v=""/>
    <d v="2025-12-09T10:14:40"/>
    <x v="2"/>
    <n v="4.07"/>
    <n v="0"/>
  </r>
  <r>
    <n v="538"/>
    <n v="262"/>
    <n v="4"/>
    <n v="495"/>
    <s v="EARNED"/>
    <n v="12.12"/>
    <s v=""/>
    <d v="2025-12-09T12:20:06"/>
    <x v="2"/>
    <n v="12.12"/>
    <n v="0"/>
  </r>
  <r>
    <n v="539"/>
    <n v="39"/>
    <n v="2"/>
    <n v="496"/>
    <s v="EARNED"/>
    <n v="19.39"/>
    <s v=""/>
    <d v="2025-12-09T13:55:45"/>
    <x v="2"/>
    <n v="19.39"/>
    <n v="0"/>
  </r>
  <r>
    <n v="540"/>
    <n v="117"/>
    <n v="3"/>
    <n v="497"/>
    <s v="EARNED"/>
    <n v="6.15"/>
    <s v=""/>
    <d v="2025-12-09T15:47:59"/>
    <x v="2"/>
    <n v="6.15"/>
    <n v="0"/>
  </r>
  <r>
    <n v="541"/>
    <n v="117"/>
    <n v="3"/>
    <n v="498"/>
    <s v="EARNED"/>
    <n v="4.12"/>
    <s v=""/>
    <d v="2025-12-09T16:47:25"/>
    <x v="2"/>
    <n v="4.12"/>
    <n v="0"/>
  </r>
  <r>
    <n v="542"/>
    <n v="141"/>
    <n v="3"/>
    <n v="499"/>
    <s v="EARNED"/>
    <n v="17.78"/>
    <s v=""/>
    <d v="2025-12-09T17:34:18"/>
    <x v="2"/>
    <n v="17.78"/>
    <n v="0"/>
  </r>
  <r>
    <n v="543"/>
    <n v="57"/>
    <n v="5"/>
    <n v="500"/>
    <s v="EARNED"/>
    <n v="19.32"/>
    <s v=""/>
    <d v="2025-12-09T18:03:41"/>
    <x v="2"/>
    <n v="19.32"/>
    <n v="0"/>
  </r>
  <r>
    <n v="544"/>
    <n v="16"/>
    <n v="2"/>
    <n v="488"/>
    <s v="ADJUSTMENT"/>
    <n v="-21.64"/>
    <s v="Reverso por cancelación de compra #488: Error de captura"/>
    <d v="2025-12-10T01:32:07"/>
    <x v="2"/>
    <n v="0"/>
    <n v="0"/>
  </r>
  <r>
    <n v="545"/>
    <n v="144"/>
    <n v="4"/>
    <n v="501"/>
    <s v="EARNED"/>
    <n v="7.05"/>
    <s v=""/>
    <d v="2025-12-10T08:32:24"/>
    <x v="2"/>
    <n v="7.05"/>
    <n v="0"/>
  </r>
  <r>
    <n v="546"/>
    <n v="55"/>
    <n v="2"/>
    <n v="502"/>
    <s v="EARNED"/>
    <n v="2.94"/>
    <s v=""/>
    <d v="2025-12-10T08:57:05"/>
    <x v="2"/>
    <n v="2.94"/>
    <n v="0"/>
  </r>
  <r>
    <n v="547"/>
    <n v="65"/>
    <n v="2"/>
    <n v="503"/>
    <s v="EARNED"/>
    <n v="3.03"/>
    <s v=""/>
    <d v="2025-12-10T08:58:39"/>
    <x v="2"/>
    <n v="3.03"/>
    <n v="0"/>
  </r>
  <r>
    <n v="548"/>
    <n v="23"/>
    <n v="3"/>
    <n v="504"/>
    <s v="EARNED"/>
    <n v="23.05"/>
    <s v=""/>
    <d v="2025-12-10T10:21:27"/>
    <x v="2"/>
    <n v="23.05"/>
    <n v="0"/>
  </r>
  <r>
    <n v="549"/>
    <n v="72"/>
    <n v="2"/>
    <n v="505"/>
    <s v="EARNED"/>
    <n v="1.7"/>
    <s v=""/>
    <d v="2025-12-10T13:48:01"/>
    <x v="2"/>
    <n v="1.7"/>
    <n v="0"/>
  </r>
  <r>
    <n v="550"/>
    <n v="150"/>
    <n v="3"/>
    <n v="506"/>
    <s v="EARNED"/>
    <n v="8.7899999999999991"/>
    <s v=""/>
    <d v="2025-12-10T13:58:13"/>
    <x v="2"/>
    <n v="8.7899999999999991"/>
    <n v="0"/>
  </r>
  <r>
    <n v="551"/>
    <n v="290"/>
    <n v="4"/>
    <n v="507"/>
    <s v="EARNED"/>
    <n v="3.08"/>
    <s v=""/>
    <d v="2025-12-10T14:02:04"/>
    <x v="2"/>
    <n v="3.08"/>
    <n v="0"/>
  </r>
  <r>
    <n v="552"/>
    <n v="211"/>
    <n v="5"/>
    <n v="508"/>
    <s v="EARNED"/>
    <n v="11"/>
    <s v=""/>
    <d v="2025-12-10T14:29:14"/>
    <x v="2"/>
    <n v="11"/>
    <n v="0"/>
  </r>
  <r>
    <n v="553"/>
    <n v="79"/>
    <n v="3"/>
    <n v="509"/>
    <s v="EARNED"/>
    <n v="2.3199999999999998"/>
    <s v=""/>
    <d v="2025-12-10T14:42:12"/>
    <x v="2"/>
    <n v="2.3199999999999998"/>
    <n v="0"/>
  </r>
  <r>
    <n v="554"/>
    <n v="137"/>
    <n v="3"/>
    <n v="510"/>
    <s v="EARNED"/>
    <n v="4.92"/>
    <s v=""/>
    <d v="2025-12-10T15:05:56"/>
    <x v="2"/>
    <n v="4.92"/>
    <n v="0"/>
  </r>
  <r>
    <n v="555"/>
    <n v="136"/>
    <n v="3"/>
    <n v="511"/>
    <s v="EARNED"/>
    <n v="8.11"/>
    <s v=""/>
    <d v="2025-12-10T15:37:18"/>
    <x v="2"/>
    <n v="8.11"/>
    <n v="0"/>
  </r>
  <r>
    <n v="556"/>
    <n v="61"/>
    <n v="4"/>
    <n v="512"/>
    <s v="EARNED"/>
    <n v="5.0599999999999996"/>
    <s v=""/>
    <d v="2025-12-10T16:24:53"/>
    <x v="2"/>
    <n v="5.0599999999999996"/>
    <n v="0"/>
  </r>
  <r>
    <n v="557"/>
    <n v="104"/>
    <n v="5"/>
    <n v="513"/>
    <s v="EARNED"/>
    <n v="24.05"/>
    <s v=""/>
    <d v="2025-12-10T16:34:12"/>
    <x v="2"/>
    <n v="24.05"/>
    <n v="0"/>
  </r>
  <r>
    <n v="558"/>
    <n v="150"/>
    <n v="2"/>
    <n v="514"/>
    <s v="EARNED"/>
    <n v="5.48"/>
    <s v=""/>
    <d v="2025-12-10T17:47:53"/>
    <x v="2"/>
    <n v="5.48"/>
    <n v="0"/>
  </r>
  <r>
    <n v="559"/>
    <n v="23"/>
    <n v="3"/>
    <n v="504"/>
    <s v="ADJUSTMENT"/>
    <n v="-23.05"/>
    <s v="Reverso por cancelación de compra #504: Solicitud del cliente"/>
    <d v="2025-12-10T18:21:27"/>
    <x v="2"/>
    <n v="0"/>
    <n v="0"/>
  </r>
  <r>
    <n v="560"/>
    <n v="20"/>
    <n v="3"/>
    <n v="515"/>
    <s v="EARNED"/>
    <n v="2.08"/>
    <s v=""/>
    <d v="2025-12-10T19:00:51"/>
    <x v="2"/>
    <n v="2.08"/>
    <n v="0"/>
  </r>
  <r>
    <n v="561"/>
    <n v="207"/>
    <n v="4"/>
    <n v="516"/>
    <s v="EARNED"/>
    <n v="1.69"/>
    <s v=""/>
    <d v="2025-12-10T19:15:25"/>
    <x v="2"/>
    <n v="1.69"/>
    <n v="0"/>
  </r>
  <r>
    <n v="562"/>
    <n v="79"/>
    <n v="4"/>
    <n v="509"/>
    <s v="ADJUSTMENT"/>
    <n v="-2.3199999999999998"/>
    <s v="Reverso por cancelación de compra #509: Monto duplicado por error de sistema"/>
    <d v="2025-12-10T21:42:12"/>
    <x v="2"/>
    <n v="0"/>
    <n v="0"/>
  </r>
  <r>
    <n v="563"/>
    <n v="59"/>
    <n v="5"/>
    <n v="517"/>
    <s v="EARNED"/>
    <n v="2.93"/>
    <s v=""/>
    <d v="2025-12-11T08:13:58"/>
    <x v="2"/>
    <n v="2.93"/>
    <n v="0"/>
  </r>
  <r>
    <n v="564"/>
    <n v="137"/>
    <n v="5"/>
    <n v="518"/>
    <s v="EARNED"/>
    <n v="2.0099999999999998"/>
    <s v=""/>
    <d v="2025-12-11T08:48:02"/>
    <x v="2"/>
    <n v="2.0099999999999998"/>
    <n v="0"/>
  </r>
  <r>
    <n v="565"/>
    <n v="22"/>
    <n v="2"/>
    <n v="519"/>
    <s v="EARNED"/>
    <n v="7.68"/>
    <s v=""/>
    <d v="2025-12-11T09:14:17"/>
    <x v="2"/>
    <n v="7.68"/>
    <n v="0"/>
  </r>
  <r>
    <n v="566"/>
    <n v="61"/>
    <n v="4"/>
    <n v="520"/>
    <s v="EARNED"/>
    <n v="7.67"/>
    <s v=""/>
    <d v="2025-12-11T09:20:37"/>
    <x v="2"/>
    <n v="7.67"/>
    <n v="0"/>
  </r>
  <r>
    <n v="567"/>
    <n v="280"/>
    <n v="5"/>
    <n v="521"/>
    <s v="EARNED"/>
    <n v="3.22"/>
    <s v=""/>
    <d v="2025-12-11T09:26:48"/>
    <x v="2"/>
    <n v="3.22"/>
    <n v="0"/>
  </r>
  <r>
    <n v="568"/>
    <n v="28"/>
    <n v="4"/>
    <n v="522"/>
    <s v="EARNED"/>
    <n v="2.99"/>
    <s v=""/>
    <d v="2025-12-11T09:37:02"/>
    <x v="2"/>
    <n v="2.99"/>
    <n v="0"/>
  </r>
  <r>
    <n v="569"/>
    <n v="54"/>
    <n v="2"/>
    <n v="523"/>
    <s v="EARNED"/>
    <n v="5.56"/>
    <s v=""/>
    <d v="2025-12-11T09:45:50"/>
    <x v="2"/>
    <n v="5.56"/>
    <n v="0"/>
  </r>
  <r>
    <n v="570"/>
    <n v="296"/>
    <n v="5"/>
    <n v="524"/>
    <s v="EARNED"/>
    <n v="8.49"/>
    <s v=""/>
    <d v="2025-12-11T10:06:02"/>
    <x v="2"/>
    <n v="8.49"/>
    <n v="0"/>
  </r>
  <r>
    <n v="571"/>
    <n v="21"/>
    <n v="5"/>
    <n v="525"/>
    <s v="EARNED"/>
    <n v="2.4500000000000002"/>
    <s v=""/>
    <d v="2025-12-11T10:40:40"/>
    <x v="2"/>
    <n v="2.4500000000000002"/>
    <n v="0"/>
  </r>
  <r>
    <n v="572"/>
    <n v="52"/>
    <n v="2"/>
    <n v="526"/>
    <s v="EARNED"/>
    <n v="2.14"/>
    <s v=""/>
    <d v="2025-12-11T11:06:52"/>
    <x v="2"/>
    <n v="2.14"/>
    <n v="0"/>
  </r>
  <r>
    <n v="573"/>
    <n v="240"/>
    <n v="1"/>
    <m/>
    <s v="ADJUSTMENT"/>
    <n v="-18.91"/>
    <s v="Corrección de saldo detectada en auditoría"/>
    <d v="2025-12-11T12:11:02"/>
    <x v="2"/>
    <n v="0"/>
    <n v="0"/>
  </r>
  <r>
    <n v="574"/>
    <n v="141"/>
    <n v="5"/>
    <n v="527"/>
    <s v="EARNED"/>
    <n v="10.73"/>
    <s v=""/>
    <d v="2025-12-11T14:36:41"/>
    <x v="2"/>
    <n v="10.73"/>
    <n v="0"/>
  </r>
  <r>
    <n v="575"/>
    <n v="137"/>
    <n v="3"/>
    <n v="528"/>
    <s v="REDEEMED"/>
    <n v="26.35"/>
    <s v=""/>
    <d v="2025-12-11T15:07:05"/>
    <x v="2"/>
    <n v="0"/>
    <n v="26.35"/>
  </r>
  <r>
    <n v="576"/>
    <n v="175"/>
    <n v="4"/>
    <n v="529"/>
    <s v="EARNED"/>
    <n v="2.67"/>
    <s v=""/>
    <d v="2025-12-11T15:57:27"/>
    <x v="2"/>
    <n v="2.67"/>
    <n v="0"/>
  </r>
  <r>
    <n v="577"/>
    <n v="252"/>
    <n v="4"/>
    <n v="530"/>
    <s v="EARNED"/>
    <n v="2.41"/>
    <s v=""/>
    <d v="2025-12-11T17:20:04"/>
    <x v="2"/>
    <n v="2.41"/>
    <n v="0"/>
  </r>
  <r>
    <n v="578"/>
    <n v="136"/>
    <n v="2"/>
    <n v="531"/>
    <s v="EARNED"/>
    <n v="8.11"/>
    <s v=""/>
    <d v="2025-12-11T18:33:25"/>
    <x v="2"/>
    <n v="8.11"/>
    <n v="0"/>
  </r>
  <r>
    <n v="579"/>
    <n v="37"/>
    <n v="4"/>
    <n v="532"/>
    <s v="EARNED"/>
    <n v="6.13"/>
    <s v=""/>
    <d v="2025-12-11T19:15:33"/>
    <x v="2"/>
    <n v="6.13"/>
    <n v="0"/>
  </r>
  <r>
    <n v="580"/>
    <n v="6"/>
    <n v="1"/>
    <m/>
    <s v="ADJUSTMENT"/>
    <n v="38.89"/>
    <s v="Ajuste por reclamo de cliente"/>
    <d v="2025-12-12T05:46:15"/>
    <x v="2"/>
    <n v="0"/>
    <n v="0"/>
  </r>
  <r>
    <n v="581"/>
    <n v="138"/>
    <n v="5"/>
    <n v="533"/>
    <s v="EARNED"/>
    <n v="2.3199999999999998"/>
    <s v=""/>
    <d v="2025-12-12T09:47:36"/>
    <x v="2"/>
    <n v="2.3199999999999998"/>
    <n v="0"/>
  </r>
  <r>
    <n v="582"/>
    <n v="240"/>
    <n v="4"/>
    <n v="534"/>
    <s v="EARNED"/>
    <n v="20.03"/>
    <s v=""/>
    <d v="2025-12-12T10:09:37"/>
    <x v="2"/>
    <n v="20.03"/>
    <n v="0"/>
  </r>
  <r>
    <n v="583"/>
    <n v="34"/>
    <n v="2"/>
    <n v="535"/>
    <s v="EARNED"/>
    <n v="16.95"/>
    <s v=""/>
    <d v="2025-12-12T10:16:26"/>
    <x v="2"/>
    <n v="16.95"/>
    <n v="0"/>
  </r>
  <r>
    <n v="584"/>
    <n v="136"/>
    <n v="2"/>
    <n v="536"/>
    <s v="EARNED"/>
    <n v="7.02"/>
    <s v=""/>
    <d v="2025-12-12T10:24:15"/>
    <x v="2"/>
    <n v="7.02"/>
    <n v="0"/>
  </r>
  <r>
    <n v="585"/>
    <n v="44"/>
    <n v="4"/>
    <n v="537"/>
    <s v="REDEEMED"/>
    <n v="37.590000000000003"/>
    <s v=""/>
    <d v="2025-12-12T10:28:39"/>
    <x v="2"/>
    <n v="0"/>
    <n v="37.590000000000003"/>
  </r>
  <r>
    <n v="586"/>
    <n v="155"/>
    <n v="4"/>
    <n v="538"/>
    <s v="EARNED"/>
    <n v="3.32"/>
    <s v=""/>
    <d v="2025-12-12T10:50:14"/>
    <x v="2"/>
    <n v="3.32"/>
    <n v="0"/>
  </r>
  <r>
    <n v="587"/>
    <n v="137"/>
    <n v="2"/>
    <n v="539"/>
    <s v="EARNED"/>
    <n v="5.09"/>
    <s v=""/>
    <d v="2025-12-12T10:50:44"/>
    <x v="2"/>
    <n v="5.09"/>
    <n v="0"/>
  </r>
  <r>
    <n v="588"/>
    <n v="44"/>
    <n v="5"/>
    <n v="540"/>
    <s v="EARNED"/>
    <n v="2.4300000000000002"/>
    <s v=""/>
    <d v="2025-12-12T11:27:38"/>
    <x v="2"/>
    <n v="2.4300000000000002"/>
    <n v="0"/>
  </r>
  <r>
    <n v="589"/>
    <n v="196"/>
    <n v="2"/>
    <n v="541"/>
    <s v="EARNED"/>
    <n v="2.23"/>
    <s v=""/>
    <d v="2025-12-12T11:56:41"/>
    <x v="2"/>
    <n v="2.23"/>
    <n v="0"/>
  </r>
  <r>
    <n v="590"/>
    <n v="252"/>
    <n v="5"/>
    <n v="542"/>
    <s v="EARNED"/>
    <n v="3.6"/>
    <s v=""/>
    <d v="2025-12-12T13:11:30"/>
    <x v="2"/>
    <n v="3.6"/>
    <n v="0"/>
  </r>
  <r>
    <n v="591"/>
    <n v="194"/>
    <n v="4"/>
    <n v="543"/>
    <s v="EARNED"/>
    <n v="22"/>
    <s v=""/>
    <d v="2025-12-12T16:31:08"/>
    <x v="2"/>
    <n v="22"/>
    <n v="0"/>
  </r>
  <r>
    <n v="592"/>
    <n v="137"/>
    <n v="1"/>
    <m/>
    <s v="ADJUSTMENT"/>
    <n v="17.2"/>
    <s v="Promoción especial de aniversario"/>
    <d v="2025-12-12T17:00:49"/>
    <x v="2"/>
    <n v="0"/>
    <n v="0"/>
  </r>
  <r>
    <n v="593"/>
    <n v="44"/>
    <n v="5"/>
    <n v="544"/>
    <s v="EARNED"/>
    <n v="3.4"/>
    <s v=""/>
    <d v="2025-12-12T17:12:32"/>
    <x v="2"/>
    <n v="3.4"/>
    <n v="0"/>
  </r>
  <r>
    <n v="594"/>
    <n v="136"/>
    <n v="4"/>
    <n v="545"/>
    <s v="EARNED"/>
    <n v="11.48"/>
    <s v=""/>
    <d v="2025-12-12T17:41:33"/>
    <x v="2"/>
    <n v="11.48"/>
    <n v="0"/>
  </r>
  <r>
    <n v="595"/>
    <n v="113"/>
    <n v="1"/>
    <m/>
    <s v="ADJUSTMENT"/>
    <n v="18.84"/>
    <s v="Corrección de saldo detectada en auditoría"/>
    <d v="2025-12-13T04:53:34"/>
    <x v="2"/>
    <n v="0"/>
    <n v="0"/>
  </r>
  <r>
    <n v="596"/>
    <n v="7"/>
    <n v="3"/>
    <n v="546"/>
    <s v="EARNED"/>
    <n v="11.32"/>
    <s v=""/>
    <d v="2025-12-13T07:08:44"/>
    <x v="2"/>
    <n v="11.32"/>
    <n v="0"/>
  </r>
  <r>
    <n v="597"/>
    <n v="137"/>
    <n v="4"/>
    <n v="547"/>
    <s v="EARNED"/>
    <n v="3.2"/>
    <s v=""/>
    <d v="2025-12-13T07:57:02"/>
    <x v="2"/>
    <n v="3.2"/>
    <n v="0"/>
  </r>
  <r>
    <n v="598"/>
    <n v="12"/>
    <n v="5"/>
    <n v="548"/>
    <s v="EARNED"/>
    <n v="2.2200000000000002"/>
    <s v=""/>
    <d v="2025-12-13T10:03:34"/>
    <x v="2"/>
    <n v="2.2200000000000002"/>
    <n v="0"/>
  </r>
  <r>
    <n v="599"/>
    <n v="64"/>
    <n v="3"/>
    <n v="549"/>
    <s v="EARNED"/>
    <n v="2.5099999999999998"/>
    <s v=""/>
    <d v="2025-12-13T11:20:00"/>
    <x v="2"/>
    <n v="2.5099999999999998"/>
    <n v="0"/>
  </r>
  <r>
    <n v="600"/>
    <n v="144"/>
    <n v="3"/>
    <n v="550"/>
    <s v="EARNED"/>
    <n v="9.94"/>
    <s v=""/>
    <d v="2025-12-13T11:39:38"/>
    <x v="2"/>
    <n v="9.94"/>
    <n v="0"/>
  </r>
  <r>
    <n v="601"/>
    <n v="244"/>
    <n v="4"/>
    <n v="551"/>
    <s v="EARNED"/>
    <n v="6.5"/>
    <s v=""/>
    <d v="2025-12-13T12:44:25"/>
    <x v="2"/>
    <n v="6.5"/>
    <n v="0"/>
  </r>
  <r>
    <n v="602"/>
    <n v="70"/>
    <n v="5"/>
    <n v="552"/>
    <s v="EARNED"/>
    <n v="8.75"/>
    <s v=""/>
    <d v="2025-12-13T13:24:02"/>
    <x v="2"/>
    <n v="8.75"/>
    <n v="0"/>
  </r>
  <r>
    <n v="603"/>
    <n v="39"/>
    <n v="2"/>
    <n v="553"/>
    <s v="EARNED"/>
    <n v="17.68"/>
    <s v=""/>
    <d v="2025-12-13T13:50:59"/>
    <x v="2"/>
    <n v="17.68"/>
    <n v="0"/>
  </r>
  <r>
    <n v="604"/>
    <n v="21"/>
    <n v="4"/>
    <n v="554"/>
    <s v="EARNED"/>
    <n v="4.3099999999999996"/>
    <s v=""/>
    <d v="2025-12-13T14:11:13"/>
    <x v="2"/>
    <n v="4.3099999999999996"/>
    <n v="0"/>
  </r>
  <r>
    <n v="605"/>
    <n v="137"/>
    <n v="3"/>
    <n v="555"/>
    <s v="EARNED"/>
    <n v="3.84"/>
    <s v=""/>
    <d v="2025-12-13T14:46:11"/>
    <x v="2"/>
    <n v="3.84"/>
    <n v="0"/>
  </r>
  <r>
    <n v="606"/>
    <n v="223"/>
    <n v="4"/>
    <n v="556"/>
    <s v="EARNED"/>
    <n v="3.91"/>
    <s v=""/>
    <d v="2025-12-13T15:19:37"/>
    <x v="2"/>
    <n v="3.91"/>
    <n v="0"/>
  </r>
  <r>
    <n v="607"/>
    <n v="255"/>
    <n v="3"/>
    <n v="557"/>
    <s v="EARNED"/>
    <n v="3.76"/>
    <s v=""/>
    <d v="2025-12-13T15:51:19"/>
    <x v="2"/>
    <n v="3.76"/>
    <n v="0"/>
  </r>
  <r>
    <n v="608"/>
    <n v="45"/>
    <n v="4"/>
    <n v="558"/>
    <s v="EARNED"/>
    <n v="7.45"/>
    <s v=""/>
    <d v="2025-12-13T15:56:45"/>
    <x v="2"/>
    <n v="7.45"/>
    <n v="0"/>
  </r>
  <r>
    <n v="609"/>
    <n v="137"/>
    <n v="5"/>
    <n v="559"/>
    <s v="EARNED"/>
    <n v="1.92"/>
    <s v=""/>
    <d v="2025-12-13T16:06:24"/>
    <x v="2"/>
    <n v="1.92"/>
    <n v="0"/>
  </r>
  <r>
    <n v="610"/>
    <n v="138"/>
    <n v="2"/>
    <n v="560"/>
    <s v="EARNED"/>
    <n v="3.18"/>
    <s v=""/>
    <d v="2025-12-13T16:22:20"/>
    <x v="2"/>
    <n v="3.18"/>
    <n v="0"/>
  </r>
  <r>
    <n v="611"/>
    <n v="52"/>
    <n v="3"/>
    <n v="561"/>
    <s v="EARNED"/>
    <n v="4.3099999999999996"/>
    <s v=""/>
    <d v="2025-12-13T18:58:12"/>
    <x v="2"/>
    <n v="4.3099999999999996"/>
    <n v="0"/>
  </r>
  <r>
    <n v="612"/>
    <n v="253"/>
    <n v="4"/>
    <n v="562"/>
    <s v="EARNED"/>
    <n v="3.65"/>
    <s v=""/>
    <d v="2025-12-14T11:44:02"/>
    <x v="2"/>
    <n v="3.65"/>
    <n v="0"/>
  </r>
  <r>
    <n v="613"/>
    <n v="262"/>
    <n v="4"/>
    <n v="563"/>
    <s v="EARNED"/>
    <n v="12.53"/>
    <s v=""/>
    <d v="2025-12-14T12:37:23"/>
    <x v="2"/>
    <n v="12.53"/>
    <n v="0"/>
  </r>
  <r>
    <n v="614"/>
    <n v="155"/>
    <n v="3"/>
    <n v="564"/>
    <s v="EARNED"/>
    <n v="2.0699999999999998"/>
    <s v=""/>
    <d v="2025-12-14T13:40:20"/>
    <x v="2"/>
    <n v="2.0699999999999998"/>
    <n v="0"/>
  </r>
  <r>
    <n v="615"/>
    <n v="44"/>
    <n v="4"/>
    <n v="565"/>
    <s v="REDEEMED"/>
    <n v="25.49"/>
    <s v=""/>
    <d v="2025-12-14T14:00:28"/>
    <x v="2"/>
    <n v="0"/>
    <n v="25.49"/>
  </r>
  <r>
    <n v="616"/>
    <n v="137"/>
    <n v="5"/>
    <n v="566"/>
    <s v="EARNED"/>
    <n v="3.74"/>
    <s v=""/>
    <d v="2025-12-14T14:48:02"/>
    <x v="2"/>
    <n v="3.74"/>
    <n v="0"/>
  </r>
  <r>
    <n v="617"/>
    <n v="26"/>
    <n v="5"/>
    <n v="567"/>
    <s v="EARNED"/>
    <n v="4.33"/>
    <s v=""/>
    <d v="2025-12-14T16:44:00"/>
    <x v="2"/>
    <n v="4.33"/>
    <n v="0"/>
  </r>
  <r>
    <n v="618"/>
    <n v="57"/>
    <n v="4"/>
    <n v="568"/>
    <s v="EARNED"/>
    <n v="9.61"/>
    <s v=""/>
    <d v="2025-12-14T17:37:35"/>
    <x v="2"/>
    <n v="9.61"/>
    <n v="0"/>
  </r>
  <r>
    <n v="619"/>
    <n v="136"/>
    <n v="3"/>
    <n v="569"/>
    <s v="EARNED"/>
    <n v="19.350000000000001"/>
    <s v=""/>
    <d v="2025-12-15T07:11:42"/>
    <x v="2"/>
    <n v="19.350000000000001"/>
    <n v="0"/>
  </r>
  <r>
    <n v="620"/>
    <n v="253"/>
    <n v="5"/>
    <n v="570"/>
    <s v="EARNED"/>
    <n v="1.42"/>
    <s v=""/>
    <d v="2025-12-15T07:53:16"/>
    <x v="2"/>
    <n v="1.42"/>
    <n v="0"/>
  </r>
  <r>
    <n v="621"/>
    <n v="39"/>
    <n v="4"/>
    <n v="571"/>
    <s v="EARNED"/>
    <n v="29.22"/>
    <s v=""/>
    <d v="2025-12-15T10:00:26"/>
    <x v="2"/>
    <n v="29.22"/>
    <n v="0"/>
  </r>
  <r>
    <n v="622"/>
    <n v="52"/>
    <n v="3"/>
    <n v="572"/>
    <s v="EARNED"/>
    <n v="2.86"/>
    <s v=""/>
    <d v="2025-12-15T10:01:28"/>
    <x v="2"/>
    <n v="2.86"/>
    <n v="0"/>
  </r>
  <r>
    <n v="623"/>
    <n v="58"/>
    <n v="3"/>
    <n v="573"/>
    <s v="EARNED"/>
    <n v="7.09"/>
    <s v=""/>
    <d v="2025-12-15T10:50:11"/>
    <x v="2"/>
    <n v="7.09"/>
    <n v="0"/>
  </r>
  <r>
    <n v="624"/>
    <n v="150"/>
    <n v="3"/>
    <n v="574"/>
    <s v="EARNED"/>
    <n v="6.85"/>
    <s v=""/>
    <d v="2025-12-15T11:57:42"/>
    <x v="2"/>
    <n v="6.85"/>
    <n v="0"/>
  </r>
  <r>
    <n v="625"/>
    <n v="97"/>
    <n v="2"/>
    <n v="575"/>
    <s v="EARNED"/>
    <n v="7.1"/>
    <s v=""/>
    <d v="2025-12-15T12:28:00"/>
    <x v="2"/>
    <n v="7.1"/>
    <n v="0"/>
  </r>
  <r>
    <n v="626"/>
    <n v="47"/>
    <n v="2"/>
    <n v="576"/>
    <s v="EARNED"/>
    <n v="3.52"/>
    <s v=""/>
    <d v="2025-12-15T14:21:06"/>
    <x v="2"/>
    <n v="3.52"/>
    <n v="0"/>
  </r>
  <r>
    <n v="627"/>
    <n v="70"/>
    <n v="4"/>
    <n v="577"/>
    <s v="EARNED"/>
    <n v="23.09"/>
    <s v=""/>
    <d v="2025-12-16T07:57:57"/>
    <x v="2"/>
    <n v="23.09"/>
    <n v="0"/>
  </r>
  <r>
    <n v="628"/>
    <n v="27"/>
    <n v="4"/>
    <n v="578"/>
    <s v="EARNED"/>
    <n v="4.54"/>
    <s v=""/>
    <d v="2025-12-16T08:02:03"/>
    <x v="2"/>
    <n v="4.54"/>
    <n v="0"/>
  </r>
  <r>
    <n v="629"/>
    <n v="117"/>
    <n v="3"/>
    <n v="579"/>
    <s v="EARNED"/>
    <n v="6.72"/>
    <s v=""/>
    <d v="2025-12-16T08:48:10"/>
    <x v="2"/>
    <n v="6.72"/>
    <n v="0"/>
  </r>
  <r>
    <n v="630"/>
    <n v="76"/>
    <n v="5"/>
    <n v="580"/>
    <s v="EARNED"/>
    <n v="9.4700000000000006"/>
    <s v=""/>
    <d v="2025-12-16T09:42:46"/>
    <x v="2"/>
    <n v="9.4700000000000006"/>
    <n v="0"/>
  </r>
  <r>
    <n v="631"/>
    <n v="240"/>
    <n v="2"/>
    <n v="581"/>
    <s v="EARNED"/>
    <n v="15.72"/>
    <s v=""/>
    <d v="2025-12-16T10:05:09"/>
    <x v="2"/>
    <n v="15.72"/>
    <n v="0"/>
  </r>
  <r>
    <n v="632"/>
    <n v="137"/>
    <n v="4"/>
    <n v="582"/>
    <s v="EARNED"/>
    <n v="3.71"/>
    <s v=""/>
    <d v="2025-12-16T10:40:29"/>
    <x v="2"/>
    <n v="3.71"/>
    <n v="0"/>
  </r>
  <r>
    <n v="633"/>
    <n v="17"/>
    <n v="5"/>
    <n v="583"/>
    <s v="EARNED"/>
    <n v="12.34"/>
    <s v=""/>
    <d v="2025-12-16T10:42:59"/>
    <x v="2"/>
    <n v="12.34"/>
    <n v="0"/>
  </r>
  <r>
    <n v="634"/>
    <n v="16"/>
    <n v="2"/>
    <n v="584"/>
    <s v="EARNED"/>
    <n v="27.9"/>
    <s v=""/>
    <d v="2025-12-16T11:10:33"/>
    <x v="2"/>
    <n v="27.9"/>
    <n v="0"/>
  </r>
  <r>
    <n v="635"/>
    <n v="65"/>
    <n v="4"/>
    <n v="585"/>
    <s v="EARNED"/>
    <n v="1.97"/>
    <s v=""/>
    <d v="2025-12-16T13:02:38"/>
    <x v="2"/>
    <n v="1.97"/>
    <n v="0"/>
  </r>
  <r>
    <n v="636"/>
    <n v="36"/>
    <n v="5"/>
    <n v="586"/>
    <s v="EARNED"/>
    <n v="9.4499999999999993"/>
    <s v=""/>
    <d v="2025-12-16T14:01:49"/>
    <x v="2"/>
    <n v="9.4499999999999993"/>
    <n v="0"/>
  </r>
  <r>
    <n v="637"/>
    <n v="106"/>
    <n v="2"/>
    <n v="587"/>
    <s v="EARNED"/>
    <n v="6.53"/>
    <s v=""/>
    <d v="2025-12-16T14:04:55"/>
    <x v="2"/>
    <n v="6.53"/>
    <n v="0"/>
  </r>
  <r>
    <n v="638"/>
    <n v="65"/>
    <n v="4"/>
    <n v="588"/>
    <s v="EARNED"/>
    <n v="2.2599999999999998"/>
    <s v=""/>
    <d v="2025-12-16T16:32:17"/>
    <x v="2"/>
    <n v="2.2599999999999998"/>
    <n v="0"/>
  </r>
  <r>
    <n v="639"/>
    <n v="48"/>
    <n v="3"/>
    <n v="589"/>
    <s v="EARNED"/>
    <n v="16.34"/>
    <s v=""/>
    <d v="2025-12-16T18:23:21"/>
    <x v="2"/>
    <n v="16.34"/>
    <n v="0"/>
  </r>
  <r>
    <n v="640"/>
    <n v="296"/>
    <n v="2"/>
    <n v="590"/>
    <s v="EARNED"/>
    <n v="11.26"/>
    <s v=""/>
    <d v="2025-12-17T07:01:46"/>
    <x v="2"/>
    <n v="11.26"/>
    <n v="0"/>
  </r>
  <r>
    <n v="641"/>
    <n v="44"/>
    <n v="2"/>
    <n v="591"/>
    <s v="EARNED"/>
    <n v="5.18"/>
    <s v=""/>
    <d v="2025-12-17T07:28:29"/>
    <x v="2"/>
    <n v="5.18"/>
    <n v="0"/>
  </r>
  <r>
    <n v="642"/>
    <n v="137"/>
    <n v="5"/>
    <n v="592"/>
    <s v="EARNED"/>
    <n v="6.15"/>
    <s v=""/>
    <d v="2025-12-17T09:17:33"/>
    <x v="2"/>
    <n v="6.15"/>
    <n v="0"/>
  </r>
  <r>
    <n v="643"/>
    <n v="209"/>
    <n v="2"/>
    <n v="593"/>
    <s v="EARNED"/>
    <n v="17.489999999999998"/>
    <s v=""/>
    <d v="2025-12-17T11:41:03"/>
    <x v="2"/>
    <n v="17.489999999999998"/>
    <n v="0"/>
  </r>
  <r>
    <n v="644"/>
    <n v="207"/>
    <n v="2"/>
    <n v="594"/>
    <s v="EARNED"/>
    <n v="3.29"/>
    <s v=""/>
    <d v="2025-12-17T11:56:19"/>
    <x v="2"/>
    <n v="3.29"/>
    <n v="0"/>
  </r>
  <r>
    <n v="645"/>
    <n v="21"/>
    <n v="4"/>
    <n v="595"/>
    <s v="EARNED"/>
    <n v="3.46"/>
    <s v=""/>
    <d v="2025-12-17T12:30:13"/>
    <x v="2"/>
    <n v="3.46"/>
    <n v="0"/>
  </r>
  <r>
    <n v="646"/>
    <n v="262"/>
    <n v="2"/>
    <n v="596"/>
    <s v="EARNED"/>
    <n v="8.9600000000000009"/>
    <s v=""/>
    <d v="2025-12-17T14:01:42"/>
    <x v="2"/>
    <n v="8.9600000000000009"/>
    <n v="0"/>
  </r>
  <r>
    <n v="647"/>
    <n v="296"/>
    <n v="5"/>
    <n v="597"/>
    <s v="EARNED"/>
    <n v="11.3"/>
    <s v=""/>
    <d v="2025-12-17T15:51:00"/>
    <x v="2"/>
    <n v="11.3"/>
    <n v="0"/>
  </r>
  <r>
    <n v="648"/>
    <n v="37"/>
    <n v="2"/>
    <n v="598"/>
    <s v="EARNED"/>
    <n v="7.87"/>
    <s v=""/>
    <d v="2025-12-17T16:20:54"/>
    <x v="2"/>
    <n v="7.87"/>
    <n v="0"/>
  </r>
  <r>
    <n v="649"/>
    <n v="39"/>
    <n v="5"/>
    <n v="599"/>
    <s v="EARNED"/>
    <n v="25.33"/>
    <s v=""/>
    <d v="2025-12-18T07:18:07"/>
    <x v="2"/>
    <n v="25.33"/>
    <n v="0"/>
  </r>
  <r>
    <n v="650"/>
    <n v="240"/>
    <n v="5"/>
    <n v="600"/>
    <s v="EARNED"/>
    <n v="23.35"/>
    <s v=""/>
    <d v="2025-12-18T08:02:53"/>
    <x v="2"/>
    <n v="23.35"/>
    <n v="0"/>
  </r>
  <r>
    <n v="651"/>
    <n v="101"/>
    <n v="3"/>
    <n v="601"/>
    <s v="EARNED"/>
    <n v="2.33"/>
    <s v=""/>
    <d v="2025-12-18T09:52:19"/>
    <x v="2"/>
    <n v="2.33"/>
    <n v="0"/>
  </r>
  <r>
    <n v="652"/>
    <n v="117"/>
    <n v="2"/>
    <n v="602"/>
    <s v="EARNED"/>
    <n v="3.88"/>
    <s v=""/>
    <d v="2025-12-18T10:57:48"/>
    <x v="2"/>
    <n v="3.88"/>
    <n v="0"/>
  </r>
  <r>
    <n v="653"/>
    <n v="227"/>
    <n v="4"/>
    <n v="603"/>
    <s v="EARNED"/>
    <n v="1.74"/>
    <s v=""/>
    <d v="2025-12-18T11:42:41"/>
    <x v="2"/>
    <n v="1.74"/>
    <n v="0"/>
  </r>
  <r>
    <n v="654"/>
    <n v="79"/>
    <n v="2"/>
    <n v="604"/>
    <s v="EARNED"/>
    <n v="5.14"/>
    <s v=""/>
    <d v="2025-12-18T14:31:27"/>
    <x v="2"/>
    <n v="5.14"/>
    <n v="0"/>
  </r>
  <r>
    <n v="655"/>
    <n v="21"/>
    <n v="5"/>
    <n v="605"/>
    <s v="EARNED"/>
    <n v="1.84"/>
    <s v=""/>
    <d v="2025-12-18T14:40:42"/>
    <x v="2"/>
    <n v="1.84"/>
    <n v="0"/>
  </r>
  <r>
    <n v="656"/>
    <n v="17"/>
    <n v="3"/>
    <n v="606"/>
    <s v="EARNED"/>
    <n v="11.94"/>
    <s v=""/>
    <d v="2025-12-18T15:59:06"/>
    <x v="2"/>
    <n v="11.94"/>
    <n v="0"/>
  </r>
  <r>
    <n v="657"/>
    <n v="42"/>
    <n v="5"/>
    <n v="607"/>
    <s v="EARNED"/>
    <n v="2.78"/>
    <s v=""/>
    <d v="2025-12-18T16:15:47"/>
    <x v="2"/>
    <n v="2.78"/>
    <n v="0"/>
  </r>
  <r>
    <n v="658"/>
    <n v="70"/>
    <n v="3"/>
    <n v="608"/>
    <s v="EARNED"/>
    <n v="15.77"/>
    <s v=""/>
    <d v="2025-12-18T17:00:45"/>
    <x v="2"/>
    <n v="15.77"/>
    <n v="0"/>
  </r>
  <r>
    <n v="659"/>
    <n v="137"/>
    <n v="2"/>
    <n v="609"/>
    <s v="EARNED"/>
    <n v="3.73"/>
    <s v=""/>
    <d v="2025-12-19T08:20:50"/>
    <x v="2"/>
    <n v="3.73"/>
    <n v="0"/>
  </r>
  <r>
    <n v="660"/>
    <n v="240"/>
    <n v="4"/>
    <n v="610"/>
    <s v="EARNED"/>
    <n v="12.82"/>
    <s v=""/>
    <d v="2025-12-19T09:51:36"/>
    <x v="2"/>
    <n v="12.82"/>
    <n v="0"/>
  </r>
  <r>
    <n v="661"/>
    <n v="253"/>
    <n v="5"/>
    <n v="611"/>
    <s v="EARNED"/>
    <n v="2.46"/>
    <s v=""/>
    <d v="2025-12-19T11:16:49"/>
    <x v="2"/>
    <n v="2.46"/>
    <n v="0"/>
  </r>
  <r>
    <n v="662"/>
    <n v="49"/>
    <n v="5"/>
    <n v="612"/>
    <s v="EARNED"/>
    <n v="7.06"/>
    <s v=""/>
    <d v="2025-12-19T11:38:15"/>
    <x v="2"/>
    <n v="7.06"/>
    <n v="0"/>
  </r>
  <r>
    <n v="663"/>
    <n v="227"/>
    <n v="5"/>
    <n v="603"/>
    <s v="ADJUSTMENT"/>
    <n v="-1.74"/>
    <s v="Reverso por cancelación de compra #603: Monto duplicado por error de sistema"/>
    <d v="2025-12-19T11:42:41"/>
    <x v="2"/>
    <n v="0"/>
    <n v="0"/>
  </r>
  <r>
    <n v="664"/>
    <n v="106"/>
    <n v="5"/>
    <n v="613"/>
    <s v="EARNED"/>
    <n v="4.96"/>
    <s v=""/>
    <d v="2025-12-19T13:13:38"/>
    <x v="2"/>
    <n v="4.96"/>
    <n v="0"/>
  </r>
  <r>
    <n v="665"/>
    <n v="241"/>
    <n v="3"/>
    <n v="614"/>
    <s v="EARNED"/>
    <n v="1.93"/>
    <s v=""/>
    <d v="2025-12-19T15:23:46"/>
    <x v="2"/>
    <n v="1.93"/>
    <n v="0"/>
  </r>
  <r>
    <n v="666"/>
    <n v="97"/>
    <n v="2"/>
    <n v="615"/>
    <s v="EARNED"/>
    <n v="11.26"/>
    <s v=""/>
    <d v="2025-12-19T16:46:55"/>
    <x v="2"/>
    <n v="11.26"/>
    <n v="0"/>
  </r>
  <r>
    <n v="667"/>
    <n v="137"/>
    <n v="2"/>
    <n v="616"/>
    <s v="EARNED"/>
    <n v="2.09"/>
    <s v=""/>
    <d v="2025-12-19T17:42:50"/>
    <x v="2"/>
    <n v="2.09"/>
    <n v="0"/>
  </r>
  <r>
    <n v="668"/>
    <n v="290"/>
    <n v="1"/>
    <m/>
    <s v="ADJUSTMENT"/>
    <n v="34.78"/>
    <s v="Compensación por falla en la bomba"/>
    <d v="2025-12-19T18:43:36"/>
    <x v="2"/>
    <n v="0"/>
    <n v="0"/>
  </r>
  <r>
    <n v="669"/>
    <n v="293"/>
    <n v="2"/>
    <n v="617"/>
    <s v="EARNED"/>
    <n v="2.69"/>
    <s v=""/>
    <d v="2025-12-19T19:49:48"/>
    <x v="2"/>
    <n v="2.69"/>
    <n v="0"/>
  </r>
  <r>
    <n v="670"/>
    <n v="106"/>
    <n v="4"/>
    <n v="618"/>
    <s v="EARNED"/>
    <n v="11.01"/>
    <s v=""/>
    <d v="2025-12-20T08:12:42"/>
    <x v="2"/>
    <n v="11.01"/>
    <n v="0"/>
  </r>
  <r>
    <n v="671"/>
    <n v="21"/>
    <n v="5"/>
    <n v="619"/>
    <s v="EARNED"/>
    <n v="3.58"/>
    <s v=""/>
    <d v="2025-12-20T08:29:21"/>
    <x v="2"/>
    <n v="3.58"/>
    <n v="0"/>
  </r>
  <r>
    <n v="672"/>
    <n v="49"/>
    <n v="2"/>
    <n v="620"/>
    <s v="EARNED"/>
    <n v="22"/>
    <s v=""/>
    <d v="2025-12-20T08:35:12"/>
    <x v="2"/>
    <n v="22"/>
    <n v="0"/>
  </r>
  <r>
    <n v="673"/>
    <n v="244"/>
    <n v="5"/>
    <n v="621"/>
    <s v="EARNED"/>
    <n v="15.88"/>
    <s v=""/>
    <d v="2025-12-20T08:38:58"/>
    <x v="2"/>
    <n v="15.88"/>
    <n v="0"/>
  </r>
  <r>
    <n v="674"/>
    <n v="50"/>
    <n v="4"/>
    <n v="622"/>
    <s v="EARNED"/>
    <n v="9.59"/>
    <s v=""/>
    <d v="2025-12-20T09:21:16"/>
    <x v="2"/>
    <n v="9.59"/>
    <n v="0"/>
  </r>
  <r>
    <n v="675"/>
    <n v="48"/>
    <n v="4"/>
    <n v="623"/>
    <s v="EARNED"/>
    <n v="14.98"/>
    <s v=""/>
    <d v="2025-12-20T09:28:43"/>
    <x v="2"/>
    <n v="14.98"/>
    <n v="0"/>
  </r>
  <r>
    <n v="676"/>
    <n v="223"/>
    <n v="5"/>
    <n v="624"/>
    <s v="EARNED"/>
    <n v="3.56"/>
    <s v=""/>
    <d v="2025-12-20T09:52:33"/>
    <x v="2"/>
    <n v="3.56"/>
    <n v="0"/>
  </r>
  <r>
    <n v="677"/>
    <n v="48"/>
    <n v="3"/>
    <n v="625"/>
    <s v="EARNED"/>
    <n v="11.69"/>
    <s v=""/>
    <d v="2025-12-20T10:25:20"/>
    <x v="2"/>
    <n v="11.69"/>
    <n v="0"/>
  </r>
  <r>
    <n v="678"/>
    <n v="18"/>
    <n v="3"/>
    <n v="626"/>
    <s v="EARNED"/>
    <n v="7.25"/>
    <s v=""/>
    <d v="2025-12-20T10:41:40"/>
    <x v="2"/>
    <n v="7.25"/>
    <n v="0"/>
  </r>
  <r>
    <n v="679"/>
    <n v="53"/>
    <n v="5"/>
    <n v="627"/>
    <s v="EARNED"/>
    <n v="4.04"/>
    <s v=""/>
    <d v="2025-12-20T11:00:57"/>
    <x v="2"/>
    <n v="4.04"/>
    <n v="0"/>
  </r>
  <r>
    <n v="680"/>
    <n v="155"/>
    <n v="5"/>
    <n v="628"/>
    <s v="EARNED"/>
    <n v="3.42"/>
    <s v=""/>
    <d v="2025-12-20T12:24:02"/>
    <x v="2"/>
    <n v="3.42"/>
    <n v="0"/>
  </r>
  <r>
    <n v="681"/>
    <n v="106"/>
    <n v="2"/>
    <n v="629"/>
    <s v="EARNED"/>
    <n v="11.15"/>
    <s v=""/>
    <d v="2025-12-20T13:02:30"/>
    <x v="2"/>
    <n v="11.15"/>
    <n v="0"/>
  </r>
  <r>
    <n v="682"/>
    <n v="197"/>
    <n v="2"/>
    <n v="630"/>
    <s v="EARNED"/>
    <n v="8.52"/>
    <s v=""/>
    <d v="2025-12-20T13:11:40"/>
    <x v="2"/>
    <n v="8.52"/>
    <n v="0"/>
  </r>
  <r>
    <n v="683"/>
    <n v="39"/>
    <n v="2"/>
    <n v="631"/>
    <s v="EARNED"/>
    <n v="12.03"/>
    <s v=""/>
    <d v="2025-12-20T15:02:08"/>
    <x v="2"/>
    <n v="12.03"/>
    <n v="0"/>
  </r>
  <r>
    <n v="684"/>
    <n v="70"/>
    <n v="4"/>
    <n v="632"/>
    <s v="EARNED"/>
    <n v="13.27"/>
    <s v=""/>
    <d v="2025-12-20T17:32:43"/>
    <x v="2"/>
    <n v="13.27"/>
    <n v="0"/>
  </r>
  <r>
    <n v="685"/>
    <n v="51"/>
    <n v="1"/>
    <m/>
    <s v="ADJUSTMENT"/>
    <n v="36.020000000000003"/>
    <s v="Compensación por falla en la bomba"/>
    <d v="2025-12-20T22:55:07"/>
    <x v="2"/>
    <n v="0"/>
    <n v="0"/>
  </r>
  <r>
    <n v="686"/>
    <n v="51"/>
    <n v="3"/>
    <n v="633"/>
    <s v="EARNED"/>
    <n v="22.09"/>
    <s v=""/>
    <d v="2025-12-21T08:33:14"/>
    <x v="2"/>
    <n v="22.09"/>
    <n v="0"/>
  </r>
  <r>
    <n v="687"/>
    <n v="277"/>
    <n v="2"/>
    <n v="634"/>
    <s v="EARNED"/>
    <n v="8.3800000000000008"/>
    <s v=""/>
    <d v="2025-12-21T09:11:59"/>
    <x v="2"/>
    <n v="8.3800000000000008"/>
    <n v="0"/>
  </r>
  <r>
    <n v="688"/>
    <n v="279"/>
    <n v="5"/>
    <n v="635"/>
    <s v="EARNED"/>
    <n v="11.64"/>
    <s v=""/>
    <d v="2025-12-21T09:42:17"/>
    <x v="2"/>
    <n v="11.64"/>
    <n v="0"/>
  </r>
  <r>
    <n v="689"/>
    <n v="197"/>
    <n v="5"/>
    <n v="636"/>
    <s v="EARNED"/>
    <n v="22"/>
    <s v=""/>
    <d v="2025-12-21T10:53:10"/>
    <x v="2"/>
    <n v="22"/>
    <n v="0"/>
  </r>
  <r>
    <n v="690"/>
    <n v="138"/>
    <n v="5"/>
    <n v="637"/>
    <s v="EARNED"/>
    <n v="2.69"/>
    <s v=""/>
    <d v="2025-12-21T11:52:18"/>
    <x v="2"/>
    <n v="2.69"/>
    <n v="0"/>
  </r>
  <r>
    <n v="691"/>
    <n v="104"/>
    <n v="5"/>
    <n v="638"/>
    <s v="EARNED"/>
    <n v="12.61"/>
    <s v=""/>
    <d v="2025-12-21T14:16:00"/>
    <x v="2"/>
    <n v="12.61"/>
    <n v="0"/>
  </r>
  <r>
    <n v="692"/>
    <n v="164"/>
    <n v="2"/>
    <n v="639"/>
    <s v="EARNED"/>
    <n v="1.97"/>
    <s v=""/>
    <d v="2025-12-21T14:17:40"/>
    <x v="2"/>
    <n v="1.97"/>
    <n v="0"/>
  </r>
  <r>
    <n v="693"/>
    <n v="65"/>
    <n v="3"/>
    <n v="640"/>
    <s v="EARNED"/>
    <n v="1.78"/>
    <s v=""/>
    <d v="2025-12-21T14:54:48"/>
    <x v="2"/>
    <n v="1.78"/>
    <n v="0"/>
  </r>
  <r>
    <n v="694"/>
    <n v="48"/>
    <n v="4"/>
    <n v="641"/>
    <s v="EARNED"/>
    <n v="14.93"/>
    <s v=""/>
    <d v="2025-12-21T15:45:38"/>
    <x v="2"/>
    <n v="14.93"/>
    <n v="0"/>
  </r>
  <r>
    <n v="695"/>
    <n v="109"/>
    <n v="5"/>
    <n v="642"/>
    <s v="EARNED"/>
    <n v="28.9"/>
    <s v=""/>
    <d v="2025-12-21T16:37:15"/>
    <x v="2"/>
    <n v="28.9"/>
    <n v="0"/>
  </r>
  <r>
    <n v="696"/>
    <n v="244"/>
    <n v="1"/>
    <m/>
    <s v="ADJUSTMENT"/>
    <n v="27.77"/>
    <s v="Ajuste por reclamo de cliente"/>
    <d v="2025-12-21T18:37:45"/>
    <x v="2"/>
    <n v="0"/>
    <n v="0"/>
  </r>
  <r>
    <n v="697"/>
    <n v="290"/>
    <n v="4"/>
    <n v="643"/>
    <s v="EARNED"/>
    <n v="3.79"/>
    <s v=""/>
    <d v="2025-12-21T19:23:34"/>
    <x v="2"/>
    <n v="3.79"/>
    <n v="0"/>
  </r>
  <r>
    <n v="698"/>
    <n v="244"/>
    <n v="2"/>
    <n v="644"/>
    <s v="REDEEMED"/>
    <n v="74.62"/>
    <s v=""/>
    <d v="2025-12-22T07:24:45"/>
    <x v="2"/>
    <n v="0"/>
    <n v="74.62"/>
  </r>
  <r>
    <n v="699"/>
    <n v="137"/>
    <n v="5"/>
    <n v="645"/>
    <s v="EARNED"/>
    <n v="3.59"/>
    <s v=""/>
    <d v="2025-12-22T07:36:13"/>
    <x v="2"/>
    <n v="3.59"/>
    <n v="0"/>
  </r>
  <r>
    <n v="700"/>
    <n v="217"/>
    <n v="3"/>
    <n v="646"/>
    <s v="EARNED"/>
    <n v="3.11"/>
    <s v=""/>
    <d v="2025-12-22T08:34:43"/>
    <x v="2"/>
    <n v="3.11"/>
    <n v="0"/>
  </r>
  <r>
    <n v="701"/>
    <n v="32"/>
    <n v="2"/>
    <n v="647"/>
    <s v="EARNED"/>
    <n v="2.13"/>
    <s v=""/>
    <d v="2025-12-22T10:20:17"/>
    <x v="2"/>
    <n v="2.13"/>
    <n v="0"/>
  </r>
  <r>
    <n v="702"/>
    <n v="70"/>
    <n v="2"/>
    <n v="632"/>
    <s v="ADJUSTMENT"/>
    <n v="-13.27"/>
    <s v="Reverso por cancelación de compra #632: Monto duplicado por error de sistema"/>
    <d v="2025-12-22T10:32:43"/>
    <x v="2"/>
    <n v="0"/>
    <n v="0"/>
  </r>
  <r>
    <n v="703"/>
    <n v="241"/>
    <n v="5"/>
    <n v="648"/>
    <s v="EARNED"/>
    <n v="3.27"/>
    <s v=""/>
    <d v="2025-12-22T10:55:42"/>
    <x v="2"/>
    <n v="3.27"/>
    <n v="0"/>
  </r>
  <r>
    <n v="704"/>
    <n v="138"/>
    <n v="2"/>
    <n v="649"/>
    <s v="EARNED"/>
    <n v="2.02"/>
    <s v=""/>
    <d v="2025-12-22T11:25:18"/>
    <x v="2"/>
    <n v="2.02"/>
    <n v="0"/>
  </r>
  <r>
    <n v="705"/>
    <n v="106"/>
    <n v="3"/>
    <n v="650"/>
    <s v="EARNED"/>
    <n v="7.84"/>
    <s v=""/>
    <d v="2025-12-22T11:45:42"/>
    <x v="2"/>
    <n v="7.84"/>
    <n v="0"/>
  </r>
  <r>
    <n v="706"/>
    <n v="85"/>
    <n v="2"/>
    <n v="651"/>
    <s v="EARNED"/>
    <n v="17.98"/>
    <s v=""/>
    <d v="2025-12-22T12:30:06"/>
    <x v="2"/>
    <n v="17.98"/>
    <n v="0"/>
  </r>
  <r>
    <n v="707"/>
    <n v="57"/>
    <n v="2"/>
    <n v="652"/>
    <s v="EARNED"/>
    <n v="8.1300000000000008"/>
    <s v=""/>
    <d v="2025-12-22T15:39:56"/>
    <x v="2"/>
    <n v="8.1300000000000008"/>
    <n v="0"/>
  </r>
  <r>
    <n v="708"/>
    <n v="287"/>
    <n v="5"/>
    <n v="653"/>
    <s v="EARNED"/>
    <n v="1.88"/>
    <s v=""/>
    <d v="2025-12-22T15:42:20"/>
    <x v="2"/>
    <n v="1.88"/>
    <n v="0"/>
  </r>
  <r>
    <n v="709"/>
    <n v="50"/>
    <n v="2"/>
    <n v="654"/>
    <s v="EARNED"/>
    <n v="9.85"/>
    <s v=""/>
    <d v="2025-12-22T16:47:47"/>
    <x v="2"/>
    <n v="9.85"/>
    <n v="0"/>
  </r>
  <r>
    <n v="710"/>
    <n v="215"/>
    <n v="4"/>
    <n v="655"/>
    <s v="EARNED"/>
    <n v="3.36"/>
    <s v=""/>
    <d v="2025-12-22T17:19:36"/>
    <x v="2"/>
    <n v="3.36"/>
    <n v="0"/>
  </r>
  <r>
    <n v="711"/>
    <n v="61"/>
    <n v="4"/>
    <n v="656"/>
    <s v="EARNED"/>
    <n v="4.97"/>
    <s v=""/>
    <d v="2025-12-22T17:32:22"/>
    <x v="2"/>
    <n v="4.97"/>
    <n v="0"/>
  </r>
  <r>
    <n v="712"/>
    <n v="207"/>
    <n v="4"/>
    <n v="657"/>
    <s v="EARNED"/>
    <n v="1.95"/>
    <s v=""/>
    <d v="2025-12-22T17:56:47"/>
    <x v="2"/>
    <n v="1.95"/>
    <n v="0"/>
  </r>
  <r>
    <n v="713"/>
    <n v="245"/>
    <n v="4"/>
    <n v="658"/>
    <s v="EARNED"/>
    <n v="1.55"/>
    <s v=""/>
    <d v="2025-12-23T07:01:22"/>
    <x v="2"/>
    <n v="1.55"/>
    <n v="0"/>
  </r>
  <r>
    <n v="714"/>
    <n v="244"/>
    <n v="5"/>
    <n v="659"/>
    <s v="EARNED"/>
    <n v="6.4"/>
    <s v=""/>
    <d v="2025-12-23T08:38:16"/>
    <x v="2"/>
    <n v="6.4"/>
    <n v="0"/>
  </r>
  <r>
    <n v="715"/>
    <n v="137"/>
    <n v="2"/>
    <n v="660"/>
    <s v="EARNED"/>
    <n v="3.7"/>
    <s v=""/>
    <d v="2025-12-23T08:41:22"/>
    <x v="2"/>
    <n v="3.7"/>
    <n v="0"/>
  </r>
  <r>
    <n v="716"/>
    <n v="70"/>
    <n v="2"/>
    <n v="661"/>
    <s v="EARNED"/>
    <n v="15.88"/>
    <s v=""/>
    <d v="2025-12-23T08:44:00"/>
    <x v="2"/>
    <n v="15.88"/>
    <n v="0"/>
  </r>
  <r>
    <n v="717"/>
    <n v="44"/>
    <n v="3"/>
    <n v="662"/>
    <s v="EARNED"/>
    <n v="1.89"/>
    <s v=""/>
    <d v="2025-12-23T09:26:44"/>
    <x v="2"/>
    <n v="1.89"/>
    <n v="0"/>
  </r>
  <r>
    <n v="718"/>
    <n v="251"/>
    <n v="2"/>
    <n v="663"/>
    <s v="EARNED"/>
    <n v="11.96"/>
    <s v=""/>
    <d v="2025-12-23T09:39:51"/>
    <x v="2"/>
    <n v="11.96"/>
    <n v="0"/>
  </r>
  <r>
    <n v="719"/>
    <n v="41"/>
    <n v="2"/>
    <n v="664"/>
    <s v="EARNED"/>
    <n v="30"/>
    <s v=""/>
    <d v="2025-12-23T10:27:17"/>
    <x v="2"/>
    <n v="30"/>
    <n v="0"/>
  </r>
  <r>
    <n v="720"/>
    <n v="196"/>
    <n v="2"/>
    <n v="665"/>
    <s v="EARNED"/>
    <n v="2.59"/>
    <s v=""/>
    <d v="2025-12-23T10:45:49"/>
    <x v="2"/>
    <n v="2.59"/>
    <n v="0"/>
  </r>
  <r>
    <n v="721"/>
    <n v="35"/>
    <n v="5"/>
    <n v="666"/>
    <s v="EARNED"/>
    <n v="2.06"/>
    <s v=""/>
    <d v="2025-12-23T12:02:23"/>
    <x v="2"/>
    <n v="2.06"/>
    <n v="0"/>
  </r>
  <r>
    <n v="722"/>
    <n v="18"/>
    <n v="5"/>
    <n v="667"/>
    <s v="EARNED"/>
    <n v="13.98"/>
    <s v=""/>
    <d v="2025-12-23T12:56:53"/>
    <x v="2"/>
    <n v="13.98"/>
    <n v="0"/>
  </r>
  <r>
    <n v="723"/>
    <n v="22"/>
    <n v="4"/>
    <n v="668"/>
    <s v="EARNED"/>
    <n v="9.9600000000000009"/>
    <s v=""/>
    <d v="2025-12-23T12:58:38"/>
    <x v="2"/>
    <n v="9.9600000000000009"/>
    <n v="0"/>
  </r>
  <r>
    <n v="724"/>
    <n v="39"/>
    <n v="4"/>
    <n v="669"/>
    <s v="EARNED"/>
    <n v="12.97"/>
    <s v=""/>
    <d v="2025-12-23T15:20:10"/>
    <x v="2"/>
    <n v="12.97"/>
    <n v="0"/>
  </r>
  <r>
    <n v="725"/>
    <n v="241"/>
    <n v="4"/>
    <n v="670"/>
    <s v="EARNED"/>
    <n v="2.73"/>
    <s v=""/>
    <d v="2025-12-23T16:44:22"/>
    <x v="2"/>
    <n v="2.73"/>
    <n v="0"/>
  </r>
  <r>
    <n v="726"/>
    <n v="137"/>
    <n v="2"/>
    <n v="671"/>
    <s v="EARNED"/>
    <n v="3.65"/>
    <s v=""/>
    <d v="2025-12-23T17:58:28"/>
    <x v="2"/>
    <n v="3.65"/>
    <n v="0"/>
  </r>
  <r>
    <n v="727"/>
    <n v="14"/>
    <n v="2"/>
    <n v="672"/>
    <s v="EARNED"/>
    <n v="2.2599999999999998"/>
    <s v=""/>
    <d v="2025-12-23T19:10:54"/>
    <x v="2"/>
    <n v="2.2599999999999998"/>
    <n v="0"/>
  </r>
  <r>
    <n v="728"/>
    <n v="85"/>
    <n v="1"/>
    <m/>
    <s v="ADJUSTMENT"/>
    <n v="-11.06"/>
    <s v="Promoción especial de aniversario"/>
    <d v="2025-12-23T19:20:03"/>
    <x v="2"/>
    <n v="0"/>
    <n v="0"/>
  </r>
  <r>
    <n v="729"/>
    <n v="16"/>
    <n v="3"/>
    <n v="673"/>
    <s v="EARNED"/>
    <n v="30"/>
    <s v=""/>
    <d v="2025-12-24T07:11:21"/>
    <x v="2"/>
    <n v="30"/>
    <n v="0"/>
  </r>
  <r>
    <n v="730"/>
    <n v="244"/>
    <n v="4"/>
    <n v="674"/>
    <s v="EARNED"/>
    <n v="18.25"/>
    <s v=""/>
    <d v="2025-12-24T10:26:16"/>
    <x v="2"/>
    <n v="18.25"/>
    <n v="0"/>
  </r>
  <r>
    <n v="731"/>
    <n v="57"/>
    <n v="4"/>
    <n v="675"/>
    <s v="REDEEMED"/>
    <n v="60.67"/>
    <s v=""/>
    <d v="2025-12-24T12:49:52"/>
    <x v="2"/>
    <n v="0"/>
    <n v="60.67"/>
  </r>
  <r>
    <n v="732"/>
    <n v="137"/>
    <n v="4"/>
    <n v="676"/>
    <s v="EARNED"/>
    <n v="3.38"/>
    <s v=""/>
    <d v="2025-12-24T16:58:26"/>
    <x v="2"/>
    <n v="3.38"/>
    <n v="0"/>
  </r>
  <r>
    <n v="733"/>
    <n v="36"/>
    <n v="5"/>
    <n v="677"/>
    <s v="EARNED"/>
    <n v="21.93"/>
    <s v=""/>
    <d v="2025-12-24T17:18:02"/>
    <x v="2"/>
    <n v="21.93"/>
    <n v="0"/>
  </r>
  <r>
    <n v="734"/>
    <n v="160"/>
    <n v="2"/>
    <n v="678"/>
    <s v="EARNED"/>
    <n v="2.64"/>
    <s v=""/>
    <d v="2025-12-24T18:17:47"/>
    <x v="2"/>
    <n v="2.64"/>
    <n v="0"/>
  </r>
  <r>
    <n v="735"/>
    <n v="203"/>
    <n v="1"/>
    <m/>
    <s v="ADJUSTMENT"/>
    <n v="-10.17"/>
    <s v="Promoción especial de aniversario"/>
    <d v="2025-12-24T20:54:16"/>
    <x v="2"/>
    <n v="0"/>
    <n v="0"/>
  </r>
  <r>
    <n v="736"/>
    <n v="106"/>
    <n v="5"/>
    <n v="679"/>
    <s v="EARNED"/>
    <n v="13.36"/>
    <s v=""/>
    <d v="2025-12-25T08:20:50"/>
    <x v="2"/>
    <n v="13.36"/>
    <n v="0"/>
  </r>
  <r>
    <n v="737"/>
    <n v="31"/>
    <n v="4"/>
    <n v="680"/>
    <s v="EARNED"/>
    <n v="3.47"/>
    <s v=""/>
    <d v="2025-12-25T09:09:55"/>
    <x v="2"/>
    <n v="3.47"/>
    <n v="0"/>
  </r>
  <r>
    <n v="738"/>
    <n v="29"/>
    <n v="3"/>
    <n v="681"/>
    <s v="EARNED"/>
    <n v="3.09"/>
    <s v=""/>
    <d v="2025-12-25T09:36:06"/>
    <x v="2"/>
    <n v="3.09"/>
    <n v="0"/>
  </r>
  <r>
    <n v="739"/>
    <n v="155"/>
    <n v="3"/>
    <n v="682"/>
    <s v="EARNED"/>
    <n v="1.87"/>
    <s v=""/>
    <d v="2025-12-25T09:45:18"/>
    <x v="2"/>
    <n v="1.87"/>
    <n v="0"/>
  </r>
  <r>
    <n v="740"/>
    <n v="66"/>
    <n v="2"/>
    <n v="683"/>
    <s v="EARNED"/>
    <n v="6.58"/>
    <s v=""/>
    <d v="2025-12-25T09:55:15"/>
    <x v="2"/>
    <n v="6.58"/>
    <n v="0"/>
  </r>
  <r>
    <n v="741"/>
    <n v="186"/>
    <n v="5"/>
    <n v="684"/>
    <s v="EARNED"/>
    <n v="3.98"/>
    <s v=""/>
    <d v="2025-12-25T10:14:05"/>
    <x v="2"/>
    <n v="3.98"/>
    <n v="0"/>
  </r>
  <r>
    <n v="742"/>
    <n v="117"/>
    <n v="5"/>
    <n v="685"/>
    <s v="EARNED"/>
    <n v="9.5"/>
    <s v=""/>
    <d v="2025-12-25T10:59:41"/>
    <x v="2"/>
    <n v="9.5"/>
    <n v="0"/>
  </r>
  <r>
    <n v="743"/>
    <n v="29"/>
    <n v="4"/>
    <n v="686"/>
    <s v="EARNED"/>
    <n v="3.62"/>
    <s v=""/>
    <d v="2025-12-25T11:00:43"/>
    <x v="2"/>
    <n v="3.62"/>
    <n v="0"/>
  </r>
  <r>
    <n v="744"/>
    <n v="277"/>
    <n v="4"/>
    <n v="687"/>
    <s v="EARNED"/>
    <n v="9.0299999999999994"/>
    <s v=""/>
    <d v="2025-12-25T14:07:45"/>
    <x v="2"/>
    <n v="9.0299999999999994"/>
    <n v="0"/>
  </r>
  <r>
    <n v="745"/>
    <n v="35"/>
    <n v="2"/>
    <n v="688"/>
    <s v="EARNED"/>
    <n v="2.7"/>
    <s v=""/>
    <d v="2025-12-25T18:29:57"/>
    <x v="2"/>
    <n v="2.7"/>
    <n v="0"/>
  </r>
  <r>
    <n v="746"/>
    <n v="39"/>
    <n v="4"/>
    <n v="689"/>
    <s v="EARNED"/>
    <n v="19.510000000000002"/>
    <s v=""/>
    <d v="2025-12-25T19:36:18"/>
    <x v="2"/>
    <n v="19.510000000000002"/>
    <n v="0"/>
  </r>
  <r>
    <n v="747"/>
    <n v="61"/>
    <n v="3"/>
    <n v="690"/>
    <s v="EARNED"/>
    <n v="14.88"/>
    <s v=""/>
    <d v="2025-12-26T07:46:47"/>
    <x v="2"/>
    <n v="14.88"/>
    <n v="0"/>
  </r>
  <r>
    <n v="748"/>
    <n v="65"/>
    <n v="5"/>
    <n v="691"/>
    <s v="EARNED"/>
    <n v="4.05"/>
    <s v=""/>
    <d v="2025-12-26T08:02:46"/>
    <x v="2"/>
    <n v="4.05"/>
    <n v="0"/>
  </r>
  <r>
    <n v="749"/>
    <n v="240"/>
    <n v="2"/>
    <n v="692"/>
    <s v="EARNED"/>
    <n v="15.91"/>
    <s v=""/>
    <d v="2025-12-26T09:57:41"/>
    <x v="2"/>
    <n v="15.91"/>
    <n v="0"/>
  </r>
  <r>
    <n v="750"/>
    <n v="61"/>
    <n v="3"/>
    <n v="693"/>
    <s v="EARNED"/>
    <n v="3.06"/>
    <s v=""/>
    <d v="2025-12-26T11:52:55"/>
    <x v="2"/>
    <n v="3.06"/>
    <n v="0"/>
  </r>
  <r>
    <n v="751"/>
    <n v="137"/>
    <n v="3"/>
    <n v="694"/>
    <s v="EARNED"/>
    <n v="2.96"/>
    <s v=""/>
    <d v="2025-12-26T12:35:49"/>
    <x v="2"/>
    <n v="2.96"/>
    <n v="0"/>
  </r>
  <r>
    <n v="752"/>
    <n v="61"/>
    <n v="1"/>
    <m/>
    <s v="ADJUSTMENT"/>
    <n v="35.58"/>
    <s v="Corrección por captura duplicada"/>
    <d v="2025-12-26T13:19:55"/>
    <x v="2"/>
    <n v="0"/>
    <n v="0"/>
  </r>
  <r>
    <n v="753"/>
    <n v="32"/>
    <n v="3"/>
    <n v="695"/>
    <s v="EARNED"/>
    <n v="1.93"/>
    <s v=""/>
    <d v="2025-12-26T14:59:31"/>
    <x v="2"/>
    <n v="1.93"/>
    <n v="0"/>
  </r>
  <r>
    <n v="754"/>
    <n v="253"/>
    <n v="5"/>
    <n v="696"/>
    <s v="EARNED"/>
    <n v="5.14"/>
    <s v=""/>
    <d v="2025-12-26T17:39:16"/>
    <x v="2"/>
    <n v="5.14"/>
    <n v="0"/>
  </r>
  <r>
    <n v="755"/>
    <n v="43"/>
    <n v="2"/>
    <n v="697"/>
    <s v="EARNED"/>
    <n v="7.96"/>
    <s v=""/>
    <d v="2025-12-26T18:01:49"/>
    <x v="2"/>
    <n v="7.96"/>
    <n v="0"/>
  </r>
  <r>
    <n v="756"/>
    <n v="11"/>
    <n v="4"/>
    <n v="698"/>
    <s v="EARNED"/>
    <n v="25.48"/>
    <s v=""/>
    <d v="2025-12-26T18:17:12"/>
    <x v="2"/>
    <n v="25.48"/>
    <n v="0"/>
  </r>
  <r>
    <n v="757"/>
    <n v="52"/>
    <n v="1"/>
    <m/>
    <s v="ADJUSTMENT"/>
    <n v="29.2"/>
    <s v="Ajuste por reclamo de cliente"/>
    <d v="2025-12-26T19:47:31"/>
    <x v="2"/>
    <n v="0"/>
    <n v="0"/>
  </r>
  <r>
    <n v="758"/>
    <n v="221"/>
    <n v="4"/>
    <n v="699"/>
    <s v="EARNED"/>
    <n v="23.18"/>
    <s v=""/>
    <d v="2025-12-27T08:46:57"/>
    <x v="2"/>
    <n v="23.18"/>
    <n v="0"/>
  </r>
  <r>
    <n v="759"/>
    <n v="39"/>
    <n v="2"/>
    <n v="700"/>
    <s v="REDEEMED"/>
    <n v="103.91"/>
    <s v=""/>
    <d v="2025-12-27T09:26:55"/>
    <x v="2"/>
    <n v="0"/>
    <n v="103.91"/>
  </r>
  <r>
    <n v="760"/>
    <n v="57"/>
    <n v="5"/>
    <n v="701"/>
    <s v="EARNED"/>
    <n v="6.69"/>
    <s v=""/>
    <d v="2025-12-27T09:58:46"/>
    <x v="2"/>
    <n v="6.69"/>
    <n v="0"/>
  </r>
  <r>
    <n v="761"/>
    <n v="209"/>
    <n v="5"/>
    <n v="702"/>
    <s v="EARNED"/>
    <n v="17.03"/>
    <s v=""/>
    <d v="2025-12-27T10:49:46"/>
    <x v="2"/>
    <n v="17.03"/>
    <n v="0"/>
  </r>
  <r>
    <n v="762"/>
    <n v="203"/>
    <n v="2"/>
    <n v="703"/>
    <s v="EARNED"/>
    <n v="22.39"/>
    <s v=""/>
    <d v="2025-12-27T11:44:52"/>
    <x v="2"/>
    <n v="22.39"/>
    <n v="0"/>
  </r>
  <r>
    <n v="763"/>
    <n v="49"/>
    <n v="5"/>
    <n v="704"/>
    <s v="EARNED"/>
    <n v="10.51"/>
    <s v=""/>
    <d v="2025-12-27T11:48:29"/>
    <x v="2"/>
    <n v="10.51"/>
    <n v="0"/>
  </r>
  <r>
    <n v="764"/>
    <n v="44"/>
    <n v="2"/>
    <n v="705"/>
    <s v="EARNED"/>
    <n v="3.41"/>
    <s v=""/>
    <d v="2025-12-27T15:04:58"/>
    <x v="2"/>
    <n v="3.41"/>
    <n v="0"/>
  </r>
  <r>
    <n v="765"/>
    <n v="137"/>
    <n v="5"/>
    <n v="706"/>
    <s v="REDEEMED"/>
    <n v="35.46"/>
    <s v=""/>
    <d v="2025-12-27T15:10:05"/>
    <x v="2"/>
    <n v="0"/>
    <n v="35.46"/>
  </r>
  <r>
    <n v="766"/>
    <n v="80"/>
    <n v="5"/>
    <n v="707"/>
    <s v="EARNED"/>
    <n v="3.45"/>
    <s v=""/>
    <d v="2025-12-27T16:26:58"/>
    <x v="2"/>
    <n v="3.45"/>
    <n v="0"/>
  </r>
  <r>
    <n v="767"/>
    <n v="152"/>
    <n v="1"/>
    <m/>
    <s v="ADJUSTMENT"/>
    <n v="37.83"/>
    <s v="Corrección de saldo detectada en auditoría"/>
    <d v="2025-12-28T00:00:38"/>
    <x v="2"/>
    <n v="0"/>
    <n v="0"/>
  </r>
  <r>
    <n v="768"/>
    <n v="117"/>
    <n v="4"/>
    <n v="708"/>
    <s v="EARNED"/>
    <n v="16.48"/>
    <s v=""/>
    <d v="2025-12-28T08:45:26"/>
    <x v="2"/>
    <n v="16.48"/>
    <n v="0"/>
  </r>
  <r>
    <n v="769"/>
    <n v="24"/>
    <n v="3"/>
    <n v="709"/>
    <s v="EARNED"/>
    <n v="24.24"/>
    <s v=""/>
    <d v="2025-12-28T08:51:06"/>
    <x v="2"/>
    <n v="24.24"/>
    <n v="0"/>
  </r>
  <r>
    <n v="770"/>
    <n v="19"/>
    <n v="4"/>
    <n v="710"/>
    <s v="EARNED"/>
    <n v="3.63"/>
    <s v=""/>
    <d v="2025-12-28T12:22:44"/>
    <x v="2"/>
    <n v="3.63"/>
    <n v="0"/>
  </r>
  <r>
    <n v="771"/>
    <n v="152"/>
    <n v="2"/>
    <n v="711"/>
    <s v="EARNED"/>
    <n v="12.27"/>
    <s v=""/>
    <d v="2025-12-28T14:30:01"/>
    <x v="2"/>
    <n v="12.27"/>
    <n v="0"/>
  </r>
  <r>
    <n v="772"/>
    <n v="27"/>
    <n v="2"/>
    <n v="712"/>
    <s v="EARNED"/>
    <n v="12.31"/>
    <s v=""/>
    <d v="2025-12-28T15:08:32"/>
    <x v="2"/>
    <n v="12.31"/>
    <n v="0"/>
  </r>
  <r>
    <n v="773"/>
    <n v="163"/>
    <n v="5"/>
    <n v="713"/>
    <s v="EARNED"/>
    <n v="4.68"/>
    <s v=""/>
    <d v="2025-12-29T08:08:47"/>
    <x v="2"/>
    <n v="4.68"/>
    <n v="0"/>
  </r>
  <r>
    <n v="774"/>
    <n v="106"/>
    <n v="4"/>
    <n v="714"/>
    <s v="EARNED"/>
    <n v="13.25"/>
    <s v=""/>
    <d v="2025-12-29T08:47:09"/>
    <x v="2"/>
    <n v="13.25"/>
    <n v="0"/>
  </r>
  <r>
    <n v="775"/>
    <n v="44"/>
    <n v="4"/>
    <n v="715"/>
    <s v="EARNED"/>
    <n v="3.75"/>
    <s v=""/>
    <d v="2025-12-29T09:02:23"/>
    <x v="2"/>
    <n v="3.75"/>
    <n v="0"/>
  </r>
  <r>
    <n v="776"/>
    <n v="25"/>
    <n v="5"/>
    <n v="716"/>
    <s v="REDEEMED"/>
    <n v="68.11"/>
    <s v=""/>
    <d v="2025-12-29T09:18:05"/>
    <x v="2"/>
    <n v="0"/>
    <n v="68.11"/>
  </r>
  <r>
    <n v="777"/>
    <n v="39"/>
    <n v="4"/>
    <n v="717"/>
    <s v="EARNED"/>
    <n v="17.809999999999999"/>
    <s v=""/>
    <d v="2025-12-29T10:04:57"/>
    <x v="2"/>
    <n v="17.809999999999999"/>
    <n v="0"/>
  </r>
  <r>
    <n v="778"/>
    <n v="135"/>
    <n v="2"/>
    <n v="718"/>
    <s v="EARNED"/>
    <n v="30"/>
    <s v=""/>
    <d v="2025-12-29T10:06:13"/>
    <x v="2"/>
    <n v="30"/>
    <n v="0"/>
  </r>
  <r>
    <n v="779"/>
    <n v="135"/>
    <n v="3"/>
    <n v="719"/>
    <s v="EARNED"/>
    <n v="25.82"/>
    <s v=""/>
    <d v="2025-12-29T10:53:48"/>
    <x v="2"/>
    <n v="25.82"/>
    <n v="0"/>
  </r>
  <r>
    <n v="780"/>
    <n v="126"/>
    <n v="3"/>
    <n v="720"/>
    <s v="EARNED"/>
    <n v="9.67"/>
    <s v=""/>
    <d v="2025-12-29T11:52:07"/>
    <x v="2"/>
    <n v="9.67"/>
    <n v="0"/>
  </r>
  <r>
    <n v="781"/>
    <n v="201"/>
    <n v="4"/>
    <n v="721"/>
    <s v="EARNED"/>
    <n v="2.39"/>
    <s v=""/>
    <d v="2025-12-29T14:14:26"/>
    <x v="2"/>
    <n v="2.39"/>
    <n v="0"/>
  </r>
  <r>
    <n v="782"/>
    <n v="106"/>
    <n v="5"/>
    <n v="722"/>
    <s v="REDEEMED"/>
    <n v="126.25"/>
    <s v=""/>
    <d v="2025-12-29T14:35:48"/>
    <x v="2"/>
    <n v="0"/>
    <n v="126.25"/>
  </r>
  <r>
    <n v="783"/>
    <n v="56"/>
    <n v="2"/>
    <n v="723"/>
    <s v="EARNED"/>
    <n v="6.39"/>
    <s v=""/>
    <d v="2025-12-29T14:57:07"/>
    <x v="2"/>
    <n v="6.39"/>
    <n v="0"/>
  </r>
  <r>
    <n v="784"/>
    <n v="16"/>
    <n v="4"/>
    <n v="724"/>
    <s v="EARNED"/>
    <n v="15.97"/>
    <s v=""/>
    <d v="2025-12-29T15:04:29"/>
    <x v="2"/>
    <n v="15.97"/>
    <n v="0"/>
  </r>
  <r>
    <n v="785"/>
    <n v="189"/>
    <n v="4"/>
    <n v="725"/>
    <s v="EARNED"/>
    <n v="6.38"/>
    <s v=""/>
    <d v="2025-12-29T15:09:48"/>
    <x v="2"/>
    <n v="6.38"/>
    <n v="0"/>
  </r>
  <r>
    <n v="786"/>
    <n v="20"/>
    <n v="3"/>
    <n v="726"/>
    <s v="EARNED"/>
    <n v="1.97"/>
    <s v=""/>
    <d v="2025-12-29T15:22:57"/>
    <x v="2"/>
    <n v="1.97"/>
    <n v="0"/>
  </r>
  <r>
    <n v="787"/>
    <n v="154"/>
    <n v="4"/>
    <n v="727"/>
    <s v="EARNED"/>
    <n v="3.07"/>
    <s v=""/>
    <d v="2025-12-29T15:31:59"/>
    <x v="2"/>
    <n v="3.07"/>
    <n v="0"/>
  </r>
  <r>
    <n v="788"/>
    <n v="192"/>
    <n v="1"/>
    <m/>
    <s v="ADJUSTMENT"/>
    <n v="29.16"/>
    <s v="Corrección de saldo detectada en auditoría"/>
    <d v="2025-12-29T16:03:02"/>
    <x v="2"/>
    <n v="0"/>
    <n v="0"/>
  </r>
  <r>
    <n v="789"/>
    <n v="283"/>
    <n v="5"/>
    <n v="728"/>
    <s v="EARNED"/>
    <n v="3.16"/>
    <s v=""/>
    <d v="2025-12-29T17:17:35"/>
    <x v="2"/>
    <n v="3.16"/>
    <n v="0"/>
  </r>
  <r>
    <n v="790"/>
    <n v="84"/>
    <n v="2"/>
    <n v="729"/>
    <s v="EARNED"/>
    <n v="10.89"/>
    <s v=""/>
    <d v="2025-12-29T18:41:21"/>
    <x v="2"/>
    <n v="10.89"/>
    <n v="0"/>
  </r>
  <r>
    <n v="791"/>
    <n v="297"/>
    <n v="5"/>
    <n v="730"/>
    <s v="EARNED"/>
    <n v="4.1900000000000004"/>
    <s v=""/>
    <d v="2025-12-30T08:26:01"/>
    <x v="2"/>
    <n v="4.1900000000000004"/>
    <n v="0"/>
  </r>
  <r>
    <n v="792"/>
    <n v="137"/>
    <n v="2"/>
    <n v="731"/>
    <s v="EARNED"/>
    <n v="5.75"/>
    <s v=""/>
    <d v="2025-12-30T08:33:06"/>
    <x v="2"/>
    <n v="5.75"/>
    <n v="0"/>
  </r>
  <r>
    <n v="793"/>
    <n v="137"/>
    <n v="5"/>
    <n v="732"/>
    <s v="EARNED"/>
    <n v="3.2"/>
    <s v=""/>
    <d v="2025-12-30T08:36:57"/>
    <x v="2"/>
    <n v="3.2"/>
    <n v="0"/>
  </r>
  <r>
    <n v="794"/>
    <n v="27"/>
    <n v="5"/>
    <n v="733"/>
    <s v="EARNED"/>
    <n v="7.1"/>
    <s v=""/>
    <d v="2025-12-30T09:59:27"/>
    <x v="2"/>
    <n v="7.1"/>
    <n v="0"/>
  </r>
  <r>
    <n v="795"/>
    <n v="106"/>
    <n v="3"/>
    <n v="734"/>
    <s v="EARNED"/>
    <n v="8.7899999999999991"/>
    <s v=""/>
    <d v="2025-12-30T11:00:36"/>
    <x v="2"/>
    <n v="8.7899999999999991"/>
    <n v="0"/>
  </r>
  <r>
    <n v="796"/>
    <n v="35"/>
    <n v="5"/>
    <n v="735"/>
    <s v="EARNED"/>
    <n v="2.76"/>
    <s v=""/>
    <d v="2025-12-30T11:24:12"/>
    <x v="2"/>
    <n v="2.76"/>
    <n v="0"/>
  </r>
  <r>
    <n v="797"/>
    <n v="70"/>
    <n v="2"/>
    <n v="736"/>
    <s v="EARNED"/>
    <n v="16.309999999999999"/>
    <s v=""/>
    <d v="2025-12-30T11:39:42"/>
    <x v="2"/>
    <n v="16.309999999999999"/>
    <n v="0"/>
  </r>
  <r>
    <n v="798"/>
    <n v="245"/>
    <n v="5"/>
    <n v="737"/>
    <s v="EARNED"/>
    <n v="3.83"/>
    <s v=""/>
    <d v="2025-12-30T11:43:33"/>
    <x v="2"/>
    <n v="3.83"/>
    <n v="0"/>
  </r>
  <r>
    <n v="799"/>
    <n v="138"/>
    <n v="3"/>
    <n v="738"/>
    <s v="EARNED"/>
    <n v="1.38"/>
    <s v=""/>
    <d v="2025-12-30T11:50:34"/>
    <x v="2"/>
    <n v="1.38"/>
    <n v="0"/>
  </r>
  <r>
    <n v="800"/>
    <n v="178"/>
    <n v="4"/>
    <n v="739"/>
    <s v="EARNED"/>
    <n v="11.62"/>
    <s v=""/>
    <d v="2025-12-30T12:03:09"/>
    <x v="2"/>
    <n v="11.62"/>
    <n v="0"/>
  </r>
  <r>
    <n v="801"/>
    <n v="87"/>
    <n v="2"/>
    <n v="740"/>
    <s v="EARNED"/>
    <n v="8.18"/>
    <s v=""/>
    <d v="2025-12-30T12:37:20"/>
    <x v="2"/>
    <n v="8.18"/>
    <n v="0"/>
  </r>
  <r>
    <n v="802"/>
    <n v="84"/>
    <n v="2"/>
    <n v="741"/>
    <s v="EARNED"/>
    <n v="7.23"/>
    <s v=""/>
    <d v="2025-12-30T14:30:29"/>
    <x v="2"/>
    <n v="7.23"/>
    <n v="0"/>
  </r>
  <r>
    <n v="803"/>
    <n v="56"/>
    <n v="3"/>
    <n v="723"/>
    <s v="ADJUSTMENT"/>
    <n v="-6.39"/>
    <s v="Reverso por cancelación de compra #723: Solicitud del cliente"/>
    <d v="2025-12-31T01:57:07"/>
    <x v="2"/>
    <n v="0"/>
    <n v="0"/>
  </r>
  <r>
    <n v="804"/>
    <n v="137"/>
    <n v="3"/>
    <n v="742"/>
    <s v="EARNED"/>
    <n v="3.92"/>
    <s v=""/>
    <d v="2025-12-31T07:52:23"/>
    <x v="2"/>
    <n v="3.92"/>
    <n v="0"/>
  </r>
  <r>
    <n v="805"/>
    <n v="202"/>
    <n v="2"/>
    <n v="743"/>
    <s v="EARNED"/>
    <n v="2.76"/>
    <s v=""/>
    <d v="2025-12-31T09:38:36"/>
    <x v="2"/>
    <n v="2.76"/>
    <n v="0"/>
  </r>
  <r>
    <n v="806"/>
    <n v="137"/>
    <n v="2"/>
    <n v="744"/>
    <s v="EARNED"/>
    <n v="3.16"/>
    <s v=""/>
    <d v="2025-12-31T10:37:55"/>
    <x v="2"/>
    <n v="3.16"/>
    <n v="0"/>
  </r>
  <r>
    <n v="807"/>
    <n v="249"/>
    <n v="5"/>
    <n v="745"/>
    <s v="EARNED"/>
    <n v="11.78"/>
    <s v=""/>
    <d v="2025-12-31T13:17:14"/>
    <x v="2"/>
    <n v="11.78"/>
    <n v="0"/>
  </r>
  <r>
    <n v="808"/>
    <n v="197"/>
    <n v="4"/>
    <n v="746"/>
    <s v="EARNED"/>
    <n v="11.45"/>
    <s v=""/>
    <d v="2025-12-31T13:50:58"/>
    <x v="2"/>
    <n v="11.45"/>
    <n v="0"/>
  </r>
  <r>
    <n v="809"/>
    <n v="194"/>
    <n v="5"/>
    <n v="747"/>
    <s v="EARNED"/>
    <n v="7.37"/>
    <s v=""/>
    <d v="2025-12-31T14:00:44"/>
    <x v="2"/>
    <n v="7.37"/>
    <n v="0"/>
  </r>
  <r>
    <n v="810"/>
    <n v="215"/>
    <n v="2"/>
    <n v="748"/>
    <s v="EARNED"/>
    <n v="6.14"/>
    <s v=""/>
    <d v="2025-12-31T14:23:36"/>
    <x v="2"/>
    <n v="6.14"/>
    <n v="0"/>
  </r>
  <r>
    <n v="811"/>
    <n v="168"/>
    <n v="2"/>
    <n v="749"/>
    <s v="EARNED"/>
    <n v="3.76"/>
    <s v=""/>
    <d v="2025-12-31T15:54:13"/>
    <x v="2"/>
    <n v="3.76"/>
    <n v="0"/>
  </r>
  <r>
    <n v="812"/>
    <n v="11"/>
    <n v="3"/>
    <n v="750"/>
    <s v="EARNED"/>
    <n v="18.96"/>
    <s v=""/>
    <d v="2025-12-31T16:25:05"/>
    <x v="2"/>
    <n v="18.96"/>
    <n v="0"/>
  </r>
  <r>
    <n v="813"/>
    <n v="70"/>
    <n v="3"/>
    <n v="751"/>
    <s v="EARNED"/>
    <n v="21.5"/>
    <s v=""/>
    <d v="2026-01-01T07:56:20"/>
    <x v="3"/>
    <n v="21.5"/>
    <n v="0"/>
  </r>
  <r>
    <n v="814"/>
    <n v="55"/>
    <n v="2"/>
    <n v="752"/>
    <s v="EARNED"/>
    <n v="3.73"/>
    <s v=""/>
    <d v="2026-01-01T08:25:31"/>
    <x v="3"/>
    <n v="3.73"/>
    <n v="0"/>
  </r>
  <r>
    <n v="815"/>
    <n v="21"/>
    <n v="2"/>
    <n v="753"/>
    <s v="EARNED"/>
    <n v="4.51"/>
    <s v=""/>
    <d v="2026-01-01T09:42:44"/>
    <x v="3"/>
    <n v="4.51"/>
    <n v="0"/>
  </r>
  <r>
    <n v="816"/>
    <n v="136"/>
    <n v="5"/>
    <n v="754"/>
    <s v="EARNED"/>
    <n v="6.7"/>
    <s v=""/>
    <d v="2026-01-01T10:26:56"/>
    <x v="3"/>
    <n v="6.7"/>
    <n v="0"/>
  </r>
  <r>
    <n v="817"/>
    <n v="61"/>
    <n v="2"/>
    <n v="755"/>
    <s v="REDEEMED"/>
    <n v="73.650000000000006"/>
    <s v=""/>
    <d v="2026-01-01T12:16:06"/>
    <x v="3"/>
    <n v="0"/>
    <n v="73.650000000000006"/>
  </r>
  <r>
    <n v="818"/>
    <n v="39"/>
    <n v="5"/>
    <n v="756"/>
    <s v="EARNED"/>
    <n v="17.59"/>
    <s v=""/>
    <d v="2026-01-01T14:15:50"/>
    <x v="3"/>
    <n v="17.59"/>
    <n v="0"/>
  </r>
  <r>
    <n v="819"/>
    <n v="16"/>
    <n v="2"/>
    <n v="757"/>
    <s v="EARNED"/>
    <n v="23.03"/>
    <s v=""/>
    <d v="2026-01-01T15:29:11"/>
    <x v="3"/>
    <n v="23.03"/>
    <n v="0"/>
  </r>
  <r>
    <n v="820"/>
    <n v="69"/>
    <n v="2"/>
    <n v="758"/>
    <s v="EARNED"/>
    <n v="3.14"/>
    <s v=""/>
    <d v="2026-01-01T15:54:49"/>
    <x v="3"/>
    <n v="3.14"/>
    <n v="0"/>
  </r>
  <r>
    <n v="821"/>
    <n v="117"/>
    <n v="2"/>
    <n v="759"/>
    <s v="EARNED"/>
    <n v="5.0199999999999996"/>
    <s v=""/>
    <d v="2026-01-01T16:21:18"/>
    <x v="3"/>
    <n v="5.0199999999999996"/>
    <n v="0"/>
  </r>
  <r>
    <n v="822"/>
    <n v="107"/>
    <n v="3"/>
    <n v="760"/>
    <s v="EARNED"/>
    <n v="2.23"/>
    <s v=""/>
    <d v="2026-01-01T16:48:59"/>
    <x v="3"/>
    <n v="2.23"/>
    <n v="0"/>
  </r>
  <r>
    <n v="823"/>
    <n v="33"/>
    <n v="5"/>
    <n v="761"/>
    <s v="EARNED"/>
    <n v="3.17"/>
    <s v=""/>
    <d v="2026-01-01T17:03:47"/>
    <x v="3"/>
    <n v="3.17"/>
    <n v="0"/>
  </r>
  <r>
    <n v="824"/>
    <n v="104"/>
    <n v="5"/>
    <n v="762"/>
    <s v="EARNED"/>
    <n v="30"/>
    <s v=""/>
    <d v="2026-01-01T19:21:13"/>
    <x v="3"/>
    <n v="30"/>
    <n v="0"/>
  </r>
  <r>
    <n v="825"/>
    <n v="80"/>
    <n v="2"/>
    <n v="763"/>
    <s v="EARNED"/>
    <n v="2.65"/>
    <s v=""/>
    <d v="2026-01-02T07:04:43"/>
    <x v="3"/>
    <n v="2.65"/>
    <n v="0"/>
  </r>
  <r>
    <n v="826"/>
    <n v="240"/>
    <n v="5"/>
    <n v="764"/>
    <s v="REDEEMED"/>
    <n v="164.71"/>
    <s v=""/>
    <d v="2026-01-02T08:43:47"/>
    <x v="3"/>
    <n v="0"/>
    <n v="164.71"/>
  </r>
  <r>
    <n v="827"/>
    <n v="55"/>
    <n v="2"/>
    <n v="765"/>
    <s v="EARNED"/>
    <n v="1.97"/>
    <s v=""/>
    <d v="2026-01-02T09:46:42"/>
    <x v="3"/>
    <n v="1.97"/>
    <n v="0"/>
  </r>
  <r>
    <n v="828"/>
    <n v="217"/>
    <n v="5"/>
    <n v="766"/>
    <s v="EARNED"/>
    <n v="3.46"/>
    <s v=""/>
    <d v="2026-01-02T10:07:52"/>
    <x v="3"/>
    <n v="3.46"/>
    <n v="0"/>
  </r>
  <r>
    <n v="829"/>
    <n v="57"/>
    <n v="2"/>
    <n v="767"/>
    <s v="EARNED"/>
    <n v="4.8"/>
    <s v=""/>
    <d v="2026-01-02T10:35:32"/>
    <x v="3"/>
    <n v="4.8"/>
    <n v="0"/>
  </r>
  <r>
    <n v="830"/>
    <n v="240"/>
    <n v="3"/>
    <n v="768"/>
    <s v="EARNED"/>
    <n v="10.98"/>
    <s v=""/>
    <d v="2026-01-02T10:37:12"/>
    <x v="3"/>
    <n v="10.98"/>
    <n v="0"/>
  </r>
  <r>
    <n v="831"/>
    <n v="178"/>
    <n v="2"/>
    <n v="769"/>
    <s v="EARNED"/>
    <n v="8"/>
    <s v=""/>
    <d v="2026-01-02T12:58:23"/>
    <x v="3"/>
    <n v="8"/>
    <n v="0"/>
  </r>
  <r>
    <n v="832"/>
    <n v="62"/>
    <n v="2"/>
    <n v="770"/>
    <s v="EARNED"/>
    <n v="1.8"/>
    <s v=""/>
    <d v="2026-01-02T14:40:53"/>
    <x v="3"/>
    <n v="1.8"/>
    <n v="0"/>
  </r>
  <r>
    <n v="833"/>
    <n v="31"/>
    <n v="5"/>
    <n v="771"/>
    <s v="EARNED"/>
    <n v="5.86"/>
    <s v=""/>
    <d v="2026-01-02T15:22:19"/>
    <x v="3"/>
    <n v="5.86"/>
    <n v="0"/>
  </r>
  <r>
    <n v="834"/>
    <n v="57"/>
    <n v="5"/>
    <n v="767"/>
    <s v="ADJUSTMENT"/>
    <n v="-4.8"/>
    <s v="Reverso por cancelación de compra #767: Cliente canceló la operación"/>
    <d v="2026-01-02T17:35:32"/>
    <x v="3"/>
    <n v="0"/>
    <n v="0"/>
  </r>
  <r>
    <n v="835"/>
    <n v="106"/>
    <n v="2"/>
    <n v="772"/>
    <s v="EARNED"/>
    <n v="11.91"/>
    <s v=""/>
    <d v="2026-01-02T19:40:29"/>
    <x v="3"/>
    <n v="11.91"/>
    <n v="0"/>
  </r>
  <r>
    <n v="836"/>
    <n v="96"/>
    <n v="4"/>
    <n v="773"/>
    <s v="EARNED"/>
    <n v="30"/>
    <s v=""/>
    <d v="2026-01-03T07:47:04"/>
    <x v="3"/>
    <n v="30"/>
    <n v="0"/>
  </r>
  <r>
    <n v="837"/>
    <n v="227"/>
    <n v="3"/>
    <n v="774"/>
    <s v="EARNED"/>
    <n v="2.89"/>
    <s v=""/>
    <d v="2026-01-03T07:58:39"/>
    <x v="3"/>
    <n v="2.89"/>
    <n v="0"/>
  </r>
  <r>
    <n v="838"/>
    <n v="202"/>
    <n v="3"/>
    <n v="775"/>
    <s v="EARNED"/>
    <n v="6.76"/>
    <s v=""/>
    <d v="2026-01-03T08:42:00"/>
    <x v="3"/>
    <n v="6.76"/>
    <n v="0"/>
  </r>
  <r>
    <n v="839"/>
    <n v="69"/>
    <n v="3"/>
    <n v="776"/>
    <s v="EARNED"/>
    <n v="2.4"/>
    <s v=""/>
    <d v="2026-01-03T09:27:50"/>
    <x v="3"/>
    <n v="2.4"/>
    <n v="0"/>
  </r>
  <r>
    <n v="840"/>
    <n v="254"/>
    <n v="4"/>
    <n v="777"/>
    <s v="EARNED"/>
    <n v="21.52"/>
    <s v=""/>
    <d v="2026-01-03T09:29:12"/>
    <x v="3"/>
    <n v="21.52"/>
    <n v="0"/>
  </r>
  <r>
    <n v="841"/>
    <n v="150"/>
    <n v="2"/>
    <n v="778"/>
    <s v="EARNED"/>
    <n v="9.77"/>
    <s v=""/>
    <d v="2026-01-03T09:31:29"/>
    <x v="3"/>
    <n v="9.77"/>
    <n v="0"/>
  </r>
  <r>
    <n v="842"/>
    <n v="244"/>
    <n v="5"/>
    <n v="779"/>
    <s v="EARNED"/>
    <n v="13.72"/>
    <s v=""/>
    <d v="2026-01-03T10:18:50"/>
    <x v="3"/>
    <n v="13.72"/>
    <n v="0"/>
  </r>
  <r>
    <n v="843"/>
    <n v="293"/>
    <n v="5"/>
    <n v="780"/>
    <s v="EARNED"/>
    <n v="3.42"/>
    <s v=""/>
    <d v="2026-01-03T11:00:07"/>
    <x v="3"/>
    <n v="3.42"/>
    <n v="0"/>
  </r>
  <r>
    <n v="844"/>
    <n v="65"/>
    <n v="5"/>
    <n v="781"/>
    <s v="EARNED"/>
    <n v="2.57"/>
    <s v=""/>
    <d v="2026-01-03T11:40:44"/>
    <x v="3"/>
    <n v="2.57"/>
    <n v="0"/>
  </r>
  <r>
    <n v="845"/>
    <n v="18"/>
    <n v="2"/>
    <n v="782"/>
    <s v="EARNED"/>
    <n v="7.08"/>
    <s v=""/>
    <d v="2026-01-03T13:29:01"/>
    <x v="3"/>
    <n v="7.08"/>
    <n v="0"/>
  </r>
  <r>
    <n v="846"/>
    <n v="247"/>
    <n v="4"/>
    <n v="783"/>
    <s v="EARNED"/>
    <n v="1.72"/>
    <s v=""/>
    <d v="2026-01-03T15:04:55"/>
    <x v="3"/>
    <n v="1.72"/>
    <n v="0"/>
  </r>
  <r>
    <n v="847"/>
    <n v="107"/>
    <n v="5"/>
    <n v="760"/>
    <s v="ADJUSTMENT"/>
    <n v="-2.23"/>
    <s v="Reverso por cancelación de compra #760: Cliente canceló la operación"/>
    <d v="2026-01-03T15:48:59"/>
    <x v="3"/>
    <n v="0"/>
    <n v="0"/>
  </r>
  <r>
    <n v="848"/>
    <n v="16"/>
    <n v="2"/>
    <n v="784"/>
    <s v="EARNED"/>
    <n v="12.73"/>
    <s v=""/>
    <d v="2026-01-03T16:04:03"/>
    <x v="3"/>
    <n v="12.73"/>
    <n v="0"/>
  </r>
  <r>
    <n v="849"/>
    <n v="240"/>
    <n v="3"/>
    <n v="768"/>
    <s v="ADJUSTMENT"/>
    <n v="-10.98"/>
    <s v="Reverso por cancelación de compra #768: Solicitud del cliente"/>
    <d v="2026-01-03T16:37:12"/>
    <x v="3"/>
    <n v="0"/>
    <n v="0"/>
  </r>
  <r>
    <n v="850"/>
    <n v="137"/>
    <n v="4"/>
    <n v="785"/>
    <s v="EARNED"/>
    <n v="6.08"/>
    <s v=""/>
    <d v="2026-01-03T17:01:45"/>
    <x v="3"/>
    <n v="6.08"/>
    <n v="0"/>
  </r>
  <r>
    <n v="851"/>
    <n v="253"/>
    <n v="1"/>
    <m/>
    <s v="ADJUSTMENT"/>
    <n v="35.76"/>
    <s v="Corrección de saldo detectada en auditoría"/>
    <d v="2026-01-03T18:38:45"/>
    <x v="3"/>
    <n v="0"/>
    <n v="0"/>
  </r>
  <r>
    <n v="852"/>
    <n v="69"/>
    <n v="3"/>
    <n v="776"/>
    <s v="ADJUSTMENT"/>
    <n v="-2.4"/>
    <s v="Reverso por cancelación de compra #776: Cliente canceló la operación"/>
    <d v="2026-01-04T07:27:50"/>
    <x v="3"/>
    <n v="0"/>
    <n v="0"/>
  </r>
  <r>
    <n v="853"/>
    <n v="235"/>
    <n v="5"/>
    <n v="786"/>
    <s v="EARNED"/>
    <n v="1.98"/>
    <s v=""/>
    <d v="2026-01-04T08:07:24"/>
    <x v="3"/>
    <n v="1.98"/>
    <n v="0"/>
  </r>
  <r>
    <n v="854"/>
    <n v="44"/>
    <n v="4"/>
    <n v="787"/>
    <s v="EARNED"/>
    <n v="2.58"/>
    <s v=""/>
    <d v="2026-01-04T08:52:48"/>
    <x v="3"/>
    <n v="2.58"/>
    <n v="0"/>
  </r>
  <r>
    <n v="855"/>
    <n v="136"/>
    <n v="2"/>
    <n v="788"/>
    <s v="EARNED"/>
    <n v="5.72"/>
    <s v=""/>
    <d v="2026-01-04T10:36:25"/>
    <x v="3"/>
    <n v="5.72"/>
    <n v="0"/>
  </r>
  <r>
    <n v="856"/>
    <n v="83"/>
    <n v="5"/>
    <n v="789"/>
    <s v="EARNED"/>
    <n v="2.65"/>
    <s v=""/>
    <d v="2026-01-04T11:57:10"/>
    <x v="3"/>
    <n v="2.65"/>
    <n v="0"/>
  </r>
  <r>
    <n v="857"/>
    <n v="202"/>
    <n v="3"/>
    <n v="790"/>
    <s v="EARNED"/>
    <n v="4.72"/>
    <s v=""/>
    <d v="2026-01-04T12:51:24"/>
    <x v="3"/>
    <n v="4.72"/>
    <n v="0"/>
  </r>
  <r>
    <n v="858"/>
    <n v="27"/>
    <n v="4"/>
    <n v="791"/>
    <s v="EARNED"/>
    <n v="9.52"/>
    <s v=""/>
    <d v="2026-01-04T14:25:15"/>
    <x v="3"/>
    <n v="9.52"/>
    <n v="0"/>
  </r>
  <r>
    <n v="859"/>
    <n v="39"/>
    <n v="2"/>
    <n v="792"/>
    <s v="EARNED"/>
    <n v="18.05"/>
    <s v=""/>
    <d v="2026-01-04T14:27:37"/>
    <x v="3"/>
    <n v="18.05"/>
    <n v="0"/>
  </r>
  <r>
    <n v="860"/>
    <n v="148"/>
    <n v="4"/>
    <n v="793"/>
    <s v="EARNED"/>
    <n v="2.54"/>
    <s v=""/>
    <d v="2026-01-04T16:44:59"/>
    <x v="3"/>
    <n v="2.54"/>
    <n v="0"/>
  </r>
  <r>
    <n v="861"/>
    <n v="148"/>
    <n v="3"/>
    <n v="793"/>
    <s v="ADJUSTMENT"/>
    <n v="-2.54"/>
    <s v="Reverso por cancelación de compra #793: Cliente canceló la operación"/>
    <d v="2026-01-04T21:44:59"/>
    <x v="3"/>
    <n v="0"/>
    <n v="0"/>
  </r>
  <r>
    <n v="862"/>
    <n v="212"/>
    <n v="1"/>
    <m/>
    <s v="ADJUSTMENT"/>
    <n v="30.99"/>
    <s v="Corrección por captura duplicada"/>
    <d v="2026-01-05T01:30:38"/>
    <x v="3"/>
    <n v="0"/>
    <n v="0"/>
  </r>
  <r>
    <n v="863"/>
    <n v="245"/>
    <n v="4"/>
    <n v="794"/>
    <s v="EARNED"/>
    <n v="2.4"/>
    <s v=""/>
    <d v="2026-01-05T07:07:22"/>
    <x v="3"/>
    <n v="2.4"/>
    <n v="0"/>
  </r>
  <r>
    <n v="864"/>
    <n v="39"/>
    <n v="4"/>
    <n v="795"/>
    <s v="EARNED"/>
    <n v="16.8"/>
    <s v=""/>
    <d v="2026-01-05T08:06:34"/>
    <x v="3"/>
    <n v="16.8"/>
    <n v="0"/>
  </r>
  <r>
    <n v="865"/>
    <n v="61"/>
    <n v="4"/>
    <n v="796"/>
    <s v="EARNED"/>
    <n v="13.3"/>
    <s v=""/>
    <d v="2026-01-05T09:43:49"/>
    <x v="3"/>
    <n v="13.3"/>
    <n v="0"/>
  </r>
  <r>
    <n v="866"/>
    <n v="235"/>
    <n v="3"/>
    <n v="797"/>
    <s v="EARNED"/>
    <n v="1.95"/>
    <s v=""/>
    <d v="2026-01-05T10:00:33"/>
    <x v="3"/>
    <n v="1.95"/>
    <n v="0"/>
  </r>
  <r>
    <n v="867"/>
    <n v="95"/>
    <n v="5"/>
    <n v="798"/>
    <s v="EARNED"/>
    <n v="26.24"/>
    <s v=""/>
    <d v="2026-01-05T11:40:25"/>
    <x v="3"/>
    <n v="26.24"/>
    <n v="0"/>
  </r>
  <r>
    <n v="868"/>
    <n v="247"/>
    <n v="4"/>
    <n v="799"/>
    <s v="EARNED"/>
    <n v="4.88"/>
    <s v=""/>
    <d v="2026-01-05T11:47:49"/>
    <x v="3"/>
    <n v="4.88"/>
    <n v="0"/>
  </r>
  <r>
    <n v="869"/>
    <n v="18"/>
    <n v="3"/>
    <n v="800"/>
    <s v="EARNED"/>
    <n v="13.67"/>
    <s v=""/>
    <d v="2026-01-05T16:11:28"/>
    <x v="3"/>
    <n v="13.67"/>
    <n v="0"/>
  </r>
  <r>
    <n v="870"/>
    <n v="241"/>
    <n v="3"/>
    <n v="801"/>
    <s v="EARNED"/>
    <n v="2.5299999999999998"/>
    <s v=""/>
    <d v="2026-01-05T16:35:14"/>
    <x v="3"/>
    <n v="2.5299999999999998"/>
    <n v="0"/>
  </r>
  <r>
    <n v="871"/>
    <n v="189"/>
    <n v="1"/>
    <m/>
    <s v="ADJUSTMENT"/>
    <n v="8.36"/>
    <s v="Corrección por captura duplicada"/>
    <d v="2026-01-05T18:10:54"/>
    <x v="3"/>
    <n v="0"/>
    <n v="0"/>
  </r>
  <r>
    <n v="872"/>
    <n v="48"/>
    <n v="4"/>
    <n v="802"/>
    <s v="EARNED"/>
    <n v="4.4400000000000004"/>
    <s v=""/>
    <d v="2026-01-06T07:21:26"/>
    <x v="3"/>
    <n v="4.4400000000000004"/>
    <n v="0"/>
  </r>
  <r>
    <n v="873"/>
    <n v="252"/>
    <n v="4"/>
    <n v="803"/>
    <s v="EARNED"/>
    <n v="3.01"/>
    <s v=""/>
    <d v="2026-01-06T08:21:10"/>
    <x v="3"/>
    <n v="3.01"/>
    <n v="0"/>
  </r>
  <r>
    <n v="874"/>
    <n v="136"/>
    <n v="2"/>
    <n v="804"/>
    <s v="EARNED"/>
    <n v="6.75"/>
    <s v=""/>
    <d v="2026-01-06T09:41:43"/>
    <x v="3"/>
    <n v="6.75"/>
    <n v="0"/>
  </r>
  <r>
    <n v="875"/>
    <n v="136"/>
    <n v="3"/>
    <n v="805"/>
    <s v="EARNED"/>
    <n v="6.95"/>
    <s v=""/>
    <d v="2026-01-06T10:19:11"/>
    <x v="3"/>
    <n v="6.95"/>
    <n v="0"/>
  </r>
  <r>
    <n v="876"/>
    <n v="97"/>
    <n v="4"/>
    <n v="806"/>
    <s v="EARNED"/>
    <n v="6.93"/>
    <s v=""/>
    <d v="2026-01-06T10:25:51"/>
    <x v="3"/>
    <n v="6.93"/>
    <n v="0"/>
  </r>
  <r>
    <n v="877"/>
    <n v="65"/>
    <n v="2"/>
    <n v="807"/>
    <s v="EARNED"/>
    <n v="5.66"/>
    <s v=""/>
    <d v="2026-01-06T10:39:21"/>
    <x v="3"/>
    <n v="5.66"/>
    <n v="0"/>
  </r>
  <r>
    <n v="878"/>
    <n v="18"/>
    <n v="3"/>
    <n v="808"/>
    <s v="EARNED"/>
    <n v="9.2100000000000009"/>
    <s v=""/>
    <d v="2026-01-06T11:06:35"/>
    <x v="3"/>
    <n v="9.2100000000000009"/>
    <n v="0"/>
  </r>
  <r>
    <n v="879"/>
    <n v="207"/>
    <n v="3"/>
    <n v="809"/>
    <s v="EARNED"/>
    <n v="4.7300000000000004"/>
    <s v=""/>
    <d v="2026-01-06T11:15:33"/>
    <x v="3"/>
    <n v="4.7300000000000004"/>
    <n v="0"/>
  </r>
  <r>
    <n v="880"/>
    <n v="202"/>
    <n v="2"/>
    <n v="810"/>
    <s v="EARNED"/>
    <n v="2.98"/>
    <s v=""/>
    <d v="2026-01-06T13:59:30"/>
    <x v="3"/>
    <n v="2.98"/>
    <n v="0"/>
  </r>
  <r>
    <n v="881"/>
    <n v="117"/>
    <n v="4"/>
    <n v="811"/>
    <s v="EARNED"/>
    <n v="10.11"/>
    <s v=""/>
    <d v="2026-01-06T15:36:38"/>
    <x v="3"/>
    <n v="10.11"/>
    <n v="0"/>
  </r>
  <r>
    <n v="882"/>
    <n v="58"/>
    <n v="3"/>
    <n v="812"/>
    <s v="EARNED"/>
    <n v="7.4"/>
    <s v=""/>
    <d v="2026-01-06T15:57:41"/>
    <x v="3"/>
    <n v="7.4"/>
    <n v="0"/>
  </r>
  <r>
    <n v="883"/>
    <n v="245"/>
    <n v="5"/>
    <n v="794"/>
    <s v="ADJUSTMENT"/>
    <n v="-2.4"/>
    <s v="Reverso por cancelación de compra #794: Cliente canceló la operación"/>
    <d v="2026-01-06T17:07:22"/>
    <x v="3"/>
    <n v="0"/>
    <n v="0"/>
  </r>
  <r>
    <n v="884"/>
    <n v="39"/>
    <n v="2"/>
    <n v="795"/>
    <s v="ADJUSTMENT"/>
    <n v="-16.8"/>
    <s v="Reverso por cancelación de compra #795: Error de captura"/>
    <d v="2026-01-06T18:06:34"/>
    <x v="3"/>
    <n v="0"/>
    <n v="0"/>
  </r>
  <r>
    <n v="885"/>
    <n v="87"/>
    <n v="2"/>
    <n v="813"/>
    <s v="EARNED"/>
    <n v="3.93"/>
    <s v=""/>
    <d v="2026-01-06T18:11:10"/>
    <x v="3"/>
    <n v="3.93"/>
    <n v="0"/>
  </r>
  <r>
    <n v="886"/>
    <n v="87"/>
    <n v="5"/>
    <n v="814"/>
    <s v="EARNED"/>
    <n v="22"/>
    <s v=""/>
    <d v="2026-01-06T18:22:30"/>
    <x v="3"/>
    <n v="22"/>
    <n v="0"/>
  </r>
  <r>
    <n v="887"/>
    <n v="151"/>
    <n v="2"/>
    <n v="815"/>
    <s v="EARNED"/>
    <n v="14.17"/>
    <s v=""/>
    <d v="2026-01-06T18:33:42"/>
    <x v="3"/>
    <n v="14.17"/>
    <n v="0"/>
  </r>
  <r>
    <n v="888"/>
    <n v="59"/>
    <n v="3"/>
    <n v="816"/>
    <s v="EARNED"/>
    <n v="3.08"/>
    <s v=""/>
    <d v="2026-01-07T07:04:53"/>
    <x v="3"/>
    <n v="3.08"/>
    <n v="0"/>
  </r>
  <r>
    <n v="889"/>
    <n v="136"/>
    <n v="3"/>
    <n v="804"/>
    <s v="ADJUSTMENT"/>
    <n v="-6.75"/>
    <s v="Reverso por cancelación de compra #804: Monto duplicado por error de sistema"/>
    <d v="2026-01-07T09:41:43"/>
    <x v="3"/>
    <n v="0"/>
    <n v="0"/>
  </r>
  <r>
    <n v="890"/>
    <n v="136"/>
    <n v="3"/>
    <n v="817"/>
    <s v="EARNED"/>
    <n v="9.8800000000000008"/>
    <s v=""/>
    <d v="2026-01-07T09:42:13"/>
    <x v="3"/>
    <n v="9.8800000000000008"/>
    <n v="0"/>
  </r>
  <r>
    <n v="891"/>
    <n v="240"/>
    <n v="5"/>
    <n v="818"/>
    <s v="EARNED"/>
    <n v="23.12"/>
    <s v=""/>
    <d v="2026-01-07T09:53:15"/>
    <x v="3"/>
    <n v="23.12"/>
    <n v="0"/>
  </r>
  <r>
    <n v="892"/>
    <n v="240"/>
    <n v="4"/>
    <n v="819"/>
    <s v="EARNED"/>
    <n v="11.93"/>
    <s v=""/>
    <d v="2026-01-07T11:24:10"/>
    <x v="3"/>
    <n v="11.93"/>
    <n v="0"/>
  </r>
  <r>
    <n v="893"/>
    <n v="217"/>
    <n v="3"/>
    <n v="820"/>
    <s v="EARNED"/>
    <n v="2.82"/>
    <s v=""/>
    <d v="2026-01-07T14:35:57"/>
    <x v="3"/>
    <n v="2.82"/>
    <n v="0"/>
  </r>
  <r>
    <n v="894"/>
    <n v="106"/>
    <n v="2"/>
    <n v="821"/>
    <s v="EARNED"/>
    <n v="6.77"/>
    <s v=""/>
    <d v="2026-01-07T15:21:59"/>
    <x v="3"/>
    <n v="6.77"/>
    <n v="0"/>
  </r>
  <r>
    <n v="895"/>
    <n v="16"/>
    <n v="3"/>
    <n v="822"/>
    <s v="EARNED"/>
    <n v="26.94"/>
    <s v=""/>
    <d v="2026-01-07T15:32:06"/>
    <x v="3"/>
    <n v="26.94"/>
    <n v="0"/>
  </r>
  <r>
    <n v="896"/>
    <n v="297"/>
    <n v="4"/>
    <n v="823"/>
    <s v="EARNED"/>
    <n v="9.65"/>
    <s v=""/>
    <d v="2026-01-07T15:37:01"/>
    <x v="3"/>
    <n v="9.65"/>
    <n v="0"/>
  </r>
  <r>
    <n v="897"/>
    <n v="87"/>
    <n v="3"/>
    <n v="824"/>
    <s v="EARNED"/>
    <n v="6.41"/>
    <s v=""/>
    <d v="2026-01-07T15:56:21"/>
    <x v="3"/>
    <n v="6.41"/>
    <n v="0"/>
  </r>
  <r>
    <n v="898"/>
    <n v="230"/>
    <n v="5"/>
    <n v="825"/>
    <s v="EARNED"/>
    <n v="20.37"/>
    <s v=""/>
    <d v="2026-01-07T17:57:43"/>
    <x v="3"/>
    <n v="20.37"/>
    <n v="0"/>
  </r>
  <r>
    <n v="899"/>
    <n v="87"/>
    <n v="3"/>
    <n v="814"/>
    <s v="ADJUSTMENT"/>
    <n v="-22"/>
    <s v="Reverso por cancelación de compra #814: Cliente canceló la operación"/>
    <d v="2026-01-08T00:22:30"/>
    <x v="3"/>
    <n v="0"/>
    <n v="0"/>
  </r>
  <r>
    <n v="900"/>
    <n v="136"/>
    <n v="4"/>
    <n v="817"/>
    <s v="ADJUSTMENT"/>
    <n v="-9.8800000000000008"/>
    <s v="Reverso por cancelación de compra #817: Error de captura"/>
    <d v="2026-01-08T02:42:13"/>
    <x v="3"/>
    <n v="0"/>
    <n v="0"/>
  </r>
  <r>
    <n v="901"/>
    <n v="13"/>
    <n v="3"/>
    <n v="826"/>
    <s v="EARNED"/>
    <n v="4.03"/>
    <s v=""/>
    <d v="2026-01-08T07:38:14"/>
    <x v="3"/>
    <n v="4.03"/>
    <n v="0"/>
  </r>
  <r>
    <n v="902"/>
    <n v="136"/>
    <n v="5"/>
    <n v="827"/>
    <s v="EARNED"/>
    <n v="14.05"/>
    <s v=""/>
    <d v="2026-01-08T08:14:02"/>
    <x v="3"/>
    <n v="14.05"/>
    <n v="0"/>
  </r>
  <r>
    <n v="903"/>
    <n v="65"/>
    <n v="4"/>
    <n v="828"/>
    <s v="EARNED"/>
    <n v="3.84"/>
    <s v=""/>
    <d v="2026-01-08T09:48:28"/>
    <x v="3"/>
    <n v="3.84"/>
    <n v="0"/>
  </r>
  <r>
    <n v="904"/>
    <n v="137"/>
    <n v="3"/>
    <n v="829"/>
    <s v="EARNED"/>
    <n v="3.42"/>
    <s v=""/>
    <d v="2026-01-08T10:02:44"/>
    <x v="3"/>
    <n v="3.42"/>
    <n v="0"/>
  </r>
  <r>
    <n v="905"/>
    <n v="209"/>
    <n v="2"/>
    <n v="830"/>
    <s v="EARNED"/>
    <n v="23.44"/>
    <s v=""/>
    <d v="2026-01-08T11:01:55"/>
    <x v="3"/>
    <n v="23.44"/>
    <n v="0"/>
  </r>
  <r>
    <n v="906"/>
    <n v="135"/>
    <n v="3"/>
    <n v="831"/>
    <s v="EARNED"/>
    <n v="12.98"/>
    <s v=""/>
    <d v="2026-01-08T11:23:51"/>
    <x v="3"/>
    <n v="12.98"/>
    <n v="0"/>
  </r>
  <r>
    <n v="907"/>
    <n v="144"/>
    <n v="2"/>
    <n v="832"/>
    <s v="EARNED"/>
    <n v="7.17"/>
    <s v=""/>
    <d v="2026-01-08T12:15:11"/>
    <x v="3"/>
    <n v="7.17"/>
    <n v="0"/>
  </r>
  <r>
    <n v="908"/>
    <n v="197"/>
    <n v="3"/>
    <n v="833"/>
    <s v="EARNED"/>
    <n v="6.6"/>
    <s v=""/>
    <d v="2026-01-08T12:55:23"/>
    <x v="3"/>
    <n v="6.6"/>
    <n v="0"/>
  </r>
  <r>
    <n v="909"/>
    <n v="44"/>
    <n v="4"/>
    <n v="834"/>
    <s v="EARNED"/>
    <n v="2.29"/>
    <s v=""/>
    <d v="2026-01-08T13:13:16"/>
    <x v="3"/>
    <n v="2.29"/>
    <n v="0"/>
  </r>
  <r>
    <n v="910"/>
    <n v="290"/>
    <n v="1"/>
    <m/>
    <s v="ADJUSTMENT"/>
    <n v="-20.329999999999998"/>
    <s v="Corrección por captura duplicada"/>
    <d v="2026-01-08T14:21:34"/>
    <x v="3"/>
    <n v="0"/>
    <n v="0"/>
  </r>
  <r>
    <n v="911"/>
    <n v="209"/>
    <n v="5"/>
    <n v="835"/>
    <s v="EARNED"/>
    <n v="25.88"/>
    <s v=""/>
    <d v="2026-01-08T16:34:07"/>
    <x v="3"/>
    <n v="25.88"/>
    <n v="0"/>
  </r>
  <r>
    <n v="912"/>
    <n v="297"/>
    <n v="3"/>
    <n v="836"/>
    <s v="EARNED"/>
    <n v="7.11"/>
    <s v=""/>
    <d v="2026-01-08T16:41:15"/>
    <x v="3"/>
    <n v="7.11"/>
    <n v="0"/>
  </r>
  <r>
    <n v="913"/>
    <n v="244"/>
    <n v="3"/>
    <n v="837"/>
    <s v="EARNED"/>
    <n v="12.47"/>
    <s v=""/>
    <d v="2026-01-08T17:42:23"/>
    <x v="3"/>
    <n v="12.47"/>
    <n v="0"/>
  </r>
  <r>
    <n v="914"/>
    <n v="14"/>
    <n v="2"/>
    <n v="838"/>
    <s v="EARNED"/>
    <n v="4.9400000000000004"/>
    <s v=""/>
    <d v="2026-01-08T18:36:23"/>
    <x v="3"/>
    <n v="4.9400000000000004"/>
    <n v="0"/>
  </r>
  <r>
    <n v="915"/>
    <n v="230"/>
    <n v="5"/>
    <n v="825"/>
    <s v="ADJUSTMENT"/>
    <n v="-20.37"/>
    <s v="Reverso por cancelación de compra #825: Solicitud del cliente"/>
    <d v="2026-01-08T19:57:43"/>
    <x v="3"/>
    <n v="0"/>
    <n v="0"/>
  </r>
  <r>
    <n v="916"/>
    <n v="14"/>
    <n v="2"/>
    <n v="838"/>
    <s v="ADJUSTMENT"/>
    <n v="-4.9400000000000004"/>
    <s v="Reverso por cancelación de compra #838: Error de captura"/>
    <d v="2026-01-09T01:36:23"/>
    <x v="3"/>
    <n v="0"/>
    <n v="0"/>
  </r>
  <r>
    <n v="917"/>
    <n v="186"/>
    <n v="3"/>
    <n v="839"/>
    <s v="EARNED"/>
    <n v="8.06"/>
    <s v=""/>
    <d v="2026-01-09T07:28:24"/>
    <x v="3"/>
    <n v="8.06"/>
    <n v="0"/>
  </r>
  <r>
    <n v="918"/>
    <n v="49"/>
    <n v="3"/>
    <n v="840"/>
    <s v="EARNED"/>
    <n v="10.46"/>
    <s v=""/>
    <d v="2026-01-09T10:51:06"/>
    <x v="3"/>
    <n v="10.46"/>
    <n v="0"/>
  </r>
  <r>
    <n v="919"/>
    <n v="106"/>
    <n v="5"/>
    <n v="841"/>
    <s v="EARNED"/>
    <n v="8.98"/>
    <s v=""/>
    <d v="2026-01-09T13:10:49"/>
    <x v="3"/>
    <n v="8.98"/>
    <n v="0"/>
  </r>
  <r>
    <n v="920"/>
    <n v="11"/>
    <n v="5"/>
    <n v="842"/>
    <s v="EARNED"/>
    <n v="11.57"/>
    <s v=""/>
    <d v="2026-01-09T14:12:20"/>
    <x v="3"/>
    <n v="11.57"/>
    <n v="0"/>
  </r>
  <r>
    <n v="921"/>
    <n v="44"/>
    <n v="4"/>
    <n v="834"/>
    <s v="ADJUSTMENT"/>
    <n v="-2.29"/>
    <s v="Reverso por cancelación de compra #834: Monto duplicado por error de sistema"/>
    <d v="2026-01-09T15:13:16"/>
    <x v="3"/>
    <n v="0"/>
    <n v="0"/>
  </r>
  <r>
    <n v="922"/>
    <n v="80"/>
    <n v="2"/>
    <n v="843"/>
    <s v="EARNED"/>
    <n v="3.84"/>
    <s v=""/>
    <d v="2026-01-09T16:10:44"/>
    <x v="3"/>
    <n v="3.84"/>
    <n v="0"/>
  </r>
  <r>
    <n v="923"/>
    <n v="152"/>
    <n v="2"/>
    <n v="844"/>
    <s v="EARNED"/>
    <n v="19.91"/>
    <s v=""/>
    <d v="2026-01-09T16:32:25"/>
    <x v="3"/>
    <n v="19.91"/>
    <n v="0"/>
  </r>
  <r>
    <n v="924"/>
    <n v="252"/>
    <n v="2"/>
    <n v="845"/>
    <s v="EARNED"/>
    <n v="3.94"/>
    <s v=""/>
    <d v="2026-01-09T16:32:32"/>
    <x v="3"/>
    <n v="3.94"/>
    <n v="0"/>
  </r>
  <r>
    <n v="925"/>
    <n v="215"/>
    <n v="1"/>
    <m/>
    <s v="ADJUSTMENT"/>
    <n v="25.36"/>
    <s v="Promoción especial de aniversario"/>
    <d v="2026-01-10T04:48:29"/>
    <x v="3"/>
    <n v="0"/>
    <n v="0"/>
  </r>
  <r>
    <n v="926"/>
    <n v="12"/>
    <n v="5"/>
    <n v="846"/>
    <s v="EARNED"/>
    <n v="4"/>
    <s v=""/>
    <d v="2026-01-10T08:10:45"/>
    <x v="3"/>
    <n v="4"/>
    <n v="0"/>
  </r>
  <r>
    <n v="927"/>
    <n v="244"/>
    <n v="5"/>
    <n v="847"/>
    <s v="EARNED"/>
    <n v="7.63"/>
    <s v=""/>
    <d v="2026-01-10T08:17:17"/>
    <x v="3"/>
    <n v="7.63"/>
    <n v="0"/>
  </r>
  <r>
    <n v="928"/>
    <n v="304"/>
    <n v="5"/>
    <n v="848"/>
    <s v="EARNED"/>
    <n v="5.33"/>
    <s v=""/>
    <d v="2026-01-10T08:24:21"/>
    <x v="3"/>
    <n v="5.33"/>
    <n v="0"/>
  </r>
  <r>
    <n v="929"/>
    <n v="8"/>
    <n v="2"/>
    <n v="849"/>
    <s v="EARNED"/>
    <n v="2.78"/>
    <s v=""/>
    <d v="2026-01-10T09:02:19"/>
    <x v="3"/>
    <n v="2.78"/>
    <n v="0"/>
  </r>
  <r>
    <n v="930"/>
    <n v="117"/>
    <n v="3"/>
    <n v="850"/>
    <s v="REDEEMED"/>
    <n v="60.12"/>
    <s v=""/>
    <d v="2026-01-10T10:37:15"/>
    <x v="3"/>
    <n v="0"/>
    <n v="60.12"/>
  </r>
  <r>
    <n v="931"/>
    <n v="29"/>
    <n v="3"/>
    <n v="851"/>
    <s v="EARNED"/>
    <n v="2.27"/>
    <s v=""/>
    <d v="2026-01-10T11:59:18"/>
    <x v="3"/>
    <n v="2.27"/>
    <n v="0"/>
  </r>
  <r>
    <n v="932"/>
    <n v="39"/>
    <n v="5"/>
    <n v="852"/>
    <s v="REDEEMED"/>
    <n v="134.28"/>
    <s v=""/>
    <d v="2026-01-10T12:24:17"/>
    <x v="3"/>
    <n v="0"/>
    <n v="134.28"/>
  </r>
  <r>
    <n v="933"/>
    <n v="18"/>
    <n v="4"/>
    <n v="853"/>
    <s v="EARNED"/>
    <n v="16.23"/>
    <s v=""/>
    <d v="2026-01-10T13:27:04"/>
    <x v="3"/>
    <n v="16.23"/>
    <n v="0"/>
  </r>
  <r>
    <n v="934"/>
    <n v="244"/>
    <n v="3"/>
    <n v="854"/>
    <s v="EARNED"/>
    <n v="14.14"/>
    <s v=""/>
    <d v="2026-01-10T14:56:51"/>
    <x v="3"/>
    <n v="14.14"/>
    <n v="0"/>
  </r>
  <r>
    <n v="935"/>
    <n v="247"/>
    <n v="4"/>
    <n v="855"/>
    <s v="EARNED"/>
    <n v="4.13"/>
    <s v=""/>
    <d v="2026-01-10T15:31:09"/>
    <x v="3"/>
    <n v="4.13"/>
    <n v="0"/>
  </r>
  <r>
    <n v="936"/>
    <n v="34"/>
    <n v="3"/>
    <n v="856"/>
    <s v="EARNED"/>
    <n v="22.14"/>
    <s v=""/>
    <d v="2026-01-10T15:44:55"/>
    <x v="3"/>
    <n v="22.14"/>
    <n v="0"/>
  </r>
  <r>
    <n v="937"/>
    <n v="12"/>
    <n v="2"/>
    <n v="846"/>
    <s v="ADJUSTMENT"/>
    <n v="-4"/>
    <s v="Reverso por cancelación de compra #846: Cliente canceló la operación"/>
    <d v="2026-01-10T16:10:45"/>
    <x v="3"/>
    <n v="0"/>
    <n v="0"/>
  </r>
  <r>
    <n v="938"/>
    <n v="148"/>
    <n v="3"/>
    <n v="857"/>
    <s v="EARNED"/>
    <n v="3.82"/>
    <s v=""/>
    <d v="2026-01-10T17:02:39"/>
    <x v="3"/>
    <n v="3.82"/>
    <n v="0"/>
  </r>
  <r>
    <n v="939"/>
    <n v="152"/>
    <n v="5"/>
    <n v="858"/>
    <s v="EARNED"/>
    <n v="22.03"/>
    <s v=""/>
    <d v="2026-01-10T17:08:14"/>
    <x v="3"/>
    <n v="22.03"/>
    <n v="0"/>
  </r>
  <r>
    <n v="940"/>
    <n v="87"/>
    <n v="2"/>
    <n v="859"/>
    <s v="EARNED"/>
    <n v="7.85"/>
    <s v=""/>
    <d v="2026-01-10T18:25:18"/>
    <x v="3"/>
    <n v="7.85"/>
    <n v="0"/>
  </r>
  <r>
    <n v="941"/>
    <n v="247"/>
    <n v="4"/>
    <n v="855"/>
    <s v="ADJUSTMENT"/>
    <n v="-4.13"/>
    <s v="Reverso por cancelación de compra #855: Monto duplicado por error de sistema"/>
    <d v="2026-01-11T02:31:09"/>
    <x v="3"/>
    <n v="0"/>
    <n v="0"/>
  </r>
  <r>
    <n v="942"/>
    <n v="270"/>
    <n v="1"/>
    <m/>
    <s v="ADJUSTMENT"/>
    <n v="13.61"/>
    <s v="Promoción especial de aniversario"/>
    <d v="2026-01-11T05:58:51"/>
    <x v="3"/>
    <n v="0"/>
    <n v="0"/>
  </r>
  <r>
    <n v="943"/>
    <n v="96"/>
    <n v="3"/>
    <n v="860"/>
    <s v="EARNED"/>
    <n v="12.2"/>
    <s v=""/>
    <d v="2026-01-11T08:29:29"/>
    <x v="3"/>
    <n v="12.2"/>
    <n v="0"/>
  </r>
  <r>
    <n v="944"/>
    <n v="39"/>
    <n v="2"/>
    <n v="861"/>
    <s v="EARNED"/>
    <n v="13.79"/>
    <s v=""/>
    <d v="2026-01-11T10:05:04"/>
    <x v="3"/>
    <n v="13.79"/>
    <n v="0"/>
  </r>
  <r>
    <n v="945"/>
    <n v="64"/>
    <n v="4"/>
    <n v="862"/>
    <s v="EARNED"/>
    <n v="3.97"/>
    <s v=""/>
    <d v="2026-01-11T10:26:15"/>
    <x v="3"/>
    <n v="3.97"/>
    <n v="0"/>
  </r>
  <r>
    <n v="946"/>
    <n v="24"/>
    <n v="2"/>
    <n v="863"/>
    <s v="EARNED"/>
    <n v="30"/>
    <s v=""/>
    <d v="2026-01-11T16:30:14"/>
    <x v="3"/>
    <n v="30"/>
    <n v="0"/>
  </r>
  <r>
    <n v="947"/>
    <n v="40"/>
    <n v="4"/>
    <n v="864"/>
    <s v="EARNED"/>
    <n v="9.0299999999999994"/>
    <s v=""/>
    <d v="2026-01-11T16:57:34"/>
    <x v="3"/>
    <n v="9.0299999999999994"/>
    <n v="0"/>
  </r>
  <r>
    <n v="948"/>
    <n v="163"/>
    <n v="1"/>
    <m/>
    <s v="ADJUSTMENT"/>
    <n v="33.33"/>
    <s v="Corrección por captura duplicada"/>
    <d v="2026-01-12T07:35:57"/>
    <x v="3"/>
    <n v="0"/>
    <n v="0"/>
  </r>
  <r>
    <n v="949"/>
    <n v="117"/>
    <n v="2"/>
    <n v="850"/>
    <s v="ADJUSTMENT"/>
    <n v="60.12"/>
    <s v="Reverso por cancelación de compra #850: Solicitud del cliente"/>
    <d v="2026-01-12T07:37:15"/>
    <x v="3"/>
    <n v="0"/>
    <n v="0"/>
  </r>
  <r>
    <n v="950"/>
    <n v="287"/>
    <n v="4"/>
    <n v="865"/>
    <s v="EARNED"/>
    <n v="2.31"/>
    <s v=""/>
    <d v="2026-01-12T07:37:40"/>
    <x v="3"/>
    <n v="2.31"/>
    <n v="0"/>
  </r>
  <r>
    <n v="951"/>
    <n v="300"/>
    <n v="5"/>
    <n v="866"/>
    <s v="EARNED"/>
    <n v="11.31"/>
    <s v=""/>
    <d v="2026-01-12T08:28:38"/>
    <x v="3"/>
    <n v="11.31"/>
    <n v="0"/>
  </r>
  <r>
    <n v="952"/>
    <n v="51"/>
    <n v="4"/>
    <n v="867"/>
    <s v="EARNED"/>
    <n v="12.6"/>
    <s v=""/>
    <d v="2026-01-12T08:38:54"/>
    <x v="3"/>
    <n v="12.6"/>
    <n v="0"/>
  </r>
  <r>
    <n v="953"/>
    <n v="137"/>
    <n v="2"/>
    <n v="868"/>
    <s v="EARNED"/>
    <n v="4.1100000000000003"/>
    <s v=""/>
    <d v="2026-01-12T11:10:54"/>
    <x v="3"/>
    <n v="4.1100000000000003"/>
    <n v="0"/>
  </r>
  <r>
    <n v="954"/>
    <n v="138"/>
    <n v="3"/>
    <n v="869"/>
    <s v="EARNED"/>
    <n v="2.91"/>
    <s v=""/>
    <d v="2026-01-12T13:04:13"/>
    <x v="3"/>
    <n v="2.91"/>
    <n v="0"/>
  </r>
  <r>
    <n v="955"/>
    <n v="31"/>
    <n v="2"/>
    <n v="870"/>
    <s v="EARNED"/>
    <n v="2.6"/>
    <s v=""/>
    <d v="2026-01-12T14:06:48"/>
    <x v="3"/>
    <n v="2.6"/>
    <n v="0"/>
  </r>
  <r>
    <n v="956"/>
    <n v="240"/>
    <n v="2"/>
    <n v="871"/>
    <s v="EARNED"/>
    <n v="16.07"/>
    <s v=""/>
    <d v="2026-01-12T14:08:33"/>
    <x v="3"/>
    <n v="16.07"/>
    <n v="0"/>
  </r>
  <r>
    <n v="957"/>
    <n v="293"/>
    <n v="5"/>
    <n v="872"/>
    <s v="EARNED"/>
    <n v="3.02"/>
    <s v=""/>
    <d v="2026-01-12T14:19:43"/>
    <x v="3"/>
    <n v="3.02"/>
    <n v="0"/>
  </r>
  <r>
    <n v="958"/>
    <n v="155"/>
    <n v="2"/>
    <n v="873"/>
    <s v="EARNED"/>
    <n v="6.94"/>
    <s v=""/>
    <d v="2026-01-12T15:43:27"/>
    <x v="3"/>
    <n v="6.94"/>
    <n v="0"/>
  </r>
  <r>
    <n v="959"/>
    <n v="297"/>
    <n v="5"/>
    <n v="874"/>
    <s v="EARNED"/>
    <n v="5.63"/>
    <s v=""/>
    <d v="2026-01-12T15:54:36"/>
    <x v="3"/>
    <n v="5.63"/>
    <n v="0"/>
  </r>
  <r>
    <n v="960"/>
    <n v="265"/>
    <n v="4"/>
    <n v="875"/>
    <s v="EARNED"/>
    <n v="12.43"/>
    <s v=""/>
    <d v="2026-01-12T16:48:42"/>
    <x v="3"/>
    <n v="12.43"/>
    <n v="0"/>
  </r>
  <r>
    <n v="961"/>
    <n v="39"/>
    <n v="4"/>
    <n v="876"/>
    <s v="EARNED"/>
    <n v="17.55"/>
    <s v=""/>
    <d v="2026-01-12T17:26:16"/>
    <x v="3"/>
    <n v="17.55"/>
    <n v="0"/>
  </r>
  <r>
    <n v="962"/>
    <n v="192"/>
    <n v="5"/>
    <n v="877"/>
    <s v="EARNED"/>
    <n v="6.34"/>
    <s v=""/>
    <d v="2026-01-12T18:27:37"/>
    <x v="3"/>
    <n v="6.34"/>
    <n v="0"/>
  </r>
  <r>
    <n v="963"/>
    <n v="64"/>
    <n v="1"/>
    <m/>
    <s v="ADJUSTMENT"/>
    <n v="30.29"/>
    <s v="Compensación por falla en la bomba"/>
    <d v="2026-01-13T00:36:28"/>
    <x v="3"/>
    <n v="0"/>
    <n v="0"/>
  </r>
  <r>
    <n v="964"/>
    <n v="136"/>
    <n v="2"/>
    <n v="878"/>
    <s v="EARNED"/>
    <n v="8.8800000000000008"/>
    <s v=""/>
    <d v="2026-01-13T07:38:32"/>
    <x v="3"/>
    <n v="8.8800000000000008"/>
    <n v="0"/>
  </r>
  <r>
    <n v="965"/>
    <n v="234"/>
    <n v="2"/>
    <n v="879"/>
    <s v="EARNED"/>
    <n v="27.17"/>
    <s v=""/>
    <d v="2026-01-13T08:23:29"/>
    <x v="3"/>
    <n v="27.17"/>
    <n v="0"/>
  </r>
  <r>
    <n v="966"/>
    <n v="241"/>
    <n v="3"/>
    <n v="880"/>
    <s v="EARNED"/>
    <n v="2.76"/>
    <s v=""/>
    <d v="2026-01-13T08:32:04"/>
    <x v="3"/>
    <n v="2.76"/>
    <n v="0"/>
  </r>
  <r>
    <n v="967"/>
    <n v="262"/>
    <n v="5"/>
    <n v="881"/>
    <s v="EARNED"/>
    <n v="11.14"/>
    <s v=""/>
    <d v="2026-01-13T09:18:39"/>
    <x v="3"/>
    <n v="11.14"/>
    <n v="0"/>
  </r>
  <r>
    <n v="968"/>
    <n v="101"/>
    <n v="4"/>
    <n v="882"/>
    <s v="EARNED"/>
    <n v="2.86"/>
    <s v=""/>
    <d v="2026-01-13T10:05:26"/>
    <x v="3"/>
    <n v="2.86"/>
    <n v="0"/>
  </r>
  <r>
    <n v="969"/>
    <n v="39"/>
    <n v="3"/>
    <n v="883"/>
    <s v="EARNED"/>
    <n v="30"/>
    <s v=""/>
    <d v="2026-01-13T12:14:56"/>
    <x v="3"/>
    <n v="30"/>
    <n v="0"/>
  </r>
  <r>
    <n v="970"/>
    <n v="255"/>
    <n v="5"/>
    <n v="884"/>
    <s v="EARNED"/>
    <n v="2.86"/>
    <s v=""/>
    <d v="2026-01-13T13:20:59"/>
    <x v="3"/>
    <n v="2.86"/>
    <n v="0"/>
  </r>
  <r>
    <n v="971"/>
    <n v="39"/>
    <n v="5"/>
    <n v="885"/>
    <s v="EARNED"/>
    <n v="30"/>
    <s v=""/>
    <d v="2026-01-13T14:09:55"/>
    <x v="3"/>
    <n v="30"/>
    <n v="0"/>
  </r>
  <r>
    <n v="972"/>
    <n v="249"/>
    <n v="2"/>
    <n v="886"/>
    <s v="EARNED"/>
    <n v="13.73"/>
    <s v=""/>
    <d v="2026-01-13T16:24:16"/>
    <x v="3"/>
    <n v="13.73"/>
    <n v="0"/>
  </r>
  <r>
    <n v="973"/>
    <n v="64"/>
    <n v="3"/>
    <n v="887"/>
    <s v="EARNED"/>
    <n v="1.59"/>
    <s v=""/>
    <d v="2026-01-13T16:24:43"/>
    <x v="3"/>
    <n v="1.59"/>
    <n v="0"/>
  </r>
  <r>
    <n v="974"/>
    <n v="14"/>
    <n v="4"/>
    <n v="888"/>
    <s v="EARNED"/>
    <n v="3.23"/>
    <s v=""/>
    <d v="2026-01-13T16:27:38"/>
    <x v="3"/>
    <n v="3.23"/>
    <n v="0"/>
  </r>
  <r>
    <n v="975"/>
    <n v="136"/>
    <n v="5"/>
    <n v="878"/>
    <s v="ADJUSTMENT"/>
    <n v="-8.8800000000000008"/>
    <s v="Reverso por cancelación de compra #878: Monto duplicado por error de sistema"/>
    <d v="2026-01-13T19:38:32"/>
    <x v="3"/>
    <n v="0"/>
    <n v="0"/>
  </r>
  <r>
    <n v="976"/>
    <n v="156"/>
    <n v="2"/>
    <n v="889"/>
    <s v="EARNED"/>
    <n v="4.51"/>
    <s v=""/>
    <d v="2026-01-13T19:44:35"/>
    <x v="3"/>
    <n v="4.51"/>
    <n v="0"/>
  </r>
  <r>
    <n v="977"/>
    <n v="48"/>
    <n v="4"/>
    <n v="890"/>
    <s v="EARNED"/>
    <n v="8.44"/>
    <s v=""/>
    <d v="2026-01-14T07:59:22"/>
    <x v="3"/>
    <n v="8.44"/>
    <n v="0"/>
  </r>
  <r>
    <n v="978"/>
    <n v="28"/>
    <n v="5"/>
    <n v="891"/>
    <s v="EARNED"/>
    <n v="3"/>
    <s v=""/>
    <d v="2026-01-14T08:37:01"/>
    <x v="3"/>
    <n v="3"/>
    <n v="0"/>
  </r>
  <r>
    <n v="979"/>
    <n v="288"/>
    <n v="2"/>
    <n v="892"/>
    <s v="EARNED"/>
    <n v="4.38"/>
    <s v=""/>
    <d v="2026-01-14T09:35:02"/>
    <x v="3"/>
    <n v="4.38"/>
    <n v="0"/>
  </r>
  <r>
    <n v="980"/>
    <n v="202"/>
    <n v="4"/>
    <n v="893"/>
    <s v="EARNED"/>
    <n v="2.3199999999999998"/>
    <s v=""/>
    <d v="2026-01-14T09:37:58"/>
    <x v="3"/>
    <n v="2.3199999999999998"/>
    <n v="0"/>
  </r>
  <r>
    <n v="981"/>
    <n v="255"/>
    <n v="3"/>
    <n v="894"/>
    <s v="EARNED"/>
    <n v="2.9"/>
    <s v=""/>
    <d v="2026-01-14T09:39:28"/>
    <x v="3"/>
    <n v="2.9"/>
    <n v="0"/>
  </r>
  <r>
    <n v="982"/>
    <n v="89"/>
    <n v="3"/>
    <n v="895"/>
    <s v="EARNED"/>
    <n v="17.79"/>
    <s v=""/>
    <d v="2026-01-14T12:50:40"/>
    <x v="3"/>
    <n v="17.79"/>
    <n v="0"/>
  </r>
  <r>
    <n v="983"/>
    <n v="87"/>
    <n v="4"/>
    <n v="896"/>
    <s v="EARNED"/>
    <n v="11.03"/>
    <s v=""/>
    <d v="2026-01-14T14:25:27"/>
    <x v="3"/>
    <n v="11.03"/>
    <n v="0"/>
  </r>
  <r>
    <n v="984"/>
    <n v="264"/>
    <n v="2"/>
    <n v="897"/>
    <s v="EARNED"/>
    <n v="17.14"/>
    <s v=""/>
    <d v="2026-01-14T15:56:17"/>
    <x v="3"/>
    <n v="17.14"/>
    <n v="0"/>
  </r>
  <r>
    <n v="985"/>
    <n v="113"/>
    <n v="4"/>
    <n v="898"/>
    <s v="EARNED"/>
    <n v="2.19"/>
    <s v=""/>
    <d v="2026-01-14T17:13:36"/>
    <x v="3"/>
    <n v="2.19"/>
    <n v="0"/>
  </r>
  <r>
    <n v="986"/>
    <n v="65"/>
    <n v="1"/>
    <m/>
    <s v="ADJUSTMENT"/>
    <n v="11.15"/>
    <s v="Corrección por captura duplicada"/>
    <d v="2026-01-14T17:22:22"/>
    <x v="3"/>
    <n v="0"/>
    <n v="0"/>
  </r>
  <r>
    <n v="987"/>
    <n v="136"/>
    <n v="5"/>
    <n v="899"/>
    <s v="EARNED"/>
    <n v="12.15"/>
    <s v=""/>
    <d v="2026-01-15T08:56:12"/>
    <x v="3"/>
    <n v="12.15"/>
    <n v="0"/>
  </r>
  <r>
    <n v="988"/>
    <n v="6"/>
    <n v="5"/>
    <n v="900"/>
    <s v="EARNED"/>
    <n v="2.19"/>
    <s v=""/>
    <d v="2026-01-15T09:23:29"/>
    <x v="3"/>
    <n v="2.19"/>
    <n v="0"/>
  </r>
  <r>
    <n v="989"/>
    <n v="39"/>
    <n v="5"/>
    <n v="901"/>
    <s v="EARNED"/>
    <n v="22.24"/>
    <s v=""/>
    <d v="2026-01-15T09:43:04"/>
    <x v="3"/>
    <n v="22.24"/>
    <n v="0"/>
  </r>
  <r>
    <n v="990"/>
    <n v="137"/>
    <n v="2"/>
    <n v="902"/>
    <s v="EARNED"/>
    <n v="2.59"/>
    <s v=""/>
    <d v="2026-01-15T09:47:40"/>
    <x v="3"/>
    <n v="2.59"/>
    <n v="0"/>
  </r>
  <r>
    <n v="991"/>
    <n v="137"/>
    <n v="2"/>
    <n v="903"/>
    <s v="EARNED"/>
    <n v="2.57"/>
    <s v=""/>
    <d v="2026-01-15T12:32:16"/>
    <x v="3"/>
    <n v="2.57"/>
    <n v="0"/>
  </r>
  <r>
    <n v="992"/>
    <n v="37"/>
    <n v="3"/>
    <n v="904"/>
    <s v="EARNED"/>
    <n v="7.12"/>
    <s v=""/>
    <d v="2026-01-15T13:53:26"/>
    <x v="3"/>
    <n v="7.12"/>
    <n v="0"/>
  </r>
  <r>
    <n v="993"/>
    <n v="39"/>
    <n v="5"/>
    <n v="905"/>
    <s v="EARNED"/>
    <n v="13.56"/>
    <s v=""/>
    <d v="2026-01-15T15:12:36"/>
    <x v="3"/>
    <n v="13.56"/>
    <n v="0"/>
  </r>
  <r>
    <n v="994"/>
    <n v="117"/>
    <n v="2"/>
    <n v="906"/>
    <s v="REDEEMED"/>
    <n v="172.55"/>
    <s v=""/>
    <d v="2026-01-15T18:39:33"/>
    <x v="3"/>
    <n v="0"/>
    <n v="172.55"/>
  </r>
  <r>
    <n v="995"/>
    <n v="136"/>
    <n v="4"/>
    <n v="907"/>
    <s v="EARNED"/>
    <n v="7.41"/>
    <s v=""/>
    <d v="2026-01-15T18:43:17"/>
    <x v="3"/>
    <n v="7.41"/>
    <n v="0"/>
  </r>
  <r>
    <n v="996"/>
    <n v="279"/>
    <n v="4"/>
    <n v="908"/>
    <s v="EARNED"/>
    <n v="9.9499999999999993"/>
    <s v=""/>
    <d v="2026-01-15T18:51:32"/>
    <x v="3"/>
    <n v="9.9499999999999993"/>
    <n v="0"/>
  </r>
  <r>
    <n v="997"/>
    <n v="39"/>
    <n v="5"/>
    <n v="909"/>
    <s v="EARNED"/>
    <n v="17.84"/>
    <s v=""/>
    <d v="2026-01-16T07:18:20"/>
    <x v="3"/>
    <n v="17.84"/>
    <n v="0"/>
  </r>
  <r>
    <n v="998"/>
    <n v="138"/>
    <n v="2"/>
    <n v="910"/>
    <s v="EARNED"/>
    <n v="3.85"/>
    <s v=""/>
    <d v="2026-01-16T10:46:33"/>
    <x v="3"/>
    <n v="3.85"/>
    <n v="0"/>
  </r>
  <r>
    <n v="999"/>
    <n v="47"/>
    <n v="5"/>
    <n v="911"/>
    <s v="EARNED"/>
    <n v="3.81"/>
    <s v=""/>
    <d v="2026-01-16T12:11:52"/>
    <x v="3"/>
    <n v="3.81"/>
    <n v="0"/>
  </r>
  <r>
    <n v="1000"/>
    <n v="279"/>
    <n v="4"/>
    <n v="912"/>
    <s v="EARNED"/>
    <n v="16.14"/>
    <s v=""/>
    <d v="2026-01-16T16:11:01"/>
    <x v="3"/>
    <n v="16.14"/>
    <n v="0"/>
  </r>
  <r>
    <n v="1001"/>
    <n v="16"/>
    <n v="4"/>
    <n v="913"/>
    <s v="EARNED"/>
    <n v="18.14"/>
    <s v=""/>
    <d v="2026-01-16T17:48:59"/>
    <x v="3"/>
    <n v="18.14"/>
    <n v="0"/>
  </r>
  <r>
    <n v="1002"/>
    <n v="52"/>
    <n v="5"/>
    <n v="914"/>
    <s v="EARNED"/>
    <n v="3.46"/>
    <s v=""/>
    <d v="2026-01-16T19:08:44"/>
    <x v="3"/>
    <n v="3.46"/>
    <n v="0"/>
  </r>
  <r>
    <n v="1003"/>
    <n v="186"/>
    <n v="2"/>
    <n v="915"/>
    <s v="EARNED"/>
    <n v="6.11"/>
    <s v=""/>
    <d v="2026-01-17T07:21:24"/>
    <x v="3"/>
    <n v="6.11"/>
    <n v="0"/>
  </r>
  <r>
    <n v="1004"/>
    <n v="39"/>
    <n v="3"/>
    <n v="916"/>
    <s v="EARNED"/>
    <n v="16.079999999999998"/>
    <s v=""/>
    <d v="2026-01-17T08:24:41"/>
    <x v="3"/>
    <n v="16.079999999999998"/>
    <n v="0"/>
  </r>
  <r>
    <n v="1005"/>
    <n v="106"/>
    <n v="2"/>
    <n v="917"/>
    <s v="EARNED"/>
    <n v="6.78"/>
    <s v=""/>
    <d v="2026-01-17T08:48:59"/>
    <x v="3"/>
    <n v="6.78"/>
    <n v="0"/>
  </r>
  <r>
    <n v="1006"/>
    <n v="14"/>
    <n v="1"/>
    <m/>
    <s v="ADJUSTMENT"/>
    <n v="19.170000000000002"/>
    <s v="Corrección de saldo detectada en auditoría"/>
    <d v="2026-01-17T09:10:39"/>
    <x v="3"/>
    <n v="0"/>
    <n v="0"/>
  </r>
  <r>
    <n v="1007"/>
    <n v="279"/>
    <n v="4"/>
    <n v="918"/>
    <s v="EARNED"/>
    <n v="20.87"/>
    <s v=""/>
    <d v="2026-01-17T09:40:06"/>
    <x v="3"/>
    <n v="20.87"/>
    <n v="0"/>
  </r>
  <r>
    <n v="1008"/>
    <n v="215"/>
    <n v="3"/>
    <n v="919"/>
    <s v="EARNED"/>
    <n v="4.13"/>
    <s v=""/>
    <d v="2026-01-17T09:44:39"/>
    <x v="3"/>
    <n v="4.13"/>
    <n v="0"/>
  </r>
  <r>
    <n v="1009"/>
    <n v="65"/>
    <n v="5"/>
    <n v="920"/>
    <s v="EARNED"/>
    <n v="2.4900000000000002"/>
    <s v=""/>
    <d v="2026-01-17T10:01:34"/>
    <x v="3"/>
    <n v="2.4900000000000002"/>
    <n v="0"/>
  </r>
  <r>
    <n v="1010"/>
    <n v="10"/>
    <n v="4"/>
    <n v="921"/>
    <s v="EARNED"/>
    <n v="11.96"/>
    <s v=""/>
    <d v="2026-01-17T10:51:18"/>
    <x v="3"/>
    <n v="11.96"/>
    <n v="0"/>
  </r>
  <r>
    <n v="1011"/>
    <n v="227"/>
    <n v="3"/>
    <n v="922"/>
    <s v="EARNED"/>
    <n v="2.21"/>
    <s v=""/>
    <d v="2026-01-17T10:59:00"/>
    <x v="3"/>
    <n v="2.21"/>
    <n v="0"/>
  </r>
  <r>
    <n v="1012"/>
    <n v="156"/>
    <n v="4"/>
    <n v="923"/>
    <s v="EARNED"/>
    <n v="3.23"/>
    <s v=""/>
    <d v="2026-01-17T11:05:54"/>
    <x v="3"/>
    <n v="3.23"/>
    <n v="0"/>
  </r>
  <r>
    <n v="1013"/>
    <n v="288"/>
    <n v="3"/>
    <n v="924"/>
    <s v="EARNED"/>
    <n v="4.33"/>
    <s v=""/>
    <d v="2026-01-17T11:23:08"/>
    <x v="3"/>
    <n v="4.33"/>
    <n v="0"/>
  </r>
  <r>
    <n v="1014"/>
    <n v="87"/>
    <n v="3"/>
    <n v="925"/>
    <s v="EARNED"/>
    <n v="6.06"/>
    <s v=""/>
    <d v="2026-01-17T13:11:07"/>
    <x v="3"/>
    <n v="6.06"/>
    <n v="0"/>
  </r>
  <r>
    <n v="1015"/>
    <n v="178"/>
    <n v="4"/>
    <n v="926"/>
    <s v="EARNED"/>
    <n v="13.76"/>
    <s v=""/>
    <d v="2026-01-17T14:16:23"/>
    <x v="3"/>
    <n v="13.76"/>
    <n v="0"/>
  </r>
  <r>
    <n v="1016"/>
    <n v="13"/>
    <n v="4"/>
    <n v="927"/>
    <s v="EARNED"/>
    <n v="2.94"/>
    <s v=""/>
    <d v="2026-01-17T14:29:14"/>
    <x v="3"/>
    <n v="2.94"/>
    <n v="0"/>
  </r>
  <r>
    <n v="1017"/>
    <n v="106"/>
    <n v="5"/>
    <n v="928"/>
    <s v="EARNED"/>
    <n v="7.44"/>
    <s v=""/>
    <d v="2026-01-17T15:36:08"/>
    <x v="3"/>
    <n v="7.44"/>
    <n v="0"/>
  </r>
  <r>
    <n v="1018"/>
    <n v="247"/>
    <n v="5"/>
    <n v="929"/>
    <s v="EARNED"/>
    <n v="3.54"/>
    <s v=""/>
    <d v="2026-01-17T16:10:57"/>
    <x v="3"/>
    <n v="3.54"/>
    <n v="0"/>
  </r>
  <r>
    <n v="1019"/>
    <n v="39"/>
    <n v="3"/>
    <n v="916"/>
    <s v="ADJUSTMENT"/>
    <n v="-16.079999999999998"/>
    <s v="Reverso por cancelación de compra #916: Monto duplicado por error de sistema"/>
    <d v="2026-01-17T19:24:41"/>
    <x v="3"/>
    <n v="0"/>
    <n v="0"/>
  </r>
  <r>
    <n v="1020"/>
    <n v="18"/>
    <n v="4"/>
    <n v="930"/>
    <s v="EARNED"/>
    <n v="12.8"/>
    <s v=""/>
    <d v="2026-01-17T19:33:21"/>
    <x v="3"/>
    <n v="12.8"/>
    <n v="0"/>
  </r>
  <r>
    <n v="1021"/>
    <n v="156"/>
    <n v="4"/>
    <n v="923"/>
    <s v="ADJUSTMENT"/>
    <n v="-3.23"/>
    <s v="Reverso por cancelación de compra #923: Error de captura"/>
    <d v="2026-01-17T23:05:54"/>
    <x v="3"/>
    <n v="0"/>
    <n v="0"/>
  </r>
  <r>
    <n v="1022"/>
    <n v="22"/>
    <n v="1"/>
    <m/>
    <s v="ADJUSTMENT"/>
    <n v="13.06"/>
    <s v="Promoción especial de aniversario"/>
    <d v="2026-01-18T01:30:11"/>
    <x v="3"/>
    <n v="0"/>
    <n v="0"/>
  </r>
  <r>
    <n v="1023"/>
    <n v="117"/>
    <n v="4"/>
    <n v="931"/>
    <s v="EARNED"/>
    <n v="3.76"/>
    <s v=""/>
    <d v="2026-01-18T10:35:38"/>
    <x v="3"/>
    <n v="3.76"/>
    <n v="0"/>
  </r>
  <r>
    <n v="1024"/>
    <n v="192"/>
    <n v="4"/>
    <n v="932"/>
    <s v="EARNED"/>
    <n v="3.06"/>
    <s v=""/>
    <d v="2026-01-18T10:45:25"/>
    <x v="3"/>
    <n v="3.06"/>
    <n v="0"/>
  </r>
  <r>
    <n v="1025"/>
    <n v="6"/>
    <n v="3"/>
    <n v="933"/>
    <s v="REDEEMED"/>
    <n v="20.85"/>
    <s v=""/>
    <d v="2026-01-18T11:42:53"/>
    <x v="3"/>
    <n v="0"/>
    <n v="20.85"/>
  </r>
  <r>
    <n v="1026"/>
    <n v="50"/>
    <n v="4"/>
    <n v="934"/>
    <s v="EARNED"/>
    <n v="12.05"/>
    <s v=""/>
    <d v="2026-01-18T14:07:10"/>
    <x v="3"/>
    <n v="12.05"/>
    <n v="0"/>
  </r>
  <r>
    <n v="1027"/>
    <n v="53"/>
    <n v="4"/>
    <n v="935"/>
    <s v="EARNED"/>
    <n v="3.8"/>
    <s v=""/>
    <d v="2026-01-18T14:58:53"/>
    <x v="3"/>
    <n v="3.8"/>
    <n v="0"/>
  </r>
  <r>
    <n v="1028"/>
    <n v="156"/>
    <n v="2"/>
    <n v="936"/>
    <s v="EARNED"/>
    <n v="3.69"/>
    <s v=""/>
    <d v="2026-01-18T16:31:51"/>
    <x v="3"/>
    <n v="3.69"/>
    <n v="0"/>
  </r>
  <r>
    <n v="1029"/>
    <n v="87"/>
    <n v="5"/>
    <n v="937"/>
    <s v="EARNED"/>
    <n v="8.92"/>
    <s v=""/>
    <d v="2026-01-18T16:36:36"/>
    <x v="3"/>
    <n v="8.92"/>
    <n v="0"/>
  </r>
  <r>
    <n v="1030"/>
    <n v="268"/>
    <n v="3"/>
    <n v="938"/>
    <s v="EARNED"/>
    <n v="4.37"/>
    <s v=""/>
    <d v="2026-01-18T17:36:10"/>
    <x v="3"/>
    <n v="4.37"/>
    <n v="0"/>
  </r>
  <r>
    <n v="1031"/>
    <n v="16"/>
    <n v="5"/>
    <n v="913"/>
    <s v="ADJUSTMENT"/>
    <n v="-18.14"/>
    <s v="Reverso por cancelación de compra #913: Monto duplicado por error de sistema"/>
    <d v="2026-01-18T17:48:59"/>
    <x v="3"/>
    <n v="0"/>
    <n v="0"/>
  </r>
  <r>
    <n v="1032"/>
    <n v="156"/>
    <n v="2"/>
    <n v="939"/>
    <s v="EARNED"/>
    <n v="2.4"/>
    <s v=""/>
    <d v="2026-01-18T17:58:26"/>
    <x v="3"/>
    <n v="2.4"/>
    <n v="0"/>
  </r>
  <r>
    <n v="1033"/>
    <n v="105"/>
    <n v="4"/>
    <n v="940"/>
    <s v="EARNED"/>
    <n v="13.91"/>
    <s v=""/>
    <d v="2026-01-18T19:41:17"/>
    <x v="3"/>
    <n v="13.91"/>
    <n v="0"/>
  </r>
  <r>
    <n v="1034"/>
    <n v="51"/>
    <n v="3"/>
    <n v="941"/>
    <s v="EARNED"/>
    <n v="27.71"/>
    <s v=""/>
    <d v="2026-01-19T08:23:58"/>
    <x v="3"/>
    <n v="27.71"/>
    <n v="0"/>
  </r>
  <r>
    <n v="1035"/>
    <n v="65"/>
    <n v="5"/>
    <n v="942"/>
    <s v="EARNED"/>
    <n v="3.82"/>
    <s v=""/>
    <d v="2026-01-19T08:39:58"/>
    <x v="3"/>
    <n v="3.82"/>
    <n v="0"/>
  </r>
  <r>
    <n v="1036"/>
    <n v="163"/>
    <n v="4"/>
    <n v="943"/>
    <s v="EARNED"/>
    <n v="2.8"/>
    <s v=""/>
    <d v="2026-01-19T11:38:06"/>
    <x v="3"/>
    <n v="2.8"/>
    <n v="0"/>
  </r>
  <r>
    <n v="1037"/>
    <n v="106"/>
    <n v="4"/>
    <n v="944"/>
    <s v="EARNED"/>
    <n v="10.34"/>
    <s v=""/>
    <d v="2026-01-19T11:53:14"/>
    <x v="3"/>
    <n v="10.34"/>
    <n v="0"/>
  </r>
  <r>
    <n v="1038"/>
    <n v="44"/>
    <n v="5"/>
    <n v="945"/>
    <s v="EARNED"/>
    <n v="2.37"/>
    <s v=""/>
    <d v="2026-01-19T12:35:05"/>
    <x v="3"/>
    <n v="2.37"/>
    <n v="0"/>
  </r>
  <r>
    <n v="1039"/>
    <n v="39"/>
    <n v="2"/>
    <n v="946"/>
    <s v="EARNED"/>
    <n v="18.559999999999999"/>
    <s v=""/>
    <d v="2026-01-19T13:13:51"/>
    <x v="3"/>
    <n v="18.559999999999999"/>
    <n v="0"/>
  </r>
  <r>
    <n v="1040"/>
    <n v="7"/>
    <n v="5"/>
    <n v="947"/>
    <s v="EARNED"/>
    <n v="7.62"/>
    <s v=""/>
    <d v="2026-01-19T13:20:49"/>
    <x v="3"/>
    <n v="7.62"/>
    <n v="0"/>
  </r>
  <r>
    <n v="1041"/>
    <n v="141"/>
    <n v="4"/>
    <n v="948"/>
    <s v="EARNED"/>
    <n v="18.829999999999998"/>
    <s v=""/>
    <d v="2026-01-19T14:39:07"/>
    <x v="3"/>
    <n v="18.829999999999998"/>
    <n v="0"/>
  </r>
  <r>
    <n v="1042"/>
    <n v="55"/>
    <n v="3"/>
    <n v="949"/>
    <s v="EARNED"/>
    <n v="2.4300000000000002"/>
    <s v=""/>
    <d v="2026-01-19T17:45:02"/>
    <x v="3"/>
    <n v="2.4300000000000002"/>
    <n v="0"/>
  </r>
  <r>
    <n v="1043"/>
    <n v="280"/>
    <n v="2"/>
    <n v="950"/>
    <s v="EARNED"/>
    <n v="4.6500000000000004"/>
    <s v=""/>
    <d v="2026-01-19T19:48:18"/>
    <x v="3"/>
    <n v="4.6500000000000004"/>
    <n v="0"/>
  </r>
  <r>
    <n v="1044"/>
    <n v="296"/>
    <n v="1"/>
    <m/>
    <s v="ADJUSTMENT"/>
    <n v="9.6999999999999993"/>
    <s v="Ajuste por reclamo de cliente"/>
    <d v="2026-01-19T23:05:04"/>
    <x v="3"/>
    <n v="0"/>
    <n v="0"/>
  </r>
  <r>
    <n v="1045"/>
    <n v="156"/>
    <n v="2"/>
    <n v="951"/>
    <s v="EARNED"/>
    <n v="1.29"/>
    <s v=""/>
    <d v="2026-01-20T07:36:13"/>
    <x v="3"/>
    <n v="1.29"/>
    <n v="0"/>
  </r>
  <r>
    <n v="1046"/>
    <n v="202"/>
    <n v="4"/>
    <n v="952"/>
    <s v="EARNED"/>
    <n v="2.85"/>
    <s v=""/>
    <d v="2026-01-20T08:07:23"/>
    <x v="3"/>
    <n v="2.85"/>
    <n v="0"/>
  </r>
  <r>
    <n v="1047"/>
    <n v="202"/>
    <n v="2"/>
    <n v="953"/>
    <s v="EARNED"/>
    <n v="2.1800000000000002"/>
    <s v=""/>
    <d v="2026-01-20T08:11:16"/>
    <x v="3"/>
    <n v="2.1800000000000002"/>
    <n v="0"/>
  </r>
  <r>
    <n v="1048"/>
    <n v="109"/>
    <n v="3"/>
    <n v="954"/>
    <s v="EARNED"/>
    <n v="13.17"/>
    <s v=""/>
    <d v="2026-01-20T08:26:32"/>
    <x v="3"/>
    <n v="13.17"/>
    <n v="0"/>
  </r>
  <r>
    <n v="1049"/>
    <n v="106"/>
    <n v="3"/>
    <n v="955"/>
    <s v="EARNED"/>
    <n v="8.91"/>
    <s v=""/>
    <d v="2026-01-20T09:01:13"/>
    <x v="3"/>
    <n v="8.91"/>
    <n v="0"/>
  </r>
  <r>
    <n v="1050"/>
    <n v="252"/>
    <n v="5"/>
    <n v="956"/>
    <s v="EARNED"/>
    <n v="2.76"/>
    <s v=""/>
    <d v="2026-01-20T10:52:28"/>
    <x v="3"/>
    <n v="2.76"/>
    <n v="0"/>
  </r>
  <r>
    <n v="1051"/>
    <n v="59"/>
    <n v="2"/>
    <n v="957"/>
    <s v="EARNED"/>
    <n v="1.95"/>
    <s v=""/>
    <d v="2026-01-20T11:15:45"/>
    <x v="3"/>
    <n v="1.95"/>
    <n v="0"/>
  </r>
  <r>
    <n v="1052"/>
    <n v="118"/>
    <n v="5"/>
    <n v="958"/>
    <s v="EARNED"/>
    <n v="5.86"/>
    <s v=""/>
    <d v="2026-01-20T11:55:59"/>
    <x v="3"/>
    <n v="5.86"/>
    <n v="0"/>
  </r>
  <r>
    <n v="1053"/>
    <n v="50"/>
    <n v="3"/>
    <n v="959"/>
    <s v="EARNED"/>
    <n v="11.24"/>
    <s v=""/>
    <d v="2026-01-20T13:00:47"/>
    <x v="3"/>
    <n v="11.24"/>
    <n v="0"/>
  </r>
  <r>
    <n v="1054"/>
    <n v="109"/>
    <n v="4"/>
    <n v="960"/>
    <s v="EARNED"/>
    <n v="15.59"/>
    <s v=""/>
    <d v="2026-01-20T15:48:42"/>
    <x v="3"/>
    <n v="15.59"/>
    <n v="0"/>
  </r>
  <r>
    <n v="1055"/>
    <n v="39"/>
    <n v="3"/>
    <n v="961"/>
    <s v="EARNED"/>
    <n v="22.24"/>
    <s v=""/>
    <d v="2026-01-20T15:52:24"/>
    <x v="3"/>
    <n v="22.24"/>
    <n v="0"/>
  </r>
  <r>
    <n v="1056"/>
    <n v="178"/>
    <n v="2"/>
    <n v="962"/>
    <s v="EARNED"/>
    <n v="24.55"/>
    <s v=""/>
    <d v="2026-01-20T16:38:14"/>
    <x v="3"/>
    <n v="24.55"/>
    <n v="0"/>
  </r>
  <r>
    <n v="1057"/>
    <n v="227"/>
    <n v="5"/>
    <n v="963"/>
    <s v="EARNED"/>
    <n v="3.08"/>
    <s v=""/>
    <d v="2026-01-20T17:47:24"/>
    <x v="3"/>
    <n v="3.08"/>
    <n v="0"/>
  </r>
  <r>
    <n v="1058"/>
    <n v="265"/>
    <n v="2"/>
    <n v="964"/>
    <s v="EARNED"/>
    <n v="7.56"/>
    <s v=""/>
    <d v="2026-01-20T18:27:06"/>
    <x v="3"/>
    <n v="7.56"/>
    <n v="0"/>
  </r>
  <r>
    <n v="1059"/>
    <n v="52"/>
    <n v="1"/>
    <m/>
    <s v="ADJUSTMENT"/>
    <n v="6.58"/>
    <s v="Promoción especial de aniversario"/>
    <d v="2026-01-20T22:17:33"/>
    <x v="3"/>
    <n v="0"/>
    <n v="0"/>
  </r>
  <r>
    <n v="1060"/>
    <n v="87"/>
    <n v="5"/>
    <n v="965"/>
    <s v="EARNED"/>
    <n v="13.46"/>
    <s v=""/>
    <d v="2026-01-21T07:43:13"/>
    <x v="3"/>
    <n v="13.46"/>
    <n v="0"/>
  </r>
  <r>
    <n v="1061"/>
    <n v="48"/>
    <n v="5"/>
    <n v="966"/>
    <s v="EARNED"/>
    <n v="16.809999999999999"/>
    <s v=""/>
    <d v="2026-01-21T09:36:27"/>
    <x v="3"/>
    <n v="16.809999999999999"/>
    <n v="0"/>
  </r>
  <r>
    <n v="1062"/>
    <n v="207"/>
    <n v="3"/>
    <n v="967"/>
    <s v="EARNED"/>
    <n v="3.2"/>
    <s v=""/>
    <d v="2026-01-21T10:05:35"/>
    <x v="3"/>
    <n v="3.2"/>
    <n v="0"/>
  </r>
  <r>
    <n v="1063"/>
    <n v="223"/>
    <n v="5"/>
    <n v="968"/>
    <s v="EARNED"/>
    <n v="2.29"/>
    <s v=""/>
    <d v="2026-01-21T10:12:03"/>
    <x v="3"/>
    <n v="2.29"/>
    <n v="0"/>
  </r>
  <r>
    <n v="1064"/>
    <n v="156"/>
    <n v="3"/>
    <n v="969"/>
    <s v="EARNED"/>
    <n v="3"/>
    <s v=""/>
    <d v="2026-01-21T10:17:38"/>
    <x v="3"/>
    <n v="3"/>
    <n v="0"/>
  </r>
  <r>
    <n v="1065"/>
    <n v="137"/>
    <n v="2"/>
    <n v="970"/>
    <s v="EARNED"/>
    <n v="3.89"/>
    <s v=""/>
    <d v="2026-01-21T19:48:09"/>
    <x v="3"/>
    <n v="3.89"/>
    <n v="0"/>
  </r>
  <r>
    <n v="1066"/>
    <n v="290"/>
    <n v="3"/>
    <n v="971"/>
    <s v="EARNED"/>
    <n v="2.68"/>
    <s v=""/>
    <d v="2026-01-22T08:06:10"/>
    <x v="3"/>
    <n v="2.68"/>
    <n v="0"/>
  </r>
  <r>
    <n v="1067"/>
    <n v="175"/>
    <n v="3"/>
    <n v="972"/>
    <s v="EARNED"/>
    <n v="3.11"/>
    <s v=""/>
    <d v="2026-01-22T08:44:25"/>
    <x v="3"/>
    <n v="3.11"/>
    <n v="0"/>
  </r>
  <r>
    <n v="1068"/>
    <n v="186"/>
    <n v="2"/>
    <n v="973"/>
    <s v="EARNED"/>
    <n v="9.8000000000000007"/>
    <s v=""/>
    <d v="2026-01-22T11:12:42"/>
    <x v="3"/>
    <n v="9.8000000000000007"/>
    <n v="0"/>
  </r>
  <r>
    <n v="1069"/>
    <n v="230"/>
    <n v="4"/>
    <n v="974"/>
    <s v="EARNED"/>
    <n v="14.82"/>
    <s v=""/>
    <d v="2026-01-22T11:22:49"/>
    <x v="3"/>
    <n v="14.82"/>
    <n v="0"/>
  </r>
  <r>
    <n v="1070"/>
    <n v="92"/>
    <n v="4"/>
    <n v="975"/>
    <s v="EARNED"/>
    <n v="1.45"/>
    <s v=""/>
    <d v="2026-01-22T11:40:42"/>
    <x v="3"/>
    <n v="1.45"/>
    <n v="0"/>
  </r>
  <r>
    <n v="1071"/>
    <n v="240"/>
    <n v="2"/>
    <n v="976"/>
    <s v="EARNED"/>
    <n v="19.170000000000002"/>
    <s v=""/>
    <d v="2026-01-22T12:39:24"/>
    <x v="3"/>
    <n v="19.170000000000002"/>
    <n v="0"/>
  </r>
  <r>
    <n v="1072"/>
    <n v="41"/>
    <n v="5"/>
    <n v="977"/>
    <s v="EARNED"/>
    <n v="10.61"/>
    <s v=""/>
    <d v="2026-01-22T13:30:52"/>
    <x v="3"/>
    <n v="10.61"/>
    <n v="0"/>
  </r>
  <r>
    <n v="1073"/>
    <n v="171"/>
    <n v="2"/>
    <n v="978"/>
    <s v="EARNED"/>
    <n v="6.94"/>
    <s v=""/>
    <d v="2026-01-22T14:20:32"/>
    <x v="3"/>
    <n v="6.94"/>
    <n v="0"/>
  </r>
  <r>
    <n v="1074"/>
    <n v="85"/>
    <n v="1"/>
    <m/>
    <s v="ADJUSTMENT"/>
    <n v="6.79"/>
    <s v="Ajuste por reclamo de cliente"/>
    <d v="2026-01-22T15:50:26"/>
    <x v="3"/>
    <n v="0"/>
    <n v="0"/>
  </r>
  <r>
    <n v="1075"/>
    <n v="241"/>
    <n v="2"/>
    <n v="979"/>
    <s v="EARNED"/>
    <n v="3.14"/>
    <s v=""/>
    <d v="2026-01-22T16:09:29"/>
    <x v="3"/>
    <n v="3.14"/>
    <n v="0"/>
  </r>
  <r>
    <n v="1076"/>
    <n v="152"/>
    <n v="1"/>
    <m/>
    <s v="ADJUSTMENT"/>
    <n v="19.489999999999998"/>
    <s v="Ajuste por reclamo de cliente"/>
    <d v="2026-01-22T16:14:24"/>
    <x v="3"/>
    <n v="0"/>
    <n v="0"/>
  </r>
  <r>
    <n v="1077"/>
    <n v="251"/>
    <n v="3"/>
    <n v="980"/>
    <s v="EARNED"/>
    <n v="11.01"/>
    <s v=""/>
    <d v="2026-01-22T16:21:01"/>
    <x v="3"/>
    <n v="11.01"/>
    <n v="0"/>
  </r>
  <r>
    <n v="1078"/>
    <n v="136"/>
    <n v="2"/>
    <n v="981"/>
    <s v="EARNED"/>
    <n v="7.91"/>
    <s v=""/>
    <d v="2026-01-22T19:38:56"/>
    <x v="3"/>
    <n v="7.91"/>
    <n v="0"/>
  </r>
  <r>
    <n v="1079"/>
    <n v="150"/>
    <n v="2"/>
    <n v="982"/>
    <s v="EARNED"/>
    <n v="8.51"/>
    <s v=""/>
    <d v="2026-01-23T07:59:40"/>
    <x v="3"/>
    <n v="8.51"/>
    <n v="0"/>
  </r>
  <r>
    <n v="1080"/>
    <n v="32"/>
    <n v="4"/>
    <n v="983"/>
    <s v="EARNED"/>
    <n v="2.16"/>
    <s v=""/>
    <d v="2026-01-23T09:17:37"/>
    <x v="3"/>
    <n v="2.16"/>
    <n v="0"/>
  </r>
  <r>
    <n v="1081"/>
    <n v="261"/>
    <n v="5"/>
    <n v="984"/>
    <s v="EARNED"/>
    <n v="6.16"/>
    <s v=""/>
    <d v="2026-01-23T09:49:51"/>
    <x v="3"/>
    <n v="6.16"/>
    <n v="0"/>
  </r>
  <r>
    <n v="1082"/>
    <n v="106"/>
    <n v="2"/>
    <n v="985"/>
    <s v="EARNED"/>
    <n v="7.02"/>
    <s v=""/>
    <d v="2026-01-23T11:48:40"/>
    <x v="3"/>
    <n v="7.02"/>
    <n v="0"/>
  </r>
  <r>
    <n v="1083"/>
    <n v="16"/>
    <n v="3"/>
    <n v="986"/>
    <s v="EARNED"/>
    <n v="13.51"/>
    <s v=""/>
    <d v="2026-01-23T11:57:02"/>
    <x v="3"/>
    <n v="13.51"/>
    <n v="0"/>
  </r>
  <r>
    <n v="1084"/>
    <n v="138"/>
    <n v="2"/>
    <n v="987"/>
    <s v="EARNED"/>
    <n v="4.3"/>
    <s v=""/>
    <d v="2026-01-23T13:30:41"/>
    <x v="3"/>
    <n v="4.3"/>
    <n v="0"/>
  </r>
  <r>
    <n v="1085"/>
    <n v="117"/>
    <n v="3"/>
    <n v="988"/>
    <s v="EARNED"/>
    <n v="6.9"/>
    <s v=""/>
    <d v="2026-01-23T15:07:11"/>
    <x v="3"/>
    <n v="6.9"/>
    <n v="0"/>
  </r>
  <r>
    <n v="1086"/>
    <n v="136"/>
    <n v="4"/>
    <n v="989"/>
    <s v="EARNED"/>
    <n v="14.71"/>
    <s v=""/>
    <d v="2026-01-23T16:02:56"/>
    <x v="3"/>
    <n v="14.71"/>
    <n v="0"/>
  </r>
  <r>
    <n v="1087"/>
    <n v="122"/>
    <n v="5"/>
    <n v="990"/>
    <s v="EARNED"/>
    <n v="14.65"/>
    <s v=""/>
    <d v="2026-01-24T10:30:32"/>
    <x v="3"/>
    <n v="14.65"/>
    <n v="0"/>
  </r>
  <r>
    <n v="1088"/>
    <n v="202"/>
    <n v="2"/>
    <n v="991"/>
    <s v="EARNED"/>
    <n v="2.29"/>
    <s v=""/>
    <d v="2026-01-24T10:39:06"/>
    <x v="3"/>
    <n v="2.29"/>
    <n v="0"/>
  </r>
  <r>
    <n v="1089"/>
    <n v="202"/>
    <n v="3"/>
    <n v="992"/>
    <s v="EARNED"/>
    <n v="4.41"/>
    <s v=""/>
    <d v="2026-01-24T10:41:50"/>
    <x v="3"/>
    <n v="4.41"/>
    <n v="0"/>
  </r>
  <r>
    <n v="1090"/>
    <n v="91"/>
    <n v="5"/>
    <n v="993"/>
    <s v="EARNED"/>
    <n v="5.17"/>
    <s v=""/>
    <d v="2026-01-24T10:43:07"/>
    <x v="3"/>
    <n v="5.17"/>
    <n v="0"/>
  </r>
  <r>
    <n v="1091"/>
    <n v="244"/>
    <n v="3"/>
    <n v="994"/>
    <s v="EARNED"/>
    <n v="6.8"/>
    <s v=""/>
    <d v="2026-01-24T10:52:52"/>
    <x v="3"/>
    <n v="6.8"/>
    <n v="0"/>
  </r>
  <r>
    <n v="1092"/>
    <n v="240"/>
    <n v="5"/>
    <n v="995"/>
    <s v="EARNED"/>
    <n v="30"/>
    <s v=""/>
    <d v="2026-01-24T12:09:20"/>
    <x v="3"/>
    <n v="30"/>
    <n v="0"/>
  </r>
  <r>
    <n v="1093"/>
    <n v="276"/>
    <n v="5"/>
    <n v="996"/>
    <s v="EARNED"/>
    <n v="1.89"/>
    <s v=""/>
    <d v="2026-01-24T12:14:04"/>
    <x v="3"/>
    <n v="1.89"/>
    <n v="0"/>
  </r>
  <r>
    <n v="1094"/>
    <n v="43"/>
    <n v="2"/>
    <n v="997"/>
    <s v="EARNED"/>
    <n v="8.31"/>
    <s v=""/>
    <d v="2026-01-24T13:00:23"/>
    <x v="3"/>
    <n v="8.31"/>
    <n v="0"/>
  </r>
  <r>
    <n v="1095"/>
    <n v="137"/>
    <n v="2"/>
    <n v="998"/>
    <s v="EARNED"/>
    <n v="2.29"/>
    <s v=""/>
    <d v="2026-01-24T13:07:15"/>
    <x v="3"/>
    <n v="2.29"/>
    <n v="0"/>
  </r>
  <r>
    <n v="1096"/>
    <n v="156"/>
    <n v="2"/>
    <n v="999"/>
    <s v="EARNED"/>
    <n v="3.81"/>
    <s v=""/>
    <d v="2026-01-24T14:48:53"/>
    <x v="3"/>
    <n v="3.81"/>
    <n v="0"/>
  </r>
  <r>
    <n v="1097"/>
    <n v="39"/>
    <n v="2"/>
    <n v="1000"/>
    <s v="EARNED"/>
    <n v="19.190000000000001"/>
    <s v=""/>
    <d v="2026-01-24T15:09:02"/>
    <x v="3"/>
    <n v="19.190000000000001"/>
    <n v="0"/>
  </r>
  <r>
    <n v="1098"/>
    <n v="137"/>
    <n v="3"/>
    <n v="1001"/>
    <s v="REDEEMED"/>
    <n v="37.14"/>
    <s v=""/>
    <d v="2026-01-24T15:35:26"/>
    <x v="3"/>
    <n v="0"/>
    <n v="37.14"/>
  </r>
  <r>
    <n v="1099"/>
    <n v="156"/>
    <n v="2"/>
    <n v="1002"/>
    <s v="EARNED"/>
    <n v="3.36"/>
    <s v=""/>
    <d v="2026-01-24T15:46:46"/>
    <x v="3"/>
    <n v="3.36"/>
    <n v="0"/>
  </r>
  <r>
    <n v="1100"/>
    <n v="65"/>
    <n v="5"/>
    <n v="1003"/>
    <s v="EARNED"/>
    <n v="3.19"/>
    <s v=""/>
    <d v="2026-01-24T19:27:42"/>
    <x v="3"/>
    <n v="3.19"/>
    <n v="0"/>
  </r>
  <r>
    <n v="1101"/>
    <n v="39"/>
    <n v="3"/>
    <n v="1004"/>
    <s v="EARNED"/>
    <n v="19.149999999999999"/>
    <s v=""/>
    <d v="2026-01-25T07:29:03"/>
    <x v="3"/>
    <n v="19.149999999999999"/>
    <n v="0"/>
  </r>
  <r>
    <n v="1102"/>
    <n v="277"/>
    <n v="5"/>
    <n v="1005"/>
    <s v="EARNED"/>
    <n v="9.68"/>
    <s v=""/>
    <d v="2026-01-25T07:42:12"/>
    <x v="3"/>
    <n v="9.68"/>
    <n v="0"/>
  </r>
  <r>
    <n v="1103"/>
    <n v="173"/>
    <n v="3"/>
    <n v="1006"/>
    <s v="EARNED"/>
    <n v="19.440000000000001"/>
    <s v=""/>
    <d v="2026-01-25T08:25:36"/>
    <x v="3"/>
    <n v="19.440000000000001"/>
    <n v="0"/>
  </r>
  <r>
    <n v="1104"/>
    <n v="166"/>
    <n v="4"/>
    <n v="1007"/>
    <s v="EARNED"/>
    <n v="10.4"/>
    <s v=""/>
    <d v="2026-01-25T09:03:34"/>
    <x v="3"/>
    <n v="10.4"/>
    <n v="0"/>
  </r>
  <r>
    <n v="1105"/>
    <n v="59"/>
    <n v="2"/>
    <n v="1008"/>
    <s v="EARNED"/>
    <n v="2.87"/>
    <s v=""/>
    <d v="2026-01-25T10:51:18"/>
    <x v="3"/>
    <n v="2.87"/>
    <n v="0"/>
  </r>
  <r>
    <n v="1106"/>
    <n v="207"/>
    <n v="2"/>
    <n v="1009"/>
    <s v="EARNED"/>
    <n v="2.69"/>
    <s v=""/>
    <d v="2026-01-25T12:28:22"/>
    <x v="3"/>
    <n v="2.69"/>
    <n v="0"/>
  </r>
  <r>
    <n v="1107"/>
    <n v="207"/>
    <n v="2"/>
    <n v="1010"/>
    <s v="EARNED"/>
    <n v="2.2999999999999998"/>
    <s v=""/>
    <d v="2026-01-25T16:23:47"/>
    <x v="3"/>
    <n v="2.2999999999999998"/>
    <n v="0"/>
  </r>
  <r>
    <n v="1108"/>
    <n v="137"/>
    <n v="2"/>
    <n v="1011"/>
    <s v="EARNED"/>
    <n v="1.52"/>
    <s v=""/>
    <d v="2026-01-25T19:26:44"/>
    <x v="3"/>
    <n v="1.52"/>
    <n v="0"/>
  </r>
  <r>
    <n v="1109"/>
    <n v="276"/>
    <n v="1"/>
    <m/>
    <s v="ADJUSTMENT"/>
    <n v="34.75"/>
    <s v="Corrección de saldo detectada en auditoría"/>
    <d v="2026-01-26T05:07:13"/>
    <x v="3"/>
    <n v="0"/>
    <n v="0"/>
  </r>
  <r>
    <n v="1110"/>
    <n v="166"/>
    <n v="2"/>
    <n v="1012"/>
    <s v="EARNED"/>
    <n v="7.77"/>
    <s v=""/>
    <d v="2026-01-26T07:13:15"/>
    <x v="3"/>
    <n v="7.77"/>
    <n v="0"/>
  </r>
  <r>
    <n v="1111"/>
    <n v="48"/>
    <n v="5"/>
    <n v="1013"/>
    <s v="EARNED"/>
    <n v="4.2"/>
    <s v=""/>
    <d v="2026-01-26T09:06:30"/>
    <x v="3"/>
    <n v="4.2"/>
    <n v="0"/>
  </r>
  <r>
    <n v="1112"/>
    <n v="197"/>
    <n v="2"/>
    <n v="1014"/>
    <s v="EARNED"/>
    <n v="8.66"/>
    <s v=""/>
    <d v="2026-01-26T10:29:28"/>
    <x v="3"/>
    <n v="8.66"/>
    <n v="0"/>
  </r>
  <r>
    <n v="1113"/>
    <n v="265"/>
    <n v="2"/>
    <n v="1015"/>
    <s v="EARNED"/>
    <n v="10.130000000000001"/>
    <s v=""/>
    <d v="2026-01-26T10:35:35"/>
    <x v="3"/>
    <n v="10.130000000000001"/>
    <n v="0"/>
  </r>
  <r>
    <n v="1114"/>
    <n v="22"/>
    <n v="3"/>
    <n v="1016"/>
    <s v="EARNED"/>
    <n v="7.81"/>
    <s v=""/>
    <d v="2026-01-26T10:59:58"/>
    <x v="3"/>
    <n v="7.81"/>
    <n v="0"/>
  </r>
  <r>
    <n v="1115"/>
    <n v="52"/>
    <n v="3"/>
    <n v="1017"/>
    <s v="EARNED"/>
    <n v="4.46"/>
    <s v=""/>
    <d v="2026-01-26T12:22:34"/>
    <x v="3"/>
    <n v="4.46"/>
    <n v="0"/>
  </r>
  <r>
    <n v="1116"/>
    <n v="87"/>
    <n v="4"/>
    <n v="1018"/>
    <s v="EARNED"/>
    <n v="14.03"/>
    <s v=""/>
    <d v="2026-01-26T14:37:28"/>
    <x v="3"/>
    <n v="14.03"/>
    <n v="0"/>
  </r>
  <r>
    <n v="1117"/>
    <n v="261"/>
    <n v="4"/>
    <n v="1019"/>
    <s v="EARNED"/>
    <n v="11.83"/>
    <s v=""/>
    <d v="2026-01-26T15:12:09"/>
    <x v="3"/>
    <n v="11.83"/>
    <n v="0"/>
  </r>
  <r>
    <n v="1118"/>
    <n v="141"/>
    <n v="2"/>
    <n v="1020"/>
    <s v="EARNED"/>
    <n v="7.91"/>
    <s v=""/>
    <d v="2026-01-26T15:17:16"/>
    <x v="3"/>
    <n v="7.91"/>
    <n v="0"/>
  </r>
  <r>
    <n v="1119"/>
    <n v="137"/>
    <n v="5"/>
    <n v="1021"/>
    <s v="EARNED"/>
    <n v="3.89"/>
    <s v=""/>
    <d v="2026-01-26T16:08:13"/>
    <x v="3"/>
    <n v="3.89"/>
    <n v="0"/>
  </r>
  <r>
    <n v="1120"/>
    <n v="195"/>
    <n v="2"/>
    <n v="1022"/>
    <s v="EARNED"/>
    <n v="19.37"/>
    <s v=""/>
    <d v="2026-01-26T16:26:59"/>
    <x v="3"/>
    <n v="19.37"/>
    <n v="0"/>
  </r>
  <r>
    <n v="1121"/>
    <n v="297"/>
    <n v="2"/>
    <n v="1023"/>
    <s v="EARNED"/>
    <n v="8.2899999999999991"/>
    <s v=""/>
    <d v="2026-01-26T17:51:01"/>
    <x v="3"/>
    <n v="8.2899999999999991"/>
    <n v="0"/>
  </r>
  <r>
    <n v="1122"/>
    <n v="106"/>
    <n v="5"/>
    <n v="1024"/>
    <s v="EARNED"/>
    <n v="7.22"/>
    <s v=""/>
    <d v="2026-01-27T07:42:56"/>
    <x v="3"/>
    <n v="7.22"/>
    <n v="0"/>
  </r>
  <r>
    <n v="1123"/>
    <n v="39"/>
    <n v="3"/>
    <n v="1025"/>
    <s v="EARNED"/>
    <n v="20.46"/>
    <s v=""/>
    <d v="2026-01-27T08:23:04"/>
    <x v="3"/>
    <n v="20.46"/>
    <n v="0"/>
  </r>
  <r>
    <n v="1124"/>
    <n v="44"/>
    <n v="5"/>
    <n v="1026"/>
    <s v="EARNED"/>
    <n v="2.3199999999999998"/>
    <s v=""/>
    <d v="2026-01-27T09:42:04"/>
    <x v="3"/>
    <n v="2.3199999999999998"/>
    <n v="0"/>
  </r>
  <r>
    <n v="1125"/>
    <n v="137"/>
    <n v="2"/>
    <n v="1027"/>
    <s v="EARNED"/>
    <n v="6.94"/>
    <s v=""/>
    <d v="2026-01-27T10:52:01"/>
    <x v="3"/>
    <n v="6.94"/>
    <n v="0"/>
  </r>
  <r>
    <n v="1126"/>
    <n v="39"/>
    <n v="4"/>
    <n v="1028"/>
    <s v="EARNED"/>
    <n v="14.97"/>
    <s v=""/>
    <d v="2026-01-27T11:34:53"/>
    <x v="3"/>
    <n v="14.97"/>
    <n v="0"/>
  </r>
  <r>
    <n v="1127"/>
    <n v="83"/>
    <n v="5"/>
    <n v="1029"/>
    <s v="EARNED"/>
    <n v="3.53"/>
    <s v=""/>
    <d v="2026-01-27T11:39:17"/>
    <x v="3"/>
    <n v="3.53"/>
    <n v="0"/>
  </r>
  <r>
    <n v="1128"/>
    <n v="240"/>
    <n v="3"/>
    <n v="1030"/>
    <s v="EARNED"/>
    <n v="16.510000000000002"/>
    <s v=""/>
    <d v="2026-01-27T11:53:46"/>
    <x v="3"/>
    <n v="16.510000000000002"/>
    <n v="0"/>
  </r>
  <r>
    <n v="1129"/>
    <n v="176"/>
    <n v="2"/>
    <n v="1031"/>
    <s v="EARNED"/>
    <n v="16.059999999999999"/>
    <s v=""/>
    <d v="2026-01-27T13:44:43"/>
    <x v="3"/>
    <n v="16.059999999999999"/>
    <n v="0"/>
  </r>
  <r>
    <n v="1130"/>
    <n v="235"/>
    <n v="2"/>
    <n v="1032"/>
    <s v="EARNED"/>
    <n v="5.74"/>
    <s v=""/>
    <d v="2026-01-27T13:44:47"/>
    <x v="3"/>
    <n v="5.74"/>
    <n v="0"/>
  </r>
  <r>
    <n v="1131"/>
    <n v="125"/>
    <n v="4"/>
    <n v="1033"/>
    <s v="EARNED"/>
    <n v="3.02"/>
    <s v=""/>
    <d v="2026-01-27T14:36:54"/>
    <x v="3"/>
    <n v="3.02"/>
    <n v="0"/>
  </r>
  <r>
    <n v="1132"/>
    <n v="156"/>
    <n v="5"/>
    <n v="1034"/>
    <s v="EARNED"/>
    <n v="2.8"/>
    <s v=""/>
    <d v="2026-01-27T14:53:45"/>
    <x v="3"/>
    <n v="2.8"/>
    <n v="0"/>
  </r>
  <r>
    <n v="1133"/>
    <n v="136"/>
    <n v="5"/>
    <n v="1035"/>
    <s v="EARNED"/>
    <n v="5.29"/>
    <s v=""/>
    <d v="2026-01-27T15:21:34"/>
    <x v="3"/>
    <n v="5.29"/>
    <n v="0"/>
  </r>
  <r>
    <n v="1134"/>
    <n v="91"/>
    <n v="5"/>
    <n v="1036"/>
    <s v="EARNED"/>
    <n v="2.61"/>
    <s v=""/>
    <d v="2026-01-27T15:22:48"/>
    <x v="3"/>
    <n v="2.61"/>
    <n v="0"/>
  </r>
  <r>
    <n v="1135"/>
    <n v="240"/>
    <n v="5"/>
    <n v="1037"/>
    <s v="EARNED"/>
    <n v="20.32"/>
    <s v=""/>
    <d v="2026-01-27T16:19:17"/>
    <x v="3"/>
    <n v="20.32"/>
    <n v="0"/>
  </r>
  <r>
    <n v="1136"/>
    <n v="101"/>
    <n v="3"/>
    <n v="1038"/>
    <s v="EARNED"/>
    <n v="3.32"/>
    <s v=""/>
    <d v="2026-01-27T16:19:28"/>
    <x v="3"/>
    <n v="3.32"/>
    <n v="0"/>
  </r>
  <r>
    <n v="1137"/>
    <n v="59"/>
    <n v="3"/>
    <n v="1039"/>
    <s v="REDEEMED"/>
    <n v="18.13"/>
    <s v=""/>
    <d v="2026-01-27T16:44:00"/>
    <x v="3"/>
    <n v="0"/>
    <n v="18.13"/>
  </r>
  <r>
    <n v="1138"/>
    <n v="304"/>
    <n v="5"/>
    <n v="1040"/>
    <s v="EARNED"/>
    <n v="3.35"/>
    <s v=""/>
    <d v="2026-01-27T17:08:21"/>
    <x v="3"/>
    <n v="3.35"/>
    <n v="0"/>
  </r>
  <r>
    <n v="1139"/>
    <n v="81"/>
    <n v="3"/>
    <n v="1041"/>
    <s v="EARNED"/>
    <n v="1.51"/>
    <s v=""/>
    <d v="2026-01-27T17:11:58"/>
    <x v="3"/>
    <n v="1.51"/>
    <n v="0"/>
  </r>
  <r>
    <n v="1140"/>
    <n v="70"/>
    <n v="5"/>
    <n v="1042"/>
    <s v="EARNED"/>
    <n v="19.170000000000002"/>
    <s v=""/>
    <d v="2026-01-27T19:11:16"/>
    <x v="3"/>
    <n v="19.170000000000002"/>
    <n v="0"/>
  </r>
  <r>
    <n v="1141"/>
    <n v="221"/>
    <n v="4"/>
    <n v="1043"/>
    <s v="EARNED"/>
    <n v="27.99"/>
    <s v=""/>
    <d v="2026-01-28T07:21:33"/>
    <x v="3"/>
    <n v="27.99"/>
    <n v="0"/>
  </r>
  <r>
    <n v="1142"/>
    <n v="270"/>
    <n v="3"/>
    <n v="1044"/>
    <s v="EARNED"/>
    <n v="3.69"/>
    <s v=""/>
    <d v="2026-01-28T08:09:38"/>
    <x v="3"/>
    <n v="3.69"/>
    <n v="0"/>
  </r>
  <r>
    <n v="1143"/>
    <n v="115"/>
    <n v="3"/>
    <n v="1045"/>
    <s v="EARNED"/>
    <n v="2.37"/>
    <s v=""/>
    <d v="2026-01-28T09:48:45"/>
    <x v="3"/>
    <n v="2.37"/>
    <n v="0"/>
  </r>
  <r>
    <n v="1144"/>
    <n v="240"/>
    <n v="2"/>
    <n v="1046"/>
    <s v="EARNED"/>
    <n v="23.53"/>
    <s v=""/>
    <d v="2026-01-28T10:02:24"/>
    <x v="3"/>
    <n v="23.53"/>
    <n v="0"/>
  </r>
  <r>
    <n v="1145"/>
    <n v="37"/>
    <n v="2"/>
    <n v="1047"/>
    <s v="EARNED"/>
    <n v="14.13"/>
    <s v=""/>
    <d v="2026-01-28T10:51:08"/>
    <x v="3"/>
    <n v="14.13"/>
    <n v="0"/>
  </r>
  <r>
    <n v="1146"/>
    <n v="156"/>
    <n v="2"/>
    <n v="1048"/>
    <s v="EARNED"/>
    <n v="3.15"/>
    <s v=""/>
    <d v="2026-01-28T12:09:46"/>
    <x v="3"/>
    <n v="3.15"/>
    <n v="0"/>
  </r>
  <r>
    <n v="1147"/>
    <n v="274"/>
    <n v="5"/>
    <n v="1049"/>
    <s v="EARNED"/>
    <n v="4.43"/>
    <s v=""/>
    <d v="2026-01-28T14:12:47"/>
    <x v="3"/>
    <n v="4.43"/>
    <n v="0"/>
  </r>
  <r>
    <n v="1148"/>
    <n v="197"/>
    <n v="5"/>
    <n v="1050"/>
    <s v="EARNED"/>
    <n v="16.28"/>
    <s v=""/>
    <d v="2026-01-28T14:13:44"/>
    <x v="3"/>
    <n v="16.28"/>
    <n v="0"/>
  </r>
  <r>
    <n v="1149"/>
    <n v="270"/>
    <n v="1"/>
    <m/>
    <s v="ADJUSTMENT"/>
    <n v="-7.71"/>
    <s v="Corrección por captura duplicada"/>
    <d v="2026-01-28T14:20:53"/>
    <x v="3"/>
    <n v="0"/>
    <n v="0"/>
  </r>
  <r>
    <n v="1150"/>
    <n v="137"/>
    <n v="4"/>
    <n v="1051"/>
    <s v="EARNED"/>
    <n v="3.85"/>
    <s v=""/>
    <d v="2026-01-28T14:44:05"/>
    <x v="3"/>
    <n v="3.85"/>
    <n v="0"/>
  </r>
  <r>
    <n v="1151"/>
    <n v="115"/>
    <n v="4"/>
    <n v="1045"/>
    <s v="ADJUSTMENT"/>
    <n v="-2.37"/>
    <s v="Reverso por cancelación de compra #1045: Monto duplicado por error de sistema"/>
    <d v="2026-01-28T14:48:45"/>
    <x v="3"/>
    <n v="0"/>
    <n v="0"/>
  </r>
  <r>
    <n v="1152"/>
    <n v="27"/>
    <n v="3"/>
    <n v="1052"/>
    <s v="EARNED"/>
    <n v="7.78"/>
    <s v=""/>
    <d v="2026-01-28T15:03:02"/>
    <x v="3"/>
    <n v="7.78"/>
    <n v="0"/>
  </r>
  <r>
    <n v="1153"/>
    <n v="157"/>
    <n v="5"/>
    <n v="1053"/>
    <s v="EARNED"/>
    <n v="3.82"/>
    <s v=""/>
    <d v="2026-01-28T15:11:42"/>
    <x v="3"/>
    <n v="3.82"/>
    <n v="0"/>
  </r>
  <r>
    <n v="1154"/>
    <n v="144"/>
    <n v="5"/>
    <n v="1054"/>
    <s v="EARNED"/>
    <n v="22"/>
    <s v=""/>
    <d v="2026-01-28T15:20:31"/>
    <x v="3"/>
    <n v="22"/>
    <n v="0"/>
  </r>
  <r>
    <n v="1155"/>
    <n v="42"/>
    <n v="4"/>
    <n v="1055"/>
    <s v="EARNED"/>
    <n v="2.8"/>
    <s v=""/>
    <d v="2026-01-28T15:52:11"/>
    <x v="3"/>
    <n v="2.8"/>
    <n v="0"/>
  </r>
  <r>
    <n v="1156"/>
    <n v="106"/>
    <n v="4"/>
    <n v="1056"/>
    <s v="REDEEMED"/>
    <n v="84.79"/>
    <s v=""/>
    <d v="2026-01-28T17:27:55"/>
    <x v="3"/>
    <n v="0"/>
    <n v="84.79"/>
  </r>
  <r>
    <n v="1157"/>
    <n v="197"/>
    <n v="4"/>
    <n v="1057"/>
    <s v="EARNED"/>
    <n v="13.78"/>
    <s v=""/>
    <d v="2026-01-28T19:35:53"/>
    <x v="3"/>
    <n v="13.78"/>
    <n v="0"/>
  </r>
  <r>
    <n v="1158"/>
    <n v="59"/>
    <n v="4"/>
    <n v="1058"/>
    <s v="EARNED"/>
    <n v="2.29"/>
    <s v=""/>
    <d v="2026-01-29T09:12:31"/>
    <x v="3"/>
    <n v="2.29"/>
    <n v="0"/>
  </r>
  <r>
    <n v="1159"/>
    <n v="261"/>
    <n v="3"/>
    <n v="1059"/>
    <s v="EARNED"/>
    <n v="8.7200000000000006"/>
    <s v=""/>
    <d v="2026-01-29T09:14:37"/>
    <x v="3"/>
    <n v="8.7200000000000006"/>
    <n v="0"/>
  </r>
  <r>
    <n v="1160"/>
    <n v="262"/>
    <n v="2"/>
    <n v="1060"/>
    <s v="EARNED"/>
    <n v="8.9499999999999993"/>
    <s v=""/>
    <d v="2026-01-29T09:41:39"/>
    <x v="3"/>
    <n v="8.9499999999999993"/>
    <n v="0"/>
  </r>
  <r>
    <n v="1161"/>
    <n v="227"/>
    <n v="4"/>
    <n v="1061"/>
    <s v="EARNED"/>
    <n v="1.91"/>
    <s v=""/>
    <d v="2026-01-29T10:23:03"/>
    <x v="3"/>
    <n v="1.91"/>
    <n v="0"/>
  </r>
  <r>
    <n v="1162"/>
    <n v="48"/>
    <n v="3"/>
    <n v="1062"/>
    <s v="EARNED"/>
    <n v="6.65"/>
    <s v=""/>
    <d v="2026-01-29T10:40:19"/>
    <x v="3"/>
    <n v="6.65"/>
    <n v="0"/>
  </r>
  <r>
    <n v="1163"/>
    <n v="197"/>
    <n v="4"/>
    <n v="1057"/>
    <s v="ADJUSTMENT"/>
    <n v="-13.78"/>
    <s v="Reverso por cancelación de compra #1057: Solicitud del cliente"/>
    <d v="2026-01-29T11:35:53"/>
    <x v="3"/>
    <n v="0"/>
    <n v="0"/>
  </r>
  <r>
    <n v="1164"/>
    <n v="233"/>
    <n v="2"/>
    <n v="1063"/>
    <s v="EARNED"/>
    <n v="10.24"/>
    <s v=""/>
    <d v="2026-01-29T16:39:48"/>
    <x v="3"/>
    <n v="10.24"/>
    <n v="0"/>
  </r>
  <r>
    <n v="1165"/>
    <n v="124"/>
    <n v="3"/>
    <n v="1064"/>
    <s v="EARNED"/>
    <n v="2.59"/>
    <s v=""/>
    <d v="2026-01-30T09:58:16"/>
    <x v="3"/>
    <n v="2.59"/>
    <n v="0"/>
  </r>
  <r>
    <n v="1166"/>
    <n v="233"/>
    <n v="4"/>
    <n v="1065"/>
    <s v="EARNED"/>
    <n v="12.56"/>
    <s v=""/>
    <d v="2026-01-30T12:34:57"/>
    <x v="3"/>
    <n v="12.56"/>
    <n v="0"/>
  </r>
  <r>
    <n v="1167"/>
    <n v="197"/>
    <n v="5"/>
    <n v="1066"/>
    <s v="EARNED"/>
    <n v="8.27"/>
    <s v=""/>
    <d v="2026-01-30T13:18:29"/>
    <x v="3"/>
    <n v="8.27"/>
    <n v="0"/>
  </r>
  <r>
    <n v="1168"/>
    <n v="172"/>
    <n v="3"/>
    <n v="1067"/>
    <s v="EARNED"/>
    <n v="3.82"/>
    <s v=""/>
    <d v="2026-01-30T15:28:12"/>
    <x v="3"/>
    <n v="3.82"/>
    <n v="0"/>
  </r>
  <r>
    <n v="1169"/>
    <n v="240"/>
    <n v="2"/>
    <n v="1068"/>
    <s v="EARNED"/>
    <n v="22.37"/>
    <s v=""/>
    <d v="2026-01-30T16:17:55"/>
    <x v="3"/>
    <n v="22.37"/>
    <n v="0"/>
  </r>
  <r>
    <n v="1170"/>
    <n v="257"/>
    <n v="2"/>
    <n v="1069"/>
    <s v="EARNED"/>
    <n v="15.31"/>
    <s v=""/>
    <d v="2026-01-30T16:29:26"/>
    <x v="3"/>
    <n v="15.31"/>
    <n v="0"/>
  </r>
  <r>
    <n v="1171"/>
    <n v="16"/>
    <n v="4"/>
    <n v="1070"/>
    <s v="EARNED"/>
    <n v="18.64"/>
    <s v=""/>
    <d v="2026-01-30T16:46:00"/>
    <x v="3"/>
    <n v="18.64"/>
    <n v="0"/>
  </r>
  <r>
    <n v="1172"/>
    <n v="69"/>
    <n v="4"/>
    <n v="1071"/>
    <s v="EARNED"/>
    <n v="3.17"/>
    <s v=""/>
    <d v="2026-01-30T17:42:21"/>
    <x v="3"/>
    <n v="3.17"/>
    <n v="0"/>
  </r>
  <r>
    <n v="1173"/>
    <n v="279"/>
    <n v="2"/>
    <n v="1072"/>
    <s v="EARNED"/>
    <n v="30"/>
    <s v=""/>
    <d v="2026-01-30T18:43:36"/>
    <x v="3"/>
    <n v="30"/>
    <n v="0"/>
  </r>
  <r>
    <n v="1174"/>
    <n v="202"/>
    <n v="4"/>
    <n v="1073"/>
    <s v="EARNED"/>
    <n v="1.51"/>
    <s v=""/>
    <d v="2026-01-31T09:27:43"/>
    <x v="3"/>
    <n v="1.51"/>
    <n v="0"/>
  </r>
  <r>
    <n v="1175"/>
    <n v="59"/>
    <n v="2"/>
    <n v="1074"/>
    <s v="EARNED"/>
    <n v="2.97"/>
    <s v=""/>
    <d v="2026-01-31T09:57:38"/>
    <x v="3"/>
    <n v="2.97"/>
    <n v="0"/>
  </r>
  <r>
    <n v="1176"/>
    <n v="136"/>
    <n v="4"/>
    <n v="1075"/>
    <s v="EARNED"/>
    <n v="14.15"/>
    <s v=""/>
    <d v="2026-01-31T10:49:41"/>
    <x v="3"/>
    <n v="14.15"/>
    <n v="0"/>
  </r>
  <r>
    <n v="1177"/>
    <n v="296"/>
    <n v="3"/>
    <n v="1076"/>
    <s v="EARNED"/>
    <n v="4.82"/>
    <s v=""/>
    <d v="2026-01-31T12:03:07"/>
    <x v="3"/>
    <n v="4.82"/>
    <n v="0"/>
  </r>
  <r>
    <n v="1178"/>
    <n v="207"/>
    <n v="5"/>
    <n v="1077"/>
    <s v="EARNED"/>
    <n v="6"/>
    <s v=""/>
    <d v="2026-01-31T12:10:18"/>
    <x v="3"/>
    <n v="6"/>
    <n v="0"/>
  </r>
  <r>
    <n v="1179"/>
    <n v="265"/>
    <n v="4"/>
    <n v="1078"/>
    <s v="EARNED"/>
    <n v="16.809999999999999"/>
    <s v=""/>
    <d v="2026-01-31T12:10:39"/>
    <x v="3"/>
    <n v="16.809999999999999"/>
    <n v="0"/>
  </r>
  <r>
    <n v="1180"/>
    <n v="279"/>
    <n v="2"/>
    <n v="1079"/>
    <s v="EARNED"/>
    <n v="22.13"/>
    <s v=""/>
    <d v="2026-01-31T12:18:17"/>
    <x v="3"/>
    <n v="22.13"/>
    <n v="0"/>
  </r>
  <r>
    <n v="1181"/>
    <n v="27"/>
    <n v="3"/>
    <n v="1080"/>
    <s v="EARNED"/>
    <n v="10.07"/>
    <s v=""/>
    <d v="2026-01-31T13:13:44"/>
    <x v="3"/>
    <n v="10.07"/>
    <n v="0"/>
  </r>
  <r>
    <n v="1182"/>
    <n v="156"/>
    <n v="5"/>
    <n v="1081"/>
    <s v="EARNED"/>
    <n v="3.52"/>
    <s v=""/>
    <d v="2026-01-31T13:58:23"/>
    <x v="3"/>
    <n v="3.52"/>
    <n v="0"/>
  </r>
  <r>
    <n v="1183"/>
    <n v="15"/>
    <n v="5"/>
    <n v="1082"/>
    <s v="EARNED"/>
    <n v="3.6"/>
    <s v=""/>
    <d v="2026-01-31T15:16:12"/>
    <x v="3"/>
    <n v="3.6"/>
    <n v="0"/>
  </r>
  <r>
    <n v="1184"/>
    <n v="84"/>
    <n v="2"/>
    <n v="1083"/>
    <s v="EARNED"/>
    <n v="8.84"/>
    <s v=""/>
    <d v="2026-01-31T16:52:38"/>
    <x v="3"/>
    <n v="8.84"/>
    <n v="0"/>
  </r>
  <r>
    <n v="1185"/>
    <n v="156"/>
    <n v="2"/>
    <n v="1084"/>
    <s v="EARNED"/>
    <n v="3.19"/>
    <s v=""/>
    <d v="2026-01-31T17:39:58"/>
    <x v="3"/>
    <n v="3.19"/>
    <n v="0"/>
  </r>
  <r>
    <n v="1186"/>
    <n v="39"/>
    <n v="2"/>
    <n v="1085"/>
    <s v="EARNED"/>
    <n v="19.670000000000002"/>
    <s v=""/>
    <d v="2026-01-31T17:55:36"/>
    <x v="3"/>
    <n v="19.670000000000002"/>
    <n v="0"/>
  </r>
  <r>
    <n v="1187"/>
    <n v="59"/>
    <n v="2"/>
    <n v="1074"/>
    <s v="ADJUSTMENT"/>
    <n v="-2.97"/>
    <s v="Reverso por cancelación de compra #1074: Monto duplicado por error de sistema"/>
    <d v="2026-02-01T01:57:38"/>
    <x v="4"/>
    <n v="0"/>
    <n v="0"/>
  </r>
  <r>
    <n v="1188"/>
    <n v="126"/>
    <n v="4"/>
    <n v="1086"/>
    <s v="EARNED"/>
    <n v="6.04"/>
    <s v=""/>
    <d v="2026-02-01T07:45:51"/>
    <x v="4"/>
    <n v="6.04"/>
    <n v="0"/>
  </r>
  <r>
    <n v="1189"/>
    <n v="253"/>
    <n v="4"/>
    <n v="1087"/>
    <s v="EARNED"/>
    <n v="3.23"/>
    <s v=""/>
    <d v="2026-02-01T09:52:55"/>
    <x v="4"/>
    <n v="3.23"/>
    <n v="0"/>
  </r>
  <r>
    <n v="1190"/>
    <n v="52"/>
    <n v="3"/>
    <n v="1088"/>
    <s v="EARNED"/>
    <n v="2.42"/>
    <s v=""/>
    <d v="2026-02-01T10:42:15"/>
    <x v="4"/>
    <n v="2.42"/>
    <n v="0"/>
  </r>
  <r>
    <n v="1191"/>
    <n v="31"/>
    <n v="4"/>
    <n v="1089"/>
    <s v="EARNED"/>
    <n v="3.39"/>
    <s v=""/>
    <d v="2026-02-01T12:06:14"/>
    <x v="4"/>
    <n v="3.39"/>
    <n v="0"/>
  </r>
  <r>
    <n v="1192"/>
    <n v="91"/>
    <n v="5"/>
    <n v="1090"/>
    <s v="EARNED"/>
    <n v="3.68"/>
    <s v=""/>
    <d v="2026-02-01T15:52:11"/>
    <x v="4"/>
    <n v="3.68"/>
    <n v="0"/>
  </r>
  <r>
    <n v="1193"/>
    <n v="21"/>
    <n v="4"/>
    <n v="1091"/>
    <s v="EARNED"/>
    <n v="1.92"/>
    <s v=""/>
    <d v="2026-02-01T16:07:58"/>
    <x v="4"/>
    <n v="1.92"/>
    <n v="0"/>
  </r>
  <r>
    <n v="1194"/>
    <n v="44"/>
    <n v="3"/>
    <n v="1092"/>
    <s v="EARNED"/>
    <n v="1.82"/>
    <s v=""/>
    <d v="2026-02-02T08:23:32"/>
    <x v="4"/>
    <n v="1.82"/>
    <n v="0"/>
  </r>
  <r>
    <n v="1195"/>
    <n v="45"/>
    <n v="3"/>
    <n v="1093"/>
    <s v="EARNED"/>
    <n v="9.86"/>
    <s v=""/>
    <d v="2026-02-02T08:34:25"/>
    <x v="4"/>
    <n v="9.86"/>
    <n v="0"/>
  </r>
  <r>
    <n v="1196"/>
    <n v="21"/>
    <n v="5"/>
    <n v="1094"/>
    <s v="EARNED"/>
    <n v="2.0699999999999998"/>
    <s v=""/>
    <d v="2026-02-02T08:39:27"/>
    <x v="4"/>
    <n v="2.0699999999999998"/>
    <n v="0"/>
  </r>
  <r>
    <n v="1197"/>
    <n v="240"/>
    <n v="5"/>
    <n v="1095"/>
    <s v="EARNED"/>
    <n v="26.82"/>
    <s v=""/>
    <d v="2026-02-02T08:45:27"/>
    <x v="4"/>
    <n v="26.82"/>
    <n v="0"/>
  </r>
  <r>
    <n v="1198"/>
    <n v="63"/>
    <n v="5"/>
    <n v="1096"/>
    <s v="EARNED"/>
    <n v="1.73"/>
    <s v=""/>
    <d v="2026-02-02T09:57:14"/>
    <x v="4"/>
    <n v="1.73"/>
    <n v="0"/>
  </r>
  <r>
    <n v="1199"/>
    <n v="252"/>
    <n v="5"/>
    <n v="1097"/>
    <s v="EARNED"/>
    <n v="3.03"/>
    <s v=""/>
    <d v="2026-02-02T11:38:16"/>
    <x v="4"/>
    <n v="3.03"/>
    <n v="0"/>
  </r>
  <r>
    <n v="1200"/>
    <n v="293"/>
    <n v="3"/>
    <n v="1098"/>
    <s v="EARNED"/>
    <n v="1.9"/>
    <s v=""/>
    <d v="2026-02-02T11:39:03"/>
    <x v="4"/>
    <n v="1.9"/>
    <n v="0"/>
  </r>
  <r>
    <n v="1201"/>
    <n v="163"/>
    <n v="5"/>
    <n v="1099"/>
    <s v="EARNED"/>
    <n v="3.09"/>
    <s v=""/>
    <d v="2026-02-02T12:39:55"/>
    <x v="4"/>
    <n v="3.09"/>
    <n v="0"/>
  </r>
  <r>
    <n v="1202"/>
    <n v="293"/>
    <n v="3"/>
    <n v="1098"/>
    <s v="ADJUSTMENT"/>
    <n v="-1.9"/>
    <s v="Reverso por cancelación de compra #1098: Error de captura"/>
    <d v="2026-02-02T14:39:03"/>
    <x v="4"/>
    <n v="0"/>
    <n v="0"/>
  </r>
  <r>
    <n v="1203"/>
    <n v="60"/>
    <n v="2"/>
    <n v="1100"/>
    <s v="EARNED"/>
    <n v="26.87"/>
    <s v=""/>
    <d v="2026-02-02T15:22:03"/>
    <x v="4"/>
    <n v="26.87"/>
    <n v="0"/>
  </r>
  <r>
    <n v="1204"/>
    <n v="57"/>
    <n v="4"/>
    <n v="1101"/>
    <s v="EARNED"/>
    <n v="6.31"/>
    <s v=""/>
    <d v="2026-02-02T15:22:15"/>
    <x v="4"/>
    <n v="6.31"/>
    <n v="0"/>
  </r>
  <r>
    <n v="1205"/>
    <n v="117"/>
    <n v="4"/>
    <n v="1102"/>
    <s v="EARNED"/>
    <n v="10.5"/>
    <s v=""/>
    <d v="2026-02-02T17:10:26"/>
    <x v="4"/>
    <n v="10.5"/>
    <n v="0"/>
  </r>
  <r>
    <n v="1206"/>
    <n v="37"/>
    <n v="3"/>
    <n v="1103"/>
    <s v="EARNED"/>
    <n v="10.79"/>
    <s v=""/>
    <d v="2026-02-02T17:49:52"/>
    <x v="4"/>
    <n v="10.79"/>
    <n v="0"/>
  </r>
  <r>
    <n v="1207"/>
    <n v="44"/>
    <n v="5"/>
    <n v="1104"/>
    <s v="EARNED"/>
    <n v="1.84"/>
    <s v=""/>
    <d v="2026-02-02T19:26:12"/>
    <x v="4"/>
    <n v="1.84"/>
    <n v="0"/>
  </r>
  <r>
    <n v="1208"/>
    <n v="87"/>
    <n v="4"/>
    <n v="1105"/>
    <s v="EARNED"/>
    <n v="7.16"/>
    <s v=""/>
    <d v="2026-02-02T19:57:41"/>
    <x v="4"/>
    <n v="7.16"/>
    <n v="0"/>
  </r>
  <r>
    <n v="1209"/>
    <n v="31"/>
    <n v="2"/>
    <n v="1106"/>
    <s v="EARNED"/>
    <n v="1.95"/>
    <s v=""/>
    <d v="2026-02-03T08:01:35"/>
    <x v="4"/>
    <n v="1.95"/>
    <n v="0"/>
  </r>
  <r>
    <n v="1210"/>
    <n v="52"/>
    <n v="4"/>
    <n v="1107"/>
    <s v="REDEEMED"/>
    <n v="41.72"/>
    <s v=""/>
    <d v="2026-02-03T09:41:37"/>
    <x v="4"/>
    <n v="0"/>
    <n v="41.72"/>
  </r>
  <r>
    <n v="1211"/>
    <n v="52"/>
    <n v="2"/>
    <n v="1108"/>
    <s v="EARNED"/>
    <n v="4.1500000000000004"/>
    <s v=""/>
    <d v="2026-02-03T09:45:16"/>
    <x v="4"/>
    <n v="4.1500000000000004"/>
    <n v="0"/>
  </r>
  <r>
    <n v="1212"/>
    <n v="84"/>
    <n v="3"/>
    <n v="1109"/>
    <s v="EARNED"/>
    <n v="3.58"/>
    <s v=""/>
    <d v="2026-02-03T09:54:01"/>
    <x v="4"/>
    <n v="3.58"/>
    <n v="0"/>
  </r>
  <r>
    <n v="1213"/>
    <n v="151"/>
    <n v="5"/>
    <n v="1110"/>
    <s v="EARNED"/>
    <n v="14.05"/>
    <s v=""/>
    <d v="2026-02-03T10:26:54"/>
    <x v="4"/>
    <n v="14.05"/>
    <n v="0"/>
  </r>
  <r>
    <n v="1214"/>
    <n v="112"/>
    <n v="2"/>
    <n v="1111"/>
    <s v="EARNED"/>
    <n v="2.98"/>
    <s v=""/>
    <d v="2026-02-03T11:36:11"/>
    <x v="4"/>
    <n v="2.98"/>
    <n v="0"/>
  </r>
  <r>
    <n v="1215"/>
    <n v="137"/>
    <n v="2"/>
    <n v="1112"/>
    <s v="REDEEMED"/>
    <n v="12.88"/>
    <s v=""/>
    <d v="2026-02-03T15:43:04"/>
    <x v="4"/>
    <n v="0"/>
    <n v="12.88"/>
  </r>
  <r>
    <n v="1216"/>
    <n v="56"/>
    <n v="3"/>
    <n v="1113"/>
    <s v="EARNED"/>
    <n v="7.18"/>
    <s v=""/>
    <d v="2026-02-03T17:34:51"/>
    <x v="4"/>
    <n v="7.18"/>
    <n v="0"/>
  </r>
  <r>
    <n v="1217"/>
    <n v="280"/>
    <n v="3"/>
    <n v="1114"/>
    <s v="EARNED"/>
    <n v="2.81"/>
    <s v=""/>
    <d v="2026-02-03T18:11:59"/>
    <x v="4"/>
    <n v="2.81"/>
    <n v="0"/>
  </r>
  <r>
    <n v="1218"/>
    <n v="156"/>
    <n v="4"/>
    <n v="1115"/>
    <s v="EARNED"/>
    <n v="3.01"/>
    <s v=""/>
    <d v="2026-02-04T07:43:31"/>
    <x v="4"/>
    <n v="3.01"/>
    <n v="0"/>
  </r>
  <r>
    <n v="1219"/>
    <n v="38"/>
    <n v="2"/>
    <n v="1116"/>
    <s v="EARNED"/>
    <n v="2.14"/>
    <s v=""/>
    <d v="2026-02-04T07:51:19"/>
    <x v="4"/>
    <n v="2.14"/>
    <n v="0"/>
  </r>
  <r>
    <n v="1220"/>
    <n v="137"/>
    <n v="5"/>
    <n v="1117"/>
    <s v="EARNED"/>
    <n v="2.99"/>
    <s v=""/>
    <d v="2026-02-04T08:04:00"/>
    <x v="4"/>
    <n v="2.99"/>
    <n v="0"/>
  </r>
  <r>
    <n v="1221"/>
    <n v="94"/>
    <n v="5"/>
    <n v="1118"/>
    <s v="EARNED"/>
    <n v="19.29"/>
    <s v=""/>
    <d v="2026-02-04T08:45:42"/>
    <x v="4"/>
    <n v="19.29"/>
    <n v="0"/>
  </r>
  <r>
    <n v="1222"/>
    <n v="156"/>
    <n v="3"/>
    <n v="1119"/>
    <s v="EARNED"/>
    <n v="2.39"/>
    <s v=""/>
    <d v="2026-02-04T09:07:16"/>
    <x v="4"/>
    <n v="2.39"/>
    <n v="0"/>
  </r>
  <r>
    <n v="1223"/>
    <n v="156"/>
    <n v="5"/>
    <n v="1120"/>
    <s v="EARNED"/>
    <n v="2.74"/>
    <s v=""/>
    <d v="2026-02-04T09:22:38"/>
    <x v="4"/>
    <n v="2.74"/>
    <n v="0"/>
  </r>
  <r>
    <n v="1224"/>
    <n v="17"/>
    <n v="5"/>
    <n v="1121"/>
    <s v="EARNED"/>
    <n v="9.7899999999999991"/>
    <s v=""/>
    <d v="2026-02-04T09:27:58"/>
    <x v="4"/>
    <n v="9.7899999999999991"/>
    <n v="0"/>
  </r>
  <r>
    <n v="1225"/>
    <n v="40"/>
    <n v="2"/>
    <n v="1122"/>
    <s v="EARNED"/>
    <n v="11"/>
    <s v=""/>
    <d v="2026-02-04T09:52:31"/>
    <x v="4"/>
    <n v="11"/>
    <n v="0"/>
  </r>
  <r>
    <n v="1226"/>
    <n v="227"/>
    <n v="4"/>
    <n v="1123"/>
    <s v="EARNED"/>
    <n v="4.26"/>
    <s v=""/>
    <d v="2026-02-04T10:24:49"/>
    <x v="4"/>
    <n v="4.26"/>
    <n v="0"/>
  </r>
  <r>
    <n v="1227"/>
    <n v="270"/>
    <n v="2"/>
    <n v="1124"/>
    <s v="EARNED"/>
    <n v="3.12"/>
    <s v=""/>
    <d v="2026-02-04T14:04:00"/>
    <x v="4"/>
    <n v="3.12"/>
    <n v="0"/>
  </r>
  <r>
    <n v="1228"/>
    <n v="136"/>
    <n v="4"/>
    <n v="1125"/>
    <s v="EARNED"/>
    <n v="10.97"/>
    <s v=""/>
    <d v="2026-02-04T15:01:45"/>
    <x v="4"/>
    <n v="10.97"/>
    <n v="0"/>
  </r>
  <r>
    <n v="1229"/>
    <n v="137"/>
    <n v="4"/>
    <n v="1126"/>
    <s v="EARNED"/>
    <n v="3.38"/>
    <s v=""/>
    <d v="2026-02-04T15:45:04"/>
    <x v="4"/>
    <n v="3.38"/>
    <n v="0"/>
  </r>
  <r>
    <n v="1230"/>
    <n v="279"/>
    <n v="5"/>
    <n v="1127"/>
    <s v="EARNED"/>
    <n v="12.86"/>
    <s v=""/>
    <d v="2026-02-04T15:48:30"/>
    <x v="4"/>
    <n v="12.86"/>
    <n v="0"/>
  </r>
  <r>
    <n v="1231"/>
    <n v="137"/>
    <n v="2"/>
    <n v="1128"/>
    <s v="EARNED"/>
    <n v="3.14"/>
    <s v=""/>
    <d v="2026-02-04T16:59:16"/>
    <x v="4"/>
    <n v="3.14"/>
    <n v="0"/>
  </r>
  <r>
    <n v="1232"/>
    <n v="52"/>
    <n v="3"/>
    <n v="1129"/>
    <s v="EARNED"/>
    <n v="1.45"/>
    <s v=""/>
    <d v="2026-02-04T17:43:23"/>
    <x v="4"/>
    <n v="1.45"/>
    <n v="0"/>
  </r>
  <r>
    <n v="1233"/>
    <n v="273"/>
    <n v="1"/>
    <m/>
    <s v="ADJUSTMENT"/>
    <n v="24.79"/>
    <s v="Ajuste por reclamo de cliente"/>
    <d v="2026-02-04T21:35:23"/>
    <x v="4"/>
    <n v="0"/>
    <n v="0"/>
  </r>
  <r>
    <n v="1234"/>
    <n v="47"/>
    <n v="4"/>
    <n v="1130"/>
    <s v="EARNED"/>
    <n v="2.5099999999999998"/>
    <s v=""/>
    <d v="2026-02-05T07:33:27"/>
    <x v="4"/>
    <n v="2.5099999999999998"/>
    <n v="0"/>
  </r>
  <r>
    <n v="1235"/>
    <n v="63"/>
    <n v="3"/>
    <n v="1131"/>
    <s v="EARNED"/>
    <n v="7.06"/>
    <s v=""/>
    <d v="2026-02-05T08:13:26"/>
    <x v="4"/>
    <n v="7.06"/>
    <n v="0"/>
  </r>
  <r>
    <n v="1236"/>
    <n v="192"/>
    <n v="5"/>
    <n v="1132"/>
    <s v="EARNED"/>
    <n v="1.77"/>
    <s v=""/>
    <d v="2026-02-05T09:00:14"/>
    <x v="4"/>
    <n v="1.77"/>
    <n v="0"/>
  </r>
  <r>
    <n v="1237"/>
    <n v="48"/>
    <n v="5"/>
    <n v="1133"/>
    <s v="EARNED"/>
    <n v="8.7899999999999991"/>
    <s v=""/>
    <d v="2026-02-05T09:20:44"/>
    <x v="4"/>
    <n v="8.7899999999999991"/>
    <n v="0"/>
  </r>
  <r>
    <n v="1238"/>
    <n v="65"/>
    <n v="4"/>
    <n v="1134"/>
    <s v="EARNED"/>
    <n v="3.3"/>
    <s v=""/>
    <d v="2026-02-05T10:19:57"/>
    <x v="4"/>
    <n v="3.3"/>
    <n v="0"/>
  </r>
  <r>
    <n v="1239"/>
    <n v="156"/>
    <n v="2"/>
    <n v="1135"/>
    <s v="EARNED"/>
    <n v="1.52"/>
    <s v=""/>
    <d v="2026-02-05T10:20:28"/>
    <x v="4"/>
    <n v="1.52"/>
    <n v="0"/>
  </r>
  <r>
    <n v="1240"/>
    <n v="137"/>
    <n v="4"/>
    <n v="1136"/>
    <s v="EARNED"/>
    <n v="2.56"/>
    <s v=""/>
    <d v="2026-02-05T10:31:20"/>
    <x v="4"/>
    <n v="2.56"/>
    <n v="0"/>
  </r>
  <r>
    <n v="1241"/>
    <n v="150"/>
    <n v="3"/>
    <n v="1137"/>
    <s v="EARNED"/>
    <n v="10.75"/>
    <s v=""/>
    <d v="2026-02-05T12:21:51"/>
    <x v="4"/>
    <n v="10.75"/>
    <n v="0"/>
  </r>
  <r>
    <n v="1242"/>
    <n v="81"/>
    <n v="1"/>
    <m/>
    <s v="ADJUSTMENT"/>
    <n v="9.44"/>
    <s v="Ajuste por reclamo de cliente"/>
    <d v="2026-02-05T14:35:12"/>
    <x v="4"/>
    <n v="0"/>
    <n v="0"/>
  </r>
  <r>
    <n v="1243"/>
    <n v="117"/>
    <n v="2"/>
    <n v="1138"/>
    <s v="EARNED"/>
    <n v="15"/>
    <s v=""/>
    <d v="2026-02-05T14:42:55"/>
    <x v="4"/>
    <n v="15"/>
    <n v="0"/>
  </r>
  <r>
    <n v="1244"/>
    <n v="8"/>
    <n v="2"/>
    <n v="1139"/>
    <s v="EARNED"/>
    <n v="2.69"/>
    <s v=""/>
    <d v="2026-02-05T15:29:05"/>
    <x v="4"/>
    <n v="2.69"/>
    <n v="0"/>
  </r>
  <r>
    <n v="1245"/>
    <n v="178"/>
    <n v="1"/>
    <m/>
    <s v="ADJUSTMENT"/>
    <n v="21.34"/>
    <s v="Compensación por falla en la bomba"/>
    <d v="2026-02-05T20:04:17"/>
    <x v="4"/>
    <n v="0"/>
    <n v="0"/>
  </r>
  <r>
    <n v="1246"/>
    <n v="65"/>
    <n v="2"/>
    <n v="1140"/>
    <s v="EARNED"/>
    <n v="2.4900000000000002"/>
    <s v=""/>
    <d v="2026-02-06T07:27:41"/>
    <x v="4"/>
    <n v="2.4900000000000002"/>
    <n v="0"/>
  </r>
  <r>
    <n v="1247"/>
    <n v="244"/>
    <n v="5"/>
    <n v="1141"/>
    <s v="REDEEMED"/>
    <n v="54.9"/>
    <s v=""/>
    <d v="2026-02-06T08:47:59"/>
    <x v="4"/>
    <n v="0"/>
    <n v="54.9"/>
  </r>
  <r>
    <n v="1248"/>
    <n v="202"/>
    <n v="3"/>
    <n v="1142"/>
    <s v="REDEEMED"/>
    <n v="43.21"/>
    <s v=""/>
    <d v="2026-02-06T08:50:56"/>
    <x v="4"/>
    <n v="0"/>
    <n v="43.21"/>
  </r>
  <r>
    <n v="1249"/>
    <n v="51"/>
    <n v="2"/>
    <n v="1143"/>
    <s v="EARNED"/>
    <n v="26.94"/>
    <s v=""/>
    <d v="2026-02-06T08:58:43"/>
    <x v="4"/>
    <n v="26.94"/>
    <n v="0"/>
  </r>
  <r>
    <n v="1250"/>
    <n v="44"/>
    <n v="5"/>
    <n v="1144"/>
    <s v="EARNED"/>
    <n v="1.96"/>
    <s v=""/>
    <d v="2026-02-06T10:09:24"/>
    <x v="4"/>
    <n v="1.96"/>
    <n v="0"/>
  </r>
  <r>
    <n v="1251"/>
    <n v="94"/>
    <n v="4"/>
    <n v="1145"/>
    <s v="EARNED"/>
    <n v="18.12"/>
    <s v=""/>
    <d v="2026-02-06T11:35:27"/>
    <x v="4"/>
    <n v="18.12"/>
    <n v="0"/>
  </r>
  <r>
    <n v="1252"/>
    <n v="83"/>
    <n v="2"/>
    <n v="1146"/>
    <s v="EARNED"/>
    <n v="4.3"/>
    <s v=""/>
    <d v="2026-02-06T12:12:40"/>
    <x v="4"/>
    <n v="4.3"/>
    <n v="0"/>
  </r>
  <r>
    <n v="1253"/>
    <n v="233"/>
    <n v="3"/>
    <n v="1147"/>
    <s v="EARNED"/>
    <n v="10.72"/>
    <s v=""/>
    <d v="2026-02-06T12:32:33"/>
    <x v="4"/>
    <n v="10.72"/>
    <n v="0"/>
  </r>
  <r>
    <n v="1254"/>
    <n v="47"/>
    <n v="5"/>
    <n v="1148"/>
    <s v="EARNED"/>
    <n v="2.37"/>
    <s v=""/>
    <d v="2026-02-06T12:53:55"/>
    <x v="4"/>
    <n v="2.37"/>
    <n v="0"/>
  </r>
  <r>
    <n v="1255"/>
    <n v="22"/>
    <n v="3"/>
    <n v="1149"/>
    <s v="EARNED"/>
    <n v="9.89"/>
    <s v=""/>
    <d v="2026-02-06T13:08:48"/>
    <x v="4"/>
    <n v="9.89"/>
    <n v="0"/>
  </r>
  <r>
    <n v="1256"/>
    <n v="106"/>
    <n v="4"/>
    <n v="1150"/>
    <s v="EARNED"/>
    <n v="16.14"/>
    <s v=""/>
    <d v="2026-02-06T13:10:34"/>
    <x v="4"/>
    <n v="16.14"/>
    <n v="0"/>
  </r>
  <r>
    <n v="1257"/>
    <n v="175"/>
    <n v="5"/>
    <n v="1151"/>
    <s v="EARNED"/>
    <n v="4.3"/>
    <s v=""/>
    <d v="2026-02-06T13:11:20"/>
    <x v="4"/>
    <n v="4.3"/>
    <n v="0"/>
  </r>
  <r>
    <n v="1258"/>
    <n v="39"/>
    <n v="5"/>
    <n v="1152"/>
    <s v="EARNED"/>
    <n v="15.65"/>
    <s v=""/>
    <d v="2026-02-06T14:01:59"/>
    <x v="4"/>
    <n v="15.65"/>
    <n v="0"/>
  </r>
  <r>
    <n v="1259"/>
    <n v="265"/>
    <n v="4"/>
    <n v="1153"/>
    <s v="EARNED"/>
    <n v="22"/>
    <s v=""/>
    <d v="2026-02-06T14:40:15"/>
    <x v="4"/>
    <n v="22"/>
    <n v="0"/>
  </r>
  <r>
    <n v="1260"/>
    <n v="251"/>
    <n v="2"/>
    <n v="1154"/>
    <s v="EARNED"/>
    <n v="7.64"/>
    <s v=""/>
    <d v="2026-02-06T14:57:36"/>
    <x v="4"/>
    <n v="7.64"/>
    <n v="0"/>
  </r>
  <r>
    <n v="1261"/>
    <n v="39"/>
    <n v="2"/>
    <n v="1155"/>
    <s v="EARNED"/>
    <n v="21.93"/>
    <s v=""/>
    <d v="2026-02-06T15:12:31"/>
    <x v="4"/>
    <n v="21.93"/>
    <n v="0"/>
  </r>
  <r>
    <n v="1262"/>
    <n v="47"/>
    <n v="1"/>
    <m/>
    <s v="ADJUSTMENT"/>
    <n v="11.76"/>
    <s v="Corrección de saldo detectada en auditoría"/>
    <d v="2026-02-06T21:37:08"/>
    <x v="4"/>
    <n v="0"/>
    <n v="0"/>
  </r>
  <r>
    <n v="1263"/>
    <n v="117"/>
    <n v="4"/>
    <n v="1156"/>
    <s v="EARNED"/>
    <n v="13.84"/>
    <s v=""/>
    <d v="2026-02-07T07:27:53"/>
    <x v="4"/>
    <n v="13.84"/>
    <n v="0"/>
  </r>
  <r>
    <n v="1264"/>
    <n v="65"/>
    <n v="5"/>
    <n v="1140"/>
    <s v="ADJUSTMENT"/>
    <n v="-2.4900000000000002"/>
    <s v="Reverso por cancelación de compra #1140: Monto duplicado por error de sistema"/>
    <d v="2026-02-07T09:27:41"/>
    <x v="4"/>
    <n v="0"/>
    <n v="0"/>
  </r>
  <r>
    <n v="1265"/>
    <n v="117"/>
    <n v="3"/>
    <n v="1157"/>
    <s v="EARNED"/>
    <n v="6.14"/>
    <s v=""/>
    <d v="2026-02-07T10:16:13"/>
    <x v="4"/>
    <n v="6.14"/>
    <n v="0"/>
  </r>
  <r>
    <n v="1266"/>
    <n v="137"/>
    <n v="2"/>
    <n v="1158"/>
    <s v="REDEEMED"/>
    <n v="35.700000000000003"/>
    <s v=""/>
    <d v="2026-02-07T10:17:08"/>
    <x v="4"/>
    <n v="0"/>
    <n v="35.700000000000003"/>
  </r>
  <r>
    <n v="1267"/>
    <n v="223"/>
    <n v="5"/>
    <n v="1159"/>
    <s v="EARNED"/>
    <n v="4.47"/>
    <s v=""/>
    <d v="2026-02-07T10:58:28"/>
    <x v="4"/>
    <n v="4.47"/>
    <n v="0"/>
  </r>
  <r>
    <n v="1268"/>
    <n v="65"/>
    <n v="2"/>
    <n v="1160"/>
    <s v="EARNED"/>
    <n v="4.12"/>
    <s v=""/>
    <d v="2026-02-07T11:30:22"/>
    <x v="4"/>
    <n v="4.12"/>
    <n v="0"/>
  </r>
  <r>
    <n v="1269"/>
    <n v="223"/>
    <n v="4"/>
    <n v="1161"/>
    <s v="EARNED"/>
    <n v="2.2999999999999998"/>
    <s v=""/>
    <d v="2026-02-07T11:36:06"/>
    <x v="4"/>
    <n v="2.2999999999999998"/>
    <n v="0"/>
  </r>
  <r>
    <n v="1270"/>
    <n v="137"/>
    <n v="5"/>
    <n v="1162"/>
    <s v="EARNED"/>
    <n v="3.56"/>
    <s v=""/>
    <d v="2026-02-07T12:02:11"/>
    <x v="4"/>
    <n v="3.56"/>
    <n v="0"/>
  </r>
  <r>
    <n v="1271"/>
    <n v="39"/>
    <n v="3"/>
    <n v="1163"/>
    <s v="EARNED"/>
    <n v="26.51"/>
    <s v=""/>
    <d v="2026-02-07T14:33:10"/>
    <x v="4"/>
    <n v="26.51"/>
    <n v="0"/>
  </r>
  <r>
    <n v="1272"/>
    <n v="31"/>
    <n v="2"/>
    <n v="1164"/>
    <s v="EARNED"/>
    <n v="4.4400000000000004"/>
    <s v=""/>
    <d v="2026-02-07T16:25:23"/>
    <x v="4"/>
    <n v="4.4400000000000004"/>
    <n v="0"/>
  </r>
  <r>
    <n v="1273"/>
    <n v="37"/>
    <n v="2"/>
    <n v="1165"/>
    <s v="EARNED"/>
    <n v="8.25"/>
    <s v=""/>
    <d v="2026-02-07T17:27:06"/>
    <x v="4"/>
    <n v="8.25"/>
    <n v="0"/>
  </r>
  <r>
    <n v="1274"/>
    <n v="207"/>
    <n v="5"/>
    <n v="1166"/>
    <s v="EARNED"/>
    <n v="4.5"/>
    <s v=""/>
    <d v="2026-02-07T17:44:04"/>
    <x v="4"/>
    <n v="4.5"/>
    <n v="0"/>
  </r>
  <r>
    <n v="1275"/>
    <n v="55"/>
    <n v="5"/>
    <n v="1167"/>
    <s v="EARNED"/>
    <n v="1.95"/>
    <s v=""/>
    <d v="2026-02-08T07:03:12"/>
    <x v="4"/>
    <n v="1.95"/>
    <n v="0"/>
  </r>
  <r>
    <n v="1276"/>
    <n v="103"/>
    <n v="2"/>
    <n v="1168"/>
    <s v="EARNED"/>
    <n v="2.93"/>
    <s v=""/>
    <d v="2026-02-08T08:21:54"/>
    <x v="4"/>
    <n v="2.93"/>
    <n v="0"/>
  </r>
  <r>
    <n v="1277"/>
    <n v="124"/>
    <n v="5"/>
    <n v="1169"/>
    <s v="EARNED"/>
    <n v="1.9"/>
    <s v=""/>
    <d v="2026-02-08T14:40:22"/>
    <x v="4"/>
    <n v="1.9"/>
    <n v="0"/>
  </r>
  <r>
    <n v="1278"/>
    <n v="137"/>
    <n v="3"/>
    <n v="1170"/>
    <s v="REDEEMED"/>
    <n v="26.26"/>
    <s v=""/>
    <d v="2026-02-08T15:59:08"/>
    <x v="4"/>
    <n v="0"/>
    <n v="26.26"/>
  </r>
  <r>
    <n v="1279"/>
    <n v="137"/>
    <n v="4"/>
    <n v="1171"/>
    <s v="EARNED"/>
    <n v="2.65"/>
    <s v=""/>
    <d v="2026-02-08T16:58:21"/>
    <x v="4"/>
    <n v="2.65"/>
    <n v="0"/>
  </r>
  <r>
    <n v="1280"/>
    <n v="65"/>
    <n v="4"/>
    <n v="1172"/>
    <s v="EARNED"/>
    <n v="1.76"/>
    <s v=""/>
    <d v="2026-02-08T19:06:57"/>
    <x v="4"/>
    <n v="1.76"/>
    <n v="0"/>
  </r>
  <r>
    <n v="1281"/>
    <n v="25"/>
    <n v="2"/>
    <n v="1173"/>
    <s v="EARNED"/>
    <n v="5.83"/>
    <s v=""/>
    <d v="2026-02-09T13:01:10"/>
    <x v="4"/>
    <n v="5.83"/>
    <n v="0"/>
  </r>
  <r>
    <n v="1282"/>
    <n v="232"/>
    <n v="2"/>
    <n v="1174"/>
    <s v="EARNED"/>
    <n v="3.03"/>
    <s v=""/>
    <d v="2026-02-09T14:10:04"/>
    <x v="4"/>
    <n v="3.03"/>
    <n v="0"/>
  </r>
  <r>
    <n v="1283"/>
    <n v="44"/>
    <n v="2"/>
    <n v="1175"/>
    <s v="EARNED"/>
    <n v="3.86"/>
    <s v=""/>
    <d v="2026-02-09T15:01:54"/>
    <x v="4"/>
    <n v="3.86"/>
    <n v="0"/>
  </r>
  <r>
    <n v="1284"/>
    <n v="106"/>
    <n v="2"/>
    <n v="1176"/>
    <s v="EARNED"/>
    <n v="13.08"/>
    <s v=""/>
    <d v="2026-02-09T15:35:54"/>
    <x v="4"/>
    <n v="13.08"/>
    <n v="0"/>
  </r>
  <r>
    <n v="1285"/>
    <n v="69"/>
    <n v="3"/>
    <n v="1177"/>
    <s v="EARNED"/>
    <n v="3.04"/>
    <s v=""/>
    <d v="2026-02-09T16:58:49"/>
    <x v="4"/>
    <n v="3.04"/>
    <n v="0"/>
  </r>
  <r>
    <n v="1286"/>
    <n v="192"/>
    <n v="4"/>
    <n v="1178"/>
    <s v="EARNED"/>
    <n v="4.0599999999999996"/>
    <s v=""/>
    <d v="2026-02-09T17:08:40"/>
    <x v="4"/>
    <n v="4.0599999999999996"/>
    <n v="0"/>
  </r>
  <r>
    <n v="1287"/>
    <n v="62"/>
    <n v="4"/>
    <n v="1179"/>
    <s v="EARNED"/>
    <n v="3.62"/>
    <s v=""/>
    <d v="2026-02-09T19:44:27"/>
    <x v="4"/>
    <n v="3.62"/>
    <n v="0"/>
  </r>
  <r>
    <n v="1288"/>
    <n v="18"/>
    <n v="5"/>
    <n v="1180"/>
    <s v="EARNED"/>
    <n v="6.38"/>
    <s v=""/>
    <d v="2026-02-09T19:59:04"/>
    <x v="4"/>
    <n v="6.38"/>
    <n v="0"/>
  </r>
  <r>
    <n v="1289"/>
    <n v="21"/>
    <n v="2"/>
    <n v="1181"/>
    <s v="EARNED"/>
    <n v="2.2599999999999998"/>
    <s v=""/>
    <d v="2026-02-10T09:06:54"/>
    <x v="4"/>
    <n v="2.2599999999999998"/>
    <n v="0"/>
  </r>
  <r>
    <n v="1290"/>
    <n v="28"/>
    <n v="3"/>
    <n v="1182"/>
    <s v="EARNED"/>
    <n v="2.0499999999999998"/>
    <s v=""/>
    <d v="2026-02-10T14:33:13"/>
    <x v="4"/>
    <n v="2.0499999999999998"/>
    <n v="0"/>
  </r>
  <r>
    <n v="1291"/>
    <n v="221"/>
    <n v="2"/>
    <n v="1183"/>
    <s v="EARNED"/>
    <n v="19.64"/>
    <s v=""/>
    <d v="2026-02-10T14:34:54"/>
    <x v="4"/>
    <n v="19.64"/>
    <n v="0"/>
  </r>
  <r>
    <n v="1292"/>
    <n v="201"/>
    <n v="4"/>
    <n v="1184"/>
    <s v="EARNED"/>
    <n v="7.76"/>
    <s v=""/>
    <d v="2026-02-10T14:54:14"/>
    <x v="4"/>
    <n v="7.76"/>
    <n v="0"/>
  </r>
  <r>
    <n v="1293"/>
    <n v="62"/>
    <n v="2"/>
    <n v="1185"/>
    <s v="EARNED"/>
    <n v="2.52"/>
    <s v=""/>
    <d v="2026-02-10T15:33:02"/>
    <x v="4"/>
    <n v="2.52"/>
    <n v="0"/>
  </r>
  <r>
    <n v="1294"/>
    <n v="244"/>
    <n v="3"/>
    <n v="1186"/>
    <s v="EARNED"/>
    <n v="14.82"/>
    <s v=""/>
    <d v="2026-02-10T15:43:18"/>
    <x v="4"/>
    <n v="14.82"/>
    <n v="0"/>
  </r>
  <r>
    <n v="1295"/>
    <n v="227"/>
    <n v="3"/>
    <n v="1187"/>
    <s v="EARNED"/>
    <n v="2.61"/>
    <s v=""/>
    <d v="2026-02-10T16:29:26"/>
    <x v="4"/>
    <n v="2.61"/>
    <n v="0"/>
  </r>
  <r>
    <n v="1296"/>
    <n v="126"/>
    <n v="2"/>
    <n v="1188"/>
    <s v="EARNED"/>
    <n v="5.86"/>
    <s v=""/>
    <d v="2026-02-10T18:15:43"/>
    <x v="4"/>
    <n v="5.86"/>
    <n v="0"/>
  </r>
  <r>
    <n v="1297"/>
    <n v="62"/>
    <n v="2"/>
    <n v="1179"/>
    <s v="ADJUSTMENT"/>
    <n v="-3.62"/>
    <s v="Reverso por cancelación de compra #1179: Solicitud del cliente"/>
    <d v="2026-02-10T23:44:27"/>
    <x v="4"/>
    <n v="0"/>
    <n v="0"/>
  </r>
  <r>
    <n v="1298"/>
    <n v="227"/>
    <n v="4"/>
    <n v="1187"/>
    <s v="ADJUSTMENT"/>
    <n v="-2.61"/>
    <s v="Reverso por cancelación de compra #1187: Cliente canceló la operación"/>
    <d v="2026-02-11T05:29:26"/>
    <x v="4"/>
    <n v="0"/>
    <n v="0"/>
  </r>
  <r>
    <n v="1299"/>
    <n v="21"/>
    <n v="2"/>
    <n v="1181"/>
    <s v="ADJUSTMENT"/>
    <n v="-2.2599999999999998"/>
    <s v="Reverso por cancelación de compra #1181: Solicitud del cliente"/>
    <d v="2026-02-11T06:06:54"/>
    <x v="4"/>
    <n v="0"/>
    <n v="0"/>
  </r>
  <r>
    <n v="1300"/>
    <n v="12"/>
    <n v="4"/>
    <n v="1189"/>
    <s v="EARNED"/>
    <n v="3.11"/>
    <s v=""/>
    <d v="2026-02-11T08:21:12"/>
    <x v="4"/>
    <n v="3.11"/>
    <n v="0"/>
  </r>
  <r>
    <n v="1301"/>
    <n v="94"/>
    <n v="2"/>
    <n v="1190"/>
    <s v="EARNED"/>
    <n v="19.899999999999999"/>
    <s v=""/>
    <d v="2026-02-11T08:21:57"/>
    <x v="4"/>
    <n v="19.899999999999999"/>
    <n v="0"/>
  </r>
  <r>
    <n v="1302"/>
    <n v="157"/>
    <n v="3"/>
    <n v="1191"/>
    <s v="EARNED"/>
    <n v="5.97"/>
    <s v=""/>
    <d v="2026-02-11T08:48:00"/>
    <x v="4"/>
    <n v="5.97"/>
    <n v="0"/>
  </r>
  <r>
    <n v="1303"/>
    <n v="106"/>
    <n v="4"/>
    <n v="1192"/>
    <s v="EARNED"/>
    <n v="13.56"/>
    <s v=""/>
    <d v="2026-02-11T09:33:55"/>
    <x v="4"/>
    <n v="13.56"/>
    <n v="0"/>
  </r>
  <r>
    <n v="1304"/>
    <n v="7"/>
    <n v="4"/>
    <n v="1193"/>
    <s v="EARNED"/>
    <n v="5.65"/>
    <s v=""/>
    <d v="2026-02-11T10:03:38"/>
    <x v="4"/>
    <n v="5.65"/>
    <n v="0"/>
  </r>
  <r>
    <n v="1305"/>
    <n v="96"/>
    <n v="3"/>
    <n v="1194"/>
    <s v="EARNED"/>
    <n v="29.55"/>
    <s v=""/>
    <d v="2026-02-11T10:20:42"/>
    <x v="4"/>
    <n v="29.55"/>
    <n v="0"/>
  </r>
  <r>
    <n v="1306"/>
    <n v="196"/>
    <n v="5"/>
    <n v="1195"/>
    <s v="EARNED"/>
    <n v="5.12"/>
    <s v=""/>
    <d v="2026-02-11T10:25:38"/>
    <x v="4"/>
    <n v="5.12"/>
    <n v="0"/>
  </r>
  <r>
    <n v="1307"/>
    <n v="60"/>
    <n v="5"/>
    <n v="1196"/>
    <s v="EARNED"/>
    <n v="13.91"/>
    <s v=""/>
    <d v="2026-02-11T12:50:49"/>
    <x v="4"/>
    <n v="13.91"/>
    <n v="0"/>
  </r>
  <r>
    <n v="1308"/>
    <n v="156"/>
    <n v="3"/>
    <n v="1197"/>
    <s v="EARNED"/>
    <n v="3.65"/>
    <s v=""/>
    <d v="2026-02-11T15:11:34"/>
    <x v="4"/>
    <n v="3.65"/>
    <n v="0"/>
  </r>
  <r>
    <n v="1309"/>
    <n v="293"/>
    <n v="2"/>
    <n v="1198"/>
    <s v="EARNED"/>
    <n v="3.55"/>
    <s v=""/>
    <d v="2026-02-11T18:25:59"/>
    <x v="4"/>
    <n v="3.55"/>
    <n v="0"/>
  </r>
  <r>
    <n v="1310"/>
    <n v="39"/>
    <n v="3"/>
    <n v="1199"/>
    <s v="EARNED"/>
    <n v="15.58"/>
    <s v=""/>
    <d v="2026-02-11T18:54:11"/>
    <x v="4"/>
    <n v="15.58"/>
    <n v="0"/>
  </r>
  <r>
    <n v="1311"/>
    <n v="117"/>
    <n v="4"/>
    <n v="1200"/>
    <s v="EARNED"/>
    <n v="9.69"/>
    <s v=""/>
    <d v="2026-02-12T08:22:54"/>
    <x v="4"/>
    <n v="9.69"/>
    <n v="0"/>
  </r>
  <r>
    <n v="1312"/>
    <n v="154"/>
    <n v="5"/>
    <n v="1201"/>
    <s v="EARNED"/>
    <n v="4.2"/>
    <s v=""/>
    <d v="2026-02-12T08:40:17"/>
    <x v="4"/>
    <n v="4.2"/>
    <n v="0"/>
  </r>
  <r>
    <n v="1313"/>
    <n v="241"/>
    <n v="5"/>
    <n v="1202"/>
    <s v="EARNED"/>
    <n v="1.63"/>
    <s v=""/>
    <d v="2026-02-12T09:30:09"/>
    <x v="4"/>
    <n v="1.63"/>
    <n v="0"/>
  </r>
  <r>
    <n v="1314"/>
    <n v="241"/>
    <n v="5"/>
    <n v="1203"/>
    <s v="EARNED"/>
    <n v="3.86"/>
    <s v=""/>
    <d v="2026-02-12T10:06:40"/>
    <x v="4"/>
    <n v="3.86"/>
    <n v="0"/>
  </r>
  <r>
    <n v="1315"/>
    <n v="57"/>
    <n v="5"/>
    <n v="1204"/>
    <s v="EARNED"/>
    <n v="7.57"/>
    <s v=""/>
    <d v="2026-02-12T10:54:35"/>
    <x v="4"/>
    <n v="7.57"/>
    <n v="0"/>
  </r>
  <r>
    <n v="1316"/>
    <n v="135"/>
    <n v="5"/>
    <n v="1205"/>
    <s v="EARNED"/>
    <n v="14.06"/>
    <s v=""/>
    <d v="2026-02-12T12:38:38"/>
    <x v="4"/>
    <n v="14.06"/>
    <n v="0"/>
  </r>
  <r>
    <n v="1317"/>
    <n v="254"/>
    <n v="4"/>
    <n v="1206"/>
    <s v="EARNED"/>
    <n v="16.79"/>
    <s v=""/>
    <d v="2026-02-12T13:11:12"/>
    <x v="4"/>
    <n v="16.79"/>
    <n v="0"/>
  </r>
  <r>
    <n v="1318"/>
    <n v="65"/>
    <n v="2"/>
    <n v="1207"/>
    <s v="EARNED"/>
    <n v="6.81"/>
    <s v=""/>
    <d v="2026-02-12T14:49:37"/>
    <x v="4"/>
    <n v="6.81"/>
    <n v="0"/>
  </r>
  <r>
    <n v="1319"/>
    <n v="268"/>
    <n v="2"/>
    <n v="1208"/>
    <s v="EARNED"/>
    <n v="2.29"/>
    <s v=""/>
    <d v="2026-02-12T15:06:47"/>
    <x v="4"/>
    <n v="2.29"/>
    <n v="0"/>
  </r>
  <r>
    <n v="1320"/>
    <n v="137"/>
    <n v="5"/>
    <n v="1209"/>
    <s v="EARNED"/>
    <n v="2.37"/>
    <s v=""/>
    <d v="2026-02-12T15:25:14"/>
    <x v="4"/>
    <n v="2.37"/>
    <n v="0"/>
  </r>
  <r>
    <n v="1321"/>
    <n v="109"/>
    <n v="2"/>
    <n v="1210"/>
    <s v="EARNED"/>
    <n v="21.66"/>
    <s v=""/>
    <d v="2026-02-12T15:28:01"/>
    <x v="4"/>
    <n v="21.66"/>
    <n v="0"/>
  </r>
  <r>
    <n v="1322"/>
    <n v="211"/>
    <n v="2"/>
    <n v="1211"/>
    <s v="EARNED"/>
    <n v="14.76"/>
    <s v=""/>
    <d v="2026-02-12T15:42:21"/>
    <x v="4"/>
    <n v="14.76"/>
    <n v="0"/>
  </r>
  <r>
    <n v="1323"/>
    <n v="244"/>
    <n v="2"/>
    <n v="1212"/>
    <s v="EARNED"/>
    <n v="10.65"/>
    <s v=""/>
    <d v="2026-02-12T17:37:46"/>
    <x v="4"/>
    <n v="10.65"/>
    <n v="0"/>
  </r>
  <r>
    <n v="1324"/>
    <n v="241"/>
    <n v="3"/>
    <n v="1202"/>
    <s v="ADJUSTMENT"/>
    <n v="-1.63"/>
    <s v="Reverso por cancelación de compra #1202: Cliente canceló la operación"/>
    <d v="2026-02-12T19:30:09"/>
    <x v="4"/>
    <n v="0"/>
    <n v="0"/>
  </r>
  <r>
    <n v="1325"/>
    <n v="19"/>
    <n v="5"/>
    <n v="1213"/>
    <s v="EARNED"/>
    <n v="2.44"/>
    <s v=""/>
    <d v="2026-02-13T08:21:32"/>
    <x v="4"/>
    <n v="2.44"/>
    <n v="0"/>
  </r>
  <r>
    <n v="1326"/>
    <n v="156"/>
    <n v="2"/>
    <n v="1214"/>
    <s v="EARNED"/>
    <n v="1.56"/>
    <s v=""/>
    <d v="2026-02-13T09:10:39"/>
    <x v="4"/>
    <n v="1.56"/>
    <n v="0"/>
  </r>
  <r>
    <n v="1327"/>
    <n v="221"/>
    <n v="3"/>
    <n v="1215"/>
    <s v="EARNED"/>
    <n v="15.16"/>
    <s v=""/>
    <d v="2026-02-13T11:04:51"/>
    <x v="4"/>
    <n v="15.16"/>
    <n v="0"/>
  </r>
  <r>
    <n v="1328"/>
    <n v="18"/>
    <n v="5"/>
    <n v="1216"/>
    <s v="EARNED"/>
    <n v="11.93"/>
    <s v=""/>
    <d v="2026-02-13T11:25:21"/>
    <x v="4"/>
    <n v="11.93"/>
    <n v="0"/>
  </r>
  <r>
    <n v="1329"/>
    <n v="136"/>
    <n v="4"/>
    <n v="1217"/>
    <s v="EARNED"/>
    <n v="4.87"/>
    <s v=""/>
    <d v="2026-02-13T12:03:53"/>
    <x v="4"/>
    <n v="4.87"/>
    <n v="0"/>
  </r>
  <r>
    <n v="1330"/>
    <n v="38"/>
    <n v="3"/>
    <n v="1218"/>
    <s v="EARNED"/>
    <n v="2.56"/>
    <s v=""/>
    <d v="2026-02-13T13:29:20"/>
    <x v="4"/>
    <n v="2.56"/>
    <n v="0"/>
  </r>
  <r>
    <n v="1331"/>
    <n v="32"/>
    <n v="2"/>
    <n v="1219"/>
    <s v="EARNED"/>
    <n v="6.61"/>
    <s v=""/>
    <d v="2026-02-13T13:43:05"/>
    <x v="4"/>
    <n v="6.61"/>
    <n v="0"/>
  </r>
  <r>
    <n v="1332"/>
    <n v="304"/>
    <n v="2"/>
    <n v="1220"/>
    <s v="EARNED"/>
    <n v="4.79"/>
    <s v=""/>
    <d v="2026-02-13T14:35:39"/>
    <x v="4"/>
    <n v="4.79"/>
    <n v="0"/>
  </r>
  <r>
    <n v="1333"/>
    <n v="36"/>
    <n v="4"/>
    <n v="1221"/>
    <s v="EARNED"/>
    <n v="17.420000000000002"/>
    <s v=""/>
    <d v="2026-02-13T15:20:28"/>
    <x v="4"/>
    <n v="17.420000000000002"/>
    <n v="0"/>
  </r>
  <r>
    <n v="1334"/>
    <n v="136"/>
    <n v="4"/>
    <n v="1222"/>
    <s v="REDEEMED"/>
    <n v="110.04"/>
    <s v=""/>
    <d v="2026-02-13T15:30:10"/>
    <x v="4"/>
    <n v="0"/>
    <n v="110.04"/>
  </r>
  <r>
    <n v="1335"/>
    <n v="279"/>
    <n v="3"/>
    <n v="1223"/>
    <s v="EARNED"/>
    <n v="29.35"/>
    <s v=""/>
    <d v="2026-02-13T18:06:54"/>
    <x v="4"/>
    <n v="29.35"/>
    <n v="0"/>
  </r>
  <r>
    <n v="1336"/>
    <n v="156"/>
    <n v="4"/>
    <n v="1224"/>
    <s v="EARNED"/>
    <n v="3.9"/>
    <s v=""/>
    <d v="2026-02-14T07:50:52"/>
    <x v="4"/>
    <n v="3.9"/>
    <n v="0"/>
  </r>
  <r>
    <n v="1337"/>
    <n v="12"/>
    <n v="4"/>
    <n v="1225"/>
    <s v="EARNED"/>
    <n v="3.41"/>
    <s v=""/>
    <d v="2026-02-14T07:55:59"/>
    <x v="4"/>
    <n v="3.41"/>
    <n v="0"/>
  </r>
  <r>
    <n v="1338"/>
    <n v="227"/>
    <n v="2"/>
    <n v="1226"/>
    <s v="EARNED"/>
    <n v="4.26"/>
    <s v=""/>
    <d v="2026-02-14T09:24:37"/>
    <x v="4"/>
    <n v="4.26"/>
    <n v="0"/>
  </r>
  <r>
    <n v="1339"/>
    <n v="124"/>
    <n v="5"/>
    <n v="1227"/>
    <s v="EARNED"/>
    <n v="3.59"/>
    <s v=""/>
    <d v="2026-02-14T09:39:40"/>
    <x v="4"/>
    <n v="3.59"/>
    <n v="0"/>
  </r>
  <r>
    <n v="1340"/>
    <n v="304"/>
    <n v="4"/>
    <n v="1228"/>
    <s v="EARNED"/>
    <n v="4.9000000000000004"/>
    <s v=""/>
    <d v="2026-02-14T10:10:34"/>
    <x v="4"/>
    <n v="4.9000000000000004"/>
    <n v="0"/>
  </r>
  <r>
    <n v="1341"/>
    <n v="168"/>
    <n v="4"/>
    <n v="1229"/>
    <s v="EARNED"/>
    <n v="2.71"/>
    <s v=""/>
    <d v="2026-02-14T11:56:21"/>
    <x v="4"/>
    <n v="2.71"/>
    <n v="0"/>
  </r>
  <r>
    <n v="1342"/>
    <n v="166"/>
    <n v="4"/>
    <n v="1230"/>
    <s v="EARNED"/>
    <n v="7.2"/>
    <s v=""/>
    <d v="2026-02-14T12:53:24"/>
    <x v="4"/>
    <n v="7.2"/>
    <n v="0"/>
  </r>
  <r>
    <n v="1343"/>
    <n v="87"/>
    <n v="5"/>
    <n v="1231"/>
    <s v="EARNED"/>
    <n v="9.0500000000000007"/>
    <s v=""/>
    <d v="2026-02-14T14:41:05"/>
    <x v="4"/>
    <n v="9.0500000000000007"/>
    <n v="0"/>
  </r>
  <r>
    <n v="1344"/>
    <n v="252"/>
    <n v="5"/>
    <n v="1232"/>
    <s v="EARNED"/>
    <n v="2.2799999999999998"/>
    <s v=""/>
    <d v="2026-02-14T16:44:59"/>
    <x v="4"/>
    <n v="2.2799999999999998"/>
    <n v="0"/>
  </r>
  <r>
    <n v="1345"/>
    <n v="29"/>
    <n v="3"/>
    <n v="1233"/>
    <s v="EARNED"/>
    <n v="3.41"/>
    <s v=""/>
    <d v="2026-02-14T16:50:27"/>
    <x v="4"/>
    <n v="3.41"/>
    <n v="0"/>
  </r>
  <r>
    <n v="1346"/>
    <n v="277"/>
    <n v="3"/>
    <n v="1234"/>
    <s v="EARNED"/>
    <n v="10.64"/>
    <s v=""/>
    <d v="2026-02-14T17:22:13"/>
    <x v="4"/>
    <n v="10.64"/>
    <n v="0"/>
  </r>
  <r>
    <n v="1347"/>
    <n v="13"/>
    <n v="4"/>
    <n v="1235"/>
    <s v="REDEEMED"/>
    <n v="24.59"/>
    <s v=""/>
    <d v="2026-02-14T17:59:08"/>
    <x v="4"/>
    <n v="0"/>
    <n v="24.59"/>
  </r>
  <r>
    <n v="1348"/>
    <n v="178"/>
    <n v="4"/>
    <n v="1236"/>
    <s v="EARNED"/>
    <n v="12.11"/>
    <s v=""/>
    <d v="2026-02-14T18:17:31"/>
    <x v="4"/>
    <n v="12.11"/>
    <n v="0"/>
  </r>
  <r>
    <n v="1349"/>
    <n v="16"/>
    <n v="5"/>
    <n v="1237"/>
    <s v="EARNED"/>
    <n v="17.55"/>
    <s v=""/>
    <d v="2026-02-14T18:37:41"/>
    <x v="4"/>
    <n v="17.55"/>
    <n v="0"/>
  </r>
  <r>
    <n v="1350"/>
    <n v="168"/>
    <n v="5"/>
    <n v="1229"/>
    <s v="ADJUSTMENT"/>
    <n v="-2.71"/>
    <s v="Reverso por cancelación de compra #1229: Solicitud del cliente"/>
    <d v="2026-02-15T02:56:21"/>
    <x v="4"/>
    <n v="0"/>
    <n v="0"/>
  </r>
  <r>
    <n v="1351"/>
    <n v="49"/>
    <n v="5"/>
    <n v="1238"/>
    <s v="EARNED"/>
    <n v="11.38"/>
    <s v=""/>
    <d v="2026-02-15T08:56:06"/>
    <x v="4"/>
    <n v="11.38"/>
    <n v="0"/>
  </r>
  <r>
    <n v="1352"/>
    <n v="221"/>
    <n v="4"/>
    <n v="1239"/>
    <s v="EARNED"/>
    <n v="19.440000000000001"/>
    <s v=""/>
    <d v="2026-02-15T09:29:28"/>
    <x v="4"/>
    <n v="19.440000000000001"/>
    <n v="0"/>
  </r>
  <r>
    <n v="1353"/>
    <n v="136"/>
    <n v="2"/>
    <n v="1240"/>
    <s v="EARNED"/>
    <n v="8.1999999999999993"/>
    <s v=""/>
    <d v="2026-02-15T09:45:21"/>
    <x v="4"/>
    <n v="8.1999999999999993"/>
    <n v="0"/>
  </r>
  <r>
    <n v="1354"/>
    <n v="44"/>
    <n v="3"/>
    <n v="1241"/>
    <s v="EARNED"/>
    <n v="2.64"/>
    <s v=""/>
    <d v="2026-02-15T09:46:08"/>
    <x v="4"/>
    <n v="2.64"/>
    <n v="0"/>
  </r>
  <r>
    <n v="1355"/>
    <n v="124"/>
    <n v="2"/>
    <n v="1242"/>
    <s v="EARNED"/>
    <n v="1.51"/>
    <s v=""/>
    <d v="2026-02-15T10:58:58"/>
    <x v="4"/>
    <n v="1.51"/>
    <n v="0"/>
  </r>
  <r>
    <n v="1356"/>
    <n v="87"/>
    <n v="5"/>
    <n v="1243"/>
    <s v="EARNED"/>
    <n v="10.41"/>
    <s v=""/>
    <d v="2026-02-15T11:25:47"/>
    <x v="4"/>
    <n v="10.41"/>
    <n v="0"/>
  </r>
  <r>
    <n v="1357"/>
    <n v="156"/>
    <n v="3"/>
    <n v="1244"/>
    <s v="EARNED"/>
    <n v="5.55"/>
    <s v=""/>
    <d v="2026-02-15T15:36:05"/>
    <x v="4"/>
    <n v="5.55"/>
    <n v="0"/>
  </r>
  <r>
    <n v="1358"/>
    <n v="20"/>
    <n v="3"/>
    <n v="1245"/>
    <s v="EARNED"/>
    <n v="3.65"/>
    <s v=""/>
    <d v="2026-02-15T15:51:50"/>
    <x v="4"/>
    <n v="3.65"/>
    <n v="0"/>
  </r>
  <r>
    <n v="1359"/>
    <n v="302"/>
    <n v="3"/>
    <n v="1246"/>
    <s v="EARNED"/>
    <n v="3.41"/>
    <s v=""/>
    <d v="2026-02-15T16:37:45"/>
    <x v="4"/>
    <n v="3.41"/>
    <n v="0"/>
  </r>
  <r>
    <n v="1360"/>
    <n v="16"/>
    <n v="2"/>
    <n v="1247"/>
    <s v="EARNED"/>
    <n v="18.79"/>
    <s v=""/>
    <d v="2026-02-15T19:24:00"/>
    <x v="4"/>
    <n v="18.79"/>
    <n v="0"/>
  </r>
  <r>
    <n v="1361"/>
    <n v="131"/>
    <n v="5"/>
    <n v="1248"/>
    <s v="EARNED"/>
    <n v="29.73"/>
    <s v=""/>
    <d v="2026-02-16T08:33:29"/>
    <x v="4"/>
    <n v="29.73"/>
    <n v="0"/>
  </r>
  <r>
    <n v="1362"/>
    <n v="39"/>
    <n v="4"/>
    <n v="1249"/>
    <s v="EARNED"/>
    <n v="22.76"/>
    <s v=""/>
    <d v="2026-02-16T09:39:20"/>
    <x v="4"/>
    <n v="22.76"/>
    <n v="0"/>
  </r>
  <r>
    <n v="1363"/>
    <n v="136"/>
    <n v="2"/>
    <n v="1250"/>
    <s v="EARNED"/>
    <n v="12.63"/>
    <s v=""/>
    <d v="2026-02-16T09:41:42"/>
    <x v="4"/>
    <n v="12.63"/>
    <n v="0"/>
  </r>
  <r>
    <n v="1364"/>
    <n v="39"/>
    <n v="2"/>
    <n v="1251"/>
    <s v="EARNED"/>
    <n v="19.93"/>
    <s v=""/>
    <d v="2026-02-16T11:13:42"/>
    <x v="4"/>
    <n v="19.93"/>
    <n v="0"/>
  </r>
  <r>
    <n v="1365"/>
    <n v="55"/>
    <n v="5"/>
    <n v="1252"/>
    <s v="EARNED"/>
    <n v="2.17"/>
    <s v=""/>
    <d v="2026-02-16T14:08:38"/>
    <x v="4"/>
    <n v="2.17"/>
    <n v="0"/>
  </r>
  <r>
    <n v="1366"/>
    <n v="150"/>
    <n v="4"/>
    <n v="1253"/>
    <s v="EARNED"/>
    <n v="5.85"/>
    <s v=""/>
    <d v="2026-02-16T17:18:15"/>
    <x v="4"/>
    <n v="5.85"/>
    <n v="0"/>
  </r>
  <r>
    <n v="1367"/>
    <n v="56"/>
    <n v="4"/>
    <n v="1254"/>
    <s v="EARNED"/>
    <n v="11.46"/>
    <s v=""/>
    <d v="2026-02-16T19:29:39"/>
    <x v="4"/>
    <n v="11.46"/>
    <n v="0"/>
  </r>
  <r>
    <n v="1368"/>
    <n v="131"/>
    <n v="5"/>
    <n v="1248"/>
    <s v="ADJUSTMENT"/>
    <n v="-29.73"/>
    <s v="Reverso por cancelación de compra #1248: Cliente canceló la operación"/>
    <d v="2026-02-17T05:33:29"/>
    <x v="4"/>
    <n v="0"/>
    <n v="0"/>
  </r>
  <r>
    <n v="1369"/>
    <n v="39"/>
    <n v="3"/>
    <n v="1255"/>
    <s v="EARNED"/>
    <n v="16.66"/>
    <s v=""/>
    <d v="2026-02-17T07:39:15"/>
    <x v="4"/>
    <n v="16.66"/>
    <n v="0"/>
  </r>
  <r>
    <n v="1370"/>
    <n v="141"/>
    <n v="5"/>
    <n v="1256"/>
    <s v="EARNED"/>
    <n v="18.82"/>
    <s v=""/>
    <d v="2026-02-17T09:08:36"/>
    <x v="4"/>
    <n v="18.82"/>
    <n v="0"/>
  </r>
  <r>
    <n v="1371"/>
    <n v="241"/>
    <n v="3"/>
    <n v="1257"/>
    <s v="EARNED"/>
    <n v="2.96"/>
    <s v=""/>
    <d v="2026-02-17T09:22:40"/>
    <x v="4"/>
    <n v="2.96"/>
    <n v="0"/>
  </r>
  <r>
    <n v="1372"/>
    <n v="151"/>
    <n v="2"/>
    <n v="1258"/>
    <s v="EARNED"/>
    <n v="15.86"/>
    <s v=""/>
    <d v="2026-02-17T14:17:15"/>
    <x v="4"/>
    <n v="15.86"/>
    <n v="0"/>
  </r>
  <r>
    <n v="1373"/>
    <n v="21"/>
    <n v="4"/>
    <n v="1259"/>
    <s v="EARNED"/>
    <n v="3.95"/>
    <s v=""/>
    <d v="2026-02-17T16:07:23"/>
    <x v="4"/>
    <n v="3.95"/>
    <n v="0"/>
  </r>
  <r>
    <n v="1374"/>
    <n v="217"/>
    <n v="4"/>
    <n v="1260"/>
    <s v="EARNED"/>
    <n v="2.17"/>
    <s v=""/>
    <d v="2026-02-17T17:20:59"/>
    <x v="4"/>
    <n v="2.17"/>
    <n v="0"/>
  </r>
  <r>
    <n v="1375"/>
    <n v="253"/>
    <n v="3"/>
    <n v="1261"/>
    <s v="EARNED"/>
    <n v="3.19"/>
    <s v=""/>
    <d v="2026-02-18T07:29:54"/>
    <x v="4"/>
    <n v="3.19"/>
    <n v="0"/>
  </r>
  <r>
    <n v="1376"/>
    <n v="16"/>
    <n v="2"/>
    <n v="1262"/>
    <s v="EARNED"/>
    <n v="14.27"/>
    <s v=""/>
    <d v="2026-02-18T08:12:37"/>
    <x v="4"/>
    <n v="14.27"/>
    <n v="0"/>
  </r>
  <r>
    <n v="1377"/>
    <n v="274"/>
    <n v="2"/>
    <n v="1263"/>
    <s v="EARNED"/>
    <n v="2.59"/>
    <s v=""/>
    <d v="2026-02-18T09:11:11"/>
    <x v="4"/>
    <n v="2.59"/>
    <n v="0"/>
  </r>
  <r>
    <n v="1378"/>
    <n v="135"/>
    <n v="4"/>
    <n v="1264"/>
    <s v="EARNED"/>
    <n v="12.93"/>
    <s v=""/>
    <d v="2026-02-18T09:18:17"/>
    <x v="4"/>
    <n v="12.93"/>
    <n v="0"/>
  </r>
  <r>
    <n v="1379"/>
    <n v="253"/>
    <n v="5"/>
    <n v="1265"/>
    <s v="REDEEMED"/>
    <n v="32.46"/>
    <s v=""/>
    <d v="2026-02-18T09:21:35"/>
    <x v="4"/>
    <n v="0"/>
    <n v="32.46"/>
  </r>
  <r>
    <n v="1380"/>
    <n v="66"/>
    <n v="2"/>
    <n v="1266"/>
    <s v="EARNED"/>
    <n v="6.36"/>
    <s v=""/>
    <d v="2026-02-18T09:40:52"/>
    <x v="4"/>
    <n v="6.36"/>
    <n v="0"/>
  </r>
  <r>
    <n v="1381"/>
    <n v="156"/>
    <n v="5"/>
    <n v="1267"/>
    <s v="REDEEMED"/>
    <n v="27.34"/>
    <s v=""/>
    <d v="2026-02-18T10:35:51"/>
    <x v="4"/>
    <n v="0"/>
    <n v="27.34"/>
  </r>
  <r>
    <n v="1382"/>
    <n v="106"/>
    <n v="4"/>
    <n v="1268"/>
    <s v="EARNED"/>
    <n v="9.01"/>
    <s v=""/>
    <d v="2026-02-18T10:53:34"/>
    <x v="4"/>
    <n v="9.01"/>
    <n v="0"/>
  </r>
  <r>
    <n v="1383"/>
    <n v="44"/>
    <n v="3"/>
    <n v="1269"/>
    <s v="REDEEMED"/>
    <n v="21.93"/>
    <s v=""/>
    <d v="2026-02-18T17:17:56"/>
    <x v="4"/>
    <n v="0"/>
    <n v="21.93"/>
  </r>
  <r>
    <n v="1384"/>
    <n v="38"/>
    <n v="2"/>
    <n v="1270"/>
    <s v="EARNED"/>
    <n v="2.2999999999999998"/>
    <s v=""/>
    <d v="2026-02-18T17:38:05"/>
    <x v="4"/>
    <n v="2.2999999999999998"/>
    <n v="0"/>
  </r>
  <r>
    <n v="1385"/>
    <n v="202"/>
    <n v="2"/>
    <n v="1271"/>
    <s v="EARNED"/>
    <n v="3.64"/>
    <s v=""/>
    <d v="2026-02-18T17:45:31"/>
    <x v="4"/>
    <n v="3.64"/>
    <n v="0"/>
  </r>
  <r>
    <n v="1386"/>
    <n v="156"/>
    <n v="5"/>
    <n v="1272"/>
    <s v="EARNED"/>
    <n v="3.37"/>
    <s v=""/>
    <d v="2026-02-19T07:09:57"/>
    <x v="4"/>
    <n v="3.37"/>
    <n v="0"/>
  </r>
  <r>
    <n v="1387"/>
    <n v="145"/>
    <n v="5"/>
    <n v="1273"/>
    <s v="EARNED"/>
    <n v="25.36"/>
    <s v=""/>
    <d v="2026-02-19T07:53:34"/>
    <x v="4"/>
    <n v="25.36"/>
    <n v="0"/>
  </r>
  <r>
    <n v="1388"/>
    <n v="47"/>
    <n v="3"/>
    <n v="1274"/>
    <s v="EARNED"/>
    <n v="3.4"/>
    <s v=""/>
    <d v="2026-02-19T09:01:39"/>
    <x v="4"/>
    <n v="3.4"/>
    <n v="0"/>
  </r>
  <r>
    <n v="1389"/>
    <n v="126"/>
    <n v="4"/>
    <n v="1275"/>
    <s v="REDEEMED"/>
    <n v="38.21"/>
    <s v=""/>
    <d v="2026-02-19T09:32:08"/>
    <x v="4"/>
    <n v="0"/>
    <n v="38.21"/>
  </r>
  <r>
    <n v="1390"/>
    <n v="35"/>
    <n v="3"/>
    <n v="1276"/>
    <s v="EARNED"/>
    <n v="4.87"/>
    <s v=""/>
    <d v="2026-02-19T10:55:42"/>
    <x v="4"/>
    <n v="4.87"/>
    <n v="0"/>
  </r>
  <r>
    <n v="1391"/>
    <n v="232"/>
    <n v="4"/>
    <n v="1277"/>
    <s v="EARNED"/>
    <n v="1.62"/>
    <s v=""/>
    <d v="2026-02-19T11:45:03"/>
    <x v="4"/>
    <n v="1.62"/>
    <n v="0"/>
  </r>
  <r>
    <n v="1392"/>
    <n v="44"/>
    <n v="2"/>
    <n v="1278"/>
    <s v="EARNED"/>
    <n v="2.58"/>
    <s v=""/>
    <d v="2026-02-19T15:12:28"/>
    <x v="4"/>
    <n v="2.58"/>
    <n v="0"/>
  </r>
  <r>
    <n v="1393"/>
    <n v="56"/>
    <n v="2"/>
    <n v="1279"/>
    <s v="EARNED"/>
    <n v="7.59"/>
    <s v=""/>
    <d v="2026-02-19T15:14:59"/>
    <x v="4"/>
    <n v="7.59"/>
    <n v="0"/>
  </r>
  <r>
    <n v="1394"/>
    <n v="175"/>
    <n v="2"/>
    <n v="1280"/>
    <s v="EARNED"/>
    <n v="2.82"/>
    <s v=""/>
    <d v="2026-02-19T16:40:23"/>
    <x v="4"/>
    <n v="2.82"/>
    <n v="0"/>
  </r>
  <r>
    <n v="1395"/>
    <n v="16"/>
    <n v="3"/>
    <n v="1281"/>
    <s v="REDEEMED"/>
    <n v="139.71"/>
    <s v=""/>
    <d v="2026-02-19T19:19:12"/>
    <x v="4"/>
    <n v="0"/>
    <n v="139.71"/>
  </r>
  <r>
    <n v="1396"/>
    <n v="126"/>
    <n v="3"/>
    <n v="1275"/>
    <s v="ADJUSTMENT"/>
    <n v="38.21"/>
    <s v="Reverso por cancelación de compra #1275: Error de captura"/>
    <d v="2026-02-19T21:32:08"/>
    <x v="4"/>
    <n v="0"/>
    <n v="0"/>
  </r>
  <r>
    <n v="1397"/>
    <n v="16"/>
    <n v="3"/>
    <n v="1282"/>
    <s v="EARNED"/>
    <n v="30"/>
    <s v=""/>
    <d v="2026-02-20T08:32:34"/>
    <x v="4"/>
    <n v="30"/>
    <n v="0"/>
  </r>
  <r>
    <n v="1398"/>
    <n v="39"/>
    <n v="4"/>
    <n v="1283"/>
    <s v="REDEEMED"/>
    <n v="145.51"/>
    <s v=""/>
    <d v="2026-02-20T10:05:15"/>
    <x v="4"/>
    <n v="0"/>
    <n v="145.51"/>
  </r>
  <r>
    <n v="1399"/>
    <n v="113"/>
    <n v="2"/>
    <n v="1284"/>
    <s v="EARNED"/>
    <n v="3.8"/>
    <s v=""/>
    <d v="2026-02-20T11:46:28"/>
    <x v="4"/>
    <n v="3.8"/>
    <n v="0"/>
  </r>
  <r>
    <n v="1400"/>
    <n v="91"/>
    <n v="3"/>
    <n v="1285"/>
    <s v="EARNED"/>
    <n v="2.4900000000000002"/>
    <s v=""/>
    <d v="2026-02-20T13:10:38"/>
    <x v="4"/>
    <n v="2.4900000000000002"/>
    <n v="0"/>
  </r>
  <r>
    <n v="1401"/>
    <n v="67"/>
    <n v="3"/>
    <n v="1286"/>
    <s v="EARNED"/>
    <n v="3.77"/>
    <s v=""/>
    <d v="2026-02-20T15:35:47"/>
    <x v="4"/>
    <n v="3.77"/>
    <n v="0"/>
  </r>
  <r>
    <n v="1402"/>
    <n v="18"/>
    <n v="3"/>
    <n v="1287"/>
    <s v="EARNED"/>
    <n v="11.15"/>
    <s v=""/>
    <d v="2026-02-21T07:42:36"/>
    <x v="4"/>
    <n v="11.15"/>
    <n v="0"/>
  </r>
  <r>
    <n v="1403"/>
    <n v="187"/>
    <n v="4"/>
    <n v="1288"/>
    <s v="EARNED"/>
    <n v="2.64"/>
    <s v=""/>
    <d v="2026-02-21T11:59:31"/>
    <x v="4"/>
    <n v="2.64"/>
    <n v="0"/>
  </r>
  <r>
    <n v="1404"/>
    <n v="202"/>
    <n v="4"/>
    <n v="1289"/>
    <s v="EARNED"/>
    <n v="3.37"/>
    <s v=""/>
    <d v="2026-02-21T15:17:56"/>
    <x v="4"/>
    <n v="3.37"/>
    <n v="0"/>
  </r>
  <r>
    <n v="1405"/>
    <n v="56"/>
    <n v="5"/>
    <n v="1290"/>
    <s v="EARNED"/>
    <n v="8.42"/>
    <s v=""/>
    <d v="2026-02-21T16:41:48"/>
    <x v="4"/>
    <n v="8.42"/>
    <n v="0"/>
  </r>
  <r>
    <n v="1406"/>
    <n v="152"/>
    <n v="4"/>
    <n v="1291"/>
    <s v="EARNED"/>
    <n v="9.81"/>
    <s v=""/>
    <d v="2026-02-21T16:52:20"/>
    <x v="4"/>
    <n v="9.81"/>
    <n v="0"/>
  </r>
  <r>
    <n v="1407"/>
    <n v="28"/>
    <n v="3"/>
    <n v="1292"/>
    <s v="EARNED"/>
    <n v="2.19"/>
    <s v=""/>
    <d v="2026-02-22T07:34:08"/>
    <x v="4"/>
    <n v="2.19"/>
    <n v="0"/>
  </r>
  <r>
    <n v="1408"/>
    <n v="66"/>
    <n v="5"/>
    <n v="1293"/>
    <s v="EARNED"/>
    <n v="12.8"/>
    <s v=""/>
    <d v="2026-02-22T08:58:58"/>
    <x v="4"/>
    <n v="12.8"/>
    <n v="0"/>
  </r>
  <r>
    <n v="1409"/>
    <n v="149"/>
    <n v="3"/>
    <n v="1294"/>
    <s v="EARNED"/>
    <n v="2.2000000000000002"/>
    <s v=""/>
    <d v="2026-02-22T09:38:57"/>
    <x v="4"/>
    <n v="2.2000000000000002"/>
    <n v="0"/>
  </r>
  <r>
    <n v="1410"/>
    <n v="149"/>
    <n v="5"/>
    <n v="1295"/>
    <s v="EARNED"/>
    <n v="3.89"/>
    <s v=""/>
    <d v="2026-02-22T10:01:20"/>
    <x v="4"/>
    <n v="3.89"/>
    <n v="0"/>
  </r>
  <r>
    <n v="1411"/>
    <n v="87"/>
    <n v="2"/>
    <n v="1296"/>
    <s v="EARNED"/>
    <n v="10.36"/>
    <s v=""/>
    <d v="2026-02-22T11:00:18"/>
    <x v="4"/>
    <n v="10.36"/>
    <n v="0"/>
  </r>
  <r>
    <n v="1412"/>
    <n v="190"/>
    <n v="4"/>
    <n v="1297"/>
    <s v="EARNED"/>
    <n v="13.56"/>
    <s v=""/>
    <d v="2026-02-22T11:35:35"/>
    <x v="4"/>
    <n v="13.56"/>
    <n v="0"/>
  </r>
  <r>
    <n v="1413"/>
    <n v="80"/>
    <n v="4"/>
    <n v="1298"/>
    <s v="EARNED"/>
    <n v="2.39"/>
    <s v=""/>
    <d v="2026-02-22T15:09:05"/>
    <x v="4"/>
    <n v="2.39"/>
    <n v="0"/>
  </r>
  <r>
    <n v="1414"/>
    <n v="195"/>
    <n v="5"/>
    <n v="1299"/>
    <s v="EARNED"/>
    <n v="9.77"/>
    <s v=""/>
    <d v="2026-02-22T15:23:06"/>
    <x v="4"/>
    <n v="9.77"/>
    <n v="0"/>
  </r>
  <r>
    <n v="1415"/>
    <n v="59"/>
    <n v="4"/>
    <n v="1300"/>
    <s v="EARNED"/>
    <n v="3.58"/>
    <s v=""/>
    <d v="2026-02-23T09:05:11"/>
    <x v="4"/>
    <n v="3.58"/>
    <n v="0"/>
  </r>
  <r>
    <n v="1416"/>
    <n v="65"/>
    <n v="5"/>
    <n v="1301"/>
    <s v="EARNED"/>
    <n v="2.97"/>
    <s v=""/>
    <d v="2026-02-23T09:13:52"/>
    <x v="4"/>
    <n v="2.97"/>
    <n v="0"/>
  </r>
  <r>
    <n v="1417"/>
    <n v="230"/>
    <n v="2"/>
    <n v="1302"/>
    <s v="EARNED"/>
    <n v="12.31"/>
    <s v=""/>
    <d v="2026-02-23T09:17:20"/>
    <x v="4"/>
    <n v="12.31"/>
    <n v="0"/>
  </r>
  <r>
    <n v="1418"/>
    <n v="7"/>
    <n v="3"/>
    <n v="1303"/>
    <s v="EARNED"/>
    <n v="13.04"/>
    <s v=""/>
    <d v="2026-02-23T10:14:50"/>
    <x v="4"/>
    <n v="13.04"/>
    <n v="0"/>
  </r>
  <r>
    <n v="1419"/>
    <n v="96"/>
    <n v="4"/>
    <n v="1304"/>
    <s v="EARNED"/>
    <n v="16.62"/>
    <s v=""/>
    <d v="2026-02-23T10:28:17"/>
    <x v="4"/>
    <n v="16.62"/>
    <n v="0"/>
  </r>
  <r>
    <n v="1420"/>
    <n v="249"/>
    <n v="2"/>
    <n v="1305"/>
    <s v="EARNED"/>
    <n v="8.42"/>
    <s v=""/>
    <d v="2026-02-23T10:28:56"/>
    <x v="4"/>
    <n v="8.42"/>
    <n v="0"/>
  </r>
  <r>
    <n v="1421"/>
    <n v="52"/>
    <n v="5"/>
    <n v="1306"/>
    <s v="EARNED"/>
    <n v="3.22"/>
    <s v=""/>
    <d v="2026-02-23T10:59:59"/>
    <x v="4"/>
    <n v="3.22"/>
    <n v="0"/>
  </r>
  <r>
    <n v="1422"/>
    <n v="31"/>
    <n v="2"/>
    <n v="1307"/>
    <s v="EARNED"/>
    <n v="2.77"/>
    <s v=""/>
    <d v="2026-02-23T12:50:51"/>
    <x v="4"/>
    <n v="2.77"/>
    <n v="0"/>
  </r>
  <r>
    <n v="1423"/>
    <n v="293"/>
    <n v="2"/>
    <n v="1308"/>
    <s v="EARNED"/>
    <n v="3.03"/>
    <s v=""/>
    <d v="2026-02-23T13:16:45"/>
    <x v="4"/>
    <n v="3.03"/>
    <n v="0"/>
  </r>
  <r>
    <n v="1424"/>
    <n v="293"/>
    <n v="5"/>
    <n v="1308"/>
    <s v="ADJUSTMENT"/>
    <n v="-3.03"/>
    <s v="Reverso por cancelación de compra #1308: Cliente canceló la operación"/>
    <d v="2026-02-23T15:16:45"/>
    <x v="4"/>
    <n v="0"/>
    <n v="0"/>
  </r>
  <r>
    <n v="1425"/>
    <n v="48"/>
    <n v="5"/>
    <n v="1309"/>
    <s v="EARNED"/>
    <n v="16.12"/>
    <s v=""/>
    <d v="2026-02-23T16:08:25"/>
    <x v="4"/>
    <n v="16.12"/>
    <n v="0"/>
  </r>
  <r>
    <n v="1426"/>
    <n v="72"/>
    <n v="4"/>
    <n v="1310"/>
    <s v="EARNED"/>
    <n v="3.12"/>
    <s v=""/>
    <d v="2026-02-23T18:24:28"/>
    <x v="4"/>
    <n v="3.12"/>
    <n v="0"/>
  </r>
  <r>
    <n v="1427"/>
    <n v="117"/>
    <n v="2"/>
    <n v="1311"/>
    <s v="EARNED"/>
    <n v="9.41"/>
    <s v=""/>
    <d v="2026-02-23T18:26:13"/>
    <x v="4"/>
    <n v="9.41"/>
    <n v="0"/>
  </r>
  <r>
    <n v="1428"/>
    <n v="293"/>
    <n v="2"/>
    <n v="1312"/>
    <s v="EARNED"/>
    <n v="2.33"/>
    <s v=""/>
    <d v="2026-02-23T19:01:48"/>
    <x v="4"/>
    <n v="2.33"/>
    <n v="0"/>
  </r>
  <r>
    <n v="1429"/>
    <n v="7"/>
    <n v="4"/>
    <n v="1313"/>
    <s v="EARNED"/>
    <n v="12.75"/>
    <s v=""/>
    <d v="2026-02-24T07:36:18"/>
    <x v="4"/>
    <n v="12.75"/>
    <n v="0"/>
  </r>
  <r>
    <n v="1430"/>
    <n v="23"/>
    <n v="3"/>
    <n v="1314"/>
    <s v="EARNED"/>
    <n v="20.51"/>
    <s v=""/>
    <d v="2026-02-24T07:38:15"/>
    <x v="4"/>
    <n v="20.51"/>
    <n v="0"/>
  </r>
  <r>
    <n v="1431"/>
    <n v="156"/>
    <n v="5"/>
    <n v="1315"/>
    <s v="EARNED"/>
    <n v="3.35"/>
    <s v=""/>
    <d v="2026-02-24T07:47:48"/>
    <x v="4"/>
    <n v="3.35"/>
    <n v="0"/>
  </r>
  <r>
    <n v="1432"/>
    <n v="17"/>
    <n v="4"/>
    <n v="1316"/>
    <s v="EARNED"/>
    <n v="5.17"/>
    <s v=""/>
    <d v="2026-02-24T08:03:35"/>
    <x v="4"/>
    <n v="5.17"/>
    <n v="0"/>
  </r>
  <r>
    <n v="1433"/>
    <n v="277"/>
    <n v="2"/>
    <n v="1317"/>
    <s v="EARNED"/>
    <n v="12.49"/>
    <s v=""/>
    <d v="2026-02-24T09:59:37"/>
    <x v="4"/>
    <n v="12.49"/>
    <n v="0"/>
  </r>
  <r>
    <n v="1434"/>
    <n v="136"/>
    <n v="5"/>
    <n v="1318"/>
    <s v="EARNED"/>
    <n v="5.58"/>
    <s v=""/>
    <d v="2026-02-24T10:32:19"/>
    <x v="4"/>
    <n v="5.58"/>
    <n v="0"/>
  </r>
  <r>
    <n v="1435"/>
    <n v="149"/>
    <n v="4"/>
    <n v="1319"/>
    <s v="EARNED"/>
    <n v="2.48"/>
    <s v=""/>
    <d v="2026-02-24T11:31:47"/>
    <x v="4"/>
    <n v="2.48"/>
    <n v="0"/>
  </r>
  <r>
    <n v="1436"/>
    <n v="172"/>
    <n v="3"/>
    <n v="1320"/>
    <s v="EARNED"/>
    <n v="2.02"/>
    <s v=""/>
    <d v="2026-02-24T11:42:11"/>
    <x v="4"/>
    <n v="2.02"/>
    <n v="0"/>
  </r>
  <r>
    <n v="1437"/>
    <n v="175"/>
    <n v="3"/>
    <n v="1321"/>
    <s v="EARNED"/>
    <n v="3.17"/>
    <s v=""/>
    <d v="2026-02-24T14:40:20"/>
    <x v="4"/>
    <n v="3.17"/>
    <n v="0"/>
  </r>
  <r>
    <n v="1438"/>
    <n v="268"/>
    <n v="2"/>
    <n v="1322"/>
    <s v="EARNED"/>
    <n v="2.36"/>
    <s v=""/>
    <d v="2026-02-24T15:10:59"/>
    <x v="4"/>
    <n v="2.36"/>
    <n v="0"/>
  </r>
  <r>
    <n v="1439"/>
    <n v="65"/>
    <n v="5"/>
    <n v="1323"/>
    <s v="EARNED"/>
    <n v="5.37"/>
    <s v=""/>
    <d v="2026-02-24T15:43:50"/>
    <x v="4"/>
    <n v="5.37"/>
    <n v="0"/>
  </r>
  <r>
    <n v="1440"/>
    <n v="304"/>
    <n v="2"/>
    <n v="1324"/>
    <s v="EARNED"/>
    <n v="1.41"/>
    <s v=""/>
    <d v="2026-02-24T17:19:14"/>
    <x v="4"/>
    <n v="1.41"/>
    <n v="0"/>
  </r>
  <r>
    <n v="1441"/>
    <n v="126"/>
    <n v="2"/>
    <n v="1325"/>
    <s v="EARNED"/>
    <n v="14.76"/>
    <s v=""/>
    <d v="2026-02-24T18:51:02"/>
    <x v="4"/>
    <n v="14.76"/>
    <n v="0"/>
  </r>
  <r>
    <n v="1442"/>
    <n v="42"/>
    <n v="4"/>
    <n v="1326"/>
    <s v="EARNED"/>
    <n v="3.53"/>
    <s v=""/>
    <d v="2026-02-25T09:39:29"/>
    <x v="4"/>
    <n v="3.53"/>
    <n v="0"/>
  </r>
  <r>
    <n v="1443"/>
    <n v="20"/>
    <n v="2"/>
    <n v="1327"/>
    <s v="EARNED"/>
    <n v="2.02"/>
    <s v=""/>
    <d v="2026-02-25T10:53:58"/>
    <x v="4"/>
    <n v="2.02"/>
    <n v="0"/>
  </r>
  <r>
    <n v="1444"/>
    <n v="113"/>
    <n v="2"/>
    <n v="1328"/>
    <s v="EARNED"/>
    <n v="1.86"/>
    <s v=""/>
    <d v="2026-02-25T11:10:56"/>
    <x v="4"/>
    <n v="1.86"/>
    <n v="0"/>
  </r>
  <r>
    <n v="1445"/>
    <n v="76"/>
    <n v="2"/>
    <n v="1329"/>
    <s v="EARNED"/>
    <n v="7.79"/>
    <s v=""/>
    <d v="2026-02-25T11:55:33"/>
    <x v="4"/>
    <n v="7.79"/>
    <n v="0"/>
  </r>
  <r>
    <n v="1446"/>
    <n v="117"/>
    <n v="2"/>
    <n v="1330"/>
    <s v="EARNED"/>
    <n v="7.34"/>
    <s v=""/>
    <d v="2026-02-25T12:27:05"/>
    <x v="4"/>
    <n v="7.34"/>
    <n v="0"/>
  </r>
  <r>
    <n v="1447"/>
    <n v="21"/>
    <n v="4"/>
    <n v="1331"/>
    <s v="EARNED"/>
    <n v="3.01"/>
    <s v=""/>
    <d v="2026-02-25T12:54:50"/>
    <x v="4"/>
    <n v="3.01"/>
    <n v="0"/>
  </r>
  <r>
    <n v="1448"/>
    <n v="76"/>
    <n v="3"/>
    <n v="1332"/>
    <s v="EARNED"/>
    <n v="6.27"/>
    <s v=""/>
    <d v="2026-02-25T15:31:41"/>
    <x v="4"/>
    <n v="6.27"/>
    <n v="0"/>
  </r>
  <r>
    <n v="1449"/>
    <n v="227"/>
    <n v="2"/>
    <n v="1333"/>
    <s v="EARNED"/>
    <n v="2.6"/>
    <s v=""/>
    <d v="2026-02-25T18:36:24"/>
    <x v="4"/>
    <n v="2.6"/>
    <n v="0"/>
  </r>
  <r>
    <n v="1450"/>
    <n v="117"/>
    <n v="5"/>
    <n v="1334"/>
    <s v="EARNED"/>
    <n v="5.75"/>
    <s v=""/>
    <d v="2026-02-25T19:02:56"/>
    <x v="4"/>
    <n v="5.75"/>
    <n v="0"/>
  </r>
  <r>
    <n v="1451"/>
    <n v="136"/>
    <n v="3"/>
    <n v="1318"/>
    <s v="ADJUSTMENT"/>
    <n v="-5.58"/>
    <s v="Reverso por cancelación de compra #1318: Cliente canceló la operación"/>
    <d v="2026-02-26T06:32:19"/>
    <x v="4"/>
    <n v="0"/>
    <n v="0"/>
  </r>
  <r>
    <n v="1452"/>
    <n v="302"/>
    <n v="2"/>
    <n v="1335"/>
    <s v="EARNED"/>
    <n v="3.66"/>
    <s v=""/>
    <d v="2026-02-26T07:27:12"/>
    <x v="4"/>
    <n v="3.66"/>
    <n v="0"/>
  </r>
  <r>
    <n v="1453"/>
    <n v="65"/>
    <n v="2"/>
    <n v="1336"/>
    <s v="EARNED"/>
    <n v="3.22"/>
    <s v=""/>
    <d v="2026-02-26T09:32:41"/>
    <x v="4"/>
    <n v="3.22"/>
    <n v="0"/>
  </r>
  <r>
    <n v="1454"/>
    <n v="212"/>
    <n v="2"/>
    <n v="1337"/>
    <s v="EARNED"/>
    <n v="10.050000000000001"/>
    <s v=""/>
    <d v="2026-02-26T09:42:59"/>
    <x v="4"/>
    <n v="10.050000000000001"/>
    <n v="0"/>
  </r>
  <r>
    <n v="1455"/>
    <n v="92"/>
    <n v="5"/>
    <n v="1338"/>
    <s v="EARNED"/>
    <n v="4.05"/>
    <s v=""/>
    <d v="2026-02-26T09:44:24"/>
    <x v="4"/>
    <n v="4.05"/>
    <n v="0"/>
  </r>
  <r>
    <n v="1456"/>
    <n v="175"/>
    <n v="2"/>
    <n v="1339"/>
    <s v="EARNED"/>
    <n v="4.55"/>
    <s v=""/>
    <d v="2026-02-26T10:59:43"/>
    <x v="4"/>
    <n v="4.55"/>
    <n v="0"/>
  </r>
  <r>
    <n v="1457"/>
    <n v="244"/>
    <n v="4"/>
    <n v="1340"/>
    <s v="EARNED"/>
    <n v="8.92"/>
    <s v=""/>
    <d v="2026-02-26T14:44:20"/>
    <x v="4"/>
    <n v="8.92"/>
    <n v="0"/>
  </r>
  <r>
    <n v="1458"/>
    <n v="137"/>
    <n v="3"/>
    <n v="1341"/>
    <s v="EARNED"/>
    <n v="7.39"/>
    <s v=""/>
    <d v="2026-02-26T16:41:49"/>
    <x v="4"/>
    <n v="7.39"/>
    <n v="0"/>
  </r>
  <r>
    <n v="1459"/>
    <n v="6"/>
    <n v="4"/>
    <n v="1342"/>
    <s v="EARNED"/>
    <n v="3.24"/>
    <s v=""/>
    <d v="2026-02-26T17:51:40"/>
    <x v="4"/>
    <n v="3.24"/>
    <n v="0"/>
  </r>
  <r>
    <n v="1460"/>
    <n v="65"/>
    <n v="4"/>
    <n v="1336"/>
    <s v="ADJUSTMENT"/>
    <n v="-3.22"/>
    <s v="Reverso por cancelación de compra #1336: Solicitud del cliente"/>
    <d v="2026-02-26T18:32:41"/>
    <x v="4"/>
    <n v="0"/>
    <n v="0"/>
  </r>
  <r>
    <n v="1461"/>
    <n v="7"/>
    <n v="4"/>
    <n v="1343"/>
    <s v="REDEEMED"/>
    <n v="47.8"/>
    <s v=""/>
    <d v="2026-02-26T19:11:31"/>
    <x v="4"/>
    <n v="0"/>
    <n v="47.8"/>
  </r>
  <r>
    <n v="1462"/>
    <n v="127"/>
    <n v="2"/>
    <n v="1344"/>
    <s v="EARNED"/>
    <n v="6.15"/>
    <s v=""/>
    <d v="2026-02-26T19:35:31"/>
    <x v="4"/>
    <n v="6.15"/>
    <n v="0"/>
  </r>
  <r>
    <n v="1463"/>
    <n v="262"/>
    <n v="2"/>
    <n v="1345"/>
    <s v="EARNED"/>
    <n v="7.51"/>
    <s v=""/>
    <d v="2026-02-27T08:29:18"/>
    <x v="4"/>
    <n v="7.51"/>
    <n v="0"/>
  </r>
  <r>
    <n v="1464"/>
    <n v="230"/>
    <n v="2"/>
    <n v="1346"/>
    <s v="EARNED"/>
    <n v="16.7"/>
    <s v=""/>
    <d v="2026-02-27T08:57:54"/>
    <x v="4"/>
    <n v="16.7"/>
    <n v="0"/>
  </r>
  <r>
    <n v="1465"/>
    <n v="39"/>
    <n v="4"/>
    <n v="1347"/>
    <s v="EARNED"/>
    <n v="10.220000000000001"/>
    <s v=""/>
    <d v="2026-02-27T09:57:06"/>
    <x v="4"/>
    <n v="10.220000000000001"/>
    <n v="0"/>
  </r>
  <r>
    <n v="1466"/>
    <n v="300"/>
    <n v="2"/>
    <n v="1348"/>
    <s v="EARNED"/>
    <n v="6.1"/>
    <s v=""/>
    <d v="2026-02-27T10:20:35"/>
    <x v="4"/>
    <n v="6.1"/>
    <n v="0"/>
  </r>
  <r>
    <n v="1467"/>
    <n v="132"/>
    <n v="5"/>
    <n v="1349"/>
    <s v="EARNED"/>
    <n v="20.39"/>
    <s v=""/>
    <d v="2026-02-27T10:37:02"/>
    <x v="4"/>
    <n v="20.39"/>
    <n v="0"/>
  </r>
  <r>
    <n v="1468"/>
    <n v="149"/>
    <n v="4"/>
    <n v="1350"/>
    <s v="EARNED"/>
    <n v="2.68"/>
    <s v=""/>
    <d v="2026-02-27T11:17:36"/>
    <x v="4"/>
    <n v="2.68"/>
    <n v="0"/>
  </r>
  <r>
    <n v="1469"/>
    <n v="117"/>
    <n v="3"/>
    <n v="1351"/>
    <s v="EARNED"/>
    <n v="11.09"/>
    <s v=""/>
    <d v="2026-02-27T13:18:54"/>
    <x v="4"/>
    <n v="11.09"/>
    <n v="0"/>
  </r>
  <r>
    <n v="1470"/>
    <n v="149"/>
    <n v="5"/>
    <n v="1352"/>
    <s v="EARNED"/>
    <n v="2.2799999999999998"/>
    <s v=""/>
    <d v="2026-02-27T14:25:47"/>
    <x v="4"/>
    <n v="2.2799999999999998"/>
    <n v="0"/>
  </r>
  <r>
    <n v="1471"/>
    <n v="252"/>
    <n v="3"/>
    <n v="1353"/>
    <s v="EARNED"/>
    <n v="2.68"/>
    <s v=""/>
    <d v="2026-02-27T14:59:34"/>
    <x v="4"/>
    <n v="2.68"/>
    <n v="0"/>
  </r>
  <r>
    <n v="1472"/>
    <n v="44"/>
    <n v="3"/>
    <n v="1354"/>
    <s v="EARNED"/>
    <n v="3.83"/>
    <s v=""/>
    <d v="2026-02-27T15:00:25"/>
    <x v="4"/>
    <n v="3.83"/>
    <n v="0"/>
  </r>
  <r>
    <n v="1473"/>
    <n v="136"/>
    <n v="2"/>
    <n v="1355"/>
    <s v="EARNED"/>
    <n v="8.58"/>
    <s v=""/>
    <d v="2026-02-27T18:07:36"/>
    <x v="4"/>
    <n v="8.58"/>
    <n v="0"/>
  </r>
  <r>
    <n v="1474"/>
    <n v="133"/>
    <n v="4"/>
    <n v="1356"/>
    <s v="EARNED"/>
    <n v="6.39"/>
    <s v=""/>
    <d v="2026-02-27T18:22:08"/>
    <x v="4"/>
    <n v="6.39"/>
    <n v="0"/>
  </r>
  <r>
    <n v="1475"/>
    <n v="42"/>
    <n v="5"/>
    <n v="1357"/>
    <s v="EARNED"/>
    <n v="4.0199999999999996"/>
    <s v=""/>
    <d v="2026-02-27T19:44:34"/>
    <x v="4"/>
    <n v="4.0199999999999996"/>
    <n v="0"/>
  </r>
  <r>
    <n v="1476"/>
    <n v="87"/>
    <n v="2"/>
    <n v="1358"/>
    <s v="EARNED"/>
    <n v="14.93"/>
    <s v=""/>
    <d v="2026-02-28T08:35:04"/>
    <x v="4"/>
    <n v="14.93"/>
    <n v="0"/>
  </r>
  <r>
    <n v="1477"/>
    <n v="230"/>
    <n v="4"/>
    <n v="1359"/>
    <s v="EARNED"/>
    <n v="11.97"/>
    <s v=""/>
    <d v="2026-02-28T09:18:36"/>
    <x v="4"/>
    <n v="11.97"/>
    <n v="0"/>
  </r>
  <r>
    <n v="1478"/>
    <n v="94"/>
    <n v="2"/>
    <n v="1360"/>
    <s v="EARNED"/>
    <n v="20.12"/>
    <s v=""/>
    <d v="2026-02-28T10:07:34"/>
    <x v="4"/>
    <n v="20.12"/>
    <n v="0"/>
  </r>
  <r>
    <n v="1479"/>
    <n v="149"/>
    <n v="3"/>
    <n v="1361"/>
    <s v="EARNED"/>
    <n v="3.14"/>
    <s v=""/>
    <d v="2026-02-28T11:33:25"/>
    <x v="4"/>
    <n v="3.14"/>
    <n v="0"/>
  </r>
  <r>
    <n v="1480"/>
    <n v="297"/>
    <n v="3"/>
    <n v="1362"/>
    <s v="EARNED"/>
    <n v="9.25"/>
    <s v=""/>
    <d v="2026-02-28T11:46:02"/>
    <x v="4"/>
    <n v="9.25"/>
    <n v="0"/>
  </r>
  <r>
    <n v="1481"/>
    <n v="38"/>
    <n v="2"/>
    <n v="1363"/>
    <s v="EARNED"/>
    <n v="4.07"/>
    <s v=""/>
    <d v="2026-02-28T14:07:57"/>
    <x v="4"/>
    <n v="4.07"/>
    <n v="0"/>
  </r>
  <r>
    <n v="1482"/>
    <n v="137"/>
    <n v="3"/>
    <n v="1364"/>
    <s v="EARNED"/>
    <n v="2.12"/>
    <s v=""/>
    <d v="2026-02-28T14:37:25"/>
    <x v="4"/>
    <n v="2.12"/>
    <n v="0"/>
  </r>
  <r>
    <n v="1483"/>
    <n v="39"/>
    <n v="4"/>
    <n v="1365"/>
    <s v="EARNED"/>
    <n v="30"/>
    <s v=""/>
    <d v="2026-02-28T15:27:23"/>
    <x v="4"/>
    <n v="30"/>
    <n v="0"/>
  </r>
  <r>
    <n v="1484"/>
    <n v="35"/>
    <n v="4"/>
    <n v="1366"/>
    <s v="EARNED"/>
    <n v="3.7"/>
    <s v=""/>
    <d v="2026-02-28T17:28:20"/>
    <x v="4"/>
    <n v="3.7"/>
    <n v="0"/>
  </r>
  <r>
    <n v="1485"/>
    <n v="215"/>
    <n v="4"/>
    <n v="1367"/>
    <s v="EARNED"/>
    <n v="5.57"/>
    <s v=""/>
    <d v="2026-02-28T18:10:13"/>
    <x v="4"/>
    <n v="5.57"/>
    <n v="0"/>
  </r>
  <r>
    <n v="1486"/>
    <n v="16"/>
    <n v="3"/>
    <n v="1368"/>
    <s v="EARNED"/>
    <n v="8"/>
    <s v=""/>
    <d v="2026-03-01T09:17:38"/>
    <x v="5"/>
    <n v="8"/>
    <n v="0"/>
  </r>
  <r>
    <n v="1487"/>
    <n v="12"/>
    <n v="2"/>
    <n v="1369"/>
    <s v="EARNED"/>
    <n v="5.0999999999999996"/>
    <s v=""/>
    <d v="2026-03-01T16:02:18"/>
    <x v="5"/>
    <n v="5.0999999999999996"/>
    <n v="0"/>
  </r>
  <r>
    <n v="1488"/>
    <n v="125"/>
    <n v="2"/>
    <n v="1370"/>
    <s v="EARNED"/>
    <n v="4.26"/>
    <s v=""/>
    <d v="2026-03-01T17:08:40"/>
    <x v="5"/>
    <n v="4.26"/>
    <n v="0"/>
  </r>
  <r>
    <n v="1489"/>
    <n v="35"/>
    <n v="4"/>
    <n v="1366"/>
    <s v="ADJUSTMENT"/>
    <n v="-3.7"/>
    <s v="Reverso por cancelación de compra #1366: Error de captura"/>
    <d v="2026-03-01T21:28:20"/>
    <x v="5"/>
    <n v="0"/>
    <n v="0"/>
  </r>
  <r>
    <n v="1490"/>
    <n v="137"/>
    <n v="5"/>
    <n v="1371"/>
    <s v="EARNED"/>
    <n v="1.8"/>
    <s v=""/>
    <d v="2026-03-02T08:03:59"/>
    <x v="5"/>
    <n v="1.8"/>
    <n v="0"/>
  </r>
  <r>
    <n v="1491"/>
    <n v="247"/>
    <n v="2"/>
    <n v="1372"/>
    <s v="EARNED"/>
    <n v="2.2599999999999998"/>
    <s v=""/>
    <d v="2026-03-02T08:16:01"/>
    <x v="5"/>
    <n v="2.2599999999999998"/>
    <n v="0"/>
  </r>
  <r>
    <n v="1492"/>
    <n v="124"/>
    <n v="2"/>
    <n v="1373"/>
    <s v="EARNED"/>
    <n v="3.43"/>
    <s v=""/>
    <d v="2026-03-02T10:39:36"/>
    <x v="5"/>
    <n v="3.43"/>
    <n v="0"/>
  </r>
  <r>
    <n v="1493"/>
    <n v="252"/>
    <n v="3"/>
    <n v="1374"/>
    <s v="EARNED"/>
    <n v="6.42"/>
    <s v=""/>
    <d v="2026-03-02T11:13:42"/>
    <x v="5"/>
    <n v="6.42"/>
    <n v="0"/>
  </r>
  <r>
    <n v="1494"/>
    <n v="217"/>
    <n v="3"/>
    <n v="1375"/>
    <s v="EARNED"/>
    <n v="4.1500000000000004"/>
    <s v=""/>
    <d v="2026-03-02T11:43:44"/>
    <x v="5"/>
    <n v="4.1500000000000004"/>
    <n v="0"/>
  </r>
  <r>
    <n v="1495"/>
    <n v="85"/>
    <n v="4"/>
    <n v="1376"/>
    <s v="EARNED"/>
    <n v="21.16"/>
    <s v=""/>
    <d v="2026-03-02T13:43:19"/>
    <x v="5"/>
    <n v="21.16"/>
    <n v="0"/>
  </r>
  <r>
    <n v="1496"/>
    <n v="106"/>
    <n v="4"/>
    <n v="1377"/>
    <s v="EARNED"/>
    <n v="11.2"/>
    <s v=""/>
    <d v="2026-03-02T14:12:49"/>
    <x v="5"/>
    <n v="11.2"/>
    <n v="0"/>
  </r>
  <r>
    <n v="1497"/>
    <n v="44"/>
    <n v="4"/>
    <n v="1378"/>
    <s v="EARNED"/>
    <n v="2.72"/>
    <s v=""/>
    <d v="2026-03-02T17:57:48"/>
    <x v="5"/>
    <n v="2.72"/>
    <n v="0"/>
  </r>
  <r>
    <n v="1498"/>
    <n v="172"/>
    <n v="2"/>
    <n v="1379"/>
    <s v="EARNED"/>
    <n v="2.29"/>
    <s v=""/>
    <d v="2026-03-02T19:49:27"/>
    <x v="5"/>
    <n v="2.29"/>
    <n v="0"/>
  </r>
  <r>
    <n v="1499"/>
    <n v="65"/>
    <n v="3"/>
    <n v="1380"/>
    <s v="EARNED"/>
    <n v="1.56"/>
    <s v=""/>
    <d v="2026-03-03T09:38:29"/>
    <x v="5"/>
    <n v="1.56"/>
    <n v="0"/>
  </r>
  <r>
    <n v="1500"/>
    <n v="46"/>
    <n v="2"/>
    <n v="1381"/>
    <s v="EARNED"/>
    <n v="2.8"/>
    <s v=""/>
    <d v="2026-03-03T10:52:45"/>
    <x v="5"/>
    <n v="2.8"/>
    <n v="0"/>
  </r>
  <r>
    <n v="1501"/>
    <n v="245"/>
    <n v="5"/>
    <n v="1382"/>
    <s v="EARNED"/>
    <n v="3.33"/>
    <s v=""/>
    <d v="2026-03-03T12:37:00"/>
    <x v="5"/>
    <n v="3.33"/>
    <n v="0"/>
  </r>
  <r>
    <n v="1502"/>
    <n v="149"/>
    <n v="3"/>
    <n v="1383"/>
    <s v="EARNED"/>
    <n v="2.37"/>
    <s v=""/>
    <d v="2026-03-03T15:16:15"/>
    <x v="5"/>
    <n v="2.37"/>
    <n v="0"/>
  </r>
  <r>
    <n v="1503"/>
    <n v="297"/>
    <n v="5"/>
    <n v="1384"/>
    <s v="EARNED"/>
    <n v="9.9"/>
    <s v=""/>
    <d v="2026-03-03T16:15:38"/>
    <x v="5"/>
    <n v="9.9"/>
    <n v="0"/>
  </r>
  <r>
    <n v="1504"/>
    <n v="106"/>
    <n v="5"/>
    <n v="1377"/>
    <s v="ADJUSTMENT"/>
    <n v="-11.2"/>
    <s v="Reverso por cancelación de compra #1377: Error de captura"/>
    <d v="2026-03-03T17:12:49"/>
    <x v="5"/>
    <n v="0"/>
    <n v="0"/>
  </r>
  <r>
    <n v="1505"/>
    <n v="65"/>
    <n v="4"/>
    <n v="1385"/>
    <s v="EARNED"/>
    <n v="1.77"/>
    <s v=""/>
    <d v="2026-03-03T19:50:22"/>
    <x v="5"/>
    <n v="1.77"/>
    <n v="0"/>
  </r>
  <r>
    <n v="1506"/>
    <n v="156"/>
    <n v="4"/>
    <n v="1386"/>
    <s v="EARNED"/>
    <n v="3.18"/>
    <s v=""/>
    <d v="2026-03-04T08:52:17"/>
    <x v="5"/>
    <n v="3.18"/>
    <n v="0"/>
  </r>
  <r>
    <n v="1507"/>
    <n v="34"/>
    <n v="4"/>
    <n v="1387"/>
    <s v="EARNED"/>
    <n v="13.6"/>
    <s v=""/>
    <d v="2026-03-04T08:55:20"/>
    <x v="5"/>
    <n v="13.6"/>
    <n v="0"/>
  </r>
  <r>
    <n v="1508"/>
    <n v="137"/>
    <n v="4"/>
    <n v="1388"/>
    <s v="EARNED"/>
    <n v="2.12"/>
    <s v=""/>
    <d v="2026-03-04T10:00:47"/>
    <x v="5"/>
    <n v="2.12"/>
    <n v="0"/>
  </r>
  <r>
    <n v="1509"/>
    <n v="17"/>
    <n v="2"/>
    <n v="1389"/>
    <s v="EARNED"/>
    <n v="7.53"/>
    <s v=""/>
    <d v="2026-03-04T10:05:04"/>
    <x v="5"/>
    <n v="7.53"/>
    <n v="0"/>
  </r>
  <r>
    <n v="1510"/>
    <n v="65"/>
    <n v="2"/>
    <n v="1390"/>
    <s v="EARNED"/>
    <n v="1.97"/>
    <s v=""/>
    <d v="2026-03-04T14:06:09"/>
    <x v="5"/>
    <n v="1.97"/>
    <n v="0"/>
  </r>
  <r>
    <n v="1511"/>
    <n v="34"/>
    <n v="5"/>
    <n v="1387"/>
    <s v="ADJUSTMENT"/>
    <n v="-13.6"/>
    <s v="Reverso por cancelación de compra #1387: Cliente canceló la operación"/>
    <d v="2026-03-04T14:55:20"/>
    <x v="5"/>
    <n v="0"/>
    <n v="0"/>
  </r>
  <r>
    <n v="1512"/>
    <n v="149"/>
    <n v="3"/>
    <n v="1391"/>
    <s v="EARNED"/>
    <n v="2.4300000000000002"/>
    <s v=""/>
    <d v="2026-03-04T15:49:52"/>
    <x v="5"/>
    <n v="2.4300000000000002"/>
    <n v="0"/>
  </r>
  <r>
    <n v="1513"/>
    <n v="95"/>
    <n v="3"/>
    <n v="1392"/>
    <s v="EARNED"/>
    <n v="14.81"/>
    <s v=""/>
    <d v="2026-03-04T17:50:43"/>
    <x v="5"/>
    <n v="14.81"/>
    <n v="0"/>
  </r>
  <r>
    <n v="1514"/>
    <n v="57"/>
    <n v="4"/>
    <n v="1393"/>
    <s v="EARNED"/>
    <n v="12.81"/>
    <s v=""/>
    <d v="2026-03-04T18:01:02"/>
    <x v="5"/>
    <n v="12.81"/>
    <n v="0"/>
  </r>
  <r>
    <n v="1515"/>
    <n v="137"/>
    <n v="5"/>
    <n v="1394"/>
    <s v="EARNED"/>
    <n v="2.39"/>
    <s v=""/>
    <d v="2026-03-04T19:32:55"/>
    <x v="5"/>
    <n v="2.39"/>
    <n v="0"/>
  </r>
  <r>
    <n v="1516"/>
    <n v="18"/>
    <n v="5"/>
    <n v="1395"/>
    <s v="EARNED"/>
    <n v="4.1399999999999997"/>
    <s v=""/>
    <d v="2026-03-05T15:02:05"/>
    <x v="5"/>
    <n v="4.1399999999999997"/>
    <n v="0"/>
  </r>
  <r>
    <n v="1517"/>
    <n v="17"/>
    <n v="5"/>
    <n v="1396"/>
    <s v="EARNED"/>
    <n v="5.7"/>
    <s v=""/>
    <d v="2026-03-05T15:22:10"/>
    <x v="5"/>
    <n v="5.7"/>
    <n v="0"/>
  </r>
  <r>
    <n v="1518"/>
    <n v="51"/>
    <n v="3"/>
    <n v="1397"/>
    <s v="EARNED"/>
    <n v="13.36"/>
    <s v=""/>
    <d v="2026-03-05T15:34:54"/>
    <x v="5"/>
    <n v="13.36"/>
    <n v="0"/>
  </r>
  <r>
    <n v="1519"/>
    <n v="234"/>
    <n v="3"/>
    <n v="1398"/>
    <s v="EARNED"/>
    <n v="30"/>
    <s v=""/>
    <d v="2026-03-05T15:51:38"/>
    <x v="5"/>
    <n v="30"/>
    <n v="0"/>
  </r>
  <r>
    <n v="1520"/>
    <n v="262"/>
    <n v="2"/>
    <n v="1399"/>
    <s v="EARNED"/>
    <n v="21.74"/>
    <s v=""/>
    <d v="2026-03-05T17:35:59"/>
    <x v="5"/>
    <n v="21.74"/>
    <n v="0"/>
  </r>
  <r>
    <n v="1521"/>
    <n v="255"/>
    <n v="3"/>
    <n v="1400"/>
    <s v="EARNED"/>
    <n v="3.33"/>
    <s v=""/>
    <d v="2026-03-05T17:36:32"/>
    <x v="5"/>
    <n v="3.33"/>
    <n v="0"/>
  </r>
  <r>
    <n v="1522"/>
    <n v="190"/>
    <n v="4"/>
    <n v="1401"/>
    <s v="EARNED"/>
    <n v="15.5"/>
    <s v=""/>
    <d v="2026-03-06T08:05:11"/>
    <x v="5"/>
    <n v="15.5"/>
    <n v="0"/>
  </r>
  <r>
    <n v="1523"/>
    <n v="109"/>
    <n v="3"/>
    <n v="1402"/>
    <s v="EARNED"/>
    <n v="11.43"/>
    <s v=""/>
    <d v="2026-03-06T11:30:01"/>
    <x v="5"/>
    <n v="11.43"/>
    <n v="0"/>
  </r>
  <r>
    <n v="1524"/>
    <n v="31"/>
    <n v="2"/>
    <n v="1403"/>
    <s v="EARNED"/>
    <n v="1.91"/>
    <s v=""/>
    <d v="2026-03-06T11:39:39"/>
    <x v="5"/>
    <n v="1.91"/>
    <n v="0"/>
  </r>
  <r>
    <n v="1525"/>
    <n v="178"/>
    <n v="3"/>
    <n v="1404"/>
    <s v="EARNED"/>
    <n v="13.5"/>
    <s v=""/>
    <d v="2026-03-06T12:45:07"/>
    <x v="5"/>
    <n v="13.5"/>
    <n v="0"/>
  </r>
  <r>
    <n v="1526"/>
    <n v="80"/>
    <n v="5"/>
    <n v="1405"/>
    <s v="EARNED"/>
    <n v="2.41"/>
    <s v=""/>
    <d v="2026-03-06T13:50:03"/>
    <x v="5"/>
    <n v="2.41"/>
    <n v="0"/>
  </r>
  <r>
    <n v="1527"/>
    <n v="252"/>
    <n v="3"/>
    <n v="1406"/>
    <s v="EARNED"/>
    <n v="2.39"/>
    <s v=""/>
    <d v="2026-03-06T15:14:36"/>
    <x v="5"/>
    <n v="2.39"/>
    <n v="0"/>
  </r>
  <r>
    <n v="1528"/>
    <n v="235"/>
    <n v="3"/>
    <n v="1407"/>
    <s v="EARNED"/>
    <n v="2.2599999999999998"/>
    <s v=""/>
    <d v="2026-03-06T16:33:29"/>
    <x v="5"/>
    <n v="2.2599999999999998"/>
    <n v="0"/>
  </r>
  <r>
    <n v="1529"/>
    <n v="136"/>
    <n v="5"/>
    <n v="1408"/>
    <s v="EARNED"/>
    <n v="8.07"/>
    <s v=""/>
    <d v="2026-03-07T08:57:59"/>
    <x v="5"/>
    <n v="8.07"/>
    <n v="0"/>
  </r>
  <r>
    <n v="1530"/>
    <n v="132"/>
    <n v="5"/>
    <n v="1409"/>
    <s v="EARNED"/>
    <n v="11.2"/>
    <s v=""/>
    <d v="2026-03-07T11:26:26"/>
    <x v="5"/>
    <n v="11.2"/>
    <n v="0"/>
  </r>
  <r>
    <n v="1531"/>
    <n v="87"/>
    <n v="2"/>
    <n v="1410"/>
    <s v="EARNED"/>
    <n v="6.58"/>
    <s v=""/>
    <d v="2026-03-07T11:31:06"/>
    <x v="5"/>
    <n v="6.58"/>
    <n v="0"/>
  </r>
  <r>
    <n v="1532"/>
    <n v="133"/>
    <n v="2"/>
    <n v="1411"/>
    <s v="EARNED"/>
    <n v="8.26"/>
    <s v=""/>
    <d v="2026-03-07T12:56:13"/>
    <x v="5"/>
    <n v="8.26"/>
    <n v="0"/>
  </r>
  <r>
    <n v="1533"/>
    <n v="152"/>
    <n v="3"/>
    <n v="1412"/>
    <s v="EARNED"/>
    <n v="23.6"/>
    <s v=""/>
    <d v="2026-03-07T14:03:29"/>
    <x v="5"/>
    <n v="23.6"/>
    <n v="0"/>
  </r>
  <r>
    <n v="1534"/>
    <n v="207"/>
    <n v="2"/>
    <n v="1413"/>
    <s v="REDEEMED"/>
    <n v="36.75"/>
    <s v=""/>
    <d v="2026-03-07T15:33:22"/>
    <x v="5"/>
    <n v="0"/>
    <n v="36.75"/>
  </r>
  <r>
    <n v="1535"/>
    <n v="145"/>
    <n v="4"/>
    <n v="1414"/>
    <s v="EARNED"/>
    <n v="17.739999999999998"/>
    <s v=""/>
    <d v="2026-03-07T16:57:14"/>
    <x v="5"/>
    <n v="17.739999999999998"/>
    <n v="0"/>
  </r>
  <r>
    <n v="1536"/>
    <n v="136"/>
    <n v="2"/>
    <n v="1415"/>
    <s v="EARNED"/>
    <n v="6.58"/>
    <s v=""/>
    <d v="2026-03-08T12:11:46"/>
    <x v="5"/>
    <n v="6.58"/>
    <n v="0"/>
  </r>
  <r>
    <n v="1537"/>
    <n v="67"/>
    <n v="5"/>
    <n v="1416"/>
    <s v="EARNED"/>
    <n v="2.93"/>
    <s v=""/>
    <d v="2026-03-08T17:26:46"/>
    <x v="5"/>
    <n v="2.93"/>
    <n v="0"/>
  </r>
  <r>
    <n v="1538"/>
    <n v="11"/>
    <n v="3"/>
    <n v="1417"/>
    <s v="EARNED"/>
    <n v="20.420000000000002"/>
    <s v=""/>
    <d v="2026-03-09T11:10:15"/>
    <x v="5"/>
    <n v="20.420000000000002"/>
    <n v="0"/>
  </r>
  <r>
    <n v="1539"/>
    <n v="117"/>
    <n v="3"/>
    <n v="1418"/>
    <s v="EARNED"/>
    <n v="7.16"/>
    <s v=""/>
    <d v="2026-03-09T11:39:47"/>
    <x v="5"/>
    <n v="7.16"/>
    <n v="0"/>
  </r>
  <r>
    <n v="1540"/>
    <n v="255"/>
    <n v="4"/>
    <n v="1419"/>
    <s v="EARNED"/>
    <n v="1.67"/>
    <s v=""/>
    <d v="2026-03-09T13:52:34"/>
    <x v="5"/>
    <n v="1.67"/>
    <n v="0"/>
  </r>
  <r>
    <n v="1541"/>
    <n v="17"/>
    <n v="3"/>
    <n v="1420"/>
    <s v="EARNED"/>
    <n v="9.85"/>
    <s v=""/>
    <d v="2026-03-09T15:06:24"/>
    <x v="5"/>
    <n v="9.85"/>
    <n v="0"/>
  </r>
  <r>
    <n v="1542"/>
    <n v="137"/>
    <n v="3"/>
    <n v="1421"/>
    <s v="EARNED"/>
    <n v="2.88"/>
    <s v=""/>
    <d v="2026-03-09T16:02:27"/>
    <x v="5"/>
    <n v="2.88"/>
    <n v="0"/>
  </r>
  <r>
    <n v="1543"/>
    <n v="178"/>
    <n v="3"/>
    <n v="1422"/>
    <s v="EARNED"/>
    <n v="30"/>
    <s v=""/>
    <d v="2026-03-09T19:00:19"/>
    <x v="5"/>
    <n v="30"/>
    <n v="0"/>
  </r>
  <r>
    <n v="1544"/>
    <n v="76"/>
    <n v="5"/>
    <n v="1423"/>
    <s v="EARNED"/>
    <n v="6.59"/>
    <s v=""/>
    <d v="2026-03-10T07:23:07"/>
    <x v="5"/>
    <n v="6.59"/>
    <n v="0"/>
  </r>
  <r>
    <n v="1545"/>
    <n v="261"/>
    <n v="3"/>
    <n v="1424"/>
    <s v="EARNED"/>
    <n v="5.51"/>
    <s v=""/>
    <d v="2026-03-10T08:07:03"/>
    <x v="5"/>
    <n v="5.51"/>
    <n v="0"/>
  </r>
  <r>
    <n v="1546"/>
    <n v="151"/>
    <n v="2"/>
    <n v="1425"/>
    <s v="EARNED"/>
    <n v="17.78"/>
    <s v=""/>
    <d v="2026-03-10T09:46:23"/>
    <x v="5"/>
    <n v="17.78"/>
    <n v="0"/>
  </r>
  <r>
    <n v="1547"/>
    <n v="149"/>
    <n v="4"/>
    <n v="1426"/>
    <s v="EARNED"/>
    <n v="4.29"/>
    <s v=""/>
    <d v="2026-03-10T12:20:23"/>
    <x v="5"/>
    <n v="4.29"/>
    <n v="0"/>
  </r>
  <r>
    <n v="1548"/>
    <n v="27"/>
    <n v="3"/>
    <n v="1427"/>
    <s v="EARNED"/>
    <n v="6.01"/>
    <s v=""/>
    <d v="2026-03-10T14:23:49"/>
    <x v="5"/>
    <n v="6.01"/>
    <n v="0"/>
  </r>
  <r>
    <n v="1549"/>
    <n v="35"/>
    <n v="3"/>
    <n v="1428"/>
    <s v="EARNED"/>
    <n v="4.2699999999999996"/>
    <s v=""/>
    <d v="2026-03-10T15:45:28"/>
    <x v="5"/>
    <n v="4.2699999999999996"/>
    <n v="0"/>
  </r>
  <r>
    <n v="1550"/>
    <n v="230"/>
    <n v="4"/>
    <n v="1429"/>
    <s v="EARNED"/>
    <n v="15.2"/>
    <s v=""/>
    <d v="2026-03-10T17:48:34"/>
    <x v="5"/>
    <n v="15.2"/>
    <n v="0"/>
  </r>
  <r>
    <n v="1551"/>
    <n v="137"/>
    <n v="5"/>
    <n v="1430"/>
    <s v="EARNED"/>
    <n v="4.59"/>
    <s v=""/>
    <d v="2026-03-11T08:00:43"/>
    <x v="5"/>
    <n v="4.59"/>
    <n v="0"/>
  </r>
  <r>
    <n v="1552"/>
    <n v="39"/>
    <n v="5"/>
    <n v="1431"/>
    <s v="EARNED"/>
    <n v="13.91"/>
    <s v=""/>
    <d v="2026-03-11T08:19:21"/>
    <x v="5"/>
    <n v="13.91"/>
    <n v="0"/>
  </r>
  <r>
    <n v="1553"/>
    <n v="175"/>
    <n v="3"/>
    <n v="1432"/>
    <s v="EARNED"/>
    <n v="1.53"/>
    <s v=""/>
    <d v="2026-03-11T10:30:35"/>
    <x v="5"/>
    <n v="1.53"/>
    <n v="0"/>
  </r>
  <r>
    <n v="1554"/>
    <n v="40"/>
    <n v="2"/>
    <n v="1433"/>
    <s v="REDEEMED"/>
    <n v="51.75"/>
    <s v=""/>
    <d v="2026-03-11T11:56:51"/>
    <x v="5"/>
    <n v="0"/>
    <n v="51.75"/>
  </r>
  <r>
    <n v="1555"/>
    <n v="144"/>
    <n v="4"/>
    <n v="1434"/>
    <s v="EARNED"/>
    <n v="2.92"/>
    <s v=""/>
    <d v="2026-03-11T12:23:25"/>
    <x v="5"/>
    <n v="2.92"/>
    <n v="0"/>
  </r>
  <r>
    <n v="1556"/>
    <n v="36"/>
    <n v="2"/>
    <n v="1435"/>
    <s v="EARNED"/>
    <n v="21"/>
    <s v=""/>
    <d v="2026-03-11T13:22:16"/>
    <x v="5"/>
    <n v="21"/>
    <n v="0"/>
  </r>
  <r>
    <n v="1557"/>
    <n v="175"/>
    <n v="2"/>
    <n v="1436"/>
    <s v="EARNED"/>
    <n v="3.54"/>
    <s v=""/>
    <d v="2026-03-11T14:24:18"/>
    <x v="5"/>
    <n v="3.54"/>
    <n v="0"/>
  </r>
  <r>
    <n v="1558"/>
    <n v="300"/>
    <n v="4"/>
    <n v="1437"/>
    <s v="EARNED"/>
    <n v="9.69"/>
    <s v=""/>
    <d v="2026-03-11T16:37:44"/>
    <x v="5"/>
    <n v="9.69"/>
    <n v="0"/>
  </r>
  <r>
    <n v="1559"/>
    <n v="39"/>
    <n v="2"/>
    <n v="1438"/>
    <s v="EARNED"/>
    <n v="14.08"/>
    <s v=""/>
    <d v="2026-03-11T17:07:42"/>
    <x v="5"/>
    <n v="14.08"/>
    <n v="0"/>
  </r>
  <r>
    <n v="1560"/>
    <n v="87"/>
    <n v="2"/>
    <n v="1439"/>
    <s v="EARNED"/>
    <n v="7.2"/>
    <s v=""/>
    <d v="2026-03-11T17:16:08"/>
    <x v="5"/>
    <n v="7.2"/>
    <n v="0"/>
  </r>
  <r>
    <n v="1561"/>
    <n v="107"/>
    <n v="3"/>
    <n v="1440"/>
    <s v="EARNED"/>
    <n v="1.72"/>
    <s v=""/>
    <d v="2026-03-11T17:32:03"/>
    <x v="5"/>
    <n v="1.72"/>
    <n v="0"/>
  </r>
  <r>
    <n v="1562"/>
    <n v="65"/>
    <n v="5"/>
    <n v="1441"/>
    <s v="EARNED"/>
    <n v="3.24"/>
    <s v=""/>
    <d v="2026-03-11T19:34:59"/>
    <x v="5"/>
    <n v="3.24"/>
    <n v="0"/>
  </r>
  <r>
    <n v="1563"/>
    <n v="60"/>
    <n v="3"/>
    <n v="1442"/>
    <s v="EARNED"/>
    <n v="22.07"/>
    <s v=""/>
    <d v="2026-03-12T07:44:45"/>
    <x v="5"/>
    <n v="22.07"/>
    <n v="0"/>
  </r>
  <r>
    <n v="1564"/>
    <n v="59"/>
    <n v="2"/>
    <n v="1443"/>
    <s v="EARNED"/>
    <n v="2.59"/>
    <s v=""/>
    <d v="2026-03-12T08:04:04"/>
    <x v="5"/>
    <n v="2.59"/>
    <n v="0"/>
  </r>
  <r>
    <n v="1565"/>
    <n v="192"/>
    <n v="5"/>
    <n v="1444"/>
    <s v="EARNED"/>
    <n v="3.8"/>
    <s v=""/>
    <d v="2026-03-12T08:59:47"/>
    <x v="5"/>
    <n v="3.8"/>
    <n v="0"/>
  </r>
  <r>
    <n v="1566"/>
    <n v="27"/>
    <n v="5"/>
    <n v="1445"/>
    <s v="EARNED"/>
    <n v="7.14"/>
    <s v=""/>
    <d v="2026-03-12T09:00:42"/>
    <x v="5"/>
    <n v="7.14"/>
    <n v="0"/>
  </r>
  <r>
    <n v="1567"/>
    <n v="124"/>
    <n v="3"/>
    <n v="1446"/>
    <s v="EARNED"/>
    <n v="3.48"/>
    <s v=""/>
    <d v="2026-03-12T10:05:48"/>
    <x v="5"/>
    <n v="3.48"/>
    <n v="0"/>
  </r>
  <r>
    <n v="1568"/>
    <n v="175"/>
    <n v="4"/>
    <n v="1447"/>
    <s v="EARNED"/>
    <n v="3.56"/>
    <s v=""/>
    <d v="2026-03-12T11:16:40"/>
    <x v="5"/>
    <n v="3.56"/>
    <n v="0"/>
  </r>
  <r>
    <n v="1569"/>
    <n v="234"/>
    <n v="5"/>
    <n v="1448"/>
    <s v="EARNED"/>
    <n v="17.95"/>
    <s v=""/>
    <d v="2026-03-12T12:29:11"/>
    <x v="5"/>
    <n v="17.95"/>
    <n v="0"/>
  </r>
  <r>
    <n v="1570"/>
    <n v="39"/>
    <n v="2"/>
    <n v="1449"/>
    <s v="EARNED"/>
    <n v="30"/>
    <s v=""/>
    <d v="2026-03-12T14:28:52"/>
    <x v="5"/>
    <n v="30"/>
    <n v="0"/>
  </r>
  <r>
    <n v="1571"/>
    <n v="40"/>
    <n v="3"/>
    <n v="1433"/>
    <s v="ADJUSTMENT"/>
    <n v="51.75"/>
    <s v="Reverso por cancelación de compra #1433: Solicitud del cliente"/>
    <d v="2026-03-12T14:56:51"/>
    <x v="5"/>
    <n v="0"/>
    <n v="0"/>
  </r>
  <r>
    <n v="1572"/>
    <n v="150"/>
    <n v="5"/>
    <n v="1450"/>
    <s v="EARNED"/>
    <n v="17.16"/>
    <s v=""/>
    <d v="2026-03-12T15:06:50"/>
    <x v="5"/>
    <n v="17.16"/>
    <n v="0"/>
  </r>
  <r>
    <n v="1573"/>
    <n v="156"/>
    <n v="5"/>
    <n v="1451"/>
    <s v="REDEEMED"/>
    <n v="18.86"/>
    <s v=""/>
    <d v="2026-03-12T16:37:51"/>
    <x v="5"/>
    <n v="0"/>
    <n v="18.86"/>
  </r>
  <r>
    <n v="1574"/>
    <n v="133"/>
    <n v="3"/>
    <n v="1452"/>
    <s v="EARNED"/>
    <n v="6.94"/>
    <s v=""/>
    <d v="2026-03-12T16:52:06"/>
    <x v="5"/>
    <n v="6.94"/>
    <n v="0"/>
  </r>
  <r>
    <n v="1575"/>
    <n v="243"/>
    <n v="3"/>
    <n v="1453"/>
    <s v="EARNED"/>
    <n v="1.95"/>
    <s v=""/>
    <d v="2026-03-13T08:15:27"/>
    <x v="5"/>
    <n v="1.95"/>
    <n v="0"/>
  </r>
  <r>
    <n v="1576"/>
    <n v="241"/>
    <n v="2"/>
    <n v="1454"/>
    <s v="EARNED"/>
    <n v="2.11"/>
    <s v=""/>
    <d v="2026-03-13T08:38:34"/>
    <x v="5"/>
    <n v="2.11"/>
    <n v="0"/>
  </r>
  <r>
    <n v="1577"/>
    <n v="36"/>
    <n v="2"/>
    <n v="1455"/>
    <s v="EARNED"/>
    <n v="18.47"/>
    <s v=""/>
    <d v="2026-03-13T10:58:05"/>
    <x v="5"/>
    <n v="18.47"/>
    <n v="0"/>
  </r>
  <r>
    <n v="1578"/>
    <n v="247"/>
    <n v="2"/>
    <n v="1456"/>
    <s v="EARNED"/>
    <n v="2.1"/>
    <s v=""/>
    <d v="2026-03-13T11:02:59"/>
    <x v="5"/>
    <n v="2.1"/>
    <n v="0"/>
  </r>
  <r>
    <n v="1579"/>
    <n v="60"/>
    <n v="3"/>
    <n v="1457"/>
    <s v="EARNED"/>
    <n v="11.59"/>
    <s v=""/>
    <d v="2026-03-13T11:35:30"/>
    <x v="5"/>
    <n v="11.59"/>
    <n v="0"/>
  </r>
  <r>
    <n v="1580"/>
    <n v="288"/>
    <n v="3"/>
    <n v="1458"/>
    <s v="EARNED"/>
    <n v="3.84"/>
    <s v=""/>
    <d v="2026-03-13T13:50:10"/>
    <x v="5"/>
    <n v="3.84"/>
    <n v="0"/>
  </r>
  <r>
    <n v="1581"/>
    <n v="96"/>
    <n v="3"/>
    <n v="1459"/>
    <s v="EARNED"/>
    <n v="17.55"/>
    <s v=""/>
    <d v="2026-03-13T14:50:05"/>
    <x v="5"/>
    <n v="17.55"/>
    <n v="0"/>
  </r>
  <r>
    <n v="1582"/>
    <n v="141"/>
    <n v="2"/>
    <n v="1460"/>
    <s v="EARNED"/>
    <n v="9.81"/>
    <s v=""/>
    <d v="2026-03-13T14:57:55"/>
    <x v="5"/>
    <n v="9.81"/>
    <n v="0"/>
  </r>
  <r>
    <n v="1583"/>
    <n v="178"/>
    <n v="4"/>
    <n v="1461"/>
    <s v="EARNED"/>
    <n v="15.82"/>
    <s v=""/>
    <d v="2026-03-13T15:09:44"/>
    <x v="5"/>
    <n v="15.82"/>
    <n v="0"/>
  </r>
  <r>
    <n v="1584"/>
    <n v="230"/>
    <n v="4"/>
    <n v="1462"/>
    <s v="EARNED"/>
    <n v="19.440000000000001"/>
    <s v=""/>
    <d v="2026-03-13T17:13:13"/>
    <x v="5"/>
    <n v="19.440000000000001"/>
    <n v="0"/>
  </r>
  <r>
    <n v="1585"/>
    <n v="87"/>
    <n v="2"/>
    <n v="1463"/>
    <s v="EARNED"/>
    <n v="7.62"/>
    <s v=""/>
    <d v="2026-03-13T17:19:49"/>
    <x v="5"/>
    <n v="7.62"/>
    <n v="0"/>
  </r>
  <r>
    <n v="1586"/>
    <n v="81"/>
    <n v="3"/>
    <n v="1464"/>
    <s v="EARNED"/>
    <n v="2.97"/>
    <s v=""/>
    <d v="2026-03-13T18:04:49"/>
    <x v="5"/>
    <n v="2.97"/>
    <n v="0"/>
  </r>
  <r>
    <n v="1587"/>
    <n v="106"/>
    <n v="5"/>
    <n v="1465"/>
    <s v="EARNED"/>
    <n v="6.95"/>
    <s v=""/>
    <d v="2026-03-13T18:23:25"/>
    <x v="5"/>
    <n v="6.95"/>
    <n v="0"/>
  </r>
  <r>
    <n v="1588"/>
    <n v="156"/>
    <n v="5"/>
    <n v="1466"/>
    <s v="EARNED"/>
    <n v="4.13"/>
    <s v=""/>
    <d v="2026-03-13T19:38:50"/>
    <x v="5"/>
    <n v="4.13"/>
    <n v="0"/>
  </r>
  <r>
    <n v="1589"/>
    <n v="25"/>
    <n v="3"/>
    <n v="1467"/>
    <s v="EARNED"/>
    <n v="10.29"/>
    <s v=""/>
    <d v="2026-03-14T07:55:57"/>
    <x v="5"/>
    <n v="10.29"/>
    <n v="0"/>
  </r>
  <r>
    <n v="1590"/>
    <n v="243"/>
    <n v="4"/>
    <n v="1468"/>
    <s v="EARNED"/>
    <n v="4.17"/>
    <s v=""/>
    <d v="2026-03-14T08:36:41"/>
    <x v="5"/>
    <n v="4.17"/>
    <n v="0"/>
  </r>
  <r>
    <n v="1591"/>
    <n v="25"/>
    <n v="3"/>
    <n v="1469"/>
    <s v="EARNED"/>
    <n v="5.62"/>
    <s v=""/>
    <d v="2026-03-14T08:41:38"/>
    <x v="5"/>
    <n v="5.62"/>
    <n v="0"/>
  </r>
  <r>
    <n v="1592"/>
    <n v="156"/>
    <n v="4"/>
    <n v="1470"/>
    <s v="EARNED"/>
    <n v="2.88"/>
    <s v=""/>
    <d v="2026-03-14T09:35:32"/>
    <x v="5"/>
    <n v="2.88"/>
    <n v="0"/>
  </r>
  <r>
    <n v="1593"/>
    <n v="96"/>
    <n v="3"/>
    <n v="1471"/>
    <s v="EARNED"/>
    <n v="22.76"/>
    <s v=""/>
    <d v="2026-03-14T10:00:52"/>
    <x v="5"/>
    <n v="22.76"/>
    <n v="0"/>
  </r>
  <r>
    <n v="1594"/>
    <n v="178"/>
    <n v="5"/>
    <n v="1472"/>
    <s v="EARNED"/>
    <n v="20.010000000000002"/>
    <s v=""/>
    <d v="2026-03-14T10:42:19"/>
    <x v="5"/>
    <n v="20.010000000000002"/>
    <n v="0"/>
  </r>
  <r>
    <n v="1595"/>
    <n v="32"/>
    <n v="4"/>
    <n v="1473"/>
    <s v="EARNED"/>
    <n v="3.12"/>
    <s v=""/>
    <d v="2026-03-14T10:58:10"/>
    <x v="5"/>
    <n v="3.12"/>
    <n v="0"/>
  </r>
  <r>
    <n v="1596"/>
    <n v="89"/>
    <n v="5"/>
    <n v="1474"/>
    <s v="EARNED"/>
    <n v="16.55"/>
    <s v=""/>
    <d v="2026-03-14T16:38:27"/>
    <x v="5"/>
    <n v="16.55"/>
    <n v="0"/>
  </r>
  <r>
    <n v="1597"/>
    <n v="16"/>
    <n v="4"/>
    <n v="1475"/>
    <s v="EARNED"/>
    <n v="17.23"/>
    <s v=""/>
    <d v="2026-03-14T19:49:54"/>
    <x v="5"/>
    <n v="17.23"/>
    <n v="0"/>
  </r>
  <r>
    <n v="1598"/>
    <n v="150"/>
    <n v="3"/>
    <n v="1476"/>
    <s v="EARNED"/>
    <n v="7.51"/>
    <s v=""/>
    <d v="2026-03-14T19:59:25"/>
    <x v="5"/>
    <n v="7.51"/>
    <n v="0"/>
  </r>
  <r>
    <n v="1599"/>
    <n v="89"/>
    <n v="2"/>
    <n v="1474"/>
    <s v="ADJUSTMENT"/>
    <n v="-16.55"/>
    <s v="Reverso por cancelación de compra #1474: Cliente canceló la operación"/>
    <d v="2026-03-15T05:38:27"/>
    <x v="5"/>
    <n v="0"/>
    <n v="0"/>
  </r>
  <r>
    <n v="1600"/>
    <n v="87"/>
    <n v="2"/>
    <n v="1477"/>
    <s v="EARNED"/>
    <n v="6.92"/>
    <s v=""/>
    <d v="2026-03-15T12:41:15"/>
    <x v="5"/>
    <n v="6.92"/>
    <n v="0"/>
  </r>
  <r>
    <n v="1601"/>
    <n v="106"/>
    <n v="5"/>
    <n v="1478"/>
    <s v="EARNED"/>
    <n v="6.31"/>
    <s v=""/>
    <d v="2026-03-15T16:56:05"/>
    <x v="5"/>
    <n v="6.31"/>
    <n v="0"/>
  </r>
  <r>
    <n v="1602"/>
    <n v="21"/>
    <n v="3"/>
    <n v="1479"/>
    <s v="EARNED"/>
    <n v="1.74"/>
    <s v=""/>
    <d v="2026-03-15T17:28:02"/>
    <x v="5"/>
    <n v="1.74"/>
    <n v="0"/>
  </r>
  <r>
    <n v="1603"/>
    <n v="235"/>
    <n v="3"/>
    <n v="1480"/>
    <s v="EARNED"/>
    <n v="2.38"/>
    <s v=""/>
    <d v="2026-03-15T17:44:36"/>
    <x v="5"/>
    <n v="2.38"/>
    <n v="0"/>
  </r>
  <r>
    <n v="1604"/>
    <n v="149"/>
    <n v="4"/>
    <n v="1481"/>
    <s v="EARNED"/>
    <n v="2.34"/>
    <s v=""/>
    <d v="2026-03-15T18:30:16"/>
    <x v="5"/>
    <n v="2.34"/>
    <n v="0"/>
  </r>
  <r>
    <n v="1605"/>
    <n v="135"/>
    <n v="5"/>
    <n v="1482"/>
    <s v="REDEEMED"/>
    <n v="80"/>
    <s v=""/>
    <d v="2026-03-16T08:20:53"/>
    <x v="5"/>
    <n v="0"/>
    <n v="80"/>
  </r>
  <r>
    <n v="1606"/>
    <n v="137"/>
    <n v="2"/>
    <n v="1483"/>
    <s v="EARNED"/>
    <n v="2.21"/>
    <s v=""/>
    <d v="2026-03-16T12:20:35"/>
    <x v="5"/>
    <n v="2.21"/>
    <n v="0"/>
  </r>
  <r>
    <n v="1607"/>
    <n v="244"/>
    <n v="2"/>
    <n v="1484"/>
    <s v="EARNED"/>
    <n v="6.64"/>
    <s v=""/>
    <d v="2026-03-16T13:44:36"/>
    <x v="5"/>
    <n v="6.64"/>
    <n v="0"/>
  </r>
  <r>
    <n v="1608"/>
    <n v="117"/>
    <n v="5"/>
    <n v="1485"/>
    <s v="EARNED"/>
    <n v="22"/>
    <s v=""/>
    <d v="2026-03-16T15:37:04"/>
    <x v="5"/>
    <n v="22"/>
    <n v="0"/>
  </r>
  <r>
    <n v="1609"/>
    <n v="264"/>
    <n v="2"/>
    <n v="1486"/>
    <s v="EARNED"/>
    <n v="23.25"/>
    <s v=""/>
    <d v="2026-03-16T16:10:58"/>
    <x v="5"/>
    <n v="23.25"/>
    <n v="0"/>
  </r>
  <r>
    <n v="1610"/>
    <n v="91"/>
    <n v="5"/>
    <n v="1487"/>
    <s v="EARNED"/>
    <n v="2.58"/>
    <s v=""/>
    <d v="2026-03-16T18:40:10"/>
    <x v="5"/>
    <n v="2.58"/>
    <n v="0"/>
  </r>
  <r>
    <n v="1611"/>
    <n v="108"/>
    <n v="2"/>
    <n v="1488"/>
    <s v="EARNED"/>
    <n v="11.74"/>
    <s v=""/>
    <d v="2026-03-16T19:20:38"/>
    <x v="5"/>
    <n v="11.74"/>
    <n v="0"/>
  </r>
  <r>
    <n v="1612"/>
    <n v="297"/>
    <n v="3"/>
    <n v="1489"/>
    <s v="EARNED"/>
    <n v="7.38"/>
    <s v=""/>
    <d v="2026-03-17T07:19:44"/>
    <x v="5"/>
    <n v="7.38"/>
    <n v="0"/>
  </r>
  <r>
    <n v="1613"/>
    <n v="144"/>
    <n v="3"/>
    <n v="1490"/>
    <s v="EARNED"/>
    <n v="7.56"/>
    <s v=""/>
    <d v="2026-03-17T07:33:57"/>
    <x v="5"/>
    <n v="7.56"/>
    <n v="0"/>
  </r>
  <r>
    <n v="1614"/>
    <n v="192"/>
    <n v="4"/>
    <n v="1491"/>
    <s v="EARNED"/>
    <n v="2.14"/>
    <s v=""/>
    <d v="2026-03-17T08:08:17"/>
    <x v="5"/>
    <n v="2.14"/>
    <n v="0"/>
  </r>
  <r>
    <n v="1615"/>
    <n v="276"/>
    <n v="3"/>
    <n v="1492"/>
    <s v="EARNED"/>
    <n v="4.8600000000000003"/>
    <s v=""/>
    <d v="2026-03-17T09:13:12"/>
    <x v="5"/>
    <n v="4.8600000000000003"/>
    <n v="0"/>
  </r>
  <r>
    <n v="1616"/>
    <n v="190"/>
    <n v="2"/>
    <n v="1493"/>
    <s v="EARNED"/>
    <n v="17.309999999999999"/>
    <s v=""/>
    <d v="2026-03-17T09:39:14"/>
    <x v="5"/>
    <n v="17.309999999999999"/>
    <n v="0"/>
  </r>
  <r>
    <n v="1617"/>
    <n v="195"/>
    <n v="5"/>
    <n v="1494"/>
    <s v="EARNED"/>
    <n v="17.79"/>
    <s v=""/>
    <d v="2026-03-17T14:40:04"/>
    <x v="5"/>
    <n v="17.79"/>
    <n v="0"/>
  </r>
  <r>
    <n v="1618"/>
    <n v="243"/>
    <n v="4"/>
    <n v="1495"/>
    <s v="EARNED"/>
    <n v="1.91"/>
    <s v=""/>
    <d v="2026-03-17T15:58:07"/>
    <x v="5"/>
    <n v="1.91"/>
    <n v="0"/>
  </r>
  <r>
    <n v="1619"/>
    <n v="38"/>
    <n v="2"/>
    <n v="1496"/>
    <s v="EARNED"/>
    <n v="2.62"/>
    <s v=""/>
    <d v="2026-03-17T17:36:12"/>
    <x v="5"/>
    <n v="2.62"/>
    <n v="0"/>
  </r>
  <r>
    <n v="1620"/>
    <n v="105"/>
    <n v="5"/>
    <n v="1497"/>
    <s v="EARNED"/>
    <n v="18.11"/>
    <s v=""/>
    <d v="2026-03-17T19:38:47"/>
    <x v="5"/>
    <n v="18.11"/>
    <n v="0"/>
  </r>
  <r>
    <n v="1621"/>
    <n v="207"/>
    <n v="3"/>
    <n v="1498"/>
    <s v="EARNED"/>
    <n v="2.37"/>
    <s v=""/>
    <d v="2026-03-18T08:38:07"/>
    <x v="5"/>
    <n v="2.37"/>
    <n v="0"/>
  </r>
  <r>
    <n v="1622"/>
    <n v="243"/>
    <n v="5"/>
    <n v="1499"/>
    <s v="EARNED"/>
    <n v="5.42"/>
    <s v=""/>
    <d v="2026-03-18T09:43:40"/>
    <x v="5"/>
    <n v="5.42"/>
    <n v="0"/>
  </r>
  <r>
    <n v="1623"/>
    <n v="235"/>
    <n v="5"/>
    <n v="1500"/>
    <s v="EARNED"/>
    <n v="3.78"/>
    <s v=""/>
    <d v="2026-03-18T10:33:50"/>
    <x v="5"/>
    <n v="3.78"/>
    <n v="0"/>
  </r>
  <r>
    <n v="1624"/>
    <n v="47"/>
    <n v="5"/>
    <n v="1501"/>
    <s v="EARNED"/>
    <n v="4.83"/>
    <s v=""/>
    <d v="2026-03-18T13:25:59"/>
    <x v="5"/>
    <n v="4.83"/>
    <n v="0"/>
  </r>
  <r>
    <n v="1625"/>
    <n v="200"/>
    <n v="3"/>
    <n v="1502"/>
    <s v="EARNED"/>
    <n v="5.65"/>
    <s v=""/>
    <d v="2026-03-18T15:08:20"/>
    <x v="5"/>
    <n v="5.65"/>
    <n v="0"/>
  </r>
  <r>
    <n v="1626"/>
    <n v="102"/>
    <n v="3"/>
    <n v="1503"/>
    <s v="EARNED"/>
    <n v="2.34"/>
    <s v=""/>
    <d v="2026-03-18T19:39:43"/>
    <x v="5"/>
    <n v="2.34"/>
    <n v="0"/>
  </r>
  <r>
    <n v="1627"/>
    <n v="65"/>
    <n v="3"/>
    <n v="1504"/>
    <s v="EARNED"/>
    <n v="5.47"/>
    <s v=""/>
    <d v="2026-03-19T09:24:12"/>
    <x v="5"/>
    <n v="5.47"/>
    <n v="0"/>
  </r>
  <r>
    <n v="1628"/>
    <n v="106"/>
    <n v="2"/>
    <n v="1505"/>
    <s v="EARNED"/>
    <n v="9.89"/>
    <s v=""/>
    <d v="2026-03-19T09:44:48"/>
    <x v="5"/>
    <n v="9.89"/>
    <n v="0"/>
  </r>
  <r>
    <n v="1629"/>
    <n v="149"/>
    <n v="5"/>
    <n v="1506"/>
    <s v="EARNED"/>
    <n v="3.88"/>
    <s v=""/>
    <d v="2026-03-19T11:10:01"/>
    <x v="5"/>
    <n v="3.88"/>
    <n v="0"/>
  </r>
  <r>
    <n v="1630"/>
    <n v="257"/>
    <n v="4"/>
    <n v="1507"/>
    <s v="EARNED"/>
    <n v="3.82"/>
    <s v=""/>
    <d v="2026-03-19T11:16:51"/>
    <x v="5"/>
    <n v="3.82"/>
    <n v="0"/>
  </r>
  <r>
    <n v="1631"/>
    <n v="16"/>
    <n v="3"/>
    <n v="1508"/>
    <s v="EARNED"/>
    <n v="20.85"/>
    <s v=""/>
    <d v="2026-03-19T11:44:50"/>
    <x v="5"/>
    <n v="20.85"/>
    <n v="0"/>
  </r>
  <r>
    <n v="1632"/>
    <n v="113"/>
    <n v="3"/>
    <n v="1509"/>
    <s v="EARNED"/>
    <n v="2.34"/>
    <s v=""/>
    <d v="2026-03-19T13:10:43"/>
    <x v="5"/>
    <n v="2.34"/>
    <n v="0"/>
  </r>
  <r>
    <n v="1633"/>
    <n v="87"/>
    <n v="2"/>
    <n v="1510"/>
    <s v="EARNED"/>
    <n v="13.05"/>
    <s v=""/>
    <d v="2026-03-19T13:39:18"/>
    <x v="5"/>
    <n v="13.05"/>
    <n v="0"/>
  </r>
  <r>
    <n v="1634"/>
    <n v="16"/>
    <n v="3"/>
    <n v="1511"/>
    <s v="REDEEMED"/>
    <n v="112.7"/>
    <s v=""/>
    <d v="2026-03-19T15:00:59"/>
    <x v="5"/>
    <n v="0"/>
    <n v="112.7"/>
  </r>
  <r>
    <n v="1635"/>
    <n v="117"/>
    <n v="3"/>
    <n v="1512"/>
    <s v="EARNED"/>
    <n v="4.68"/>
    <s v=""/>
    <d v="2026-03-19T15:06:25"/>
    <x v="5"/>
    <n v="4.68"/>
    <n v="0"/>
  </r>
  <r>
    <n v="1636"/>
    <n v="245"/>
    <n v="2"/>
    <n v="1513"/>
    <s v="EARNED"/>
    <n v="3.3"/>
    <s v=""/>
    <d v="2026-03-19T16:09:49"/>
    <x v="5"/>
    <n v="3.3"/>
    <n v="0"/>
  </r>
  <r>
    <n v="1637"/>
    <n v="156"/>
    <n v="5"/>
    <n v="1514"/>
    <s v="EARNED"/>
    <n v="2.84"/>
    <s v=""/>
    <d v="2026-03-19T16:49:37"/>
    <x v="5"/>
    <n v="2.84"/>
    <n v="0"/>
  </r>
  <r>
    <n v="1638"/>
    <n v="38"/>
    <n v="2"/>
    <n v="1515"/>
    <s v="REDEEMED"/>
    <n v="31.15"/>
    <s v=""/>
    <d v="2026-03-19T19:26:07"/>
    <x v="5"/>
    <n v="0"/>
    <n v="31.15"/>
  </r>
  <r>
    <n v="1639"/>
    <n v="288"/>
    <n v="5"/>
    <n v="1516"/>
    <s v="EARNED"/>
    <n v="3.06"/>
    <s v=""/>
    <d v="2026-03-19T19:51:28"/>
    <x v="5"/>
    <n v="3.06"/>
    <n v="0"/>
  </r>
  <r>
    <n v="1640"/>
    <n v="138"/>
    <n v="4"/>
    <n v="1517"/>
    <s v="EARNED"/>
    <n v="4.12"/>
    <s v=""/>
    <d v="2026-03-19T19:54:40"/>
    <x v="5"/>
    <n v="4.12"/>
    <n v="0"/>
  </r>
  <r>
    <n v="1641"/>
    <n v="117"/>
    <n v="2"/>
    <n v="1518"/>
    <s v="EARNED"/>
    <n v="5.52"/>
    <s v=""/>
    <d v="2026-03-20T07:38:48"/>
    <x v="5"/>
    <n v="5.52"/>
    <n v="0"/>
  </r>
  <r>
    <n v="1642"/>
    <n v="103"/>
    <n v="3"/>
    <n v="1519"/>
    <s v="EARNED"/>
    <n v="2.99"/>
    <s v=""/>
    <d v="2026-03-20T10:25:46"/>
    <x v="5"/>
    <n v="2.99"/>
    <n v="0"/>
  </r>
  <r>
    <n v="1643"/>
    <n v="16"/>
    <n v="2"/>
    <n v="1511"/>
    <s v="ADJUSTMENT"/>
    <n v="112.7"/>
    <s v="Reverso por cancelación de compra #1511: Cliente canceló la operación"/>
    <d v="2026-03-20T11:00:59"/>
    <x v="5"/>
    <n v="0"/>
    <n v="0"/>
  </r>
  <r>
    <n v="1644"/>
    <n v="112"/>
    <n v="3"/>
    <n v="1520"/>
    <s v="EARNED"/>
    <n v="1.67"/>
    <s v=""/>
    <d v="2026-03-20T12:44:36"/>
    <x v="5"/>
    <n v="1.67"/>
    <n v="0"/>
  </r>
  <r>
    <n v="1645"/>
    <n v="149"/>
    <n v="5"/>
    <n v="1521"/>
    <s v="EARNED"/>
    <n v="3.39"/>
    <s v=""/>
    <d v="2026-03-20T15:15:32"/>
    <x v="5"/>
    <n v="3.39"/>
    <n v="0"/>
  </r>
  <r>
    <n v="1646"/>
    <n v="39"/>
    <n v="2"/>
    <n v="1522"/>
    <s v="EARNED"/>
    <n v="21.39"/>
    <s v=""/>
    <d v="2026-03-20T15:27:59"/>
    <x v="5"/>
    <n v="21.39"/>
    <n v="0"/>
  </r>
  <r>
    <n v="1647"/>
    <n v="137"/>
    <n v="2"/>
    <n v="1523"/>
    <s v="EARNED"/>
    <n v="3.03"/>
    <s v=""/>
    <d v="2026-03-20T17:34:29"/>
    <x v="5"/>
    <n v="3.03"/>
    <n v="0"/>
  </r>
  <r>
    <n v="1648"/>
    <n v="178"/>
    <n v="3"/>
    <n v="1524"/>
    <s v="EARNED"/>
    <n v="16.760000000000002"/>
    <s v=""/>
    <d v="2026-03-21T07:53:27"/>
    <x v="5"/>
    <n v="16.760000000000002"/>
    <n v="0"/>
  </r>
  <r>
    <n v="1649"/>
    <n v="187"/>
    <n v="4"/>
    <n v="1525"/>
    <s v="EARNED"/>
    <n v="2.27"/>
    <s v=""/>
    <d v="2026-03-21T09:24:27"/>
    <x v="5"/>
    <n v="2.27"/>
    <n v="0"/>
  </r>
  <r>
    <n v="1650"/>
    <n v="13"/>
    <n v="5"/>
    <n v="1526"/>
    <s v="EARNED"/>
    <n v="2.37"/>
    <s v=""/>
    <d v="2026-03-21T13:49:09"/>
    <x v="5"/>
    <n v="2.37"/>
    <n v="0"/>
  </r>
  <r>
    <n v="1651"/>
    <n v="156"/>
    <n v="2"/>
    <n v="1527"/>
    <s v="EARNED"/>
    <n v="3.43"/>
    <s v=""/>
    <d v="2026-03-21T15:25:04"/>
    <x v="5"/>
    <n v="3.43"/>
    <n v="0"/>
  </r>
  <r>
    <n v="1652"/>
    <n v="235"/>
    <n v="5"/>
    <n v="1528"/>
    <s v="EARNED"/>
    <n v="4.6399999999999997"/>
    <s v=""/>
    <d v="2026-03-21T19:09:59"/>
    <x v="5"/>
    <n v="4.6399999999999997"/>
    <n v="0"/>
  </r>
  <r>
    <n v="1653"/>
    <n v="191"/>
    <n v="2"/>
    <n v="1529"/>
    <s v="EARNED"/>
    <n v="2.85"/>
    <s v=""/>
    <d v="2026-03-21T19:49:13"/>
    <x v="5"/>
    <n v="2.85"/>
    <n v="0"/>
  </r>
  <r>
    <n v="1654"/>
    <n v="200"/>
    <n v="2"/>
    <n v="1530"/>
    <s v="EARNED"/>
    <n v="2.15"/>
    <s v=""/>
    <d v="2026-03-22T07:06:09"/>
    <x v="5"/>
    <n v="2.15"/>
    <n v="0"/>
  </r>
  <r>
    <n v="1655"/>
    <n v="48"/>
    <n v="5"/>
    <n v="1531"/>
    <s v="EARNED"/>
    <n v="6.62"/>
    <s v=""/>
    <d v="2026-03-22T08:04:15"/>
    <x v="5"/>
    <n v="6.62"/>
    <n v="0"/>
  </r>
  <r>
    <n v="1656"/>
    <n v="247"/>
    <n v="3"/>
    <n v="1532"/>
    <s v="EARNED"/>
    <n v="4.4400000000000004"/>
    <s v=""/>
    <d v="2026-03-22T08:54:33"/>
    <x v="5"/>
    <n v="4.4400000000000004"/>
    <n v="0"/>
  </r>
  <r>
    <n v="1657"/>
    <n v="235"/>
    <n v="2"/>
    <n v="1533"/>
    <s v="EARNED"/>
    <n v="3.61"/>
    <s v=""/>
    <d v="2026-03-22T10:27:16"/>
    <x v="5"/>
    <n v="3.61"/>
    <n v="0"/>
  </r>
  <r>
    <n v="1658"/>
    <n v="247"/>
    <n v="2"/>
    <n v="1532"/>
    <s v="ADJUSTMENT"/>
    <n v="-4.4400000000000004"/>
    <s v="Reverso por cancelación de compra #1532: Monto duplicado por error de sistema"/>
    <d v="2026-03-22T10:54:33"/>
    <x v="5"/>
    <n v="0"/>
    <n v="0"/>
  </r>
  <r>
    <n v="1659"/>
    <n v="41"/>
    <n v="5"/>
    <n v="1534"/>
    <s v="EARNED"/>
    <n v="18.7"/>
    <s v=""/>
    <d v="2026-03-22T11:29:19"/>
    <x v="5"/>
    <n v="18.7"/>
    <n v="0"/>
  </r>
  <r>
    <n v="1660"/>
    <n v="253"/>
    <n v="4"/>
    <n v="1535"/>
    <s v="EARNED"/>
    <n v="4.21"/>
    <s v=""/>
    <d v="2026-03-22T15:18:30"/>
    <x v="5"/>
    <n v="4.21"/>
    <n v="0"/>
  </r>
  <r>
    <n v="1661"/>
    <n v="81"/>
    <n v="2"/>
    <n v="1536"/>
    <s v="EARNED"/>
    <n v="5.26"/>
    <s v=""/>
    <d v="2026-03-22T15:27:30"/>
    <x v="5"/>
    <n v="5.26"/>
    <n v="0"/>
  </r>
  <r>
    <n v="1662"/>
    <n v="156"/>
    <n v="2"/>
    <n v="1537"/>
    <s v="EARNED"/>
    <n v="4.26"/>
    <s v=""/>
    <d v="2026-03-23T08:00:37"/>
    <x v="5"/>
    <n v="4.26"/>
    <n v="0"/>
  </r>
  <r>
    <n v="1663"/>
    <n v="16"/>
    <n v="3"/>
    <n v="1538"/>
    <s v="EARNED"/>
    <n v="12.65"/>
    <s v=""/>
    <d v="2026-03-23T09:38:57"/>
    <x v="5"/>
    <n v="12.65"/>
    <n v="0"/>
  </r>
  <r>
    <n v="1664"/>
    <n v="190"/>
    <n v="5"/>
    <n v="1539"/>
    <s v="EARNED"/>
    <n v="25.06"/>
    <s v=""/>
    <d v="2026-03-23T10:01:42"/>
    <x v="5"/>
    <n v="25.06"/>
    <n v="0"/>
  </r>
  <r>
    <n v="1665"/>
    <n v="156"/>
    <n v="2"/>
    <n v="1540"/>
    <s v="EARNED"/>
    <n v="3.71"/>
    <s v=""/>
    <d v="2026-03-23T10:30:46"/>
    <x v="5"/>
    <n v="3.71"/>
    <n v="0"/>
  </r>
  <r>
    <n v="1666"/>
    <n v="172"/>
    <n v="2"/>
    <n v="1541"/>
    <s v="EARNED"/>
    <n v="1.69"/>
    <s v=""/>
    <d v="2026-03-23T12:18:57"/>
    <x v="5"/>
    <n v="1.69"/>
    <n v="0"/>
  </r>
  <r>
    <n v="1667"/>
    <n v="156"/>
    <n v="2"/>
    <n v="1542"/>
    <s v="EARNED"/>
    <n v="2.99"/>
    <s v=""/>
    <d v="2026-03-23T14:24:25"/>
    <x v="5"/>
    <n v="2.99"/>
    <n v="0"/>
  </r>
  <r>
    <n v="1668"/>
    <n v="65"/>
    <n v="3"/>
    <n v="1543"/>
    <s v="REDEEMED"/>
    <n v="27.97"/>
    <s v=""/>
    <d v="2026-03-23T15:19:07"/>
    <x v="5"/>
    <n v="0"/>
    <n v="27.97"/>
  </r>
  <r>
    <n v="1669"/>
    <n v="112"/>
    <n v="5"/>
    <n v="1544"/>
    <s v="EARNED"/>
    <n v="4.21"/>
    <s v=""/>
    <d v="2026-03-23T18:18:20"/>
    <x v="5"/>
    <n v="4.21"/>
    <n v="0"/>
  </r>
  <r>
    <n v="1670"/>
    <n v="156"/>
    <n v="4"/>
    <n v="1545"/>
    <s v="EARNED"/>
    <n v="3.51"/>
    <s v=""/>
    <d v="2026-03-24T08:48:09"/>
    <x v="5"/>
    <n v="3.51"/>
    <n v="0"/>
  </r>
  <r>
    <n v="1671"/>
    <n v="37"/>
    <n v="5"/>
    <n v="1546"/>
    <s v="EARNED"/>
    <n v="7.54"/>
    <s v=""/>
    <d v="2026-03-24T08:55:23"/>
    <x v="5"/>
    <n v="7.54"/>
    <n v="0"/>
  </r>
  <r>
    <n v="1672"/>
    <n v="173"/>
    <n v="2"/>
    <n v="1547"/>
    <s v="EARNED"/>
    <n v="21.46"/>
    <s v=""/>
    <d v="2026-03-24T09:09:22"/>
    <x v="5"/>
    <n v="21.46"/>
    <n v="0"/>
  </r>
  <r>
    <n v="1673"/>
    <n v="241"/>
    <n v="4"/>
    <n v="1548"/>
    <s v="EARNED"/>
    <n v="4.6500000000000004"/>
    <s v=""/>
    <d v="2026-03-24T09:14:39"/>
    <x v="5"/>
    <n v="4.6500000000000004"/>
    <n v="0"/>
  </r>
  <r>
    <n v="1674"/>
    <n v="164"/>
    <n v="5"/>
    <n v="1549"/>
    <s v="EARNED"/>
    <n v="1.78"/>
    <s v=""/>
    <d v="2026-03-24T10:21:48"/>
    <x v="5"/>
    <n v="1.78"/>
    <n v="0"/>
  </r>
  <r>
    <n v="1675"/>
    <n v="297"/>
    <n v="3"/>
    <n v="1550"/>
    <s v="EARNED"/>
    <n v="7.85"/>
    <s v=""/>
    <d v="2026-03-24T11:17:03"/>
    <x v="5"/>
    <n v="7.85"/>
    <n v="0"/>
  </r>
  <r>
    <n v="1676"/>
    <n v="191"/>
    <n v="4"/>
    <n v="1551"/>
    <s v="EARNED"/>
    <n v="3.62"/>
    <s v=""/>
    <d v="2026-03-24T11:29:42"/>
    <x v="5"/>
    <n v="3.62"/>
    <n v="0"/>
  </r>
  <r>
    <n v="1677"/>
    <n v="239"/>
    <n v="5"/>
    <n v="1552"/>
    <s v="EARNED"/>
    <n v="4.0599999999999996"/>
    <s v=""/>
    <d v="2026-03-24T14:18:38"/>
    <x v="5"/>
    <n v="4.0599999999999996"/>
    <n v="0"/>
  </r>
  <r>
    <n v="1678"/>
    <n v="106"/>
    <n v="4"/>
    <n v="1553"/>
    <s v="EARNED"/>
    <n v="9.1999999999999993"/>
    <s v=""/>
    <d v="2026-03-24T15:53:53"/>
    <x v="5"/>
    <n v="9.1999999999999993"/>
    <n v="0"/>
  </r>
  <r>
    <n v="1679"/>
    <n v="186"/>
    <n v="4"/>
    <n v="1554"/>
    <s v="EARNED"/>
    <n v="16.63"/>
    <s v=""/>
    <d v="2026-03-24T16:44:18"/>
    <x v="5"/>
    <n v="16.63"/>
    <n v="0"/>
  </r>
  <r>
    <n v="1680"/>
    <n v="21"/>
    <n v="5"/>
    <n v="1555"/>
    <s v="EARNED"/>
    <n v="4.5199999999999996"/>
    <s v=""/>
    <d v="2026-03-24T17:54:18"/>
    <x v="5"/>
    <n v="4.5199999999999996"/>
    <n v="0"/>
  </r>
  <r>
    <n v="1681"/>
    <n v="288"/>
    <n v="4"/>
    <n v="1556"/>
    <s v="EARNED"/>
    <n v="3.05"/>
    <s v=""/>
    <d v="2026-03-24T18:56:38"/>
    <x v="5"/>
    <n v="3.05"/>
    <n v="0"/>
  </r>
  <r>
    <n v="1682"/>
    <n v="156"/>
    <n v="4"/>
    <n v="1542"/>
    <s v="ADJUSTMENT"/>
    <n v="-2.99"/>
    <s v="Reverso por cancelación de compra #1542: Cliente canceló la operación"/>
    <d v="2026-03-25T09:24:25"/>
    <x v="5"/>
    <n v="0"/>
    <n v="0"/>
  </r>
  <r>
    <n v="1683"/>
    <n v="38"/>
    <n v="3"/>
    <n v="1557"/>
    <s v="EARNED"/>
    <n v="2.27"/>
    <s v=""/>
    <d v="2026-03-25T11:48:20"/>
    <x v="5"/>
    <n v="2.27"/>
    <n v="0"/>
  </r>
  <r>
    <n v="1684"/>
    <n v="251"/>
    <n v="4"/>
    <n v="1558"/>
    <s v="EARNED"/>
    <n v="3.11"/>
    <s v=""/>
    <d v="2026-03-25T15:35:11"/>
    <x v="5"/>
    <n v="3.11"/>
    <n v="0"/>
  </r>
  <r>
    <n v="1685"/>
    <n v="202"/>
    <n v="4"/>
    <n v="1559"/>
    <s v="EARNED"/>
    <n v="1.68"/>
    <s v=""/>
    <d v="2026-03-25T15:35:46"/>
    <x v="5"/>
    <n v="1.68"/>
    <n v="0"/>
  </r>
  <r>
    <n v="1686"/>
    <n v="261"/>
    <n v="3"/>
    <n v="1560"/>
    <s v="EARNED"/>
    <n v="9.34"/>
    <s v=""/>
    <d v="2026-03-25T15:59:43"/>
    <x v="5"/>
    <n v="9.34"/>
    <n v="0"/>
  </r>
  <r>
    <n v="1687"/>
    <n v="175"/>
    <n v="2"/>
    <n v="1561"/>
    <s v="EARNED"/>
    <n v="2.9"/>
    <s v=""/>
    <d v="2026-03-25T16:09:14"/>
    <x v="5"/>
    <n v="2.9"/>
    <n v="0"/>
  </r>
  <r>
    <n v="1688"/>
    <n v="245"/>
    <n v="3"/>
    <n v="1562"/>
    <s v="EARNED"/>
    <n v="3.43"/>
    <s v=""/>
    <d v="2026-03-25T18:19:16"/>
    <x v="5"/>
    <n v="3.43"/>
    <n v="0"/>
  </r>
  <r>
    <n v="1689"/>
    <n v="109"/>
    <n v="5"/>
    <n v="1563"/>
    <s v="EARNED"/>
    <n v="19.39"/>
    <s v=""/>
    <d v="2026-03-25T18:27:31"/>
    <x v="5"/>
    <n v="19.39"/>
    <n v="0"/>
  </r>
  <r>
    <n v="1690"/>
    <n v="16"/>
    <n v="2"/>
    <n v="1564"/>
    <s v="EARNED"/>
    <n v="19.010000000000002"/>
    <s v=""/>
    <d v="2026-03-26T07:46:14"/>
    <x v="5"/>
    <n v="19.010000000000002"/>
    <n v="0"/>
  </r>
  <r>
    <n v="1691"/>
    <n v="18"/>
    <n v="2"/>
    <n v="1565"/>
    <s v="EARNED"/>
    <n v="7.3"/>
    <s v=""/>
    <d v="2026-03-26T08:31:14"/>
    <x v="5"/>
    <n v="7.3"/>
    <n v="0"/>
  </r>
  <r>
    <n v="1692"/>
    <n v="101"/>
    <n v="2"/>
    <n v="1566"/>
    <s v="EARNED"/>
    <n v="2.5299999999999998"/>
    <s v=""/>
    <d v="2026-03-26T08:51:05"/>
    <x v="5"/>
    <n v="2.5299999999999998"/>
    <n v="0"/>
  </r>
  <r>
    <n v="1693"/>
    <n v="122"/>
    <n v="5"/>
    <n v="1567"/>
    <s v="EARNED"/>
    <n v="23.21"/>
    <s v=""/>
    <d v="2026-03-26T09:55:58"/>
    <x v="5"/>
    <n v="23.21"/>
    <n v="0"/>
  </r>
  <r>
    <n v="1694"/>
    <n v="21"/>
    <n v="5"/>
    <n v="1555"/>
    <s v="ADJUSTMENT"/>
    <n v="-4.5199999999999996"/>
    <s v="Reverso por cancelación de compra #1555: Solicitud del cliente"/>
    <d v="2026-03-26T12:54:18"/>
    <x v="5"/>
    <n v="0"/>
    <n v="0"/>
  </r>
  <r>
    <n v="1695"/>
    <n v="243"/>
    <n v="3"/>
    <n v="1568"/>
    <s v="EARNED"/>
    <n v="4.46"/>
    <s v=""/>
    <d v="2026-03-26T18:25:26"/>
    <x v="5"/>
    <n v="4.46"/>
    <n v="0"/>
  </r>
  <r>
    <n v="1696"/>
    <n v="61"/>
    <n v="2"/>
    <n v="1569"/>
    <s v="EARNED"/>
    <n v="18.899999999999999"/>
    <s v=""/>
    <d v="2026-03-27T08:03:41"/>
    <x v="5"/>
    <n v="18.899999999999999"/>
    <n v="0"/>
  </r>
  <r>
    <n v="1697"/>
    <n v="72"/>
    <n v="4"/>
    <n v="1570"/>
    <s v="EARNED"/>
    <n v="3.2"/>
    <s v=""/>
    <d v="2026-03-27T08:46:56"/>
    <x v="5"/>
    <n v="3.2"/>
    <n v="0"/>
  </r>
  <r>
    <n v="1698"/>
    <n v="200"/>
    <n v="3"/>
    <n v="1571"/>
    <s v="EARNED"/>
    <n v="2.0699999999999998"/>
    <s v=""/>
    <d v="2026-03-27T09:24:29"/>
    <x v="5"/>
    <n v="2.0699999999999998"/>
    <n v="0"/>
  </r>
  <r>
    <n v="1699"/>
    <n v="132"/>
    <n v="4"/>
    <n v="1572"/>
    <s v="EARNED"/>
    <n v="16.2"/>
    <s v=""/>
    <d v="2026-03-27T10:39:07"/>
    <x v="5"/>
    <n v="16.2"/>
    <n v="0"/>
  </r>
  <r>
    <n v="1700"/>
    <n v="137"/>
    <n v="4"/>
    <n v="1573"/>
    <s v="REDEEMED"/>
    <n v="26.13"/>
    <s v=""/>
    <d v="2026-03-27T11:16:37"/>
    <x v="5"/>
    <n v="0"/>
    <n v="26.13"/>
  </r>
  <r>
    <n v="1701"/>
    <n v="98"/>
    <n v="5"/>
    <n v="1574"/>
    <s v="EARNED"/>
    <n v="16.3"/>
    <s v=""/>
    <d v="2026-03-27T12:00:44"/>
    <x v="5"/>
    <n v="16.3"/>
    <n v="0"/>
  </r>
  <r>
    <n v="1702"/>
    <n v="243"/>
    <n v="2"/>
    <n v="1575"/>
    <s v="EARNED"/>
    <n v="2.6"/>
    <s v=""/>
    <d v="2026-03-27T12:10:11"/>
    <x v="5"/>
    <n v="2.6"/>
    <n v="0"/>
  </r>
  <r>
    <n v="1703"/>
    <n v="215"/>
    <n v="4"/>
    <n v="1576"/>
    <s v="EARNED"/>
    <n v="3.65"/>
    <s v=""/>
    <d v="2026-03-27T12:24:04"/>
    <x v="5"/>
    <n v="3.65"/>
    <n v="0"/>
  </r>
  <r>
    <n v="1704"/>
    <n v="156"/>
    <n v="3"/>
    <n v="1577"/>
    <s v="EARNED"/>
    <n v="3.09"/>
    <s v=""/>
    <d v="2026-03-27T13:49:40"/>
    <x v="5"/>
    <n v="3.09"/>
    <n v="0"/>
  </r>
  <r>
    <n v="1705"/>
    <n v="290"/>
    <n v="4"/>
    <n v="1578"/>
    <s v="EARNED"/>
    <n v="2.4300000000000002"/>
    <s v=""/>
    <d v="2026-03-27T14:18:26"/>
    <x v="5"/>
    <n v="2.4300000000000002"/>
    <n v="0"/>
  </r>
  <r>
    <n v="1706"/>
    <n v="125"/>
    <n v="3"/>
    <n v="1579"/>
    <s v="EARNED"/>
    <n v="3.71"/>
    <s v=""/>
    <d v="2026-03-27T14:44:08"/>
    <x v="5"/>
    <n v="3.71"/>
    <n v="0"/>
  </r>
  <r>
    <n v="1707"/>
    <n v="132"/>
    <n v="2"/>
    <n v="1580"/>
    <s v="EARNED"/>
    <n v="18.32"/>
    <s v=""/>
    <d v="2026-03-27T15:39:06"/>
    <x v="5"/>
    <n v="18.32"/>
    <n v="0"/>
  </r>
  <r>
    <n v="1708"/>
    <n v="56"/>
    <n v="5"/>
    <n v="1581"/>
    <s v="EARNED"/>
    <n v="8.35"/>
    <s v=""/>
    <d v="2026-03-27T15:59:52"/>
    <x v="5"/>
    <n v="8.35"/>
    <n v="0"/>
  </r>
  <r>
    <n v="1709"/>
    <n v="136"/>
    <n v="3"/>
    <n v="1582"/>
    <s v="EARNED"/>
    <n v="3.85"/>
    <s v=""/>
    <d v="2026-03-27T16:42:34"/>
    <x v="5"/>
    <n v="3.85"/>
    <n v="0"/>
  </r>
  <r>
    <n v="1710"/>
    <n v="261"/>
    <n v="4"/>
    <n v="1583"/>
    <s v="EARNED"/>
    <n v="15.55"/>
    <s v=""/>
    <d v="2026-03-27T18:31:20"/>
    <x v="5"/>
    <n v="15.55"/>
    <n v="0"/>
  </r>
  <r>
    <n v="1711"/>
    <n v="70"/>
    <n v="4"/>
    <n v="1584"/>
    <s v="EARNED"/>
    <n v="11.84"/>
    <s v=""/>
    <d v="2026-03-27T19:41:52"/>
    <x v="5"/>
    <n v="11.84"/>
    <n v="0"/>
  </r>
  <r>
    <n v="1712"/>
    <n v="282"/>
    <n v="3"/>
    <n v="1585"/>
    <s v="EARNED"/>
    <n v="13.97"/>
    <s v=""/>
    <d v="2026-03-28T08:46:38"/>
    <x v="5"/>
    <n v="13.97"/>
    <n v="0"/>
  </r>
  <r>
    <n v="1713"/>
    <n v="243"/>
    <n v="2"/>
    <n v="1586"/>
    <s v="EARNED"/>
    <n v="1.37"/>
    <s v=""/>
    <d v="2026-03-28T09:04:23"/>
    <x v="5"/>
    <n v="1.37"/>
    <n v="0"/>
  </r>
  <r>
    <n v="1714"/>
    <n v="176"/>
    <n v="2"/>
    <n v="1587"/>
    <s v="EARNED"/>
    <n v="15.11"/>
    <s v=""/>
    <d v="2026-03-28T09:12:23"/>
    <x v="5"/>
    <n v="15.11"/>
    <n v="0"/>
  </r>
  <r>
    <n v="1715"/>
    <n v="131"/>
    <n v="3"/>
    <n v="1588"/>
    <s v="EARNED"/>
    <n v="11.81"/>
    <s v=""/>
    <d v="2026-03-28T09:17:49"/>
    <x v="5"/>
    <n v="11.81"/>
    <n v="0"/>
  </r>
  <r>
    <n v="1716"/>
    <n v="137"/>
    <n v="4"/>
    <n v="1589"/>
    <s v="EARNED"/>
    <n v="3.48"/>
    <s v=""/>
    <d v="2026-03-28T09:30:42"/>
    <x v="5"/>
    <n v="3.48"/>
    <n v="0"/>
  </r>
  <r>
    <n v="1717"/>
    <n v="106"/>
    <n v="3"/>
    <n v="1590"/>
    <s v="EARNED"/>
    <n v="8.27"/>
    <s v=""/>
    <d v="2026-03-28T09:39:45"/>
    <x v="5"/>
    <n v="8.27"/>
    <n v="0"/>
  </r>
  <r>
    <n v="1718"/>
    <n v="89"/>
    <n v="2"/>
    <n v="1591"/>
    <s v="EARNED"/>
    <n v="12.69"/>
    <s v=""/>
    <d v="2026-03-28T11:30:29"/>
    <x v="5"/>
    <n v="12.69"/>
    <n v="0"/>
  </r>
  <r>
    <n v="1719"/>
    <n v="243"/>
    <n v="4"/>
    <n v="1592"/>
    <s v="EARNED"/>
    <n v="2.4500000000000002"/>
    <s v=""/>
    <d v="2026-03-28T13:56:38"/>
    <x v="5"/>
    <n v="2.4500000000000002"/>
    <n v="0"/>
  </r>
  <r>
    <n v="1720"/>
    <n v="162"/>
    <n v="4"/>
    <n v="1593"/>
    <s v="EARNED"/>
    <n v="3.2"/>
    <s v=""/>
    <d v="2026-03-28T14:15:30"/>
    <x v="5"/>
    <n v="3.2"/>
    <n v="0"/>
  </r>
  <r>
    <n v="1721"/>
    <n v="101"/>
    <n v="3"/>
    <n v="1594"/>
    <s v="EARNED"/>
    <n v="3.81"/>
    <s v=""/>
    <d v="2026-03-28T15:19:58"/>
    <x v="5"/>
    <n v="3.81"/>
    <n v="0"/>
  </r>
  <r>
    <n v="1722"/>
    <n v="215"/>
    <n v="3"/>
    <n v="1576"/>
    <s v="ADJUSTMENT"/>
    <n v="-3.65"/>
    <s v="Reverso por cancelación de compra #1576: Solicitud del cliente"/>
    <d v="2026-03-28T15:24:04"/>
    <x v="5"/>
    <n v="0"/>
    <n v="0"/>
  </r>
  <r>
    <n v="1723"/>
    <n v="150"/>
    <n v="2"/>
    <n v="1595"/>
    <s v="EARNED"/>
    <n v="7.31"/>
    <s v=""/>
    <d v="2026-03-28T15:24:21"/>
    <x v="5"/>
    <n v="7.31"/>
    <n v="0"/>
  </r>
  <r>
    <n v="1724"/>
    <n v="35"/>
    <n v="5"/>
    <n v="1596"/>
    <s v="EARNED"/>
    <n v="3.33"/>
    <s v=""/>
    <d v="2026-03-28T15:39:03"/>
    <x v="5"/>
    <n v="3.33"/>
    <n v="0"/>
  </r>
  <r>
    <n v="1725"/>
    <n v="145"/>
    <n v="2"/>
    <n v="1597"/>
    <s v="EARNED"/>
    <n v="24.61"/>
    <s v=""/>
    <d v="2026-03-28T17:49:59"/>
    <x v="5"/>
    <n v="24.61"/>
    <n v="0"/>
  </r>
  <r>
    <n v="1726"/>
    <n v="274"/>
    <n v="5"/>
    <n v="1598"/>
    <s v="EARNED"/>
    <n v="1.72"/>
    <s v=""/>
    <d v="2026-03-28T19:43:55"/>
    <x v="5"/>
    <n v="1.72"/>
    <n v="0"/>
  </r>
  <r>
    <n v="1727"/>
    <n v="65"/>
    <n v="5"/>
    <n v="1599"/>
    <s v="EARNED"/>
    <n v="1.96"/>
    <s v=""/>
    <d v="2026-03-29T12:31:30"/>
    <x v="5"/>
    <n v="1.96"/>
    <n v="0"/>
  </r>
  <r>
    <n v="1728"/>
    <n v="44"/>
    <n v="3"/>
    <n v="1600"/>
    <s v="EARNED"/>
    <n v="1.62"/>
    <s v=""/>
    <d v="2026-03-29T15:46:27"/>
    <x v="5"/>
    <n v="1.62"/>
    <n v="0"/>
  </r>
  <r>
    <n v="1729"/>
    <n v="241"/>
    <n v="5"/>
    <n v="1601"/>
    <s v="EARNED"/>
    <n v="2.78"/>
    <s v=""/>
    <d v="2026-03-29T16:59:29"/>
    <x v="5"/>
    <n v="2.78"/>
    <n v="0"/>
  </r>
  <r>
    <n v="1730"/>
    <n v="51"/>
    <n v="5"/>
    <n v="1602"/>
    <s v="EARNED"/>
    <n v="17.760000000000002"/>
    <s v=""/>
    <d v="2026-03-30T11:41:17"/>
    <x v="5"/>
    <n v="17.760000000000002"/>
    <n v="0"/>
  </r>
  <r>
    <n v="1731"/>
    <n v="137"/>
    <n v="2"/>
    <n v="1603"/>
    <s v="EARNED"/>
    <n v="2.73"/>
    <s v=""/>
    <d v="2026-03-30T15:05:18"/>
    <x v="5"/>
    <n v="2.73"/>
    <n v="0"/>
  </r>
  <r>
    <n v="1732"/>
    <n v="16"/>
    <n v="2"/>
    <n v="1604"/>
    <s v="REDEEMED"/>
    <n v="225.53"/>
    <s v=""/>
    <d v="2026-03-31T08:07:20"/>
    <x v="5"/>
    <n v="0"/>
    <n v="225.53"/>
  </r>
  <r>
    <n v="1733"/>
    <n v="61"/>
    <n v="3"/>
    <n v="1605"/>
    <s v="REDEEMED"/>
    <n v="98.79"/>
    <s v=""/>
    <d v="2026-03-31T09:33:42"/>
    <x v="5"/>
    <n v="0"/>
    <n v="98.79"/>
  </r>
  <r>
    <n v="1734"/>
    <n v="185"/>
    <n v="4"/>
    <n v="1606"/>
    <s v="EARNED"/>
    <n v="19.87"/>
    <s v=""/>
    <d v="2026-03-31T10:23:51"/>
    <x v="5"/>
    <n v="19.87"/>
    <n v="0"/>
  </r>
  <r>
    <n v="1735"/>
    <n v="39"/>
    <n v="5"/>
    <n v="1607"/>
    <s v="EARNED"/>
    <n v="17.170000000000002"/>
    <s v=""/>
    <d v="2026-03-31T10:25:47"/>
    <x v="5"/>
    <n v="17.170000000000002"/>
    <n v="0"/>
  </r>
  <r>
    <n v="1736"/>
    <n v="42"/>
    <n v="4"/>
    <n v="1608"/>
    <s v="EARNED"/>
    <n v="3.81"/>
    <s v=""/>
    <d v="2026-03-31T11:06:43"/>
    <x v="5"/>
    <n v="3.81"/>
    <n v="0"/>
  </r>
  <r>
    <n v="1737"/>
    <n v="156"/>
    <n v="4"/>
    <n v="1609"/>
    <s v="EARNED"/>
    <n v="2.63"/>
    <s v=""/>
    <d v="2026-03-31T18:06:58"/>
    <x v="5"/>
    <n v="2.63"/>
    <n v="0"/>
  </r>
  <r>
    <n v="1738"/>
    <n v="243"/>
    <n v="5"/>
    <n v="1610"/>
    <s v="EARNED"/>
    <n v="3.08"/>
    <s v=""/>
    <d v="2026-03-31T18:32:12"/>
    <x v="5"/>
    <n v="3.08"/>
    <n v="0"/>
  </r>
  <r>
    <n v="1739"/>
    <n v="210"/>
    <n v="3"/>
    <n v="1611"/>
    <s v="EARNED"/>
    <n v="2.9"/>
    <s v=""/>
    <d v="2026-04-01T08:05:25"/>
    <x v="6"/>
    <n v="2.9"/>
    <n v="0"/>
  </r>
  <r>
    <n v="1740"/>
    <n v="230"/>
    <n v="3"/>
    <n v="1612"/>
    <s v="EARNED"/>
    <n v="14.08"/>
    <s v=""/>
    <d v="2026-04-01T09:01:31"/>
    <x v="6"/>
    <n v="14.08"/>
    <n v="0"/>
  </r>
  <r>
    <n v="1741"/>
    <n v="279"/>
    <n v="3"/>
    <n v="1613"/>
    <s v="EARNED"/>
    <n v="20.170000000000002"/>
    <s v=""/>
    <d v="2026-04-01T10:47:42"/>
    <x v="6"/>
    <n v="20.170000000000002"/>
    <n v="0"/>
  </r>
  <r>
    <n v="1742"/>
    <n v="185"/>
    <n v="3"/>
    <n v="1614"/>
    <s v="EARNED"/>
    <n v="10.33"/>
    <s v=""/>
    <d v="2026-04-01T11:26:15"/>
    <x v="6"/>
    <n v="10.33"/>
    <n v="0"/>
  </r>
  <r>
    <n v="1743"/>
    <n v="137"/>
    <n v="2"/>
    <n v="1615"/>
    <s v="EARNED"/>
    <n v="4.34"/>
    <s v=""/>
    <d v="2026-04-01T13:04:10"/>
    <x v="6"/>
    <n v="4.34"/>
    <n v="0"/>
  </r>
  <r>
    <n v="1744"/>
    <n v="11"/>
    <n v="3"/>
    <n v="1616"/>
    <s v="EARNED"/>
    <n v="19.3"/>
    <s v=""/>
    <d v="2026-04-01T13:21:41"/>
    <x v="6"/>
    <n v="19.3"/>
    <n v="0"/>
  </r>
  <r>
    <n v="1745"/>
    <n v="137"/>
    <n v="5"/>
    <n v="1617"/>
    <s v="EARNED"/>
    <n v="3.36"/>
    <s v=""/>
    <d v="2026-04-01T14:49:58"/>
    <x v="6"/>
    <n v="3.36"/>
    <n v="0"/>
  </r>
  <r>
    <n v="1746"/>
    <n v="81"/>
    <n v="5"/>
    <n v="1618"/>
    <s v="EARNED"/>
    <n v="2.85"/>
    <s v=""/>
    <d v="2026-04-01T16:42:07"/>
    <x v="6"/>
    <n v="2.85"/>
    <n v="0"/>
  </r>
  <r>
    <n v="1747"/>
    <n v="237"/>
    <n v="2"/>
    <n v="1619"/>
    <s v="EARNED"/>
    <n v="10.74"/>
    <s v=""/>
    <d v="2026-04-02T08:06:59"/>
    <x v="6"/>
    <n v="10.74"/>
    <n v="0"/>
  </r>
  <r>
    <n v="1748"/>
    <n v="250"/>
    <n v="2"/>
    <n v="1620"/>
    <s v="EARNED"/>
    <n v="8.5399999999999991"/>
    <s v=""/>
    <d v="2026-04-02T09:43:21"/>
    <x v="6"/>
    <n v="8.5399999999999991"/>
    <n v="0"/>
  </r>
  <r>
    <n v="1749"/>
    <n v="245"/>
    <n v="2"/>
    <n v="1621"/>
    <s v="EARNED"/>
    <n v="5.14"/>
    <s v=""/>
    <d v="2026-04-02T09:49:51"/>
    <x v="6"/>
    <n v="5.14"/>
    <n v="0"/>
  </r>
  <r>
    <n v="1750"/>
    <n v="210"/>
    <n v="3"/>
    <n v="1622"/>
    <s v="EARNED"/>
    <n v="2.16"/>
    <s v=""/>
    <d v="2026-04-02T15:05:50"/>
    <x v="6"/>
    <n v="2.16"/>
    <n v="0"/>
  </r>
  <r>
    <n v="1751"/>
    <n v="149"/>
    <n v="2"/>
    <n v="1623"/>
    <s v="EARNED"/>
    <n v="4.32"/>
    <s v=""/>
    <d v="2026-04-02T17:26:01"/>
    <x v="6"/>
    <n v="4.32"/>
    <n v="0"/>
  </r>
  <r>
    <n v="1752"/>
    <n v="202"/>
    <n v="4"/>
    <n v="1624"/>
    <s v="EARNED"/>
    <n v="2.74"/>
    <s v=""/>
    <d v="2026-04-02T19:06:55"/>
    <x v="6"/>
    <n v="2.74"/>
    <n v="0"/>
  </r>
  <r>
    <n v="1753"/>
    <n v="70"/>
    <n v="5"/>
    <n v="1625"/>
    <s v="EARNED"/>
    <n v="29.22"/>
    <s v=""/>
    <d v="2026-04-03T09:33:48"/>
    <x v="6"/>
    <n v="29.22"/>
    <n v="0"/>
  </r>
  <r>
    <n v="1754"/>
    <n v="133"/>
    <n v="3"/>
    <n v="1626"/>
    <s v="EARNED"/>
    <n v="7.69"/>
    <s v=""/>
    <d v="2026-04-03T11:44:01"/>
    <x v="6"/>
    <n v="7.69"/>
    <n v="0"/>
  </r>
  <r>
    <n v="1755"/>
    <n v="293"/>
    <n v="5"/>
    <n v="1627"/>
    <s v="REDEEMED"/>
    <n v="23.57"/>
    <s v=""/>
    <d v="2026-04-03T12:42:05"/>
    <x v="6"/>
    <n v="0"/>
    <n v="23.57"/>
  </r>
  <r>
    <n v="1756"/>
    <n v="125"/>
    <n v="5"/>
    <n v="1628"/>
    <s v="EARNED"/>
    <n v="4.7300000000000004"/>
    <s v=""/>
    <d v="2026-04-03T13:11:16"/>
    <x v="6"/>
    <n v="4.7300000000000004"/>
    <n v="0"/>
  </r>
  <r>
    <n v="1757"/>
    <n v="91"/>
    <n v="5"/>
    <n v="1629"/>
    <s v="EARNED"/>
    <n v="1.77"/>
    <s v=""/>
    <d v="2026-04-03T16:07:18"/>
    <x v="6"/>
    <n v="1.77"/>
    <n v="0"/>
  </r>
  <r>
    <n v="1758"/>
    <n v="28"/>
    <n v="4"/>
    <n v="1630"/>
    <s v="EARNED"/>
    <n v="3.58"/>
    <s v=""/>
    <d v="2026-04-03T16:41:41"/>
    <x v="6"/>
    <n v="3.58"/>
    <n v="0"/>
  </r>
  <r>
    <n v="1759"/>
    <n v="241"/>
    <n v="4"/>
    <n v="1631"/>
    <s v="EARNED"/>
    <n v="1.71"/>
    <s v=""/>
    <d v="2026-04-03T18:19:13"/>
    <x v="6"/>
    <n v="1.71"/>
    <n v="0"/>
  </r>
  <r>
    <n v="1760"/>
    <n v="250"/>
    <n v="5"/>
    <n v="1632"/>
    <s v="EARNED"/>
    <n v="6.95"/>
    <s v=""/>
    <d v="2026-04-03T18:42:15"/>
    <x v="6"/>
    <n v="6.95"/>
    <n v="0"/>
  </r>
  <r>
    <n v="1761"/>
    <n v="156"/>
    <n v="2"/>
    <n v="1633"/>
    <s v="REDEEMED"/>
    <n v="41.07"/>
    <s v=""/>
    <d v="2026-04-03T18:59:11"/>
    <x v="6"/>
    <n v="0"/>
    <n v="41.07"/>
  </r>
  <r>
    <n v="1762"/>
    <n v="38"/>
    <n v="2"/>
    <n v="1634"/>
    <s v="EARNED"/>
    <n v="2.7"/>
    <s v=""/>
    <d v="2026-04-04T07:15:22"/>
    <x v="6"/>
    <n v="2.7"/>
    <n v="0"/>
  </r>
  <r>
    <n v="1763"/>
    <n v="262"/>
    <n v="5"/>
    <n v="1635"/>
    <s v="EARNED"/>
    <n v="7.01"/>
    <s v=""/>
    <d v="2026-04-04T07:52:18"/>
    <x v="6"/>
    <n v="7.01"/>
    <n v="0"/>
  </r>
  <r>
    <n v="1764"/>
    <n v="137"/>
    <n v="5"/>
    <n v="1636"/>
    <s v="EARNED"/>
    <n v="4.16"/>
    <s v=""/>
    <d v="2026-04-04T08:22:26"/>
    <x v="6"/>
    <n v="4.16"/>
    <n v="0"/>
  </r>
  <r>
    <n v="1765"/>
    <n v="104"/>
    <n v="3"/>
    <n v="1637"/>
    <s v="EARNED"/>
    <n v="10.59"/>
    <s v=""/>
    <d v="2026-04-04T08:44:08"/>
    <x v="6"/>
    <n v="10.59"/>
    <n v="0"/>
  </r>
  <r>
    <n v="1766"/>
    <n v="21"/>
    <n v="3"/>
    <n v="1638"/>
    <s v="EARNED"/>
    <n v="3.4"/>
    <s v=""/>
    <d v="2026-04-04T09:02:05"/>
    <x v="6"/>
    <n v="3.4"/>
    <n v="0"/>
  </r>
  <r>
    <n v="1767"/>
    <n v="136"/>
    <n v="3"/>
    <n v="1639"/>
    <s v="EARNED"/>
    <n v="17.32"/>
    <s v=""/>
    <d v="2026-04-04T10:40:22"/>
    <x v="6"/>
    <n v="17.32"/>
    <n v="0"/>
  </r>
  <r>
    <n v="1768"/>
    <n v="288"/>
    <n v="3"/>
    <n v="1640"/>
    <s v="EARNED"/>
    <n v="2.97"/>
    <s v=""/>
    <d v="2026-04-04T12:05:59"/>
    <x v="6"/>
    <n v="2.97"/>
    <n v="0"/>
  </r>
  <r>
    <n v="1769"/>
    <n v="108"/>
    <n v="2"/>
    <n v="1641"/>
    <s v="EARNED"/>
    <n v="5.88"/>
    <s v=""/>
    <d v="2026-04-04T12:35:00"/>
    <x v="6"/>
    <n v="5.88"/>
    <n v="0"/>
  </r>
  <r>
    <n v="1770"/>
    <n v="125"/>
    <n v="5"/>
    <n v="1628"/>
    <s v="ADJUSTMENT"/>
    <n v="-4.7300000000000004"/>
    <s v="Reverso por cancelación de compra #1628: Cliente canceló la operación"/>
    <d v="2026-04-04T13:11:16"/>
    <x v="6"/>
    <n v="0"/>
    <n v="0"/>
  </r>
  <r>
    <n v="1771"/>
    <n v="117"/>
    <n v="3"/>
    <n v="1642"/>
    <s v="EARNED"/>
    <n v="9.5500000000000007"/>
    <s v=""/>
    <d v="2026-04-04T16:28:19"/>
    <x v="6"/>
    <n v="9.5500000000000007"/>
    <n v="0"/>
  </r>
  <r>
    <n v="1772"/>
    <n v="156"/>
    <n v="3"/>
    <n v="1643"/>
    <s v="EARNED"/>
    <n v="2.58"/>
    <s v=""/>
    <d v="2026-04-04T17:51:45"/>
    <x v="6"/>
    <n v="2.58"/>
    <n v="0"/>
  </r>
  <r>
    <n v="1773"/>
    <n v="34"/>
    <n v="2"/>
    <n v="1644"/>
    <s v="EARNED"/>
    <n v="16.66"/>
    <s v=""/>
    <d v="2026-04-04T18:42:45"/>
    <x v="6"/>
    <n v="16.66"/>
    <n v="0"/>
  </r>
  <r>
    <n v="1774"/>
    <n v="215"/>
    <n v="2"/>
    <n v="1645"/>
    <s v="EARNED"/>
    <n v="4.49"/>
    <s v=""/>
    <d v="2026-04-04T19:44:07"/>
    <x v="6"/>
    <n v="4.49"/>
    <n v="0"/>
  </r>
  <r>
    <n v="1775"/>
    <n v="117"/>
    <n v="4"/>
    <n v="1646"/>
    <s v="EARNED"/>
    <n v="13.93"/>
    <s v=""/>
    <d v="2026-04-05T12:47:52"/>
    <x v="6"/>
    <n v="13.93"/>
    <n v="0"/>
  </r>
  <r>
    <n v="1776"/>
    <n v="227"/>
    <n v="2"/>
    <n v="1647"/>
    <s v="REDEEMED"/>
    <n v="19.510000000000002"/>
    <s v=""/>
    <d v="2026-04-06T11:57:23"/>
    <x v="6"/>
    <n v="0"/>
    <n v="19.510000000000002"/>
  </r>
  <r>
    <n v="1777"/>
    <n v="250"/>
    <n v="5"/>
    <n v="1648"/>
    <s v="EARNED"/>
    <n v="6.17"/>
    <s v=""/>
    <d v="2026-04-06T14:32:37"/>
    <x v="6"/>
    <n v="6.17"/>
    <n v="0"/>
  </r>
  <r>
    <n v="1778"/>
    <n v="213"/>
    <n v="2"/>
    <n v="1649"/>
    <s v="EARNED"/>
    <n v="8"/>
    <s v=""/>
    <d v="2026-04-06T16:41:28"/>
    <x v="6"/>
    <n v="8"/>
    <n v="0"/>
  </r>
  <r>
    <n v="1779"/>
    <n v="137"/>
    <n v="4"/>
    <n v="1650"/>
    <s v="EARNED"/>
    <n v="2.79"/>
    <s v=""/>
    <d v="2026-04-07T09:25:32"/>
    <x v="6"/>
    <n v="2.79"/>
    <n v="0"/>
  </r>
  <r>
    <n v="1780"/>
    <n v="300"/>
    <n v="2"/>
    <n v="1651"/>
    <s v="EARNED"/>
    <n v="5.9"/>
    <s v=""/>
    <d v="2026-04-07T10:46:30"/>
    <x v="6"/>
    <n v="5.9"/>
    <n v="0"/>
  </r>
  <r>
    <n v="1781"/>
    <n v="156"/>
    <n v="5"/>
    <n v="1652"/>
    <s v="EARNED"/>
    <n v="6.34"/>
    <s v=""/>
    <d v="2026-04-07T10:47:59"/>
    <x v="6"/>
    <n v="6.34"/>
    <n v="0"/>
  </r>
  <r>
    <n v="1782"/>
    <n v="137"/>
    <n v="4"/>
    <n v="1653"/>
    <s v="EARNED"/>
    <n v="3.26"/>
    <s v=""/>
    <d v="2026-04-07T11:18:07"/>
    <x v="6"/>
    <n v="3.26"/>
    <n v="0"/>
  </r>
  <r>
    <n v="1783"/>
    <n v="70"/>
    <n v="2"/>
    <n v="1654"/>
    <s v="EARNED"/>
    <n v="27.12"/>
    <s v=""/>
    <d v="2026-04-07T14:05:25"/>
    <x v="6"/>
    <n v="27.12"/>
    <n v="0"/>
  </r>
  <r>
    <n v="1784"/>
    <n v="282"/>
    <n v="2"/>
    <n v="1655"/>
    <s v="EARNED"/>
    <n v="14.94"/>
    <s v=""/>
    <d v="2026-04-07T14:49:46"/>
    <x v="6"/>
    <n v="14.94"/>
    <n v="0"/>
  </r>
  <r>
    <n v="1785"/>
    <n v="149"/>
    <n v="5"/>
    <n v="1656"/>
    <s v="EARNED"/>
    <n v="1.92"/>
    <s v=""/>
    <d v="2026-04-07T15:17:01"/>
    <x v="6"/>
    <n v="1.92"/>
    <n v="0"/>
  </r>
  <r>
    <n v="1786"/>
    <n v="110"/>
    <n v="3"/>
    <n v="1657"/>
    <s v="EARNED"/>
    <n v="5.4"/>
    <s v=""/>
    <d v="2026-04-07T19:24:04"/>
    <x v="6"/>
    <n v="5.4"/>
    <n v="0"/>
  </r>
  <r>
    <n v="1787"/>
    <n v="32"/>
    <n v="3"/>
    <n v="1658"/>
    <s v="EARNED"/>
    <n v="1.55"/>
    <s v=""/>
    <d v="2026-04-07T19:50:57"/>
    <x v="6"/>
    <n v="1.55"/>
    <n v="0"/>
  </r>
  <r>
    <n v="1788"/>
    <n v="250"/>
    <n v="2"/>
    <n v="1659"/>
    <s v="EARNED"/>
    <n v="19.75"/>
    <s v=""/>
    <d v="2026-04-08T09:56:48"/>
    <x v="6"/>
    <n v="19.75"/>
    <n v="0"/>
  </r>
  <r>
    <n v="1789"/>
    <n v="132"/>
    <n v="4"/>
    <n v="1660"/>
    <s v="EARNED"/>
    <n v="22.85"/>
    <s v=""/>
    <d v="2026-04-08T10:13:09"/>
    <x v="6"/>
    <n v="22.85"/>
    <n v="0"/>
  </r>
  <r>
    <n v="1790"/>
    <n v="156"/>
    <n v="4"/>
    <n v="1661"/>
    <s v="EARNED"/>
    <n v="3.86"/>
    <s v=""/>
    <d v="2026-04-08T13:31:34"/>
    <x v="6"/>
    <n v="3.86"/>
    <n v="0"/>
  </r>
  <r>
    <n v="1791"/>
    <n v="250"/>
    <n v="2"/>
    <n v="1662"/>
    <s v="EARNED"/>
    <n v="10.01"/>
    <s v=""/>
    <d v="2026-04-08T14:26:11"/>
    <x v="6"/>
    <n v="10.01"/>
    <n v="0"/>
  </r>
  <r>
    <n v="1792"/>
    <n v="137"/>
    <n v="4"/>
    <n v="1663"/>
    <s v="EARNED"/>
    <n v="1.57"/>
    <s v=""/>
    <d v="2026-04-08T16:07:26"/>
    <x v="6"/>
    <n v="1.57"/>
    <n v="0"/>
  </r>
  <r>
    <n v="1793"/>
    <n v="58"/>
    <n v="2"/>
    <n v="1664"/>
    <s v="EARNED"/>
    <n v="15.84"/>
    <s v=""/>
    <d v="2026-04-08T18:29:45"/>
    <x v="6"/>
    <n v="15.84"/>
    <n v="0"/>
  </r>
  <r>
    <n v="1794"/>
    <n v="245"/>
    <n v="5"/>
    <n v="1665"/>
    <s v="EARNED"/>
    <n v="3.48"/>
    <s v=""/>
    <d v="2026-04-09T08:46:52"/>
    <x v="6"/>
    <n v="3.48"/>
    <n v="0"/>
  </r>
  <r>
    <n v="1795"/>
    <n v="279"/>
    <n v="2"/>
    <n v="1666"/>
    <s v="EARNED"/>
    <n v="21.87"/>
    <s v=""/>
    <d v="2026-04-09T08:54:30"/>
    <x v="6"/>
    <n v="21.87"/>
    <n v="0"/>
  </r>
  <r>
    <n v="1796"/>
    <n v="154"/>
    <n v="4"/>
    <n v="1667"/>
    <s v="EARNED"/>
    <n v="2.21"/>
    <s v=""/>
    <d v="2026-04-09T09:26:54"/>
    <x v="6"/>
    <n v="2.21"/>
    <n v="0"/>
  </r>
  <r>
    <n v="1797"/>
    <n v="70"/>
    <n v="3"/>
    <n v="1668"/>
    <s v="EARNED"/>
    <n v="12.07"/>
    <s v=""/>
    <d v="2026-04-09T09:33:59"/>
    <x v="6"/>
    <n v="12.07"/>
    <n v="0"/>
  </r>
  <r>
    <n v="1798"/>
    <n v="156"/>
    <n v="2"/>
    <n v="1669"/>
    <s v="EARNED"/>
    <n v="3.39"/>
    <s v=""/>
    <d v="2026-04-09T11:11:09"/>
    <x v="6"/>
    <n v="3.39"/>
    <n v="0"/>
  </r>
  <r>
    <n v="1799"/>
    <n v="250"/>
    <n v="2"/>
    <n v="1670"/>
    <s v="EARNED"/>
    <n v="10.79"/>
    <s v=""/>
    <d v="2026-04-09T13:47:34"/>
    <x v="6"/>
    <n v="10.79"/>
    <n v="0"/>
  </r>
  <r>
    <n v="1800"/>
    <n v="47"/>
    <n v="5"/>
    <n v="1671"/>
    <s v="EARNED"/>
    <n v="2.2200000000000002"/>
    <s v=""/>
    <d v="2026-04-09T14:57:03"/>
    <x v="6"/>
    <n v="2.2200000000000002"/>
    <n v="0"/>
  </r>
  <r>
    <n v="1801"/>
    <n v="265"/>
    <n v="3"/>
    <n v="1672"/>
    <s v="EARNED"/>
    <n v="11.65"/>
    <s v=""/>
    <d v="2026-04-09T16:54:15"/>
    <x v="6"/>
    <n v="11.65"/>
    <n v="0"/>
  </r>
  <r>
    <n v="1802"/>
    <n v="262"/>
    <n v="4"/>
    <n v="1673"/>
    <s v="REDEEMED"/>
    <n v="138.63999999999999"/>
    <s v=""/>
    <d v="2026-04-09T17:33:29"/>
    <x v="6"/>
    <n v="0"/>
    <n v="138.63999999999999"/>
  </r>
  <r>
    <n v="1803"/>
    <n v="250"/>
    <n v="2"/>
    <n v="1674"/>
    <s v="EARNED"/>
    <n v="6.19"/>
    <s v=""/>
    <d v="2026-04-10T07:52:19"/>
    <x v="6"/>
    <n v="6.19"/>
    <n v="0"/>
  </r>
  <r>
    <n v="1804"/>
    <n v="176"/>
    <n v="5"/>
    <n v="1675"/>
    <s v="EARNED"/>
    <n v="17.05"/>
    <s v=""/>
    <d v="2026-04-10T08:00:36"/>
    <x v="6"/>
    <n v="17.05"/>
    <n v="0"/>
  </r>
  <r>
    <n v="1805"/>
    <n v="250"/>
    <n v="3"/>
    <n v="1676"/>
    <s v="EARNED"/>
    <n v="10.7"/>
    <s v=""/>
    <d v="2026-04-10T14:50:20"/>
    <x v="6"/>
    <n v="10.7"/>
    <n v="0"/>
  </r>
  <r>
    <n v="1806"/>
    <n v="178"/>
    <n v="3"/>
    <n v="1677"/>
    <s v="EARNED"/>
    <n v="9.5299999999999994"/>
    <s v=""/>
    <d v="2026-04-11T07:05:50"/>
    <x v="6"/>
    <n v="9.5299999999999994"/>
    <n v="0"/>
  </r>
  <r>
    <n v="1807"/>
    <n v="39"/>
    <n v="3"/>
    <n v="1678"/>
    <s v="EARNED"/>
    <n v="20.67"/>
    <s v=""/>
    <d v="2026-04-11T07:20:31"/>
    <x v="6"/>
    <n v="20.67"/>
    <n v="0"/>
  </r>
  <r>
    <n v="1808"/>
    <n v="250"/>
    <n v="4"/>
    <n v="1679"/>
    <s v="EARNED"/>
    <n v="9.81"/>
    <s v=""/>
    <d v="2026-04-11T07:22:30"/>
    <x v="6"/>
    <n v="9.81"/>
    <n v="0"/>
  </r>
  <r>
    <n v="1809"/>
    <n v="39"/>
    <n v="4"/>
    <n v="1680"/>
    <s v="EARNED"/>
    <n v="25.55"/>
    <s v=""/>
    <d v="2026-04-11T08:20:03"/>
    <x v="6"/>
    <n v="25.55"/>
    <n v="0"/>
  </r>
  <r>
    <n v="1810"/>
    <n v="70"/>
    <n v="2"/>
    <n v="1681"/>
    <s v="EARNED"/>
    <n v="13.53"/>
    <s v=""/>
    <d v="2026-04-11T08:37:54"/>
    <x v="6"/>
    <n v="13.53"/>
    <n v="0"/>
  </r>
  <r>
    <n v="1811"/>
    <n v="262"/>
    <n v="2"/>
    <n v="1682"/>
    <s v="EARNED"/>
    <n v="10.95"/>
    <s v=""/>
    <d v="2026-04-11T12:15:24"/>
    <x v="6"/>
    <n v="10.95"/>
    <n v="0"/>
  </r>
  <r>
    <n v="1812"/>
    <n v="87"/>
    <n v="2"/>
    <n v="1683"/>
    <s v="EARNED"/>
    <n v="8.52"/>
    <s v=""/>
    <d v="2026-04-11T14:22:52"/>
    <x v="6"/>
    <n v="8.52"/>
    <n v="0"/>
  </r>
  <r>
    <n v="1813"/>
    <n v="149"/>
    <n v="2"/>
    <n v="1684"/>
    <s v="REDEEMED"/>
    <n v="35.19"/>
    <s v=""/>
    <d v="2026-04-11T17:52:44"/>
    <x v="6"/>
    <n v="0"/>
    <n v="35.19"/>
  </r>
  <r>
    <n v="1814"/>
    <n v="250"/>
    <n v="3"/>
    <n v="1685"/>
    <s v="EARNED"/>
    <n v="11.2"/>
    <s v=""/>
    <d v="2026-04-11T18:07:38"/>
    <x v="6"/>
    <n v="11.2"/>
    <n v="0"/>
  </r>
  <r>
    <n v="1815"/>
    <n v="16"/>
    <n v="2"/>
    <n v="1686"/>
    <s v="REDEEMED"/>
    <n v="95"/>
    <s v=""/>
    <d v="2026-04-12T11:41:57"/>
    <x v="6"/>
    <n v="0"/>
    <n v="95"/>
  </r>
  <r>
    <n v="1816"/>
    <n v="154"/>
    <n v="2"/>
    <n v="1687"/>
    <s v="EARNED"/>
    <n v="4.03"/>
    <s v=""/>
    <d v="2026-04-12T14:16:10"/>
    <x v="6"/>
    <n v="4.03"/>
    <n v="0"/>
  </r>
  <r>
    <n v="1817"/>
    <n v="156"/>
    <n v="5"/>
    <n v="1688"/>
    <s v="EARNED"/>
    <n v="5.75"/>
    <s v=""/>
    <d v="2026-04-12T19:15:36"/>
    <x v="6"/>
    <n v="5.75"/>
    <n v="0"/>
  </r>
  <r>
    <n v="1818"/>
    <n v="150"/>
    <n v="3"/>
    <n v="1689"/>
    <s v="EARNED"/>
    <n v="7.49"/>
    <s v=""/>
    <d v="2026-04-13T08:08:30"/>
    <x v="6"/>
    <n v="7.49"/>
    <n v="0"/>
  </r>
  <r>
    <n v="1819"/>
    <n v="196"/>
    <n v="3"/>
    <n v="1690"/>
    <s v="EARNED"/>
    <n v="2.33"/>
    <s v=""/>
    <d v="2026-04-13T08:32:13"/>
    <x v="6"/>
    <n v="2.33"/>
    <n v="0"/>
  </r>
  <r>
    <n v="1820"/>
    <n v="160"/>
    <n v="5"/>
    <n v="1691"/>
    <s v="EARNED"/>
    <n v="3.92"/>
    <s v=""/>
    <d v="2026-04-13T09:13:59"/>
    <x v="6"/>
    <n v="3.92"/>
    <n v="0"/>
  </r>
  <r>
    <n v="1821"/>
    <n v="136"/>
    <n v="5"/>
    <n v="1692"/>
    <s v="EARNED"/>
    <n v="6.2"/>
    <s v=""/>
    <d v="2026-04-13T09:41:35"/>
    <x v="6"/>
    <n v="6.2"/>
    <n v="0"/>
  </r>
  <r>
    <n v="1822"/>
    <n v="297"/>
    <n v="3"/>
    <n v="1693"/>
    <s v="EARNED"/>
    <n v="9.7100000000000009"/>
    <s v=""/>
    <d v="2026-04-13T10:13:47"/>
    <x v="6"/>
    <n v="9.7100000000000009"/>
    <n v="0"/>
  </r>
  <r>
    <n v="1823"/>
    <n v="163"/>
    <n v="4"/>
    <n v="1694"/>
    <s v="EARNED"/>
    <n v="1.57"/>
    <s v=""/>
    <d v="2026-04-13T11:20:36"/>
    <x v="6"/>
    <n v="1.57"/>
    <n v="0"/>
  </r>
  <r>
    <n v="1824"/>
    <n v="43"/>
    <n v="5"/>
    <n v="1695"/>
    <s v="EARNED"/>
    <n v="8.4499999999999993"/>
    <s v=""/>
    <d v="2026-04-13T12:54:50"/>
    <x v="6"/>
    <n v="8.4499999999999993"/>
    <n v="0"/>
  </r>
  <r>
    <n v="1825"/>
    <n v="221"/>
    <n v="3"/>
    <n v="1696"/>
    <s v="EARNED"/>
    <n v="13.94"/>
    <s v=""/>
    <d v="2026-04-13T14:44:17"/>
    <x v="6"/>
    <n v="13.94"/>
    <n v="0"/>
  </r>
  <r>
    <n v="1826"/>
    <n v="235"/>
    <n v="3"/>
    <n v="1697"/>
    <s v="REDEEMED"/>
    <n v="22.76"/>
    <s v=""/>
    <d v="2026-04-13T15:33:25"/>
    <x v="6"/>
    <n v="0"/>
    <n v="22.76"/>
  </r>
  <r>
    <n v="1827"/>
    <n v="39"/>
    <n v="5"/>
    <n v="1698"/>
    <s v="EARNED"/>
    <n v="16.309999999999999"/>
    <s v=""/>
    <d v="2026-04-13T16:41:00"/>
    <x v="6"/>
    <n v="16.309999999999999"/>
    <n v="0"/>
  </r>
  <r>
    <n v="1828"/>
    <n v="229"/>
    <n v="4"/>
    <n v="1699"/>
    <s v="EARNED"/>
    <n v="11.67"/>
    <s v=""/>
    <d v="2026-04-13T17:12:04"/>
    <x v="6"/>
    <n v="11.67"/>
    <n v="0"/>
  </r>
  <r>
    <n v="1829"/>
    <n v="210"/>
    <n v="5"/>
    <n v="1700"/>
    <s v="EARNED"/>
    <n v="3.15"/>
    <s v=""/>
    <d v="2026-04-14T07:46:46"/>
    <x v="6"/>
    <n v="3.15"/>
    <n v="0"/>
  </r>
  <r>
    <n v="1830"/>
    <n v="48"/>
    <n v="2"/>
    <n v="1701"/>
    <s v="EARNED"/>
    <n v="9.77"/>
    <s v=""/>
    <d v="2026-04-14T08:30:37"/>
    <x v="6"/>
    <n v="9.77"/>
    <n v="0"/>
  </r>
  <r>
    <n v="1831"/>
    <n v="156"/>
    <n v="4"/>
    <n v="1702"/>
    <s v="EARNED"/>
    <n v="5.15"/>
    <s v=""/>
    <d v="2026-04-14T09:04:35"/>
    <x v="6"/>
    <n v="5.15"/>
    <n v="0"/>
  </r>
  <r>
    <n v="1832"/>
    <n v="149"/>
    <n v="2"/>
    <n v="1703"/>
    <s v="EARNED"/>
    <n v="2.31"/>
    <s v=""/>
    <d v="2026-04-14T10:39:15"/>
    <x v="6"/>
    <n v="2.31"/>
    <n v="0"/>
  </r>
  <r>
    <n v="1833"/>
    <n v="118"/>
    <n v="5"/>
    <n v="1704"/>
    <s v="EARNED"/>
    <n v="2.5499999999999998"/>
    <s v=""/>
    <d v="2026-04-14T14:10:28"/>
    <x v="6"/>
    <n v="2.5499999999999998"/>
    <n v="0"/>
  </r>
  <r>
    <n v="1834"/>
    <n v="218"/>
    <n v="5"/>
    <n v="1705"/>
    <s v="EARNED"/>
    <n v="2.83"/>
    <s v=""/>
    <d v="2026-04-14T14:34:11"/>
    <x v="6"/>
    <n v="2.83"/>
    <n v="0"/>
  </r>
  <r>
    <n v="1835"/>
    <n v="212"/>
    <n v="3"/>
    <n v="1706"/>
    <s v="EARNED"/>
    <n v="12.27"/>
    <s v=""/>
    <d v="2026-04-14T14:55:59"/>
    <x v="6"/>
    <n v="12.27"/>
    <n v="0"/>
  </r>
  <r>
    <n v="1836"/>
    <n v="229"/>
    <n v="5"/>
    <n v="1707"/>
    <s v="EARNED"/>
    <n v="6.86"/>
    <s v=""/>
    <d v="2026-04-14T15:04:28"/>
    <x v="6"/>
    <n v="6.86"/>
    <n v="0"/>
  </r>
  <r>
    <n v="1837"/>
    <n v="47"/>
    <n v="5"/>
    <n v="1708"/>
    <s v="EARNED"/>
    <n v="3.69"/>
    <s v=""/>
    <d v="2026-04-14T15:19:45"/>
    <x v="6"/>
    <n v="3.69"/>
    <n v="0"/>
  </r>
  <r>
    <n v="1838"/>
    <n v="272"/>
    <n v="4"/>
    <n v="1709"/>
    <s v="EARNED"/>
    <n v="17.23"/>
    <s v=""/>
    <d v="2026-04-14T16:00:48"/>
    <x v="6"/>
    <n v="17.23"/>
    <n v="0"/>
  </r>
  <r>
    <n v="1839"/>
    <n v="221"/>
    <n v="2"/>
    <n v="1710"/>
    <s v="EARNED"/>
    <n v="17.260000000000002"/>
    <s v=""/>
    <d v="2026-04-14T18:28:21"/>
    <x v="6"/>
    <n v="17.260000000000002"/>
    <n v="0"/>
  </r>
  <r>
    <n v="1840"/>
    <n v="156"/>
    <n v="2"/>
    <n v="1711"/>
    <s v="EARNED"/>
    <n v="2.09"/>
    <s v=""/>
    <d v="2026-04-14T19:49:07"/>
    <x v="6"/>
    <n v="2.09"/>
    <n v="0"/>
  </r>
  <r>
    <n v="1841"/>
    <n v="293"/>
    <n v="5"/>
    <n v="1712"/>
    <s v="EARNED"/>
    <n v="2.0299999999999998"/>
    <s v=""/>
    <d v="2026-04-15T07:08:09"/>
    <x v="6"/>
    <n v="2.0299999999999998"/>
    <n v="0"/>
  </r>
  <r>
    <n v="1842"/>
    <n v="112"/>
    <n v="4"/>
    <n v="1713"/>
    <s v="EARNED"/>
    <n v="3.16"/>
    <s v=""/>
    <d v="2026-04-15T10:19:26"/>
    <x v="6"/>
    <n v="3.16"/>
    <n v="0"/>
  </r>
  <r>
    <n v="1843"/>
    <n v="23"/>
    <n v="5"/>
    <n v="1714"/>
    <s v="EARNED"/>
    <n v="17.87"/>
    <s v=""/>
    <d v="2026-04-15T11:44:10"/>
    <x v="6"/>
    <n v="17.87"/>
    <n v="0"/>
  </r>
  <r>
    <n v="1844"/>
    <n v="117"/>
    <n v="3"/>
    <n v="1715"/>
    <s v="EARNED"/>
    <n v="4.6399999999999997"/>
    <s v=""/>
    <d v="2026-04-15T13:27:13"/>
    <x v="6"/>
    <n v="4.6399999999999997"/>
    <n v="0"/>
  </r>
  <r>
    <n v="1845"/>
    <n v="124"/>
    <n v="5"/>
    <n v="1716"/>
    <s v="EARNED"/>
    <n v="3.21"/>
    <s v=""/>
    <d v="2026-04-15T14:33:12"/>
    <x v="6"/>
    <n v="3.21"/>
    <n v="0"/>
  </r>
  <r>
    <n v="1846"/>
    <n v="229"/>
    <n v="4"/>
    <n v="1717"/>
    <s v="EARNED"/>
    <n v="14.22"/>
    <s v=""/>
    <d v="2026-04-15T17:09:47"/>
    <x v="6"/>
    <n v="14.22"/>
    <n v="0"/>
  </r>
  <r>
    <n v="1847"/>
    <n v="185"/>
    <n v="3"/>
    <n v="1718"/>
    <s v="EARNED"/>
    <n v="8.86"/>
    <s v=""/>
    <d v="2026-04-16T11:24:23"/>
    <x v="6"/>
    <n v="8.86"/>
    <n v="0"/>
  </r>
  <r>
    <n v="1848"/>
    <n v="17"/>
    <n v="4"/>
    <n v="1719"/>
    <s v="EARNED"/>
    <n v="8.27"/>
    <s v=""/>
    <d v="2026-04-16T12:29:36"/>
    <x v="6"/>
    <n v="8.27"/>
    <n v="0"/>
  </r>
  <r>
    <n v="1849"/>
    <n v="156"/>
    <n v="4"/>
    <n v="1720"/>
    <s v="EARNED"/>
    <n v="3.69"/>
    <s v=""/>
    <d v="2026-04-16T13:58:02"/>
    <x v="6"/>
    <n v="3.69"/>
    <n v="0"/>
  </r>
  <r>
    <n v="1850"/>
    <n v="39"/>
    <n v="4"/>
    <n v="1721"/>
    <s v="EARNED"/>
    <n v="28.74"/>
    <s v=""/>
    <d v="2026-04-16T14:55:57"/>
    <x v="6"/>
    <n v="28.74"/>
    <n v="0"/>
  </r>
  <r>
    <n v="1851"/>
    <n v="218"/>
    <n v="5"/>
    <n v="1722"/>
    <s v="EARNED"/>
    <n v="5.47"/>
    <s v=""/>
    <d v="2026-04-16T17:21:11"/>
    <x v="6"/>
    <n v="5.47"/>
    <n v="0"/>
  </r>
  <r>
    <n v="1852"/>
    <n v="241"/>
    <n v="2"/>
    <n v="1723"/>
    <s v="EARNED"/>
    <n v="4.1500000000000004"/>
    <s v=""/>
    <d v="2026-04-16T17:26:09"/>
    <x v="6"/>
    <n v="4.1500000000000004"/>
    <n v="0"/>
  </r>
  <r>
    <n v="1853"/>
    <n v="28"/>
    <n v="3"/>
    <n v="1724"/>
    <s v="EARNED"/>
    <n v="3.9"/>
    <s v=""/>
    <d v="2026-04-16T17:43:26"/>
    <x v="6"/>
    <n v="3.9"/>
    <n v="0"/>
  </r>
  <r>
    <n v="1854"/>
    <n v="106"/>
    <n v="5"/>
    <n v="1725"/>
    <s v="EARNED"/>
    <n v="5.87"/>
    <s v=""/>
    <d v="2026-04-16T18:29:09"/>
    <x v="6"/>
    <n v="5.87"/>
    <n v="0"/>
  </r>
  <r>
    <n v="1855"/>
    <n v="178"/>
    <n v="2"/>
    <n v="1726"/>
    <s v="EARNED"/>
    <n v="23.88"/>
    <s v=""/>
    <d v="2026-04-17T08:20:24"/>
    <x v="6"/>
    <n v="23.88"/>
    <n v="0"/>
  </r>
  <r>
    <n v="1856"/>
    <n v="195"/>
    <n v="2"/>
    <n v="1727"/>
    <s v="EARNED"/>
    <n v="8.6999999999999993"/>
    <s v=""/>
    <d v="2026-04-17T09:13:49"/>
    <x v="6"/>
    <n v="8.6999999999999993"/>
    <n v="0"/>
  </r>
  <r>
    <n v="1857"/>
    <n v="136"/>
    <n v="4"/>
    <n v="1728"/>
    <s v="EARNED"/>
    <n v="11.72"/>
    <s v=""/>
    <d v="2026-04-17T09:19:05"/>
    <x v="6"/>
    <n v="11.72"/>
    <n v="0"/>
  </r>
  <r>
    <n v="1858"/>
    <n v="229"/>
    <n v="2"/>
    <n v="1729"/>
    <s v="EARNED"/>
    <n v="13.95"/>
    <s v=""/>
    <d v="2026-04-17T13:41:56"/>
    <x v="6"/>
    <n v="13.95"/>
    <n v="0"/>
  </r>
  <r>
    <n v="1859"/>
    <n v="149"/>
    <n v="3"/>
    <n v="1730"/>
    <s v="EARNED"/>
    <n v="3.63"/>
    <s v=""/>
    <d v="2026-04-17T14:06:02"/>
    <x v="6"/>
    <n v="3.63"/>
    <n v="0"/>
  </r>
  <r>
    <n v="1860"/>
    <n v="276"/>
    <n v="4"/>
    <n v="1731"/>
    <s v="EARNED"/>
    <n v="2.2999999999999998"/>
    <s v=""/>
    <d v="2026-04-17T19:09:07"/>
    <x v="6"/>
    <n v="2.2999999999999998"/>
    <n v="0"/>
  </r>
  <r>
    <n v="1861"/>
    <n v="160"/>
    <n v="3"/>
    <n v="1732"/>
    <s v="EARNED"/>
    <n v="2.12"/>
    <s v=""/>
    <d v="2026-04-17T19:39:32"/>
    <x v="6"/>
    <n v="2.12"/>
    <n v="0"/>
  </r>
  <r>
    <n v="1862"/>
    <n v="243"/>
    <n v="3"/>
    <n v="1733"/>
    <s v="REDEEMED"/>
    <n v="23.55"/>
    <s v=""/>
    <d v="2026-04-18T08:27:18"/>
    <x v="6"/>
    <n v="0"/>
    <n v="23.55"/>
  </r>
  <r>
    <n v="1863"/>
    <n v="87"/>
    <n v="2"/>
    <n v="1734"/>
    <s v="REDEEMED"/>
    <n v="86.01"/>
    <s v=""/>
    <d v="2026-04-18T09:06:46"/>
    <x v="6"/>
    <n v="0"/>
    <n v="86.01"/>
  </r>
  <r>
    <n v="1864"/>
    <n v="276"/>
    <n v="4"/>
    <n v="1735"/>
    <s v="EARNED"/>
    <n v="4.51"/>
    <s v=""/>
    <d v="2026-04-18T11:24:13"/>
    <x v="6"/>
    <n v="4.51"/>
    <n v="0"/>
  </r>
  <r>
    <n v="1865"/>
    <n v="249"/>
    <n v="5"/>
    <n v="1736"/>
    <s v="EARNED"/>
    <n v="13.94"/>
    <s v=""/>
    <d v="2026-04-18T13:25:52"/>
    <x v="6"/>
    <n v="13.94"/>
    <n v="0"/>
  </r>
  <r>
    <n v="1866"/>
    <n v="106"/>
    <n v="4"/>
    <n v="1737"/>
    <s v="EARNED"/>
    <n v="11.85"/>
    <s v=""/>
    <d v="2026-04-18T16:09:26"/>
    <x v="6"/>
    <n v="11.85"/>
    <n v="0"/>
  </r>
  <r>
    <n v="1867"/>
    <n v="16"/>
    <n v="5"/>
    <n v="1738"/>
    <s v="EARNED"/>
    <n v="23.26"/>
    <s v=""/>
    <d v="2026-04-18T16:25:31"/>
    <x v="6"/>
    <n v="23.26"/>
    <n v="0"/>
  </r>
  <r>
    <n v="1868"/>
    <n v="280"/>
    <n v="4"/>
    <n v="1739"/>
    <s v="EARNED"/>
    <n v="3.72"/>
    <s v=""/>
    <d v="2026-04-18T16:39:47"/>
    <x v="6"/>
    <n v="3.72"/>
    <n v="0"/>
  </r>
  <r>
    <n v="1869"/>
    <n v="245"/>
    <n v="4"/>
    <n v="1740"/>
    <s v="EARNED"/>
    <n v="2.14"/>
    <s v=""/>
    <d v="2026-04-18T18:21:15"/>
    <x v="6"/>
    <n v="2.14"/>
    <n v="0"/>
  </r>
  <r>
    <n v="1870"/>
    <n v="156"/>
    <n v="4"/>
    <n v="1741"/>
    <s v="EARNED"/>
    <n v="2.92"/>
    <s v=""/>
    <d v="2026-04-18T18:49:42"/>
    <x v="6"/>
    <n v="2.92"/>
    <n v="0"/>
  </r>
  <r>
    <n v="1871"/>
    <n v="39"/>
    <n v="4"/>
    <n v="1742"/>
    <s v="EARNED"/>
    <n v="26.33"/>
    <s v=""/>
    <d v="2026-04-19T08:29:56"/>
    <x v="6"/>
    <n v="26.33"/>
    <n v="0"/>
  </r>
  <r>
    <n v="1872"/>
    <n v="257"/>
    <n v="5"/>
    <n v="1743"/>
    <s v="EARNED"/>
    <n v="7.78"/>
    <s v=""/>
    <d v="2026-04-19T11:48:40"/>
    <x v="6"/>
    <n v="7.78"/>
    <n v="0"/>
  </r>
  <r>
    <n v="1873"/>
    <n v="202"/>
    <n v="3"/>
    <n v="1744"/>
    <s v="EARNED"/>
    <n v="3.37"/>
    <s v=""/>
    <d v="2026-04-19T13:17:57"/>
    <x v="6"/>
    <n v="3.37"/>
    <n v="0"/>
  </r>
  <r>
    <n v="1874"/>
    <n v="168"/>
    <n v="2"/>
    <n v="1745"/>
    <s v="EARNED"/>
    <n v="3.28"/>
    <s v=""/>
    <d v="2026-04-19T15:19:58"/>
    <x v="6"/>
    <n v="3.28"/>
    <n v="0"/>
  </r>
  <r>
    <n v="1875"/>
    <n v="297"/>
    <n v="5"/>
    <n v="1746"/>
    <s v="EARNED"/>
    <n v="7.86"/>
    <s v=""/>
    <d v="2026-04-19T15:33:58"/>
    <x v="6"/>
    <n v="7.86"/>
    <n v="0"/>
  </r>
  <r>
    <n v="1876"/>
    <n v="150"/>
    <n v="4"/>
    <n v="1747"/>
    <s v="EARNED"/>
    <n v="11.35"/>
    <s v=""/>
    <d v="2026-04-19T15:53:12"/>
    <x v="6"/>
    <n v="11.35"/>
    <n v="0"/>
  </r>
  <r>
    <n v="1877"/>
    <n v="80"/>
    <n v="4"/>
    <n v="1748"/>
    <s v="EARNED"/>
    <n v="3.52"/>
    <s v=""/>
    <d v="2026-04-19T17:25:48"/>
    <x v="6"/>
    <n v="3.52"/>
    <n v="0"/>
  </r>
  <r>
    <n v="1878"/>
    <n v="250"/>
    <n v="3"/>
    <n v="1749"/>
    <s v="EARNED"/>
    <n v="12"/>
    <s v=""/>
    <d v="2026-04-19T19:12:17"/>
    <x v="6"/>
    <n v="12"/>
    <n v="0"/>
  </r>
  <r>
    <n v="1879"/>
    <n v="144"/>
    <n v="2"/>
    <n v="1750"/>
    <s v="EARNED"/>
    <n v="7.67"/>
    <s v=""/>
    <d v="2026-04-20T07:49:14"/>
    <x v="6"/>
    <n v="7.67"/>
    <n v="0"/>
  </r>
  <r>
    <n v="1880"/>
    <n v="272"/>
    <n v="2"/>
    <n v="1751"/>
    <s v="EARNED"/>
    <n v="30"/>
    <s v=""/>
    <d v="2026-04-20T08:42:52"/>
    <x v="6"/>
    <n v="30"/>
    <n v="0"/>
  </r>
  <r>
    <n v="1881"/>
    <n v="156"/>
    <n v="4"/>
    <n v="1752"/>
    <s v="EARNED"/>
    <n v="3.88"/>
    <s v=""/>
    <d v="2026-04-20T14:57:21"/>
    <x v="6"/>
    <n v="3.88"/>
    <n v="0"/>
  </r>
  <r>
    <n v="1882"/>
    <n v="207"/>
    <n v="5"/>
    <n v="1753"/>
    <s v="EARNED"/>
    <n v="4.78"/>
    <s v=""/>
    <d v="2026-04-21T07:41:57"/>
    <x v="6"/>
    <n v="4.78"/>
    <n v="0"/>
  </r>
  <r>
    <n v="1883"/>
    <n v="98"/>
    <n v="4"/>
    <n v="1754"/>
    <s v="EARNED"/>
    <n v="8.3699999999999992"/>
    <s v=""/>
    <d v="2026-04-21T11:22:49"/>
    <x v="6"/>
    <n v="8.3699999999999992"/>
    <n v="0"/>
  </r>
  <r>
    <n v="1884"/>
    <n v="293"/>
    <n v="5"/>
    <n v="1755"/>
    <s v="EARNED"/>
    <n v="5.04"/>
    <s v=""/>
    <d v="2026-04-21T14:56:57"/>
    <x v="6"/>
    <n v="5.04"/>
    <n v="0"/>
  </r>
  <r>
    <n v="1885"/>
    <n v="156"/>
    <n v="5"/>
    <n v="1756"/>
    <s v="EARNED"/>
    <n v="3.45"/>
    <s v=""/>
    <d v="2026-04-21T15:40:42"/>
    <x v="6"/>
    <n v="3.45"/>
    <n v="0"/>
  </r>
  <r>
    <n v="1886"/>
    <n v="213"/>
    <n v="5"/>
    <n v="1757"/>
    <s v="EARNED"/>
    <n v="30"/>
    <s v=""/>
    <d v="2026-04-21T18:22:08"/>
    <x v="6"/>
    <n v="30"/>
    <n v="0"/>
  </r>
  <r>
    <n v="1887"/>
    <n v="173"/>
    <n v="3"/>
    <n v="1758"/>
    <s v="EARNED"/>
    <n v="16.48"/>
    <s v=""/>
    <d v="2026-04-21T18:44:41"/>
    <x v="6"/>
    <n v="16.48"/>
    <n v="0"/>
  </r>
  <r>
    <n v="1888"/>
    <n v="72"/>
    <n v="4"/>
    <n v="1759"/>
    <s v="EARNED"/>
    <n v="4.4400000000000004"/>
    <s v=""/>
    <d v="2026-04-22T12:43:47"/>
    <x v="6"/>
    <n v="4.4400000000000004"/>
    <n v="0"/>
  </r>
  <r>
    <n v="1889"/>
    <n v="149"/>
    <n v="3"/>
    <n v="1760"/>
    <s v="EARNED"/>
    <n v="2.93"/>
    <s v=""/>
    <d v="2026-04-22T13:09:09"/>
    <x v="6"/>
    <n v="2.93"/>
    <n v="0"/>
  </r>
  <r>
    <n v="1890"/>
    <n v="121"/>
    <n v="5"/>
    <n v="1761"/>
    <s v="EARNED"/>
    <n v="4"/>
    <s v=""/>
    <d v="2026-04-22T13:41:48"/>
    <x v="6"/>
    <n v="4"/>
    <n v="0"/>
  </r>
  <r>
    <n v="1891"/>
    <n v="283"/>
    <n v="2"/>
    <n v="1762"/>
    <s v="EARNED"/>
    <n v="2.39"/>
    <s v=""/>
    <d v="2026-04-22T16:10:51"/>
    <x v="6"/>
    <n v="2.39"/>
    <n v="0"/>
  </r>
  <r>
    <n v="1892"/>
    <n v="87"/>
    <n v="5"/>
    <n v="1763"/>
    <s v="EARNED"/>
    <n v="7.96"/>
    <s v=""/>
    <d v="2026-04-23T09:27:42"/>
    <x v="6"/>
    <n v="7.96"/>
    <n v="0"/>
  </r>
  <r>
    <n v="1893"/>
    <n v="301"/>
    <n v="3"/>
    <n v="1764"/>
    <s v="EARNED"/>
    <n v="11.21"/>
    <s v=""/>
    <d v="2026-04-23T09:36:13"/>
    <x v="6"/>
    <n v="11.21"/>
    <n v="0"/>
  </r>
  <r>
    <n v="1894"/>
    <n v="21"/>
    <n v="4"/>
    <n v="1765"/>
    <s v="EARNED"/>
    <n v="2.08"/>
    <s v=""/>
    <d v="2026-04-23T10:01:07"/>
    <x v="6"/>
    <n v="2.08"/>
    <n v="0"/>
  </r>
  <r>
    <n v="1895"/>
    <n v="250"/>
    <n v="2"/>
    <n v="1766"/>
    <s v="EARNED"/>
    <n v="5.23"/>
    <s v=""/>
    <d v="2026-04-23T15:47:14"/>
    <x v="6"/>
    <n v="5.23"/>
    <n v="0"/>
  </r>
  <r>
    <n v="1896"/>
    <n v="137"/>
    <n v="5"/>
    <n v="1767"/>
    <s v="EARNED"/>
    <n v="5.14"/>
    <s v=""/>
    <d v="2026-04-23T17:48:31"/>
    <x v="6"/>
    <n v="5.14"/>
    <n v="0"/>
  </r>
  <r>
    <n v="1897"/>
    <n v="229"/>
    <n v="5"/>
    <n v="1768"/>
    <s v="EARNED"/>
    <n v="4.05"/>
    <s v=""/>
    <d v="2026-04-24T08:00:38"/>
    <x v="6"/>
    <n v="4.05"/>
    <n v="0"/>
  </r>
  <r>
    <n v="1898"/>
    <n v="94"/>
    <n v="2"/>
    <n v="1769"/>
    <s v="EARNED"/>
    <n v="15.67"/>
    <s v=""/>
    <d v="2026-04-24T10:05:03"/>
    <x v="6"/>
    <n v="15.67"/>
    <n v="0"/>
  </r>
  <r>
    <n v="1899"/>
    <n v="39"/>
    <n v="5"/>
    <n v="1770"/>
    <s v="REDEEMED"/>
    <n v="255.8"/>
    <s v=""/>
    <d v="2026-04-25T09:24:08"/>
    <x v="6"/>
    <n v="0"/>
    <n v="255.8"/>
  </r>
  <r>
    <n v="1900"/>
    <n v="58"/>
    <n v="4"/>
    <n v="1771"/>
    <s v="EARNED"/>
    <n v="12.25"/>
    <s v=""/>
    <d v="2026-04-25T12:49:49"/>
    <x v="6"/>
    <n v="12.25"/>
    <n v="0"/>
  </r>
  <r>
    <n v="1901"/>
    <n v="29"/>
    <n v="4"/>
    <n v="1772"/>
    <s v="EARNED"/>
    <n v="1.6"/>
    <s v=""/>
    <d v="2026-04-25T14:46:02"/>
    <x v="6"/>
    <n v="1.6"/>
    <n v="0"/>
  </r>
  <r>
    <n v="1902"/>
    <n v="70"/>
    <n v="2"/>
    <n v="1773"/>
    <s v="EARNED"/>
    <n v="18.96"/>
    <s v=""/>
    <d v="2026-04-25T15:20:07"/>
    <x v="6"/>
    <n v="18.96"/>
    <n v="0"/>
  </r>
  <r>
    <n v="1903"/>
    <n v="250"/>
    <n v="3"/>
    <n v="1766"/>
    <s v="ADJUSTMENT"/>
    <n v="-5.23"/>
    <s v="Reverso por cancelación de compra #1766: Cliente canceló la operación"/>
    <d v="2026-04-25T15:47:14"/>
    <x v="6"/>
    <n v="0"/>
    <n v="0"/>
  </r>
  <r>
    <n v="1904"/>
    <n v="261"/>
    <n v="2"/>
    <n v="1774"/>
    <s v="EARNED"/>
    <n v="7.91"/>
    <s v=""/>
    <d v="2026-04-25T16:44:22"/>
    <x v="6"/>
    <n v="7.91"/>
    <n v="0"/>
  </r>
  <r>
    <n v="1905"/>
    <n v="39"/>
    <n v="3"/>
    <n v="1775"/>
    <s v="EARNED"/>
    <n v="12.57"/>
    <s v=""/>
    <d v="2026-04-25T17:57:36"/>
    <x v="6"/>
    <n v="12.57"/>
    <n v="0"/>
  </r>
  <r>
    <n v="1906"/>
    <n v="210"/>
    <n v="2"/>
    <n v="1776"/>
    <s v="EARNED"/>
    <n v="2.37"/>
    <s v=""/>
    <d v="2026-04-25T18:02:49"/>
    <x v="6"/>
    <n v="2.37"/>
    <n v="0"/>
  </r>
  <r>
    <n v="1907"/>
    <n v="46"/>
    <n v="3"/>
    <n v="1777"/>
    <s v="EARNED"/>
    <n v="2.62"/>
    <s v=""/>
    <d v="2026-04-25T18:53:20"/>
    <x v="6"/>
    <n v="2.62"/>
    <n v="0"/>
  </r>
  <r>
    <n v="1908"/>
    <n v="106"/>
    <n v="5"/>
    <n v="1778"/>
    <s v="EARNED"/>
    <n v="11.23"/>
    <s v=""/>
    <d v="2026-04-26T09:06:08"/>
    <x v="6"/>
    <n v="11.23"/>
    <n v="0"/>
  </r>
  <r>
    <n v="1909"/>
    <n v="149"/>
    <n v="2"/>
    <n v="1779"/>
    <s v="EARNED"/>
    <n v="2"/>
    <s v=""/>
    <d v="2026-04-26T11:20:28"/>
    <x v="6"/>
    <n v="2"/>
    <n v="0"/>
  </r>
  <r>
    <n v="1910"/>
    <n v="250"/>
    <n v="4"/>
    <n v="1780"/>
    <s v="EARNED"/>
    <n v="10.65"/>
    <s v=""/>
    <d v="2026-04-26T14:33:04"/>
    <x v="6"/>
    <n v="10.65"/>
    <n v="0"/>
  </r>
  <r>
    <n v="1911"/>
    <n v="32"/>
    <n v="4"/>
    <n v="1781"/>
    <s v="EARNED"/>
    <n v="1.74"/>
    <s v=""/>
    <d v="2026-04-27T09:01:22"/>
    <x v="6"/>
    <n v="1.74"/>
    <n v="0"/>
  </r>
  <r>
    <n v="1912"/>
    <n v="98"/>
    <n v="2"/>
    <n v="1782"/>
    <s v="EARNED"/>
    <n v="6.99"/>
    <s v=""/>
    <d v="2026-04-27T09:45:18"/>
    <x v="6"/>
    <n v="6.99"/>
    <n v="0"/>
  </r>
  <r>
    <n v="1913"/>
    <n v="243"/>
    <n v="2"/>
    <n v="1783"/>
    <s v="EARNED"/>
    <n v="5.56"/>
    <s v=""/>
    <d v="2026-04-27T09:47:24"/>
    <x v="6"/>
    <n v="5.56"/>
    <n v="0"/>
  </r>
  <r>
    <n v="1914"/>
    <n v="145"/>
    <n v="4"/>
    <n v="1784"/>
    <s v="EARNED"/>
    <n v="20.77"/>
    <s v=""/>
    <d v="2026-04-27T10:06:52"/>
    <x v="6"/>
    <n v="20.77"/>
    <n v="0"/>
  </r>
  <r>
    <n v="1915"/>
    <n v="243"/>
    <n v="5"/>
    <n v="1785"/>
    <s v="EARNED"/>
    <n v="1.36"/>
    <s v=""/>
    <d v="2026-04-27T10:18:42"/>
    <x v="6"/>
    <n v="1.36"/>
    <n v="0"/>
  </r>
  <r>
    <n v="1916"/>
    <n v="7"/>
    <n v="2"/>
    <n v="1786"/>
    <s v="EARNED"/>
    <n v="19.11"/>
    <s v=""/>
    <d v="2026-04-27T13:56:19"/>
    <x v="6"/>
    <n v="19.11"/>
    <n v="0"/>
  </r>
  <r>
    <n v="1917"/>
    <n v="150"/>
    <n v="3"/>
    <n v="1787"/>
    <s v="EARNED"/>
    <n v="7.62"/>
    <s v=""/>
    <d v="2026-04-27T14:27:11"/>
    <x v="6"/>
    <n v="7.62"/>
    <n v="0"/>
  </r>
  <r>
    <n v="1918"/>
    <n v="202"/>
    <n v="3"/>
    <n v="1788"/>
    <s v="REDEEMED"/>
    <n v="20.41"/>
    <s v=""/>
    <d v="2026-04-27T16:20:31"/>
    <x v="6"/>
    <n v="0"/>
    <n v="20.41"/>
  </r>
  <r>
    <n v="1919"/>
    <n v="202"/>
    <n v="2"/>
    <n v="1789"/>
    <s v="EARNED"/>
    <n v="4.79"/>
    <s v=""/>
    <d v="2026-04-28T07:44:08"/>
    <x v="6"/>
    <n v="4.79"/>
    <n v="0"/>
  </r>
  <r>
    <n v="1920"/>
    <n v="105"/>
    <n v="4"/>
    <n v="1790"/>
    <s v="EARNED"/>
    <n v="8.34"/>
    <s v=""/>
    <d v="2026-04-28T10:23:13"/>
    <x v="6"/>
    <n v="8.34"/>
    <n v="0"/>
  </r>
  <r>
    <n v="1921"/>
    <n v="172"/>
    <n v="3"/>
    <n v="1791"/>
    <s v="EARNED"/>
    <n v="4.07"/>
    <s v=""/>
    <d v="2026-04-28T14:05:56"/>
    <x v="6"/>
    <n v="4.07"/>
    <n v="0"/>
  </r>
  <r>
    <n v="1922"/>
    <n v="176"/>
    <n v="5"/>
    <n v="1792"/>
    <s v="EARNED"/>
    <n v="28.72"/>
    <s v=""/>
    <d v="2026-04-28T14:40:56"/>
    <x v="6"/>
    <n v="28.72"/>
    <n v="0"/>
  </r>
  <r>
    <n v="1923"/>
    <n v="229"/>
    <n v="3"/>
    <n v="1793"/>
    <s v="EARNED"/>
    <n v="10.77"/>
    <s v=""/>
    <d v="2026-04-28T16:21:11"/>
    <x v="6"/>
    <n v="10.77"/>
    <n v="0"/>
  </r>
  <r>
    <n v="1924"/>
    <n v="250"/>
    <n v="2"/>
    <n v="1794"/>
    <s v="EARNED"/>
    <n v="10.78"/>
    <s v=""/>
    <d v="2026-04-28T17:24:22"/>
    <x v="6"/>
    <n v="10.78"/>
    <n v="0"/>
  </r>
  <r>
    <n v="1925"/>
    <n v="201"/>
    <n v="5"/>
    <n v="1795"/>
    <s v="EARNED"/>
    <n v="3.53"/>
    <s v=""/>
    <d v="2026-04-28T18:52:11"/>
    <x v="6"/>
    <n v="3.53"/>
    <n v="0"/>
  </r>
  <r>
    <n v="1926"/>
    <n v="163"/>
    <n v="5"/>
    <n v="1796"/>
    <s v="EARNED"/>
    <n v="3.63"/>
    <s v=""/>
    <d v="2026-04-28T19:06:45"/>
    <x v="6"/>
    <n v="3.63"/>
    <n v="0"/>
  </r>
  <r>
    <n v="1927"/>
    <n v="250"/>
    <n v="2"/>
    <n v="1797"/>
    <s v="EARNED"/>
    <n v="6.19"/>
    <s v=""/>
    <d v="2026-04-29T07:16:38"/>
    <x v="6"/>
    <n v="6.19"/>
    <n v="0"/>
  </r>
  <r>
    <n v="1928"/>
    <n v="117"/>
    <n v="2"/>
    <n v="1798"/>
    <s v="REDEEMED"/>
    <n v="63.06"/>
    <s v=""/>
    <d v="2026-04-29T07:30:00"/>
    <x v="6"/>
    <n v="0"/>
    <n v="63.06"/>
  </r>
  <r>
    <n v="1929"/>
    <n v="162"/>
    <n v="3"/>
    <n v="1799"/>
    <s v="EARNED"/>
    <n v="6.8"/>
    <s v=""/>
    <d v="2026-04-29T07:37:13"/>
    <x v="6"/>
    <n v="6.8"/>
    <n v="0"/>
  </r>
  <r>
    <n v="1930"/>
    <n v="249"/>
    <n v="5"/>
    <n v="1800"/>
    <s v="EARNED"/>
    <n v="9.69"/>
    <s v=""/>
    <d v="2026-04-29T08:42:54"/>
    <x v="6"/>
    <n v="9.69"/>
    <n v="0"/>
  </r>
  <r>
    <n v="1931"/>
    <n v="156"/>
    <n v="4"/>
    <n v="1801"/>
    <s v="EARNED"/>
    <n v="1.06"/>
    <s v=""/>
    <d v="2026-04-29T08:55:33"/>
    <x v="6"/>
    <n v="1.06"/>
    <n v="0"/>
  </r>
  <r>
    <n v="1932"/>
    <n v="156"/>
    <n v="5"/>
    <n v="1802"/>
    <s v="EARNED"/>
    <n v="1.57"/>
    <s v=""/>
    <d v="2026-04-29T12:11:21"/>
    <x v="6"/>
    <n v="1.57"/>
    <n v="0"/>
  </r>
  <r>
    <n v="1933"/>
    <n v="16"/>
    <n v="5"/>
    <n v="1803"/>
    <s v="EARNED"/>
    <n v="23.18"/>
    <s v=""/>
    <d v="2026-04-29T14:49:44"/>
    <x v="6"/>
    <n v="23.18"/>
    <n v="0"/>
  </r>
  <r>
    <n v="1934"/>
    <n v="166"/>
    <n v="4"/>
    <n v="1804"/>
    <s v="EARNED"/>
    <n v="7.17"/>
    <s v=""/>
    <d v="2026-04-29T17:49:08"/>
    <x v="6"/>
    <n v="7.17"/>
    <n v="0"/>
  </r>
  <r>
    <n v="1935"/>
    <n v="252"/>
    <n v="3"/>
    <n v="1805"/>
    <s v="EARNED"/>
    <n v="3.92"/>
    <s v=""/>
    <d v="2026-04-29T17:57:26"/>
    <x v="6"/>
    <n v="3.92"/>
    <n v="0"/>
  </r>
  <r>
    <n v="1936"/>
    <n v="217"/>
    <n v="2"/>
    <n v="1806"/>
    <s v="EARNED"/>
    <n v="3.1"/>
    <s v=""/>
    <d v="2026-04-29T19:44:24"/>
    <x v="6"/>
    <n v="3.1"/>
    <n v="0"/>
  </r>
  <r>
    <n v="1937"/>
    <n v="202"/>
    <n v="3"/>
    <n v="1789"/>
    <s v="ADJUSTMENT"/>
    <n v="-4.79"/>
    <s v="Reverso por cancelación de compra #1789: Cliente canceló la operación"/>
    <d v="2026-04-30T04:44:08"/>
    <x v="6"/>
    <n v="0"/>
    <n v="0"/>
  </r>
  <r>
    <n v="1938"/>
    <n v="110"/>
    <n v="4"/>
    <n v="1807"/>
    <s v="EARNED"/>
    <n v="3.59"/>
    <s v=""/>
    <d v="2026-04-30T09:28:14"/>
    <x v="6"/>
    <n v="3.59"/>
    <n v="0"/>
  </r>
  <r>
    <n v="1939"/>
    <n v="232"/>
    <n v="2"/>
    <n v="1808"/>
    <s v="EARNED"/>
    <n v="1.96"/>
    <s v=""/>
    <d v="2026-04-30T09:37:08"/>
    <x v="6"/>
    <n v="1.96"/>
    <n v="0"/>
  </r>
  <r>
    <n v="1940"/>
    <n v="44"/>
    <n v="4"/>
    <n v="1809"/>
    <s v="EARNED"/>
    <n v="4.1100000000000003"/>
    <s v=""/>
    <d v="2026-04-30T09:54:20"/>
    <x v="6"/>
    <n v="4.1100000000000003"/>
    <n v="0"/>
  </r>
  <r>
    <n v="1941"/>
    <n v="185"/>
    <n v="4"/>
    <n v="1810"/>
    <s v="EARNED"/>
    <n v="5.57"/>
    <s v=""/>
    <d v="2026-04-30T10:00:33"/>
    <x v="6"/>
    <n v="5.57"/>
    <n v="0"/>
  </r>
  <r>
    <n v="1942"/>
    <n v="91"/>
    <n v="4"/>
    <n v="1811"/>
    <s v="EARNED"/>
    <n v="2.25"/>
    <s v=""/>
    <d v="2026-04-30T11:31:32"/>
    <x v="6"/>
    <n v="2.25"/>
    <n v="0"/>
  </r>
  <r>
    <n v="1943"/>
    <n v="250"/>
    <n v="2"/>
    <n v="1812"/>
    <s v="EARNED"/>
    <n v="15.3"/>
    <s v=""/>
    <d v="2026-04-30T17:32:19"/>
    <x v="6"/>
    <n v="15.3"/>
    <n v="0"/>
  </r>
  <r>
    <n v="1944"/>
    <n v="156"/>
    <n v="4"/>
    <n v="1813"/>
    <s v="EARNED"/>
    <n v="3.51"/>
    <s v=""/>
    <d v="2026-04-30T18:37:12"/>
    <x v="6"/>
    <n v="3.51"/>
    <n v="0"/>
  </r>
  <r>
    <n v="1945"/>
    <n v="229"/>
    <n v="4"/>
    <n v="1814"/>
    <s v="EARNED"/>
    <n v="7.54"/>
    <s v=""/>
    <d v="2026-04-30T18:58:12"/>
    <x v="6"/>
    <n v="7.54"/>
    <n v="0"/>
  </r>
  <r>
    <n v="1946"/>
    <n v="149"/>
    <n v="4"/>
    <n v="1815"/>
    <s v="EARNED"/>
    <n v="2.4300000000000002"/>
    <s v=""/>
    <d v="2026-05-01T07:21:22"/>
    <x v="7"/>
    <n v="2.4300000000000002"/>
    <n v="0"/>
  </r>
  <r>
    <n v="1947"/>
    <n v="250"/>
    <n v="3"/>
    <n v="1816"/>
    <s v="EARNED"/>
    <n v="12.2"/>
    <s v=""/>
    <d v="2026-05-01T08:06:25"/>
    <x v="7"/>
    <n v="12.2"/>
    <n v="0"/>
  </r>
  <r>
    <n v="1948"/>
    <n v="105"/>
    <n v="2"/>
    <n v="1817"/>
    <s v="EARNED"/>
    <n v="11"/>
    <s v=""/>
    <d v="2026-05-01T08:26:31"/>
    <x v="7"/>
    <n v="11"/>
    <n v="0"/>
  </r>
  <r>
    <n v="1949"/>
    <n v="243"/>
    <n v="3"/>
    <n v="1818"/>
    <s v="EARNED"/>
    <n v="3.05"/>
    <s v=""/>
    <d v="2026-05-01T09:07:55"/>
    <x v="7"/>
    <n v="3.05"/>
    <n v="0"/>
  </r>
  <r>
    <n v="1950"/>
    <n v="179"/>
    <n v="5"/>
    <n v="1819"/>
    <s v="EARNED"/>
    <n v="17.73"/>
    <s v=""/>
    <d v="2026-05-01T09:59:25"/>
    <x v="7"/>
    <n v="17.73"/>
    <n v="0"/>
  </r>
  <r>
    <n v="1951"/>
    <n v="156"/>
    <n v="3"/>
    <n v="1820"/>
    <s v="EARNED"/>
    <n v="2.95"/>
    <s v=""/>
    <d v="2026-05-01T10:20:27"/>
    <x v="7"/>
    <n v="2.95"/>
    <n v="0"/>
  </r>
  <r>
    <n v="1952"/>
    <n v="137"/>
    <n v="5"/>
    <n v="1821"/>
    <s v="EARNED"/>
    <n v="2.69"/>
    <s v=""/>
    <d v="2026-05-01T10:56:24"/>
    <x v="7"/>
    <n v="2.69"/>
    <n v="0"/>
  </r>
  <r>
    <n v="1953"/>
    <n v="200"/>
    <n v="5"/>
    <n v="1822"/>
    <s v="EARNED"/>
    <n v="2.5499999999999998"/>
    <s v=""/>
    <d v="2026-05-01T11:06:03"/>
    <x v="7"/>
    <n v="2.5499999999999998"/>
    <n v="0"/>
  </r>
  <r>
    <n v="1954"/>
    <n v="301"/>
    <n v="3"/>
    <n v="1823"/>
    <s v="EARNED"/>
    <n v="8.85"/>
    <s v=""/>
    <d v="2026-05-01T11:09:20"/>
    <x v="7"/>
    <n v="8.85"/>
    <n v="0"/>
  </r>
  <r>
    <n v="1955"/>
    <n v="131"/>
    <n v="2"/>
    <n v="1824"/>
    <s v="EARNED"/>
    <n v="21.43"/>
    <s v=""/>
    <d v="2026-05-01T11:24:19"/>
    <x v="7"/>
    <n v="21.43"/>
    <n v="0"/>
  </r>
  <r>
    <n v="1956"/>
    <n v="190"/>
    <n v="3"/>
    <n v="1825"/>
    <s v="EARNED"/>
    <n v="16.89"/>
    <s v=""/>
    <d v="2026-05-01T11:45:04"/>
    <x v="7"/>
    <n v="16.89"/>
    <n v="0"/>
  </r>
  <r>
    <n v="1957"/>
    <n v="116"/>
    <n v="2"/>
    <n v="1826"/>
    <s v="EARNED"/>
    <n v="4.74"/>
    <s v=""/>
    <d v="2026-05-01T12:13:59"/>
    <x v="7"/>
    <n v="4.74"/>
    <n v="0"/>
  </r>
  <r>
    <n v="1958"/>
    <n v="178"/>
    <n v="4"/>
    <n v="1827"/>
    <s v="EARNED"/>
    <n v="20"/>
    <s v=""/>
    <d v="2026-05-01T12:26:14"/>
    <x v="7"/>
    <n v="20"/>
    <n v="0"/>
  </r>
  <r>
    <n v="1959"/>
    <n v="137"/>
    <n v="5"/>
    <n v="1828"/>
    <s v="EARNED"/>
    <n v="2.64"/>
    <s v=""/>
    <d v="2026-05-01T16:45:18"/>
    <x v="7"/>
    <n v="2.64"/>
    <n v="0"/>
  </r>
  <r>
    <n v="1960"/>
    <n v="80"/>
    <n v="5"/>
    <n v="1829"/>
    <s v="EARNED"/>
    <n v="1.7"/>
    <s v=""/>
    <d v="2026-05-02T08:04:27"/>
    <x v="7"/>
    <n v="1.7"/>
    <n v="0"/>
  </r>
  <r>
    <n v="1961"/>
    <n v="127"/>
    <n v="3"/>
    <n v="1830"/>
    <s v="EARNED"/>
    <n v="7.32"/>
    <s v=""/>
    <d v="2026-05-02T11:36:22"/>
    <x v="7"/>
    <n v="7.32"/>
    <n v="0"/>
  </r>
  <r>
    <n v="1962"/>
    <n v="179"/>
    <n v="4"/>
    <n v="1819"/>
    <s v="ADJUSTMENT"/>
    <n v="-17.73"/>
    <s v="Reverso por cancelación de compra #1819: Monto duplicado por error de sistema"/>
    <d v="2026-05-02T11:59:25"/>
    <x v="7"/>
    <n v="0"/>
    <n v="0"/>
  </r>
  <r>
    <n v="1963"/>
    <n v="186"/>
    <n v="5"/>
    <n v="1831"/>
    <s v="EARNED"/>
    <n v="10.45"/>
    <s v=""/>
    <d v="2026-05-02T12:26:40"/>
    <x v="7"/>
    <n v="10.45"/>
    <n v="0"/>
  </r>
  <r>
    <n v="1964"/>
    <n v="178"/>
    <n v="3"/>
    <n v="1832"/>
    <s v="EARNED"/>
    <n v="13.18"/>
    <s v=""/>
    <d v="2026-05-02T13:05:38"/>
    <x v="7"/>
    <n v="13.18"/>
    <n v="0"/>
  </r>
  <r>
    <n v="1965"/>
    <n v="57"/>
    <n v="4"/>
    <n v="1833"/>
    <s v="EARNED"/>
    <n v="14.36"/>
    <s v=""/>
    <d v="2026-05-02T13:05:47"/>
    <x v="7"/>
    <n v="14.36"/>
    <n v="0"/>
  </r>
  <r>
    <n v="1966"/>
    <n v="145"/>
    <n v="2"/>
    <n v="1834"/>
    <s v="EARNED"/>
    <n v="19.59"/>
    <s v=""/>
    <d v="2026-05-02T13:49:21"/>
    <x v="7"/>
    <n v="19.59"/>
    <n v="0"/>
  </r>
  <r>
    <n v="1967"/>
    <n v="136"/>
    <n v="2"/>
    <n v="1835"/>
    <s v="EARNED"/>
    <n v="4.25"/>
    <s v=""/>
    <d v="2026-05-02T15:15:17"/>
    <x v="7"/>
    <n v="4.25"/>
    <n v="0"/>
  </r>
  <r>
    <n v="1968"/>
    <n v="250"/>
    <n v="2"/>
    <n v="1836"/>
    <s v="EARNED"/>
    <n v="14.16"/>
    <s v=""/>
    <d v="2026-05-02T15:55:33"/>
    <x v="7"/>
    <n v="14.16"/>
    <n v="0"/>
  </r>
  <r>
    <n v="1969"/>
    <n v="250"/>
    <n v="5"/>
    <n v="1837"/>
    <s v="REDEEMED"/>
    <n v="68.67"/>
    <s v=""/>
    <d v="2026-05-02T19:43:59"/>
    <x v="7"/>
    <n v="0"/>
    <n v="68.67"/>
  </r>
  <r>
    <n v="1970"/>
    <n v="138"/>
    <n v="4"/>
    <n v="1838"/>
    <s v="EARNED"/>
    <n v="2.4"/>
    <s v=""/>
    <d v="2026-05-02T19:45:01"/>
    <x v="7"/>
    <n v="2.4"/>
    <n v="0"/>
  </r>
  <r>
    <n v="1971"/>
    <n v="259"/>
    <n v="5"/>
    <n v="1839"/>
    <s v="EARNED"/>
    <n v="2.96"/>
    <s v=""/>
    <d v="2026-05-03T08:56:48"/>
    <x v="7"/>
    <n v="2.96"/>
    <n v="0"/>
  </r>
  <r>
    <n v="1972"/>
    <n v="244"/>
    <n v="3"/>
    <n v="1840"/>
    <s v="EARNED"/>
    <n v="8.9700000000000006"/>
    <s v=""/>
    <d v="2026-05-03T11:39:08"/>
    <x v="7"/>
    <n v="8.9700000000000006"/>
    <n v="0"/>
  </r>
  <r>
    <n v="1973"/>
    <n v="136"/>
    <n v="4"/>
    <n v="1841"/>
    <s v="EARNED"/>
    <n v="9.86"/>
    <s v=""/>
    <d v="2026-05-03T12:55:24"/>
    <x v="7"/>
    <n v="9.86"/>
    <n v="0"/>
  </r>
  <r>
    <n v="1974"/>
    <n v="196"/>
    <n v="4"/>
    <n v="1842"/>
    <s v="EARNED"/>
    <n v="2.4300000000000002"/>
    <s v=""/>
    <d v="2026-05-03T16:33:47"/>
    <x v="7"/>
    <n v="2.4300000000000002"/>
    <n v="0"/>
  </r>
  <r>
    <n v="1975"/>
    <n v="218"/>
    <n v="4"/>
    <n v="1843"/>
    <s v="EARNED"/>
    <n v="3.56"/>
    <s v=""/>
    <d v="2026-05-03T18:20:56"/>
    <x v="7"/>
    <n v="3.56"/>
    <n v="0"/>
  </r>
  <r>
    <n v="1976"/>
    <n v="241"/>
    <n v="4"/>
    <n v="1844"/>
    <s v="EARNED"/>
    <n v="5.46"/>
    <s v=""/>
    <d v="2026-05-03T19:48:04"/>
    <x v="7"/>
    <n v="5.46"/>
    <n v="0"/>
  </r>
  <r>
    <n v="1977"/>
    <n v="262"/>
    <n v="2"/>
    <n v="1845"/>
    <s v="EARNED"/>
    <n v="11.19"/>
    <s v=""/>
    <d v="2026-05-04T07:08:12"/>
    <x v="7"/>
    <n v="11.19"/>
    <n v="0"/>
  </r>
  <r>
    <n v="1978"/>
    <n v="208"/>
    <n v="2"/>
    <n v="1846"/>
    <s v="EARNED"/>
    <n v="4.5"/>
    <s v=""/>
    <d v="2026-05-04T07:42:47"/>
    <x v="7"/>
    <n v="4.5"/>
    <n v="0"/>
  </r>
  <r>
    <n v="1979"/>
    <n v="40"/>
    <n v="4"/>
    <n v="1847"/>
    <s v="EARNED"/>
    <n v="7.4"/>
    <s v=""/>
    <d v="2026-05-04T10:28:03"/>
    <x v="7"/>
    <n v="7.4"/>
    <n v="0"/>
  </r>
  <r>
    <n v="1980"/>
    <n v="244"/>
    <n v="2"/>
    <n v="1848"/>
    <s v="EARNED"/>
    <n v="8.18"/>
    <s v=""/>
    <d v="2026-05-04T15:38:36"/>
    <x v="7"/>
    <n v="8.18"/>
    <n v="0"/>
  </r>
  <r>
    <n v="1981"/>
    <n v="250"/>
    <n v="4"/>
    <n v="1849"/>
    <s v="REDEEMED"/>
    <n v="99.44"/>
    <s v=""/>
    <d v="2026-05-04T16:39:01"/>
    <x v="7"/>
    <n v="0"/>
    <n v="99.44"/>
  </r>
  <r>
    <n v="1982"/>
    <n v="117"/>
    <n v="5"/>
    <n v="1850"/>
    <s v="EARNED"/>
    <n v="8.84"/>
    <s v=""/>
    <d v="2026-05-05T08:12:27"/>
    <x v="7"/>
    <n v="8.84"/>
    <n v="0"/>
  </r>
  <r>
    <n v="1983"/>
    <n v="88"/>
    <n v="4"/>
    <n v="1851"/>
    <s v="EARNED"/>
    <n v="4.6100000000000003"/>
    <s v=""/>
    <d v="2026-05-05T11:34:48"/>
    <x v="7"/>
    <n v="4.6100000000000003"/>
    <n v="0"/>
  </r>
  <r>
    <n v="1984"/>
    <n v="44"/>
    <n v="3"/>
    <n v="1852"/>
    <s v="EARNED"/>
    <n v="3.6"/>
    <s v=""/>
    <d v="2026-05-05T11:41:10"/>
    <x v="7"/>
    <n v="3.6"/>
    <n v="0"/>
  </r>
  <r>
    <n v="1985"/>
    <n v="234"/>
    <n v="3"/>
    <n v="1853"/>
    <s v="EARNED"/>
    <n v="18.54"/>
    <s v=""/>
    <d v="2026-05-05T12:00:16"/>
    <x v="7"/>
    <n v="18.54"/>
    <n v="0"/>
  </r>
  <r>
    <n v="1986"/>
    <n v="229"/>
    <n v="5"/>
    <n v="1854"/>
    <s v="EARNED"/>
    <n v="8.49"/>
    <s v=""/>
    <d v="2026-05-05T13:10:33"/>
    <x v="7"/>
    <n v="8.49"/>
    <n v="0"/>
  </r>
  <r>
    <n v="1987"/>
    <n v="53"/>
    <n v="2"/>
    <n v="1855"/>
    <s v="EARNED"/>
    <n v="2.95"/>
    <s v=""/>
    <d v="2026-05-05T16:21:45"/>
    <x v="7"/>
    <n v="2.95"/>
    <n v="0"/>
  </r>
  <r>
    <n v="1988"/>
    <n v="158"/>
    <n v="3"/>
    <n v="1856"/>
    <s v="EARNED"/>
    <n v="3.38"/>
    <s v=""/>
    <d v="2026-05-05T17:33:54"/>
    <x v="7"/>
    <n v="3.38"/>
    <n v="0"/>
  </r>
  <r>
    <n v="1989"/>
    <n v="229"/>
    <n v="5"/>
    <n v="1857"/>
    <s v="EARNED"/>
    <n v="10.15"/>
    <s v=""/>
    <d v="2026-05-06T14:44:27"/>
    <x v="7"/>
    <n v="10.15"/>
    <n v="0"/>
  </r>
  <r>
    <n v="1990"/>
    <n v="94"/>
    <n v="3"/>
    <n v="1858"/>
    <s v="EARNED"/>
    <n v="23.58"/>
    <s v=""/>
    <d v="2026-05-06T15:11:15"/>
    <x v="7"/>
    <n v="23.58"/>
    <n v="0"/>
  </r>
  <r>
    <n v="1991"/>
    <n v="250"/>
    <n v="5"/>
    <n v="1859"/>
    <s v="EARNED"/>
    <n v="2.5"/>
    <s v=""/>
    <d v="2026-05-07T07:38:42"/>
    <x v="7"/>
    <n v="2.5"/>
    <n v="0"/>
  </r>
  <r>
    <n v="1992"/>
    <n v="234"/>
    <n v="4"/>
    <n v="1860"/>
    <s v="EARNED"/>
    <n v="11.73"/>
    <s v=""/>
    <d v="2026-05-07T09:11:52"/>
    <x v="7"/>
    <n v="11.73"/>
    <n v="0"/>
  </r>
  <r>
    <n v="1993"/>
    <n v="64"/>
    <n v="2"/>
    <n v="1861"/>
    <s v="EARNED"/>
    <n v="3.52"/>
    <s v=""/>
    <d v="2026-05-07T10:32:35"/>
    <x v="7"/>
    <n v="3.52"/>
    <n v="0"/>
  </r>
  <r>
    <n v="1994"/>
    <n v="136"/>
    <n v="4"/>
    <n v="1862"/>
    <s v="EARNED"/>
    <n v="7.43"/>
    <s v=""/>
    <d v="2026-05-07T13:05:36"/>
    <x v="7"/>
    <n v="7.43"/>
    <n v="0"/>
  </r>
  <r>
    <n v="1995"/>
    <n v="21"/>
    <n v="5"/>
    <n v="1863"/>
    <s v="EARNED"/>
    <n v="2.14"/>
    <s v=""/>
    <d v="2026-05-07T13:52:13"/>
    <x v="7"/>
    <n v="2.14"/>
    <n v="0"/>
  </r>
  <r>
    <n v="1996"/>
    <n v="229"/>
    <n v="4"/>
    <n v="1864"/>
    <s v="EARNED"/>
    <n v="8.35"/>
    <s v=""/>
    <d v="2026-05-07T16:37:02"/>
    <x v="7"/>
    <n v="8.35"/>
    <n v="0"/>
  </r>
  <r>
    <n v="1997"/>
    <n v="187"/>
    <n v="5"/>
    <n v="1865"/>
    <s v="EARNED"/>
    <n v="2.48"/>
    <s v=""/>
    <d v="2026-05-07T18:40:39"/>
    <x v="7"/>
    <n v="2.48"/>
    <n v="0"/>
  </r>
  <r>
    <n v="1998"/>
    <n v="221"/>
    <n v="5"/>
    <n v="1866"/>
    <s v="EARNED"/>
    <n v="10.78"/>
    <s v=""/>
    <d v="2026-05-08T09:59:27"/>
    <x v="7"/>
    <n v="10.78"/>
    <n v="0"/>
  </r>
  <r>
    <n v="1999"/>
    <n v="137"/>
    <n v="4"/>
    <n v="1867"/>
    <s v="REDEEMED"/>
    <n v="46.16"/>
    <s v=""/>
    <d v="2026-05-08T11:29:27"/>
    <x v="7"/>
    <n v="0"/>
    <n v="46.16"/>
  </r>
  <r>
    <n v="2000"/>
    <n v="250"/>
    <n v="4"/>
    <n v="1868"/>
    <s v="EARNED"/>
    <n v="8.7899999999999991"/>
    <s v=""/>
    <d v="2026-05-08T16:55:28"/>
    <x v="7"/>
    <n v="8.7899999999999991"/>
    <n v="0"/>
  </r>
  <r>
    <n v="2001"/>
    <n v="47"/>
    <n v="2"/>
    <n v="1869"/>
    <s v="EARNED"/>
    <n v="3.5"/>
    <s v=""/>
    <d v="2026-05-09T09:04:00"/>
    <x v="7"/>
    <n v="3.5"/>
    <n v="0"/>
  </r>
  <r>
    <n v="2002"/>
    <n v="47"/>
    <n v="4"/>
    <n v="1870"/>
    <s v="EARNED"/>
    <n v="3.27"/>
    <s v=""/>
    <d v="2026-05-09T09:15:36"/>
    <x v="7"/>
    <n v="3.27"/>
    <n v="0"/>
  </r>
  <r>
    <n v="2003"/>
    <n v="137"/>
    <n v="3"/>
    <n v="1871"/>
    <s v="EARNED"/>
    <n v="4.57"/>
    <s v=""/>
    <d v="2026-05-09T09:47:35"/>
    <x v="7"/>
    <n v="4.57"/>
    <n v="0"/>
  </r>
  <r>
    <n v="2004"/>
    <n v="89"/>
    <n v="2"/>
    <n v="1872"/>
    <s v="EARNED"/>
    <n v="14.39"/>
    <s v=""/>
    <d v="2026-05-09T10:56:06"/>
    <x v="7"/>
    <n v="14.39"/>
    <n v="0"/>
  </r>
  <r>
    <n v="2005"/>
    <n v="65"/>
    <n v="5"/>
    <n v="1873"/>
    <s v="EARNED"/>
    <n v="3.28"/>
    <s v=""/>
    <d v="2026-05-09T12:06:01"/>
    <x v="7"/>
    <n v="3.28"/>
    <n v="0"/>
  </r>
  <r>
    <n v="2006"/>
    <n v="39"/>
    <n v="5"/>
    <n v="1874"/>
    <s v="EARNED"/>
    <n v="30"/>
    <s v=""/>
    <d v="2026-05-09T14:03:42"/>
    <x v="7"/>
    <n v="30"/>
    <n v="0"/>
  </r>
  <r>
    <n v="2007"/>
    <n v="201"/>
    <n v="2"/>
    <n v="1875"/>
    <s v="EARNED"/>
    <n v="3.37"/>
    <s v=""/>
    <d v="2026-05-09T14:04:22"/>
    <x v="7"/>
    <n v="3.37"/>
    <n v="0"/>
  </r>
  <r>
    <n v="2008"/>
    <n v="262"/>
    <n v="3"/>
    <n v="1876"/>
    <s v="EARNED"/>
    <n v="8.99"/>
    <s v=""/>
    <d v="2026-05-09T14:05:03"/>
    <x v="7"/>
    <n v="8.99"/>
    <n v="0"/>
  </r>
  <r>
    <n v="2009"/>
    <n v="252"/>
    <n v="2"/>
    <n v="1877"/>
    <s v="EARNED"/>
    <n v="2.92"/>
    <s v=""/>
    <d v="2026-05-09T14:24:14"/>
    <x v="7"/>
    <n v="2.92"/>
    <n v="0"/>
  </r>
  <r>
    <n v="2010"/>
    <n v="232"/>
    <n v="2"/>
    <n v="1878"/>
    <s v="EARNED"/>
    <n v="2.82"/>
    <s v=""/>
    <d v="2026-05-09T15:23:01"/>
    <x v="7"/>
    <n v="2.82"/>
    <n v="0"/>
  </r>
  <r>
    <n v="2011"/>
    <n v="39"/>
    <n v="2"/>
    <n v="1879"/>
    <s v="EARNED"/>
    <n v="17.32"/>
    <s v=""/>
    <d v="2026-05-09T15:58:09"/>
    <x v="7"/>
    <n v="17.32"/>
    <n v="0"/>
  </r>
  <r>
    <n v="2012"/>
    <n v="40"/>
    <n v="4"/>
    <n v="1880"/>
    <s v="EARNED"/>
    <n v="9.9499999999999993"/>
    <s v=""/>
    <d v="2026-05-09T17:36:05"/>
    <x v="7"/>
    <n v="9.9499999999999993"/>
    <n v="0"/>
  </r>
  <r>
    <n v="2013"/>
    <n v="250"/>
    <n v="4"/>
    <n v="1881"/>
    <s v="EARNED"/>
    <n v="7.81"/>
    <s v=""/>
    <d v="2026-05-09T19:52:01"/>
    <x v="7"/>
    <n v="7.81"/>
    <n v="0"/>
  </r>
  <r>
    <n v="2014"/>
    <n v="39"/>
    <n v="4"/>
    <n v="1882"/>
    <s v="EARNED"/>
    <n v="22.3"/>
    <s v=""/>
    <d v="2026-05-10T09:03:12"/>
    <x v="7"/>
    <n v="22.3"/>
    <n v="0"/>
  </r>
  <r>
    <n v="2015"/>
    <n v="273"/>
    <n v="5"/>
    <n v="1883"/>
    <s v="EARNED"/>
    <n v="2.71"/>
    <s v=""/>
    <d v="2026-05-10T11:40:23"/>
    <x v="7"/>
    <n v="2.71"/>
    <n v="0"/>
  </r>
  <r>
    <n v="2016"/>
    <n v="197"/>
    <n v="5"/>
    <n v="1884"/>
    <s v="EARNED"/>
    <n v="8.89"/>
    <s v=""/>
    <d v="2026-05-10T15:00:55"/>
    <x v="7"/>
    <n v="8.89"/>
    <n v="0"/>
  </r>
  <r>
    <n v="2017"/>
    <n v="39"/>
    <n v="5"/>
    <n v="1885"/>
    <s v="EARNED"/>
    <n v="11.15"/>
    <s v=""/>
    <d v="2026-05-11T07:00:50"/>
    <x v="7"/>
    <n v="11.15"/>
    <n v="0"/>
  </r>
  <r>
    <n v="2018"/>
    <n v="21"/>
    <n v="3"/>
    <n v="1886"/>
    <s v="REDEEMED"/>
    <n v="23.43"/>
    <s v=""/>
    <d v="2026-05-11T08:06:47"/>
    <x v="7"/>
    <n v="0"/>
    <n v="23.43"/>
  </r>
  <r>
    <n v="2019"/>
    <n v="39"/>
    <n v="2"/>
    <n v="1887"/>
    <s v="EARNED"/>
    <n v="13.13"/>
    <s v=""/>
    <d v="2026-05-11T08:52:02"/>
    <x v="7"/>
    <n v="13.13"/>
    <n v="0"/>
  </r>
  <r>
    <n v="2020"/>
    <n v="39"/>
    <n v="4"/>
    <n v="1888"/>
    <s v="EARNED"/>
    <n v="10.37"/>
    <s v=""/>
    <d v="2026-05-11T11:50:07"/>
    <x v="7"/>
    <n v="10.37"/>
    <n v="0"/>
  </r>
  <r>
    <n v="2021"/>
    <n v="144"/>
    <n v="5"/>
    <n v="1889"/>
    <s v="EARNED"/>
    <n v="5.77"/>
    <s v=""/>
    <d v="2026-05-11T12:06:30"/>
    <x v="7"/>
    <n v="5.77"/>
    <n v="0"/>
  </r>
  <r>
    <n v="2022"/>
    <n v="22"/>
    <n v="2"/>
    <n v="1890"/>
    <s v="EARNED"/>
    <n v="13.73"/>
    <s v=""/>
    <d v="2026-05-11T12:32:23"/>
    <x v="7"/>
    <n v="13.73"/>
    <n v="0"/>
  </r>
  <r>
    <n v="2023"/>
    <n v="156"/>
    <n v="2"/>
    <n v="1891"/>
    <s v="EARNED"/>
    <n v="3.43"/>
    <s v=""/>
    <d v="2026-05-11T13:11:36"/>
    <x v="7"/>
    <n v="3.43"/>
    <n v="0"/>
  </r>
  <r>
    <n v="2024"/>
    <n v="229"/>
    <n v="4"/>
    <n v="1892"/>
    <s v="EARNED"/>
    <n v="9.4499999999999993"/>
    <s v=""/>
    <d v="2026-05-11T13:26:27"/>
    <x v="7"/>
    <n v="9.4499999999999993"/>
    <n v="0"/>
  </r>
  <r>
    <n v="2025"/>
    <n v="39"/>
    <n v="4"/>
    <n v="1893"/>
    <s v="EARNED"/>
    <n v="10.98"/>
    <s v=""/>
    <d v="2026-05-11T15:37:55"/>
    <x v="7"/>
    <n v="10.98"/>
    <n v="0"/>
  </r>
  <r>
    <n v="2026"/>
    <n v="178"/>
    <n v="4"/>
    <n v="1894"/>
    <s v="EARNED"/>
    <n v="30"/>
    <s v=""/>
    <d v="2026-05-11T15:38:36"/>
    <x v="7"/>
    <n v="30"/>
    <n v="0"/>
  </r>
  <r>
    <n v="2027"/>
    <n v="7"/>
    <n v="5"/>
    <n v="1895"/>
    <s v="REDEEMED"/>
    <n v="80.09"/>
    <s v=""/>
    <d v="2026-05-11T16:22:26"/>
    <x v="7"/>
    <n v="0"/>
    <n v="80.09"/>
  </r>
  <r>
    <n v="2028"/>
    <n v="281"/>
    <n v="3"/>
    <n v="1896"/>
    <s v="EARNED"/>
    <n v="13.71"/>
    <s v=""/>
    <d v="2026-05-11T19:00:09"/>
    <x v="7"/>
    <n v="13.71"/>
    <n v="0"/>
  </r>
  <r>
    <n v="2029"/>
    <n v="293"/>
    <n v="3"/>
    <n v="1897"/>
    <s v="EARNED"/>
    <n v="3.66"/>
    <s v=""/>
    <d v="2026-05-12T08:32:21"/>
    <x v="7"/>
    <n v="3.66"/>
    <n v="0"/>
  </r>
  <r>
    <n v="2030"/>
    <n v="65"/>
    <n v="3"/>
    <n v="1898"/>
    <s v="EARNED"/>
    <n v="4.3099999999999996"/>
    <s v=""/>
    <d v="2026-05-12T08:35:10"/>
    <x v="7"/>
    <n v="4.3099999999999996"/>
    <n v="0"/>
  </r>
  <r>
    <n v="2031"/>
    <n v="91"/>
    <n v="4"/>
    <n v="1899"/>
    <s v="EARNED"/>
    <n v="3.34"/>
    <s v=""/>
    <d v="2026-05-12T09:17:59"/>
    <x v="7"/>
    <n v="3.34"/>
    <n v="0"/>
  </r>
  <r>
    <n v="2032"/>
    <n v="137"/>
    <n v="3"/>
    <n v="1900"/>
    <s v="EARNED"/>
    <n v="1.98"/>
    <s v=""/>
    <d v="2026-05-12T09:42:27"/>
    <x v="7"/>
    <n v="1.98"/>
    <n v="0"/>
  </r>
  <r>
    <n v="2033"/>
    <n v="250"/>
    <n v="2"/>
    <n v="1901"/>
    <s v="EARNED"/>
    <n v="9.66"/>
    <s v=""/>
    <d v="2026-05-12T09:43:27"/>
    <x v="7"/>
    <n v="9.66"/>
    <n v="0"/>
  </r>
  <r>
    <n v="2034"/>
    <n v="229"/>
    <n v="4"/>
    <n v="1902"/>
    <s v="EARNED"/>
    <n v="5.68"/>
    <s v=""/>
    <d v="2026-05-12T13:49:04"/>
    <x v="7"/>
    <n v="5.68"/>
    <n v="0"/>
  </r>
  <r>
    <n v="2035"/>
    <n v="202"/>
    <n v="2"/>
    <n v="1903"/>
    <s v="EARNED"/>
    <n v="3.42"/>
    <s v=""/>
    <d v="2026-05-12T16:19:35"/>
    <x v="7"/>
    <n v="3.42"/>
    <n v="0"/>
  </r>
  <r>
    <n v="2036"/>
    <n v="16"/>
    <n v="2"/>
    <n v="1904"/>
    <s v="EARNED"/>
    <n v="20.82"/>
    <s v=""/>
    <d v="2026-05-13T08:10:56"/>
    <x v="7"/>
    <n v="20.82"/>
    <n v="0"/>
  </r>
  <r>
    <n v="2037"/>
    <n v="34"/>
    <n v="4"/>
    <n v="1905"/>
    <s v="EARNED"/>
    <n v="25.89"/>
    <s v=""/>
    <d v="2026-05-13T09:07:28"/>
    <x v="7"/>
    <n v="25.89"/>
    <n v="0"/>
  </r>
  <r>
    <n v="2038"/>
    <n v="150"/>
    <n v="2"/>
    <n v="1906"/>
    <s v="EARNED"/>
    <n v="5.46"/>
    <s v=""/>
    <d v="2026-05-13T09:21:27"/>
    <x v="7"/>
    <n v="5.46"/>
    <n v="0"/>
  </r>
  <r>
    <n v="2039"/>
    <n v="185"/>
    <n v="4"/>
    <n v="1907"/>
    <s v="EARNED"/>
    <n v="10.42"/>
    <s v=""/>
    <d v="2026-05-13T10:47:16"/>
    <x v="7"/>
    <n v="10.42"/>
    <n v="0"/>
  </r>
  <r>
    <n v="2040"/>
    <n v="104"/>
    <n v="2"/>
    <n v="1908"/>
    <s v="EARNED"/>
    <n v="16.7"/>
    <s v=""/>
    <d v="2026-05-13T12:28:43"/>
    <x v="7"/>
    <n v="16.7"/>
    <n v="0"/>
  </r>
  <r>
    <n v="2041"/>
    <n v="104"/>
    <n v="5"/>
    <n v="1908"/>
    <s v="ADJUSTMENT"/>
    <n v="-16.7"/>
    <s v="Reverso por cancelación de compra #1908: Solicitud del cliente"/>
    <d v="2026-05-13T13:28:43"/>
    <x v="7"/>
    <n v="0"/>
    <n v="0"/>
  </r>
  <r>
    <n v="2042"/>
    <n v="158"/>
    <n v="4"/>
    <n v="1909"/>
    <s v="EARNED"/>
    <n v="2.89"/>
    <s v=""/>
    <d v="2026-05-13T14:03:19"/>
    <x v="7"/>
    <n v="2.89"/>
    <n v="0"/>
  </r>
  <r>
    <n v="2043"/>
    <n v="162"/>
    <n v="2"/>
    <n v="1910"/>
    <s v="EARNED"/>
    <n v="8.75"/>
    <s v=""/>
    <d v="2026-05-13T15:32:34"/>
    <x v="7"/>
    <n v="8.75"/>
    <n v="0"/>
  </r>
  <r>
    <n v="2044"/>
    <n v="117"/>
    <n v="5"/>
    <n v="1911"/>
    <s v="REDEEMED"/>
    <n v="70.930000000000007"/>
    <s v=""/>
    <d v="2026-05-13T17:51:47"/>
    <x v="7"/>
    <n v="0"/>
    <n v="70.930000000000007"/>
  </r>
  <r>
    <n v="2045"/>
    <n v="243"/>
    <n v="5"/>
    <n v="1912"/>
    <s v="EARNED"/>
    <n v="3.34"/>
    <s v=""/>
    <d v="2026-05-14T08:19:26"/>
    <x v="7"/>
    <n v="3.34"/>
    <n v="0"/>
  </r>
  <r>
    <n v="2046"/>
    <n v="17"/>
    <n v="3"/>
    <n v="1913"/>
    <s v="EARNED"/>
    <n v="10.9"/>
    <s v=""/>
    <d v="2026-05-14T09:08:25"/>
    <x v="7"/>
    <n v="10.9"/>
    <n v="0"/>
  </r>
  <r>
    <n v="2047"/>
    <n v="17"/>
    <n v="5"/>
    <n v="1914"/>
    <s v="EARNED"/>
    <n v="6.72"/>
    <s v=""/>
    <d v="2026-05-14T14:22:46"/>
    <x v="7"/>
    <n v="6.72"/>
    <n v="0"/>
  </r>
  <r>
    <n v="2048"/>
    <n v="235"/>
    <n v="2"/>
    <n v="1915"/>
    <s v="EARNED"/>
    <n v="2.75"/>
    <s v=""/>
    <d v="2026-05-14T14:53:59"/>
    <x v="7"/>
    <n v="2.75"/>
    <n v="0"/>
  </r>
  <r>
    <n v="2049"/>
    <n v="158"/>
    <n v="5"/>
    <n v="1909"/>
    <s v="ADJUSTMENT"/>
    <n v="-2.89"/>
    <s v="Reverso por cancelación de compra #1909: Solicitud del cliente"/>
    <d v="2026-05-14T17:03:19"/>
    <x v="7"/>
    <n v="0"/>
    <n v="0"/>
  </r>
  <r>
    <n v="2050"/>
    <n v="162"/>
    <n v="5"/>
    <n v="1910"/>
    <s v="ADJUSTMENT"/>
    <n v="-8.75"/>
    <s v="Reverso por cancelación de compra #1910: Error de captura"/>
    <d v="2026-05-14T18:32:34"/>
    <x v="7"/>
    <n v="0"/>
    <n v="0"/>
  </r>
  <r>
    <n v="2051"/>
    <n v="156"/>
    <n v="2"/>
    <n v="1916"/>
    <s v="EARNED"/>
    <n v="1.39"/>
    <s v=""/>
    <d v="2026-05-15T08:17:36"/>
    <x v="7"/>
    <n v="1.39"/>
    <n v="0"/>
  </r>
  <r>
    <n v="2052"/>
    <n v="245"/>
    <n v="5"/>
    <n v="1917"/>
    <s v="REDEEMED"/>
    <n v="33.590000000000003"/>
    <s v=""/>
    <d v="2026-05-15T08:55:37"/>
    <x v="7"/>
    <n v="0"/>
    <n v="33.590000000000003"/>
  </r>
  <r>
    <n v="2053"/>
    <n v="297"/>
    <n v="2"/>
    <n v="1918"/>
    <s v="EARNED"/>
    <n v="12.75"/>
    <s v=""/>
    <d v="2026-05-15T08:56:00"/>
    <x v="7"/>
    <n v="12.75"/>
    <n v="0"/>
  </r>
  <r>
    <n v="2054"/>
    <n v="14"/>
    <n v="2"/>
    <n v="1919"/>
    <s v="EARNED"/>
    <n v="3.77"/>
    <s v=""/>
    <d v="2026-05-15T11:11:56"/>
    <x v="7"/>
    <n v="3.77"/>
    <n v="0"/>
  </r>
  <r>
    <n v="2055"/>
    <n v="156"/>
    <n v="3"/>
    <n v="1920"/>
    <s v="REDEEMED"/>
    <n v="32.799999999999997"/>
    <s v=""/>
    <d v="2026-05-15T12:42:22"/>
    <x v="7"/>
    <n v="0"/>
    <n v="32.799999999999997"/>
  </r>
  <r>
    <n v="2056"/>
    <n v="294"/>
    <n v="2"/>
    <n v="1921"/>
    <s v="EARNED"/>
    <n v="2.12"/>
    <s v=""/>
    <d v="2026-05-15T17:24:32"/>
    <x v="7"/>
    <n v="2.12"/>
    <n v="0"/>
  </r>
  <r>
    <n v="2057"/>
    <n v="39"/>
    <n v="4"/>
    <n v="1922"/>
    <s v="REDEEMED"/>
    <n v="283.45"/>
    <s v=""/>
    <d v="2026-05-15T19:30:54"/>
    <x v="7"/>
    <n v="0"/>
    <n v="283.45"/>
  </r>
  <r>
    <n v="2058"/>
    <n v="27"/>
    <n v="5"/>
    <n v="1923"/>
    <s v="EARNED"/>
    <n v="17.98"/>
    <s v=""/>
    <d v="2026-05-16T08:33:42"/>
    <x v="7"/>
    <n v="17.98"/>
    <n v="0"/>
  </r>
  <r>
    <n v="2059"/>
    <n v="96"/>
    <n v="5"/>
    <n v="1924"/>
    <s v="EARNED"/>
    <n v="16.12"/>
    <s v=""/>
    <d v="2026-05-16T09:12:12"/>
    <x v="7"/>
    <n v="16.12"/>
    <n v="0"/>
  </r>
  <r>
    <n v="2060"/>
    <n v="39"/>
    <n v="3"/>
    <n v="1925"/>
    <s v="EARNED"/>
    <n v="20.12"/>
    <s v=""/>
    <d v="2026-05-16T09:37:09"/>
    <x v="7"/>
    <n v="20.12"/>
    <n v="0"/>
  </r>
  <r>
    <n v="2061"/>
    <n v="297"/>
    <n v="2"/>
    <n v="1926"/>
    <s v="EARNED"/>
    <n v="5.28"/>
    <s v=""/>
    <d v="2026-05-16T09:37:45"/>
    <x v="7"/>
    <n v="5.28"/>
    <n v="0"/>
  </r>
  <r>
    <n v="2062"/>
    <n v="91"/>
    <n v="2"/>
    <n v="1927"/>
    <s v="EARNED"/>
    <n v="2.95"/>
    <s v=""/>
    <d v="2026-05-16T10:21:49"/>
    <x v="7"/>
    <n v="2.95"/>
    <n v="0"/>
  </r>
  <r>
    <n v="2063"/>
    <n v="218"/>
    <n v="4"/>
    <n v="1928"/>
    <s v="EARNED"/>
    <n v="3.67"/>
    <s v=""/>
    <d v="2026-05-16T10:23:08"/>
    <x v="7"/>
    <n v="3.67"/>
    <n v="0"/>
  </r>
  <r>
    <n v="2064"/>
    <n v="84"/>
    <n v="3"/>
    <n v="1929"/>
    <s v="EARNED"/>
    <n v="13.07"/>
    <s v=""/>
    <d v="2026-05-16T10:42:53"/>
    <x v="7"/>
    <n v="13.07"/>
    <n v="0"/>
  </r>
  <r>
    <n v="2065"/>
    <n v="149"/>
    <n v="5"/>
    <n v="1930"/>
    <s v="EARNED"/>
    <n v="3.12"/>
    <s v=""/>
    <d v="2026-05-16T11:25:17"/>
    <x v="7"/>
    <n v="3.12"/>
    <n v="0"/>
  </r>
  <r>
    <n v="2066"/>
    <n v="294"/>
    <n v="5"/>
    <n v="1931"/>
    <s v="EARNED"/>
    <n v="1.84"/>
    <s v=""/>
    <d v="2026-05-16T17:03:40"/>
    <x v="7"/>
    <n v="1.84"/>
    <n v="0"/>
  </r>
  <r>
    <n v="2067"/>
    <n v="250"/>
    <n v="4"/>
    <n v="1932"/>
    <s v="EARNED"/>
    <n v="6.08"/>
    <s v=""/>
    <d v="2026-05-17T11:09:35"/>
    <x v="7"/>
    <n v="6.08"/>
    <n v="0"/>
  </r>
  <r>
    <n v="2068"/>
    <n v="136"/>
    <n v="4"/>
    <n v="1933"/>
    <s v="EARNED"/>
    <n v="5.69"/>
    <s v=""/>
    <d v="2026-05-17T11:23:56"/>
    <x v="7"/>
    <n v="5.69"/>
    <n v="0"/>
  </r>
  <r>
    <n v="2069"/>
    <n v="294"/>
    <n v="5"/>
    <n v="1931"/>
    <s v="ADJUSTMENT"/>
    <n v="-1.84"/>
    <s v="Reverso por cancelación de compra #1931: Error de captura"/>
    <d v="2026-05-17T20:03:40"/>
    <x v="7"/>
    <n v="0"/>
    <n v="0"/>
  </r>
  <r>
    <n v="2070"/>
    <n v="182"/>
    <n v="4"/>
    <n v="1934"/>
    <s v="EARNED"/>
    <n v="6.27"/>
    <s v=""/>
    <d v="2026-05-18T08:39:34"/>
    <x v="7"/>
    <n v="6.27"/>
    <n v="0"/>
  </r>
  <r>
    <n v="2071"/>
    <n v="39"/>
    <n v="5"/>
    <n v="1935"/>
    <s v="EARNED"/>
    <n v="23.48"/>
    <s v=""/>
    <d v="2026-05-18T09:09:30"/>
    <x v="7"/>
    <n v="23.48"/>
    <n v="0"/>
  </r>
  <r>
    <n v="2072"/>
    <n v="250"/>
    <n v="2"/>
    <n v="1936"/>
    <s v="EARNED"/>
    <n v="13.09"/>
    <s v=""/>
    <d v="2026-05-18T09:54:30"/>
    <x v="7"/>
    <n v="13.09"/>
    <n v="0"/>
  </r>
  <r>
    <n v="2073"/>
    <n v="250"/>
    <n v="3"/>
    <n v="1937"/>
    <s v="EARNED"/>
    <n v="17.27"/>
    <s v=""/>
    <d v="2026-05-18T10:04:01"/>
    <x v="7"/>
    <n v="17.27"/>
    <n v="0"/>
  </r>
  <r>
    <n v="2074"/>
    <n v="243"/>
    <n v="3"/>
    <n v="1938"/>
    <s v="EARNED"/>
    <n v="2.4"/>
    <s v=""/>
    <d v="2026-05-18T10:08:28"/>
    <x v="7"/>
    <n v="2.4"/>
    <n v="0"/>
  </r>
  <r>
    <n v="2075"/>
    <n v="281"/>
    <n v="5"/>
    <n v="1939"/>
    <s v="EARNED"/>
    <n v="11.97"/>
    <s v=""/>
    <d v="2026-05-18T10:27:46"/>
    <x v="7"/>
    <n v="11.97"/>
    <n v="0"/>
  </r>
  <r>
    <n v="2076"/>
    <n v="230"/>
    <n v="4"/>
    <n v="1940"/>
    <s v="EARNED"/>
    <n v="23.1"/>
    <s v=""/>
    <d v="2026-05-18T11:45:47"/>
    <x v="7"/>
    <n v="23.1"/>
    <n v="0"/>
  </r>
  <r>
    <n v="2077"/>
    <n v="149"/>
    <n v="5"/>
    <n v="1941"/>
    <s v="EARNED"/>
    <n v="3.57"/>
    <s v=""/>
    <d v="2026-05-18T12:18:16"/>
    <x v="7"/>
    <n v="3.57"/>
    <n v="0"/>
  </r>
  <r>
    <n v="2078"/>
    <n v="190"/>
    <n v="4"/>
    <n v="1942"/>
    <s v="EARNED"/>
    <n v="11.22"/>
    <s v=""/>
    <d v="2026-05-18T15:06:31"/>
    <x v="7"/>
    <n v="11.22"/>
    <n v="0"/>
  </r>
  <r>
    <n v="2079"/>
    <n v="277"/>
    <n v="2"/>
    <n v="1943"/>
    <s v="EARNED"/>
    <n v="7.82"/>
    <s v=""/>
    <d v="2026-05-18T16:25:00"/>
    <x v="7"/>
    <n v="7.82"/>
    <n v="0"/>
  </r>
  <r>
    <n v="2080"/>
    <n v="185"/>
    <n v="4"/>
    <n v="1944"/>
    <s v="EARNED"/>
    <n v="12.83"/>
    <s v=""/>
    <d v="2026-05-18T18:25:45"/>
    <x v="7"/>
    <n v="12.83"/>
    <n v="0"/>
  </r>
  <r>
    <n v="2081"/>
    <n v="16"/>
    <n v="5"/>
    <n v="1945"/>
    <s v="EARNED"/>
    <n v="30"/>
    <s v=""/>
    <d v="2026-05-18T19:22:25"/>
    <x v="7"/>
    <n v="30"/>
    <n v="0"/>
  </r>
  <r>
    <n v="2082"/>
    <n v="250"/>
    <n v="4"/>
    <n v="1946"/>
    <s v="EARNED"/>
    <n v="5.13"/>
    <s v=""/>
    <d v="2026-05-19T11:12:15"/>
    <x v="7"/>
    <n v="5.13"/>
    <n v="0"/>
  </r>
  <r>
    <n v="2083"/>
    <n v="39"/>
    <n v="5"/>
    <n v="1947"/>
    <s v="EARNED"/>
    <n v="12.79"/>
    <s v=""/>
    <d v="2026-05-19T14:19:43"/>
    <x v="7"/>
    <n v="12.79"/>
    <n v="0"/>
  </r>
  <r>
    <n v="2084"/>
    <n v="189"/>
    <n v="4"/>
    <n v="1948"/>
    <s v="EARNED"/>
    <n v="4.67"/>
    <s v=""/>
    <d v="2026-05-19T16:10:15"/>
    <x v="7"/>
    <n v="4.67"/>
    <n v="0"/>
  </r>
  <r>
    <n v="2085"/>
    <n v="231"/>
    <n v="2"/>
    <n v="1949"/>
    <s v="EARNED"/>
    <n v="13.15"/>
    <s v=""/>
    <d v="2026-05-19T18:02:53"/>
    <x v="7"/>
    <n v="13.15"/>
    <n v="0"/>
  </r>
  <r>
    <n v="2086"/>
    <n v="47"/>
    <n v="5"/>
    <n v="1950"/>
    <s v="EARNED"/>
    <n v="1.75"/>
    <s v=""/>
    <d v="2026-05-19T18:47:43"/>
    <x v="7"/>
    <n v="1.75"/>
    <n v="0"/>
  </r>
  <r>
    <n v="2087"/>
    <n v="253"/>
    <n v="5"/>
    <n v="1951"/>
    <s v="EARNED"/>
    <n v="2.82"/>
    <s v=""/>
    <d v="2026-05-20T07:40:03"/>
    <x v="7"/>
    <n v="2.82"/>
    <n v="0"/>
  </r>
  <r>
    <n v="2088"/>
    <n v="82"/>
    <n v="5"/>
    <n v="1952"/>
    <s v="EARNED"/>
    <n v="4.43"/>
    <s v=""/>
    <d v="2026-05-20T09:00:18"/>
    <x v="7"/>
    <n v="4.43"/>
    <n v="0"/>
  </r>
  <r>
    <n v="2089"/>
    <n v="149"/>
    <n v="5"/>
    <n v="1953"/>
    <s v="EARNED"/>
    <n v="2.93"/>
    <s v=""/>
    <d v="2026-05-20T09:24:31"/>
    <x v="7"/>
    <n v="2.93"/>
    <n v="0"/>
  </r>
  <r>
    <n v="2090"/>
    <n v="292"/>
    <n v="5"/>
    <n v="1954"/>
    <s v="EARNED"/>
    <n v="1.87"/>
    <s v=""/>
    <d v="2026-05-20T11:53:00"/>
    <x v="7"/>
    <n v="1.87"/>
    <n v="0"/>
  </r>
  <r>
    <n v="2091"/>
    <n v="27"/>
    <n v="3"/>
    <n v="1955"/>
    <s v="EARNED"/>
    <n v="9.59"/>
    <s v=""/>
    <d v="2026-05-20T14:58:44"/>
    <x v="7"/>
    <n v="9.59"/>
    <n v="0"/>
  </r>
  <r>
    <n v="2092"/>
    <n v="39"/>
    <n v="5"/>
    <n v="1956"/>
    <s v="EARNED"/>
    <n v="22.89"/>
    <s v=""/>
    <d v="2026-05-20T16:11:57"/>
    <x v="7"/>
    <n v="22.89"/>
    <n v="0"/>
  </r>
  <r>
    <n v="2093"/>
    <n v="250"/>
    <n v="3"/>
    <n v="1957"/>
    <s v="EARNED"/>
    <n v="5.0199999999999996"/>
    <s v=""/>
    <d v="2026-05-20T16:48:37"/>
    <x v="7"/>
    <n v="5.0199999999999996"/>
    <n v="0"/>
  </r>
  <r>
    <n v="2094"/>
    <n v="261"/>
    <n v="3"/>
    <n v="1958"/>
    <s v="EARNED"/>
    <n v="5.6"/>
    <s v=""/>
    <d v="2026-05-21T10:29:36"/>
    <x v="7"/>
    <n v="5.6"/>
    <n v="0"/>
  </r>
  <r>
    <n v="2095"/>
    <n v="229"/>
    <n v="2"/>
    <n v="1959"/>
    <s v="EARNED"/>
    <n v="14.82"/>
    <s v=""/>
    <d v="2026-05-21T14:09:40"/>
    <x v="7"/>
    <n v="14.82"/>
    <n v="0"/>
  </r>
  <r>
    <n v="2096"/>
    <n v="156"/>
    <n v="3"/>
    <n v="1960"/>
    <s v="EARNED"/>
    <n v="3.64"/>
    <s v=""/>
    <d v="2026-05-21T15:01:29"/>
    <x v="7"/>
    <n v="3.64"/>
    <n v="0"/>
  </r>
  <r>
    <n v="2097"/>
    <n v="250"/>
    <n v="5"/>
    <n v="1961"/>
    <s v="EARNED"/>
    <n v="7.82"/>
    <s v=""/>
    <d v="2026-05-21T17:20:27"/>
    <x v="7"/>
    <n v="7.82"/>
    <n v="0"/>
  </r>
  <r>
    <n v="2098"/>
    <n v="41"/>
    <n v="4"/>
    <n v="1962"/>
    <s v="EARNED"/>
    <n v="10.45"/>
    <s v=""/>
    <d v="2026-05-22T10:02:57"/>
    <x v="7"/>
    <n v="10.45"/>
    <n v="0"/>
  </r>
  <r>
    <n v="2099"/>
    <n v="252"/>
    <n v="4"/>
    <n v="1963"/>
    <s v="EARNED"/>
    <n v="3.14"/>
    <s v=""/>
    <d v="2026-05-22T10:53:49"/>
    <x v="7"/>
    <n v="3.14"/>
    <n v="0"/>
  </r>
  <r>
    <n v="2100"/>
    <n v="25"/>
    <n v="3"/>
    <n v="1964"/>
    <s v="EARNED"/>
    <n v="13.22"/>
    <s v=""/>
    <d v="2026-05-22T14:27:10"/>
    <x v="7"/>
    <n v="13.22"/>
    <n v="0"/>
  </r>
  <r>
    <n v="2101"/>
    <n v="285"/>
    <n v="4"/>
    <n v="1965"/>
    <s v="EARNED"/>
    <n v="5.03"/>
    <s v=""/>
    <d v="2026-05-22T16:26:51"/>
    <x v="7"/>
    <n v="5.03"/>
    <n v="0"/>
  </r>
  <r>
    <n v="2102"/>
    <n v="11"/>
    <n v="5"/>
    <n v="1966"/>
    <s v="EARNED"/>
    <n v="28.09"/>
    <s v=""/>
    <d v="2026-05-22T18:26:44"/>
    <x v="7"/>
    <n v="28.09"/>
    <n v="0"/>
  </r>
  <r>
    <n v="2103"/>
    <n v="25"/>
    <n v="4"/>
    <n v="1964"/>
    <s v="ADJUSTMENT"/>
    <n v="-13.22"/>
    <s v="Reverso por cancelación de compra #1964: Monto duplicado por error de sistema"/>
    <d v="2026-05-23T01:27:10"/>
    <x v="7"/>
    <n v="0"/>
    <n v="0"/>
  </r>
  <r>
    <n v="2104"/>
    <n v="170"/>
    <n v="5"/>
    <n v="1967"/>
    <s v="EARNED"/>
    <n v="9.91"/>
    <s v=""/>
    <d v="2026-05-23T07:55:43"/>
    <x v="7"/>
    <n v="9.91"/>
    <n v="0"/>
  </r>
  <r>
    <n v="2105"/>
    <n v="96"/>
    <n v="3"/>
    <n v="1968"/>
    <s v="EARNED"/>
    <n v="15.29"/>
    <s v=""/>
    <d v="2026-05-23T08:47:56"/>
    <x v="7"/>
    <n v="15.29"/>
    <n v="0"/>
  </r>
  <r>
    <n v="2106"/>
    <n v="200"/>
    <n v="2"/>
    <n v="1969"/>
    <s v="EARNED"/>
    <n v="3.88"/>
    <s v=""/>
    <d v="2026-05-23T09:18:08"/>
    <x v="7"/>
    <n v="3.88"/>
    <n v="0"/>
  </r>
  <r>
    <n v="2107"/>
    <n v="82"/>
    <n v="5"/>
    <n v="1970"/>
    <s v="EARNED"/>
    <n v="4.8899999999999997"/>
    <s v=""/>
    <d v="2026-05-23T09:19:53"/>
    <x v="7"/>
    <n v="4.8899999999999997"/>
    <n v="0"/>
  </r>
  <r>
    <n v="2108"/>
    <n v="137"/>
    <n v="5"/>
    <n v="1971"/>
    <s v="EARNED"/>
    <n v="2.97"/>
    <s v=""/>
    <d v="2026-05-23T09:56:43"/>
    <x v="7"/>
    <n v="2.97"/>
    <n v="0"/>
  </r>
  <r>
    <n v="2109"/>
    <n v="39"/>
    <n v="3"/>
    <n v="1972"/>
    <s v="EARNED"/>
    <n v="27.51"/>
    <s v=""/>
    <d v="2026-05-23T12:18:27"/>
    <x v="7"/>
    <n v="27.51"/>
    <n v="0"/>
  </r>
  <r>
    <n v="2110"/>
    <n v="285"/>
    <n v="2"/>
    <n v="1973"/>
    <s v="EARNED"/>
    <n v="2.86"/>
    <s v=""/>
    <d v="2026-05-23T12:32:48"/>
    <x v="7"/>
    <n v="2.86"/>
    <n v="0"/>
  </r>
  <r>
    <n v="2111"/>
    <n v="65"/>
    <n v="5"/>
    <n v="1974"/>
    <s v="REDEEMED"/>
    <n v="19.52"/>
    <s v=""/>
    <d v="2026-05-23T13:23:34"/>
    <x v="7"/>
    <n v="0"/>
    <n v="19.52"/>
  </r>
  <r>
    <n v="2112"/>
    <n v="87"/>
    <n v="3"/>
    <n v="1975"/>
    <s v="EARNED"/>
    <n v="9.25"/>
    <s v=""/>
    <d v="2026-05-23T17:19:14"/>
    <x v="7"/>
    <n v="9.25"/>
    <n v="0"/>
  </r>
  <r>
    <n v="2113"/>
    <n v="304"/>
    <n v="2"/>
    <n v="1976"/>
    <s v="EARNED"/>
    <n v="2.33"/>
    <s v=""/>
    <d v="2026-05-23T18:20:46"/>
    <x v="7"/>
    <n v="2.33"/>
    <n v="0"/>
  </r>
  <r>
    <n v="2114"/>
    <n v="16"/>
    <n v="2"/>
    <n v="1977"/>
    <s v="EARNED"/>
    <n v="23.4"/>
    <s v=""/>
    <d v="2026-05-24T08:09:40"/>
    <x v="7"/>
    <n v="23.4"/>
    <n v="0"/>
  </r>
  <r>
    <n v="2115"/>
    <n v="289"/>
    <n v="2"/>
    <n v="1978"/>
    <s v="EARNED"/>
    <n v="7.76"/>
    <s v=""/>
    <d v="2026-05-24T09:54:02"/>
    <x v="7"/>
    <n v="7.76"/>
    <n v="0"/>
  </r>
  <r>
    <n v="2116"/>
    <n v="65"/>
    <n v="2"/>
    <n v="1974"/>
    <s v="ADJUSTMENT"/>
    <n v="19.52"/>
    <s v="Reverso por cancelación de compra #1974: Error de captura"/>
    <d v="2026-05-24T10:23:34"/>
    <x v="7"/>
    <n v="0"/>
    <n v="0"/>
  </r>
  <r>
    <n v="2117"/>
    <n v="139"/>
    <n v="2"/>
    <n v="1979"/>
    <s v="EARNED"/>
    <n v="8.35"/>
    <s v=""/>
    <d v="2026-05-24T11:19:46"/>
    <x v="7"/>
    <n v="8.35"/>
    <n v="0"/>
  </r>
  <r>
    <n v="2118"/>
    <n v="172"/>
    <n v="2"/>
    <n v="1980"/>
    <s v="EARNED"/>
    <n v="3.89"/>
    <s v=""/>
    <d v="2026-05-24T13:24:12"/>
    <x v="7"/>
    <n v="3.89"/>
    <n v="0"/>
  </r>
  <r>
    <n v="2119"/>
    <n v="91"/>
    <n v="5"/>
    <n v="1981"/>
    <s v="REDEEMED"/>
    <n v="25.08"/>
    <s v=""/>
    <d v="2026-05-24T13:44:37"/>
    <x v="7"/>
    <n v="0"/>
    <n v="25.08"/>
  </r>
  <r>
    <n v="2120"/>
    <n v="137"/>
    <n v="5"/>
    <n v="1982"/>
    <s v="EARNED"/>
    <n v="1.69"/>
    <s v=""/>
    <d v="2026-05-24T15:06:46"/>
    <x v="7"/>
    <n v="1.69"/>
    <n v="0"/>
  </r>
  <r>
    <n v="2121"/>
    <n v="173"/>
    <n v="3"/>
    <n v="1983"/>
    <s v="EARNED"/>
    <n v="11.83"/>
    <s v=""/>
    <d v="2026-05-24T16:32:17"/>
    <x v="7"/>
    <n v="11.83"/>
    <n v="0"/>
  </r>
  <r>
    <n v="2122"/>
    <n v="39"/>
    <n v="3"/>
    <n v="1984"/>
    <s v="EARNED"/>
    <n v="12.48"/>
    <s v=""/>
    <d v="2026-05-24T17:20:44"/>
    <x v="7"/>
    <n v="12.48"/>
    <n v="0"/>
  </r>
  <r>
    <n v="2123"/>
    <n v="7"/>
    <n v="2"/>
    <n v="1985"/>
    <s v="EARNED"/>
    <n v="13.11"/>
    <s v=""/>
    <d v="2026-05-24T18:08:31"/>
    <x v="7"/>
    <n v="13.11"/>
    <n v="0"/>
  </r>
  <r>
    <n v="2124"/>
    <n v="45"/>
    <n v="3"/>
    <n v="1986"/>
    <s v="EARNED"/>
    <n v="8.36"/>
    <s v=""/>
    <d v="2026-05-24T19:08:05"/>
    <x v="7"/>
    <n v="8.36"/>
    <n v="0"/>
  </r>
  <r>
    <n v="2125"/>
    <n v="59"/>
    <n v="2"/>
    <n v="1987"/>
    <s v="EARNED"/>
    <n v="3.43"/>
    <s v=""/>
    <d v="2026-05-25T08:55:09"/>
    <x v="7"/>
    <n v="3.43"/>
    <n v="0"/>
  </r>
  <r>
    <n v="2126"/>
    <n v="259"/>
    <n v="2"/>
    <n v="1988"/>
    <s v="EARNED"/>
    <n v="3.24"/>
    <s v=""/>
    <d v="2026-05-25T10:02:08"/>
    <x v="7"/>
    <n v="3.24"/>
    <n v="0"/>
  </r>
  <r>
    <n v="2127"/>
    <n v="39"/>
    <n v="3"/>
    <n v="1989"/>
    <s v="EARNED"/>
    <n v="10.68"/>
    <s v=""/>
    <d v="2026-05-25T10:24:57"/>
    <x v="7"/>
    <n v="10.68"/>
    <n v="0"/>
  </r>
  <r>
    <n v="2128"/>
    <n v="39"/>
    <n v="3"/>
    <n v="1990"/>
    <s v="EARNED"/>
    <n v="10.57"/>
    <s v=""/>
    <d v="2026-05-25T11:21:46"/>
    <x v="7"/>
    <n v="10.57"/>
    <n v="0"/>
  </r>
  <r>
    <n v="2129"/>
    <n v="65"/>
    <n v="2"/>
    <n v="1991"/>
    <s v="EARNED"/>
    <n v="4.79"/>
    <s v=""/>
    <d v="2026-05-25T13:20:17"/>
    <x v="7"/>
    <n v="4.79"/>
    <n v="0"/>
  </r>
  <r>
    <n v="2130"/>
    <n v="155"/>
    <n v="4"/>
    <n v="1992"/>
    <s v="REDEEMED"/>
    <n v="30.25"/>
    <s v=""/>
    <d v="2026-05-25T13:31:50"/>
    <x v="7"/>
    <n v="0"/>
    <n v="30.25"/>
  </r>
  <r>
    <n v="2131"/>
    <n v="229"/>
    <n v="4"/>
    <n v="1993"/>
    <s v="EARNED"/>
    <n v="16.16"/>
    <s v=""/>
    <d v="2026-05-25T13:52:18"/>
    <x v="7"/>
    <n v="16.16"/>
    <n v="0"/>
  </r>
  <r>
    <n v="2132"/>
    <n v="190"/>
    <n v="2"/>
    <n v="1994"/>
    <s v="EARNED"/>
    <n v="28.37"/>
    <s v=""/>
    <d v="2026-05-25T15:10:13"/>
    <x v="7"/>
    <n v="28.37"/>
    <n v="0"/>
  </r>
  <r>
    <n v="2133"/>
    <n v="285"/>
    <n v="2"/>
    <n v="1995"/>
    <s v="EARNED"/>
    <n v="4.28"/>
    <s v=""/>
    <d v="2026-05-25T16:29:17"/>
    <x v="7"/>
    <n v="4.28"/>
    <n v="0"/>
  </r>
  <r>
    <n v="2134"/>
    <n v="201"/>
    <n v="5"/>
    <n v="1996"/>
    <s v="EARNED"/>
    <n v="2.37"/>
    <s v=""/>
    <d v="2026-05-25T16:51:49"/>
    <x v="7"/>
    <n v="2.37"/>
    <n v="0"/>
  </r>
  <r>
    <n v="2135"/>
    <n v="285"/>
    <n v="3"/>
    <n v="1997"/>
    <s v="EARNED"/>
    <n v="3.45"/>
    <s v=""/>
    <d v="2026-05-25T18:27:11"/>
    <x v="7"/>
    <n v="3.45"/>
    <n v="0"/>
  </r>
  <r>
    <n v="2136"/>
    <n v="16"/>
    <n v="5"/>
    <n v="1998"/>
    <s v="EARNED"/>
    <n v="21.52"/>
    <s v=""/>
    <d v="2026-05-26T09:53:23"/>
    <x v="7"/>
    <n v="21.52"/>
    <n v="0"/>
  </r>
  <r>
    <n v="2137"/>
    <n v="89"/>
    <n v="5"/>
    <n v="1999"/>
    <s v="EARNED"/>
    <n v="16.260000000000002"/>
    <s v=""/>
    <d v="2026-05-26T10:26:25"/>
    <x v="7"/>
    <n v="16.260000000000002"/>
    <n v="0"/>
  </r>
  <r>
    <n v="2138"/>
    <n v="22"/>
    <n v="4"/>
    <n v="2000"/>
    <s v="EARNED"/>
    <n v="17.32"/>
    <s v=""/>
    <d v="2026-05-26T12:17:27"/>
    <x v="7"/>
    <n v="17.32"/>
    <n v="0"/>
  </r>
  <r>
    <n v="2139"/>
    <n v="136"/>
    <n v="5"/>
    <n v="2001"/>
    <s v="EARNED"/>
    <n v="8.09"/>
    <s v=""/>
    <d v="2026-05-26T12:36:35"/>
    <x v="7"/>
    <n v="8.09"/>
    <n v="0"/>
  </r>
  <r>
    <n v="2140"/>
    <n v="117"/>
    <n v="4"/>
    <n v="2002"/>
    <s v="EARNED"/>
    <n v="6.06"/>
    <s v=""/>
    <d v="2026-05-26T16:03:05"/>
    <x v="7"/>
    <n v="6.06"/>
    <n v="0"/>
  </r>
  <r>
    <n v="2141"/>
    <n v="139"/>
    <n v="3"/>
    <n v="2003"/>
    <s v="EARNED"/>
    <n v="10.79"/>
    <s v=""/>
    <d v="2026-05-27T08:48:33"/>
    <x v="7"/>
    <n v="10.79"/>
    <n v="0"/>
  </r>
  <r>
    <n v="2142"/>
    <n v="213"/>
    <n v="2"/>
    <n v="2004"/>
    <s v="EARNED"/>
    <n v="19.829999999999998"/>
    <s v=""/>
    <d v="2026-05-27T15:03:25"/>
    <x v="7"/>
    <n v="19.829999999999998"/>
    <n v="0"/>
  </r>
  <r>
    <n v="2143"/>
    <n v="183"/>
    <n v="2"/>
    <n v="2005"/>
    <s v="EARNED"/>
    <n v="12.28"/>
    <s v=""/>
    <d v="2026-05-27T15:43:40"/>
    <x v="7"/>
    <n v="12.28"/>
    <n v="0"/>
  </r>
  <r>
    <n v="2144"/>
    <n v="237"/>
    <n v="5"/>
    <n v="2006"/>
    <s v="EARNED"/>
    <n v="13.62"/>
    <s v=""/>
    <d v="2026-05-27T16:09:05"/>
    <x v="7"/>
    <n v="13.62"/>
    <n v="0"/>
  </r>
  <r>
    <n v="2145"/>
    <n v="59"/>
    <n v="5"/>
    <n v="2007"/>
    <s v="EARNED"/>
    <n v="3.77"/>
    <s v=""/>
    <d v="2026-05-27T17:10:50"/>
    <x v="7"/>
    <n v="3.77"/>
    <n v="0"/>
  </r>
  <r>
    <n v="2146"/>
    <n v="183"/>
    <n v="5"/>
    <n v="2005"/>
    <s v="ADJUSTMENT"/>
    <n v="-12.28"/>
    <s v="Reverso por cancelación de compra #2005: Monto duplicado por error de sistema"/>
    <d v="2026-05-27T20:43:40"/>
    <x v="7"/>
    <n v="0"/>
    <n v="0"/>
  </r>
  <r>
    <n v="2147"/>
    <n v="38"/>
    <n v="2"/>
    <n v="2008"/>
    <s v="EARNED"/>
    <n v="1.39"/>
    <s v=""/>
    <d v="2026-05-28T08:46:20"/>
    <x v="7"/>
    <n v="1.39"/>
    <n v="0"/>
  </r>
  <r>
    <n v="2148"/>
    <n v="200"/>
    <n v="2"/>
    <n v="2009"/>
    <s v="EARNED"/>
    <n v="3.59"/>
    <s v=""/>
    <d v="2026-05-28T09:46:39"/>
    <x v="7"/>
    <n v="3.59"/>
    <n v="0"/>
  </r>
  <r>
    <n v="2149"/>
    <n v="265"/>
    <n v="2"/>
    <n v="2010"/>
    <s v="EARNED"/>
    <n v="10.39"/>
    <s v=""/>
    <d v="2026-05-28T14:00:19"/>
    <x v="7"/>
    <n v="10.39"/>
    <n v="0"/>
  </r>
  <r>
    <n v="2150"/>
    <n v="250"/>
    <n v="2"/>
    <n v="2011"/>
    <s v="EARNED"/>
    <n v="11.13"/>
    <s v=""/>
    <d v="2026-05-28T16:16:10"/>
    <x v="7"/>
    <n v="11.13"/>
    <n v="0"/>
  </r>
  <r>
    <n v="2151"/>
    <n v="250"/>
    <n v="2"/>
    <n v="2012"/>
    <s v="EARNED"/>
    <n v="6.84"/>
    <s v=""/>
    <d v="2026-05-28T17:13:14"/>
    <x v="7"/>
    <n v="6.84"/>
    <n v="0"/>
  </r>
  <r>
    <n v="2152"/>
    <n v="285"/>
    <n v="2"/>
    <n v="2013"/>
    <s v="EARNED"/>
    <n v="3.05"/>
    <s v=""/>
    <d v="2026-05-28T17:19:21"/>
    <x v="7"/>
    <n v="3.05"/>
    <n v="0"/>
  </r>
  <r>
    <n v="2153"/>
    <n v="229"/>
    <n v="4"/>
    <n v="2014"/>
    <s v="EARNED"/>
    <n v="4.1100000000000003"/>
    <s v=""/>
    <d v="2026-05-28T17:37:33"/>
    <x v="7"/>
    <n v="4.1100000000000003"/>
    <n v="0"/>
  </r>
  <r>
    <n v="2154"/>
    <n v="39"/>
    <n v="3"/>
    <n v="2015"/>
    <s v="EARNED"/>
    <n v="20.51"/>
    <s v=""/>
    <d v="2026-05-28T18:04:39"/>
    <x v="7"/>
    <n v="20.51"/>
    <n v="0"/>
  </r>
  <r>
    <n v="2155"/>
    <n v="171"/>
    <n v="5"/>
    <n v="2016"/>
    <s v="EARNED"/>
    <n v="22"/>
    <s v=""/>
    <d v="2026-05-29T08:52:48"/>
    <x v="7"/>
    <n v="22"/>
    <n v="0"/>
  </r>
  <r>
    <n v="2156"/>
    <n v="250"/>
    <n v="2"/>
    <n v="2017"/>
    <s v="EARNED"/>
    <n v="11.42"/>
    <s v=""/>
    <d v="2026-05-29T09:39:56"/>
    <x v="7"/>
    <n v="11.42"/>
    <n v="0"/>
  </r>
  <r>
    <n v="2157"/>
    <n v="13"/>
    <n v="4"/>
    <n v="2018"/>
    <s v="EARNED"/>
    <n v="2.73"/>
    <s v=""/>
    <d v="2026-05-29T11:12:33"/>
    <x v="7"/>
    <n v="2.73"/>
    <n v="0"/>
  </r>
  <r>
    <n v="2158"/>
    <n v="250"/>
    <n v="2"/>
    <n v="2019"/>
    <s v="EARNED"/>
    <n v="10.7"/>
    <s v=""/>
    <d v="2026-05-29T12:10:00"/>
    <x v="7"/>
    <n v="10.7"/>
    <n v="0"/>
  </r>
  <r>
    <n v="2159"/>
    <n v="245"/>
    <n v="5"/>
    <n v="2020"/>
    <s v="EARNED"/>
    <n v="1.98"/>
    <s v=""/>
    <d v="2026-05-30T08:03:17"/>
    <x v="7"/>
    <n v="1.98"/>
    <n v="0"/>
  </r>
  <r>
    <n v="2160"/>
    <n v="229"/>
    <n v="5"/>
    <n v="2021"/>
    <s v="EARNED"/>
    <n v="9.0299999999999994"/>
    <s v=""/>
    <d v="2026-05-30T16:33:21"/>
    <x v="7"/>
    <n v="9.0299999999999994"/>
    <n v="0"/>
  </r>
  <r>
    <n v="2161"/>
    <n v="241"/>
    <n v="4"/>
    <n v="2022"/>
    <s v="EARNED"/>
    <n v="3.32"/>
    <s v=""/>
    <d v="2026-05-30T17:25:53"/>
    <x v="7"/>
    <n v="3.32"/>
    <n v="0"/>
  </r>
  <r>
    <n v="2162"/>
    <n v="137"/>
    <n v="3"/>
    <n v="2023"/>
    <s v="EARNED"/>
    <n v="1.66"/>
    <s v=""/>
    <d v="2026-05-30T17:26:52"/>
    <x v="7"/>
    <n v="1.66"/>
    <n v="0"/>
  </r>
  <r>
    <n v="2163"/>
    <n v="25"/>
    <n v="2"/>
    <n v="2024"/>
    <s v="EARNED"/>
    <n v="12.02"/>
    <s v=""/>
    <d v="2026-05-30T18:23:52"/>
    <x v="7"/>
    <n v="12.02"/>
    <n v="0"/>
  </r>
  <r>
    <n v="2164"/>
    <n v="221"/>
    <n v="3"/>
    <n v="2025"/>
    <s v="EARNED"/>
    <n v="20"/>
    <s v=""/>
    <d v="2026-05-30T18:51:02"/>
    <x v="7"/>
    <n v="20"/>
    <n v="0"/>
  </r>
  <r>
    <n v="2165"/>
    <n v="13"/>
    <n v="3"/>
    <n v="2018"/>
    <s v="ADJUSTMENT"/>
    <n v="-2.73"/>
    <s v="Reverso por cancelación de compra #2018: Cliente canceló la operación"/>
    <d v="2026-05-31T10:12:33"/>
    <x v="7"/>
    <n v="0"/>
    <n v="0"/>
  </r>
  <r>
    <n v="2166"/>
    <n v="58"/>
    <n v="2"/>
    <n v="2026"/>
    <s v="EARNED"/>
    <n v="3.17"/>
    <s v=""/>
    <d v="2026-05-31T12:20:28"/>
    <x v="7"/>
    <n v="3.17"/>
    <n v="0"/>
  </r>
  <r>
    <n v="2167"/>
    <n v="246"/>
    <n v="3"/>
    <n v="2027"/>
    <s v="EARNED"/>
    <n v="5.26"/>
    <s v=""/>
    <d v="2026-06-01T09:35:41"/>
    <x v="8"/>
    <n v="5.26"/>
    <n v="0"/>
  </r>
  <r>
    <n v="2168"/>
    <n v="250"/>
    <n v="3"/>
    <n v="2028"/>
    <s v="EARNED"/>
    <n v="7.81"/>
    <s v=""/>
    <d v="2026-06-01T09:44:03"/>
    <x v="8"/>
    <n v="7.81"/>
    <n v="0"/>
  </r>
  <r>
    <n v="2169"/>
    <n v="188"/>
    <n v="2"/>
    <n v="2029"/>
    <s v="EARNED"/>
    <n v="24.6"/>
    <s v=""/>
    <d v="2026-06-01T09:52:44"/>
    <x v="8"/>
    <n v="24.6"/>
    <n v="0"/>
  </r>
  <r>
    <n v="2170"/>
    <n v="202"/>
    <n v="4"/>
    <n v="2030"/>
    <s v="EARNED"/>
    <n v="3.36"/>
    <s v=""/>
    <d v="2026-06-01T12:37:10"/>
    <x v="8"/>
    <n v="3.36"/>
    <n v="0"/>
  </r>
  <r>
    <n v="2171"/>
    <n v="13"/>
    <n v="2"/>
    <n v="2031"/>
    <s v="EARNED"/>
    <n v="3.83"/>
    <s v=""/>
    <d v="2026-06-01T13:07:25"/>
    <x v="8"/>
    <n v="3.83"/>
    <n v="0"/>
  </r>
  <r>
    <n v="2172"/>
    <n v="106"/>
    <n v="2"/>
    <n v="2032"/>
    <s v="EARNED"/>
    <n v="10.98"/>
    <s v=""/>
    <d v="2026-06-01T15:41:09"/>
    <x v="8"/>
    <n v="10.98"/>
    <n v="0"/>
  </r>
  <r>
    <n v="2173"/>
    <n v="179"/>
    <n v="3"/>
    <n v="2033"/>
    <s v="EARNED"/>
    <n v="12.72"/>
    <s v=""/>
    <d v="2026-06-01T15:43:34"/>
    <x v="8"/>
    <n v="12.72"/>
    <n v="0"/>
  </r>
  <r>
    <n v="2174"/>
    <n v="285"/>
    <n v="5"/>
    <n v="2034"/>
    <s v="EARNED"/>
    <n v="2.09"/>
    <s v=""/>
    <d v="2026-06-01T15:45:09"/>
    <x v="8"/>
    <n v="2.09"/>
    <n v="0"/>
  </r>
  <r>
    <n v="2175"/>
    <n v="65"/>
    <n v="2"/>
    <n v="2035"/>
    <s v="EARNED"/>
    <n v="2.98"/>
    <s v=""/>
    <d v="2026-06-01T17:03:28"/>
    <x v="8"/>
    <n v="2.98"/>
    <n v="0"/>
  </r>
  <r>
    <n v="2176"/>
    <n v="250"/>
    <n v="5"/>
    <n v="2036"/>
    <s v="EARNED"/>
    <n v="4.29"/>
    <s v=""/>
    <d v="2026-06-02T07:32:52"/>
    <x v="8"/>
    <n v="4.29"/>
    <n v="0"/>
  </r>
  <r>
    <n v="2177"/>
    <n v="223"/>
    <n v="2"/>
    <n v="2037"/>
    <s v="EARNED"/>
    <n v="2.56"/>
    <s v=""/>
    <d v="2026-06-02T10:37:08"/>
    <x v="8"/>
    <n v="2.56"/>
    <n v="0"/>
  </r>
  <r>
    <n v="2178"/>
    <n v="9"/>
    <n v="4"/>
    <n v="2038"/>
    <s v="EARNED"/>
    <n v="4.67"/>
    <s v=""/>
    <d v="2026-06-02T10:38:47"/>
    <x v="8"/>
    <n v="4.67"/>
    <n v="0"/>
  </r>
  <r>
    <n v="2179"/>
    <n v="39"/>
    <n v="3"/>
    <n v="2039"/>
    <s v="REDEEMED"/>
    <n v="159.16"/>
    <s v=""/>
    <d v="2026-06-02T11:25:57"/>
    <x v="8"/>
    <n v="0"/>
    <n v="159.16"/>
  </r>
  <r>
    <n v="2180"/>
    <n v="52"/>
    <n v="2"/>
    <n v="2040"/>
    <s v="REDEEMED"/>
    <n v="46.32"/>
    <s v=""/>
    <d v="2026-06-02T11:26:50"/>
    <x v="8"/>
    <n v="0"/>
    <n v="46.32"/>
  </r>
  <r>
    <n v="2181"/>
    <n v="136"/>
    <n v="3"/>
    <n v="2041"/>
    <s v="EARNED"/>
    <n v="11.31"/>
    <s v=""/>
    <d v="2026-06-02T11:29:11"/>
    <x v="8"/>
    <n v="11.31"/>
    <n v="0"/>
  </r>
  <r>
    <n v="2182"/>
    <n v="39"/>
    <n v="2"/>
    <n v="2042"/>
    <s v="EARNED"/>
    <n v="30"/>
    <s v=""/>
    <d v="2026-06-02T16:25:37"/>
    <x v="8"/>
    <n v="30"/>
    <n v="0"/>
  </r>
  <r>
    <n v="2183"/>
    <n v="156"/>
    <n v="4"/>
    <n v="2043"/>
    <s v="EARNED"/>
    <n v="4.43"/>
    <s v=""/>
    <d v="2026-06-02T17:28:56"/>
    <x v="8"/>
    <n v="4.43"/>
    <n v="0"/>
  </r>
  <r>
    <n v="2184"/>
    <n v="134"/>
    <n v="3"/>
    <n v="2044"/>
    <s v="EARNED"/>
    <n v="15.74"/>
    <s v=""/>
    <d v="2026-06-02T19:31:20"/>
    <x v="8"/>
    <n v="15.74"/>
    <n v="0"/>
  </r>
  <r>
    <n v="2185"/>
    <n v="156"/>
    <n v="2"/>
    <n v="2045"/>
    <s v="EARNED"/>
    <n v="3.56"/>
    <s v=""/>
    <d v="2026-06-03T10:14:33"/>
    <x v="8"/>
    <n v="3.56"/>
    <n v="0"/>
  </r>
  <r>
    <n v="2186"/>
    <n v="195"/>
    <n v="4"/>
    <n v="2046"/>
    <s v="EARNED"/>
    <n v="15.01"/>
    <s v=""/>
    <d v="2026-06-03T11:32:54"/>
    <x v="8"/>
    <n v="15.01"/>
    <n v="0"/>
  </r>
  <r>
    <n v="2187"/>
    <n v="200"/>
    <n v="2"/>
    <n v="2047"/>
    <s v="EARNED"/>
    <n v="2.62"/>
    <s v=""/>
    <d v="2026-06-03T12:12:54"/>
    <x v="8"/>
    <n v="2.62"/>
    <n v="0"/>
  </r>
  <r>
    <n v="2188"/>
    <n v="237"/>
    <n v="4"/>
    <n v="2048"/>
    <s v="EARNED"/>
    <n v="21.41"/>
    <s v=""/>
    <d v="2026-06-03T13:19:46"/>
    <x v="8"/>
    <n v="21.41"/>
    <n v="0"/>
  </r>
  <r>
    <n v="2189"/>
    <n v="304"/>
    <n v="4"/>
    <n v="2049"/>
    <s v="EARNED"/>
    <n v="2.37"/>
    <s v=""/>
    <d v="2026-06-03T15:09:22"/>
    <x v="8"/>
    <n v="2.37"/>
    <n v="0"/>
  </r>
  <r>
    <n v="2190"/>
    <n v="246"/>
    <n v="2"/>
    <n v="2050"/>
    <s v="EARNED"/>
    <n v="3.94"/>
    <s v=""/>
    <d v="2026-06-03T16:26:35"/>
    <x v="8"/>
    <n v="3.94"/>
    <n v="0"/>
  </r>
  <r>
    <n v="2191"/>
    <n v="158"/>
    <n v="3"/>
    <n v="2051"/>
    <s v="EARNED"/>
    <n v="3.37"/>
    <s v=""/>
    <d v="2026-06-03T18:25:18"/>
    <x v="8"/>
    <n v="3.37"/>
    <n v="0"/>
  </r>
  <r>
    <n v="2192"/>
    <n v="229"/>
    <n v="2"/>
    <n v="2052"/>
    <s v="EARNED"/>
    <n v="9.3000000000000007"/>
    <s v=""/>
    <d v="2026-06-03T18:59:27"/>
    <x v="8"/>
    <n v="9.3000000000000007"/>
    <n v="0"/>
  </r>
  <r>
    <n v="2193"/>
    <n v="134"/>
    <n v="5"/>
    <n v="2053"/>
    <s v="EARNED"/>
    <n v="10.72"/>
    <s v=""/>
    <d v="2026-06-04T08:37:41"/>
    <x v="8"/>
    <n v="10.72"/>
    <n v="0"/>
  </r>
  <r>
    <n v="2194"/>
    <n v="65"/>
    <n v="5"/>
    <n v="2054"/>
    <s v="EARNED"/>
    <n v="5.1100000000000003"/>
    <s v=""/>
    <d v="2026-06-04T09:13:58"/>
    <x v="8"/>
    <n v="5.1100000000000003"/>
    <n v="0"/>
  </r>
  <r>
    <n v="2195"/>
    <n v="137"/>
    <n v="4"/>
    <n v="2055"/>
    <s v="REDEEMED"/>
    <n v="19.71"/>
    <s v=""/>
    <d v="2026-06-04T09:21:57"/>
    <x v="8"/>
    <n v="0"/>
    <n v="19.71"/>
  </r>
  <r>
    <n v="2196"/>
    <n v="94"/>
    <n v="4"/>
    <n v="2056"/>
    <s v="EARNED"/>
    <n v="18.47"/>
    <s v=""/>
    <d v="2026-06-04T10:20:52"/>
    <x v="8"/>
    <n v="18.47"/>
    <n v="0"/>
  </r>
  <r>
    <n v="2197"/>
    <n v="49"/>
    <n v="2"/>
    <n v="2057"/>
    <s v="EARNED"/>
    <n v="8.85"/>
    <s v=""/>
    <d v="2026-06-04T14:50:36"/>
    <x v="8"/>
    <n v="8.85"/>
    <n v="0"/>
  </r>
  <r>
    <n v="2198"/>
    <n v="195"/>
    <n v="2"/>
    <n v="2046"/>
    <s v="ADJUSTMENT"/>
    <n v="-15.01"/>
    <s v="Reverso por cancelación de compra #2046: Monto duplicado por error de sistema"/>
    <d v="2026-06-04T15:32:54"/>
    <x v="8"/>
    <n v="0"/>
    <n v="0"/>
  </r>
  <r>
    <n v="2199"/>
    <n v="26"/>
    <n v="2"/>
    <n v="2058"/>
    <s v="EARNED"/>
    <n v="2.59"/>
    <s v=""/>
    <d v="2026-06-04T16:35:30"/>
    <x v="8"/>
    <n v="2.59"/>
    <n v="0"/>
  </r>
  <r>
    <n v="2200"/>
    <n v="137"/>
    <n v="5"/>
    <n v="2059"/>
    <s v="EARNED"/>
    <n v="2.35"/>
    <s v=""/>
    <d v="2026-06-04T17:14:45"/>
    <x v="8"/>
    <n v="2.35"/>
    <n v="0"/>
  </r>
  <r>
    <n v="2201"/>
    <n v="304"/>
    <n v="2"/>
    <n v="2049"/>
    <s v="ADJUSTMENT"/>
    <n v="-2.37"/>
    <s v="Reverso por cancelación de compra #2049: Error de captura"/>
    <d v="2026-06-05T00:09:22"/>
    <x v="8"/>
    <n v="0"/>
    <n v="0"/>
  </r>
  <r>
    <n v="2202"/>
    <n v="29"/>
    <n v="2"/>
    <n v="2060"/>
    <s v="EARNED"/>
    <n v="4.51"/>
    <s v=""/>
    <d v="2026-06-05T07:00:36"/>
    <x v="8"/>
    <n v="4.51"/>
    <n v="0"/>
  </r>
  <r>
    <n v="2203"/>
    <n v="39"/>
    <n v="4"/>
    <n v="2061"/>
    <s v="EARNED"/>
    <n v="13.07"/>
    <s v=""/>
    <d v="2026-06-05T07:26:42"/>
    <x v="8"/>
    <n v="13.07"/>
    <n v="0"/>
  </r>
  <r>
    <n v="2204"/>
    <n v="66"/>
    <n v="3"/>
    <n v="2062"/>
    <s v="EARNED"/>
    <n v="5.14"/>
    <s v=""/>
    <d v="2026-06-05T07:53:02"/>
    <x v="8"/>
    <n v="5.14"/>
    <n v="0"/>
  </r>
  <r>
    <n v="2205"/>
    <n v="107"/>
    <n v="2"/>
    <n v="2063"/>
    <s v="EARNED"/>
    <n v="4.6100000000000003"/>
    <s v=""/>
    <d v="2026-06-05T09:17:19"/>
    <x v="8"/>
    <n v="4.6100000000000003"/>
    <n v="0"/>
  </r>
  <r>
    <n v="2206"/>
    <n v="137"/>
    <n v="4"/>
    <n v="2064"/>
    <s v="EARNED"/>
    <n v="1.66"/>
    <s v=""/>
    <d v="2026-06-05T10:00:09"/>
    <x v="8"/>
    <n v="1.66"/>
    <n v="0"/>
  </r>
  <r>
    <n v="2207"/>
    <n v="136"/>
    <n v="2"/>
    <n v="2065"/>
    <s v="REDEEMED"/>
    <n v="83.1"/>
    <s v=""/>
    <d v="2026-06-05T10:15:33"/>
    <x v="8"/>
    <n v="0"/>
    <n v="83.1"/>
  </r>
  <r>
    <n v="2208"/>
    <n v="190"/>
    <n v="4"/>
    <n v="2066"/>
    <s v="EARNED"/>
    <n v="22.95"/>
    <s v=""/>
    <d v="2026-06-05T10:46:36"/>
    <x v="8"/>
    <n v="22.95"/>
    <n v="0"/>
  </r>
  <r>
    <n v="2209"/>
    <n v="147"/>
    <n v="2"/>
    <n v="2067"/>
    <s v="EARNED"/>
    <n v="9.2799999999999994"/>
    <s v=""/>
    <d v="2026-06-05T11:53:28"/>
    <x v="8"/>
    <n v="9.2799999999999994"/>
    <n v="0"/>
  </r>
  <r>
    <n v="2210"/>
    <n v="290"/>
    <n v="3"/>
    <n v="2068"/>
    <s v="EARNED"/>
    <n v="1.74"/>
    <s v=""/>
    <d v="2026-06-05T13:20:53"/>
    <x v="8"/>
    <n v="1.74"/>
    <n v="0"/>
  </r>
  <r>
    <n v="2211"/>
    <n v="134"/>
    <n v="3"/>
    <n v="2069"/>
    <s v="EARNED"/>
    <n v="6.43"/>
    <s v=""/>
    <d v="2026-06-05T14:07:42"/>
    <x v="8"/>
    <n v="6.43"/>
    <n v="0"/>
  </r>
  <r>
    <n v="2212"/>
    <n v="134"/>
    <n v="2"/>
    <n v="2070"/>
    <s v="EARNED"/>
    <n v="10.3"/>
    <s v=""/>
    <d v="2026-06-05T14:27:41"/>
    <x v="8"/>
    <n v="10.3"/>
    <n v="0"/>
  </r>
  <r>
    <n v="2213"/>
    <n v="183"/>
    <n v="2"/>
    <n v="2071"/>
    <s v="EARNED"/>
    <n v="9.6999999999999993"/>
    <s v=""/>
    <d v="2026-06-05T15:06:34"/>
    <x v="8"/>
    <n v="9.6999999999999993"/>
    <n v="0"/>
  </r>
  <r>
    <n v="2214"/>
    <n v="90"/>
    <n v="5"/>
    <n v="2072"/>
    <s v="EARNED"/>
    <n v="13.03"/>
    <s v=""/>
    <d v="2026-06-05T15:29:30"/>
    <x v="8"/>
    <n v="13.03"/>
    <n v="0"/>
  </r>
  <r>
    <n v="2215"/>
    <n v="138"/>
    <n v="4"/>
    <n v="2073"/>
    <s v="REDEEMED"/>
    <n v="27.14"/>
    <s v=""/>
    <d v="2026-06-05T16:24:44"/>
    <x v="8"/>
    <n v="0"/>
    <n v="27.14"/>
  </r>
  <r>
    <n v="2216"/>
    <n v="137"/>
    <n v="2"/>
    <n v="2074"/>
    <s v="EARNED"/>
    <n v="3.05"/>
    <s v=""/>
    <d v="2026-06-06T09:23:25"/>
    <x v="8"/>
    <n v="3.05"/>
    <n v="0"/>
  </r>
  <r>
    <n v="2217"/>
    <n v="183"/>
    <n v="3"/>
    <n v="2075"/>
    <s v="EARNED"/>
    <n v="9.8699999999999992"/>
    <s v=""/>
    <d v="2026-06-06T18:05:37"/>
    <x v="8"/>
    <n v="9.8699999999999992"/>
    <n v="0"/>
  </r>
  <r>
    <n v="2218"/>
    <n v="196"/>
    <n v="5"/>
    <n v="2076"/>
    <s v="EARNED"/>
    <n v="2.11"/>
    <s v=""/>
    <d v="2026-06-06T18:16:55"/>
    <x v="8"/>
    <n v="2.11"/>
    <n v="0"/>
  </r>
  <r>
    <n v="2219"/>
    <n v="117"/>
    <n v="2"/>
    <n v="2077"/>
    <s v="EARNED"/>
    <n v="7.31"/>
    <s v=""/>
    <d v="2026-06-06T18:31:15"/>
    <x v="8"/>
    <n v="7.31"/>
    <n v="0"/>
  </r>
  <r>
    <n v="2220"/>
    <n v="213"/>
    <n v="3"/>
    <n v="2078"/>
    <s v="EARNED"/>
    <n v="30"/>
    <s v=""/>
    <d v="2026-06-07T07:54:21"/>
    <x v="8"/>
    <n v="30"/>
    <n v="0"/>
  </r>
  <r>
    <n v="2221"/>
    <n v="121"/>
    <n v="5"/>
    <n v="2079"/>
    <s v="EARNED"/>
    <n v="3.4"/>
    <s v=""/>
    <d v="2026-06-07T09:37:52"/>
    <x v="8"/>
    <n v="3.4"/>
    <n v="0"/>
  </r>
  <r>
    <n v="2222"/>
    <n v="136"/>
    <n v="3"/>
    <n v="2080"/>
    <s v="EARNED"/>
    <n v="9.15"/>
    <s v=""/>
    <d v="2026-06-07T12:56:40"/>
    <x v="8"/>
    <n v="9.15"/>
    <n v="0"/>
  </r>
  <r>
    <n v="2223"/>
    <n v="196"/>
    <n v="3"/>
    <n v="2076"/>
    <s v="ADJUSTMENT"/>
    <n v="-2.11"/>
    <s v="Reverso por cancelación de compra #2076: Cliente canceló la operación"/>
    <d v="2026-06-07T13:16:55"/>
    <x v="8"/>
    <n v="0"/>
    <n v="0"/>
  </r>
  <r>
    <n v="2224"/>
    <n v="250"/>
    <n v="5"/>
    <n v="2081"/>
    <s v="EARNED"/>
    <n v="6.31"/>
    <s v=""/>
    <d v="2026-06-08T12:44:21"/>
    <x v="8"/>
    <n v="6.31"/>
    <n v="0"/>
  </r>
  <r>
    <n v="2225"/>
    <n v="183"/>
    <n v="5"/>
    <n v="2082"/>
    <s v="EARNED"/>
    <n v="7.39"/>
    <s v=""/>
    <d v="2026-06-08T14:52:41"/>
    <x v="8"/>
    <n v="7.39"/>
    <n v="0"/>
  </r>
  <r>
    <n v="2226"/>
    <n v="202"/>
    <n v="4"/>
    <n v="2083"/>
    <s v="EARNED"/>
    <n v="2.63"/>
    <s v=""/>
    <d v="2026-06-08T17:29:53"/>
    <x v="8"/>
    <n v="2.63"/>
    <n v="0"/>
  </r>
  <r>
    <n v="2227"/>
    <n v="134"/>
    <n v="2"/>
    <n v="2084"/>
    <s v="EARNED"/>
    <n v="7.32"/>
    <s v=""/>
    <d v="2026-06-09T08:27:39"/>
    <x v="8"/>
    <n v="7.32"/>
    <n v="0"/>
  </r>
  <r>
    <n v="2228"/>
    <n v="241"/>
    <n v="3"/>
    <n v="2085"/>
    <s v="EARNED"/>
    <n v="4.18"/>
    <s v=""/>
    <d v="2026-06-09T12:45:31"/>
    <x v="8"/>
    <n v="4.18"/>
    <n v="0"/>
  </r>
  <r>
    <n v="2229"/>
    <n v="134"/>
    <n v="5"/>
    <n v="2086"/>
    <s v="EARNED"/>
    <n v="8.39"/>
    <s v=""/>
    <d v="2026-06-09T12:56:26"/>
    <x v="8"/>
    <n v="8.39"/>
    <n v="0"/>
  </r>
  <r>
    <n v="2230"/>
    <n v="138"/>
    <n v="3"/>
    <n v="2087"/>
    <s v="EARNED"/>
    <n v="2.4700000000000002"/>
    <s v=""/>
    <d v="2026-06-09T15:06:26"/>
    <x v="8"/>
    <n v="2.4700000000000002"/>
    <n v="0"/>
  </r>
  <r>
    <n v="2231"/>
    <n v="156"/>
    <n v="4"/>
    <n v="2088"/>
    <s v="EARNED"/>
    <n v="2.94"/>
    <s v=""/>
    <d v="2026-06-10T09:55:24"/>
    <x v="8"/>
    <n v="2.94"/>
    <n v="0"/>
  </r>
  <r>
    <n v="2232"/>
    <n v="177"/>
    <n v="3"/>
    <n v="2089"/>
    <s v="EARNED"/>
    <n v="2.78"/>
    <s v=""/>
    <d v="2026-06-10T10:01:44"/>
    <x v="8"/>
    <n v="2.78"/>
    <n v="0"/>
  </r>
  <r>
    <n v="2233"/>
    <n v="39"/>
    <n v="4"/>
    <n v="2090"/>
    <s v="REDEEMED"/>
    <n v="156.44999999999999"/>
    <s v=""/>
    <d v="2026-06-10T11:13:47"/>
    <x v="8"/>
    <n v="0"/>
    <n v="156.44999999999999"/>
  </r>
  <r>
    <n v="2234"/>
    <n v="57"/>
    <n v="4"/>
    <n v="2091"/>
    <s v="EARNED"/>
    <n v="10.53"/>
    <s v=""/>
    <d v="2026-06-10T12:02:47"/>
    <x v="8"/>
    <n v="10.53"/>
    <n v="0"/>
  </r>
  <r>
    <n v="2235"/>
    <n v="96"/>
    <n v="3"/>
    <n v="2092"/>
    <s v="EARNED"/>
    <n v="21.51"/>
    <s v=""/>
    <d v="2026-06-10T12:36:50"/>
    <x v="8"/>
    <n v="21.51"/>
    <n v="0"/>
  </r>
  <r>
    <n v="2236"/>
    <n v="123"/>
    <n v="4"/>
    <n v="2093"/>
    <s v="EARNED"/>
    <n v="2.71"/>
    <s v=""/>
    <d v="2026-06-10T16:22:32"/>
    <x v="8"/>
    <n v="2.71"/>
    <n v="0"/>
  </r>
  <r>
    <n v="2237"/>
    <n v="238"/>
    <n v="2"/>
    <n v="2094"/>
    <s v="EARNED"/>
    <n v="1.57"/>
    <s v=""/>
    <d v="2026-06-10T16:24:21"/>
    <x v="8"/>
    <n v="1.57"/>
    <n v="0"/>
  </r>
  <r>
    <n v="2238"/>
    <n v="65"/>
    <n v="4"/>
    <n v="2095"/>
    <s v="EARNED"/>
    <n v="4.6399999999999997"/>
    <s v=""/>
    <d v="2026-06-10T16:41:41"/>
    <x v="8"/>
    <n v="4.6399999999999997"/>
    <n v="0"/>
  </r>
  <r>
    <n v="2239"/>
    <n v="69"/>
    <n v="2"/>
    <n v="2096"/>
    <s v="EARNED"/>
    <n v="2.79"/>
    <s v=""/>
    <d v="2026-06-11T07:18:46"/>
    <x v="8"/>
    <n v="2.79"/>
    <n v="0"/>
  </r>
  <r>
    <n v="2240"/>
    <n v="31"/>
    <n v="2"/>
    <n v="2097"/>
    <s v="EARNED"/>
    <n v="5.04"/>
    <s v=""/>
    <d v="2026-06-11T08:02:36"/>
    <x v="8"/>
    <n v="5.04"/>
    <n v="0"/>
  </r>
  <r>
    <n v="2241"/>
    <n v="279"/>
    <n v="3"/>
    <n v="2098"/>
    <s v="EARNED"/>
    <n v="30"/>
    <s v=""/>
    <d v="2026-06-11T08:30:59"/>
    <x v="8"/>
    <n v="30"/>
    <n v="0"/>
  </r>
  <r>
    <n v="2242"/>
    <n v="250"/>
    <n v="3"/>
    <n v="2099"/>
    <s v="EARNED"/>
    <n v="7.83"/>
    <s v=""/>
    <d v="2026-06-11T10:19:02"/>
    <x v="8"/>
    <n v="7.83"/>
    <n v="0"/>
  </r>
  <r>
    <n v="2243"/>
    <n v="118"/>
    <n v="2"/>
    <n v="2100"/>
    <s v="EARNED"/>
    <n v="2.5"/>
    <s v=""/>
    <d v="2026-06-11T12:57:28"/>
    <x v="8"/>
    <n v="2.5"/>
    <n v="0"/>
  </r>
  <r>
    <n v="2244"/>
    <n v="232"/>
    <n v="2"/>
    <n v="2101"/>
    <s v="EARNED"/>
    <n v="5.37"/>
    <s v=""/>
    <d v="2026-06-11T15:59:27"/>
    <x v="8"/>
    <n v="5.37"/>
    <n v="0"/>
  </r>
  <r>
    <n v="2245"/>
    <n v="73"/>
    <n v="4"/>
    <n v="2102"/>
    <s v="EARNED"/>
    <n v="2.37"/>
    <s v=""/>
    <d v="2026-06-11T16:30:35"/>
    <x v="8"/>
    <n v="2.37"/>
    <n v="0"/>
  </r>
  <r>
    <n v="2246"/>
    <n v="122"/>
    <n v="2"/>
    <n v="2103"/>
    <s v="EARNED"/>
    <n v="14.62"/>
    <s v=""/>
    <d v="2026-06-11T17:28:29"/>
    <x v="8"/>
    <n v="14.62"/>
    <n v="0"/>
  </r>
  <r>
    <n v="2247"/>
    <n v="134"/>
    <n v="4"/>
    <n v="2104"/>
    <s v="EARNED"/>
    <n v="14.92"/>
    <s v=""/>
    <d v="2026-06-12T09:13:32"/>
    <x v="8"/>
    <n v="14.92"/>
    <n v="0"/>
  </r>
  <r>
    <n v="2248"/>
    <n v="117"/>
    <n v="5"/>
    <n v="2105"/>
    <s v="EARNED"/>
    <n v="9.18"/>
    <s v=""/>
    <d v="2026-06-12T09:30:18"/>
    <x v="8"/>
    <n v="9.18"/>
    <n v="0"/>
  </r>
  <r>
    <n v="2249"/>
    <n v="87"/>
    <n v="4"/>
    <n v="2106"/>
    <s v="EARNED"/>
    <n v="12.1"/>
    <s v=""/>
    <d v="2026-06-12T11:25:06"/>
    <x v="8"/>
    <n v="12.1"/>
    <n v="0"/>
  </r>
  <r>
    <n v="2250"/>
    <n v="183"/>
    <n v="3"/>
    <n v="2107"/>
    <s v="EARNED"/>
    <n v="8.26"/>
    <s v=""/>
    <d v="2026-06-12T11:47:05"/>
    <x v="8"/>
    <n v="8.26"/>
    <n v="0"/>
  </r>
  <r>
    <n v="2251"/>
    <n v="82"/>
    <n v="2"/>
    <n v="2108"/>
    <s v="EARNED"/>
    <n v="2.89"/>
    <s v=""/>
    <d v="2026-06-12T11:50:25"/>
    <x v="8"/>
    <n v="2.89"/>
    <n v="0"/>
  </r>
  <r>
    <n v="2252"/>
    <n v="250"/>
    <n v="5"/>
    <n v="2109"/>
    <s v="EARNED"/>
    <n v="5.91"/>
    <s v=""/>
    <d v="2026-06-12T12:51:33"/>
    <x v="8"/>
    <n v="5.91"/>
    <n v="0"/>
  </r>
  <r>
    <n v="2253"/>
    <n v="50"/>
    <n v="5"/>
    <n v="2110"/>
    <s v="EARNED"/>
    <n v="7.41"/>
    <s v=""/>
    <d v="2026-06-12T18:06:10"/>
    <x v="8"/>
    <n v="7.41"/>
    <n v="0"/>
  </r>
  <r>
    <n v="2254"/>
    <n v="250"/>
    <n v="4"/>
    <n v="2111"/>
    <s v="REDEEMED"/>
    <n v="81.95"/>
    <s v=""/>
    <d v="2026-06-12T18:42:24"/>
    <x v="8"/>
    <n v="0"/>
    <n v="81.95"/>
  </r>
  <r>
    <n v="2255"/>
    <n v="40"/>
    <n v="3"/>
    <n v="2112"/>
    <s v="EARNED"/>
    <n v="3.49"/>
    <s v=""/>
    <d v="2026-06-13T11:03:40"/>
    <x v="8"/>
    <n v="3.49"/>
    <n v="0"/>
  </r>
  <r>
    <n v="2256"/>
    <n v="133"/>
    <n v="2"/>
    <n v="2113"/>
    <s v="EARNED"/>
    <n v="12.32"/>
    <s v=""/>
    <d v="2026-06-13T13:06:08"/>
    <x v="8"/>
    <n v="12.32"/>
    <n v="0"/>
  </r>
  <r>
    <n v="2257"/>
    <n v="302"/>
    <n v="5"/>
    <n v="2114"/>
    <s v="EARNED"/>
    <n v="1.83"/>
    <s v=""/>
    <d v="2026-06-13T14:19:32"/>
    <x v="8"/>
    <n v="1.83"/>
    <n v="0"/>
  </r>
  <r>
    <n v="2258"/>
    <n v="290"/>
    <n v="4"/>
    <n v="2115"/>
    <s v="EARNED"/>
    <n v="2.82"/>
    <s v=""/>
    <d v="2026-06-13T14:54:49"/>
    <x v="8"/>
    <n v="2.82"/>
    <n v="0"/>
  </r>
  <r>
    <n v="2259"/>
    <n v="90"/>
    <n v="5"/>
    <n v="2116"/>
    <s v="EARNED"/>
    <n v="14.95"/>
    <s v=""/>
    <d v="2026-06-13T16:08:31"/>
    <x v="8"/>
    <n v="14.95"/>
    <n v="0"/>
  </r>
  <r>
    <n v="2260"/>
    <n v="235"/>
    <n v="4"/>
    <n v="2117"/>
    <s v="EARNED"/>
    <n v="4.32"/>
    <s v=""/>
    <d v="2026-06-13T16:45:54"/>
    <x v="8"/>
    <n v="4.32"/>
    <n v="0"/>
  </r>
  <r>
    <n v="2261"/>
    <n v="131"/>
    <n v="4"/>
    <n v="2118"/>
    <s v="EARNED"/>
    <n v="18.2"/>
    <s v=""/>
    <d v="2026-06-13T16:48:14"/>
    <x v="8"/>
    <n v="18.2"/>
    <n v="0"/>
  </r>
  <r>
    <n v="2262"/>
    <n v="229"/>
    <n v="3"/>
    <n v="2119"/>
    <s v="EARNED"/>
    <n v="8.3699999999999992"/>
    <s v=""/>
    <d v="2026-06-13T18:35:18"/>
    <x v="8"/>
    <n v="8.3699999999999992"/>
    <n v="0"/>
  </r>
  <r>
    <n v="2263"/>
    <n v="39"/>
    <n v="5"/>
    <n v="2120"/>
    <s v="EARNED"/>
    <n v="10.91"/>
    <s v=""/>
    <d v="2026-06-13T18:57:54"/>
    <x v="8"/>
    <n v="10.91"/>
    <n v="0"/>
  </r>
  <r>
    <n v="2264"/>
    <n v="156"/>
    <n v="5"/>
    <n v="2121"/>
    <s v="EARNED"/>
    <n v="4.05"/>
    <s v=""/>
    <d v="2026-06-14T08:07:54"/>
    <x v="8"/>
    <n v="4.05"/>
    <n v="0"/>
  </r>
  <r>
    <n v="2265"/>
    <n v="36"/>
    <n v="5"/>
    <n v="2122"/>
    <s v="EARNED"/>
    <n v="18.34"/>
    <s v=""/>
    <d v="2026-06-14T10:15:10"/>
    <x v="8"/>
    <n v="18.34"/>
    <n v="0"/>
  </r>
  <r>
    <n v="2266"/>
    <n v="297"/>
    <n v="5"/>
    <n v="2123"/>
    <s v="EARNED"/>
    <n v="13.37"/>
    <s v=""/>
    <d v="2026-06-14T14:00:12"/>
    <x v="8"/>
    <n v="13.37"/>
    <n v="0"/>
  </r>
  <r>
    <n v="2267"/>
    <n v="172"/>
    <n v="4"/>
    <n v="2124"/>
    <s v="EARNED"/>
    <n v="2.35"/>
    <s v=""/>
    <d v="2026-06-14T18:49:49"/>
    <x v="8"/>
    <n v="2.35"/>
    <n v="0"/>
  </r>
  <r>
    <n v="2268"/>
    <n v="302"/>
    <n v="5"/>
    <n v="2114"/>
    <s v="ADJUSTMENT"/>
    <n v="-1.83"/>
    <s v="Reverso por cancelación de compra #2114: Monto duplicado por error de sistema"/>
    <d v="2026-06-15T01:19:32"/>
    <x v="8"/>
    <n v="0"/>
    <n v="0"/>
  </r>
  <r>
    <n v="2269"/>
    <n v="229"/>
    <n v="3"/>
    <n v="2125"/>
    <s v="EARNED"/>
    <n v="11.4"/>
    <s v=""/>
    <d v="2026-06-15T14:05:33"/>
    <x v="8"/>
    <n v="11.4"/>
    <n v="0"/>
  </r>
  <r>
    <n v="2270"/>
    <n v="227"/>
    <n v="4"/>
    <n v="2126"/>
    <s v="EARNED"/>
    <n v="2.74"/>
    <s v=""/>
    <d v="2026-06-15T14:18:26"/>
    <x v="8"/>
    <n v="2.74"/>
    <n v="0"/>
  </r>
  <r>
    <n v="2271"/>
    <n v="47"/>
    <n v="2"/>
    <n v="2127"/>
    <s v="EARNED"/>
    <n v="6.04"/>
    <s v=""/>
    <d v="2026-06-15T16:06:24"/>
    <x v="8"/>
    <n v="6.04"/>
    <n v="0"/>
  </r>
  <r>
    <n v="2272"/>
    <n v="229"/>
    <n v="2"/>
    <n v="2128"/>
    <s v="EARNED"/>
    <n v="5.89"/>
    <s v=""/>
    <d v="2026-06-16T09:39:18"/>
    <x v="8"/>
    <n v="5.89"/>
    <n v="0"/>
  </r>
  <r>
    <n v="2273"/>
    <n v="221"/>
    <n v="5"/>
    <n v="2129"/>
    <s v="EARNED"/>
    <n v="16.66"/>
    <s v=""/>
    <d v="2026-06-16T09:52:55"/>
    <x v="8"/>
    <n v="16.66"/>
    <n v="0"/>
  </r>
  <r>
    <n v="2274"/>
    <n v="267"/>
    <n v="5"/>
    <n v="2130"/>
    <s v="EARNED"/>
    <n v="5.74"/>
    <s v=""/>
    <d v="2026-06-16T10:51:28"/>
    <x v="8"/>
    <n v="5.74"/>
    <n v="0"/>
  </r>
  <r>
    <n v="2275"/>
    <n v="136"/>
    <n v="3"/>
    <n v="2131"/>
    <s v="EARNED"/>
    <n v="6.61"/>
    <s v=""/>
    <d v="2026-06-16T11:37:11"/>
    <x v="8"/>
    <n v="6.61"/>
    <n v="0"/>
  </r>
  <r>
    <n v="2276"/>
    <n v="303"/>
    <n v="3"/>
    <n v="2132"/>
    <s v="EARNED"/>
    <n v="2.69"/>
    <s v=""/>
    <d v="2026-06-16T13:54:47"/>
    <x v="8"/>
    <n v="2.69"/>
    <n v="0"/>
  </r>
  <r>
    <n v="2277"/>
    <n v="190"/>
    <n v="3"/>
    <n v="2133"/>
    <s v="EARNED"/>
    <n v="30"/>
    <s v=""/>
    <d v="2026-06-16T14:56:59"/>
    <x v="8"/>
    <n v="30"/>
    <n v="0"/>
  </r>
  <r>
    <n v="2278"/>
    <n v="44"/>
    <n v="2"/>
    <n v="2134"/>
    <s v="EARNED"/>
    <n v="2.57"/>
    <s v=""/>
    <d v="2026-06-16T16:36:33"/>
    <x v="8"/>
    <n v="2.57"/>
    <n v="0"/>
  </r>
  <r>
    <n v="2279"/>
    <n v="156"/>
    <n v="3"/>
    <n v="2135"/>
    <s v="EARNED"/>
    <n v="2.92"/>
    <s v=""/>
    <d v="2026-06-17T12:37:33"/>
    <x v="8"/>
    <n v="2.92"/>
    <n v="0"/>
  </r>
  <r>
    <n v="2280"/>
    <n v="156"/>
    <n v="4"/>
    <n v="2135"/>
    <s v="ADJUSTMENT"/>
    <n v="-2.92"/>
    <s v="Reverso por cancelación de compra #2135: Monto duplicado por error de sistema"/>
    <d v="2026-06-17T13:37:33"/>
    <x v="8"/>
    <n v="0"/>
    <n v="0"/>
  </r>
  <r>
    <n v="2281"/>
    <n v="158"/>
    <n v="2"/>
    <n v="2136"/>
    <s v="EARNED"/>
    <n v="2.95"/>
    <s v=""/>
    <d v="2026-06-17T15:57:53"/>
    <x v="8"/>
    <n v="2.95"/>
    <n v="0"/>
  </r>
  <r>
    <n v="2282"/>
    <n v="285"/>
    <n v="2"/>
    <n v="2137"/>
    <s v="EARNED"/>
    <n v="4"/>
    <s v=""/>
    <d v="2026-06-17T17:19:13"/>
    <x v="8"/>
    <n v="4"/>
    <n v="0"/>
  </r>
  <r>
    <n v="2283"/>
    <n v="117"/>
    <n v="4"/>
    <n v="2138"/>
    <s v="EARNED"/>
    <n v="11.94"/>
    <s v=""/>
    <d v="2026-06-17T17:31:48"/>
    <x v="8"/>
    <n v="11.94"/>
    <n v="0"/>
  </r>
  <r>
    <n v="2284"/>
    <n v="250"/>
    <n v="5"/>
    <n v="2139"/>
    <s v="EARNED"/>
    <n v="12.15"/>
    <s v=""/>
    <d v="2026-06-17T17:49:42"/>
    <x v="8"/>
    <n v="12.15"/>
    <n v="0"/>
  </r>
  <r>
    <n v="2285"/>
    <n v="187"/>
    <n v="3"/>
    <n v="2140"/>
    <s v="EARNED"/>
    <n v="3.24"/>
    <s v=""/>
    <d v="2026-06-17T18:05:22"/>
    <x v="8"/>
    <n v="3.24"/>
    <n v="0"/>
  </r>
  <r>
    <n v="2286"/>
    <n v="25"/>
    <n v="2"/>
    <n v="2141"/>
    <s v="EARNED"/>
    <n v="6.81"/>
    <s v=""/>
    <d v="2026-06-17T19:25:32"/>
    <x v="8"/>
    <n v="6.81"/>
    <n v="0"/>
  </r>
  <r>
    <n v="2287"/>
    <n v="269"/>
    <n v="3"/>
    <n v="2142"/>
    <s v="EARNED"/>
    <n v="14.61"/>
    <s v=""/>
    <d v="2026-06-18T08:57:52"/>
    <x v="8"/>
    <n v="14.61"/>
    <n v="0"/>
  </r>
  <r>
    <n v="2288"/>
    <n v="39"/>
    <n v="2"/>
    <n v="2143"/>
    <s v="EARNED"/>
    <n v="26.89"/>
    <s v=""/>
    <d v="2026-06-18T09:46:07"/>
    <x v="8"/>
    <n v="26.89"/>
    <n v="0"/>
  </r>
  <r>
    <n v="2289"/>
    <n v="52"/>
    <n v="2"/>
    <n v="2144"/>
    <s v="EARNED"/>
    <n v="2.16"/>
    <s v=""/>
    <d v="2026-06-18T10:06:20"/>
    <x v="8"/>
    <n v="2.16"/>
    <n v="0"/>
  </r>
  <r>
    <n v="2290"/>
    <n v="229"/>
    <n v="4"/>
    <n v="2145"/>
    <s v="EARNED"/>
    <n v="9.9"/>
    <s v=""/>
    <d v="2026-06-18T10:11:53"/>
    <x v="8"/>
    <n v="9.9"/>
    <n v="0"/>
  </r>
  <r>
    <n v="2291"/>
    <n v="243"/>
    <n v="2"/>
    <n v="2146"/>
    <s v="EARNED"/>
    <n v="3.06"/>
    <s v=""/>
    <d v="2026-06-18T11:19:46"/>
    <x v="8"/>
    <n v="3.06"/>
    <n v="0"/>
  </r>
  <r>
    <n v="2292"/>
    <n v="134"/>
    <n v="5"/>
    <n v="2147"/>
    <s v="EARNED"/>
    <n v="16.52"/>
    <s v=""/>
    <d v="2026-06-18T12:47:56"/>
    <x v="8"/>
    <n v="16.52"/>
    <n v="0"/>
  </r>
  <r>
    <n v="2293"/>
    <n v="137"/>
    <n v="5"/>
    <n v="2148"/>
    <s v="EARNED"/>
    <n v="2.95"/>
    <s v=""/>
    <d v="2026-06-18T13:13:51"/>
    <x v="8"/>
    <n v="2.95"/>
    <n v="0"/>
  </r>
  <r>
    <n v="2294"/>
    <n v="104"/>
    <n v="4"/>
    <n v="2149"/>
    <s v="EARNED"/>
    <n v="22.23"/>
    <s v=""/>
    <d v="2026-06-18T15:47:38"/>
    <x v="8"/>
    <n v="22.23"/>
    <n v="0"/>
  </r>
  <r>
    <n v="2295"/>
    <n v="48"/>
    <n v="5"/>
    <n v="2150"/>
    <s v="EARNED"/>
    <n v="13.53"/>
    <s v=""/>
    <d v="2026-06-18T16:41:48"/>
    <x v="8"/>
    <n v="13.53"/>
    <n v="0"/>
  </r>
  <r>
    <n v="2296"/>
    <n v="246"/>
    <n v="4"/>
    <n v="2151"/>
    <s v="EARNED"/>
    <n v="3.06"/>
    <s v=""/>
    <d v="2026-06-18T17:23:07"/>
    <x v="8"/>
    <n v="3.06"/>
    <n v="0"/>
  </r>
  <r>
    <n v="2297"/>
    <n v="269"/>
    <n v="5"/>
    <n v="2142"/>
    <s v="ADJUSTMENT"/>
    <n v="-14.61"/>
    <s v="Reverso por cancelación de compra #2142: Error de captura"/>
    <d v="2026-06-18T20:57:52"/>
    <x v="8"/>
    <n v="0"/>
    <n v="0"/>
  </r>
  <r>
    <n v="2298"/>
    <n v="232"/>
    <n v="2"/>
    <n v="2152"/>
    <s v="EARNED"/>
    <n v="8"/>
    <s v=""/>
    <d v="2026-06-19T11:28:15"/>
    <x v="8"/>
    <n v="8"/>
    <n v="0"/>
  </r>
  <r>
    <n v="2299"/>
    <n v="65"/>
    <n v="5"/>
    <n v="2153"/>
    <s v="EARNED"/>
    <n v="2.5499999999999998"/>
    <s v=""/>
    <d v="2026-06-19T12:20:26"/>
    <x v="8"/>
    <n v="2.5499999999999998"/>
    <n v="0"/>
  </r>
  <r>
    <n v="2300"/>
    <n v="156"/>
    <n v="5"/>
    <n v="2154"/>
    <s v="EARNED"/>
    <n v="3.02"/>
    <s v=""/>
    <d v="2026-06-19T15:45:24"/>
    <x v="8"/>
    <n v="3.02"/>
    <n v="0"/>
  </r>
  <r>
    <n v="2301"/>
    <n v="197"/>
    <n v="5"/>
    <n v="2155"/>
    <s v="EARNED"/>
    <n v="13.72"/>
    <s v=""/>
    <d v="2026-06-19T16:31:21"/>
    <x v="8"/>
    <n v="13.72"/>
    <n v="0"/>
  </r>
  <r>
    <n v="2302"/>
    <n v="282"/>
    <n v="3"/>
    <n v="2156"/>
    <s v="EARNED"/>
    <n v="16.059999999999999"/>
    <s v=""/>
    <d v="2026-06-20T08:26:02"/>
    <x v="8"/>
    <n v="16.059999999999999"/>
    <n v="0"/>
  </r>
  <r>
    <n v="2303"/>
    <n v="201"/>
    <n v="3"/>
    <n v="2157"/>
    <s v="EARNED"/>
    <n v="2.06"/>
    <s v=""/>
    <d v="2026-06-20T11:07:59"/>
    <x v="8"/>
    <n v="2.06"/>
    <n v="0"/>
  </r>
  <r>
    <n v="2304"/>
    <n v="107"/>
    <n v="4"/>
    <n v="2158"/>
    <s v="EARNED"/>
    <n v="3.85"/>
    <s v=""/>
    <d v="2026-06-20T14:37:21"/>
    <x v="8"/>
    <n v="3.85"/>
    <n v="0"/>
  </r>
  <r>
    <n v="2305"/>
    <n v="297"/>
    <n v="5"/>
    <n v="2159"/>
    <s v="EARNED"/>
    <n v="11.46"/>
    <s v=""/>
    <d v="2026-06-20T15:35:52"/>
    <x v="8"/>
    <n v="11.46"/>
    <n v="0"/>
  </r>
  <r>
    <n v="2306"/>
    <n v="134"/>
    <n v="3"/>
    <n v="2160"/>
    <s v="EARNED"/>
    <n v="20.39"/>
    <s v=""/>
    <d v="2026-06-20T18:04:30"/>
    <x v="8"/>
    <n v="20.39"/>
    <n v="0"/>
  </r>
  <r>
    <n v="2307"/>
    <n v="261"/>
    <n v="5"/>
    <n v="2161"/>
    <s v="EARNED"/>
    <n v="9.36"/>
    <s v=""/>
    <d v="2026-06-20T18:07:28"/>
    <x v="8"/>
    <n v="9.36"/>
    <n v="0"/>
  </r>
  <r>
    <n v="2308"/>
    <n v="134"/>
    <n v="3"/>
    <n v="2162"/>
    <s v="REDEEMED"/>
    <n v="64.45"/>
    <s v=""/>
    <d v="2026-06-20T18:29:34"/>
    <x v="8"/>
    <n v="0"/>
    <n v="64.45"/>
  </r>
  <r>
    <n v="2309"/>
    <n v="62"/>
    <n v="2"/>
    <n v="2163"/>
    <s v="EARNED"/>
    <n v="2.42"/>
    <s v=""/>
    <d v="2026-06-21T09:53:56"/>
    <x v="8"/>
    <n v="2.42"/>
    <n v="0"/>
  </r>
  <r>
    <n v="2310"/>
    <n v="134"/>
    <n v="4"/>
    <n v="2164"/>
    <s v="EARNED"/>
    <n v="10.88"/>
    <s v=""/>
    <d v="2026-06-21T13:34:48"/>
    <x v="8"/>
    <n v="10.88"/>
    <n v="0"/>
  </r>
  <r>
    <n v="2311"/>
    <n v="86"/>
    <n v="5"/>
    <n v="2165"/>
    <s v="EARNED"/>
    <n v="3.46"/>
    <s v=""/>
    <d v="2026-06-22T08:39:12"/>
    <x v="8"/>
    <n v="3.46"/>
    <n v="0"/>
  </r>
  <r>
    <n v="2312"/>
    <n v="128"/>
    <n v="2"/>
    <n v="2166"/>
    <s v="EARNED"/>
    <n v="2.21"/>
    <s v=""/>
    <d v="2026-06-22T09:54:14"/>
    <x v="8"/>
    <n v="2.21"/>
    <n v="0"/>
  </r>
  <r>
    <n v="2313"/>
    <n v="210"/>
    <n v="4"/>
    <n v="2167"/>
    <s v="EARNED"/>
    <n v="2.94"/>
    <s v=""/>
    <d v="2026-06-22T10:04:16"/>
    <x v="8"/>
    <n v="2.94"/>
    <n v="0"/>
  </r>
  <r>
    <n v="2314"/>
    <n v="61"/>
    <n v="5"/>
    <n v="2168"/>
    <s v="EARNED"/>
    <n v="8.36"/>
    <s v=""/>
    <d v="2026-06-22T11:42:21"/>
    <x v="8"/>
    <n v="8.36"/>
    <n v="0"/>
  </r>
  <r>
    <n v="2315"/>
    <n v="263"/>
    <n v="4"/>
    <n v="2169"/>
    <s v="EARNED"/>
    <n v="2.25"/>
    <s v=""/>
    <d v="2026-06-22T15:18:16"/>
    <x v="8"/>
    <n v="2.25"/>
    <n v="0"/>
  </r>
  <r>
    <n v="2316"/>
    <n v="146"/>
    <n v="5"/>
    <n v="2170"/>
    <s v="EARNED"/>
    <n v="2.93"/>
    <s v=""/>
    <d v="2026-06-22T16:19:16"/>
    <x v="8"/>
    <n v="2.93"/>
    <n v="0"/>
  </r>
  <r>
    <n v="2317"/>
    <n v="87"/>
    <n v="3"/>
    <n v="2171"/>
    <s v="EARNED"/>
    <n v="10.039999999999999"/>
    <s v=""/>
    <d v="2026-06-23T09:13:45"/>
    <x v="8"/>
    <n v="10.039999999999999"/>
    <n v="0"/>
  </r>
  <r>
    <n v="2318"/>
    <n v="255"/>
    <n v="4"/>
    <n v="2172"/>
    <s v="EARNED"/>
    <n v="3.87"/>
    <s v=""/>
    <d v="2026-06-23T10:02:09"/>
    <x v="8"/>
    <n v="3.87"/>
    <n v="0"/>
  </r>
  <r>
    <n v="2319"/>
    <n v="134"/>
    <n v="2"/>
    <n v="2173"/>
    <s v="EARNED"/>
    <n v="8.66"/>
    <s v=""/>
    <d v="2026-06-23T10:10:22"/>
    <x v="8"/>
    <n v="8.66"/>
    <n v="0"/>
  </r>
  <r>
    <n v="2320"/>
    <n v="106"/>
    <n v="4"/>
    <n v="2174"/>
    <s v="EARNED"/>
    <n v="7.28"/>
    <s v=""/>
    <d v="2026-06-23T10:49:06"/>
    <x v="8"/>
    <n v="7.28"/>
    <n v="0"/>
  </r>
  <r>
    <n v="2321"/>
    <n v="243"/>
    <n v="3"/>
    <n v="2175"/>
    <s v="EARNED"/>
    <n v="2.5"/>
    <s v=""/>
    <d v="2026-06-23T11:37:19"/>
    <x v="8"/>
    <n v="2.5"/>
    <n v="0"/>
  </r>
  <r>
    <n v="2322"/>
    <n v="128"/>
    <n v="3"/>
    <n v="2176"/>
    <s v="EARNED"/>
    <n v="1.9"/>
    <s v=""/>
    <d v="2026-06-23T11:39:18"/>
    <x v="8"/>
    <n v="1.9"/>
    <n v="0"/>
  </r>
  <r>
    <n v="2323"/>
    <n v="200"/>
    <n v="3"/>
    <n v="2177"/>
    <s v="EARNED"/>
    <n v="3.17"/>
    <s v=""/>
    <d v="2026-06-23T13:31:40"/>
    <x v="8"/>
    <n v="3.17"/>
    <n v="0"/>
  </r>
  <r>
    <n v="2324"/>
    <n v="278"/>
    <n v="3"/>
    <n v="2178"/>
    <s v="EARNED"/>
    <n v="18.16"/>
    <s v=""/>
    <d v="2026-06-23T15:31:04"/>
    <x v="8"/>
    <n v="18.16"/>
    <n v="0"/>
  </r>
  <r>
    <n v="2325"/>
    <n v="278"/>
    <n v="2"/>
    <n v="2179"/>
    <s v="EARNED"/>
    <n v="10.66"/>
    <s v=""/>
    <d v="2026-06-24T07:25:45"/>
    <x v="8"/>
    <n v="10.66"/>
    <n v="0"/>
  </r>
  <r>
    <n v="2326"/>
    <n v="96"/>
    <n v="2"/>
    <n v="2180"/>
    <s v="EARNED"/>
    <n v="12.65"/>
    <s v=""/>
    <d v="2026-06-24T14:36:34"/>
    <x v="8"/>
    <n v="12.65"/>
    <n v="0"/>
  </r>
  <r>
    <n v="2327"/>
    <n v="41"/>
    <n v="4"/>
    <n v="2181"/>
    <s v="EARNED"/>
    <n v="18.579999999999998"/>
    <s v=""/>
    <d v="2026-06-24T16:27:41"/>
    <x v="8"/>
    <n v="18.579999999999998"/>
    <n v="0"/>
  </r>
  <r>
    <n v="2328"/>
    <n v="101"/>
    <n v="2"/>
    <n v="2182"/>
    <s v="EARNED"/>
    <n v="4.72"/>
    <s v=""/>
    <d v="2026-06-25T07:26:54"/>
    <x v="8"/>
    <n v="4.72"/>
    <n v="0"/>
  </r>
  <r>
    <n v="2329"/>
    <n v="304"/>
    <n v="5"/>
    <n v="2183"/>
    <s v="EARNED"/>
    <n v="1.91"/>
    <s v=""/>
    <d v="2026-06-25T09:35:56"/>
    <x v="8"/>
    <n v="1.91"/>
    <n v="0"/>
  </r>
  <r>
    <n v="2330"/>
    <n v="245"/>
    <n v="5"/>
    <n v="2184"/>
    <s v="EARNED"/>
    <n v="3.38"/>
    <s v=""/>
    <d v="2026-06-25T10:22:47"/>
    <x v="8"/>
    <n v="3.38"/>
    <n v="0"/>
  </r>
  <r>
    <n v="2331"/>
    <n v="126"/>
    <n v="4"/>
    <n v="2185"/>
    <s v="EARNED"/>
    <n v="11.5"/>
    <s v=""/>
    <d v="2026-06-25T10:32:21"/>
    <x v="8"/>
    <n v="11.5"/>
    <n v="0"/>
  </r>
  <r>
    <n v="2332"/>
    <n v="65"/>
    <n v="2"/>
    <n v="2186"/>
    <s v="EARNED"/>
    <n v="2.3199999999999998"/>
    <s v=""/>
    <d v="2026-06-25T11:20:33"/>
    <x v="8"/>
    <n v="2.3199999999999998"/>
    <n v="0"/>
  </r>
  <r>
    <n v="2333"/>
    <n v="183"/>
    <n v="5"/>
    <n v="2187"/>
    <s v="EARNED"/>
    <n v="12.48"/>
    <s v=""/>
    <d v="2026-06-25T12:42:43"/>
    <x v="8"/>
    <n v="12.48"/>
    <n v="0"/>
  </r>
  <r>
    <n v="2334"/>
    <n v="125"/>
    <n v="2"/>
    <n v="2188"/>
    <s v="EARNED"/>
    <n v="4.0999999999999996"/>
    <s v=""/>
    <d v="2026-06-25T14:27:57"/>
    <x v="8"/>
    <n v="4.0999999999999996"/>
    <n v="0"/>
  </r>
  <r>
    <n v="2335"/>
    <n v="134"/>
    <n v="4"/>
    <n v="2189"/>
    <s v="EARNED"/>
    <n v="22"/>
    <s v=""/>
    <d v="2026-06-25T15:48:32"/>
    <x v="8"/>
    <n v="22"/>
    <n v="0"/>
  </r>
  <r>
    <n v="2336"/>
    <n v="141"/>
    <n v="5"/>
    <n v="2190"/>
    <s v="REDEEMED"/>
    <n v="77.78"/>
    <s v=""/>
    <d v="2026-06-25T16:05:24"/>
    <x v="8"/>
    <n v="0"/>
    <n v="77.78"/>
  </r>
  <r>
    <n v="2337"/>
    <n v="271"/>
    <n v="3"/>
    <n v="2191"/>
    <s v="EARNED"/>
    <n v="4.83"/>
    <s v=""/>
    <d v="2026-06-25T16:14:29"/>
    <x v="8"/>
    <n v="4.83"/>
    <n v="0"/>
  </r>
  <r>
    <n v="2338"/>
    <n v="128"/>
    <n v="5"/>
    <n v="2192"/>
    <s v="EARNED"/>
    <n v="3.53"/>
    <s v=""/>
    <d v="2026-06-25T16:38:06"/>
    <x v="8"/>
    <n v="3.53"/>
    <n v="0"/>
  </r>
  <r>
    <n v="2339"/>
    <n v="170"/>
    <n v="5"/>
    <n v="2193"/>
    <s v="EARNED"/>
    <n v="14.4"/>
    <s v=""/>
    <d v="2026-06-25T16:50:42"/>
    <x v="8"/>
    <n v="14.4"/>
    <n v="0"/>
  </r>
  <r>
    <n v="2340"/>
    <n v="128"/>
    <n v="2"/>
    <n v="2194"/>
    <s v="EARNED"/>
    <n v="2.4500000000000002"/>
    <s v=""/>
    <d v="2026-06-25T17:20:28"/>
    <x v="8"/>
    <n v="2.4500000000000002"/>
    <n v="0"/>
  </r>
  <r>
    <n v="2341"/>
    <n v="128"/>
    <n v="5"/>
    <n v="2195"/>
    <s v="EARNED"/>
    <n v="2.02"/>
    <s v=""/>
    <d v="2026-06-25T19:39:10"/>
    <x v="8"/>
    <n v="2.02"/>
    <n v="0"/>
  </r>
  <r>
    <n v="2342"/>
    <n v="127"/>
    <n v="4"/>
    <n v="2196"/>
    <s v="EARNED"/>
    <n v="9.3699999999999992"/>
    <s v=""/>
    <d v="2026-06-26T08:28:02"/>
    <x v="8"/>
    <n v="9.3699999999999992"/>
    <n v="0"/>
  </r>
  <r>
    <n v="2343"/>
    <n v="16"/>
    <n v="5"/>
    <n v="2197"/>
    <s v="EARNED"/>
    <n v="13.51"/>
    <s v=""/>
    <d v="2026-06-26T10:54:43"/>
    <x v="8"/>
    <n v="13.51"/>
    <n v="0"/>
  </r>
  <r>
    <n v="2344"/>
    <n v="221"/>
    <n v="2"/>
    <n v="2198"/>
    <s v="REDEEMED"/>
    <n v="193.75"/>
    <s v=""/>
    <d v="2026-06-26T14:05:30"/>
    <x v="8"/>
    <n v="0"/>
    <n v="193.75"/>
  </r>
  <r>
    <n v="2345"/>
    <n v="156"/>
    <n v="2"/>
    <n v="2199"/>
    <s v="REDEEMED"/>
    <n v="55.22"/>
    <s v=""/>
    <d v="2026-06-26T14:12:54"/>
    <x v="8"/>
    <n v="0"/>
    <n v="55.22"/>
  </r>
  <r>
    <n v="2346"/>
    <n v="47"/>
    <n v="4"/>
    <n v="2200"/>
    <s v="EARNED"/>
    <n v="2.33"/>
    <s v=""/>
    <d v="2026-06-26T16:03:51"/>
    <x v="8"/>
    <n v="2.33"/>
    <n v="0"/>
  </r>
  <r>
    <n v="2347"/>
    <n v="221"/>
    <n v="5"/>
    <n v="2198"/>
    <s v="ADJUSTMENT"/>
    <n v="193.75"/>
    <s v="Reverso por cancelación de compra #2198: Solicitud del cliente"/>
    <d v="2026-06-26T16:05:30"/>
    <x v="8"/>
    <n v="0"/>
    <n v="0"/>
  </r>
  <r>
    <n v="2348"/>
    <n v="128"/>
    <n v="2"/>
    <n v="2201"/>
    <s v="EARNED"/>
    <n v="1.57"/>
    <s v=""/>
    <d v="2026-06-27T08:57:01"/>
    <x v="8"/>
    <n v="1.57"/>
    <n v="0"/>
  </r>
  <r>
    <n v="2349"/>
    <n v="48"/>
    <n v="5"/>
    <n v="2202"/>
    <s v="EARNED"/>
    <n v="10.17"/>
    <s v=""/>
    <d v="2026-06-27T11:21:11"/>
    <x v="8"/>
    <n v="10.17"/>
    <n v="0"/>
  </r>
  <r>
    <n v="2350"/>
    <n v="254"/>
    <n v="4"/>
    <n v="2203"/>
    <s v="EARNED"/>
    <n v="17.95"/>
    <s v=""/>
    <d v="2026-06-27T14:46:04"/>
    <x v="8"/>
    <n v="17.95"/>
    <n v="0"/>
  </r>
  <r>
    <n v="2351"/>
    <n v="246"/>
    <n v="3"/>
    <n v="2204"/>
    <s v="EARNED"/>
    <n v="3.19"/>
    <s v=""/>
    <d v="2026-06-27T15:25:51"/>
    <x v="8"/>
    <n v="3.19"/>
    <n v="0"/>
  </r>
  <r>
    <n v="2352"/>
    <n v="250"/>
    <n v="4"/>
    <n v="2205"/>
    <s v="EARNED"/>
    <n v="22"/>
    <s v=""/>
    <d v="2026-06-27T15:37:58"/>
    <x v="8"/>
    <n v="22"/>
    <n v="0"/>
  </r>
  <r>
    <n v="2353"/>
    <n v="128"/>
    <n v="4"/>
    <n v="2195"/>
    <s v="ADJUSTMENT"/>
    <n v="-2.02"/>
    <s v="Reverso por cancelación de compra #2195: Monto duplicado por error de sistema"/>
    <d v="2026-06-27T15:39:10"/>
    <x v="8"/>
    <n v="0"/>
    <n v="0"/>
  </r>
  <r>
    <n v="2354"/>
    <n v="139"/>
    <n v="3"/>
    <n v="2206"/>
    <s v="EARNED"/>
    <n v="8.26"/>
    <s v=""/>
    <d v="2026-06-27T17:08:43"/>
    <x v="8"/>
    <n v="8.26"/>
    <n v="0"/>
  </r>
  <r>
    <n v="2355"/>
    <n v="16"/>
    <n v="2"/>
    <n v="2207"/>
    <s v="EARNED"/>
    <n v="13"/>
    <s v=""/>
    <d v="2026-06-27T18:02:54"/>
    <x v="8"/>
    <n v="13"/>
    <n v="0"/>
  </r>
  <r>
    <n v="2356"/>
    <n v="128"/>
    <n v="2"/>
    <n v="2208"/>
    <s v="EARNED"/>
    <n v="4.28"/>
    <s v=""/>
    <d v="2026-06-27T19:02:31"/>
    <x v="8"/>
    <n v="4.28"/>
    <n v="0"/>
  </r>
  <r>
    <n v="2357"/>
    <n v="6"/>
    <n v="4"/>
    <n v="2209"/>
    <s v="EARNED"/>
    <n v="3.76"/>
    <s v=""/>
    <d v="2026-06-28T10:11:46"/>
    <x v="8"/>
    <n v="3.76"/>
    <n v="0"/>
  </r>
  <r>
    <n v="2358"/>
    <n v="16"/>
    <n v="2"/>
    <n v="2207"/>
    <s v="ADJUSTMENT"/>
    <n v="-13"/>
    <s v="Reverso por cancelación de compra #2207: Solicitud del cliente"/>
    <d v="2026-06-28T17:02:54"/>
    <x v="8"/>
    <n v="0"/>
    <n v="0"/>
  </r>
  <r>
    <n v="2359"/>
    <n v="250"/>
    <n v="4"/>
    <n v="2210"/>
    <s v="EARNED"/>
    <n v="14.36"/>
    <s v=""/>
    <d v="2026-06-28T18:42:58"/>
    <x v="8"/>
    <n v="14.36"/>
    <n v="0"/>
  </r>
  <r>
    <n v="2360"/>
    <n v="250"/>
    <n v="4"/>
    <n v="2211"/>
    <s v="EARNED"/>
    <n v="9.76"/>
    <s v=""/>
    <d v="2026-06-29T09:43:37"/>
    <x v="8"/>
    <n v="9.76"/>
    <n v="0"/>
  </r>
  <r>
    <n v="2361"/>
    <n v="91"/>
    <n v="5"/>
    <n v="2212"/>
    <s v="EARNED"/>
    <n v="2.82"/>
    <s v=""/>
    <d v="2026-06-29T10:45:05"/>
    <x v="8"/>
    <n v="2.82"/>
    <n v="0"/>
  </r>
  <r>
    <n v="2362"/>
    <n v="229"/>
    <n v="2"/>
    <n v="2213"/>
    <s v="EARNED"/>
    <n v="6.46"/>
    <s v=""/>
    <d v="2026-06-29T12:15:51"/>
    <x v="8"/>
    <n v="6.46"/>
    <n v="0"/>
  </r>
  <r>
    <n v="2363"/>
    <n v="156"/>
    <n v="3"/>
    <n v="2214"/>
    <s v="EARNED"/>
    <n v="1.98"/>
    <s v=""/>
    <d v="2026-06-29T13:27:53"/>
    <x v="8"/>
    <n v="1.98"/>
    <n v="0"/>
  </r>
  <r>
    <n v="2364"/>
    <n v="294"/>
    <n v="3"/>
    <n v="2215"/>
    <s v="EARNED"/>
    <n v="2.86"/>
    <s v=""/>
    <d v="2026-06-29T13:41:56"/>
    <x v="8"/>
    <n v="2.86"/>
    <n v="0"/>
  </r>
  <r>
    <n v="2365"/>
    <n v="132"/>
    <n v="2"/>
    <n v="2216"/>
    <s v="EARNED"/>
    <n v="26.58"/>
    <s v=""/>
    <d v="2026-06-29T17:08:05"/>
    <x v="8"/>
    <n v="26.58"/>
    <n v="0"/>
  </r>
  <r>
    <n v="2366"/>
    <n v="163"/>
    <n v="5"/>
    <n v="2217"/>
    <s v="EARNED"/>
    <n v="1.28"/>
    <s v=""/>
    <d v="2026-06-29T18:57:43"/>
    <x v="8"/>
    <n v="1.28"/>
    <n v="0"/>
  </r>
  <r>
    <n v="2367"/>
    <n v="44"/>
    <n v="5"/>
    <n v="2218"/>
    <s v="EARNED"/>
    <n v="2.14"/>
    <s v=""/>
    <d v="2026-06-30T09:05:34"/>
    <x v="8"/>
    <n v="2.14"/>
    <n v="0"/>
  </r>
  <r>
    <n v="2368"/>
    <n v="264"/>
    <n v="3"/>
    <n v="2219"/>
    <s v="EARNED"/>
    <n v="17.93"/>
    <s v=""/>
    <d v="2026-06-30T10:43:54"/>
    <x v="8"/>
    <n v="17.93"/>
    <n v="0"/>
  </r>
  <r>
    <n v="2369"/>
    <n v="190"/>
    <n v="3"/>
    <n v="2220"/>
    <s v="EARNED"/>
    <n v="24.88"/>
    <s v=""/>
    <d v="2026-06-30T11:49:02"/>
    <x v="8"/>
    <n v="24.88"/>
    <n v="0"/>
  </r>
  <r>
    <n v="2370"/>
    <n v="16"/>
    <n v="3"/>
    <n v="2221"/>
    <s v="EARNED"/>
    <n v="17.04"/>
    <s v=""/>
    <d v="2026-06-30T12:31:30"/>
    <x v="8"/>
    <n v="17.04"/>
    <n v="0"/>
  </r>
  <r>
    <n v="2371"/>
    <n v="185"/>
    <n v="2"/>
    <n v="2222"/>
    <s v="EARNED"/>
    <n v="6.03"/>
    <s v=""/>
    <d v="2026-06-30T15:04:11"/>
    <x v="8"/>
    <n v="6.03"/>
    <n v="0"/>
  </r>
  <r>
    <n v="2372"/>
    <n v="36"/>
    <n v="4"/>
    <n v="2223"/>
    <s v="EARNED"/>
    <n v="23.55"/>
    <s v=""/>
    <d v="2026-06-30T16:39:05"/>
    <x v="8"/>
    <n v="23.55"/>
    <n v="0"/>
  </r>
  <r>
    <n v="2373"/>
    <n v="134"/>
    <n v="5"/>
    <n v="2224"/>
    <s v="EARNED"/>
    <n v="9.09"/>
    <s v=""/>
    <d v="2026-06-30T17:28:37"/>
    <x v="8"/>
    <n v="9.09"/>
    <n v="0"/>
  </r>
  <r>
    <n v="2374"/>
    <n v="73"/>
    <n v="3"/>
    <n v="2225"/>
    <s v="EARNED"/>
    <n v="5.09"/>
    <s v=""/>
    <d v="2026-06-30T17:44:15"/>
    <x v="8"/>
    <n v="5.09"/>
    <n v="0"/>
  </r>
  <r>
    <n v="2375"/>
    <n v="235"/>
    <n v="2"/>
    <n v="2226"/>
    <s v="EARNED"/>
    <n v="3.54"/>
    <s v=""/>
    <d v="2026-06-30T18:23:57"/>
    <x v="8"/>
    <n v="3.54"/>
    <n v="0"/>
  </r>
  <r>
    <n v="2376"/>
    <n v="38"/>
    <n v="4"/>
    <n v="2227"/>
    <s v="EARNED"/>
    <n v="3.84"/>
    <s v=""/>
    <d v="2026-07-01T07:35:22"/>
    <x v="9"/>
    <n v="3.84"/>
    <n v="0"/>
  </r>
  <r>
    <n v="2377"/>
    <n v="100"/>
    <n v="4"/>
    <n v="2228"/>
    <s v="EARNED"/>
    <n v="24.82"/>
    <s v=""/>
    <d v="2026-07-01T08:34:18"/>
    <x v="9"/>
    <n v="24.82"/>
    <n v="0"/>
  </r>
  <r>
    <n v="2378"/>
    <n v="302"/>
    <n v="5"/>
    <n v="2229"/>
    <s v="EARNED"/>
    <n v="1.62"/>
    <s v=""/>
    <d v="2026-07-01T09:11:52"/>
    <x v="9"/>
    <n v="1.62"/>
    <n v="0"/>
  </r>
  <r>
    <n v="2379"/>
    <n v="210"/>
    <n v="5"/>
    <n v="2230"/>
    <s v="EARNED"/>
    <n v="2.54"/>
    <s v=""/>
    <d v="2026-07-01T11:48:30"/>
    <x v="9"/>
    <n v="2.54"/>
    <n v="0"/>
  </r>
  <r>
    <n v="2380"/>
    <n v="48"/>
    <n v="2"/>
    <n v="2231"/>
    <s v="EARNED"/>
    <n v="10.29"/>
    <s v=""/>
    <d v="2026-07-01T15:53:31"/>
    <x v="9"/>
    <n v="10.29"/>
    <n v="0"/>
  </r>
  <r>
    <n v="2381"/>
    <n v="44"/>
    <n v="4"/>
    <n v="2232"/>
    <s v="EARNED"/>
    <n v="5.44"/>
    <s v=""/>
    <d v="2026-07-01T16:44:36"/>
    <x v="9"/>
    <n v="5.44"/>
    <n v="0"/>
  </r>
  <r>
    <n v="2382"/>
    <n v="250"/>
    <n v="4"/>
    <n v="2233"/>
    <s v="EARNED"/>
    <n v="8.43"/>
    <s v=""/>
    <d v="2026-07-01T17:14:20"/>
    <x v="9"/>
    <n v="8.43"/>
    <n v="0"/>
  </r>
  <r>
    <n v="2383"/>
    <n v="134"/>
    <n v="4"/>
    <n v="2234"/>
    <s v="EARNED"/>
    <n v="9.06"/>
    <s v=""/>
    <d v="2026-07-01T18:36:01"/>
    <x v="9"/>
    <n v="9.06"/>
    <n v="0"/>
  </r>
  <r>
    <n v="2384"/>
    <n v="134"/>
    <n v="5"/>
    <n v="2235"/>
    <s v="EARNED"/>
    <n v="6.35"/>
    <s v=""/>
    <d v="2026-07-01T19:17:51"/>
    <x v="9"/>
    <n v="6.35"/>
    <n v="0"/>
  </r>
  <r>
    <n v="2385"/>
    <n v="179"/>
    <n v="5"/>
    <n v="2236"/>
    <s v="EARNED"/>
    <n v="14.1"/>
    <s v=""/>
    <d v="2026-07-02T08:29:40"/>
    <x v="9"/>
    <n v="14.1"/>
    <n v="0"/>
  </r>
  <r>
    <n v="2386"/>
    <n v="250"/>
    <n v="3"/>
    <n v="2237"/>
    <s v="EARNED"/>
    <n v="5.21"/>
    <s v=""/>
    <d v="2026-07-02T15:14:42"/>
    <x v="9"/>
    <n v="5.21"/>
    <n v="0"/>
  </r>
  <r>
    <n v="2387"/>
    <n v="172"/>
    <n v="5"/>
    <n v="2238"/>
    <s v="EARNED"/>
    <n v="2.9"/>
    <s v=""/>
    <d v="2026-07-02T15:18:56"/>
    <x v="9"/>
    <n v="2.9"/>
    <n v="0"/>
  </r>
  <r>
    <n v="2388"/>
    <n v="65"/>
    <n v="3"/>
    <n v="2239"/>
    <s v="EARNED"/>
    <n v="3.48"/>
    <s v=""/>
    <d v="2026-07-02T16:20:00"/>
    <x v="9"/>
    <n v="3.48"/>
    <n v="0"/>
  </r>
  <r>
    <n v="2389"/>
    <n v="250"/>
    <n v="3"/>
    <n v="2240"/>
    <s v="EARNED"/>
    <n v="6.67"/>
    <s v=""/>
    <d v="2026-07-02T16:26:12"/>
    <x v="9"/>
    <n v="6.67"/>
    <n v="0"/>
  </r>
  <r>
    <n v="2390"/>
    <n v="48"/>
    <n v="2"/>
    <n v="2241"/>
    <s v="EARNED"/>
    <n v="7.2"/>
    <s v=""/>
    <d v="2026-07-02T16:35:32"/>
    <x v="9"/>
    <n v="7.2"/>
    <n v="0"/>
  </r>
  <r>
    <n v="2391"/>
    <n v="277"/>
    <n v="3"/>
    <n v="2242"/>
    <s v="EARNED"/>
    <n v="14.36"/>
    <s v=""/>
    <d v="2026-07-03T08:37:49"/>
    <x v="9"/>
    <n v="14.36"/>
    <n v="0"/>
  </r>
  <r>
    <n v="2392"/>
    <n v="202"/>
    <n v="3"/>
    <n v="2243"/>
    <s v="EARNED"/>
    <n v="3.91"/>
    <s v=""/>
    <d v="2026-07-03T09:10:02"/>
    <x v="9"/>
    <n v="3.91"/>
    <n v="0"/>
  </r>
  <r>
    <n v="2393"/>
    <n v="183"/>
    <n v="4"/>
    <n v="2244"/>
    <s v="EARNED"/>
    <n v="12.1"/>
    <s v=""/>
    <d v="2026-07-03T09:20:10"/>
    <x v="9"/>
    <n v="12.1"/>
    <n v="0"/>
  </r>
  <r>
    <n v="2394"/>
    <n v="250"/>
    <n v="2"/>
    <n v="2245"/>
    <s v="REDEEMED"/>
    <n v="64.25"/>
    <s v=""/>
    <d v="2026-07-03T10:50:28"/>
    <x v="9"/>
    <n v="0"/>
    <n v="64.25"/>
  </r>
  <r>
    <n v="2395"/>
    <n v="101"/>
    <n v="4"/>
    <n v="2246"/>
    <s v="EARNED"/>
    <n v="5.25"/>
    <s v=""/>
    <d v="2026-07-03T11:58:01"/>
    <x v="9"/>
    <n v="5.25"/>
    <n v="0"/>
  </r>
  <r>
    <n v="2396"/>
    <n v="128"/>
    <n v="4"/>
    <n v="2247"/>
    <s v="EARNED"/>
    <n v="1.87"/>
    <s v=""/>
    <d v="2026-07-03T15:09:38"/>
    <x v="9"/>
    <n v="1.87"/>
    <n v="0"/>
  </r>
  <r>
    <n v="2397"/>
    <n v="134"/>
    <n v="5"/>
    <n v="2248"/>
    <s v="EARNED"/>
    <n v="14.02"/>
    <s v=""/>
    <d v="2026-07-03T16:24:03"/>
    <x v="9"/>
    <n v="14.02"/>
    <n v="0"/>
  </r>
  <r>
    <n v="2398"/>
    <n v="229"/>
    <n v="4"/>
    <n v="2249"/>
    <s v="EARNED"/>
    <n v="6.55"/>
    <s v=""/>
    <d v="2026-07-03T16:40:59"/>
    <x v="9"/>
    <n v="6.55"/>
    <n v="0"/>
  </r>
  <r>
    <n v="2399"/>
    <n v="47"/>
    <n v="2"/>
    <n v="2250"/>
    <s v="REDEEMED"/>
    <n v="46.36"/>
    <s v=""/>
    <d v="2026-07-03T18:13:09"/>
    <x v="9"/>
    <n v="0"/>
    <n v="46.36"/>
  </r>
  <r>
    <n v="2400"/>
    <n v="175"/>
    <n v="2"/>
    <n v="2251"/>
    <s v="EARNED"/>
    <n v="2.82"/>
    <s v=""/>
    <d v="2026-07-03T19:25:30"/>
    <x v="9"/>
    <n v="2.82"/>
    <n v="0"/>
  </r>
  <r>
    <n v="2401"/>
    <n v="128"/>
    <n v="3"/>
    <n v="2252"/>
    <s v="EARNED"/>
    <n v="5.1100000000000003"/>
    <s v=""/>
    <d v="2026-07-04T07:07:41"/>
    <x v="9"/>
    <n v="5.1100000000000003"/>
    <n v="0"/>
  </r>
  <r>
    <n v="2402"/>
    <n v="175"/>
    <n v="2"/>
    <n v="2253"/>
    <s v="EARNED"/>
    <n v="2.67"/>
    <s v=""/>
    <d v="2026-07-04T07:16:32"/>
    <x v="9"/>
    <n v="2.67"/>
    <n v="0"/>
  </r>
  <r>
    <n v="2403"/>
    <n v="213"/>
    <n v="3"/>
    <n v="2254"/>
    <s v="EARNED"/>
    <n v="16.05"/>
    <s v=""/>
    <d v="2026-07-04T07:56:55"/>
    <x v="9"/>
    <n v="16.05"/>
    <n v="0"/>
  </r>
  <r>
    <n v="2404"/>
    <n v="106"/>
    <n v="2"/>
    <n v="2255"/>
    <s v="EARNED"/>
    <n v="5.84"/>
    <s v=""/>
    <d v="2026-07-04T09:20:29"/>
    <x v="9"/>
    <n v="5.84"/>
    <n v="0"/>
  </r>
  <r>
    <n v="2405"/>
    <n v="128"/>
    <n v="5"/>
    <n v="2256"/>
    <s v="EARNED"/>
    <n v="2.99"/>
    <s v=""/>
    <d v="2026-07-04T15:19:30"/>
    <x v="9"/>
    <n v="2.99"/>
    <n v="0"/>
  </r>
  <r>
    <n v="2406"/>
    <n v="244"/>
    <n v="3"/>
    <n v="2257"/>
    <s v="EARNED"/>
    <n v="7.27"/>
    <s v=""/>
    <d v="2026-07-04T15:23:51"/>
    <x v="9"/>
    <n v="7.27"/>
    <n v="0"/>
  </r>
  <r>
    <n v="2407"/>
    <n v="243"/>
    <n v="2"/>
    <n v="2258"/>
    <s v="REDEEMED"/>
    <n v="13.39"/>
    <s v=""/>
    <d v="2026-07-04T16:40:03"/>
    <x v="9"/>
    <n v="0"/>
    <n v="13.39"/>
  </r>
  <r>
    <n v="2408"/>
    <n v="48"/>
    <n v="3"/>
    <n v="2259"/>
    <s v="EARNED"/>
    <n v="8.06"/>
    <s v=""/>
    <d v="2026-07-04T17:14:49"/>
    <x v="9"/>
    <n v="8.06"/>
    <n v="0"/>
  </r>
  <r>
    <n v="2409"/>
    <n v="70"/>
    <n v="3"/>
    <n v="2260"/>
    <s v="EARNED"/>
    <n v="28.72"/>
    <s v=""/>
    <d v="2026-07-04T19:59:08"/>
    <x v="9"/>
    <n v="28.72"/>
    <n v="0"/>
  </r>
  <r>
    <n v="2410"/>
    <n v="147"/>
    <n v="2"/>
    <n v="2261"/>
    <s v="EARNED"/>
    <n v="9.66"/>
    <s v=""/>
    <d v="2026-07-05T07:04:31"/>
    <x v="9"/>
    <n v="9.66"/>
    <n v="0"/>
  </r>
  <r>
    <n v="2411"/>
    <n v="147"/>
    <n v="5"/>
    <n v="2261"/>
    <s v="ADJUSTMENT"/>
    <n v="-9.66"/>
    <s v="Reverso por cancelación de compra #2261: Error de captura"/>
    <d v="2026-07-05T14:04:31"/>
    <x v="9"/>
    <n v="0"/>
    <n v="0"/>
  </r>
  <r>
    <n v="2412"/>
    <n v="184"/>
    <n v="5"/>
    <n v="2262"/>
    <s v="EARNED"/>
    <n v="22"/>
    <s v=""/>
    <d v="2026-07-05T15:06:14"/>
    <x v="9"/>
    <n v="22"/>
    <n v="0"/>
  </r>
  <r>
    <n v="2413"/>
    <n v="90"/>
    <n v="4"/>
    <n v="2263"/>
    <s v="EARNED"/>
    <n v="20.49"/>
    <s v=""/>
    <d v="2026-07-05T15:08:11"/>
    <x v="9"/>
    <n v="20.49"/>
    <n v="0"/>
  </r>
  <r>
    <n v="2414"/>
    <n v="117"/>
    <n v="3"/>
    <n v="2264"/>
    <s v="EARNED"/>
    <n v="5.82"/>
    <s v=""/>
    <d v="2026-07-05T15:19:25"/>
    <x v="9"/>
    <n v="5.82"/>
    <n v="0"/>
  </r>
  <r>
    <n v="2415"/>
    <n v="134"/>
    <n v="3"/>
    <n v="2265"/>
    <s v="EARNED"/>
    <n v="14.23"/>
    <s v=""/>
    <d v="2026-07-06T08:33:51"/>
    <x v="9"/>
    <n v="14.23"/>
    <n v="0"/>
  </r>
  <r>
    <n v="2416"/>
    <n v="137"/>
    <n v="3"/>
    <n v="2266"/>
    <s v="EARNED"/>
    <n v="4.7300000000000004"/>
    <s v=""/>
    <d v="2026-07-06T12:34:03"/>
    <x v="9"/>
    <n v="4.7300000000000004"/>
    <n v="0"/>
  </r>
  <r>
    <n v="2417"/>
    <n v="70"/>
    <n v="3"/>
    <n v="2260"/>
    <s v="ADJUSTMENT"/>
    <n v="-28.72"/>
    <s v="Reverso por cancelación de compra #2260: Cliente canceló la operación"/>
    <d v="2026-07-06T15:59:08"/>
    <x v="9"/>
    <n v="0"/>
    <n v="0"/>
  </r>
  <r>
    <n v="2418"/>
    <n v="263"/>
    <n v="2"/>
    <n v="2267"/>
    <s v="EARNED"/>
    <n v="3.56"/>
    <s v=""/>
    <d v="2026-07-07T09:12:20"/>
    <x v="9"/>
    <n v="3.56"/>
    <n v="0"/>
  </r>
  <r>
    <n v="2419"/>
    <n v="51"/>
    <n v="3"/>
    <n v="2268"/>
    <s v="EARNED"/>
    <n v="13.09"/>
    <s v=""/>
    <d v="2026-07-07T09:42:57"/>
    <x v="9"/>
    <n v="13.09"/>
    <n v="0"/>
  </r>
  <r>
    <n v="2420"/>
    <n v="36"/>
    <n v="2"/>
    <n v="2269"/>
    <s v="EARNED"/>
    <n v="13.84"/>
    <s v=""/>
    <d v="2026-07-07T11:07:17"/>
    <x v="9"/>
    <n v="13.84"/>
    <n v="0"/>
  </r>
  <r>
    <n v="2421"/>
    <n v="252"/>
    <n v="4"/>
    <n v="2270"/>
    <s v="EARNED"/>
    <n v="2.2400000000000002"/>
    <s v=""/>
    <d v="2026-07-07T13:46:25"/>
    <x v="9"/>
    <n v="2.2400000000000002"/>
    <n v="0"/>
  </r>
  <r>
    <n v="2422"/>
    <n v="156"/>
    <n v="5"/>
    <n v="2271"/>
    <s v="EARNED"/>
    <n v="2.41"/>
    <s v=""/>
    <d v="2026-07-07T15:39:34"/>
    <x v="9"/>
    <n v="2.41"/>
    <n v="0"/>
  </r>
  <r>
    <n v="2423"/>
    <n v="128"/>
    <n v="2"/>
    <n v="2272"/>
    <s v="EARNED"/>
    <n v="4.16"/>
    <s v=""/>
    <d v="2026-07-08T08:11:53"/>
    <x v="9"/>
    <n v="4.16"/>
    <n v="0"/>
  </r>
  <r>
    <n v="2424"/>
    <n v="128"/>
    <n v="4"/>
    <n v="2273"/>
    <s v="EARNED"/>
    <n v="3.01"/>
    <s v=""/>
    <d v="2026-07-08T09:03:53"/>
    <x v="9"/>
    <n v="3.01"/>
    <n v="0"/>
  </r>
  <r>
    <n v="2425"/>
    <n v="244"/>
    <n v="5"/>
    <n v="2274"/>
    <s v="EARNED"/>
    <n v="21.79"/>
    <s v=""/>
    <d v="2026-07-08T16:06:19"/>
    <x v="9"/>
    <n v="21.79"/>
    <n v="0"/>
  </r>
  <r>
    <n v="2426"/>
    <n v="134"/>
    <n v="4"/>
    <n v="2275"/>
    <s v="EARNED"/>
    <n v="5.97"/>
    <s v=""/>
    <d v="2026-07-08T16:25:22"/>
    <x v="9"/>
    <n v="5.97"/>
    <n v="0"/>
  </r>
  <r>
    <n v="2427"/>
    <n v="190"/>
    <n v="4"/>
    <n v="2276"/>
    <s v="EARNED"/>
    <n v="17.28"/>
    <s v=""/>
    <d v="2026-07-08T16:48:09"/>
    <x v="9"/>
    <n v="17.28"/>
    <n v="0"/>
  </r>
  <r>
    <n v="2428"/>
    <n v="190"/>
    <n v="4"/>
    <n v="2276"/>
    <s v="ADJUSTMENT"/>
    <n v="-17.28"/>
    <s v="Reverso por cancelación de compra #2276: Solicitud del cliente"/>
    <d v="2026-07-08T17:48:09"/>
    <x v="9"/>
    <n v="0"/>
    <n v="0"/>
  </r>
  <r>
    <n v="2429"/>
    <n v="48"/>
    <n v="4"/>
    <n v="2277"/>
    <s v="EARNED"/>
    <n v="8.76"/>
    <s v=""/>
    <d v="2026-07-08T18:20:01"/>
    <x v="9"/>
    <n v="8.76"/>
    <n v="0"/>
  </r>
  <r>
    <n v="2430"/>
    <n v="128"/>
    <n v="2"/>
    <n v="2278"/>
    <s v="EARNED"/>
    <n v="1.72"/>
    <s v=""/>
    <d v="2026-07-08T19:21:05"/>
    <x v="9"/>
    <n v="1.72"/>
    <n v="0"/>
  </r>
  <r>
    <n v="2431"/>
    <n v="171"/>
    <n v="3"/>
    <n v="2279"/>
    <s v="EARNED"/>
    <n v="9.34"/>
    <s v=""/>
    <d v="2026-07-08T19:50:39"/>
    <x v="9"/>
    <n v="9.34"/>
    <n v="0"/>
  </r>
  <r>
    <n v="2432"/>
    <n v="190"/>
    <n v="3"/>
    <n v="2280"/>
    <s v="EARNED"/>
    <n v="30"/>
    <s v=""/>
    <d v="2026-07-09T07:54:08"/>
    <x v="9"/>
    <n v="30"/>
    <n v="0"/>
  </r>
  <r>
    <n v="2433"/>
    <n v="154"/>
    <n v="2"/>
    <n v="2281"/>
    <s v="EARNED"/>
    <n v="5"/>
    <s v=""/>
    <d v="2026-07-09T08:10:11"/>
    <x v="9"/>
    <n v="5"/>
    <n v="0"/>
  </r>
  <r>
    <n v="2434"/>
    <n v="70"/>
    <n v="2"/>
    <n v="2282"/>
    <s v="REDEEMED"/>
    <n v="88.66"/>
    <s v=""/>
    <d v="2026-07-09T09:47:07"/>
    <x v="9"/>
    <n v="0"/>
    <n v="88.66"/>
  </r>
  <r>
    <n v="2435"/>
    <n v="183"/>
    <n v="5"/>
    <n v="2283"/>
    <s v="EARNED"/>
    <n v="5.34"/>
    <s v=""/>
    <d v="2026-07-09T10:35:12"/>
    <x v="9"/>
    <n v="5.34"/>
    <n v="0"/>
  </r>
  <r>
    <n v="2436"/>
    <n v="128"/>
    <n v="2"/>
    <n v="2284"/>
    <s v="EARNED"/>
    <n v="3.63"/>
    <s v=""/>
    <d v="2026-07-09T10:44:28"/>
    <x v="9"/>
    <n v="3.63"/>
    <n v="0"/>
  </r>
  <r>
    <n v="2437"/>
    <n v="80"/>
    <n v="5"/>
    <n v="2285"/>
    <s v="EARNED"/>
    <n v="2.41"/>
    <s v=""/>
    <d v="2026-07-09T11:16:40"/>
    <x v="9"/>
    <n v="2.41"/>
    <n v="0"/>
  </r>
  <r>
    <n v="2438"/>
    <n v="205"/>
    <n v="2"/>
    <n v="2286"/>
    <s v="EARNED"/>
    <n v="5.0199999999999996"/>
    <s v=""/>
    <d v="2026-07-09T13:25:39"/>
    <x v="9"/>
    <n v="5.0199999999999996"/>
    <n v="0"/>
  </r>
  <r>
    <n v="2439"/>
    <n v="87"/>
    <n v="3"/>
    <n v="2287"/>
    <s v="EARNED"/>
    <n v="4.05"/>
    <s v=""/>
    <d v="2026-07-09T15:45:22"/>
    <x v="9"/>
    <n v="4.05"/>
    <n v="0"/>
  </r>
  <r>
    <n v="2440"/>
    <n v="103"/>
    <n v="4"/>
    <n v="2288"/>
    <s v="EARNED"/>
    <n v="1.98"/>
    <s v=""/>
    <d v="2026-07-09T16:28:34"/>
    <x v="9"/>
    <n v="1.98"/>
    <n v="0"/>
  </r>
  <r>
    <n v="2441"/>
    <n v="150"/>
    <n v="2"/>
    <n v="2289"/>
    <s v="REDEEMED"/>
    <n v="49.57"/>
    <s v=""/>
    <d v="2026-07-09T17:37:44"/>
    <x v="9"/>
    <n v="0"/>
    <n v="49.57"/>
  </r>
  <r>
    <n v="2442"/>
    <n v="285"/>
    <n v="2"/>
    <n v="2290"/>
    <s v="EARNED"/>
    <n v="2.76"/>
    <s v=""/>
    <d v="2026-07-09T18:02:52"/>
    <x v="9"/>
    <n v="2.76"/>
    <n v="0"/>
  </r>
  <r>
    <n v="2443"/>
    <n v="66"/>
    <n v="2"/>
    <n v="2291"/>
    <s v="EARNED"/>
    <n v="8.76"/>
    <s v=""/>
    <d v="2026-07-10T09:18:38"/>
    <x v="9"/>
    <n v="8.76"/>
    <n v="0"/>
  </r>
  <r>
    <n v="2444"/>
    <n v="250"/>
    <n v="4"/>
    <n v="2292"/>
    <s v="EARNED"/>
    <n v="13.36"/>
    <s v=""/>
    <d v="2026-07-10T09:21:22"/>
    <x v="9"/>
    <n v="13.36"/>
    <n v="0"/>
  </r>
  <r>
    <n v="2445"/>
    <n v="285"/>
    <n v="4"/>
    <n v="2293"/>
    <s v="EARNED"/>
    <n v="2.56"/>
    <s v=""/>
    <d v="2026-07-10T14:37:36"/>
    <x v="9"/>
    <n v="2.56"/>
    <n v="0"/>
  </r>
  <r>
    <n v="2446"/>
    <n v="250"/>
    <n v="2"/>
    <n v="2294"/>
    <s v="EARNED"/>
    <n v="17.79"/>
    <s v=""/>
    <d v="2026-07-10T15:06:59"/>
    <x v="9"/>
    <n v="17.79"/>
    <n v="0"/>
  </r>
  <r>
    <n v="2447"/>
    <n v="150"/>
    <n v="5"/>
    <n v="2289"/>
    <s v="ADJUSTMENT"/>
    <n v="49.57"/>
    <s v="Reverso por cancelación de compra #2289: Solicitud del cliente"/>
    <d v="2026-07-11T02:37:44"/>
    <x v="9"/>
    <n v="0"/>
    <n v="0"/>
  </r>
  <r>
    <n v="2448"/>
    <n v="183"/>
    <n v="2"/>
    <n v="2295"/>
    <s v="EARNED"/>
    <n v="13.83"/>
    <s v=""/>
    <d v="2026-07-11T08:39:27"/>
    <x v="9"/>
    <n v="13.83"/>
    <n v="0"/>
  </r>
  <r>
    <n v="2449"/>
    <n v="261"/>
    <n v="2"/>
    <n v="2296"/>
    <s v="EARNED"/>
    <n v="4.38"/>
    <s v=""/>
    <d v="2026-07-11T08:49:20"/>
    <x v="9"/>
    <n v="4.38"/>
    <n v="0"/>
  </r>
  <r>
    <n v="2450"/>
    <n v="253"/>
    <n v="3"/>
    <n v="2297"/>
    <s v="EARNED"/>
    <n v="4.13"/>
    <s v=""/>
    <d v="2026-07-11T09:20:27"/>
    <x v="9"/>
    <n v="4.13"/>
    <n v="0"/>
  </r>
  <r>
    <n v="2451"/>
    <n v="128"/>
    <n v="4"/>
    <n v="2298"/>
    <s v="EARNED"/>
    <n v="2.87"/>
    <s v=""/>
    <d v="2026-07-11T09:43:57"/>
    <x v="9"/>
    <n v="2.87"/>
    <n v="0"/>
  </r>
  <r>
    <n v="2452"/>
    <n v="134"/>
    <n v="4"/>
    <n v="2299"/>
    <s v="EARNED"/>
    <n v="18.649999999999999"/>
    <s v=""/>
    <d v="2026-07-11T09:48:10"/>
    <x v="9"/>
    <n v="18.649999999999999"/>
    <n v="0"/>
  </r>
  <r>
    <n v="2453"/>
    <n v="128"/>
    <n v="5"/>
    <n v="2300"/>
    <s v="EARNED"/>
    <n v="3.66"/>
    <s v=""/>
    <d v="2026-07-11T14:54:34"/>
    <x v="9"/>
    <n v="3.66"/>
    <n v="0"/>
  </r>
  <r>
    <n v="2454"/>
    <n v="156"/>
    <n v="5"/>
    <n v="2301"/>
    <s v="EARNED"/>
    <n v="4.08"/>
    <s v=""/>
    <d v="2026-07-11T15:19:20"/>
    <x v="9"/>
    <n v="4.08"/>
    <n v="0"/>
  </r>
  <r>
    <n v="2455"/>
    <n v="134"/>
    <n v="3"/>
    <n v="2302"/>
    <s v="EARNED"/>
    <n v="7.17"/>
    <s v=""/>
    <d v="2026-07-11T17:32:06"/>
    <x v="9"/>
    <n v="7.17"/>
    <n v="0"/>
  </r>
  <r>
    <n v="2456"/>
    <n v="183"/>
    <n v="2"/>
    <n v="2295"/>
    <s v="ADJUSTMENT"/>
    <n v="-13.83"/>
    <s v="Reverso por cancelación de compra #2295: Monto duplicado por error de sistema"/>
    <d v="2026-07-11T20:39:27"/>
    <x v="9"/>
    <n v="0"/>
    <n v="0"/>
  </r>
  <r>
    <n v="2457"/>
    <n v="156"/>
    <n v="2"/>
    <n v="2303"/>
    <s v="EARNED"/>
    <n v="4.03"/>
    <s v=""/>
    <d v="2026-07-12T09:51:17"/>
    <x v="9"/>
    <n v="4.03"/>
    <n v="0"/>
  </r>
  <r>
    <n v="2458"/>
    <n v="128"/>
    <n v="3"/>
    <n v="2304"/>
    <s v="EARNED"/>
    <n v="4.03"/>
    <s v=""/>
    <d v="2026-07-12T10:39:19"/>
    <x v="9"/>
    <n v="4.03"/>
    <n v="0"/>
  </r>
  <r>
    <n v="2459"/>
    <n v="299"/>
    <n v="5"/>
    <n v="2305"/>
    <s v="EARNED"/>
    <n v="8.1999999999999993"/>
    <s v=""/>
    <d v="2026-07-12T18:36:54"/>
    <x v="9"/>
    <n v="8.1999999999999993"/>
    <n v="0"/>
  </r>
  <r>
    <n v="2460"/>
    <n v="253"/>
    <n v="3"/>
    <n v="2297"/>
    <s v="ADJUSTMENT"/>
    <n v="-4.13"/>
    <s v="Reverso por cancelación de compra #2297: Solicitud del cliente"/>
    <d v="2026-07-13T05:20:27"/>
    <x v="9"/>
    <n v="0"/>
    <n v="0"/>
  </r>
  <r>
    <n v="2461"/>
    <n v="66"/>
    <n v="2"/>
    <n v="2306"/>
    <s v="EARNED"/>
    <n v="12.65"/>
    <s v=""/>
    <d v="2026-07-13T08:16:39"/>
    <x v="9"/>
    <n v="12.65"/>
    <n v="0"/>
  </r>
  <r>
    <n v="2462"/>
    <n v="281"/>
    <n v="5"/>
    <n v="2307"/>
    <s v="EARNED"/>
    <n v="12.71"/>
    <s v=""/>
    <d v="2026-07-13T12:43:19"/>
    <x v="9"/>
    <n v="12.71"/>
    <n v="0"/>
  </r>
  <r>
    <n v="2463"/>
    <n v="250"/>
    <n v="5"/>
    <n v="2308"/>
    <s v="EARNED"/>
    <n v="9.11"/>
    <s v=""/>
    <d v="2026-07-13T15:22:35"/>
    <x v="9"/>
    <n v="9.11"/>
    <n v="0"/>
  </r>
  <r>
    <n v="2464"/>
    <n v="134"/>
    <n v="2"/>
    <n v="2309"/>
    <s v="EARNED"/>
    <n v="7.47"/>
    <s v=""/>
    <d v="2026-07-13T15:27:44"/>
    <x v="9"/>
    <n v="7.47"/>
    <n v="0"/>
  </r>
  <r>
    <n v="2465"/>
    <n v="229"/>
    <n v="4"/>
    <n v="2310"/>
    <s v="REDEEMED"/>
    <n v="85.43"/>
    <s v=""/>
    <d v="2026-07-13T16:01:36"/>
    <x v="9"/>
    <n v="0"/>
    <n v="85.43"/>
  </r>
  <r>
    <n v="2466"/>
    <n v="71"/>
    <n v="5"/>
    <n v="2311"/>
    <s v="EARNED"/>
    <n v="2.37"/>
    <s v=""/>
    <d v="2026-07-13T16:29:25"/>
    <x v="9"/>
    <n v="2.37"/>
    <n v="0"/>
  </r>
  <r>
    <n v="2467"/>
    <n v="289"/>
    <n v="5"/>
    <n v="2312"/>
    <s v="EARNED"/>
    <n v="10.8"/>
    <s v=""/>
    <d v="2026-07-13T18:16:23"/>
    <x v="9"/>
    <n v="10.8"/>
    <n v="0"/>
  </r>
  <r>
    <n v="2468"/>
    <n v="117"/>
    <n v="2"/>
    <n v="2313"/>
    <s v="EARNED"/>
    <n v="16.16"/>
    <s v=""/>
    <d v="2026-07-13T19:10:06"/>
    <x v="9"/>
    <n v="16.16"/>
    <n v="0"/>
  </r>
  <r>
    <n v="2469"/>
    <n v="185"/>
    <n v="4"/>
    <n v="2314"/>
    <s v="EARNED"/>
    <n v="8.09"/>
    <s v=""/>
    <d v="2026-07-14T07:58:08"/>
    <x v="9"/>
    <n v="8.09"/>
    <n v="0"/>
  </r>
  <r>
    <n v="2470"/>
    <n v="134"/>
    <n v="4"/>
    <n v="2315"/>
    <s v="REDEEMED"/>
    <n v="129.61000000000001"/>
    <s v=""/>
    <d v="2026-07-14T08:16:31"/>
    <x v="9"/>
    <n v="0"/>
    <n v="129.61000000000001"/>
  </r>
  <r>
    <n v="2471"/>
    <n v="121"/>
    <n v="5"/>
    <n v="2316"/>
    <s v="EARNED"/>
    <n v="1.51"/>
    <s v=""/>
    <d v="2026-07-14T09:02:35"/>
    <x v="9"/>
    <n v="1.51"/>
    <n v="0"/>
  </r>
  <r>
    <n v="2472"/>
    <n v="123"/>
    <n v="3"/>
    <n v="2317"/>
    <s v="EARNED"/>
    <n v="4.03"/>
    <s v=""/>
    <d v="2026-07-15T07:04:00"/>
    <x v="9"/>
    <n v="4.03"/>
    <n v="0"/>
  </r>
  <r>
    <n v="2473"/>
    <n v="303"/>
    <n v="5"/>
    <n v="2318"/>
    <s v="EARNED"/>
    <n v="2.42"/>
    <s v=""/>
    <d v="2026-07-15T08:33:43"/>
    <x v="9"/>
    <n v="2.42"/>
    <n v="0"/>
  </r>
  <r>
    <n v="2474"/>
    <n v="249"/>
    <n v="3"/>
    <n v="2319"/>
    <s v="EARNED"/>
    <n v="4.03"/>
    <s v=""/>
    <d v="2026-07-15T09:22:39"/>
    <x v="9"/>
    <n v="4.03"/>
    <n v="0"/>
  </r>
  <r>
    <n v="2475"/>
    <n v="128"/>
    <n v="5"/>
    <n v="2320"/>
    <s v="EARNED"/>
    <n v="5.25"/>
    <s v=""/>
    <d v="2026-07-15T09:30:25"/>
    <x v="9"/>
    <n v="5.25"/>
    <n v="0"/>
  </r>
  <r>
    <n v="2476"/>
    <n v="123"/>
    <n v="3"/>
    <n v="2317"/>
    <s v="ADJUSTMENT"/>
    <n v="-4.03"/>
    <s v="Reverso por cancelación de compra #2317: Cliente canceló la operación"/>
    <d v="2026-07-15T10:04:00"/>
    <x v="9"/>
    <n v="0"/>
    <n v="0"/>
  </r>
  <r>
    <n v="2477"/>
    <n v="250"/>
    <n v="2"/>
    <n v="2321"/>
    <s v="EARNED"/>
    <n v="8.44"/>
    <s v=""/>
    <d v="2026-07-15T11:37:39"/>
    <x v="9"/>
    <n v="8.44"/>
    <n v="0"/>
  </r>
  <r>
    <n v="2478"/>
    <n v="250"/>
    <n v="5"/>
    <n v="2322"/>
    <s v="EARNED"/>
    <n v="6.69"/>
    <s v=""/>
    <d v="2026-07-15T12:29:16"/>
    <x v="9"/>
    <n v="6.69"/>
    <n v="0"/>
  </r>
  <r>
    <n v="2479"/>
    <n v="200"/>
    <n v="4"/>
    <n v="2323"/>
    <s v="EARNED"/>
    <n v="2.78"/>
    <s v=""/>
    <d v="2026-07-15T14:42:56"/>
    <x v="9"/>
    <n v="2.78"/>
    <n v="0"/>
  </r>
  <r>
    <n v="2480"/>
    <n v="285"/>
    <n v="4"/>
    <n v="2324"/>
    <s v="EARNED"/>
    <n v="2.69"/>
    <s v=""/>
    <d v="2026-07-15T15:17:05"/>
    <x v="9"/>
    <n v="2.69"/>
    <n v="0"/>
  </r>
  <r>
    <n v="2481"/>
    <n v="259"/>
    <n v="5"/>
    <n v="2325"/>
    <s v="EARNED"/>
    <n v="3.47"/>
    <s v=""/>
    <d v="2026-07-15T16:35:17"/>
    <x v="9"/>
    <n v="3.47"/>
    <n v="0"/>
  </r>
  <r>
    <n v="2482"/>
    <n v="281"/>
    <n v="5"/>
    <n v="2326"/>
    <s v="EARNED"/>
    <n v="26.73"/>
    <s v=""/>
    <d v="2026-07-15T16:54:38"/>
    <x v="9"/>
    <n v="26.73"/>
    <n v="0"/>
  </r>
  <r>
    <n v="2483"/>
    <n v="267"/>
    <n v="5"/>
    <n v="2327"/>
    <s v="EARNED"/>
    <n v="5.31"/>
    <s v=""/>
    <d v="2026-07-15T17:46:17"/>
    <x v="9"/>
    <n v="5.31"/>
    <n v="0"/>
  </r>
  <r>
    <n v="2484"/>
    <n v="128"/>
    <n v="5"/>
    <n v="2328"/>
    <s v="EARNED"/>
    <n v="2.12"/>
    <s v=""/>
    <d v="2026-07-16T07:11:14"/>
    <x v="9"/>
    <n v="2.12"/>
    <n v="0"/>
  </r>
  <r>
    <n v="2485"/>
    <n v="137"/>
    <n v="3"/>
    <n v="2329"/>
    <s v="EARNED"/>
    <n v="3.03"/>
    <s v=""/>
    <d v="2026-07-16T08:21:15"/>
    <x v="9"/>
    <n v="3.03"/>
    <n v="0"/>
  </r>
  <r>
    <n v="2486"/>
    <n v="18"/>
    <n v="4"/>
    <n v="2330"/>
    <s v="EARNED"/>
    <n v="13.14"/>
    <s v=""/>
    <d v="2026-07-16T09:11:06"/>
    <x v="9"/>
    <n v="13.14"/>
    <n v="0"/>
  </r>
  <r>
    <n v="2487"/>
    <n v="229"/>
    <n v="4"/>
    <n v="2331"/>
    <s v="REDEEMED"/>
    <n v="40.119999999999997"/>
    <s v=""/>
    <d v="2026-07-16T09:30:16"/>
    <x v="9"/>
    <n v="0"/>
    <n v="40.119999999999997"/>
  </r>
  <r>
    <n v="2488"/>
    <n v="98"/>
    <n v="5"/>
    <n v="2332"/>
    <s v="EARNED"/>
    <n v="6.75"/>
    <s v=""/>
    <d v="2026-07-16T13:40:04"/>
    <x v="9"/>
    <n v="6.75"/>
    <n v="0"/>
  </r>
  <r>
    <n v="2489"/>
    <n v="250"/>
    <n v="2"/>
    <n v="2333"/>
    <s v="EARNED"/>
    <n v="5.16"/>
    <s v=""/>
    <d v="2026-07-16T16:34:38"/>
    <x v="9"/>
    <n v="5.16"/>
    <n v="0"/>
  </r>
  <r>
    <n v="2490"/>
    <n v="128"/>
    <n v="4"/>
    <n v="2334"/>
    <s v="EARNED"/>
    <n v="2.02"/>
    <s v=""/>
    <d v="2026-07-16T16:59:15"/>
    <x v="9"/>
    <n v="2.02"/>
    <n v="0"/>
  </r>
  <r>
    <n v="2491"/>
    <n v="243"/>
    <n v="5"/>
    <n v="2335"/>
    <s v="EARNED"/>
    <n v="5.81"/>
    <s v=""/>
    <d v="2026-07-17T08:51:23"/>
    <x v="9"/>
    <n v="5.81"/>
    <n v="0"/>
  </r>
  <r>
    <n v="2492"/>
    <n v="137"/>
    <n v="5"/>
    <n v="2336"/>
    <s v="EARNED"/>
    <n v="3.31"/>
    <s v=""/>
    <d v="2026-07-17T12:07:44"/>
    <x v="9"/>
    <n v="3.31"/>
    <n v="0"/>
  </r>
  <r>
    <n v="2493"/>
    <n v="134"/>
    <n v="4"/>
    <n v="2337"/>
    <s v="EARNED"/>
    <n v="6.01"/>
    <s v=""/>
    <d v="2026-07-17T12:51:55"/>
    <x v="9"/>
    <n v="6.01"/>
    <n v="0"/>
  </r>
  <r>
    <n v="2494"/>
    <n v="48"/>
    <n v="2"/>
    <n v="2338"/>
    <s v="EARNED"/>
    <n v="4.6500000000000004"/>
    <s v=""/>
    <d v="2026-07-17T16:02:12"/>
    <x v="9"/>
    <n v="4.6500000000000004"/>
    <n v="0"/>
  </r>
  <r>
    <n v="2495"/>
    <n v="18"/>
    <n v="5"/>
    <n v="2339"/>
    <s v="EARNED"/>
    <n v="10.3"/>
    <s v=""/>
    <d v="2026-07-17T18:25:37"/>
    <x v="9"/>
    <n v="10.3"/>
    <n v="0"/>
  </r>
  <r>
    <n v="2496"/>
    <n v="128"/>
    <n v="4"/>
    <n v="2340"/>
    <s v="EARNED"/>
    <n v="3.55"/>
    <s v=""/>
    <d v="2026-07-17T19:28:40"/>
    <x v="9"/>
    <n v="3.55"/>
    <n v="0"/>
  </r>
  <r>
    <n v="2497"/>
    <n v="133"/>
    <n v="5"/>
    <n v="2341"/>
    <s v="EARNED"/>
    <n v="7.9"/>
    <s v=""/>
    <d v="2026-07-18T08:09:24"/>
    <x v="9"/>
    <n v="7.9"/>
    <n v="0"/>
  </r>
  <r>
    <n v="2498"/>
    <n v="227"/>
    <n v="2"/>
    <n v="2342"/>
    <s v="EARNED"/>
    <n v="3.04"/>
    <s v=""/>
    <d v="2026-07-18T10:09:17"/>
    <x v="9"/>
    <n v="3.04"/>
    <n v="0"/>
  </r>
  <r>
    <n v="2499"/>
    <n v="43"/>
    <n v="3"/>
    <n v="2343"/>
    <s v="EARNED"/>
    <n v="7.98"/>
    <s v=""/>
    <d v="2026-07-18T16:14:44"/>
    <x v="9"/>
    <n v="7.98"/>
    <n v="0"/>
  </r>
  <r>
    <n v="2500"/>
    <n v="123"/>
    <n v="5"/>
    <n v="2344"/>
    <s v="EARNED"/>
    <n v="2.88"/>
    <s v=""/>
    <d v="2026-07-18T17:46:25"/>
    <x v="9"/>
    <n v="2.88"/>
    <n v="0"/>
  </r>
  <r>
    <n v="2501"/>
    <n v="263"/>
    <n v="4"/>
    <n v="2345"/>
    <s v="EARNED"/>
    <n v="1.28"/>
    <s v=""/>
    <d v="2026-07-19T08:46:06"/>
    <x v="9"/>
    <n v="1.28"/>
    <n v="0"/>
  </r>
  <r>
    <n v="2502"/>
    <n v="134"/>
    <n v="3"/>
    <n v="2346"/>
    <s v="EARNED"/>
    <n v="11.34"/>
    <s v=""/>
    <d v="2026-07-19T08:54:38"/>
    <x v="9"/>
    <n v="11.34"/>
    <n v="0"/>
  </r>
  <r>
    <n v="2503"/>
    <n v="197"/>
    <n v="4"/>
    <n v="2347"/>
    <s v="EARNED"/>
    <n v="8.68"/>
    <s v=""/>
    <d v="2026-07-19T09:00:40"/>
    <x v="9"/>
    <n v="8.68"/>
    <n v="0"/>
  </r>
  <r>
    <n v="2504"/>
    <n v="128"/>
    <n v="3"/>
    <n v="2348"/>
    <s v="EARNED"/>
    <n v="3.83"/>
    <s v=""/>
    <d v="2026-07-20T09:12:52"/>
    <x v="9"/>
    <n v="3.83"/>
    <n v="0"/>
  </r>
  <r>
    <n v="2505"/>
    <n v="128"/>
    <n v="5"/>
    <n v="2349"/>
    <s v="EARNED"/>
    <n v="3.96"/>
    <s v=""/>
    <d v="2026-07-20T10:36:32"/>
    <x v="9"/>
    <n v="3.96"/>
    <n v="0"/>
  </r>
  <r>
    <n v="2506"/>
    <n v="136"/>
    <n v="4"/>
    <n v="2350"/>
    <s v="EARNED"/>
    <n v="5.69"/>
    <s v=""/>
    <d v="2026-07-20T10:41:15"/>
    <x v="9"/>
    <n v="5.69"/>
    <n v="0"/>
  </r>
  <r>
    <n v="2507"/>
    <n v="224"/>
    <n v="5"/>
    <n v="2351"/>
    <s v="EARNED"/>
    <n v="5.18"/>
    <s v=""/>
    <d v="2026-07-20T11:46:59"/>
    <x v="9"/>
    <n v="5.18"/>
    <n v="0"/>
  </r>
  <r>
    <n v="2508"/>
    <n v="137"/>
    <n v="5"/>
    <n v="2352"/>
    <s v="EARNED"/>
    <n v="3.51"/>
    <s v=""/>
    <d v="2026-07-20T13:27:58"/>
    <x v="9"/>
    <n v="3.51"/>
    <n v="0"/>
  </r>
  <r>
    <n v="2509"/>
    <n v="134"/>
    <n v="5"/>
    <n v="2353"/>
    <s v="EARNED"/>
    <n v="11.53"/>
    <s v=""/>
    <d v="2026-07-20T15:17:17"/>
    <x v="9"/>
    <n v="11.53"/>
    <n v="0"/>
  </r>
  <r>
    <n v="2510"/>
    <n v="134"/>
    <n v="2"/>
    <n v="2354"/>
    <s v="EARNED"/>
    <n v="7.43"/>
    <s v=""/>
    <d v="2026-07-21T10:14:11"/>
    <x v="9"/>
    <n v="7.43"/>
    <n v="0"/>
  </r>
  <r>
    <n v="2511"/>
    <n v="170"/>
    <n v="4"/>
    <n v="2355"/>
    <s v="EARNED"/>
    <n v="21.6"/>
    <s v=""/>
    <d v="2026-07-21T10:15:46"/>
    <x v="9"/>
    <n v="21.6"/>
    <n v="0"/>
  </r>
  <r>
    <n v="2512"/>
    <n v="106"/>
    <n v="4"/>
    <n v="2356"/>
    <s v="EARNED"/>
    <n v="8.82"/>
    <s v=""/>
    <d v="2026-07-21T10:44:40"/>
    <x v="9"/>
    <n v="8.82"/>
    <n v="0"/>
  </r>
  <r>
    <n v="2513"/>
    <n v="150"/>
    <n v="3"/>
    <n v="2357"/>
    <s v="EARNED"/>
    <n v="8.2200000000000006"/>
    <s v=""/>
    <d v="2026-07-21T11:25:52"/>
    <x v="9"/>
    <n v="8.2200000000000006"/>
    <n v="0"/>
  </r>
  <r>
    <n v="2514"/>
    <n v="250"/>
    <n v="4"/>
    <n v="2358"/>
    <s v="EARNED"/>
    <n v="5.92"/>
    <s v=""/>
    <d v="2026-07-21T12:07:59"/>
    <x v="9"/>
    <n v="5.92"/>
    <n v="0"/>
  </r>
  <r>
    <n v="2515"/>
    <n v="184"/>
    <n v="2"/>
    <n v="2359"/>
    <s v="EARNED"/>
    <n v="5.32"/>
    <s v=""/>
    <d v="2026-07-21T13:17:56"/>
    <x v="9"/>
    <n v="5.32"/>
    <n v="0"/>
  </r>
  <r>
    <n v="2516"/>
    <n v="128"/>
    <n v="5"/>
    <n v="2349"/>
    <s v="ADJUSTMENT"/>
    <n v="-3.96"/>
    <s v="Reverso por cancelación de compra #2349: Solicitud del cliente"/>
    <d v="2026-07-21T14:36:32"/>
    <x v="9"/>
    <n v="0"/>
    <n v="0"/>
  </r>
  <r>
    <n v="2517"/>
    <n v="250"/>
    <n v="4"/>
    <n v="2360"/>
    <s v="EARNED"/>
    <n v="17.75"/>
    <s v=""/>
    <d v="2026-07-21T15:13:24"/>
    <x v="9"/>
    <n v="17.75"/>
    <n v="0"/>
  </r>
  <r>
    <n v="2518"/>
    <n v="261"/>
    <n v="3"/>
    <n v="2361"/>
    <s v="EARNED"/>
    <n v="7.56"/>
    <s v=""/>
    <d v="2026-07-21T18:13:37"/>
    <x v="9"/>
    <n v="7.56"/>
    <n v="0"/>
  </r>
  <r>
    <n v="2519"/>
    <n v="134"/>
    <n v="3"/>
    <n v="2362"/>
    <s v="EARNED"/>
    <n v="10.4"/>
    <s v=""/>
    <d v="2026-07-21T18:26:05"/>
    <x v="9"/>
    <n v="10.4"/>
    <n v="0"/>
  </r>
  <r>
    <n v="2520"/>
    <n v="128"/>
    <n v="2"/>
    <n v="2363"/>
    <s v="EARNED"/>
    <n v="2.4500000000000002"/>
    <s v=""/>
    <d v="2026-07-22T09:34:34"/>
    <x v="9"/>
    <n v="2.4500000000000002"/>
    <n v="0"/>
  </r>
  <r>
    <n v="2521"/>
    <n v="230"/>
    <n v="5"/>
    <n v="2364"/>
    <s v="EARNED"/>
    <n v="27.15"/>
    <s v=""/>
    <d v="2026-07-22T12:38:12"/>
    <x v="9"/>
    <n v="27.15"/>
    <n v="0"/>
  </r>
  <r>
    <n v="2522"/>
    <n v="106"/>
    <n v="4"/>
    <n v="2365"/>
    <s v="EARNED"/>
    <n v="13.99"/>
    <s v=""/>
    <d v="2026-07-22T12:57:42"/>
    <x v="9"/>
    <n v="13.99"/>
    <n v="0"/>
  </r>
  <r>
    <n v="2523"/>
    <n v="134"/>
    <n v="5"/>
    <n v="2366"/>
    <s v="EARNED"/>
    <n v="9"/>
    <s v=""/>
    <d v="2026-07-22T15:02:08"/>
    <x v="9"/>
    <n v="9"/>
    <n v="0"/>
  </r>
  <r>
    <n v="2524"/>
    <n v="39"/>
    <n v="2"/>
    <n v="2367"/>
    <s v="EARNED"/>
    <n v="18.73"/>
    <s v=""/>
    <d v="2026-07-22T15:59:25"/>
    <x v="9"/>
    <n v="18.73"/>
    <n v="0"/>
  </r>
  <r>
    <n v="2525"/>
    <n v="250"/>
    <n v="5"/>
    <n v="2368"/>
    <s v="EARNED"/>
    <n v="8.4499999999999993"/>
    <s v=""/>
    <d v="2026-07-22T17:56:22"/>
    <x v="9"/>
    <n v="8.4499999999999993"/>
    <n v="0"/>
  </r>
  <r>
    <n v="2526"/>
    <n v="66"/>
    <n v="4"/>
    <n v="2369"/>
    <s v="EARNED"/>
    <n v="10.35"/>
    <s v=""/>
    <d v="2026-07-22T19:43:16"/>
    <x v="9"/>
    <n v="10.35"/>
    <n v="0"/>
  </r>
  <r>
    <n v="2527"/>
    <n v="121"/>
    <n v="5"/>
    <n v="2370"/>
    <s v="EARNED"/>
    <n v="2.2999999999999998"/>
    <s v=""/>
    <d v="2026-07-23T10:16:37"/>
    <x v="9"/>
    <n v="2.2999999999999998"/>
    <n v="0"/>
  </r>
  <r>
    <n v="2528"/>
    <n v="128"/>
    <n v="4"/>
    <n v="2371"/>
    <s v="EARNED"/>
    <n v="2.4700000000000002"/>
    <s v=""/>
    <d v="2026-07-23T13:36:50"/>
    <x v="9"/>
    <n v="2.4700000000000002"/>
    <n v="0"/>
  </r>
  <r>
    <n v="2529"/>
    <n v="233"/>
    <n v="3"/>
    <n v="2372"/>
    <s v="EARNED"/>
    <n v="9.5"/>
    <s v=""/>
    <d v="2026-07-24T07:02:37"/>
    <x v="9"/>
    <n v="9.5"/>
    <n v="0"/>
  </r>
  <r>
    <n v="2530"/>
    <n v="137"/>
    <n v="5"/>
    <n v="2373"/>
    <s v="EARNED"/>
    <n v="2.2799999999999998"/>
    <s v=""/>
    <d v="2026-07-24T09:26:07"/>
    <x v="9"/>
    <n v="2.2799999999999998"/>
    <n v="0"/>
  </r>
  <r>
    <n v="2531"/>
    <n v="86"/>
    <n v="2"/>
    <n v="2374"/>
    <s v="EARNED"/>
    <n v="1.1499999999999999"/>
    <s v=""/>
    <d v="2026-07-24T14:48:43"/>
    <x v="9"/>
    <n v="1.1499999999999999"/>
    <n v="0"/>
  </r>
  <r>
    <n v="2532"/>
    <n v="86"/>
    <n v="2"/>
    <n v="2375"/>
    <s v="EARNED"/>
    <n v="4.58"/>
    <s v=""/>
    <d v="2026-07-24T15:06:14"/>
    <x v="9"/>
    <n v="4.58"/>
    <n v="0"/>
  </r>
  <r>
    <n v="2533"/>
    <n v="223"/>
    <n v="3"/>
    <n v="2376"/>
    <s v="EARNED"/>
    <n v="2.4700000000000002"/>
    <s v=""/>
    <d v="2026-07-24T17:33:52"/>
    <x v="9"/>
    <n v="2.4700000000000002"/>
    <n v="0"/>
  </r>
  <r>
    <n v="2534"/>
    <n v="50"/>
    <n v="5"/>
    <n v="2377"/>
    <s v="EARNED"/>
    <n v="5.84"/>
    <s v=""/>
    <d v="2026-07-24T17:52:31"/>
    <x v="9"/>
    <n v="5.84"/>
    <n v="0"/>
  </r>
  <r>
    <n v="2535"/>
    <n v="65"/>
    <n v="4"/>
    <n v="2378"/>
    <s v="EARNED"/>
    <n v="2.29"/>
    <s v=""/>
    <d v="2026-07-25T08:04:10"/>
    <x v="9"/>
    <n v="2.29"/>
    <n v="0"/>
  </r>
  <r>
    <n v="2536"/>
    <n v="285"/>
    <n v="5"/>
    <n v="2379"/>
    <s v="EARNED"/>
    <n v="2.59"/>
    <s v=""/>
    <d v="2026-07-25T08:59:19"/>
    <x v="9"/>
    <n v="2.59"/>
    <n v="0"/>
  </r>
  <r>
    <n v="2537"/>
    <n v="39"/>
    <n v="2"/>
    <n v="2380"/>
    <s v="EARNED"/>
    <n v="25.48"/>
    <s v=""/>
    <d v="2026-07-25T09:03:45"/>
    <x v="9"/>
    <n v="25.48"/>
    <n v="0"/>
  </r>
  <r>
    <n v="2538"/>
    <n v="137"/>
    <n v="5"/>
    <n v="2381"/>
    <s v="REDEEMED"/>
    <n v="14.06"/>
    <s v=""/>
    <d v="2026-07-25T09:49:55"/>
    <x v="9"/>
    <n v="0"/>
    <n v="14.06"/>
  </r>
  <r>
    <n v="2539"/>
    <n v="250"/>
    <n v="4"/>
    <n v="2382"/>
    <s v="EARNED"/>
    <n v="7.68"/>
    <s v=""/>
    <d v="2026-07-25T10:09:23"/>
    <x v="9"/>
    <n v="7.68"/>
    <n v="0"/>
  </r>
  <r>
    <n v="2540"/>
    <n v="106"/>
    <n v="3"/>
    <n v="2383"/>
    <s v="EARNED"/>
    <n v="10.45"/>
    <s v=""/>
    <d v="2026-07-25T11:33:48"/>
    <x v="9"/>
    <n v="10.45"/>
    <n v="0"/>
  </r>
  <r>
    <n v="2541"/>
    <n v="229"/>
    <n v="3"/>
    <n v="2384"/>
    <s v="EARNED"/>
    <n v="8.17"/>
    <s v=""/>
    <d v="2026-07-25T11:40:16"/>
    <x v="9"/>
    <n v="8.17"/>
    <n v="0"/>
  </r>
  <r>
    <n v="2542"/>
    <n v="229"/>
    <n v="3"/>
    <n v="2385"/>
    <s v="EARNED"/>
    <n v="11.03"/>
    <s v=""/>
    <d v="2026-07-25T11:51:32"/>
    <x v="9"/>
    <n v="11.03"/>
    <n v="0"/>
  </r>
  <r>
    <n v="2543"/>
    <n v="250"/>
    <n v="2"/>
    <n v="2386"/>
    <s v="REDEEMED"/>
    <n v="116.8"/>
    <s v=""/>
    <d v="2026-07-25T11:58:29"/>
    <x v="9"/>
    <n v="0"/>
    <n v="116.8"/>
  </r>
  <r>
    <n v="2544"/>
    <n v="65"/>
    <n v="4"/>
    <n v="2387"/>
    <s v="EARNED"/>
    <n v="2.95"/>
    <s v=""/>
    <d v="2026-07-25T12:08:13"/>
    <x v="9"/>
    <n v="2.95"/>
    <n v="0"/>
  </r>
  <r>
    <n v="2545"/>
    <n v="56"/>
    <n v="3"/>
    <n v="2388"/>
    <s v="EARNED"/>
    <n v="4.57"/>
    <s v=""/>
    <d v="2026-07-25T13:03:30"/>
    <x v="9"/>
    <n v="4.57"/>
    <n v="0"/>
  </r>
  <r>
    <n v="2546"/>
    <n v="72"/>
    <n v="5"/>
    <n v="2389"/>
    <s v="EARNED"/>
    <n v="2.08"/>
    <s v=""/>
    <d v="2026-07-25T14:24:49"/>
    <x v="9"/>
    <n v="2.08"/>
    <n v="0"/>
  </r>
  <r>
    <n v="2547"/>
    <n v="250"/>
    <n v="2"/>
    <n v="2390"/>
    <s v="EARNED"/>
    <n v="4.09"/>
    <s v=""/>
    <d v="2026-07-25T17:00:32"/>
    <x v="9"/>
    <n v="4.09"/>
    <n v="0"/>
  </r>
  <r>
    <n v="2548"/>
    <n v="285"/>
    <n v="2"/>
    <n v="2391"/>
    <s v="EARNED"/>
    <n v="5.77"/>
    <s v=""/>
    <d v="2026-07-25T17:03:54"/>
    <x v="9"/>
    <n v="5.77"/>
    <n v="0"/>
  </r>
  <r>
    <n v="2549"/>
    <n v="75"/>
    <n v="2"/>
    <n v="2392"/>
    <s v="EARNED"/>
    <n v="10.95"/>
    <s v=""/>
    <d v="2026-07-25T17:59:30"/>
    <x v="9"/>
    <n v="10.95"/>
    <n v="0"/>
  </r>
  <r>
    <n v="2550"/>
    <n v="91"/>
    <n v="3"/>
    <n v="2393"/>
    <s v="EARNED"/>
    <n v="1.39"/>
    <s v=""/>
    <d v="2026-07-26T09:24:07"/>
    <x v="9"/>
    <n v="1.39"/>
    <n v="0"/>
  </r>
  <r>
    <n v="2551"/>
    <n v="185"/>
    <n v="2"/>
    <n v="2394"/>
    <s v="EARNED"/>
    <n v="4.1100000000000003"/>
    <s v=""/>
    <d v="2026-07-26T10:53:35"/>
    <x v="9"/>
    <n v="4.1100000000000003"/>
    <n v="0"/>
  </r>
  <r>
    <n v="2552"/>
    <n v="87"/>
    <n v="4"/>
    <n v="2395"/>
    <s v="EARNED"/>
    <n v="13.99"/>
    <s v=""/>
    <d v="2026-07-26T14:36:52"/>
    <x v="9"/>
    <n v="13.99"/>
    <n v="0"/>
  </r>
  <r>
    <n v="2553"/>
    <n v="145"/>
    <n v="2"/>
    <n v="2396"/>
    <s v="EARNED"/>
    <n v="21.41"/>
    <s v=""/>
    <d v="2026-07-26T15:03:23"/>
    <x v="9"/>
    <n v="21.41"/>
    <n v="0"/>
  </r>
  <r>
    <n v="2554"/>
    <n v="185"/>
    <n v="4"/>
    <n v="2397"/>
    <s v="EARNED"/>
    <n v="22"/>
    <s v=""/>
    <d v="2026-07-26T16:11:39"/>
    <x v="9"/>
    <n v="22"/>
    <n v="0"/>
  </r>
  <r>
    <n v="2555"/>
    <n v="76"/>
    <n v="2"/>
    <n v="2398"/>
    <s v="EARNED"/>
    <n v="9.86"/>
    <s v=""/>
    <d v="2026-07-26T17:42:20"/>
    <x v="9"/>
    <n v="9.86"/>
    <n v="0"/>
  </r>
  <r>
    <n v="2556"/>
    <n v="250"/>
    <n v="3"/>
    <n v="2399"/>
    <s v="EARNED"/>
    <n v="19.920000000000002"/>
    <s v=""/>
    <d v="2026-07-26T18:31:27"/>
    <x v="9"/>
    <n v="19.920000000000002"/>
    <n v="0"/>
  </r>
  <r>
    <n v="2557"/>
    <n v="150"/>
    <n v="4"/>
    <n v="2400"/>
    <s v="EARNED"/>
    <n v="8.7899999999999991"/>
    <s v=""/>
    <d v="2026-07-26T18:57:10"/>
    <x v="9"/>
    <n v="8.7899999999999991"/>
    <n v="0"/>
  </r>
  <r>
    <n v="2558"/>
    <n v="214"/>
    <n v="5"/>
    <n v="2401"/>
    <s v="EARNED"/>
    <n v="2.79"/>
    <s v=""/>
    <d v="2026-07-27T08:16:34"/>
    <x v="9"/>
    <n v="2.79"/>
    <n v="0"/>
  </r>
  <r>
    <n v="2559"/>
    <n v="216"/>
    <n v="3"/>
    <n v="2402"/>
    <s v="EARNED"/>
    <n v="2.4700000000000002"/>
    <s v=""/>
    <d v="2026-07-27T08:56:11"/>
    <x v="9"/>
    <n v="2.4700000000000002"/>
    <n v="0"/>
  </r>
  <r>
    <n v="2560"/>
    <n v="241"/>
    <n v="4"/>
    <n v="2403"/>
    <s v="EARNED"/>
    <n v="3.13"/>
    <s v=""/>
    <d v="2026-07-27T10:41:04"/>
    <x v="9"/>
    <n v="3.13"/>
    <n v="0"/>
  </r>
  <r>
    <n v="2561"/>
    <n v="24"/>
    <n v="2"/>
    <n v="2404"/>
    <s v="EARNED"/>
    <n v="20.83"/>
    <s v=""/>
    <d v="2026-07-27T12:55:54"/>
    <x v="9"/>
    <n v="20.83"/>
    <n v="0"/>
  </r>
  <r>
    <n v="2562"/>
    <n v="84"/>
    <n v="3"/>
    <n v="2405"/>
    <s v="EARNED"/>
    <n v="4.87"/>
    <s v=""/>
    <d v="2026-07-27T13:38:37"/>
    <x v="9"/>
    <n v="4.87"/>
    <n v="0"/>
  </r>
  <r>
    <n v="2563"/>
    <n v="136"/>
    <n v="2"/>
    <n v="2406"/>
    <s v="EARNED"/>
    <n v="9.09"/>
    <s v=""/>
    <d v="2026-07-27T14:51:55"/>
    <x v="9"/>
    <n v="9.09"/>
    <n v="0"/>
  </r>
  <r>
    <n v="2564"/>
    <n v="124"/>
    <n v="3"/>
    <n v="2407"/>
    <s v="EARNED"/>
    <n v="2.27"/>
    <s v=""/>
    <d v="2026-07-27T15:08:40"/>
    <x v="9"/>
    <n v="2.27"/>
    <n v="0"/>
  </r>
  <r>
    <n v="2565"/>
    <n v="137"/>
    <n v="2"/>
    <n v="2408"/>
    <s v="EARNED"/>
    <n v="4.55"/>
    <s v=""/>
    <d v="2026-07-27T15:23:00"/>
    <x v="9"/>
    <n v="4.55"/>
    <n v="0"/>
  </r>
  <r>
    <n v="2566"/>
    <n v="52"/>
    <n v="2"/>
    <n v="2409"/>
    <s v="EARNED"/>
    <n v="3.95"/>
    <s v=""/>
    <d v="2026-07-27T19:52:04"/>
    <x v="9"/>
    <n v="3.95"/>
    <n v="0"/>
  </r>
  <r>
    <n v="2567"/>
    <n v="128"/>
    <n v="2"/>
    <n v="2410"/>
    <s v="EARNED"/>
    <n v="2.96"/>
    <s v=""/>
    <d v="2026-07-28T07:57:37"/>
    <x v="9"/>
    <n v="2.96"/>
    <n v="0"/>
  </r>
  <r>
    <n v="2568"/>
    <n v="190"/>
    <n v="2"/>
    <n v="2411"/>
    <s v="EARNED"/>
    <n v="9.1199999999999992"/>
    <s v=""/>
    <d v="2026-07-28T07:58:50"/>
    <x v="9"/>
    <n v="9.1199999999999992"/>
    <n v="0"/>
  </r>
  <r>
    <n v="2569"/>
    <n v="114"/>
    <n v="5"/>
    <n v="2412"/>
    <s v="EARNED"/>
    <n v="17.559999999999999"/>
    <s v=""/>
    <d v="2026-07-28T14:28:54"/>
    <x v="9"/>
    <n v="17.559999999999999"/>
    <n v="0"/>
  </r>
  <r>
    <n v="2570"/>
    <n v="297"/>
    <n v="5"/>
    <n v="2413"/>
    <s v="EARNED"/>
    <n v="6.31"/>
    <s v=""/>
    <d v="2026-07-28T16:55:59"/>
    <x v="9"/>
    <n v="6.31"/>
    <n v="0"/>
  </r>
  <r>
    <n v="2571"/>
    <n v="250"/>
    <n v="5"/>
    <n v="2414"/>
    <s v="REDEEMED"/>
    <n v="64.58"/>
    <s v=""/>
    <d v="2026-07-28T17:04:52"/>
    <x v="9"/>
    <n v="0"/>
    <n v="64.58"/>
  </r>
  <r>
    <n v="2572"/>
    <n v="278"/>
    <n v="2"/>
    <n v="2415"/>
    <s v="EARNED"/>
    <n v="30"/>
    <s v=""/>
    <d v="2026-07-28T17:05:36"/>
    <x v="9"/>
    <n v="30"/>
    <n v="0"/>
  </r>
  <r>
    <n v="2573"/>
    <n v="128"/>
    <n v="4"/>
    <n v="2416"/>
    <s v="EARNED"/>
    <n v="5.07"/>
    <s v=""/>
    <d v="2026-07-28T17:18:26"/>
    <x v="9"/>
    <n v="5.07"/>
    <n v="0"/>
  </r>
  <r>
    <n v="2574"/>
    <n v="128"/>
    <n v="2"/>
    <n v="2417"/>
    <s v="EARNED"/>
    <n v="3.22"/>
    <s v=""/>
    <d v="2026-07-28T18:09:12"/>
    <x v="9"/>
    <n v="3.22"/>
    <n v="0"/>
  </r>
  <r>
    <n v="2575"/>
    <n v="128"/>
    <n v="3"/>
    <n v="2410"/>
    <s v="ADJUSTMENT"/>
    <n v="-2.96"/>
    <s v="Reverso por cancelación de compra #2410: Cliente canceló la operación"/>
    <d v="2026-07-28T23:57:37"/>
    <x v="9"/>
    <n v="0"/>
    <n v="0"/>
  </r>
  <r>
    <n v="2576"/>
    <n v="250"/>
    <n v="5"/>
    <n v="2414"/>
    <s v="ADJUSTMENT"/>
    <n v="64.58"/>
    <s v="Reverso por cancelación de compra #2414: Error de captura"/>
    <d v="2026-07-29T06:04:52"/>
    <x v="9"/>
    <n v="0"/>
    <n v="0"/>
  </r>
  <r>
    <n v="2577"/>
    <n v="285"/>
    <n v="5"/>
    <n v="2418"/>
    <s v="EARNED"/>
    <n v="2.37"/>
    <s v=""/>
    <d v="2026-07-29T08:35:47"/>
    <x v="9"/>
    <n v="2.37"/>
    <n v="0"/>
  </r>
  <r>
    <n v="2578"/>
    <n v="75"/>
    <n v="5"/>
    <n v="2419"/>
    <s v="EARNED"/>
    <n v="7.53"/>
    <s v=""/>
    <d v="2026-07-29T09:26:23"/>
    <x v="9"/>
    <n v="7.53"/>
    <n v="0"/>
  </r>
  <r>
    <n v="2579"/>
    <n v="285"/>
    <n v="3"/>
    <n v="2420"/>
    <s v="REDEEMED"/>
    <n v="21.91"/>
    <s v=""/>
    <d v="2026-07-29T10:14:44"/>
    <x v="9"/>
    <n v="0"/>
    <n v="21.91"/>
  </r>
  <r>
    <n v="2580"/>
    <n v="134"/>
    <n v="4"/>
    <n v="2421"/>
    <s v="REDEEMED"/>
    <n v="91.44"/>
    <s v=""/>
    <d v="2026-07-29T11:00:06"/>
    <x v="9"/>
    <n v="0"/>
    <n v="91.44"/>
  </r>
  <r>
    <n v="2581"/>
    <n v="128"/>
    <n v="2"/>
    <n v="2422"/>
    <s v="EARNED"/>
    <n v="2.6"/>
    <s v=""/>
    <d v="2026-07-29T14:08:40"/>
    <x v="9"/>
    <n v="2.6"/>
    <n v="0"/>
  </r>
  <r>
    <n v="2582"/>
    <n v="117"/>
    <n v="3"/>
    <n v="2423"/>
    <s v="EARNED"/>
    <n v="3.7"/>
    <s v=""/>
    <d v="2026-07-29T17:39:13"/>
    <x v="9"/>
    <n v="3.7"/>
    <n v="0"/>
  </r>
  <r>
    <n v="2583"/>
    <n v="80"/>
    <n v="5"/>
    <n v="2424"/>
    <s v="EARNED"/>
    <n v="3.16"/>
    <s v=""/>
    <d v="2026-07-29T18:21:26"/>
    <x v="9"/>
    <n v="3.16"/>
    <n v="0"/>
  </r>
  <r>
    <n v="2584"/>
    <n v="44"/>
    <n v="3"/>
    <n v="2425"/>
    <s v="EARNED"/>
    <n v="2.38"/>
    <s v=""/>
    <d v="2026-07-30T10:47:07"/>
    <x v="9"/>
    <n v="2.38"/>
    <n v="0"/>
  </r>
  <r>
    <n v="2585"/>
    <n v="225"/>
    <n v="5"/>
    <n v="2426"/>
    <s v="EARNED"/>
    <n v="2.02"/>
    <s v=""/>
    <d v="2026-07-30T10:51:03"/>
    <x v="9"/>
    <n v="2.02"/>
    <n v="0"/>
  </r>
  <r>
    <n v="2586"/>
    <n v="279"/>
    <n v="3"/>
    <n v="2427"/>
    <s v="EARNED"/>
    <n v="23.07"/>
    <s v=""/>
    <d v="2026-07-30T14:28:02"/>
    <x v="9"/>
    <n v="23.07"/>
    <n v="0"/>
  </r>
  <r>
    <n v="2587"/>
    <n v="192"/>
    <n v="4"/>
    <n v="2428"/>
    <s v="EARNED"/>
    <n v="3.26"/>
    <s v=""/>
    <d v="2026-07-30T14:42:20"/>
    <x v="9"/>
    <n v="3.26"/>
    <n v="0"/>
  </r>
  <r>
    <n v="2588"/>
    <n v="50"/>
    <n v="2"/>
    <n v="2429"/>
    <s v="EARNED"/>
    <n v="9.15"/>
    <s v=""/>
    <d v="2026-07-30T15:12:17"/>
    <x v="9"/>
    <n v="9.15"/>
    <n v="0"/>
  </r>
  <r>
    <n v="2589"/>
    <n v="195"/>
    <n v="3"/>
    <n v="2430"/>
    <s v="EARNED"/>
    <n v="19.04"/>
    <s v=""/>
    <d v="2026-07-30T15:12:43"/>
    <x v="9"/>
    <n v="19.04"/>
    <n v="0"/>
  </r>
  <r>
    <n v="2590"/>
    <n v="156"/>
    <n v="3"/>
    <n v="2431"/>
    <s v="EARNED"/>
    <n v="2.27"/>
    <s v=""/>
    <d v="2026-07-30T16:24:22"/>
    <x v="9"/>
    <n v="2.27"/>
    <n v="0"/>
  </r>
  <r>
    <n v="2591"/>
    <n v="67"/>
    <n v="3"/>
    <n v="2432"/>
    <s v="EARNED"/>
    <n v="2.73"/>
    <s v=""/>
    <d v="2026-07-30T17:03:01"/>
    <x v="9"/>
    <n v="2.73"/>
    <n v="0"/>
  </r>
  <r>
    <n v="2592"/>
    <n v="128"/>
    <n v="4"/>
    <n v="2433"/>
    <s v="EARNED"/>
    <n v="3.12"/>
    <s v=""/>
    <d v="2026-07-30T17:42:18"/>
    <x v="9"/>
    <n v="3.12"/>
    <n v="0"/>
  </r>
  <r>
    <n v="2593"/>
    <n v="75"/>
    <n v="5"/>
    <n v="2434"/>
    <s v="EARNED"/>
    <n v="4.08"/>
    <s v=""/>
    <d v="2026-07-31T08:08:00"/>
    <x v="9"/>
    <n v="4.08"/>
    <n v="0"/>
  </r>
  <r>
    <n v="2594"/>
    <n v="75"/>
    <n v="2"/>
    <n v="2435"/>
    <s v="EARNED"/>
    <n v="8.61"/>
    <s v=""/>
    <d v="2026-07-31T10:24:01"/>
    <x v="9"/>
    <n v="8.61"/>
    <n v="0"/>
  </r>
  <r>
    <n v="2595"/>
    <n v="198"/>
    <n v="5"/>
    <n v="2436"/>
    <s v="EARNED"/>
    <n v="2.06"/>
    <s v=""/>
    <d v="2026-07-31T17:57:50"/>
    <x v="9"/>
    <n v="2.06"/>
    <n v="0"/>
  </r>
  <r>
    <n v="2596"/>
    <n v="198"/>
    <n v="2"/>
    <n v="2436"/>
    <s v="ADJUSTMENT"/>
    <n v="-2.06"/>
    <s v="Reverso por cancelación de compra #2436: Monto duplicado por error de sistema"/>
    <d v="2026-08-01T00:57:50"/>
    <x v="10"/>
    <n v="0"/>
    <n v="0"/>
  </r>
  <r>
    <n v="2597"/>
    <n v="145"/>
    <n v="4"/>
    <n v="2437"/>
    <s v="EARNED"/>
    <n v="23.94"/>
    <s v=""/>
    <d v="2026-08-01T10:40:39"/>
    <x v="10"/>
    <n v="23.94"/>
    <n v="0"/>
  </r>
  <r>
    <n v="2598"/>
    <n v="243"/>
    <n v="4"/>
    <n v="2438"/>
    <s v="EARNED"/>
    <n v="4.5999999999999996"/>
    <s v=""/>
    <d v="2026-08-01T10:58:55"/>
    <x v="10"/>
    <n v="4.5999999999999996"/>
    <n v="0"/>
  </r>
  <r>
    <n v="2599"/>
    <n v="134"/>
    <n v="5"/>
    <n v="2439"/>
    <s v="EARNED"/>
    <n v="6.17"/>
    <s v=""/>
    <d v="2026-08-01T15:03:00"/>
    <x v="10"/>
    <n v="6.17"/>
    <n v="0"/>
  </r>
  <r>
    <n v="2600"/>
    <n v="244"/>
    <n v="5"/>
    <n v="2440"/>
    <s v="EARNED"/>
    <n v="4.93"/>
    <s v=""/>
    <d v="2026-08-01T16:15:14"/>
    <x v="10"/>
    <n v="4.93"/>
    <n v="0"/>
  </r>
  <r>
    <n v="2601"/>
    <n v="136"/>
    <n v="2"/>
    <n v="2441"/>
    <s v="EARNED"/>
    <n v="12.08"/>
    <s v=""/>
    <d v="2026-08-01T18:19:53"/>
    <x v="10"/>
    <n v="12.08"/>
    <n v="0"/>
  </r>
  <r>
    <n v="2602"/>
    <n v="230"/>
    <n v="4"/>
    <n v="2442"/>
    <s v="EARNED"/>
    <n v="24.26"/>
    <s v=""/>
    <d v="2026-08-01T18:32:23"/>
    <x v="10"/>
    <n v="24.26"/>
    <n v="0"/>
  </r>
  <r>
    <n v="2603"/>
    <n v="21"/>
    <n v="5"/>
    <n v="2443"/>
    <s v="EARNED"/>
    <n v="3.02"/>
    <s v=""/>
    <d v="2026-08-02T13:01:48"/>
    <x v="10"/>
    <n v="3.02"/>
    <n v="0"/>
  </r>
  <r>
    <n v="2604"/>
    <n v="304"/>
    <n v="3"/>
    <n v="2444"/>
    <s v="EARNED"/>
    <n v="3"/>
    <s v=""/>
    <d v="2026-08-02T15:33:51"/>
    <x v="10"/>
    <n v="3"/>
    <n v="0"/>
  </r>
  <r>
    <n v="2605"/>
    <n v="250"/>
    <n v="4"/>
    <n v="2445"/>
    <s v="EARNED"/>
    <n v="7.6"/>
    <s v=""/>
    <d v="2026-08-03T08:45:13"/>
    <x v="10"/>
    <n v="7.6"/>
    <n v="0"/>
  </r>
  <r>
    <n v="2606"/>
    <n v="250"/>
    <n v="5"/>
    <n v="2446"/>
    <s v="EARNED"/>
    <n v="10.09"/>
    <s v=""/>
    <d v="2026-08-03T08:55:15"/>
    <x v="10"/>
    <n v="10.09"/>
    <n v="0"/>
  </r>
  <r>
    <n v="2607"/>
    <n v="250"/>
    <n v="2"/>
    <n v="2445"/>
    <s v="ADJUSTMENT"/>
    <n v="-7.6"/>
    <s v="Reverso por cancelación de compra #2445: Error de captura"/>
    <d v="2026-08-03T09:45:13"/>
    <x v="10"/>
    <n v="0"/>
    <n v="0"/>
  </r>
  <r>
    <n v="2608"/>
    <n v="304"/>
    <n v="4"/>
    <n v="2444"/>
    <s v="ADJUSTMENT"/>
    <n v="-3"/>
    <s v="Reverso por cancelación de compra #2444: Monto duplicado por error de sistema"/>
    <d v="2026-08-03T10:33:51"/>
    <x v="10"/>
    <n v="0"/>
    <n v="0"/>
  </r>
  <r>
    <n v="2609"/>
    <n v="250"/>
    <n v="3"/>
    <n v="2447"/>
    <s v="EARNED"/>
    <n v="15.07"/>
    <s v=""/>
    <d v="2026-08-03T10:46:23"/>
    <x v="10"/>
    <n v="15.07"/>
    <n v="0"/>
  </r>
  <r>
    <n v="2610"/>
    <n v="136"/>
    <n v="3"/>
    <n v="2448"/>
    <s v="EARNED"/>
    <n v="13.1"/>
    <s v=""/>
    <d v="2026-08-03T10:51:30"/>
    <x v="10"/>
    <n v="13.1"/>
    <n v="0"/>
  </r>
  <r>
    <n v="2611"/>
    <n v="252"/>
    <n v="3"/>
    <n v="2449"/>
    <s v="EARNED"/>
    <n v="2.61"/>
    <s v=""/>
    <d v="2026-08-03T15:45:42"/>
    <x v="10"/>
    <n v="2.61"/>
    <n v="0"/>
  </r>
  <r>
    <n v="2612"/>
    <n v="32"/>
    <n v="2"/>
    <n v="2450"/>
    <s v="EARNED"/>
    <n v="4.45"/>
    <s v=""/>
    <d v="2026-08-03T17:24:23"/>
    <x v="10"/>
    <n v="4.45"/>
    <n v="0"/>
  </r>
  <r>
    <n v="2613"/>
    <n v="221"/>
    <n v="3"/>
    <n v="2451"/>
    <s v="EARNED"/>
    <n v="9.2899999999999991"/>
    <s v=""/>
    <d v="2026-08-04T08:11:30"/>
    <x v="10"/>
    <n v="9.2899999999999991"/>
    <n v="0"/>
  </r>
  <r>
    <n v="2614"/>
    <n v="128"/>
    <n v="4"/>
    <n v="2452"/>
    <s v="EARNED"/>
    <n v="1.29"/>
    <s v=""/>
    <d v="2026-08-04T09:47:31"/>
    <x v="10"/>
    <n v="1.29"/>
    <n v="0"/>
  </r>
  <r>
    <n v="2615"/>
    <n v="250"/>
    <n v="3"/>
    <n v="2453"/>
    <s v="EARNED"/>
    <n v="10.55"/>
    <s v=""/>
    <d v="2026-08-04T10:05:20"/>
    <x v="10"/>
    <n v="10.55"/>
    <n v="0"/>
  </r>
  <r>
    <n v="2616"/>
    <n v="229"/>
    <n v="4"/>
    <n v="2454"/>
    <s v="EARNED"/>
    <n v="15.23"/>
    <s v=""/>
    <d v="2026-08-04T10:37:05"/>
    <x v="10"/>
    <n v="15.23"/>
    <n v="0"/>
  </r>
  <r>
    <n v="2617"/>
    <n v="134"/>
    <n v="5"/>
    <n v="2455"/>
    <s v="EARNED"/>
    <n v="8.36"/>
    <s v=""/>
    <d v="2026-08-04T10:42:20"/>
    <x v="10"/>
    <n v="8.36"/>
    <n v="0"/>
  </r>
  <r>
    <n v="2618"/>
    <n v="268"/>
    <n v="5"/>
    <n v="2456"/>
    <s v="EARNED"/>
    <n v="5.93"/>
    <s v=""/>
    <d v="2026-08-04T12:07:48"/>
    <x v="10"/>
    <n v="5.93"/>
    <n v="0"/>
  </r>
  <r>
    <n v="2619"/>
    <n v="133"/>
    <n v="5"/>
    <n v="2457"/>
    <s v="EARNED"/>
    <n v="7.25"/>
    <s v=""/>
    <d v="2026-08-04T12:40:06"/>
    <x v="10"/>
    <n v="7.25"/>
    <n v="0"/>
  </r>
  <r>
    <n v="2620"/>
    <n v="138"/>
    <n v="2"/>
    <n v="2458"/>
    <s v="EARNED"/>
    <n v="3.52"/>
    <s v=""/>
    <d v="2026-08-04T14:50:27"/>
    <x v="10"/>
    <n v="3.52"/>
    <n v="0"/>
  </r>
  <r>
    <n v="2621"/>
    <n v="136"/>
    <n v="4"/>
    <n v="2459"/>
    <s v="EARNED"/>
    <n v="10.98"/>
    <s v=""/>
    <d v="2026-08-04T16:31:43"/>
    <x v="10"/>
    <n v="10.98"/>
    <n v="0"/>
  </r>
  <r>
    <n v="2622"/>
    <n v="128"/>
    <n v="2"/>
    <n v="2460"/>
    <s v="EARNED"/>
    <n v="5.79"/>
    <s v=""/>
    <d v="2026-08-04T16:32:54"/>
    <x v="10"/>
    <n v="5.79"/>
    <n v="0"/>
  </r>
  <r>
    <n v="2623"/>
    <n v="136"/>
    <n v="5"/>
    <n v="2461"/>
    <s v="EARNED"/>
    <n v="5.0999999999999996"/>
    <s v=""/>
    <d v="2026-08-04T16:36:22"/>
    <x v="10"/>
    <n v="5.0999999999999996"/>
    <n v="0"/>
  </r>
  <r>
    <n v="2624"/>
    <n v="141"/>
    <n v="2"/>
    <n v="2462"/>
    <s v="EARNED"/>
    <n v="5.18"/>
    <s v=""/>
    <d v="2026-08-04T17:18:39"/>
    <x v="10"/>
    <n v="5.18"/>
    <n v="0"/>
  </r>
  <r>
    <n v="2625"/>
    <n v="134"/>
    <n v="2"/>
    <n v="2463"/>
    <s v="EARNED"/>
    <n v="5.85"/>
    <s v=""/>
    <d v="2026-08-04T18:29:06"/>
    <x v="10"/>
    <n v="5.85"/>
    <n v="0"/>
  </r>
  <r>
    <n v="2626"/>
    <n v="197"/>
    <n v="3"/>
    <n v="2464"/>
    <s v="EARNED"/>
    <n v="5.84"/>
    <s v=""/>
    <d v="2026-08-05T07:04:49"/>
    <x v="10"/>
    <n v="5.84"/>
    <n v="0"/>
  </r>
  <r>
    <n v="2627"/>
    <n v="40"/>
    <n v="4"/>
    <n v="2465"/>
    <s v="EARNED"/>
    <n v="9.41"/>
    <s v=""/>
    <d v="2026-08-05T09:44:25"/>
    <x v="10"/>
    <n v="9.41"/>
    <n v="0"/>
  </r>
  <r>
    <n v="2628"/>
    <n v="192"/>
    <n v="3"/>
    <n v="2466"/>
    <s v="REDEEMED"/>
    <n v="25.25"/>
    <s v=""/>
    <d v="2026-08-05T10:45:14"/>
    <x v="10"/>
    <n v="0"/>
    <n v="25.25"/>
  </r>
  <r>
    <n v="2629"/>
    <n v="193"/>
    <n v="3"/>
    <n v="2467"/>
    <s v="EARNED"/>
    <n v="10.84"/>
    <s v=""/>
    <d v="2026-08-05T13:00:59"/>
    <x v="10"/>
    <n v="10.84"/>
    <n v="0"/>
  </r>
  <r>
    <n v="2630"/>
    <n v="82"/>
    <n v="4"/>
    <n v="2468"/>
    <s v="EARNED"/>
    <n v="5.64"/>
    <s v=""/>
    <d v="2026-08-05T14:51:45"/>
    <x v="10"/>
    <n v="5.64"/>
    <n v="0"/>
  </r>
  <r>
    <n v="2631"/>
    <n v="18"/>
    <n v="3"/>
    <n v="2469"/>
    <s v="EARNED"/>
    <n v="13.77"/>
    <s v=""/>
    <d v="2026-08-05T15:12:54"/>
    <x v="10"/>
    <n v="13.77"/>
    <n v="0"/>
  </r>
  <r>
    <n v="2632"/>
    <n v="201"/>
    <n v="5"/>
    <n v="2470"/>
    <s v="EARNED"/>
    <n v="3.04"/>
    <s v=""/>
    <d v="2026-08-05T15:17:12"/>
    <x v="10"/>
    <n v="3.04"/>
    <n v="0"/>
  </r>
  <r>
    <n v="2633"/>
    <n v="128"/>
    <n v="5"/>
    <n v="2471"/>
    <s v="REDEEMED"/>
    <n v="30.98"/>
    <s v=""/>
    <d v="2026-08-05T15:37:16"/>
    <x v="10"/>
    <n v="0"/>
    <n v="30.98"/>
  </r>
  <r>
    <n v="2634"/>
    <n v="137"/>
    <n v="2"/>
    <n v="2472"/>
    <s v="EARNED"/>
    <n v="2.95"/>
    <s v=""/>
    <d v="2026-08-05T18:10:01"/>
    <x v="10"/>
    <n v="2.95"/>
    <n v="0"/>
  </r>
  <r>
    <n v="2635"/>
    <n v="134"/>
    <n v="2"/>
    <n v="2473"/>
    <s v="EARNED"/>
    <n v="7.16"/>
    <s v=""/>
    <d v="2026-08-05T19:32:41"/>
    <x v="10"/>
    <n v="7.16"/>
    <n v="0"/>
  </r>
  <r>
    <n v="2636"/>
    <n v="131"/>
    <n v="2"/>
    <n v="2474"/>
    <s v="EARNED"/>
    <n v="23.86"/>
    <s v=""/>
    <d v="2026-08-06T11:40:41"/>
    <x v="10"/>
    <n v="23.86"/>
    <n v="0"/>
  </r>
  <r>
    <n v="2637"/>
    <n v="136"/>
    <n v="4"/>
    <n v="2475"/>
    <s v="EARNED"/>
    <n v="14.86"/>
    <s v=""/>
    <d v="2026-08-06T15:42:51"/>
    <x v="10"/>
    <n v="14.86"/>
    <n v="0"/>
  </r>
  <r>
    <n v="2638"/>
    <n v="39"/>
    <n v="4"/>
    <n v="2476"/>
    <s v="EARNED"/>
    <n v="17.89"/>
    <s v=""/>
    <d v="2026-08-06T16:33:31"/>
    <x v="10"/>
    <n v="17.89"/>
    <n v="0"/>
  </r>
  <r>
    <n v="2639"/>
    <n v="305"/>
    <n v="5"/>
    <n v="2477"/>
    <s v="EARNED"/>
    <n v="2.92"/>
    <s v=""/>
    <d v="2026-08-07T08:31:41"/>
    <x v="10"/>
    <n v="2.92"/>
    <n v="0"/>
  </r>
  <r>
    <n v="2640"/>
    <n v="247"/>
    <n v="3"/>
    <n v="2478"/>
    <s v="EARNED"/>
    <n v="2.67"/>
    <s v=""/>
    <d v="2026-08-07T08:39:10"/>
    <x v="10"/>
    <n v="2.67"/>
    <n v="0"/>
  </r>
  <r>
    <n v="2641"/>
    <n v="122"/>
    <n v="2"/>
    <n v="2479"/>
    <s v="EARNED"/>
    <n v="18.670000000000002"/>
    <s v=""/>
    <d v="2026-08-07T09:12:09"/>
    <x v="10"/>
    <n v="18.670000000000002"/>
    <n v="0"/>
  </r>
  <r>
    <n v="2642"/>
    <n v="128"/>
    <n v="2"/>
    <n v="2480"/>
    <s v="EARNED"/>
    <n v="3.69"/>
    <s v=""/>
    <d v="2026-08-07T11:14:11"/>
    <x v="10"/>
    <n v="3.69"/>
    <n v="0"/>
  </r>
  <r>
    <n v="2643"/>
    <n v="16"/>
    <n v="3"/>
    <n v="2481"/>
    <s v="EARNED"/>
    <n v="18.690000000000001"/>
    <s v=""/>
    <d v="2026-08-07T12:30:56"/>
    <x v="10"/>
    <n v="18.690000000000001"/>
    <n v="0"/>
  </r>
  <r>
    <n v="2644"/>
    <n v="297"/>
    <n v="5"/>
    <n v="2482"/>
    <s v="EARNED"/>
    <n v="5.84"/>
    <s v=""/>
    <d v="2026-08-07T13:02:59"/>
    <x v="10"/>
    <n v="5.84"/>
    <n v="0"/>
  </r>
  <r>
    <n v="2645"/>
    <n v="128"/>
    <n v="3"/>
    <n v="2483"/>
    <s v="REDEEMED"/>
    <n v="46.15"/>
    <s v=""/>
    <d v="2026-08-07T13:10:04"/>
    <x v="10"/>
    <n v="0"/>
    <n v="46.15"/>
  </r>
  <r>
    <n v="2646"/>
    <n v="128"/>
    <n v="2"/>
    <n v="2484"/>
    <s v="EARNED"/>
    <n v="2.54"/>
    <s v=""/>
    <d v="2026-08-07T15:27:38"/>
    <x v="10"/>
    <n v="2.54"/>
    <n v="0"/>
  </r>
  <r>
    <n v="2647"/>
    <n v="128"/>
    <n v="5"/>
    <n v="2485"/>
    <s v="EARNED"/>
    <n v="2.4500000000000002"/>
    <s v=""/>
    <d v="2026-08-08T07:33:18"/>
    <x v="10"/>
    <n v="2.4500000000000002"/>
    <n v="0"/>
  </r>
  <r>
    <n v="2648"/>
    <n v="128"/>
    <n v="5"/>
    <n v="2486"/>
    <s v="EARNED"/>
    <n v="7.22"/>
    <s v=""/>
    <d v="2026-08-08T08:38:16"/>
    <x v="10"/>
    <n v="7.22"/>
    <n v="0"/>
  </r>
  <r>
    <n v="2649"/>
    <n v="36"/>
    <n v="3"/>
    <n v="2487"/>
    <s v="EARNED"/>
    <n v="14.93"/>
    <s v=""/>
    <d v="2026-08-08T10:54:06"/>
    <x v="10"/>
    <n v="14.93"/>
    <n v="0"/>
  </r>
  <r>
    <n v="2650"/>
    <n v="128"/>
    <n v="5"/>
    <n v="2488"/>
    <s v="EARNED"/>
    <n v="2.98"/>
    <s v=""/>
    <d v="2026-08-08T11:18:36"/>
    <x v="10"/>
    <n v="2.98"/>
    <n v="0"/>
  </r>
  <r>
    <n v="2651"/>
    <n v="75"/>
    <n v="3"/>
    <n v="2489"/>
    <s v="EARNED"/>
    <n v="10.17"/>
    <s v=""/>
    <d v="2026-08-08T11:53:57"/>
    <x v="10"/>
    <n v="10.17"/>
    <n v="0"/>
  </r>
  <r>
    <n v="2652"/>
    <n v="76"/>
    <n v="4"/>
    <n v="2490"/>
    <s v="EARNED"/>
    <n v="12.82"/>
    <s v=""/>
    <d v="2026-08-08T14:42:37"/>
    <x v="10"/>
    <n v="12.82"/>
    <n v="0"/>
  </r>
  <r>
    <n v="2653"/>
    <n v="75"/>
    <n v="5"/>
    <n v="2491"/>
    <s v="EARNED"/>
    <n v="7.89"/>
    <s v=""/>
    <d v="2026-08-08T15:31:13"/>
    <x v="10"/>
    <n v="7.89"/>
    <n v="0"/>
  </r>
  <r>
    <n v="2654"/>
    <n v="156"/>
    <n v="2"/>
    <n v="2492"/>
    <s v="EARNED"/>
    <n v="2.78"/>
    <s v=""/>
    <d v="2026-08-08T15:59:38"/>
    <x v="10"/>
    <n v="2.78"/>
    <n v="0"/>
  </r>
  <r>
    <n v="2655"/>
    <n v="250"/>
    <n v="2"/>
    <n v="2493"/>
    <s v="REDEEMED"/>
    <n v="65.66"/>
    <s v=""/>
    <d v="2026-08-08T16:48:33"/>
    <x v="10"/>
    <n v="0"/>
    <n v="65.66"/>
  </r>
  <r>
    <n v="2656"/>
    <n v="250"/>
    <n v="3"/>
    <n v="2494"/>
    <s v="EARNED"/>
    <n v="8.5399999999999991"/>
    <s v=""/>
    <d v="2026-08-08T17:05:35"/>
    <x v="10"/>
    <n v="8.5399999999999991"/>
    <n v="0"/>
  </r>
  <r>
    <n v="2657"/>
    <n v="158"/>
    <n v="2"/>
    <n v="2495"/>
    <s v="EARNED"/>
    <n v="2.5099999999999998"/>
    <s v=""/>
    <d v="2026-08-08T17:33:43"/>
    <x v="10"/>
    <n v="2.5099999999999998"/>
    <n v="0"/>
  </r>
  <r>
    <n v="2658"/>
    <n v="128"/>
    <n v="5"/>
    <n v="2480"/>
    <s v="ADJUSTMENT"/>
    <n v="-3.69"/>
    <s v="Reverso por cancelación de compra #2480: Monto duplicado por error de sistema"/>
    <d v="2026-08-08T22:14:11"/>
    <x v="10"/>
    <n v="0"/>
    <n v="0"/>
  </r>
  <r>
    <n v="2659"/>
    <n v="294"/>
    <n v="3"/>
    <n v="2496"/>
    <s v="EARNED"/>
    <n v="2.0099999999999998"/>
    <s v=""/>
    <d v="2026-08-09T10:08:25"/>
    <x v="10"/>
    <n v="2.0099999999999998"/>
    <n v="0"/>
  </r>
  <r>
    <n v="2660"/>
    <n v="110"/>
    <n v="5"/>
    <n v="2497"/>
    <s v="EARNED"/>
    <n v="2.5099999999999998"/>
    <s v=""/>
    <d v="2026-08-09T12:09:50"/>
    <x v="10"/>
    <n v="2.5099999999999998"/>
    <n v="0"/>
  </r>
  <r>
    <n v="2661"/>
    <n v="128"/>
    <n v="3"/>
    <n v="2498"/>
    <s v="EARNED"/>
    <n v="2.39"/>
    <s v=""/>
    <d v="2026-08-09T13:13:09"/>
    <x v="10"/>
    <n v="2.39"/>
    <n v="0"/>
  </r>
  <r>
    <n v="2662"/>
    <n v="128"/>
    <n v="4"/>
    <n v="2499"/>
    <s v="EARNED"/>
    <n v="3.51"/>
    <s v=""/>
    <d v="2026-08-09T14:15:33"/>
    <x v="10"/>
    <n v="3.51"/>
    <n v="0"/>
  </r>
  <r>
    <n v="2663"/>
    <n v="285"/>
    <n v="2"/>
    <n v="2500"/>
    <s v="EARNED"/>
    <n v="1.35"/>
    <s v=""/>
    <d v="2026-08-09T15:25:39"/>
    <x v="10"/>
    <n v="1.35"/>
    <n v="0"/>
  </r>
  <r>
    <n v="2664"/>
    <n v="145"/>
    <n v="3"/>
    <n v="2501"/>
    <s v="EARNED"/>
    <n v="12.23"/>
    <s v=""/>
    <d v="2026-08-09T17:37:19"/>
    <x v="10"/>
    <n v="12.23"/>
    <n v="0"/>
  </r>
  <r>
    <n v="2665"/>
    <n v="134"/>
    <n v="3"/>
    <n v="2502"/>
    <s v="EARNED"/>
    <n v="9.32"/>
    <s v=""/>
    <d v="2026-08-09T17:47:32"/>
    <x v="10"/>
    <n v="9.32"/>
    <n v="0"/>
  </r>
  <r>
    <n v="2666"/>
    <n v="16"/>
    <n v="3"/>
    <n v="2503"/>
    <s v="EARNED"/>
    <n v="14.76"/>
    <s v=""/>
    <d v="2026-08-10T08:06:50"/>
    <x v="10"/>
    <n v="14.76"/>
    <n v="0"/>
  </r>
  <r>
    <n v="2667"/>
    <n v="229"/>
    <n v="5"/>
    <n v="2504"/>
    <s v="EARNED"/>
    <n v="10.42"/>
    <s v=""/>
    <d v="2026-08-10T08:34:15"/>
    <x v="10"/>
    <n v="10.42"/>
    <n v="0"/>
  </r>
  <r>
    <n v="2668"/>
    <n v="189"/>
    <n v="2"/>
    <n v="2505"/>
    <s v="EARNED"/>
    <n v="2.44"/>
    <s v=""/>
    <d v="2026-08-10T14:07:32"/>
    <x v="10"/>
    <n v="2.44"/>
    <n v="0"/>
  </r>
  <r>
    <n v="2669"/>
    <n v="134"/>
    <n v="2"/>
    <n v="2506"/>
    <s v="EARNED"/>
    <n v="6.2"/>
    <s v=""/>
    <d v="2026-08-10T15:04:16"/>
    <x v="10"/>
    <n v="6.2"/>
    <n v="0"/>
  </r>
  <r>
    <n v="2670"/>
    <n v="150"/>
    <n v="3"/>
    <n v="2507"/>
    <s v="EARNED"/>
    <n v="6.87"/>
    <s v=""/>
    <d v="2026-08-10T15:50:34"/>
    <x v="10"/>
    <n v="6.87"/>
    <n v="0"/>
  </r>
  <r>
    <n v="2671"/>
    <n v="294"/>
    <n v="4"/>
    <n v="2496"/>
    <s v="ADJUSTMENT"/>
    <n v="-2.0099999999999998"/>
    <s v="Reverso por cancelación de compra #2496: Error de captura"/>
    <d v="2026-08-10T16:08:25"/>
    <x v="10"/>
    <n v="0"/>
    <n v="0"/>
  </r>
  <r>
    <n v="2672"/>
    <n v="128"/>
    <n v="3"/>
    <n v="2508"/>
    <s v="EARNED"/>
    <n v="3.1"/>
    <s v=""/>
    <d v="2026-08-11T07:14:20"/>
    <x v="10"/>
    <n v="3.1"/>
    <n v="0"/>
  </r>
  <r>
    <n v="2673"/>
    <n v="213"/>
    <n v="3"/>
    <n v="2509"/>
    <s v="EARNED"/>
    <n v="15.28"/>
    <s v=""/>
    <d v="2026-08-11T08:01:54"/>
    <x v="10"/>
    <n v="15.28"/>
    <n v="0"/>
  </r>
  <r>
    <n v="2674"/>
    <n v="246"/>
    <n v="4"/>
    <n v="2510"/>
    <s v="EARNED"/>
    <n v="2.89"/>
    <s v=""/>
    <d v="2026-08-11T08:51:25"/>
    <x v="10"/>
    <n v="2.89"/>
    <n v="0"/>
  </r>
  <r>
    <n v="2675"/>
    <n v="289"/>
    <n v="4"/>
    <n v="2511"/>
    <s v="EARNED"/>
    <n v="15.67"/>
    <s v=""/>
    <d v="2026-08-11T09:19:32"/>
    <x v="10"/>
    <n v="15.67"/>
    <n v="0"/>
  </r>
  <r>
    <n v="2676"/>
    <n v="29"/>
    <n v="5"/>
    <n v="2512"/>
    <s v="EARNED"/>
    <n v="3.77"/>
    <s v=""/>
    <d v="2026-08-11T11:48:27"/>
    <x v="10"/>
    <n v="3.77"/>
    <n v="0"/>
  </r>
  <r>
    <n v="2677"/>
    <n v="37"/>
    <n v="4"/>
    <n v="2513"/>
    <s v="EARNED"/>
    <n v="12.99"/>
    <s v=""/>
    <d v="2026-08-11T12:45:24"/>
    <x v="10"/>
    <n v="12.99"/>
    <n v="0"/>
  </r>
  <r>
    <n v="2678"/>
    <n v="285"/>
    <n v="3"/>
    <n v="2514"/>
    <s v="EARNED"/>
    <n v="1.87"/>
    <s v=""/>
    <d v="2026-08-11T15:10:02"/>
    <x v="10"/>
    <n v="1.87"/>
    <n v="0"/>
  </r>
  <r>
    <n v="2679"/>
    <n v="285"/>
    <n v="5"/>
    <n v="2515"/>
    <s v="EARNED"/>
    <n v="3.27"/>
    <s v=""/>
    <d v="2026-08-11T17:13:31"/>
    <x v="10"/>
    <n v="3.27"/>
    <n v="0"/>
  </r>
  <r>
    <n v="2680"/>
    <n v="134"/>
    <n v="3"/>
    <n v="2516"/>
    <s v="EARNED"/>
    <n v="10.58"/>
    <s v=""/>
    <d v="2026-08-12T08:57:08"/>
    <x v="10"/>
    <n v="10.58"/>
    <n v="0"/>
  </r>
  <r>
    <n v="2681"/>
    <n v="65"/>
    <n v="5"/>
    <n v="2517"/>
    <s v="EARNED"/>
    <n v="3.06"/>
    <s v=""/>
    <d v="2026-08-12T09:51:36"/>
    <x v="10"/>
    <n v="3.06"/>
    <n v="0"/>
  </r>
  <r>
    <n v="2682"/>
    <n v="128"/>
    <n v="3"/>
    <n v="2518"/>
    <s v="EARNED"/>
    <n v="3.11"/>
    <s v=""/>
    <d v="2026-08-12T15:17:56"/>
    <x v="10"/>
    <n v="3.11"/>
    <n v="0"/>
  </r>
  <r>
    <n v="2683"/>
    <n v="128"/>
    <n v="3"/>
    <n v="2519"/>
    <s v="EARNED"/>
    <n v="3.52"/>
    <s v=""/>
    <d v="2026-08-12T19:22:45"/>
    <x v="10"/>
    <n v="3.52"/>
    <n v="0"/>
  </r>
  <r>
    <n v="2684"/>
    <n v="87"/>
    <n v="3"/>
    <n v="2520"/>
    <s v="EARNED"/>
    <n v="10.28"/>
    <s v=""/>
    <d v="2026-08-12T19:24:52"/>
    <x v="10"/>
    <n v="10.28"/>
    <n v="0"/>
  </r>
  <r>
    <n v="2685"/>
    <n v="156"/>
    <n v="2"/>
    <n v="2521"/>
    <s v="EARNED"/>
    <n v="3.28"/>
    <s v=""/>
    <d v="2026-08-13T07:44:36"/>
    <x v="10"/>
    <n v="3.28"/>
    <n v="0"/>
  </r>
  <r>
    <n v="2686"/>
    <n v="171"/>
    <n v="4"/>
    <n v="2522"/>
    <s v="EARNED"/>
    <n v="22"/>
    <s v=""/>
    <d v="2026-08-13T09:43:00"/>
    <x v="10"/>
    <n v="22"/>
    <n v="0"/>
  </r>
  <r>
    <n v="2687"/>
    <n v="51"/>
    <n v="3"/>
    <n v="2523"/>
    <s v="EARNED"/>
    <n v="15.23"/>
    <s v=""/>
    <d v="2026-08-13T10:27:32"/>
    <x v="10"/>
    <n v="15.23"/>
    <n v="0"/>
  </r>
  <r>
    <n v="2688"/>
    <n v="238"/>
    <n v="5"/>
    <n v="2524"/>
    <s v="EARNED"/>
    <n v="4.28"/>
    <s v=""/>
    <d v="2026-08-13T15:47:23"/>
    <x v="10"/>
    <n v="4.28"/>
    <n v="0"/>
  </r>
  <r>
    <n v="2689"/>
    <n v="80"/>
    <n v="4"/>
    <n v="2525"/>
    <s v="EARNED"/>
    <n v="2.98"/>
    <s v=""/>
    <d v="2026-08-13T18:38:35"/>
    <x v="10"/>
    <n v="2.98"/>
    <n v="0"/>
  </r>
  <r>
    <n v="2690"/>
    <n v="86"/>
    <n v="5"/>
    <n v="2526"/>
    <s v="EARNED"/>
    <n v="2.12"/>
    <s v=""/>
    <d v="2026-08-13T19:15:56"/>
    <x v="10"/>
    <n v="2.12"/>
    <n v="0"/>
  </r>
  <r>
    <n v="2691"/>
    <n v="131"/>
    <n v="2"/>
    <n v="2527"/>
    <s v="EARNED"/>
    <n v="14.12"/>
    <s v=""/>
    <d v="2026-08-14T07:07:26"/>
    <x v="10"/>
    <n v="14.12"/>
    <n v="0"/>
  </r>
  <r>
    <n v="2692"/>
    <n v="213"/>
    <n v="5"/>
    <n v="2528"/>
    <s v="EARNED"/>
    <n v="14.42"/>
    <s v=""/>
    <d v="2026-08-14T07:59:31"/>
    <x v="10"/>
    <n v="14.42"/>
    <n v="0"/>
  </r>
  <r>
    <n v="2693"/>
    <n v="75"/>
    <n v="3"/>
    <n v="2529"/>
    <s v="EARNED"/>
    <n v="14.85"/>
    <s v=""/>
    <d v="2026-08-14T08:55:02"/>
    <x v="10"/>
    <n v="14.85"/>
    <n v="0"/>
  </r>
  <r>
    <n v="2694"/>
    <n v="128"/>
    <n v="5"/>
    <n v="2530"/>
    <s v="EARNED"/>
    <n v="1.99"/>
    <s v=""/>
    <d v="2026-08-14T10:46:43"/>
    <x v="10"/>
    <n v="1.99"/>
    <n v="0"/>
  </r>
  <r>
    <n v="2695"/>
    <n v="128"/>
    <n v="4"/>
    <n v="2531"/>
    <s v="EARNED"/>
    <n v="1.95"/>
    <s v=""/>
    <d v="2026-08-14T15:39:22"/>
    <x v="10"/>
    <n v="1.95"/>
    <n v="0"/>
  </r>
  <r>
    <n v="2696"/>
    <n v="285"/>
    <n v="4"/>
    <n v="2532"/>
    <s v="EARNED"/>
    <n v="2.13"/>
    <s v=""/>
    <d v="2026-08-14T16:22:04"/>
    <x v="10"/>
    <n v="2.13"/>
    <n v="0"/>
  </r>
  <r>
    <n v="2697"/>
    <n v="57"/>
    <n v="2"/>
    <n v="2533"/>
    <s v="EARNED"/>
    <n v="13.36"/>
    <s v=""/>
    <d v="2026-08-14T16:25:20"/>
    <x v="10"/>
    <n v="13.36"/>
    <n v="0"/>
  </r>
  <r>
    <n v="2698"/>
    <n v="134"/>
    <n v="3"/>
    <n v="2534"/>
    <s v="EARNED"/>
    <n v="7.61"/>
    <s v=""/>
    <d v="2026-08-14T16:33:36"/>
    <x v="10"/>
    <n v="7.61"/>
    <n v="0"/>
  </r>
  <r>
    <n v="2699"/>
    <n v="128"/>
    <n v="3"/>
    <n v="2535"/>
    <s v="EARNED"/>
    <n v="1.44"/>
    <s v=""/>
    <d v="2026-08-15T07:17:35"/>
    <x v="10"/>
    <n v="1.44"/>
    <n v="0"/>
  </r>
  <r>
    <n v="2700"/>
    <n v="44"/>
    <n v="4"/>
    <n v="2536"/>
    <s v="REDEEMED"/>
    <n v="33.03"/>
    <s v=""/>
    <d v="2026-08-15T09:20:13"/>
    <x v="10"/>
    <n v="0"/>
    <n v="33.03"/>
  </r>
  <r>
    <n v="2701"/>
    <n v="18"/>
    <n v="2"/>
    <n v="2537"/>
    <s v="REDEEMED"/>
    <n v="146.24"/>
    <s v=""/>
    <d v="2026-08-15T10:47:37"/>
    <x v="10"/>
    <n v="0"/>
    <n v="146.24"/>
  </r>
  <r>
    <n v="2702"/>
    <n v="16"/>
    <n v="2"/>
    <n v="2538"/>
    <s v="EARNED"/>
    <n v="21.72"/>
    <s v=""/>
    <d v="2026-08-15T11:31:50"/>
    <x v="10"/>
    <n v="21.72"/>
    <n v="0"/>
  </r>
  <r>
    <n v="2703"/>
    <n v="184"/>
    <n v="4"/>
    <n v="2539"/>
    <s v="EARNED"/>
    <n v="5.2"/>
    <s v=""/>
    <d v="2026-08-15T12:30:38"/>
    <x v="10"/>
    <n v="5.2"/>
    <n v="0"/>
  </r>
  <r>
    <n v="2704"/>
    <n v="183"/>
    <n v="3"/>
    <n v="2540"/>
    <s v="EARNED"/>
    <n v="11.35"/>
    <s v=""/>
    <d v="2026-08-15T13:52:50"/>
    <x v="10"/>
    <n v="11.35"/>
    <n v="0"/>
  </r>
  <r>
    <n v="2705"/>
    <n v="229"/>
    <n v="4"/>
    <n v="2541"/>
    <s v="EARNED"/>
    <n v="22"/>
    <s v=""/>
    <d v="2026-08-15T13:53:36"/>
    <x v="10"/>
    <n v="22"/>
    <n v="0"/>
  </r>
  <r>
    <n v="2706"/>
    <n v="198"/>
    <n v="5"/>
    <n v="2542"/>
    <s v="EARNED"/>
    <n v="4.34"/>
    <s v=""/>
    <d v="2026-08-15T14:09:48"/>
    <x v="10"/>
    <n v="4.34"/>
    <n v="0"/>
  </r>
  <r>
    <n v="2707"/>
    <n v="134"/>
    <n v="2"/>
    <n v="2543"/>
    <s v="EARNED"/>
    <n v="4.9800000000000004"/>
    <s v=""/>
    <d v="2026-08-15T14:49:57"/>
    <x v="10"/>
    <n v="4.9800000000000004"/>
    <n v="0"/>
  </r>
  <r>
    <n v="2708"/>
    <n v="229"/>
    <n v="5"/>
    <n v="2541"/>
    <s v="ADJUSTMENT"/>
    <n v="-22"/>
    <s v="Reverso por cancelación de compra #2541: Error de captura"/>
    <d v="2026-08-16T02:53:36"/>
    <x v="10"/>
    <n v="0"/>
    <n v="0"/>
  </r>
  <r>
    <n v="2709"/>
    <n v="233"/>
    <n v="5"/>
    <n v="2544"/>
    <s v="EARNED"/>
    <n v="8.11"/>
    <s v=""/>
    <d v="2026-08-16T14:31:44"/>
    <x v="10"/>
    <n v="8.11"/>
    <n v="0"/>
  </r>
  <r>
    <n v="2710"/>
    <n v="18"/>
    <n v="5"/>
    <n v="2537"/>
    <s v="ADJUSTMENT"/>
    <n v="146.24"/>
    <s v="Reverso por cancelación de compra #2537: Solicitud del cliente"/>
    <d v="2026-08-16T22:47:37"/>
    <x v="10"/>
    <n v="0"/>
    <n v="0"/>
  </r>
  <r>
    <n v="2711"/>
    <n v="244"/>
    <n v="3"/>
    <n v="2545"/>
    <s v="EARNED"/>
    <n v="10.119999999999999"/>
    <s v=""/>
    <d v="2026-08-17T07:16:48"/>
    <x v="10"/>
    <n v="10.119999999999999"/>
    <n v="0"/>
  </r>
  <r>
    <n v="2712"/>
    <n v="200"/>
    <n v="4"/>
    <n v="2546"/>
    <s v="EARNED"/>
    <n v="1.97"/>
    <s v=""/>
    <d v="2026-08-17T07:26:56"/>
    <x v="10"/>
    <n v="1.97"/>
    <n v="0"/>
  </r>
  <r>
    <n v="2713"/>
    <n v="232"/>
    <n v="2"/>
    <n v="2547"/>
    <s v="EARNED"/>
    <n v="3.18"/>
    <s v=""/>
    <d v="2026-08-17T13:41:05"/>
    <x v="10"/>
    <n v="3.18"/>
    <n v="0"/>
  </r>
  <r>
    <n v="2714"/>
    <n v="245"/>
    <n v="5"/>
    <n v="2548"/>
    <s v="EARNED"/>
    <n v="2.76"/>
    <s v=""/>
    <d v="2026-08-17T16:25:39"/>
    <x v="10"/>
    <n v="2.76"/>
    <n v="0"/>
  </r>
  <r>
    <n v="2715"/>
    <n v="14"/>
    <n v="3"/>
    <n v="2549"/>
    <s v="EARNED"/>
    <n v="4.45"/>
    <s v=""/>
    <d v="2026-08-18T09:01:19"/>
    <x v="10"/>
    <n v="4.45"/>
    <n v="0"/>
  </r>
  <r>
    <n v="2716"/>
    <n v="128"/>
    <n v="5"/>
    <n v="2550"/>
    <s v="EARNED"/>
    <n v="3.04"/>
    <s v=""/>
    <d v="2026-08-18T11:14:53"/>
    <x v="10"/>
    <n v="3.04"/>
    <n v="0"/>
  </r>
  <r>
    <n v="2717"/>
    <n v="91"/>
    <n v="4"/>
    <n v="2551"/>
    <s v="EARNED"/>
    <n v="2.12"/>
    <s v=""/>
    <d v="2026-08-18T15:04:46"/>
    <x v="10"/>
    <n v="2.12"/>
    <n v="0"/>
  </r>
  <r>
    <n v="2718"/>
    <n v="156"/>
    <n v="5"/>
    <n v="2552"/>
    <s v="EARNED"/>
    <n v="1.54"/>
    <s v=""/>
    <d v="2026-08-18T15:48:53"/>
    <x v="10"/>
    <n v="1.54"/>
    <n v="0"/>
  </r>
  <r>
    <n v="2719"/>
    <n v="162"/>
    <n v="3"/>
    <n v="2553"/>
    <s v="EARNED"/>
    <n v="2.98"/>
    <s v=""/>
    <d v="2026-08-18T17:21:22"/>
    <x v="10"/>
    <n v="2.98"/>
    <n v="0"/>
  </r>
  <r>
    <n v="2720"/>
    <n v="38"/>
    <n v="4"/>
    <n v="2554"/>
    <s v="EARNED"/>
    <n v="2.41"/>
    <s v=""/>
    <d v="2026-08-19T07:40:45"/>
    <x v="10"/>
    <n v="2.41"/>
    <n v="0"/>
  </r>
  <r>
    <n v="2721"/>
    <n v="128"/>
    <n v="5"/>
    <n v="2555"/>
    <s v="EARNED"/>
    <n v="2.91"/>
    <s v=""/>
    <d v="2026-08-19T08:21:12"/>
    <x v="10"/>
    <n v="2.91"/>
    <n v="0"/>
  </r>
  <r>
    <n v="2722"/>
    <n v="185"/>
    <n v="4"/>
    <n v="2556"/>
    <s v="EARNED"/>
    <n v="8.33"/>
    <s v=""/>
    <d v="2026-08-19T08:29:40"/>
    <x v="10"/>
    <n v="8.33"/>
    <n v="0"/>
  </r>
  <r>
    <n v="2723"/>
    <n v="75"/>
    <n v="2"/>
    <n v="2557"/>
    <s v="EARNED"/>
    <n v="6.47"/>
    <s v=""/>
    <d v="2026-08-19T09:19:22"/>
    <x v="10"/>
    <n v="6.47"/>
    <n v="0"/>
  </r>
  <r>
    <n v="2724"/>
    <n v="243"/>
    <n v="2"/>
    <n v="2558"/>
    <s v="EARNED"/>
    <n v="6.64"/>
    <s v=""/>
    <d v="2026-08-19T16:32:09"/>
    <x v="10"/>
    <n v="6.64"/>
    <n v="0"/>
  </r>
  <r>
    <n v="2725"/>
    <n v="235"/>
    <n v="2"/>
    <n v="2559"/>
    <s v="EARNED"/>
    <n v="5.25"/>
    <s v=""/>
    <d v="2026-08-19T16:37:48"/>
    <x v="10"/>
    <n v="5.25"/>
    <n v="0"/>
  </r>
  <r>
    <n v="2726"/>
    <n v="157"/>
    <n v="4"/>
    <n v="2560"/>
    <s v="EARNED"/>
    <n v="7.94"/>
    <s v=""/>
    <d v="2026-08-19T17:13:33"/>
    <x v="10"/>
    <n v="7.94"/>
    <n v="0"/>
  </r>
  <r>
    <n v="2727"/>
    <n v="75"/>
    <n v="2"/>
    <n v="2561"/>
    <s v="EARNED"/>
    <n v="5.24"/>
    <s v=""/>
    <d v="2026-08-19T17:56:35"/>
    <x v="10"/>
    <n v="5.24"/>
    <n v="0"/>
  </r>
  <r>
    <n v="2728"/>
    <n v="86"/>
    <n v="3"/>
    <n v="2562"/>
    <s v="EARNED"/>
    <n v="4.28"/>
    <s v=""/>
    <d v="2026-08-20T08:10:21"/>
    <x v="10"/>
    <n v="4.28"/>
    <n v="0"/>
  </r>
  <r>
    <n v="2729"/>
    <n v="268"/>
    <n v="2"/>
    <n v="2563"/>
    <s v="EARNED"/>
    <n v="4.43"/>
    <s v=""/>
    <d v="2026-08-20T08:41:20"/>
    <x v="10"/>
    <n v="4.43"/>
    <n v="0"/>
  </r>
  <r>
    <n v="2730"/>
    <n v="128"/>
    <n v="5"/>
    <n v="2564"/>
    <s v="REDEEMED"/>
    <n v="20.46"/>
    <s v=""/>
    <d v="2026-08-20T09:36:39"/>
    <x v="10"/>
    <n v="0"/>
    <n v="20.46"/>
  </r>
  <r>
    <n v="2731"/>
    <n v="128"/>
    <n v="2"/>
    <n v="2565"/>
    <s v="EARNED"/>
    <n v="1.76"/>
    <s v=""/>
    <d v="2026-08-20T09:39:43"/>
    <x v="10"/>
    <n v="1.76"/>
    <n v="0"/>
  </r>
  <r>
    <n v="2732"/>
    <n v="11"/>
    <n v="5"/>
    <n v="2566"/>
    <s v="EARNED"/>
    <n v="27.67"/>
    <s v=""/>
    <d v="2026-08-20T10:30:34"/>
    <x v="10"/>
    <n v="27.67"/>
    <n v="0"/>
  </r>
  <r>
    <n v="2733"/>
    <n v="268"/>
    <n v="3"/>
    <n v="2563"/>
    <s v="ADJUSTMENT"/>
    <n v="-4.43"/>
    <s v="Reverso por cancelación de compra #2563: Monto duplicado por error de sistema"/>
    <d v="2026-08-20T10:41:20"/>
    <x v="10"/>
    <n v="0"/>
    <n v="0"/>
  </r>
  <r>
    <n v="2734"/>
    <n v="148"/>
    <n v="2"/>
    <n v="2567"/>
    <s v="EARNED"/>
    <n v="2.2000000000000002"/>
    <s v=""/>
    <d v="2026-08-20T14:52:37"/>
    <x v="10"/>
    <n v="2.2000000000000002"/>
    <n v="0"/>
  </r>
  <r>
    <n v="2735"/>
    <n v="136"/>
    <n v="4"/>
    <n v="2568"/>
    <s v="EARNED"/>
    <n v="6.9"/>
    <s v=""/>
    <d v="2026-08-20T15:06:13"/>
    <x v="10"/>
    <n v="6.9"/>
    <n v="0"/>
  </r>
  <r>
    <n v="2736"/>
    <n v="121"/>
    <n v="3"/>
    <n v="2569"/>
    <s v="EARNED"/>
    <n v="4.8099999999999996"/>
    <s v=""/>
    <d v="2026-08-21T09:16:03"/>
    <x v="10"/>
    <n v="4.8099999999999996"/>
    <n v="0"/>
  </r>
  <r>
    <n v="2737"/>
    <n v="250"/>
    <n v="5"/>
    <n v="2570"/>
    <s v="EARNED"/>
    <n v="13.41"/>
    <s v=""/>
    <d v="2026-08-21T09:23:46"/>
    <x v="10"/>
    <n v="13.41"/>
    <n v="0"/>
  </r>
  <r>
    <n v="2738"/>
    <n v="161"/>
    <n v="4"/>
    <n v="2571"/>
    <s v="EARNED"/>
    <n v="9.84"/>
    <s v=""/>
    <d v="2026-08-21T11:11:57"/>
    <x v="10"/>
    <n v="9.84"/>
    <n v="0"/>
  </r>
  <r>
    <n v="2739"/>
    <n v="128"/>
    <n v="4"/>
    <n v="2572"/>
    <s v="EARNED"/>
    <n v="4.0599999999999996"/>
    <s v=""/>
    <d v="2026-08-21T11:39:48"/>
    <x v="10"/>
    <n v="4.0599999999999996"/>
    <n v="0"/>
  </r>
  <r>
    <n v="2740"/>
    <n v="128"/>
    <n v="3"/>
    <n v="2573"/>
    <s v="EARNED"/>
    <n v="2.4500000000000002"/>
    <s v=""/>
    <d v="2026-08-21T12:42:03"/>
    <x v="10"/>
    <n v="2.4500000000000002"/>
    <n v="0"/>
  </r>
  <r>
    <n v="2741"/>
    <n v="153"/>
    <n v="4"/>
    <n v="2574"/>
    <s v="EARNED"/>
    <n v="6.89"/>
    <s v=""/>
    <d v="2026-08-21T12:55:40"/>
    <x v="10"/>
    <n v="6.89"/>
    <n v="0"/>
  </r>
  <r>
    <n v="2742"/>
    <n v="185"/>
    <n v="4"/>
    <n v="2575"/>
    <s v="EARNED"/>
    <n v="16.14"/>
    <s v=""/>
    <d v="2026-08-21T17:40:28"/>
    <x v="10"/>
    <n v="16.14"/>
    <n v="0"/>
  </r>
  <r>
    <n v="2743"/>
    <n v="247"/>
    <n v="3"/>
    <n v="2576"/>
    <s v="EARNED"/>
    <n v="3.57"/>
    <s v=""/>
    <d v="2026-08-21T18:25:44"/>
    <x v="10"/>
    <n v="3.57"/>
    <n v="0"/>
  </r>
  <r>
    <n v="2744"/>
    <n v="178"/>
    <n v="2"/>
    <n v="2577"/>
    <s v="EARNED"/>
    <n v="30"/>
    <s v=""/>
    <d v="2026-08-21T18:35:29"/>
    <x v="10"/>
    <n v="30"/>
    <n v="0"/>
  </r>
  <r>
    <n v="2745"/>
    <n v="36"/>
    <n v="2"/>
    <n v="2578"/>
    <s v="REDEEMED"/>
    <n v="165.62"/>
    <s v=""/>
    <d v="2026-08-21T19:01:59"/>
    <x v="10"/>
    <n v="0"/>
    <n v="165.62"/>
  </r>
  <r>
    <n v="2746"/>
    <n v="250"/>
    <n v="5"/>
    <n v="2579"/>
    <s v="EARNED"/>
    <n v="11.98"/>
    <s v=""/>
    <d v="2026-08-22T07:08:36"/>
    <x v="10"/>
    <n v="11.98"/>
    <n v="0"/>
  </r>
  <r>
    <n v="2747"/>
    <n v="134"/>
    <n v="3"/>
    <n v="2580"/>
    <s v="EARNED"/>
    <n v="17.54"/>
    <s v=""/>
    <d v="2026-08-22T07:36:57"/>
    <x v="10"/>
    <n v="17.54"/>
    <n v="0"/>
  </r>
  <r>
    <n v="2748"/>
    <n v="128"/>
    <n v="2"/>
    <n v="2581"/>
    <s v="EARNED"/>
    <n v="2.23"/>
    <s v=""/>
    <d v="2026-08-22T08:12:21"/>
    <x v="10"/>
    <n v="2.23"/>
    <n v="0"/>
  </r>
  <r>
    <n v="2749"/>
    <n v="185"/>
    <n v="5"/>
    <n v="2582"/>
    <s v="EARNED"/>
    <n v="17.32"/>
    <s v=""/>
    <d v="2026-08-22T09:55:29"/>
    <x v="10"/>
    <n v="17.32"/>
    <n v="0"/>
  </r>
  <r>
    <n v="2750"/>
    <n v="61"/>
    <n v="3"/>
    <n v="2583"/>
    <s v="EARNED"/>
    <n v="6.22"/>
    <s v=""/>
    <d v="2026-08-22T10:11:36"/>
    <x v="10"/>
    <n v="6.22"/>
    <n v="0"/>
  </r>
  <r>
    <n v="2751"/>
    <n v="121"/>
    <n v="2"/>
    <n v="2584"/>
    <s v="EARNED"/>
    <n v="4.1900000000000004"/>
    <s v=""/>
    <d v="2026-08-22T10:13:09"/>
    <x v="10"/>
    <n v="4.1900000000000004"/>
    <n v="0"/>
  </r>
  <r>
    <n v="2752"/>
    <n v="229"/>
    <n v="2"/>
    <n v="2585"/>
    <s v="EARNED"/>
    <n v="14.84"/>
    <s v=""/>
    <d v="2026-08-22T10:53:29"/>
    <x v="10"/>
    <n v="14.84"/>
    <n v="0"/>
  </r>
  <r>
    <n v="2753"/>
    <n v="44"/>
    <n v="3"/>
    <n v="2586"/>
    <s v="EARNED"/>
    <n v="1.67"/>
    <s v=""/>
    <d v="2026-08-22T13:35:15"/>
    <x v="10"/>
    <n v="1.67"/>
    <n v="0"/>
  </r>
  <r>
    <n v="2754"/>
    <n v="250"/>
    <n v="2"/>
    <n v="2587"/>
    <s v="EARNED"/>
    <n v="11.71"/>
    <s v=""/>
    <d v="2026-08-22T14:51:47"/>
    <x v="10"/>
    <n v="11.71"/>
    <n v="0"/>
  </r>
  <r>
    <n v="2755"/>
    <n v="48"/>
    <n v="3"/>
    <n v="2588"/>
    <s v="EARNED"/>
    <n v="6.3"/>
    <s v=""/>
    <d v="2026-08-22T17:38:42"/>
    <x v="10"/>
    <n v="6.3"/>
    <n v="0"/>
  </r>
  <r>
    <n v="2756"/>
    <n v="52"/>
    <n v="4"/>
    <n v="2589"/>
    <s v="EARNED"/>
    <n v="1.87"/>
    <s v=""/>
    <d v="2026-08-23T11:00:16"/>
    <x v="10"/>
    <n v="1.87"/>
    <n v="0"/>
  </r>
  <r>
    <n v="2757"/>
    <n v="114"/>
    <n v="4"/>
    <n v="2590"/>
    <s v="EARNED"/>
    <n v="22.26"/>
    <s v=""/>
    <d v="2026-08-23T11:23:39"/>
    <x v="10"/>
    <n v="22.26"/>
    <n v="0"/>
  </r>
  <r>
    <n v="2758"/>
    <n v="250"/>
    <n v="3"/>
    <n v="2591"/>
    <s v="EARNED"/>
    <n v="12.76"/>
    <s v=""/>
    <d v="2026-08-23T13:00:38"/>
    <x v="10"/>
    <n v="12.76"/>
    <n v="0"/>
  </r>
  <r>
    <n v="2759"/>
    <n v="276"/>
    <n v="2"/>
    <n v="2592"/>
    <s v="EARNED"/>
    <n v="2.97"/>
    <s v=""/>
    <d v="2026-08-23T14:59:33"/>
    <x v="10"/>
    <n v="2.97"/>
    <n v="0"/>
  </r>
  <r>
    <n v="2760"/>
    <n v="133"/>
    <n v="3"/>
    <n v="2593"/>
    <s v="EARNED"/>
    <n v="12.54"/>
    <s v=""/>
    <d v="2026-08-23T15:47:14"/>
    <x v="10"/>
    <n v="12.54"/>
    <n v="0"/>
  </r>
  <r>
    <n v="2761"/>
    <n v="230"/>
    <n v="5"/>
    <n v="2594"/>
    <s v="EARNED"/>
    <n v="24.25"/>
    <s v=""/>
    <d v="2026-08-23T16:16:04"/>
    <x v="10"/>
    <n v="24.25"/>
    <n v="0"/>
  </r>
  <r>
    <n v="2762"/>
    <n v="134"/>
    <n v="4"/>
    <n v="2595"/>
    <s v="EARNED"/>
    <n v="7.92"/>
    <s v=""/>
    <d v="2026-08-24T08:35:02"/>
    <x v="10"/>
    <n v="7.92"/>
    <n v="0"/>
  </r>
  <r>
    <n v="2763"/>
    <n v="293"/>
    <n v="4"/>
    <n v="2596"/>
    <s v="EARNED"/>
    <n v="2.4500000000000002"/>
    <s v=""/>
    <d v="2026-08-24T09:55:52"/>
    <x v="10"/>
    <n v="2.4500000000000002"/>
    <n v="0"/>
  </r>
  <r>
    <n v="2764"/>
    <n v="229"/>
    <n v="5"/>
    <n v="2597"/>
    <s v="EARNED"/>
    <n v="7.92"/>
    <s v=""/>
    <d v="2026-08-24T13:05:19"/>
    <x v="10"/>
    <n v="7.92"/>
    <n v="0"/>
  </r>
  <r>
    <n v="2765"/>
    <n v="62"/>
    <n v="4"/>
    <n v="2598"/>
    <s v="EARNED"/>
    <n v="3.16"/>
    <s v=""/>
    <d v="2026-08-24T15:55:14"/>
    <x v="10"/>
    <n v="3.16"/>
    <n v="0"/>
  </r>
  <r>
    <n v="2766"/>
    <n v="134"/>
    <n v="5"/>
    <n v="2599"/>
    <s v="EARNED"/>
    <n v="12.02"/>
    <s v=""/>
    <d v="2026-08-24T16:01:29"/>
    <x v="10"/>
    <n v="12.02"/>
    <n v="0"/>
  </r>
  <r>
    <n v="2767"/>
    <n v="205"/>
    <n v="5"/>
    <n v="2600"/>
    <s v="EARNED"/>
    <n v="9.7100000000000009"/>
    <s v=""/>
    <d v="2026-08-24T16:15:20"/>
    <x v="10"/>
    <n v="9.7100000000000009"/>
    <n v="0"/>
  </r>
  <r>
    <n v="2768"/>
    <n v="285"/>
    <n v="5"/>
    <n v="2601"/>
    <s v="EARNED"/>
    <n v="2.97"/>
    <s v=""/>
    <d v="2026-08-24T17:51:30"/>
    <x v="10"/>
    <n v="2.97"/>
    <n v="0"/>
  </r>
  <r>
    <n v="2769"/>
    <n v="229"/>
    <n v="5"/>
    <n v="2602"/>
    <s v="EARNED"/>
    <n v="22"/>
    <s v=""/>
    <d v="2026-08-25T09:10:16"/>
    <x v="10"/>
    <n v="22"/>
    <n v="0"/>
  </r>
  <r>
    <n v="2770"/>
    <n v="134"/>
    <n v="4"/>
    <n v="2603"/>
    <s v="EARNED"/>
    <n v="13.97"/>
    <s v=""/>
    <d v="2026-08-25T10:45:10"/>
    <x v="10"/>
    <n v="13.97"/>
    <n v="0"/>
  </r>
  <r>
    <n v="2771"/>
    <n v="176"/>
    <n v="3"/>
    <n v="2604"/>
    <s v="EARNED"/>
    <n v="15.54"/>
    <s v=""/>
    <d v="2026-08-25T11:12:12"/>
    <x v="10"/>
    <n v="15.54"/>
    <n v="0"/>
  </r>
  <r>
    <n v="2772"/>
    <n v="136"/>
    <n v="4"/>
    <n v="2605"/>
    <s v="REDEEMED"/>
    <n v="130.16"/>
    <s v=""/>
    <d v="2026-08-25T14:38:21"/>
    <x v="10"/>
    <n v="0"/>
    <n v="130.16"/>
  </r>
  <r>
    <n v="2773"/>
    <n v="134"/>
    <n v="4"/>
    <n v="2606"/>
    <s v="EARNED"/>
    <n v="15.86"/>
    <s v=""/>
    <d v="2026-08-25T16:17:29"/>
    <x v="10"/>
    <n v="15.86"/>
    <n v="0"/>
  </r>
  <r>
    <n v="2774"/>
    <n v="156"/>
    <n v="2"/>
    <n v="2607"/>
    <s v="EARNED"/>
    <n v="2.68"/>
    <s v=""/>
    <d v="2026-08-26T08:53:06"/>
    <x v="10"/>
    <n v="2.68"/>
    <n v="0"/>
  </r>
  <r>
    <n v="2775"/>
    <n v="134"/>
    <n v="3"/>
    <n v="2608"/>
    <s v="EARNED"/>
    <n v="5.46"/>
    <s v=""/>
    <d v="2026-08-26T09:02:21"/>
    <x v="10"/>
    <n v="5.46"/>
    <n v="0"/>
  </r>
  <r>
    <n v="2776"/>
    <n v="134"/>
    <n v="4"/>
    <n v="2609"/>
    <s v="EARNED"/>
    <n v="7.74"/>
    <s v=""/>
    <d v="2026-08-26T09:30:53"/>
    <x v="10"/>
    <n v="7.74"/>
    <n v="0"/>
  </r>
  <r>
    <n v="2777"/>
    <n v="134"/>
    <n v="3"/>
    <n v="2610"/>
    <s v="REDEEMED"/>
    <n v="75.86"/>
    <s v=""/>
    <d v="2026-08-26T09:57:45"/>
    <x v="10"/>
    <n v="0"/>
    <n v="75.86"/>
  </r>
  <r>
    <n v="2778"/>
    <n v="134"/>
    <n v="2"/>
    <n v="2611"/>
    <s v="EARNED"/>
    <n v="7.28"/>
    <s v=""/>
    <d v="2026-08-26T10:45:57"/>
    <x v="10"/>
    <n v="7.28"/>
    <n v="0"/>
  </r>
  <r>
    <n v="2779"/>
    <n v="133"/>
    <n v="4"/>
    <n v="2612"/>
    <s v="EARNED"/>
    <n v="19.649999999999999"/>
    <s v=""/>
    <d v="2026-08-26T15:00:35"/>
    <x v="10"/>
    <n v="19.649999999999999"/>
    <n v="0"/>
  </r>
  <r>
    <n v="2780"/>
    <n v="130"/>
    <n v="5"/>
    <n v="2613"/>
    <s v="EARNED"/>
    <n v="9.1"/>
    <s v=""/>
    <d v="2026-08-26T16:59:32"/>
    <x v="10"/>
    <n v="9.1"/>
    <n v="0"/>
  </r>
  <r>
    <n v="2781"/>
    <n v="134"/>
    <n v="5"/>
    <n v="2614"/>
    <s v="EARNED"/>
    <n v="14.81"/>
    <s v=""/>
    <d v="2026-08-26T19:32:14"/>
    <x v="10"/>
    <n v="14.81"/>
    <n v="0"/>
  </r>
  <r>
    <n v="2782"/>
    <n v="134"/>
    <n v="4"/>
    <n v="2615"/>
    <s v="EARNED"/>
    <n v="15.03"/>
    <s v=""/>
    <d v="2026-08-27T09:54:42"/>
    <x v="10"/>
    <n v="15.03"/>
    <n v="0"/>
  </r>
  <r>
    <n v="2783"/>
    <n v="134"/>
    <n v="3"/>
    <n v="2616"/>
    <s v="EARNED"/>
    <n v="8.2200000000000006"/>
    <s v=""/>
    <d v="2026-08-27T16:39:00"/>
    <x v="10"/>
    <n v="8.2200000000000006"/>
    <n v="0"/>
  </r>
  <r>
    <n v="2784"/>
    <n v="128"/>
    <n v="2"/>
    <n v="2617"/>
    <s v="EARNED"/>
    <n v="3.01"/>
    <s v=""/>
    <d v="2026-08-27T16:47:08"/>
    <x v="10"/>
    <n v="3.01"/>
    <n v="0"/>
  </r>
  <r>
    <n v="2785"/>
    <n v="75"/>
    <n v="5"/>
    <n v="2618"/>
    <s v="EARNED"/>
    <n v="6.36"/>
    <s v=""/>
    <d v="2026-08-28T09:46:47"/>
    <x v="10"/>
    <n v="6.36"/>
    <n v="0"/>
  </r>
  <r>
    <n v="2786"/>
    <n v="156"/>
    <n v="5"/>
    <n v="2619"/>
    <s v="EARNED"/>
    <n v="3.09"/>
    <s v=""/>
    <d v="2026-08-28T09:53:26"/>
    <x v="10"/>
    <n v="3.09"/>
    <n v="0"/>
  </r>
  <r>
    <n v="2787"/>
    <n v="35"/>
    <n v="4"/>
    <n v="2620"/>
    <s v="EARNED"/>
    <n v="2.56"/>
    <s v=""/>
    <d v="2026-08-28T11:19:26"/>
    <x v="10"/>
    <n v="2.56"/>
    <n v="0"/>
  </r>
  <r>
    <n v="2788"/>
    <n v="134"/>
    <n v="4"/>
    <n v="2621"/>
    <s v="EARNED"/>
    <n v="13.86"/>
    <s v=""/>
    <d v="2026-08-28T13:11:12"/>
    <x v="10"/>
    <n v="13.86"/>
    <n v="0"/>
  </r>
  <r>
    <n v="2789"/>
    <n v="80"/>
    <n v="3"/>
    <n v="2622"/>
    <s v="EARNED"/>
    <n v="1.41"/>
    <s v=""/>
    <d v="2026-08-28T14:01:30"/>
    <x v="10"/>
    <n v="1.41"/>
    <n v="0"/>
  </r>
  <r>
    <n v="2790"/>
    <n v="218"/>
    <n v="4"/>
    <n v="2623"/>
    <s v="EARNED"/>
    <n v="1.91"/>
    <s v=""/>
    <d v="2026-08-28T16:31:30"/>
    <x v="10"/>
    <n v="1.91"/>
    <n v="0"/>
  </r>
  <r>
    <n v="2791"/>
    <n v="91"/>
    <n v="4"/>
    <n v="2624"/>
    <s v="EARNED"/>
    <n v="4.24"/>
    <s v=""/>
    <d v="2026-08-29T08:31:20"/>
    <x v="10"/>
    <n v="4.24"/>
    <n v="0"/>
  </r>
  <r>
    <n v="2792"/>
    <n v="128"/>
    <n v="4"/>
    <n v="2625"/>
    <s v="EARNED"/>
    <n v="2.64"/>
    <s v=""/>
    <d v="2026-08-29T09:00:06"/>
    <x v="10"/>
    <n v="2.64"/>
    <n v="0"/>
  </r>
  <r>
    <n v="2793"/>
    <n v="16"/>
    <n v="5"/>
    <n v="2626"/>
    <s v="EARNED"/>
    <n v="16.84"/>
    <s v=""/>
    <d v="2026-08-29T09:03:33"/>
    <x v="10"/>
    <n v="16.84"/>
    <n v="0"/>
  </r>
  <r>
    <n v="2794"/>
    <n v="128"/>
    <n v="2"/>
    <n v="2627"/>
    <s v="EARNED"/>
    <n v="3.13"/>
    <s v=""/>
    <d v="2026-08-29T09:18:05"/>
    <x v="10"/>
    <n v="3.13"/>
    <n v="0"/>
  </r>
  <r>
    <n v="2795"/>
    <n v="195"/>
    <n v="5"/>
    <n v="2628"/>
    <s v="EARNED"/>
    <n v="10.85"/>
    <s v=""/>
    <d v="2026-08-29T16:00:21"/>
    <x v="10"/>
    <n v="10.85"/>
    <n v="0"/>
  </r>
  <r>
    <n v="2796"/>
    <n v="207"/>
    <n v="3"/>
    <n v="2629"/>
    <s v="EARNED"/>
    <n v="3.71"/>
    <s v=""/>
    <d v="2026-08-29T18:37:06"/>
    <x v="10"/>
    <n v="3.71"/>
    <n v="0"/>
  </r>
  <r>
    <n v="2797"/>
    <n v="136"/>
    <n v="4"/>
    <n v="2630"/>
    <s v="EARNED"/>
    <n v="17.309999999999999"/>
    <s v=""/>
    <d v="2026-08-30T08:15:38"/>
    <x v="10"/>
    <n v="17.309999999999999"/>
    <n v="0"/>
  </r>
  <r>
    <n v="2798"/>
    <n v="137"/>
    <n v="2"/>
    <n v="2631"/>
    <s v="EARNED"/>
    <n v="2.95"/>
    <s v=""/>
    <d v="2026-08-30T09:13:48"/>
    <x v="10"/>
    <n v="2.95"/>
    <n v="0"/>
  </r>
  <r>
    <n v="2799"/>
    <n v="245"/>
    <n v="4"/>
    <n v="2632"/>
    <s v="EARNED"/>
    <n v="1.89"/>
    <s v=""/>
    <d v="2026-08-30T09:23:21"/>
    <x v="10"/>
    <n v="1.89"/>
    <n v="0"/>
  </r>
  <r>
    <n v="2800"/>
    <n v="48"/>
    <n v="2"/>
    <n v="2633"/>
    <s v="REDEEMED"/>
    <n v="72.66"/>
    <s v=""/>
    <d v="2026-08-31T10:56:02"/>
    <x v="10"/>
    <n v="0"/>
    <n v="72.66"/>
  </r>
  <r>
    <n v="2801"/>
    <n v="293"/>
    <n v="5"/>
    <n v="2634"/>
    <s v="EARNED"/>
    <n v="4.4800000000000004"/>
    <s v=""/>
    <d v="2026-08-31T10:58:57"/>
    <x v="10"/>
    <n v="4.4800000000000004"/>
    <n v="0"/>
  </r>
  <r>
    <n v="2802"/>
    <n v="16"/>
    <n v="3"/>
    <n v="2635"/>
    <s v="EARNED"/>
    <n v="11.77"/>
    <s v=""/>
    <d v="2026-08-31T12:02:52"/>
    <x v="10"/>
    <n v="11.77"/>
    <n v="0"/>
  </r>
  <r>
    <n v="2803"/>
    <n v="231"/>
    <n v="2"/>
    <n v="2636"/>
    <s v="EARNED"/>
    <n v="10.97"/>
    <s v=""/>
    <d v="2026-08-31T14:36:41"/>
    <x v="10"/>
    <n v="10.97"/>
    <n v="0"/>
  </r>
  <r>
    <n v="2804"/>
    <n v="250"/>
    <n v="4"/>
    <n v="2637"/>
    <s v="EARNED"/>
    <n v="6"/>
    <s v=""/>
    <d v="2026-08-31T16:00:29"/>
    <x v="10"/>
    <n v="6"/>
    <n v="0"/>
  </r>
  <r>
    <n v="2805"/>
    <n v="172"/>
    <n v="4"/>
    <n v="2638"/>
    <s v="EARNED"/>
    <n v="2.37"/>
    <s v=""/>
    <d v="2026-08-31T16:24:55"/>
    <x v="10"/>
    <n v="2.37"/>
    <n v="0"/>
  </r>
  <r>
    <n v="2806"/>
    <n v="44"/>
    <n v="4"/>
    <n v="2639"/>
    <s v="EARNED"/>
    <n v="5.84"/>
    <s v=""/>
    <d v="2026-08-31T16:29:42"/>
    <x v="10"/>
    <n v="5.84"/>
    <n v="0"/>
  </r>
  <r>
    <n v="2807"/>
    <n v="123"/>
    <n v="2"/>
    <n v="2640"/>
    <s v="EARNED"/>
    <n v="4.42"/>
    <s v=""/>
    <d v="2026-08-31T16:43:51"/>
    <x v="10"/>
    <n v="4.42"/>
    <n v="0"/>
  </r>
  <r>
    <n v="2808"/>
    <n v="117"/>
    <n v="3"/>
    <n v="2641"/>
    <s v="EARNED"/>
    <n v="4.8600000000000003"/>
    <s v=""/>
    <d v="2026-08-31T17:47:11"/>
    <x v="10"/>
    <n v="4.8600000000000003"/>
    <n v="0"/>
  </r>
  <r>
    <n v="2809"/>
    <n v="250"/>
    <n v="2"/>
    <n v="2637"/>
    <s v="ADJUSTMENT"/>
    <n v="-6"/>
    <s v="Reverso por cancelación de compra #2637: Cliente canceló la operación"/>
    <d v="2026-08-31T18:00:29"/>
    <x v="10"/>
    <n v="0"/>
    <n v="0"/>
  </r>
  <r>
    <n v="2810"/>
    <n v="207"/>
    <n v="3"/>
    <n v="2642"/>
    <s v="EARNED"/>
    <n v="0.93"/>
    <s v=""/>
    <d v="2026-08-31T18:15:29"/>
    <x v="10"/>
    <n v="0.93"/>
    <n v="0"/>
  </r>
  <r>
    <n v="2811"/>
    <n v="156"/>
    <n v="4"/>
    <n v="2643"/>
    <s v="EARNED"/>
    <n v="3.16"/>
    <s v=""/>
    <d v="2026-08-31T18:49:59"/>
    <x v="10"/>
    <n v="3.16"/>
    <n v="0"/>
  </r>
  <r>
    <n v="2812"/>
    <n v="250"/>
    <n v="3"/>
    <n v="2644"/>
    <s v="EARNED"/>
    <n v="6.69"/>
    <s v=""/>
    <d v="2026-09-01T07:16:22"/>
    <x v="11"/>
    <n v="6.69"/>
    <n v="0"/>
  </r>
  <r>
    <n v="2813"/>
    <n v="66"/>
    <n v="2"/>
    <n v="2645"/>
    <s v="EARNED"/>
    <n v="15.22"/>
    <s v=""/>
    <d v="2026-09-01T08:28:08"/>
    <x v="11"/>
    <n v="15.22"/>
    <n v="0"/>
  </r>
  <r>
    <n v="2814"/>
    <n v="273"/>
    <n v="2"/>
    <n v="2646"/>
    <s v="EARNED"/>
    <n v="3.23"/>
    <s v=""/>
    <d v="2026-09-01T13:53:16"/>
    <x v="11"/>
    <n v="3.23"/>
    <n v="0"/>
  </r>
  <r>
    <n v="2815"/>
    <n v="174"/>
    <n v="5"/>
    <n v="2647"/>
    <s v="EARNED"/>
    <n v="3.91"/>
    <s v=""/>
    <d v="2026-09-01T15:05:06"/>
    <x v="11"/>
    <n v="3.91"/>
    <n v="0"/>
  </r>
  <r>
    <n v="2816"/>
    <n v="39"/>
    <n v="4"/>
    <n v="2648"/>
    <s v="EARNED"/>
    <n v="28.24"/>
    <s v=""/>
    <d v="2026-09-01T15:43:09"/>
    <x v="11"/>
    <n v="28.24"/>
    <n v="0"/>
  </r>
  <r>
    <n v="2817"/>
    <n v="195"/>
    <n v="3"/>
    <n v="2649"/>
    <s v="EARNED"/>
    <n v="29.27"/>
    <s v=""/>
    <d v="2026-09-01T16:36:16"/>
    <x v="11"/>
    <n v="29.27"/>
    <n v="0"/>
  </r>
  <r>
    <n v="2818"/>
    <n v="83"/>
    <n v="3"/>
    <n v="2650"/>
    <s v="EARNED"/>
    <n v="4.63"/>
    <s v=""/>
    <d v="2026-09-01T18:56:36"/>
    <x v="11"/>
    <n v="4.63"/>
    <n v="0"/>
  </r>
  <r>
    <n v="2819"/>
    <n v="11"/>
    <n v="5"/>
    <n v="2651"/>
    <s v="EARNED"/>
    <n v="18.829999999999998"/>
    <s v=""/>
    <d v="2026-09-02T07:40:40"/>
    <x v="11"/>
    <n v="18.829999999999998"/>
    <n v="0"/>
  </r>
  <r>
    <n v="2820"/>
    <n v="39"/>
    <n v="3"/>
    <n v="2652"/>
    <s v="EARNED"/>
    <n v="19.38"/>
    <s v=""/>
    <d v="2026-09-02T08:23:16"/>
    <x v="11"/>
    <n v="19.38"/>
    <n v="0"/>
  </r>
  <r>
    <n v="2821"/>
    <n v="297"/>
    <n v="4"/>
    <n v="2653"/>
    <s v="EARNED"/>
    <n v="8.5"/>
    <s v=""/>
    <d v="2026-09-02T09:34:25"/>
    <x v="11"/>
    <n v="8.5"/>
    <n v="0"/>
  </r>
  <r>
    <n v="2822"/>
    <n v="48"/>
    <n v="5"/>
    <n v="2654"/>
    <s v="EARNED"/>
    <n v="10.8"/>
    <s v=""/>
    <d v="2026-09-02T11:00:33"/>
    <x v="11"/>
    <n v="10.8"/>
    <n v="0"/>
  </r>
  <r>
    <n v="2823"/>
    <n v="128"/>
    <n v="3"/>
    <n v="2655"/>
    <s v="EARNED"/>
    <n v="2.21"/>
    <s v=""/>
    <d v="2026-09-02T13:01:49"/>
    <x v="11"/>
    <n v="2.21"/>
    <n v="0"/>
  </r>
  <r>
    <n v="2824"/>
    <n v="174"/>
    <n v="5"/>
    <n v="2647"/>
    <s v="ADJUSTMENT"/>
    <n v="-3.91"/>
    <s v="Reverso por cancelación de compra #2647: Solicitud del cliente"/>
    <d v="2026-09-02T17:05:06"/>
    <x v="11"/>
    <n v="0"/>
    <n v="0"/>
  </r>
  <r>
    <n v="2825"/>
    <n v="285"/>
    <n v="4"/>
    <n v="2656"/>
    <s v="EARNED"/>
    <n v="3.14"/>
    <s v=""/>
    <d v="2026-09-02T17:52:01"/>
    <x v="11"/>
    <n v="3.14"/>
    <n v="0"/>
  </r>
  <r>
    <n v="2826"/>
    <n v="183"/>
    <n v="2"/>
    <n v="2657"/>
    <s v="EARNED"/>
    <n v="5.17"/>
    <s v=""/>
    <d v="2026-09-02T18:00:48"/>
    <x v="11"/>
    <n v="5.17"/>
    <n v="0"/>
  </r>
  <r>
    <n v="2827"/>
    <n v="295"/>
    <n v="5"/>
    <n v="2658"/>
    <s v="EARNED"/>
    <n v="2.7"/>
    <s v=""/>
    <d v="2026-09-02T19:02:39"/>
    <x v="11"/>
    <n v="2.7"/>
    <n v="0"/>
  </r>
  <r>
    <n v="2828"/>
    <n v="277"/>
    <n v="5"/>
    <n v="2659"/>
    <s v="EARNED"/>
    <n v="12.41"/>
    <s v=""/>
    <d v="2026-09-03T08:00:11"/>
    <x v="11"/>
    <n v="12.41"/>
    <n v="0"/>
  </r>
  <r>
    <n v="2829"/>
    <n v="134"/>
    <n v="2"/>
    <n v="2660"/>
    <s v="EARNED"/>
    <n v="5.7"/>
    <s v=""/>
    <d v="2026-09-03T08:10:01"/>
    <x v="11"/>
    <n v="5.7"/>
    <n v="0"/>
  </r>
  <r>
    <n v="2830"/>
    <n v="75"/>
    <n v="4"/>
    <n v="2661"/>
    <s v="EARNED"/>
    <n v="10.81"/>
    <s v=""/>
    <d v="2026-09-03T10:22:18"/>
    <x v="11"/>
    <n v="10.81"/>
    <n v="0"/>
  </r>
  <r>
    <n v="2831"/>
    <n v="55"/>
    <n v="4"/>
    <n v="2662"/>
    <s v="EARNED"/>
    <n v="5.7"/>
    <s v=""/>
    <d v="2026-09-03T11:59:55"/>
    <x v="11"/>
    <n v="5.7"/>
    <n v="0"/>
  </r>
  <r>
    <n v="2832"/>
    <n v="48"/>
    <n v="4"/>
    <n v="2663"/>
    <s v="REDEEMED"/>
    <n v="96.26"/>
    <s v=""/>
    <d v="2026-09-03T13:15:13"/>
    <x v="11"/>
    <n v="0"/>
    <n v="96.26"/>
  </r>
  <r>
    <n v="2833"/>
    <n v="134"/>
    <n v="3"/>
    <n v="2664"/>
    <s v="EARNED"/>
    <n v="12.97"/>
    <s v=""/>
    <d v="2026-09-03T15:57:08"/>
    <x v="11"/>
    <n v="12.97"/>
    <n v="0"/>
  </r>
  <r>
    <n v="2834"/>
    <n v="291"/>
    <n v="5"/>
    <n v="2665"/>
    <s v="EARNED"/>
    <n v="2.4700000000000002"/>
    <s v=""/>
    <d v="2026-09-03T16:18:26"/>
    <x v="11"/>
    <n v="2.4700000000000002"/>
    <n v="0"/>
  </r>
  <r>
    <n v="2835"/>
    <n v="21"/>
    <n v="5"/>
    <n v="2666"/>
    <s v="EARNED"/>
    <n v="2.93"/>
    <s v=""/>
    <d v="2026-09-03T16:26:50"/>
    <x v="11"/>
    <n v="2.93"/>
    <n v="0"/>
  </r>
  <r>
    <n v="2836"/>
    <n v="186"/>
    <n v="5"/>
    <n v="2667"/>
    <s v="EARNED"/>
    <n v="6.97"/>
    <s v=""/>
    <d v="2026-09-04T07:27:41"/>
    <x v="11"/>
    <n v="6.97"/>
    <n v="0"/>
  </r>
  <r>
    <n v="2837"/>
    <n v="128"/>
    <n v="4"/>
    <n v="2668"/>
    <s v="EARNED"/>
    <n v="1.22"/>
    <s v=""/>
    <d v="2026-09-04T08:17:11"/>
    <x v="11"/>
    <n v="1.22"/>
    <n v="0"/>
  </r>
  <r>
    <n v="2838"/>
    <n v="181"/>
    <n v="4"/>
    <n v="2669"/>
    <s v="EARNED"/>
    <n v="3.91"/>
    <s v=""/>
    <d v="2026-09-04T08:20:44"/>
    <x v="11"/>
    <n v="3.91"/>
    <n v="0"/>
  </r>
  <r>
    <n v="2839"/>
    <n v="75"/>
    <n v="4"/>
    <n v="2670"/>
    <s v="REDEEMED"/>
    <n v="61.81"/>
    <s v=""/>
    <d v="2026-09-04T10:00:59"/>
    <x v="11"/>
    <n v="0"/>
    <n v="61.81"/>
  </r>
  <r>
    <n v="2840"/>
    <n v="246"/>
    <n v="2"/>
    <n v="2671"/>
    <s v="EARNED"/>
    <n v="2.61"/>
    <s v=""/>
    <d v="2026-09-04T10:24:06"/>
    <x v="11"/>
    <n v="2.61"/>
    <n v="0"/>
  </r>
  <r>
    <n v="2841"/>
    <n v="299"/>
    <n v="5"/>
    <n v="2672"/>
    <s v="EARNED"/>
    <n v="12.6"/>
    <s v=""/>
    <d v="2026-09-04T11:36:16"/>
    <x v="11"/>
    <n v="12.6"/>
    <n v="0"/>
  </r>
  <r>
    <n v="2842"/>
    <n v="134"/>
    <n v="2"/>
    <n v="2673"/>
    <s v="EARNED"/>
    <n v="9.25"/>
    <s v=""/>
    <d v="2026-09-04T12:01:04"/>
    <x v="11"/>
    <n v="9.25"/>
    <n v="0"/>
  </r>
  <r>
    <n v="2843"/>
    <n v="136"/>
    <n v="4"/>
    <n v="2674"/>
    <s v="EARNED"/>
    <n v="19.14"/>
    <s v=""/>
    <d v="2026-09-04T12:50:56"/>
    <x v="11"/>
    <n v="19.14"/>
    <n v="0"/>
  </r>
  <r>
    <n v="2844"/>
    <n v="128"/>
    <n v="2"/>
    <n v="2675"/>
    <s v="EARNED"/>
    <n v="1.1000000000000001"/>
    <s v=""/>
    <d v="2026-09-04T13:53:10"/>
    <x v="11"/>
    <n v="1.1000000000000001"/>
    <n v="0"/>
  </r>
  <r>
    <n v="2845"/>
    <n v="250"/>
    <n v="2"/>
    <n v="2676"/>
    <s v="EARNED"/>
    <n v="7.29"/>
    <s v=""/>
    <d v="2026-09-04T15:35:32"/>
    <x v="11"/>
    <n v="7.29"/>
    <n v="0"/>
  </r>
  <r>
    <n v="2846"/>
    <n v="114"/>
    <n v="3"/>
    <n v="2677"/>
    <s v="EARNED"/>
    <n v="16.57"/>
    <s v=""/>
    <d v="2026-09-04T16:27:33"/>
    <x v="11"/>
    <n v="16.57"/>
    <n v="0"/>
  </r>
  <r>
    <n v="2847"/>
    <n v="75"/>
    <n v="2"/>
    <n v="2678"/>
    <s v="EARNED"/>
    <n v="6.96"/>
    <s v=""/>
    <d v="2026-09-04T16:53:42"/>
    <x v="11"/>
    <n v="6.96"/>
    <n v="0"/>
  </r>
  <r>
    <n v="2848"/>
    <n v="65"/>
    <n v="2"/>
    <n v="2679"/>
    <s v="EARNED"/>
    <n v="2"/>
    <s v=""/>
    <d v="2026-09-04T17:04:07"/>
    <x v="11"/>
    <n v="2"/>
    <n v="0"/>
  </r>
  <r>
    <n v="2849"/>
    <n v="238"/>
    <n v="3"/>
    <n v="2680"/>
    <s v="EARNED"/>
    <n v="3.44"/>
    <s v=""/>
    <d v="2026-09-04T17:27:07"/>
    <x v="11"/>
    <n v="3.44"/>
    <n v="0"/>
  </r>
  <r>
    <n v="2850"/>
    <n v="128"/>
    <n v="4"/>
    <n v="2681"/>
    <s v="EARNED"/>
    <n v="2.31"/>
    <s v=""/>
    <d v="2026-09-05T09:15:23"/>
    <x v="11"/>
    <n v="2.31"/>
    <n v="0"/>
  </r>
  <r>
    <n v="2851"/>
    <n v="134"/>
    <n v="5"/>
    <n v="2682"/>
    <s v="EARNED"/>
    <n v="8.77"/>
    <s v=""/>
    <d v="2026-09-05T10:54:42"/>
    <x v="11"/>
    <n v="8.77"/>
    <n v="0"/>
  </r>
  <r>
    <n v="2852"/>
    <n v="137"/>
    <n v="2"/>
    <n v="2683"/>
    <s v="EARNED"/>
    <n v="4.37"/>
    <s v=""/>
    <d v="2026-09-05T13:40:51"/>
    <x v="11"/>
    <n v="4.37"/>
    <n v="0"/>
  </r>
  <r>
    <n v="2853"/>
    <n v="250"/>
    <n v="3"/>
    <n v="2684"/>
    <s v="EARNED"/>
    <n v="22"/>
    <s v=""/>
    <d v="2026-09-05T14:59:20"/>
    <x v="11"/>
    <n v="22"/>
    <n v="0"/>
  </r>
  <r>
    <n v="2854"/>
    <n v="137"/>
    <n v="5"/>
    <n v="2685"/>
    <s v="EARNED"/>
    <n v="3.02"/>
    <s v=""/>
    <d v="2026-09-05T15:21:54"/>
    <x v="11"/>
    <n v="3.02"/>
    <n v="0"/>
  </r>
  <r>
    <n v="2855"/>
    <n v="75"/>
    <n v="5"/>
    <n v="2686"/>
    <s v="EARNED"/>
    <n v="11.76"/>
    <s v=""/>
    <d v="2026-09-05T16:07:31"/>
    <x v="11"/>
    <n v="11.76"/>
    <n v="0"/>
  </r>
  <r>
    <n v="2856"/>
    <n v="243"/>
    <n v="4"/>
    <n v="2687"/>
    <s v="EARNED"/>
    <n v="3.13"/>
    <s v=""/>
    <d v="2026-09-05T16:12:37"/>
    <x v="11"/>
    <n v="3.13"/>
    <n v="0"/>
  </r>
  <r>
    <n v="2857"/>
    <n v="181"/>
    <n v="5"/>
    <n v="2669"/>
    <s v="ADJUSTMENT"/>
    <n v="-3.91"/>
    <s v="Reverso por cancelación de compra #2669: Error de captura"/>
    <d v="2026-09-05T16:20:44"/>
    <x v="11"/>
    <n v="0"/>
    <n v="0"/>
  </r>
  <r>
    <n v="2858"/>
    <n v="250"/>
    <n v="4"/>
    <n v="2688"/>
    <s v="EARNED"/>
    <n v="8.27"/>
    <s v=""/>
    <d v="2026-09-06T10:09:17"/>
    <x v="11"/>
    <n v="8.27"/>
    <n v="0"/>
  </r>
  <r>
    <n v="2859"/>
    <n v="159"/>
    <n v="3"/>
    <n v="2689"/>
    <s v="EARNED"/>
    <n v="2.12"/>
    <s v=""/>
    <d v="2026-09-06T11:49:02"/>
    <x v="11"/>
    <n v="2.12"/>
    <n v="0"/>
  </r>
  <r>
    <n v="2860"/>
    <n v="158"/>
    <n v="4"/>
    <n v="2690"/>
    <s v="EARNED"/>
    <n v="4.04"/>
    <s v=""/>
    <d v="2026-09-06T12:51:34"/>
    <x v="11"/>
    <n v="4.04"/>
    <n v="0"/>
  </r>
  <r>
    <n v="2861"/>
    <n v="128"/>
    <n v="5"/>
    <n v="2691"/>
    <s v="EARNED"/>
    <n v="3.5"/>
    <s v=""/>
    <d v="2026-09-06T16:23:15"/>
    <x v="11"/>
    <n v="3.5"/>
    <n v="0"/>
  </r>
  <r>
    <n v="2862"/>
    <n v="75"/>
    <n v="4"/>
    <n v="2692"/>
    <s v="EARNED"/>
    <n v="4.67"/>
    <s v=""/>
    <d v="2026-09-06T16:25:49"/>
    <x v="11"/>
    <n v="4.67"/>
    <n v="0"/>
  </r>
  <r>
    <n v="2863"/>
    <n v="133"/>
    <n v="5"/>
    <n v="2693"/>
    <s v="EARNED"/>
    <n v="12.88"/>
    <s v=""/>
    <d v="2026-09-06T16:26:51"/>
    <x v="11"/>
    <n v="12.88"/>
    <n v="0"/>
  </r>
  <r>
    <n v="2864"/>
    <n v="299"/>
    <n v="5"/>
    <n v="2694"/>
    <s v="EARNED"/>
    <n v="4.7300000000000004"/>
    <s v=""/>
    <d v="2026-09-06T16:36:02"/>
    <x v="11"/>
    <n v="4.7300000000000004"/>
    <n v="0"/>
  </r>
  <r>
    <n v="2865"/>
    <n v="123"/>
    <n v="5"/>
    <n v="2695"/>
    <s v="EARNED"/>
    <n v="2.6"/>
    <s v=""/>
    <d v="2026-09-06T17:04:38"/>
    <x v="11"/>
    <n v="2.6"/>
    <n v="0"/>
  </r>
  <r>
    <n v="2866"/>
    <n v="128"/>
    <n v="2"/>
    <n v="2696"/>
    <s v="EARNED"/>
    <n v="1.34"/>
    <s v=""/>
    <d v="2026-09-07T08:39:41"/>
    <x v="11"/>
    <n v="1.34"/>
    <n v="0"/>
  </r>
  <r>
    <n v="2867"/>
    <n v="242"/>
    <n v="2"/>
    <n v="2697"/>
    <s v="EARNED"/>
    <n v="4.12"/>
    <s v=""/>
    <d v="2026-09-07T09:13:37"/>
    <x v="11"/>
    <n v="4.12"/>
    <n v="0"/>
  </r>
  <r>
    <n v="2868"/>
    <n v="68"/>
    <n v="3"/>
    <n v="2698"/>
    <s v="EARNED"/>
    <n v="5.78"/>
    <s v=""/>
    <d v="2026-09-07T11:52:27"/>
    <x v="11"/>
    <n v="5.78"/>
    <n v="0"/>
  </r>
  <r>
    <n v="2869"/>
    <n v="134"/>
    <n v="3"/>
    <n v="2699"/>
    <s v="EARNED"/>
    <n v="10.7"/>
    <s v=""/>
    <d v="2026-09-07T13:12:00"/>
    <x v="11"/>
    <n v="10.7"/>
    <n v="0"/>
  </r>
  <r>
    <n v="2870"/>
    <n v="162"/>
    <n v="2"/>
    <n v="2700"/>
    <s v="EARNED"/>
    <n v="10.85"/>
    <s v=""/>
    <d v="2026-09-07T15:16:41"/>
    <x v="11"/>
    <n v="10.85"/>
    <n v="0"/>
  </r>
  <r>
    <n v="2871"/>
    <n v="229"/>
    <n v="5"/>
    <n v="2701"/>
    <s v="EARNED"/>
    <n v="3.24"/>
    <s v=""/>
    <d v="2026-09-07T16:03:35"/>
    <x v="11"/>
    <n v="3.24"/>
    <n v="0"/>
  </r>
  <r>
    <n v="2872"/>
    <n v="133"/>
    <n v="3"/>
    <n v="2693"/>
    <s v="ADJUSTMENT"/>
    <n v="-12.88"/>
    <s v="Reverso por cancelación de compra #2693: Solicitud del cliente"/>
    <d v="2026-09-07T16:26:51"/>
    <x v="11"/>
    <n v="0"/>
    <n v="0"/>
  </r>
  <r>
    <n v="2873"/>
    <n v="167"/>
    <n v="4"/>
    <n v="2702"/>
    <s v="EARNED"/>
    <n v="4.41"/>
    <s v=""/>
    <d v="2026-09-07T19:39:59"/>
    <x v="11"/>
    <n v="4.41"/>
    <n v="0"/>
  </r>
  <r>
    <n v="2874"/>
    <n v="35"/>
    <n v="5"/>
    <n v="2703"/>
    <s v="EARNED"/>
    <n v="3.45"/>
    <s v=""/>
    <d v="2026-09-08T08:37:31"/>
    <x v="11"/>
    <n v="3.45"/>
    <n v="0"/>
  </r>
  <r>
    <n v="2875"/>
    <n v="56"/>
    <n v="5"/>
    <n v="2704"/>
    <s v="EARNED"/>
    <n v="8.44"/>
    <s v=""/>
    <d v="2026-09-08T09:52:57"/>
    <x v="11"/>
    <n v="8.44"/>
    <n v="0"/>
  </r>
  <r>
    <n v="2876"/>
    <n v="128"/>
    <n v="5"/>
    <n v="2705"/>
    <s v="EARNED"/>
    <n v="1.29"/>
    <s v=""/>
    <d v="2026-09-08T10:06:27"/>
    <x v="11"/>
    <n v="1.29"/>
    <n v="0"/>
  </r>
  <r>
    <n v="2877"/>
    <n v="128"/>
    <n v="4"/>
    <n v="2706"/>
    <s v="EARNED"/>
    <n v="3.9"/>
    <s v=""/>
    <d v="2026-09-09T08:31:54"/>
    <x v="11"/>
    <n v="3.9"/>
    <n v="0"/>
  </r>
  <r>
    <n v="2878"/>
    <n v="279"/>
    <n v="4"/>
    <n v="2707"/>
    <s v="EARNED"/>
    <n v="20.64"/>
    <s v=""/>
    <d v="2026-09-09T09:47:43"/>
    <x v="11"/>
    <n v="20.64"/>
    <n v="0"/>
  </r>
  <r>
    <n v="2879"/>
    <n v="128"/>
    <n v="4"/>
    <n v="2708"/>
    <s v="EARNED"/>
    <n v="2.16"/>
    <s v=""/>
    <d v="2026-09-09T13:25:26"/>
    <x v="11"/>
    <n v="2.16"/>
    <n v="0"/>
  </r>
  <r>
    <n v="2880"/>
    <n v="75"/>
    <n v="5"/>
    <n v="2709"/>
    <s v="EARNED"/>
    <n v="8.6"/>
    <s v=""/>
    <d v="2026-09-09T13:31:10"/>
    <x v="11"/>
    <n v="8.6"/>
    <n v="0"/>
  </r>
  <r>
    <n v="2881"/>
    <n v="65"/>
    <n v="3"/>
    <n v="2710"/>
    <s v="EARNED"/>
    <n v="2.15"/>
    <s v=""/>
    <d v="2026-09-09T13:41:49"/>
    <x v="11"/>
    <n v="2.15"/>
    <n v="0"/>
  </r>
  <r>
    <n v="2882"/>
    <n v="220"/>
    <n v="4"/>
    <n v="2711"/>
    <s v="EARNED"/>
    <n v="3.07"/>
    <s v=""/>
    <d v="2026-09-09T15:07:14"/>
    <x v="11"/>
    <n v="3.07"/>
    <n v="0"/>
  </r>
  <r>
    <n v="2883"/>
    <n v="250"/>
    <n v="4"/>
    <n v="2712"/>
    <s v="EARNED"/>
    <n v="14.84"/>
    <s v=""/>
    <d v="2026-09-09T18:57:39"/>
    <x v="11"/>
    <n v="14.84"/>
    <n v="0"/>
  </r>
  <r>
    <n v="2884"/>
    <n v="75"/>
    <n v="3"/>
    <n v="2713"/>
    <s v="EARNED"/>
    <n v="7.82"/>
    <s v=""/>
    <d v="2026-09-10T08:59:34"/>
    <x v="11"/>
    <n v="7.82"/>
    <n v="0"/>
  </r>
  <r>
    <n v="2885"/>
    <n v="285"/>
    <n v="2"/>
    <n v="2714"/>
    <s v="EARNED"/>
    <n v="2.91"/>
    <s v=""/>
    <d v="2026-09-10T09:37:46"/>
    <x v="11"/>
    <n v="2.91"/>
    <n v="0"/>
  </r>
  <r>
    <n v="2886"/>
    <n v="35"/>
    <n v="2"/>
    <n v="2715"/>
    <s v="EARNED"/>
    <n v="5.82"/>
    <s v=""/>
    <d v="2026-09-10T13:27:17"/>
    <x v="11"/>
    <n v="5.82"/>
    <n v="0"/>
  </r>
  <r>
    <n v="2887"/>
    <n v="136"/>
    <n v="2"/>
    <n v="2716"/>
    <s v="EARNED"/>
    <n v="16.059999999999999"/>
    <s v=""/>
    <d v="2026-09-10T16:41:27"/>
    <x v="11"/>
    <n v="16.059999999999999"/>
    <n v="0"/>
  </r>
  <r>
    <n v="2888"/>
    <n v="137"/>
    <n v="4"/>
    <n v="2717"/>
    <s v="EARNED"/>
    <n v="2.38"/>
    <s v=""/>
    <d v="2026-09-10T18:30:42"/>
    <x v="11"/>
    <n v="2.38"/>
    <n v="0"/>
  </r>
  <r>
    <n v="2889"/>
    <n v="293"/>
    <n v="2"/>
    <n v="2718"/>
    <s v="EARNED"/>
    <n v="4.16"/>
    <s v=""/>
    <d v="2026-09-11T08:16:24"/>
    <x v="11"/>
    <n v="4.16"/>
    <n v="0"/>
  </r>
  <r>
    <n v="2890"/>
    <n v="11"/>
    <n v="2"/>
    <n v="2719"/>
    <s v="EARNED"/>
    <n v="13.02"/>
    <s v=""/>
    <d v="2026-09-11T11:58:31"/>
    <x v="11"/>
    <n v="13.02"/>
    <n v="0"/>
  </r>
  <r>
    <n v="2891"/>
    <n v="82"/>
    <n v="5"/>
    <n v="2720"/>
    <s v="EARNED"/>
    <n v="4.1500000000000004"/>
    <s v=""/>
    <d v="2026-09-11T12:56:23"/>
    <x v="11"/>
    <n v="4.1500000000000004"/>
    <n v="0"/>
  </r>
  <r>
    <n v="2892"/>
    <n v="120"/>
    <n v="4"/>
    <n v="2721"/>
    <s v="EARNED"/>
    <n v="2.9"/>
    <s v=""/>
    <d v="2026-09-11T13:39:07"/>
    <x v="11"/>
    <n v="2.9"/>
    <n v="0"/>
  </r>
  <r>
    <n v="2893"/>
    <n v="128"/>
    <n v="5"/>
    <n v="2722"/>
    <s v="EARNED"/>
    <n v="3.08"/>
    <s v=""/>
    <d v="2026-09-11T13:48:50"/>
    <x v="11"/>
    <n v="3.08"/>
    <n v="0"/>
  </r>
  <r>
    <n v="2894"/>
    <n v="118"/>
    <n v="3"/>
    <n v="2723"/>
    <s v="EARNED"/>
    <n v="1.18"/>
    <s v=""/>
    <d v="2026-09-11T15:39:31"/>
    <x v="11"/>
    <n v="1.18"/>
    <n v="0"/>
  </r>
  <r>
    <n v="2895"/>
    <n v="9"/>
    <n v="4"/>
    <n v="2724"/>
    <s v="EARNED"/>
    <n v="4.09"/>
    <s v=""/>
    <d v="2026-09-11T16:15:09"/>
    <x v="11"/>
    <n v="4.09"/>
    <n v="0"/>
  </r>
  <r>
    <n v="2896"/>
    <n v="56"/>
    <n v="4"/>
    <n v="2725"/>
    <s v="EARNED"/>
    <n v="10.54"/>
    <s v=""/>
    <d v="2026-09-11T17:00:10"/>
    <x v="11"/>
    <n v="10.54"/>
    <n v="0"/>
  </r>
  <r>
    <n v="2897"/>
    <n v="112"/>
    <n v="3"/>
    <n v="2726"/>
    <s v="EARNED"/>
    <n v="1.97"/>
    <s v=""/>
    <d v="2026-09-11T17:36:55"/>
    <x v="11"/>
    <n v="1.97"/>
    <n v="0"/>
  </r>
  <r>
    <n v="2898"/>
    <n v="134"/>
    <n v="5"/>
    <n v="2727"/>
    <s v="EARNED"/>
    <n v="11.91"/>
    <s v=""/>
    <d v="2026-09-11T17:51:04"/>
    <x v="11"/>
    <n v="11.91"/>
    <n v="0"/>
  </r>
  <r>
    <n v="2899"/>
    <n v="183"/>
    <n v="5"/>
    <n v="2728"/>
    <s v="EARNED"/>
    <n v="11.54"/>
    <s v=""/>
    <d v="2026-09-12T10:26:57"/>
    <x v="11"/>
    <n v="11.54"/>
    <n v="0"/>
  </r>
  <r>
    <n v="2900"/>
    <n v="174"/>
    <n v="4"/>
    <n v="2729"/>
    <s v="EARNED"/>
    <n v="3.28"/>
    <s v=""/>
    <d v="2026-09-12T11:40:58"/>
    <x v="11"/>
    <n v="3.28"/>
    <n v="0"/>
  </r>
  <r>
    <n v="2901"/>
    <n v="128"/>
    <n v="3"/>
    <n v="2730"/>
    <s v="REDEEMED"/>
    <n v="33.85"/>
    <s v=""/>
    <d v="2026-09-12T13:12:56"/>
    <x v="11"/>
    <n v="0"/>
    <n v="33.85"/>
  </r>
  <r>
    <n v="2902"/>
    <n v="195"/>
    <n v="4"/>
    <n v="2731"/>
    <s v="EARNED"/>
    <n v="10.44"/>
    <s v=""/>
    <d v="2026-09-12T14:07:17"/>
    <x v="11"/>
    <n v="10.44"/>
    <n v="0"/>
  </r>
  <r>
    <n v="2903"/>
    <n v="104"/>
    <n v="4"/>
    <n v="2732"/>
    <s v="EARNED"/>
    <n v="30"/>
    <s v=""/>
    <d v="2026-09-12T16:14:46"/>
    <x v="11"/>
    <n v="30"/>
    <n v="0"/>
  </r>
  <r>
    <n v="2904"/>
    <n v="143"/>
    <n v="5"/>
    <n v="2733"/>
    <s v="EARNED"/>
    <n v="2.74"/>
    <s v=""/>
    <d v="2026-09-12T19:00:45"/>
    <x v="11"/>
    <n v="2.74"/>
    <n v="0"/>
  </r>
  <r>
    <n v="2905"/>
    <n v="263"/>
    <n v="3"/>
    <n v="2734"/>
    <s v="EARNED"/>
    <n v="4.4000000000000004"/>
    <s v=""/>
    <d v="2026-09-12T19:42:09"/>
    <x v="11"/>
    <n v="4.4000000000000004"/>
    <n v="0"/>
  </r>
  <r>
    <n v="2906"/>
    <n v="11"/>
    <n v="2"/>
    <n v="2719"/>
    <s v="ADJUSTMENT"/>
    <n v="-13.02"/>
    <s v="Reverso por cancelación de compra #2719: Error de captura"/>
    <d v="2026-09-13T01:58:31"/>
    <x v="11"/>
    <n v="0"/>
    <n v="0"/>
  </r>
  <r>
    <n v="2907"/>
    <n v="138"/>
    <n v="2"/>
    <n v="2735"/>
    <s v="EARNED"/>
    <n v="3.46"/>
    <s v=""/>
    <d v="2026-09-13T10:25:44"/>
    <x v="11"/>
    <n v="3.46"/>
    <n v="0"/>
  </r>
  <r>
    <n v="2908"/>
    <n v="75"/>
    <n v="2"/>
    <n v="2736"/>
    <s v="EARNED"/>
    <n v="17.38"/>
    <s v=""/>
    <d v="2026-09-13T12:21:45"/>
    <x v="11"/>
    <n v="17.38"/>
    <n v="0"/>
  </r>
  <r>
    <n v="2909"/>
    <n v="54"/>
    <n v="2"/>
    <n v="2737"/>
    <s v="EARNED"/>
    <n v="3.26"/>
    <s v=""/>
    <d v="2026-09-13T16:10:15"/>
    <x v="11"/>
    <n v="3.26"/>
    <n v="0"/>
  </r>
  <r>
    <n v="2910"/>
    <n v="250"/>
    <n v="2"/>
    <n v="2738"/>
    <s v="EARNED"/>
    <n v="13.44"/>
    <s v=""/>
    <d v="2026-09-14T12:50:32"/>
    <x v="11"/>
    <n v="13.44"/>
    <n v="0"/>
  </r>
  <r>
    <n v="2911"/>
    <n v="75"/>
    <n v="2"/>
    <n v="2739"/>
    <s v="EARNED"/>
    <n v="14.96"/>
    <s v=""/>
    <d v="2026-09-14T14:22:19"/>
    <x v="11"/>
    <n v="14.96"/>
    <n v="0"/>
  </r>
  <r>
    <n v="2912"/>
    <n v="229"/>
    <n v="4"/>
    <n v="2740"/>
    <s v="EARNED"/>
    <n v="9.68"/>
    <s v=""/>
    <d v="2026-09-14T15:01:07"/>
    <x v="11"/>
    <n v="9.68"/>
    <n v="0"/>
  </r>
  <r>
    <n v="2913"/>
    <n v="250"/>
    <n v="5"/>
    <n v="2741"/>
    <s v="EARNED"/>
    <n v="12.67"/>
    <s v=""/>
    <d v="2026-09-14T16:08:13"/>
    <x v="11"/>
    <n v="12.67"/>
    <n v="0"/>
  </r>
  <r>
    <n v="2914"/>
    <n v="229"/>
    <n v="3"/>
    <n v="2742"/>
    <s v="EARNED"/>
    <n v="5.17"/>
    <s v=""/>
    <d v="2026-09-14T16:37:13"/>
    <x v="11"/>
    <n v="5.17"/>
    <n v="0"/>
  </r>
  <r>
    <n v="2915"/>
    <n v="230"/>
    <n v="2"/>
    <n v="2743"/>
    <s v="EARNED"/>
    <n v="16.579999999999998"/>
    <s v=""/>
    <d v="2026-09-14T17:54:52"/>
    <x v="11"/>
    <n v="16.579999999999998"/>
    <n v="0"/>
  </r>
  <r>
    <n v="2916"/>
    <n v="201"/>
    <n v="3"/>
    <n v="2744"/>
    <s v="REDEEMED"/>
    <n v="28.47"/>
    <s v=""/>
    <d v="2026-09-14T19:12:16"/>
    <x v="11"/>
    <n v="0"/>
    <n v="28.47"/>
  </r>
  <r>
    <n v="2917"/>
    <n v="134"/>
    <n v="2"/>
    <n v="2745"/>
    <s v="EARNED"/>
    <n v="9.0299999999999994"/>
    <s v=""/>
    <d v="2026-09-14T19:57:23"/>
    <x v="11"/>
    <n v="9.0299999999999994"/>
    <n v="0"/>
  </r>
  <r>
    <n v="2918"/>
    <n v="136"/>
    <n v="5"/>
    <n v="2746"/>
    <s v="EARNED"/>
    <n v="21.45"/>
    <s v=""/>
    <d v="2026-09-15T07:17:57"/>
    <x v="11"/>
    <n v="21.45"/>
    <n v="0"/>
  </r>
  <r>
    <n v="2919"/>
    <n v="288"/>
    <n v="4"/>
    <n v="2747"/>
    <s v="EARNED"/>
    <n v="3.23"/>
    <s v=""/>
    <d v="2026-09-15T08:37:40"/>
    <x v="11"/>
    <n v="3.23"/>
    <n v="0"/>
  </r>
  <r>
    <n v="2920"/>
    <n v="299"/>
    <n v="5"/>
    <n v="2748"/>
    <s v="EARNED"/>
    <n v="22"/>
    <s v=""/>
    <d v="2026-09-15T09:37:36"/>
    <x v="11"/>
    <n v="22"/>
    <n v="0"/>
  </r>
  <r>
    <n v="2921"/>
    <n v="121"/>
    <n v="4"/>
    <n v="2749"/>
    <s v="EARNED"/>
    <n v="3.91"/>
    <s v=""/>
    <d v="2026-09-15T16:43:17"/>
    <x v="11"/>
    <n v="3.91"/>
    <n v="0"/>
  </r>
  <r>
    <n v="2922"/>
    <n v="250"/>
    <n v="2"/>
    <n v="2750"/>
    <s v="EARNED"/>
    <n v="22"/>
    <s v=""/>
    <d v="2026-09-15T17:19:10"/>
    <x v="11"/>
    <n v="22"/>
    <n v="0"/>
  </r>
  <r>
    <n v="2923"/>
    <n v="136"/>
    <n v="2"/>
    <n v="2751"/>
    <s v="REDEEMED"/>
    <n v="125.48"/>
    <s v=""/>
    <d v="2026-09-15T19:06:46"/>
    <x v="11"/>
    <n v="0"/>
    <n v="125.48"/>
  </r>
  <r>
    <n v="2924"/>
    <n v="156"/>
    <n v="5"/>
    <n v="2752"/>
    <s v="EARNED"/>
    <n v="3.43"/>
    <s v=""/>
    <d v="2026-09-15T19:42:51"/>
    <x v="11"/>
    <n v="3.43"/>
    <n v="0"/>
  </r>
  <r>
    <n v="2925"/>
    <n v="245"/>
    <n v="4"/>
    <n v="2753"/>
    <s v="EARNED"/>
    <n v="4.07"/>
    <s v=""/>
    <d v="2026-09-16T07:19:18"/>
    <x v="11"/>
    <n v="4.07"/>
    <n v="0"/>
  </r>
  <r>
    <n v="2926"/>
    <n v="65"/>
    <n v="4"/>
    <n v="2754"/>
    <s v="REDEEMED"/>
    <n v="30.16"/>
    <s v=""/>
    <d v="2026-09-16T07:27:24"/>
    <x v="11"/>
    <n v="0"/>
    <n v="30.16"/>
  </r>
  <r>
    <n v="2927"/>
    <n v="44"/>
    <n v="3"/>
    <n v="2755"/>
    <s v="EARNED"/>
    <n v="3.58"/>
    <s v=""/>
    <d v="2026-09-16T07:49:26"/>
    <x v="11"/>
    <n v="3.58"/>
    <n v="0"/>
  </r>
  <r>
    <n v="2928"/>
    <n v="24"/>
    <n v="5"/>
    <n v="2756"/>
    <s v="EARNED"/>
    <n v="13.04"/>
    <s v=""/>
    <d v="2026-09-16T10:53:25"/>
    <x v="11"/>
    <n v="13.04"/>
    <n v="0"/>
  </r>
  <r>
    <n v="2929"/>
    <n v="134"/>
    <n v="2"/>
    <n v="2757"/>
    <s v="REDEEMED"/>
    <n v="53.07"/>
    <s v=""/>
    <d v="2026-09-16T12:36:43"/>
    <x v="11"/>
    <n v="0"/>
    <n v="53.07"/>
  </r>
  <r>
    <n v="2930"/>
    <n v="228"/>
    <n v="3"/>
    <n v="2758"/>
    <s v="EARNED"/>
    <n v="8.8000000000000007"/>
    <s v=""/>
    <d v="2026-09-16T15:41:23"/>
    <x v="11"/>
    <n v="8.8000000000000007"/>
    <n v="0"/>
  </r>
  <r>
    <n v="2931"/>
    <n v="156"/>
    <n v="4"/>
    <n v="2752"/>
    <s v="ADJUSTMENT"/>
    <n v="-3.43"/>
    <s v="Reverso por cancelación de compra #2752: Monto duplicado por error de sistema"/>
    <d v="2026-09-16T22:42:51"/>
    <x v="11"/>
    <n v="0"/>
    <n v="0"/>
  </r>
  <r>
    <n v="2932"/>
    <n v="186"/>
    <n v="4"/>
    <n v="2759"/>
    <s v="EARNED"/>
    <n v="9.9"/>
    <s v=""/>
    <d v="2026-09-17T08:15:42"/>
    <x v="11"/>
    <n v="9.9"/>
    <n v="0"/>
  </r>
  <r>
    <n v="2933"/>
    <n v="285"/>
    <n v="5"/>
    <n v="2760"/>
    <s v="EARNED"/>
    <n v="2.91"/>
    <s v=""/>
    <d v="2026-09-17T08:40:47"/>
    <x v="11"/>
    <n v="2.91"/>
    <n v="0"/>
  </r>
  <r>
    <n v="2934"/>
    <n v="204"/>
    <n v="5"/>
    <n v="2761"/>
    <s v="EARNED"/>
    <n v="8.4499999999999993"/>
    <s v=""/>
    <d v="2026-09-17T11:35:29"/>
    <x v="11"/>
    <n v="8.4499999999999993"/>
    <n v="0"/>
  </r>
  <r>
    <n v="2935"/>
    <n v="133"/>
    <n v="5"/>
    <n v="2762"/>
    <s v="EARNED"/>
    <n v="6.08"/>
    <s v=""/>
    <d v="2026-09-17T13:01:36"/>
    <x v="11"/>
    <n v="6.08"/>
    <n v="0"/>
  </r>
  <r>
    <n v="2936"/>
    <n v="70"/>
    <n v="2"/>
    <n v="2763"/>
    <s v="EARNED"/>
    <n v="17.010000000000002"/>
    <s v=""/>
    <d v="2026-09-17T13:04:33"/>
    <x v="11"/>
    <n v="17.010000000000002"/>
    <n v="0"/>
  </r>
  <r>
    <n v="2937"/>
    <n v="25"/>
    <n v="3"/>
    <n v="2764"/>
    <s v="EARNED"/>
    <n v="8.83"/>
    <s v=""/>
    <d v="2026-09-17T17:26:02"/>
    <x v="11"/>
    <n v="8.83"/>
    <n v="0"/>
  </r>
  <r>
    <n v="2938"/>
    <n v="16"/>
    <n v="2"/>
    <n v="2765"/>
    <s v="EARNED"/>
    <n v="14.74"/>
    <s v=""/>
    <d v="2026-09-17T17:57:07"/>
    <x v="11"/>
    <n v="14.74"/>
    <n v="0"/>
  </r>
  <r>
    <n v="2939"/>
    <n v="258"/>
    <n v="2"/>
    <n v="2766"/>
    <s v="EARNED"/>
    <n v="2.0699999999999998"/>
    <s v=""/>
    <d v="2026-09-18T08:04:12"/>
    <x v="11"/>
    <n v="2.0699999999999998"/>
    <n v="0"/>
  </r>
  <r>
    <n v="2940"/>
    <n v="70"/>
    <n v="2"/>
    <n v="2763"/>
    <s v="ADJUSTMENT"/>
    <n v="-17.010000000000002"/>
    <s v="Reverso por cancelación de compra #2763: Cliente canceló la operación"/>
    <d v="2026-09-18T09:04:33"/>
    <x v="11"/>
    <n v="0"/>
    <n v="0"/>
  </r>
  <r>
    <n v="2941"/>
    <n v="285"/>
    <n v="4"/>
    <n v="2767"/>
    <s v="EARNED"/>
    <n v="2.38"/>
    <s v=""/>
    <d v="2026-09-18T09:45:19"/>
    <x v="11"/>
    <n v="2.38"/>
    <n v="0"/>
  </r>
  <r>
    <n v="2942"/>
    <n v="134"/>
    <n v="5"/>
    <n v="2768"/>
    <s v="EARNED"/>
    <n v="8"/>
    <s v=""/>
    <d v="2026-09-18T10:47:29"/>
    <x v="11"/>
    <n v="8"/>
    <n v="0"/>
  </r>
  <r>
    <n v="2943"/>
    <n v="156"/>
    <n v="4"/>
    <n v="2769"/>
    <s v="EARNED"/>
    <n v="2.15"/>
    <s v=""/>
    <d v="2026-09-18T11:09:09"/>
    <x v="11"/>
    <n v="2.15"/>
    <n v="0"/>
  </r>
  <r>
    <n v="2944"/>
    <n v="11"/>
    <n v="2"/>
    <n v="2770"/>
    <s v="EARNED"/>
    <n v="21.27"/>
    <s v=""/>
    <d v="2026-09-18T14:44:11"/>
    <x v="11"/>
    <n v="21.27"/>
    <n v="0"/>
  </r>
  <r>
    <n v="2945"/>
    <n v="164"/>
    <n v="5"/>
    <n v="2771"/>
    <s v="EARNED"/>
    <n v="2.13"/>
    <s v=""/>
    <d v="2026-09-18T19:37:00"/>
    <x v="11"/>
    <n v="2.13"/>
    <n v="0"/>
  </r>
  <r>
    <n v="2946"/>
    <n v="44"/>
    <n v="5"/>
    <n v="2772"/>
    <s v="EARNED"/>
    <n v="3.49"/>
    <s v=""/>
    <d v="2026-09-19T09:31:43"/>
    <x v="11"/>
    <n v="3.49"/>
    <n v="0"/>
  </r>
  <r>
    <n v="2947"/>
    <n v="250"/>
    <n v="5"/>
    <n v="2773"/>
    <s v="EARNED"/>
    <n v="9.69"/>
    <s v=""/>
    <d v="2026-09-19T11:06:17"/>
    <x v="11"/>
    <n v="9.69"/>
    <n v="0"/>
  </r>
  <r>
    <n v="2948"/>
    <n v="65"/>
    <n v="3"/>
    <n v="2774"/>
    <s v="EARNED"/>
    <n v="5.86"/>
    <s v=""/>
    <d v="2026-09-19T11:31:49"/>
    <x v="11"/>
    <n v="5.86"/>
    <n v="0"/>
  </r>
  <r>
    <n v="2949"/>
    <n v="106"/>
    <n v="4"/>
    <n v="2775"/>
    <s v="REDEEMED"/>
    <n v="99.75"/>
    <s v=""/>
    <d v="2026-09-19T11:42:21"/>
    <x v="11"/>
    <n v="0"/>
    <n v="99.75"/>
  </r>
  <r>
    <n v="2950"/>
    <n v="128"/>
    <n v="3"/>
    <n v="2776"/>
    <s v="EARNED"/>
    <n v="3.2"/>
    <s v=""/>
    <d v="2026-09-19T13:20:00"/>
    <x v="11"/>
    <n v="3.2"/>
    <n v="0"/>
  </r>
  <r>
    <n v="2951"/>
    <n v="75"/>
    <n v="2"/>
    <n v="2777"/>
    <s v="REDEEMED"/>
    <n v="65.05"/>
    <s v=""/>
    <d v="2026-09-19T15:28:41"/>
    <x v="11"/>
    <n v="0"/>
    <n v="65.05"/>
  </r>
  <r>
    <n v="2952"/>
    <n v="43"/>
    <n v="3"/>
    <n v="2778"/>
    <s v="EARNED"/>
    <n v="8.2200000000000006"/>
    <s v=""/>
    <d v="2026-09-19T15:42:36"/>
    <x v="11"/>
    <n v="8.2200000000000006"/>
    <n v="0"/>
  </r>
  <r>
    <n v="2953"/>
    <n v="134"/>
    <n v="3"/>
    <n v="2779"/>
    <s v="EARNED"/>
    <n v="9.77"/>
    <s v=""/>
    <d v="2026-09-19T15:44:14"/>
    <x v="11"/>
    <n v="9.77"/>
    <n v="0"/>
  </r>
  <r>
    <n v="2954"/>
    <n v="250"/>
    <n v="2"/>
    <n v="2780"/>
    <s v="EARNED"/>
    <n v="10.01"/>
    <s v=""/>
    <d v="2026-09-19T16:01:08"/>
    <x v="11"/>
    <n v="10.01"/>
    <n v="0"/>
  </r>
  <r>
    <n v="2955"/>
    <n v="44"/>
    <n v="5"/>
    <n v="2781"/>
    <s v="EARNED"/>
    <n v="3.15"/>
    <s v=""/>
    <d v="2026-09-19T17:21:54"/>
    <x v="11"/>
    <n v="3.15"/>
    <n v="0"/>
  </r>
  <r>
    <n v="2956"/>
    <n v="57"/>
    <n v="5"/>
    <n v="2782"/>
    <s v="EARNED"/>
    <n v="12.9"/>
    <s v=""/>
    <d v="2026-09-19T18:56:08"/>
    <x v="11"/>
    <n v="12.9"/>
    <n v="0"/>
  </r>
  <r>
    <n v="2957"/>
    <n v="294"/>
    <n v="3"/>
    <n v="2783"/>
    <s v="EARNED"/>
    <n v="1.85"/>
    <s v=""/>
    <d v="2026-09-20T08:45:41"/>
    <x v="11"/>
    <n v="1.85"/>
    <n v="0"/>
  </r>
  <r>
    <n v="2958"/>
    <n v="237"/>
    <n v="4"/>
    <n v="2784"/>
    <s v="EARNED"/>
    <n v="8.39"/>
    <s v=""/>
    <d v="2026-09-20T12:38:18"/>
    <x v="11"/>
    <n v="8.39"/>
    <n v="0"/>
  </r>
  <r>
    <n v="2959"/>
    <n v="110"/>
    <n v="3"/>
    <n v="2785"/>
    <s v="EARNED"/>
    <n v="5.93"/>
    <s v=""/>
    <d v="2026-09-20T14:02:41"/>
    <x v="11"/>
    <n v="5.93"/>
    <n v="0"/>
  </r>
  <r>
    <n v="2960"/>
    <n v="11"/>
    <n v="2"/>
    <n v="2770"/>
    <s v="ADJUSTMENT"/>
    <n v="-21.27"/>
    <s v="Reverso por cancelación de compra #2770: Error de captura"/>
    <d v="2026-09-20T14:44:11"/>
    <x v="11"/>
    <n v="0"/>
    <n v="0"/>
  </r>
  <r>
    <n v="2961"/>
    <n v="12"/>
    <n v="5"/>
    <n v="2786"/>
    <s v="EARNED"/>
    <n v="2.71"/>
    <s v=""/>
    <d v="2026-09-20T18:30:19"/>
    <x v="11"/>
    <n v="2.71"/>
    <n v="0"/>
  </r>
  <r>
    <n v="2962"/>
    <n v="175"/>
    <n v="2"/>
    <n v="2787"/>
    <s v="EARNED"/>
    <n v="3.83"/>
    <s v=""/>
    <d v="2026-09-20T18:58:26"/>
    <x v="11"/>
    <n v="3.83"/>
    <n v="0"/>
  </r>
  <r>
    <n v="2963"/>
    <n v="243"/>
    <n v="4"/>
    <n v="2788"/>
    <s v="EARNED"/>
    <n v="3.25"/>
    <s v=""/>
    <d v="2026-09-21T07:15:42"/>
    <x v="11"/>
    <n v="3.25"/>
    <n v="0"/>
  </r>
  <r>
    <n v="2964"/>
    <n v="75"/>
    <n v="2"/>
    <n v="2789"/>
    <s v="EARNED"/>
    <n v="7.34"/>
    <s v=""/>
    <d v="2026-09-21T15:28:03"/>
    <x v="11"/>
    <n v="7.34"/>
    <n v="0"/>
  </r>
  <r>
    <n v="2965"/>
    <n v="128"/>
    <n v="4"/>
    <n v="2790"/>
    <s v="EARNED"/>
    <n v="1.36"/>
    <s v=""/>
    <d v="2026-09-21T16:12:34"/>
    <x v="11"/>
    <n v="1.36"/>
    <n v="0"/>
  </r>
  <r>
    <n v="2966"/>
    <n v="197"/>
    <n v="4"/>
    <n v="2791"/>
    <s v="EARNED"/>
    <n v="10.26"/>
    <s v=""/>
    <d v="2026-09-21T16:58:11"/>
    <x v="11"/>
    <n v="10.26"/>
    <n v="0"/>
  </r>
  <r>
    <n v="2967"/>
    <n v="24"/>
    <n v="5"/>
    <n v="2792"/>
    <s v="EARNED"/>
    <n v="27.43"/>
    <s v=""/>
    <d v="2026-09-21T17:26:34"/>
    <x v="11"/>
    <n v="27.43"/>
    <n v="0"/>
  </r>
  <r>
    <n v="2968"/>
    <n v="127"/>
    <n v="5"/>
    <n v="2793"/>
    <s v="EARNED"/>
    <n v="7.89"/>
    <s v=""/>
    <d v="2026-09-22T07:36:01"/>
    <x v="11"/>
    <n v="7.89"/>
    <n v="0"/>
  </r>
  <r>
    <n v="2969"/>
    <n v="241"/>
    <n v="2"/>
    <n v="2794"/>
    <s v="EARNED"/>
    <n v="3.7"/>
    <s v=""/>
    <d v="2026-09-22T08:00:17"/>
    <x v="11"/>
    <n v="3.7"/>
    <n v="0"/>
  </r>
  <r>
    <n v="2970"/>
    <n v="25"/>
    <n v="3"/>
    <n v="2795"/>
    <s v="EARNED"/>
    <n v="4.1500000000000004"/>
    <s v=""/>
    <d v="2026-09-22T08:04:23"/>
    <x v="11"/>
    <n v="4.1500000000000004"/>
    <n v="0"/>
  </r>
  <r>
    <n v="2971"/>
    <n v="16"/>
    <n v="3"/>
    <n v="2796"/>
    <s v="REDEEMED"/>
    <n v="130.83000000000001"/>
    <s v=""/>
    <d v="2026-09-22T09:01:34"/>
    <x v="11"/>
    <n v="0"/>
    <n v="130.83000000000001"/>
  </r>
  <r>
    <n v="2972"/>
    <n v="7"/>
    <n v="3"/>
    <n v="2797"/>
    <s v="EARNED"/>
    <n v="8.75"/>
    <s v=""/>
    <d v="2026-09-22T09:45:05"/>
    <x v="11"/>
    <n v="8.75"/>
    <n v="0"/>
  </r>
  <r>
    <n v="2973"/>
    <n v="128"/>
    <n v="2"/>
    <n v="2798"/>
    <s v="EARNED"/>
    <n v="1.75"/>
    <s v=""/>
    <d v="2026-09-22T09:55:11"/>
    <x v="11"/>
    <n v="1.75"/>
    <n v="0"/>
  </r>
  <r>
    <n v="2974"/>
    <n v="272"/>
    <n v="4"/>
    <n v="2799"/>
    <s v="EARNED"/>
    <n v="17.940000000000001"/>
    <s v=""/>
    <d v="2026-09-22T10:27:56"/>
    <x v="11"/>
    <n v="17.940000000000001"/>
    <n v="0"/>
  </r>
  <r>
    <n v="2975"/>
    <n v="165"/>
    <n v="4"/>
    <n v="2800"/>
    <s v="EARNED"/>
    <n v="3.52"/>
    <s v=""/>
    <d v="2026-09-22T10:56:16"/>
    <x v="11"/>
    <n v="3.52"/>
    <n v="0"/>
  </r>
  <r>
    <n v="2976"/>
    <n v="125"/>
    <n v="5"/>
    <n v="2801"/>
    <s v="EARNED"/>
    <n v="3.97"/>
    <s v=""/>
    <d v="2026-09-22T13:42:18"/>
    <x v="11"/>
    <n v="3.97"/>
    <n v="0"/>
  </r>
  <r>
    <n v="2977"/>
    <n v="250"/>
    <n v="4"/>
    <n v="2802"/>
    <s v="EARNED"/>
    <n v="13.62"/>
    <s v=""/>
    <d v="2026-09-22T14:01:21"/>
    <x v="11"/>
    <n v="13.62"/>
    <n v="0"/>
  </r>
  <r>
    <n v="2978"/>
    <n v="156"/>
    <n v="2"/>
    <n v="2803"/>
    <s v="EARNED"/>
    <n v="4.26"/>
    <s v=""/>
    <d v="2026-09-22T15:03:16"/>
    <x v="11"/>
    <n v="4.26"/>
    <n v="0"/>
  </r>
  <r>
    <n v="2979"/>
    <n v="190"/>
    <n v="5"/>
    <n v="2804"/>
    <s v="EARNED"/>
    <n v="21.08"/>
    <s v=""/>
    <d v="2026-09-22T18:14:47"/>
    <x v="11"/>
    <n v="21.08"/>
    <n v="0"/>
  </r>
  <r>
    <n v="2980"/>
    <n v="16"/>
    <n v="4"/>
    <n v="2805"/>
    <s v="EARNED"/>
    <n v="13.44"/>
    <s v=""/>
    <d v="2026-09-23T10:15:09"/>
    <x v="11"/>
    <n v="13.44"/>
    <n v="0"/>
  </r>
  <r>
    <n v="2981"/>
    <n v="245"/>
    <n v="4"/>
    <n v="2806"/>
    <s v="EARNED"/>
    <n v="2.79"/>
    <s v=""/>
    <d v="2026-09-23T12:35:37"/>
    <x v="11"/>
    <n v="2.79"/>
    <n v="0"/>
  </r>
  <r>
    <n v="2982"/>
    <n v="134"/>
    <n v="4"/>
    <n v="2807"/>
    <s v="REDEEMED"/>
    <n v="115.56"/>
    <s v=""/>
    <d v="2026-09-23T19:40:29"/>
    <x v="11"/>
    <n v="0"/>
    <n v="115.56"/>
  </r>
  <r>
    <n v="2983"/>
    <n v="285"/>
    <n v="5"/>
    <n v="2808"/>
    <s v="REDEEMED"/>
    <n v="28.17"/>
    <s v=""/>
    <d v="2026-09-24T10:47:09"/>
    <x v="11"/>
    <n v="0"/>
    <n v="28.17"/>
  </r>
  <r>
    <n v="2984"/>
    <n v="299"/>
    <n v="2"/>
    <n v="2809"/>
    <s v="EARNED"/>
    <n v="7.46"/>
    <s v=""/>
    <d v="2026-09-24T11:19:00"/>
    <x v="11"/>
    <n v="7.46"/>
    <n v="0"/>
  </r>
  <r>
    <n v="2985"/>
    <n v="229"/>
    <n v="4"/>
    <n v="2810"/>
    <s v="EARNED"/>
    <n v="12.67"/>
    <s v=""/>
    <d v="2026-09-24T11:29:52"/>
    <x v="11"/>
    <n v="12.67"/>
    <n v="0"/>
  </r>
  <r>
    <n v="2986"/>
    <n v="156"/>
    <n v="2"/>
    <n v="2811"/>
    <s v="EARNED"/>
    <n v="2.38"/>
    <s v=""/>
    <d v="2026-09-24T13:01:10"/>
    <x v="11"/>
    <n v="2.38"/>
    <n v="0"/>
  </r>
  <r>
    <n v="2987"/>
    <n v="36"/>
    <n v="2"/>
    <n v="2812"/>
    <s v="EARNED"/>
    <n v="23.16"/>
    <s v=""/>
    <d v="2026-09-24T13:25:39"/>
    <x v="11"/>
    <n v="23.16"/>
    <n v="0"/>
  </r>
  <r>
    <n v="2988"/>
    <n v="128"/>
    <n v="5"/>
    <n v="2813"/>
    <s v="EARNED"/>
    <n v="3.52"/>
    <s v=""/>
    <d v="2026-09-24T14:29:32"/>
    <x v="11"/>
    <n v="3.52"/>
    <n v="0"/>
  </r>
  <r>
    <n v="2989"/>
    <n v="190"/>
    <n v="2"/>
    <n v="2814"/>
    <s v="EARNED"/>
    <n v="21.82"/>
    <s v=""/>
    <d v="2026-09-24T16:00:27"/>
    <x v="11"/>
    <n v="21.82"/>
    <n v="0"/>
  </r>
  <r>
    <n v="2990"/>
    <n v="128"/>
    <n v="5"/>
    <n v="2815"/>
    <s v="REDEEMED"/>
    <n v="47.96"/>
    <s v=""/>
    <d v="2026-09-24T17:08:05"/>
    <x v="11"/>
    <n v="0"/>
    <n v="47.96"/>
  </r>
  <r>
    <n v="2991"/>
    <n v="194"/>
    <n v="2"/>
    <n v="2816"/>
    <s v="EARNED"/>
    <n v="10.46"/>
    <s v=""/>
    <d v="2026-09-25T08:31:32"/>
    <x v="11"/>
    <n v="10.46"/>
    <n v="0"/>
  </r>
  <r>
    <n v="2992"/>
    <n v="172"/>
    <n v="4"/>
    <n v="2817"/>
    <s v="EARNED"/>
    <n v="3.69"/>
    <s v=""/>
    <d v="2026-09-25T08:47:48"/>
    <x v="11"/>
    <n v="3.69"/>
    <n v="0"/>
  </r>
  <r>
    <n v="2993"/>
    <n v="145"/>
    <n v="4"/>
    <n v="2818"/>
    <s v="EARNED"/>
    <n v="26.74"/>
    <s v=""/>
    <d v="2026-09-25T08:55:53"/>
    <x v="11"/>
    <n v="26.74"/>
    <n v="0"/>
  </r>
  <r>
    <n v="2994"/>
    <n v="277"/>
    <n v="5"/>
    <n v="2819"/>
    <s v="EARNED"/>
    <n v="7.29"/>
    <s v=""/>
    <d v="2026-09-25T09:47:03"/>
    <x v="11"/>
    <n v="7.29"/>
    <n v="0"/>
  </r>
  <r>
    <n v="2995"/>
    <n v="128"/>
    <n v="2"/>
    <n v="2820"/>
    <s v="EARNED"/>
    <n v="1.28"/>
    <s v=""/>
    <d v="2026-09-25T13:58:43"/>
    <x v="11"/>
    <n v="1.28"/>
    <n v="0"/>
  </r>
  <r>
    <n v="2996"/>
    <n v="134"/>
    <n v="4"/>
    <n v="2821"/>
    <s v="EARNED"/>
    <n v="4.3899999999999997"/>
    <s v=""/>
    <d v="2026-09-25T16:35:49"/>
    <x v="11"/>
    <n v="4.3899999999999997"/>
    <n v="0"/>
  </r>
  <r>
    <n v="2997"/>
    <n v="128"/>
    <n v="3"/>
    <n v="2822"/>
    <s v="EARNED"/>
    <n v="1.78"/>
    <s v=""/>
    <d v="2026-09-25T17:23:09"/>
    <x v="11"/>
    <n v="1.78"/>
    <n v="0"/>
  </r>
  <r>
    <n v="2998"/>
    <n v="59"/>
    <n v="3"/>
    <n v="2823"/>
    <s v="EARNED"/>
    <n v="3.73"/>
    <s v=""/>
    <d v="2026-09-26T09:54:31"/>
    <x v="11"/>
    <n v="3.73"/>
    <n v="0"/>
  </r>
  <r>
    <n v="2999"/>
    <n v="75"/>
    <n v="3"/>
    <n v="2824"/>
    <s v="EARNED"/>
    <n v="5.94"/>
    <s v=""/>
    <d v="2026-09-26T10:18:13"/>
    <x v="11"/>
    <n v="5.94"/>
    <n v="0"/>
  </r>
  <r>
    <n v="3000"/>
    <n v="128"/>
    <n v="3"/>
    <n v="2825"/>
    <s v="EARNED"/>
    <n v="3.74"/>
    <s v=""/>
    <d v="2026-09-26T18:12:40"/>
    <x v="11"/>
    <n v="3.74"/>
    <n v="0"/>
  </r>
  <r>
    <n v="3001"/>
    <n v="128"/>
    <n v="2"/>
    <n v="2826"/>
    <s v="EARNED"/>
    <n v="2.35"/>
    <s v=""/>
    <d v="2026-09-27T08:13:06"/>
    <x v="11"/>
    <n v="2.35"/>
    <n v="0"/>
  </r>
  <r>
    <n v="3002"/>
    <n v="246"/>
    <n v="4"/>
    <n v="2827"/>
    <s v="EARNED"/>
    <n v="2.72"/>
    <s v=""/>
    <d v="2026-09-27T08:14:03"/>
    <x v="11"/>
    <n v="2.72"/>
    <n v="0"/>
  </r>
  <r>
    <n v="3003"/>
    <n v="146"/>
    <n v="4"/>
    <n v="2828"/>
    <s v="EARNED"/>
    <n v="2.66"/>
    <s v=""/>
    <d v="2026-09-27T12:36:46"/>
    <x v="11"/>
    <n v="2.66"/>
    <n v="0"/>
  </r>
  <r>
    <n v="3004"/>
    <n v="128"/>
    <n v="2"/>
    <n v="2829"/>
    <s v="EARNED"/>
    <n v="3.58"/>
    <s v=""/>
    <d v="2026-09-27T18:35:53"/>
    <x v="11"/>
    <n v="3.58"/>
    <n v="0"/>
  </r>
  <r>
    <n v="3005"/>
    <n v="250"/>
    <n v="3"/>
    <n v="2830"/>
    <s v="REDEEMED"/>
    <n v="86.01"/>
    <s v=""/>
    <d v="2026-09-28T07:22:25"/>
    <x v="11"/>
    <n v="0"/>
    <n v="86.01"/>
  </r>
  <r>
    <n v="3006"/>
    <n v="87"/>
    <n v="4"/>
    <n v="2831"/>
    <s v="EARNED"/>
    <n v="9.33"/>
    <s v=""/>
    <d v="2026-09-28T07:48:31"/>
    <x v="11"/>
    <n v="9.33"/>
    <n v="0"/>
  </r>
  <r>
    <n v="3007"/>
    <n v="134"/>
    <n v="2"/>
    <n v="2832"/>
    <s v="EARNED"/>
    <n v="4.9400000000000004"/>
    <s v=""/>
    <d v="2026-09-28T08:19:21"/>
    <x v="11"/>
    <n v="4.9400000000000004"/>
    <n v="0"/>
  </r>
  <r>
    <n v="3008"/>
    <n v="134"/>
    <n v="3"/>
    <n v="2833"/>
    <s v="EARNED"/>
    <n v="5.72"/>
    <s v=""/>
    <d v="2026-09-28T08:25:50"/>
    <x v="11"/>
    <n v="5.72"/>
    <n v="0"/>
  </r>
  <r>
    <n v="3009"/>
    <n v="134"/>
    <n v="3"/>
    <n v="2834"/>
    <s v="EARNED"/>
    <n v="7.24"/>
    <s v=""/>
    <d v="2026-09-28T08:57:56"/>
    <x v="11"/>
    <n v="7.24"/>
    <n v="0"/>
  </r>
  <r>
    <n v="3010"/>
    <n v="285"/>
    <n v="2"/>
    <n v="2835"/>
    <s v="EARNED"/>
    <n v="4.4000000000000004"/>
    <s v=""/>
    <d v="2026-09-28T09:30:12"/>
    <x v="11"/>
    <n v="4.4000000000000004"/>
    <n v="0"/>
  </r>
  <r>
    <n v="3011"/>
    <n v="48"/>
    <n v="5"/>
    <n v="2836"/>
    <s v="EARNED"/>
    <n v="9.64"/>
    <s v=""/>
    <d v="2026-09-28T09:38:48"/>
    <x v="11"/>
    <n v="9.64"/>
    <n v="0"/>
  </r>
  <r>
    <n v="3012"/>
    <n v="225"/>
    <n v="3"/>
    <n v="2837"/>
    <s v="EARNED"/>
    <n v="2.04"/>
    <s v=""/>
    <d v="2026-09-28T11:11:59"/>
    <x v="11"/>
    <n v="2.04"/>
    <n v="0"/>
  </r>
  <r>
    <n v="3013"/>
    <n v="220"/>
    <n v="4"/>
    <n v="2838"/>
    <s v="EARNED"/>
    <n v="3.83"/>
    <s v=""/>
    <d v="2026-09-28T17:34:09"/>
    <x v="11"/>
    <n v="3.83"/>
    <n v="0"/>
  </r>
  <r>
    <n v="3014"/>
    <n v="250"/>
    <n v="3"/>
    <n v="2839"/>
    <s v="EARNED"/>
    <n v="11.19"/>
    <s v=""/>
    <d v="2026-09-28T19:12:09"/>
    <x v="11"/>
    <n v="11.19"/>
    <n v="0"/>
  </r>
  <r>
    <n v="3015"/>
    <n v="128"/>
    <n v="2"/>
    <n v="2840"/>
    <s v="EARNED"/>
    <n v="2.58"/>
    <s v=""/>
    <d v="2026-09-28T19:32:11"/>
    <x v="11"/>
    <n v="2.58"/>
    <n v="0"/>
  </r>
  <r>
    <n v="3016"/>
    <n v="297"/>
    <n v="2"/>
    <n v="2841"/>
    <s v="EARNED"/>
    <n v="6.05"/>
    <s v=""/>
    <d v="2026-09-29T08:20:25"/>
    <x v="11"/>
    <n v="6.05"/>
    <n v="0"/>
  </r>
  <r>
    <n v="3017"/>
    <n v="65"/>
    <n v="3"/>
    <n v="2842"/>
    <s v="EARNED"/>
    <n v="2.2599999999999998"/>
    <s v=""/>
    <d v="2026-09-29T09:36:48"/>
    <x v="11"/>
    <n v="2.2599999999999998"/>
    <n v="0"/>
  </r>
  <r>
    <n v="3018"/>
    <n v="128"/>
    <n v="3"/>
    <n v="2843"/>
    <s v="EARNED"/>
    <n v="2.56"/>
    <s v=""/>
    <d v="2026-09-29T10:01:10"/>
    <x v="11"/>
    <n v="2.56"/>
    <n v="0"/>
  </r>
  <r>
    <n v="3019"/>
    <n v="285"/>
    <n v="4"/>
    <n v="2844"/>
    <s v="EARNED"/>
    <n v="2.3199999999999998"/>
    <s v=""/>
    <d v="2026-09-29T10:43:41"/>
    <x v="11"/>
    <n v="2.3199999999999998"/>
    <n v="0"/>
  </r>
  <r>
    <n v="3020"/>
    <n v="284"/>
    <n v="3"/>
    <n v="2845"/>
    <s v="EARNED"/>
    <n v="1.91"/>
    <s v=""/>
    <d v="2026-09-29T13:37:19"/>
    <x v="11"/>
    <n v="1.91"/>
    <n v="0"/>
  </r>
  <r>
    <n v="3021"/>
    <n v="128"/>
    <n v="5"/>
    <n v="2846"/>
    <s v="EARNED"/>
    <n v="2.1800000000000002"/>
    <s v=""/>
    <d v="2026-09-29T14:05:09"/>
    <x v="11"/>
    <n v="2.1800000000000002"/>
    <n v="0"/>
  </r>
  <r>
    <n v="3022"/>
    <n v="229"/>
    <n v="3"/>
    <n v="2847"/>
    <s v="EARNED"/>
    <n v="11.01"/>
    <s v=""/>
    <d v="2026-09-29T16:39:28"/>
    <x v="11"/>
    <n v="11.01"/>
    <n v="0"/>
  </r>
  <r>
    <n v="3023"/>
    <n v="134"/>
    <n v="4"/>
    <n v="2848"/>
    <s v="EARNED"/>
    <n v="8.2100000000000009"/>
    <s v=""/>
    <d v="2026-09-29T16:58:35"/>
    <x v="11"/>
    <n v="8.2100000000000009"/>
    <n v="0"/>
  </r>
  <r>
    <n v="3024"/>
    <n v="134"/>
    <n v="2"/>
    <n v="2849"/>
    <s v="EARNED"/>
    <n v="8.06"/>
    <s v=""/>
    <d v="2026-09-29T17:31:43"/>
    <x v="11"/>
    <n v="8.06"/>
    <n v="0"/>
  </r>
  <r>
    <n v="3025"/>
    <n v="74"/>
    <n v="3"/>
    <n v="2850"/>
    <s v="EARNED"/>
    <n v="11.82"/>
    <s v=""/>
    <d v="2026-09-29T18:22:22"/>
    <x v="11"/>
    <n v="11.82"/>
    <n v="0"/>
  </r>
  <r>
    <n v="3026"/>
    <n v="285"/>
    <n v="3"/>
    <n v="2851"/>
    <s v="EARNED"/>
    <n v="3.45"/>
    <s v=""/>
    <d v="2026-09-30T07:19:02"/>
    <x v="11"/>
    <n v="3.45"/>
    <n v="0"/>
  </r>
  <r>
    <n v="3027"/>
    <n v="128"/>
    <n v="5"/>
    <n v="2852"/>
    <s v="EARNED"/>
    <n v="2.33"/>
    <s v=""/>
    <d v="2026-09-30T07:24:51"/>
    <x v="11"/>
    <n v="2.33"/>
    <n v="0"/>
  </r>
  <r>
    <n v="3028"/>
    <n v="134"/>
    <n v="4"/>
    <n v="2853"/>
    <s v="EARNED"/>
    <n v="10.56"/>
    <s v=""/>
    <d v="2026-09-30T08:24:01"/>
    <x v="11"/>
    <n v="10.56"/>
    <n v="0"/>
  </r>
  <r>
    <n v="3029"/>
    <n v="134"/>
    <n v="4"/>
    <n v="2854"/>
    <s v="EARNED"/>
    <n v="7.8"/>
    <s v=""/>
    <d v="2026-09-30T08:56:12"/>
    <x v="11"/>
    <n v="7.8"/>
    <n v="0"/>
  </r>
  <r>
    <n v="3030"/>
    <n v="134"/>
    <n v="5"/>
    <n v="2855"/>
    <s v="REDEEMED"/>
    <n v="73.680000000000007"/>
    <s v=""/>
    <d v="2026-09-30T11:55:57"/>
    <x v="11"/>
    <n v="0"/>
    <n v="73.680000000000007"/>
  </r>
  <r>
    <n v="3031"/>
    <n v="250"/>
    <n v="4"/>
    <n v="2856"/>
    <s v="EARNED"/>
    <n v="7.77"/>
    <s v=""/>
    <d v="2026-09-30T15:41:09"/>
    <x v="11"/>
    <n v="7.77"/>
    <n v="0"/>
  </r>
  <r>
    <n v="3032"/>
    <n v="65"/>
    <n v="4"/>
    <n v="2842"/>
    <s v="ADJUSTMENT"/>
    <n v="-2.2599999999999998"/>
    <s v="Reverso por cancelación de compra #2842: Monto duplicado por error de sistema"/>
    <d v="2026-09-30T16:36:48"/>
    <x v="11"/>
    <n v="0"/>
    <n v="0"/>
  </r>
  <r>
    <n v="3033"/>
    <n v="208"/>
    <n v="3"/>
    <n v="2857"/>
    <s v="EARNED"/>
    <n v="2.4"/>
    <s v=""/>
    <d v="2026-09-30T18:06:06"/>
    <x v="11"/>
    <n v="2.4"/>
    <n v="0"/>
  </r>
  <r>
    <n v="3034"/>
    <n v="22"/>
    <n v="5"/>
    <n v="2858"/>
    <s v="EARNED"/>
    <n v="4.5599999999999996"/>
    <s v=""/>
    <d v="2026-10-01T10:02:06"/>
    <x v="12"/>
    <n v="4.5599999999999996"/>
    <n v="0"/>
  </r>
  <r>
    <n v="3035"/>
    <n v="243"/>
    <n v="2"/>
    <n v="2859"/>
    <s v="EARNED"/>
    <n v="4.21"/>
    <s v=""/>
    <d v="2026-10-01T10:39:24"/>
    <x v="12"/>
    <n v="4.21"/>
    <n v="0"/>
  </r>
  <r>
    <n v="3036"/>
    <n v="220"/>
    <n v="2"/>
    <n v="2860"/>
    <s v="EARNED"/>
    <n v="4.24"/>
    <s v=""/>
    <d v="2026-10-01T11:22:51"/>
    <x v="12"/>
    <n v="4.24"/>
    <n v="0"/>
  </r>
  <r>
    <n v="3037"/>
    <n v="75"/>
    <n v="5"/>
    <n v="2861"/>
    <s v="EARNED"/>
    <n v="8.33"/>
    <s v=""/>
    <d v="2026-10-01T12:52:13"/>
    <x v="12"/>
    <n v="8.33"/>
    <n v="0"/>
  </r>
  <r>
    <n v="3038"/>
    <n v="161"/>
    <n v="5"/>
    <n v="2862"/>
    <s v="EARNED"/>
    <n v="8.59"/>
    <s v=""/>
    <d v="2026-10-01T14:21:08"/>
    <x v="12"/>
    <n v="8.59"/>
    <n v="0"/>
  </r>
  <r>
    <n v="3039"/>
    <n v="293"/>
    <n v="4"/>
    <n v="2863"/>
    <s v="EARNED"/>
    <n v="3.63"/>
    <s v=""/>
    <d v="2026-10-01T17:51:56"/>
    <x v="12"/>
    <n v="3.63"/>
    <n v="0"/>
  </r>
  <r>
    <n v="3040"/>
    <n v="194"/>
    <n v="2"/>
    <n v="2864"/>
    <s v="EARNED"/>
    <n v="5.99"/>
    <s v=""/>
    <d v="2026-10-01T18:14:24"/>
    <x v="12"/>
    <n v="5.99"/>
    <n v="0"/>
  </r>
  <r>
    <n v="3041"/>
    <n v="174"/>
    <n v="5"/>
    <n v="2865"/>
    <s v="EARNED"/>
    <n v="2.98"/>
    <s v=""/>
    <d v="2026-10-01T18:41:39"/>
    <x v="12"/>
    <n v="2.98"/>
    <n v="0"/>
  </r>
  <r>
    <n v="3042"/>
    <n v="137"/>
    <n v="5"/>
    <n v="2866"/>
    <s v="EARNED"/>
    <n v="3.92"/>
    <s v=""/>
    <d v="2026-10-02T08:15:49"/>
    <x v="12"/>
    <n v="3.92"/>
    <n v="0"/>
  </r>
  <r>
    <n v="3043"/>
    <n v="179"/>
    <n v="3"/>
    <n v="2867"/>
    <s v="EARNED"/>
    <n v="12.99"/>
    <s v=""/>
    <d v="2026-10-02T08:18:15"/>
    <x v="12"/>
    <n v="12.99"/>
    <n v="0"/>
  </r>
  <r>
    <n v="3044"/>
    <n v="128"/>
    <n v="3"/>
    <n v="2868"/>
    <s v="EARNED"/>
    <n v="2.7"/>
    <s v=""/>
    <d v="2026-10-02T09:21:57"/>
    <x v="12"/>
    <n v="2.7"/>
    <n v="0"/>
  </r>
  <r>
    <n v="3045"/>
    <n v="128"/>
    <n v="5"/>
    <n v="2869"/>
    <s v="EARNED"/>
    <n v="5.82"/>
    <s v=""/>
    <d v="2026-10-02T10:41:57"/>
    <x v="12"/>
    <n v="5.82"/>
    <n v="0"/>
  </r>
  <r>
    <n v="3046"/>
    <n v="25"/>
    <n v="4"/>
    <n v="2870"/>
    <s v="REDEEMED"/>
    <n v="48.43"/>
    <s v=""/>
    <d v="2026-10-02T15:01:24"/>
    <x v="12"/>
    <n v="0"/>
    <n v="48.43"/>
  </r>
  <r>
    <n v="3047"/>
    <n v="134"/>
    <n v="4"/>
    <n v="2871"/>
    <s v="EARNED"/>
    <n v="8.07"/>
    <s v=""/>
    <d v="2026-10-02T16:45:06"/>
    <x v="12"/>
    <n v="8.07"/>
    <n v="0"/>
  </r>
  <r>
    <n v="3048"/>
    <n v="229"/>
    <n v="3"/>
    <n v="2872"/>
    <s v="EARNED"/>
    <n v="12.28"/>
    <s v=""/>
    <d v="2026-10-02T17:00:07"/>
    <x v="12"/>
    <n v="12.28"/>
    <n v="0"/>
  </r>
  <r>
    <n v="3049"/>
    <n v="57"/>
    <n v="4"/>
    <n v="2873"/>
    <s v="EARNED"/>
    <n v="8.99"/>
    <s v=""/>
    <d v="2026-10-03T07:09:13"/>
    <x v="12"/>
    <n v="8.99"/>
    <n v="0"/>
  </r>
  <r>
    <n v="3050"/>
    <n v="106"/>
    <n v="4"/>
    <n v="2874"/>
    <s v="EARNED"/>
    <n v="10.49"/>
    <s v=""/>
    <d v="2026-10-03T07:53:02"/>
    <x v="12"/>
    <n v="10.49"/>
    <n v="0"/>
  </r>
  <r>
    <n v="3051"/>
    <n v="229"/>
    <n v="5"/>
    <n v="2875"/>
    <s v="REDEEMED"/>
    <n v="111.03"/>
    <s v=""/>
    <d v="2026-10-03T08:49:50"/>
    <x v="12"/>
    <n v="0"/>
    <n v="111.03"/>
  </r>
  <r>
    <n v="3052"/>
    <n v="190"/>
    <n v="2"/>
    <n v="2876"/>
    <s v="EARNED"/>
    <n v="19.329999999999998"/>
    <s v=""/>
    <d v="2026-10-03T09:13:51"/>
    <x v="12"/>
    <n v="19.329999999999998"/>
    <n v="0"/>
  </r>
  <r>
    <n v="3053"/>
    <n v="243"/>
    <n v="2"/>
    <n v="2877"/>
    <s v="EARNED"/>
    <n v="2.67"/>
    <s v=""/>
    <d v="2026-10-03T09:19:31"/>
    <x v="12"/>
    <n v="2.67"/>
    <n v="0"/>
  </r>
  <r>
    <n v="3054"/>
    <n v="86"/>
    <n v="2"/>
    <n v="2878"/>
    <s v="EARNED"/>
    <n v="2.4900000000000002"/>
    <s v=""/>
    <d v="2026-10-03T10:20:59"/>
    <x v="12"/>
    <n v="2.4900000000000002"/>
    <n v="0"/>
  </r>
  <r>
    <n v="3055"/>
    <n v="293"/>
    <n v="3"/>
    <n v="2879"/>
    <s v="EARNED"/>
    <n v="3.12"/>
    <s v=""/>
    <d v="2026-10-03T14:00:21"/>
    <x v="12"/>
    <n v="3.12"/>
    <n v="0"/>
  </r>
  <r>
    <n v="3056"/>
    <n v="128"/>
    <n v="4"/>
    <n v="2880"/>
    <s v="EARNED"/>
    <n v="2.36"/>
    <s v=""/>
    <d v="2026-10-03T16:40:50"/>
    <x v="12"/>
    <n v="2.36"/>
    <n v="0"/>
  </r>
  <r>
    <n v="3057"/>
    <n v="250"/>
    <n v="3"/>
    <n v="2881"/>
    <s v="EARNED"/>
    <n v="4.2"/>
    <s v=""/>
    <d v="2026-10-04T09:35:35"/>
    <x v="12"/>
    <n v="4.2"/>
    <n v="0"/>
  </r>
  <r>
    <n v="3058"/>
    <n v="250"/>
    <n v="5"/>
    <n v="2882"/>
    <s v="REDEEMED"/>
    <n v="63.99"/>
    <s v=""/>
    <d v="2026-10-04T12:00:48"/>
    <x v="12"/>
    <n v="0"/>
    <n v="63.99"/>
  </r>
  <r>
    <n v="3059"/>
    <n v="248"/>
    <n v="5"/>
    <n v="2883"/>
    <s v="EARNED"/>
    <n v="10.84"/>
    <s v=""/>
    <d v="2026-10-04T13:00:44"/>
    <x v="12"/>
    <n v="10.84"/>
    <n v="0"/>
  </r>
  <r>
    <n v="3060"/>
    <n v="202"/>
    <n v="2"/>
    <n v="2884"/>
    <s v="EARNED"/>
    <n v="2.81"/>
    <s v=""/>
    <d v="2026-10-04T18:53:17"/>
    <x v="12"/>
    <n v="2.81"/>
    <n v="0"/>
  </r>
  <r>
    <n v="3061"/>
    <n v="75"/>
    <n v="3"/>
    <n v="2885"/>
    <s v="EARNED"/>
    <n v="4.0199999999999996"/>
    <s v=""/>
    <d v="2026-10-05T08:51:00"/>
    <x v="12"/>
    <n v="4.0199999999999996"/>
    <n v="0"/>
  </r>
  <r>
    <n v="3062"/>
    <n v="128"/>
    <n v="2"/>
    <n v="2886"/>
    <s v="EARNED"/>
    <n v="4.51"/>
    <s v=""/>
    <d v="2026-10-05T09:22:24"/>
    <x v="12"/>
    <n v="4.51"/>
    <n v="0"/>
  </r>
  <r>
    <n v="3063"/>
    <n v="229"/>
    <n v="5"/>
    <n v="2887"/>
    <s v="EARNED"/>
    <n v="6.29"/>
    <s v=""/>
    <d v="2026-10-05T09:28:24"/>
    <x v="12"/>
    <n v="6.29"/>
    <n v="0"/>
  </r>
  <r>
    <n v="3064"/>
    <n v="75"/>
    <n v="5"/>
    <n v="2888"/>
    <s v="EARNED"/>
    <n v="11.69"/>
    <s v=""/>
    <d v="2026-10-05T15:33:31"/>
    <x v="12"/>
    <n v="11.69"/>
    <n v="0"/>
  </r>
  <r>
    <n v="3065"/>
    <n v="128"/>
    <n v="2"/>
    <n v="2889"/>
    <s v="EARNED"/>
    <n v="2.91"/>
    <s v=""/>
    <d v="2026-10-05T17:23:39"/>
    <x v="12"/>
    <n v="2.91"/>
    <n v="0"/>
  </r>
  <r>
    <n v="3066"/>
    <n v="204"/>
    <n v="3"/>
    <n v="2890"/>
    <s v="EARNED"/>
    <n v="7.37"/>
    <s v=""/>
    <d v="2026-10-05T17:34:07"/>
    <x v="12"/>
    <n v="7.37"/>
    <n v="0"/>
  </r>
  <r>
    <n v="3067"/>
    <n v="204"/>
    <n v="2"/>
    <n v="2891"/>
    <s v="EARNED"/>
    <n v="5.79"/>
    <s v=""/>
    <d v="2026-10-05T17:45:18"/>
    <x v="12"/>
    <n v="5.79"/>
    <n v="0"/>
  </r>
  <r>
    <n v="3068"/>
    <n v="179"/>
    <n v="3"/>
    <n v="2892"/>
    <s v="EARNED"/>
    <n v="28.07"/>
    <s v=""/>
    <d v="2026-10-06T08:23:13"/>
    <x v="12"/>
    <n v="28.07"/>
    <n v="0"/>
  </r>
  <r>
    <n v="3069"/>
    <n v="250"/>
    <n v="2"/>
    <n v="2893"/>
    <s v="EARNED"/>
    <n v="10.96"/>
    <s v=""/>
    <d v="2026-10-06T08:23:19"/>
    <x v="12"/>
    <n v="10.96"/>
    <n v="0"/>
  </r>
  <r>
    <n v="3070"/>
    <n v="271"/>
    <n v="5"/>
    <n v="2894"/>
    <s v="EARNED"/>
    <n v="1.85"/>
    <s v=""/>
    <d v="2026-10-06T08:43:56"/>
    <x v="12"/>
    <n v="1.85"/>
    <n v="0"/>
  </r>
  <r>
    <n v="3071"/>
    <n v="136"/>
    <n v="5"/>
    <n v="2895"/>
    <s v="EARNED"/>
    <n v="11.25"/>
    <s v=""/>
    <d v="2026-10-06T08:46:46"/>
    <x v="12"/>
    <n v="11.25"/>
    <n v="0"/>
  </r>
  <r>
    <n v="3072"/>
    <n v="156"/>
    <n v="4"/>
    <n v="2896"/>
    <s v="EARNED"/>
    <n v="2.52"/>
    <s v=""/>
    <d v="2026-10-06T12:29:57"/>
    <x v="12"/>
    <n v="2.52"/>
    <n v="0"/>
  </r>
  <r>
    <n v="3073"/>
    <n v="229"/>
    <n v="4"/>
    <n v="2897"/>
    <s v="EARNED"/>
    <n v="7.52"/>
    <s v=""/>
    <d v="2026-10-06T14:04:04"/>
    <x v="12"/>
    <n v="7.52"/>
    <n v="0"/>
  </r>
  <r>
    <n v="3074"/>
    <n v="75"/>
    <n v="4"/>
    <n v="2898"/>
    <s v="EARNED"/>
    <n v="5.61"/>
    <s v=""/>
    <d v="2026-10-06T15:19:05"/>
    <x v="12"/>
    <n v="5.61"/>
    <n v="0"/>
  </r>
  <r>
    <n v="3075"/>
    <n v="18"/>
    <n v="3"/>
    <n v="2899"/>
    <s v="EARNED"/>
    <n v="4.68"/>
    <s v=""/>
    <d v="2026-10-06T15:24:46"/>
    <x v="12"/>
    <n v="4.68"/>
    <n v="0"/>
  </r>
  <r>
    <n v="3076"/>
    <n v="16"/>
    <n v="2"/>
    <n v="2900"/>
    <s v="REDEEMED"/>
    <n v="109.55"/>
    <s v=""/>
    <d v="2026-10-06T15:27:21"/>
    <x v="12"/>
    <n v="0"/>
    <n v="109.55"/>
  </r>
  <r>
    <n v="3077"/>
    <n v="128"/>
    <n v="5"/>
    <n v="2901"/>
    <s v="EARNED"/>
    <n v="8"/>
    <s v=""/>
    <d v="2026-10-06T16:05:00"/>
    <x v="12"/>
    <n v="8"/>
    <n v="0"/>
  </r>
  <r>
    <n v="3078"/>
    <n v="134"/>
    <n v="3"/>
    <n v="2902"/>
    <s v="EARNED"/>
    <n v="9.89"/>
    <s v=""/>
    <d v="2026-10-06T19:07:26"/>
    <x v="12"/>
    <n v="9.89"/>
    <n v="0"/>
  </r>
  <r>
    <n v="3079"/>
    <n v="229"/>
    <n v="4"/>
    <n v="2903"/>
    <s v="EARNED"/>
    <n v="10.5"/>
    <s v=""/>
    <d v="2026-10-07T08:06:36"/>
    <x v="12"/>
    <n v="10.5"/>
    <n v="0"/>
  </r>
  <r>
    <n v="3080"/>
    <n v="179"/>
    <n v="5"/>
    <n v="2904"/>
    <s v="EARNED"/>
    <n v="29.32"/>
    <s v=""/>
    <d v="2026-10-07T09:36:41"/>
    <x v="12"/>
    <n v="29.32"/>
    <n v="0"/>
  </r>
  <r>
    <n v="3081"/>
    <n v="285"/>
    <n v="3"/>
    <n v="2905"/>
    <s v="EARNED"/>
    <n v="2.72"/>
    <s v=""/>
    <d v="2026-10-07T10:12:22"/>
    <x v="12"/>
    <n v="2.72"/>
    <n v="0"/>
  </r>
  <r>
    <n v="3082"/>
    <n v="200"/>
    <n v="4"/>
    <n v="2906"/>
    <s v="EARNED"/>
    <n v="2.83"/>
    <s v=""/>
    <d v="2026-10-07T10:33:23"/>
    <x v="12"/>
    <n v="2.83"/>
    <n v="0"/>
  </r>
  <r>
    <n v="3083"/>
    <n v="185"/>
    <n v="3"/>
    <n v="2907"/>
    <s v="EARNED"/>
    <n v="7.79"/>
    <s v=""/>
    <d v="2026-10-07T11:44:06"/>
    <x v="12"/>
    <n v="7.79"/>
    <n v="0"/>
  </r>
  <r>
    <n v="3084"/>
    <n v="212"/>
    <n v="3"/>
    <n v="2908"/>
    <s v="EARNED"/>
    <n v="6.5"/>
    <s v=""/>
    <d v="2026-10-07T16:42:40"/>
    <x v="12"/>
    <n v="6.5"/>
    <n v="0"/>
  </r>
  <r>
    <n v="3085"/>
    <n v="190"/>
    <n v="2"/>
    <n v="2909"/>
    <s v="EARNED"/>
    <n v="21.98"/>
    <s v=""/>
    <d v="2026-10-07T17:41:14"/>
    <x v="12"/>
    <n v="21.98"/>
    <n v="0"/>
  </r>
  <r>
    <n v="3086"/>
    <n v="183"/>
    <n v="5"/>
    <n v="2910"/>
    <s v="EARNED"/>
    <n v="12.25"/>
    <s v=""/>
    <d v="2026-10-08T09:01:34"/>
    <x v="12"/>
    <n v="12.25"/>
    <n v="0"/>
  </r>
  <r>
    <n v="3087"/>
    <n v="86"/>
    <n v="2"/>
    <n v="2911"/>
    <s v="EARNED"/>
    <n v="2.35"/>
    <s v=""/>
    <d v="2026-10-08T09:45:02"/>
    <x v="12"/>
    <n v="2.35"/>
    <n v="0"/>
  </r>
  <r>
    <n v="3088"/>
    <n v="7"/>
    <n v="2"/>
    <n v="2912"/>
    <s v="EARNED"/>
    <n v="4.34"/>
    <s v=""/>
    <d v="2026-10-08T10:07:36"/>
    <x v="12"/>
    <n v="4.34"/>
    <n v="0"/>
  </r>
  <r>
    <n v="3089"/>
    <n v="33"/>
    <n v="3"/>
    <n v="2913"/>
    <s v="EARNED"/>
    <n v="2.7"/>
    <s v=""/>
    <d v="2026-10-08T11:22:34"/>
    <x v="12"/>
    <n v="2.7"/>
    <n v="0"/>
  </r>
  <r>
    <n v="3090"/>
    <n v="77"/>
    <n v="3"/>
    <n v="2914"/>
    <s v="EARNED"/>
    <n v="15.64"/>
    <s v=""/>
    <d v="2026-10-08T12:54:35"/>
    <x v="12"/>
    <n v="15.64"/>
    <n v="0"/>
  </r>
  <r>
    <n v="3091"/>
    <n v="264"/>
    <n v="2"/>
    <n v="2915"/>
    <s v="EARNED"/>
    <n v="25.99"/>
    <s v=""/>
    <d v="2026-10-08T14:30:18"/>
    <x v="12"/>
    <n v="25.99"/>
    <n v="0"/>
  </r>
  <r>
    <n v="3092"/>
    <n v="165"/>
    <n v="4"/>
    <n v="2916"/>
    <s v="EARNED"/>
    <n v="2.5299999999999998"/>
    <s v=""/>
    <d v="2026-10-08T14:31:19"/>
    <x v="12"/>
    <n v="2.5299999999999998"/>
    <n v="0"/>
  </r>
  <r>
    <n v="3093"/>
    <n v="229"/>
    <n v="4"/>
    <n v="2917"/>
    <s v="EARNED"/>
    <n v="16.899999999999999"/>
    <s v=""/>
    <d v="2026-10-08T14:49:15"/>
    <x v="12"/>
    <n v="16.899999999999999"/>
    <n v="0"/>
  </r>
  <r>
    <n v="3094"/>
    <n v="75"/>
    <n v="4"/>
    <n v="2918"/>
    <s v="EARNED"/>
    <n v="16.09"/>
    <s v=""/>
    <d v="2026-10-08T15:49:25"/>
    <x v="12"/>
    <n v="16.09"/>
    <n v="0"/>
  </r>
  <r>
    <n v="3095"/>
    <n v="75"/>
    <n v="4"/>
    <n v="2919"/>
    <s v="EARNED"/>
    <n v="12.71"/>
    <s v=""/>
    <d v="2026-10-08T16:51:42"/>
    <x v="12"/>
    <n v="12.71"/>
    <n v="0"/>
  </r>
  <r>
    <n v="3096"/>
    <n v="178"/>
    <n v="3"/>
    <n v="2920"/>
    <s v="EARNED"/>
    <n v="22.1"/>
    <s v=""/>
    <d v="2026-10-09T07:14:35"/>
    <x v="12"/>
    <n v="22.1"/>
    <n v="0"/>
  </r>
  <r>
    <n v="3097"/>
    <n v="94"/>
    <n v="2"/>
    <n v="2921"/>
    <s v="EARNED"/>
    <n v="19.809999999999999"/>
    <s v=""/>
    <d v="2026-10-09T07:36:33"/>
    <x v="12"/>
    <n v="19.809999999999999"/>
    <n v="0"/>
  </r>
  <r>
    <n v="3098"/>
    <n v="297"/>
    <n v="4"/>
    <n v="2922"/>
    <s v="EARNED"/>
    <n v="9.0299999999999994"/>
    <s v=""/>
    <d v="2026-10-09T08:13:47"/>
    <x v="12"/>
    <n v="9.0299999999999994"/>
    <n v="0"/>
  </r>
  <r>
    <n v="3099"/>
    <n v="250"/>
    <n v="3"/>
    <n v="2923"/>
    <s v="EARNED"/>
    <n v="11.21"/>
    <s v=""/>
    <d v="2026-10-09T08:36:15"/>
    <x v="12"/>
    <n v="11.21"/>
    <n v="0"/>
  </r>
  <r>
    <n v="3100"/>
    <n v="278"/>
    <n v="2"/>
    <n v="2924"/>
    <s v="EARNED"/>
    <n v="15.41"/>
    <s v=""/>
    <d v="2026-10-09T11:06:50"/>
    <x v="12"/>
    <n v="15.41"/>
    <n v="0"/>
  </r>
  <r>
    <n v="3101"/>
    <n v="7"/>
    <n v="2"/>
    <n v="2925"/>
    <s v="EARNED"/>
    <n v="6.6"/>
    <s v=""/>
    <d v="2026-10-09T11:33:46"/>
    <x v="12"/>
    <n v="6.6"/>
    <n v="0"/>
  </r>
  <r>
    <n v="3102"/>
    <n v="134"/>
    <n v="4"/>
    <n v="2926"/>
    <s v="EARNED"/>
    <n v="11.5"/>
    <s v=""/>
    <d v="2026-10-09T12:43:09"/>
    <x v="12"/>
    <n v="11.5"/>
    <n v="0"/>
  </r>
  <r>
    <n v="3103"/>
    <n v="250"/>
    <n v="5"/>
    <n v="2927"/>
    <s v="EARNED"/>
    <n v="7.54"/>
    <s v=""/>
    <d v="2026-10-09T13:38:56"/>
    <x v="12"/>
    <n v="7.54"/>
    <n v="0"/>
  </r>
  <r>
    <n v="3104"/>
    <n v="185"/>
    <n v="3"/>
    <n v="2928"/>
    <s v="EARNED"/>
    <n v="5.94"/>
    <s v=""/>
    <d v="2026-10-09T14:21:50"/>
    <x v="12"/>
    <n v="5.94"/>
    <n v="0"/>
  </r>
  <r>
    <n v="3105"/>
    <n v="190"/>
    <n v="5"/>
    <n v="2929"/>
    <s v="EARNED"/>
    <n v="16.66"/>
    <s v=""/>
    <d v="2026-10-09T15:39:16"/>
    <x v="12"/>
    <n v="16.66"/>
    <n v="0"/>
  </r>
  <r>
    <n v="3106"/>
    <n v="156"/>
    <n v="5"/>
    <n v="2930"/>
    <s v="EARNED"/>
    <n v="2.57"/>
    <s v=""/>
    <d v="2026-10-09T15:51:34"/>
    <x v="12"/>
    <n v="2.57"/>
    <n v="0"/>
  </r>
  <r>
    <n v="3107"/>
    <n v="65"/>
    <n v="4"/>
    <n v="2931"/>
    <s v="REDEEMED"/>
    <n v="24.13"/>
    <s v=""/>
    <d v="2026-10-09T16:36:42"/>
    <x v="12"/>
    <n v="0"/>
    <n v="24.13"/>
  </r>
  <r>
    <n v="3108"/>
    <n v="137"/>
    <n v="2"/>
    <n v="2932"/>
    <s v="REDEEMED"/>
    <n v="26.37"/>
    <s v=""/>
    <d v="2026-10-09T18:21:28"/>
    <x v="12"/>
    <n v="0"/>
    <n v="26.37"/>
  </r>
  <r>
    <n v="3109"/>
    <n v="278"/>
    <n v="3"/>
    <n v="2924"/>
    <s v="ADJUSTMENT"/>
    <n v="-15.41"/>
    <s v="Reverso por cancelación de compra #2924: Error de captura"/>
    <d v="2026-10-09T19:06:50"/>
    <x v="12"/>
    <n v="0"/>
    <n v="0"/>
  </r>
  <r>
    <n v="3110"/>
    <n v="134"/>
    <n v="3"/>
    <n v="2933"/>
    <s v="EARNED"/>
    <n v="12.74"/>
    <s v=""/>
    <d v="2026-10-10T07:59:58"/>
    <x v="12"/>
    <n v="12.74"/>
    <n v="0"/>
  </r>
  <r>
    <n v="3111"/>
    <n v="134"/>
    <n v="2"/>
    <n v="2934"/>
    <s v="EARNED"/>
    <n v="10.81"/>
    <s v=""/>
    <d v="2026-10-10T08:13:58"/>
    <x v="12"/>
    <n v="10.81"/>
    <n v="0"/>
  </r>
  <r>
    <n v="3112"/>
    <n v="87"/>
    <n v="4"/>
    <n v="2935"/>
    <s v="EARNED"/>
    <n v="2.5499999999999998"/>
    <s v=""/>
    <d v="2026-10-10T09:37:39"/>
    <x v="12"/>
    <n v="2.5499999999999998"/>
    <n v="0"/>
  </r>
  <r>
    <n v="3113"/>
    <n v="246"/>
    <n v="3"/>
    <n v="2936"/>
    <s v="EARNED"/>
    <n v="3.94"/>
    <s v=""/>
    <d v="2026-10-10T09:41:25"/>
    <x v="12"/>
    <n v="3.94"/>
    <n v="0"/>
  </r>
  <r>
    <n v="3114"/>
    <n v="134"/>
    <n v="2"/>
    <n v="2937"/>
    <s v="EARNED"/>
    <n v="13.55"/>
    <s v=""/>
    <d v="2026-10-10T09:52:25"/>
    <x v="12"/>
    <n v="13.55"/>
    <n v="0"/>
  </r>
  <r>
    <n v="3115"/>
    <n v="188"/>
    <n v="3"/>
    <n v="2938"/>
    <s v="EARNED"/>
    <n v="23.1"/>
    <s v=""/>
    <d v="2026-10-10T10:43:44"/>
    <x v="12"/>
    <n v="23.1"/>
    <n v="0"/>
  </r>
  <r>
    <n v="3116"/>
    <n v="137"/>
    <n v="5"/>
    <n v="2939"/>
    <s v="EARNED"/>
    <n v="7.62"/>
    <s v=""/>
    <d v="2026-10-10T10:45:56"/>
    <x v="12"/>
    <n v="7.62"/>
    <n v="0"/>
  </r>
  <r>
    <n v="3117"/>
    <n v="134"/>
    <n v="5"/>
    <n v="2940"/>
    <s v="REDEEMED"/>
    <n v="89.64"/>
    <s v=""/>
    <d v="2026-10-10T10:59:11"/>
    <x v="12"/>
    <n v="0"/>
    <n v="89.64"/>
  </r>
  <r>
    <n v="3118"/>
    <n v="75"/>
    <n v="4"/>
    <n v="2941"/>
    <s v="EARNED"/>
    <n v="6.59"/>
    <s v=""/>
    <d v="2026-10-10T13:08:47"/>
    <x v="12"/>
    <n v="6.59"/>
    <n v="0"/>
  </r>
  <r>
    <n v="3119"/>
    <n v="246"/>
    <n v="2"/>
    <n v="2942"/>
    <s v="EARNED"/>
    <n v="4.7300000000000004"/>
    <s v=""/>
    <d v="2026-10-10T15:15:58"/>
    <x v="12"/>
    <n v="4.7300000000000004"/>
    <n v="0"/>
  </r>
  <r>
    <n v="3120"/>
    <n v="175"/>
    <n v="3"/>
    <n v="2943"/>
    <s v="EARNED"/>
    <n v="2.36"/>
    <s v=""/>
    <d v="2026-10-10T15:21:11"/>
    <x v="12"/>
    <n v="2.36"/>
    <n v="0"/>
  </r>
  <r>
    <n v="3121"/>
    <n v="111"/>
    <n v="3"/>
    <n v="2944"/>
    <s v="EARNED"/>
    <n v="8.43"/>
    <s v=""/>
    <d v="2026-10-10T16:23:04"/>
    <x v="12"/>
    <n v="8.43"/>
    <n v="0"/>
  </r>
  <r>
    <n v="3122"/>
    <n v="61"/>
    <n v="3"/>
    <n v="2945"/>
    <s v="EARNED"/>
    <n v="10.199999999999999"/>
    <s v=""/>
    <d v="2026-10-10T16:29:36"/>
    <x v="12"/>
    <n v="10.199999999999999"/>
    <n v="0"/>
  </r>
  <r>
    <n v="3123"/>
    <n v="75"/>
    <n v="2"/>
    <n v="2941"/>
    <s v="ADJUSTMENT"/>
    <n v="-6.59"/>
    <s v="Reverso por cancelación de compra #2941: Monto duplicado por error de sistema"/>
    <d v="2026-10-11T03:08:47"/>
    <x v="12"/>
    <n v="0"/>
    <n v="0"/>
  </r>
  <r>
    <n v="3124"/>
    <n v="250"/>
    <n v="3"/>
    <n v="2946"/>
    <s v="EARNED"/>
    <n v="9.77"/>
    <s v=""/>
    <d v="2026-10-11T07:54:54"/>
    <x v="12"/>
    <n v="9.77"/>
    <n v="0"/>
  </r>
  <r>
    <n v="3125"/>
    <n v="285"/>
    <n v="2"/>
    <n v="2947"/>
    <s v="EARNED"/>
    <n v="3.74"/>
    <s v=""/>
    <d v="2026-10-11T08:20:38"/>
    <x v="12"/>
    <n v="3.74"/>
    <n v="0"/>
  </r>
  <r>
    <n v="3126"/>
    <n v="106"/>
    <n v="5"/>
    <n v="2948"/>
    <s v="EARNED"/>
    <n v="13.29"/>
    <s v=""/>
    <d v="2026-10-11T12:52:20"/>
    <x v="12"/>
    <n v="13.29"/>
    <n v="0"/>
  </r>
  <r>
    <n v="3127"/>
    <n v="215"/>
    <n v="2"/>
    <n v="2949"/>
    <s v="EARNED"/>
    <n v="1.33"/>
    <s v=""/>
    <d v="2026-10-11T16:23:32"/>
    <x v="12"/>
    <n v="1.33"/>
    <n v="0"/>
  </r>
  <r>
    <n v="3128"/>
    <n v="202"/>
    <n v="3"/>
    <n v="2950"/>
    <s v="EARNED"/>
    <n v="1.07"/>
    <s v=""/>
    <d v="2026-10-11T17:07:35"/>
    <x v="12"/>
    <n v="1.07"/>
    <n v="0"/>
  </r>
  <r>
    <n v="3129"/>
    <n v="229"/>
    <n v="4"/>
    <n v="2951"/>
    <s v="REDEEMED"/>
    <n v="95.39"/>
    <s v=""/>
    <d v="2026-10-11T17:10:43"/>
    <x v="12"/>
    <n v="0"/>
    <n v="95.39"/>
  </r>
  <r>
    <n v="3130"/>
    <n v="75"/>
    <n v="3"/>
    <n v="2952"/>
    <s v="EARNED"/>
    <n v="12.68"/>
    <s v=""/>
    <d v="2026-10-12T08:12:21"/>
    <x v="12"/>
    <n v="12.68"/>
    <n v="0"/>
  </r>
  <r>
    <n v="3131"/>
    <n v="294"/>
    <n v="5"/>
    <n v="2953"/>
    <s v="EARNED"/>
    <n v="3.67"/>
    <s v=""/>
    <d v="2026-10-12T09:20:47"/>
    <x v="12"/>
    <n v="3.67"/>
    <n v="0"/>
  </r>
  <r>
    <n v="3132"/>
    <n v="29"/>
    <n v="2"/>
    <n v="2954"/>
    <s v="EARNED"/>
    <n v="2.99"/>
    <s v=""/>
    <d v="2026-10-12T10:01:37"/>
    <x v="12"/>
    <n v="2.99"/>
    <n v="0"/>
  </r>
  <r>
    <n v="3133"/>
    <n v="170"/>
    <n v="4"/>
    <n v="2955"/>
    <s v="EARNED"/>
    <n v="10.28"/>
    <s v=""/>
    <d v="2026-10-12T13:51:03"/>
    <x v="12"/>
    <n v="10.28"/>
    <n v="0"/>
  </r>
  <r>
    <n v="3134"/>
    <n v="170"/>
    <n v="5"/>
    <n v="2956"/>
    <s v="EARNED"/>
    <n v="6.55"/>
    <s v=""/>
    <d v="2026-10-13T07:01:29"/>
    <x v="12"/>
    <n v="6.55"/>
    <n v="0"/>
  </r>
  <r>
    <n v="3135"/>
    <n v="250"/>
    <n v="5"/>
    <n v="2957"/>
    <s v="EARNED"/>
    <n v="9.3000000000000007"/>
    <s v=""/>
    <d v="2026-10-13T07:40:02"/>
    <x v="12"/>
    <n v="9.3000000000000007"/>
    <n v="0"/>
  </r>
  <r>
    <n v="3136"/>
    <n v="21"/>
    <n v="2"/>
    <n v="2958"/>
    <s v="EARNED"/>
    <n v="4.37"/>
    <s v=""/>
    <d v="2026-10-13T08:18:55"/>
    <x v="12"/>
    <n v="4.37"/>
    <n v="0"/>
  </r>
  <r>
    <n v="3137"/>
    <n v="16"/>
    <n v="4"/>
    <n v="2959"/>
    <s v="EARNED"/>
    <n v="21.51"/>
    <s v=""/>
    <d v="2026-10-13T09:13:55"/>
    <x v="12"/>
    <n v="21.51"/>
    <n v="0"/>
  </r>
  <r>
    <n v="3138"/>
    <n v="179"/>
    <n v="2"/>
    <n v="2960"/>
    <s v="EARNED"/>
    <n v="16.11"/>
    <s v=""/>
    <d v="2026-10-13T09:25:11"/>
    <x v="12"/>
    <n v="16.11"/>
    <n v="0"/>
  </r>
  <r>
    <n v="3139"/>
    <n v="44"/>
    <n v="3"/>
    <n v="2961"/>
    <s v="EARNED"/>
    <n v="3.48"/>
    <s v=""/>
    <d v="2026-10-13T09:28:16"/>
    <x v="12"/>
    <n v="3.48"/>
    <n v="0"/>
  </r>
  <r>
    <n v="3140"/>
    <n v="190"/>
    <n v="2"/>
    <n v="2962"/>
    <s v="EARNED"/>
    <n v="11.1"/>
    <s v=""/>
    <d v="2026-10-13T10:23:51"/>
    <x v="12"/>
    <n v="11.1"/>
    <n v="0"/>
  </r>
  <r>
    <n v="3141"/>
    <n v="187"/>
    <n v="3"/>
    <n v="2963"/>
    <s v="EARNED"/>
    <n v="2.79"/>
    <s v=""/>
    <d v="2026-10-13T13:24:55"/>
    <x v="12"/>
    <n v="2.79"/>
    <n v="0"/>
  </r>
  <r>
    <n v="3142"/>
    <n v="293"/>
    <n v="4"/>
    <n v="2964"/>
    <s v="EARNED"/>
    <n v="3.62"/>
    <s v=""/>
    <d v="2026-10-13T14:55:00"/>
    <x v="12"/>
    <n v="3.62"/>
    <n v="0"/>
  </r>
  <r>
    <n v="3143"/>
    <n v="134"/>
    <n v="3"/>
    <n v="2965"/>
    <s v="EARNED"/>
    <n v="6.45"/>
    <s v=""/>
    <d v="2026-10-13T19:02:17"/>
    <x v="12"/>
    <n v="6.45"/>
    <n v="0"/>
  </r>
  <r>
    <n v="3144"/>
    <n v="281"/>
    <n v="5"/>
    <n v="2966"/>
    <s v="EARNED"/>
    <n v="11.12"/>
    <s v=""/>
    <d v="2026-10-14T07:12:51"/>
    <x v="12"/>
    <n v="11.12"/>
    <n v="0"/>
  </r>
  <r>
    <n v="3145"/>
    <n v="283"/>
    <n v="3"/>
    <n v="2967"/>
    <s v="EARNED"/>
    <n v="1.59"/>
    <s v=""/>
    <d v="2026-10-14T12:43:19"/>
    <x v="12"/>
    <n v="1.59"/>
    <n v="0"/>
  </r>
  <r>
    <n v="3146"/>
    <n v="229"/>
    <n v="4"/>
    <n v="2968"/>
    <s v="EARNED"/>
    <n v="8.48"/>
    <s v=""/>
    <d v="2026-10-14T14:40:56"/>
    <x v="12"/>
    <n v="8.48"/>
    <n v="0"/>
  </r>
  <r>
    <n v="3147"/>
    <n v="36"/>
    <n v="5"/>
    <n v="2969"/>
    <s v="EARNED"/>
    <n v="24.3"/>
    <s v=""/>
    <d v="2026-10-14T15:10:59"/>
    <x v="12"/>
    <n v="24.3"/>
    <n v="0"/>
  </r>
  <r>
    <n v="3148"/>
    <n v="177"/>
    <n v="3"/>
    <n v="2970"/>
    <s v="EARNED"/>
    <n v="3.01"/>
    <s v=""/>
    <d v="2026-10-14T15:49:09"/>
    <x v="12"/>
    <n v="3.01"/>
    <n v="0"/>
  </r>
  <r>
    <n v="3149"/>
    <n v="243"/>
    <n v="4"/>
    <n v="2971"/>
    <s v="EARNED"/>
    <n v="4.49"/>
    <s v=""/>
    <d v="2026-10-14T16:48:22"/>
    <x v="12"/>
    <n v="4.49"/>
    <n v="0"/>
  </r>
  <r>
    <n v="3150"/>
    <n v="229"/>
    <n v="2"/>
    <n v="2972"/>
    <s v="EARNED"/>
    <n v="6.65"/>
    <s v=""/>
    <d v="2026-10-15T09:20:01"/>
    <x v="12"/>
    <n v="6.65"/>
    <n v="0"/>
  </r>
  <r>
    <n v="3151"/>
    <n v="44"/>
    <n v="2"/>
    <n v="2973"/>
    <s v="EARNED"/>
    <n v="1.92"/>
    <s v=""/>
    <d v="2026-10-15T12:03:20"/>
    <x v="12"/>
    <n v="1.92"/>
    <n v="0"/>
  </r>
  <r>
    <n v="3152"/>
    <n v="202"/>
    <n v="2"/>
    <n v="2974"/>
    <s v="EARNED"/>
    <n v="3.15"/>
    <s v=""/>
    <d v="2026-10-15T14:33:18"/>
    <x v="12"/>
    <n v="3.15"/>
    <n v="0"/>
  </r>
  <r>
    <n v="3153"/>
    <n v="161"/>
    <n v="5"/>
    <n v="2975"/>
    <s v="EARNED"/>
    <n v="8.68"/>
    <s v=""/>
    <d v="2026-10-15T14:38:36"/>
    <x v="12"/>
    <n v="8.68"/>
    <n v="0"/>
  </r>
  <r>
    <n v="3154"/>
    <n v="128"/>
    <n v="2"/>
    <n v="2976"/>
    <s v="EARNED"/>
    <n v="2.15"/>
    <s v=""/>
    <d v="2026-10-15T17:45:01"/>
    <x v="12"/>
    <n v="2.15"/>
    <n v="0"/>
  </r>
  <r>
    <n v="3155"/>
    <n v="65"/>
    <n v="2"/>
    <n v="2977"/>
    <s v="REDEEMED"/>
    <n v="24.56"/>
    <s v=""/>
    <d v="2026-10-16T08:51:39"/>
    <x v="12"/>
    <n v="0"/>
    <n v="24.56"/>
  </r>
  <r>
    <n v="3156"/>
    <n v="88"/>
    <n v="4"/>
    <n v="2978"/>
    <s v="EARNED"/>
    <n v="10.47"/>
    <s v=""/>
    <d v="2026-10-16T08:56:08"/>
    <x v="12"/>
    <n v="10.47"/>
    <n v="0"/>
  </r>
  <r>
    <n v="3157"/>
    <n v="128"/>
    <n v="3"/>
    <n v="2979"/>
    <s v="REDEEMED"/>
    <n v="20.04"/>
    <s v=""/>
    <d v="2026-10-16T09:57:08"/>
    <x v="12"/>
    <n v="0"/>
    <n v="20.04"/>
  </r>
  <r>
    <n v="3158"/>
    <n v="119"/>
    <n v="2"/>
    <n v="2980"/>
    <s v="EARNED"/>
    <n v="14.68"/>
    <s v=""/>
    <d v="2026-10-16T14:11:30"/>
    <x v="12"/>
    <n v="14.68"/>
    <n v="0"/>
  </r>
  <r>
    <n v="3159"/>
    <n v="65"/>
    <n v="2"/>
    <n v="2981"/>
    <s v="EARNED"/>
    <n v="2.37"/>
    <s v=""/>
    <d v="2026-10-16T15:28:10"/>
    <x v="12"/>
    <n v="2.37"/>
    <n v="0"/>
  </r>
  <r>
    <n v="3160"/>
    <n v="273"/>
    <n v="5"/>
    <n v="2982"/>
    <s v="EARNED"/>
    <n v="3.15"/>
    <s v=""/>
    <d v="2026-10-17T08:55:33"/>
    <x v="12"/>
    <n v="3.15"/>
    <n v="0"/>
  </r>
  <r>
    <n v="3161"/>
    <n v="134"/>
    <n v="3"/>
    <n v="2983"/>
    <s v="EARNED"/>
    <n v="10.41"/>
    <s v=""/>
    <d v="2026-10-17T15:05:49"/>
    <x v="12"/>
    <n v="10.41"/>
    <n v="0"/>
  </r>
  <r>
    <n v="3162"/>
    <n v="285"/>
    <n v="5"/>
    <n v="2984"/>
    <s v="EARNED"/>
    <n v="2.82"/>
    <s v=""/>
    <d v="2026-10-17T17:10:16"/>
    <x v="12"/>
    <n v="2.82"/>
    <n v="0"/>
  </r>
  <r>
    <n v="3163"/>
    <n v="163"/>
    <n v="2"/>
    <n v="2985"/>
    <s v="EARNED"/>
    <n v="5.66"/>
    <s v=""/>
    <d v="2026-10-17T18:27:01"/>
    <x v="12"/>
    <n v="5.66"/>
    <n v="0"/>
  </r>
  <r>
    <n v="3164"/>
    <n v="48"/>
    <n v="5"/>
    <n v="2986"/>
    <s v="EARNED"/>
    <n v="13.92"/>
    <s v=""/>
    <d v="2026-10-18T07:04:17"/>
    <x v="12"/>
    <n v="13.92"/>
    <n v="0"/>
  </r>
  <r>
    <n v="3165"/>
    <n v="11"/>
    <n v="4"/>
    <n v="2987"/>
    <s v="EARNED"/>
    <n v="23.82"/>
    <s v=""/>
    <d v="2026-10-18T10:00:43"/>
    <x v="12"/>
    <n v="23.82"/>
    <n v="0"/>
  </r>
  <r>
    <n v="3166"/>
    <n v="147"/>
    <n v="3"/>
    <n v="2988"/>
    <s v="EARNED"/>
    <n v="14.92"/>
    <s v=""/>
    <d v="2026-10-18T10:01:15"/>
    <x v="12"/>
    <n v="14.92"/>
    <n v="0"/>
  </r>
  <r>
    <n v="3167"/>
    <n v="61"/>
    <n v="3"/>
    <n v="2989"/>
    <s v="EARNED"/>
    <n v="11.22"/>
    <s v=""/>
    <d v="2026-10-18T11:45:21"/>
    <x v="12"/>
    <n v="11.22"/>
    <n v="0"/>
  </r>
  <r>
    <n v="3168"/>
    <n v="128"/>
    <n v="5"/>
    <n v="2990"/>
    <s v="REDEEMED"/>
    <n v="23.89"/>
    <s v=""/>
    <d v="2026-10-18T14:28:16"/>
    <x v="12"/>
    <n v="0"/>
    <n v="23.89"/>
  </r>
  <r>
    <n v="3169"/>
    <n v="270"/>
    <n v="4"/>
    <n v="2991"/>
    <s v="EARNED"/>
    <n v="3.83"/>
    <s v=""/>
    <d v="2026-10-18T14:51:38"/>
    <x v="12"/>
    <n v="3.83"/>
    <n v="0"/>
  </r>
  <r>
    <n v="3170"/>
    <n v="128"/>
    <n v="5"/>
    <n v="2992"/>
    <s v="EARNED"/>
    <n v="3.87"/>
    <s v=""/>
    <d v="2026-10-18T15:14:51"/>
    <x v="12"/>
    <n v="3.87"/>
    <n v="0"/>
  </r>
  <r>
    <n v="3171"/>
    <n v="39"/>
    <n v="2"/>
    <n v="2993"/>
    <s v="EARNED"/>
    <n v="17.43"/>
    <s v=""/>
    <d v="2026-10-19T11:16:30"/>
    <x v="12"/>
    <n v="17.43"/>
    <n v="0"/>
  </r>
  <r>
    <n v="3172"/>
    <n v="178"/>
    <n v="2"/>
    <n v="2994"/>
    <s v="REDEEMED"/>
    <n v="119.09"/>
    <s v=""/>
    <d v="2026-10-19T14:03:22"/>
    <x v="12"/>
    <n v="0"/>
    <n v="119.09"/>
  </r>
  <r>
    <n v="3173"/>
    <n v="171"/>
    <n v="4"/>
    <n v="2995"/>
    <s v="EARNED"/>
    <n v="9.16"/>
    <s v=""/>
    <d v="2026-10-19T14:09:36"/>
    <x v="12"/>
    <n v="9.16"/>
    <n v="0"/>
  </r>
  <r>
    <n v="3174"/>
    <n v="169"/>
    <n v="4"/>
    <n v="2996"/>
    <s v="EARNED"/>
    <n v="6.7"/>
    <s v=""/>
    <d v="2026-10-19T15:21:07"/>
    <x v="12"/>
    <n v="6.7"/>
    <n v="0"/>
  </r>
  <r>
    <n v="3175"/>
    <n v="75"/>
    <n v="4"/>
    <n v="2997"/>
    <s v="EARNED"/>
    <n v="15.8"/>
    <s v=""/>
    <d v="2026-10-20T07:49:36"/>
    <x v="12"/>
    <n v="15.8"/>
    <n v="0"/>
  </r>
  <r>
    <n v="3176"/>
    <n v="137"/>
    <n v="5"/>
    <n v="2998"/>
    <s v="EARNED"/>
    <n v="1.69"/>
    <s v=""/>
    <d v="2026-10-20T14:46:26"/>
    <x v="12"/>
    <n v="1.69"/>
    <n v="0"/>
  </r>
  <r>
    <n v="3177"/>
    <n v="156"/>
    <n v="3"/>
    <n v="2999"/>
    <s v="EARNED"/>
    <n v="3.2"/>
    <s v=""/>
    <d v="2026-10-20T16:31:35"/>
    <x v="12"/>
    <n v="3.2"/>
    <n v="0"/>
  </r>
  <r>
    <n v="3178"/>
    <n v="219"/>
    <n v="4"/>
    <n v="3000"/>
    <s v="EARNED"/>
    <n v="5.62"/>
    <s v=""/>
    <d v="2026-10-20T19:48:45"/>
    <x v="12"/>
    <n v="5.62"/>
    <n v="0"/>
  </r>
  <r>
    <n v="3179"/>
    <n v="156"/>
    <n v="5"/>
    <n v="2999"/>
    <s v="ADJUSTMENT"/>
    <n v="-3.2"/>
    <s v="Reverso por cancelación de compra #2999: Error de captura"/>
    <d v="2026-10-20T20:31:35"/>
    <x v="12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n v="6"/>
    <n v="3"/>
    <n v="22.39"/>
    <n v="2.2400000000000002"/>
    <n v="0"/>
    <n v="0.1"/>
    <s v="ACTIVE"/>
    <m/>
    <s v=""/>
    <m/>
    <d v="2025-10-21T07:03:54"/>
    <d v="2025-10-21T00:00:00"/>
    <x v="0"/>
    <x v="0"/>
    <n v="1"/>
    <n v="0"/>
    <x v="0"/>
    <s v="Raúl Ortiz Cruz"/>
    <x v="0"/>
  </r>
  <r>
    <n v="28"/>
    <n v="6"/>
    <n v="2"/>
    <n v="17.54"/>
    <n v="1.75"/>
    <n v="0"/>
    <n v="0.1"/>
    <s v="ACTIVE"/>
    <m/>
    <s v=""/>
    <m/>
    <d v="2025-10-24T11:33:12"/>
    <d v="2025-10-24T00:00:00"/>
    <x v="0"/>
    <x v="0"/>
    <n v="1"/>
    <n v="0"/>
    <x v="1"/>
    <s v="Raúl Ortiz Cruz"/>
    <x v="1"/>
  </r>
  <r>
    <n v="26"/>
    <n v="6"/>
    <n v="5"/>
    <n v="41.82"/>
    <n v="4.18"/>
    <n v="0"/>
    <n v="0.1"/>
    <s v="ACTIVE"/>
    <m/>
    <s v=""/>
    <m/>
    <d v="2025-10-24T10:30:37"/>
    <d v="2025-10-24T00:00:00"/>
    <x v="0"/>
    <x v="0"/>
    <n v="1"/>
    <n v="0"/>
    <x v="2"/>
    <s v="Raúl Ortiz Cruz"/>
    <x v="2"/>
  </r>
  <r>
    <n v="198"/>
    <n v="58"/>
    <n v="5"/>
    <n v="70.14"/>
    <n v="7.01"/>
    <n v="0"/>
    <n v="0.1"/>
    <s v="ACTIVE"/>
    <m/>
    <s v=""/>
    <m/>
    <d v="2025-11-12T16:08:09"/>
    <d v="2025-11-12T00:00:00"/>
    <x v="1"/>
    <x v="0"/>
    <n v="1"/>
    <n v="0"/>
    <x v="3"/>
    <s v="Alicia Ruiz Gutiérrez"/>
    <x v="2"/>
  </r>
  <r>
    <n v="2"/>
    <n v="58"/>
    <n v="4"/>
    <n v="123.28"/>
    <n v="12.33"/>
    <n v="0"/>
    <n v="0.1"/>
    <s v="ACTIVE"/>
    <m/>
    <s v=""/>
    <m/>
    <d v="2025-10-21T08:34:12"/>
    <d v="2025-10-21T00:00:00"/>
    <x v="0"/>
    <x v="0"/>
    <n v="1"/>
    <n v="0"/>
    <x v="4"/>
    <s v="Alicia Ruiz Gutiérrez"/>
    <x v="3"/>
  </r>
  <r>
    <n v="265"/>
    <n v="58"/>
    <n v="5"/>
    <n v="49.06"/>
    <n v="4.91"/>
    <n v="0"/>
    <n v="0.1"/>
    <s v="ACTIVE"/>
    <m/>
    <s v=""/>
    <m/>
    <d v="2025-11-18T17:35:55"/>
    <d v="2025-11-18T00:00:00"/>
    <x v="1"/>
    <x v="0"/>
    <n v="1"/>
    <n v="0"/>
    <x v="5"/>
    <s v="Alicia Ruiz Gutiérrez"/>
    <x v="2"/>
  </r>
  <r>
    <n v="68"/>
    <n v="7"/>
    <n v="4"/>
    <n v="59.12"/>
    <n v="5.91"/>
    <n v="0"/>
    <n v="0.1"/>
    <s v="ACTIVE"/>
    <m/>
    <s v=""/>
    <m/>
    <d v="2025-10-29T14:23:24"/>
    <d v="2025-10-29T00:00:00"/>
    <x v="0"/>
    <x v="0"/>
    <n v="1"/>
    <n v="0"/>
    <x v="6"/>
    <s v="Teresa Rodríguez Herrera"/>
    <x v="3"/>
  </r>
  <r>
    <n v="240"/>
    <n v="7"/>
    <n v="5"/>
    <n v="146.44999999999999"/>
    <n v="14.65"/>
    <n v="0"/>
    <n v="0.1"/>
    <s v="ACTIVE"/>
    <m/>
    <s v=""/>
    <m/>
    <d v="2025-11-16T16:45:28"/>
    <d v="2025-11-16T00:00:00"/>
    <x v="1"/>
    <x v="0"/>
    <n v="1"/>
    <n v="0"/>
    <x v="7"/>
    <s v="Teresa Rodríguez Herrera"/>
    <x v="2"/>
  </r>
  <r>
    <n v="245"/>
    <n v="7"/>
    <n v="4"/>
    <n v="171.7"/>
    <n v="17.170000000000002"/>
    <n v="0"/>
    <n v="0.1"/>
    <s v="ACTIVE"/>
    <m/>
    <s v=""/>
    <m/>
    <d v="2025-11-17T08:50:47"/>
    <d v="2025-11-17T00:00:00"/>
    <x v="1"/>
    <x v="0"/>
    <n v="1"/>
    <n v="0"/>
    <x v="8"/>
    <s v="Teresa Rodríguez Herrera"/>
    <x v="3"/>
  </r>
  <r>
    <n v="269"/>
    <n v="7"/>
    <n v="4"/>
    <n v="96.77"/>
    <n v="9.68"/>
    <n v="0"/>
    <n v="0.1"/>
    <s v="ACTIVE"/>
    <m/>
    <s v=""/>
    <m/>
    <d v="2025-11-19T11:36:07"/>
    <d v="2025-11-19T00:00:00"/>
    <x v="1"/>
    <x v="0"/>
    <n v="1"/>
    <n v="0"/>
    <x v="9"/>
    <s v="Teresa Rodríguez Herrera"/>
    <x v="3"/>
  </r>
  <r>
    <n v="3"/>
    <n v="51"/>
    <n v="3"/>
    <n v="289.02999999999997"/>
    <n v="28.9"/>
    <n v="0"/>
    <n v="0.1"/>
    <s v="ACTIVE"/>
    <m/>
    <s v=""/>
    <m/>
    <d v="2025-10-21T08:37:12"/>
    <d v="2025-10-21T00:00:00"/>
    <x v="0"/>
    <x v="0"/>
    <n v="1"/>
    <n v="0"/>
    <x v="10"/>
    <s v="Sergio Rangel Ramos"/>
    <x v="0"/>
  </r>
  <r>
    <n v="94"/>
    <n v="51"/>
    <n v="4"/>
    <n v="164.7"/>
    <n v="16.47"/>
    <n v="0"/>
    <n v="0.1"/>
    <s v="ACTIVE"/>
    <m/>
    <s v=""/>
    <m/>
    <d v="2025-11-01T12:49:06"/>
    <d v="2025-11-01T00:00:00"/>
    <x v="1"/>
    <x v="0"/>
    <n v="1"/>
    <n v="0"/>
    <x v="11"/>
    <s v="Sergio Rangel Ramos"/>
    <x v="3"/>
  </r>
  <r>
    <n v="19"/>
    <n v="8"/>
    <n v="5"/>
    <n v="22.96"/>
    <n v="2.2999999999999998"/>
    <n v="0"/>
    <n v="0.1"/>
    <s v="ACTIVE"/>
    <m/>
    <s v=""/>
    <m/>
    <d v="2025-10-22T18:02:00"/>
    <d v="2025-10-22T00:00:00"/>
    <x v="0"/>
    <x v="0"/>
    <n v="1"/>
    <n v="0"/>
    <x v="12"/>
    <s v="Javier Zacatecas García"/>
    <x v="2"/>
  </r>
  <r>
    <n v="100"/>
    <n v="8"/>
    <n v="3"/>
    <n v="28.75"/>
    <n v="2.88"/>
    <n v="0"/>
    <n v="0.1"/>
    <s v="ACTIVE"/>
    <m/>
    <s v=""/>
    <m/>
    <d v="2025-11-02T08:04:05"/>
    <d v="2025-11-02T00:00:00"/>
    <x v="1"/>
    <x v="0"/>
    <n v="1"/>
    <n v="0"/>
    <x v="13"/>
    <s v="Javier Zacatecas García"/>
    <x v="0"/>
  </r>
  <r>
    <n v="206"/>
    <n v="8"/>
    <n v="3"/>
    <n v="32.909999999999997"/>
    <n v="3.29"/>
    <n v="0"/>
    <n v="0.1"/>
    <s v="ACTIVE"/>
    <m/>
    <s v=""/>
    <m/>
    <d v="2025-11-13T15:49:28"/>
    <d v="2025-11-13T00:00:00"/>
    <x v="1"/>
    <x v="0"/>
    <n v="1"/>
    <n v="0"/>
    <x v="14"/>
    <s v="Javier Zacatecas García"/>
    <x v="0"/>
  </r>
  <r>
    <n v="272"/>
    <n v="8"/>
    <n v="2"/>
    <n v="26.62"/>
    <n v="2.66"/>
    <n v="0"/>
    <n v="0.1"/>
    <s v="ACTIVE"/>
    <m/>
    <s v=""/>
    <m/>
    <d v="2025-11-19T17:05:41"/>
    <d v="2025-11-19T00:00:00"/>
    <x v="1"/>
    <x v="0"/>
    <n v="1"/>
    <n v="0"/>
    <x v="15"/>
    <s v="Javier Zacatecas García"/>
    <x v="1"/>
  </r>
  <r>
    <n v="4"/>
    <n v="27"/>
    <n v="4"/>
    <n v="65.28"/>
    <n v="6.53"/>
    <n v="0"/>
    <n v="0.1"/>
    <s v="ACTIVE"/>
    <m/>
    <s v=""/>
    <m/>
    <d v="2025-10-21T08:56:11"/>
    <d v="2025-10-21T00:00:00"/>
    <x v="0"/>
    <x v="0"/>
    <n v="1"/>
    <n v="0"/>
    <x v="16"/>
    <s v="Alicia Gutiérrez Quiñones"/>
    <x v="3"/>
  </r>
  <r>
    <n v="5"/>
    <n v="27"/>
    <n v="2"/>
    <n v="66.95"/>
    <n v="6.7"/>
    <n v="0"/>
    <n v="0.1"/>
    <s v="ACTIVE"/>
    <m/>
    <s v=""/>
    <m/>
    <d v="2025-10-21T09:06:46"/>
    <d v="2025-10-21T00:00:00"/>
    <x v="0"/>
    <x v="0"/>
    <n v="1"/>
    <n v="0"/>
    <x v="17"/>
    <s v="Alicia Gutiérrez Quiñones"/>
    <x v="1"/>
  </r>
  <r>
    <n v="143"/>
    <n v="27"/>
    <n v="2"/>
    <n v="97.63"/>
    <n v="9.76"/>
    <n v="0"/>
    <n v="0.1"/>
    <s v="ACTIVE"/>
    <m/>
    <s v=""/>
    <m/>
    <d v="2025-11-07T11:59:27"/>
    <d v="2025-11-07T00:00:00"/>
    <x v="1"/>
    <x v="0"/>
    <n v="1"/>
    <n v="0"/>
    <x v="18"/>
    <s v="Alicia Gutiérrez Quiñones"/>
    <x v="1"/>
  </r>
  <r>
    <n v="290"/>
    <n v="27"/>
    <n v="3"/>
    <n v="46.87"/>
    <n v="4.6900000000000004"/>
    <n v="0"/>
    <n v="0.1"/>
    <s v="ACTIVE"/>
    <m/>
    <s v=""/>
    <m/>
    <d v="2025-11-21T10:59:18"/>
    <d v="2025-11-21T00:00:00"/>
    <x v="1"/>
    <x v="0"/>
    <n v="1"/>
    <n v="0"/>
    <x v="19"/>
    <s v="Alicia Gutiérrez Quiñones"/>
    <x v="0"/>
  </r>
  <r>
    <n v="10"/>
    <n v="10"/>
    <n v="2"/>
    <n v="70.89"/>
    <n v="7.09"/>
    <n v="0"/>
    <n v="0.1"/>
    <s v="ACTIVE"/>
    <m/>
    <s v=""/>
    <m/>
    <d v="2025-10-21T17:00:15"/>
    <d v="2025-10-21T00:00:00"/>
    <x v="0"/>
    <x v="0"/>
    <n v="1"/>
    <n v="0"/>
    <x v="20"/>
    <s v="José Gómez Herrera"/>
    <x v="1"/>
  </r>
  <r>
    <n v="212"/>
    <n v="10"/>
    <n v="5"/>
    <n v="74.959999999999994"/>
    <n v="7.5"/>
    <n v="0"/>
    <n v="0.1"/>
    <s v="ACTIVE"/>
    <m/>
    <s v=""/>
    <m/>
    <d v="2025-11-14T12:47:37"/>
    <d v="2025-11-14T00:00:00"/>
    <x v="1"/>
    <x v="0"/>
    <n v="1"/>
    <n v="0"/>
    <x v="21"/>
    <s v="José Gómez Herrera"/>
    <x v="2"/>
  </r>
  <r>
    <n v="228"/>
    <n v="10"/>
    <n v="5"/>
    <n v="42.36"/>
    <n v="4.24"/>
    <n v="0"/>
    <n v="0.1"/>
    <s v="ACTIVE"/>
    <m/>
    <s v=""/>
    <m/>
    <d v="2025-11-15T14:54:21"/>
    <d v="2025-11-15T00:00:00"/>
    <x v="1"/>
    <x v="0"/>
    <n v="1"/>
    <n v="0"/>
    <x v="22"/>
    <s v="José Gómez Herrera"/>
    <x v="2"/>
  </r>
  <r>
    <n v="6"/>
    <n v="36"/>
    <n v="2"/>
    <n v="104.75"/>
    <n v="10.48"/>
    <n v="0"/>
    <n v="0.1"/>
    <s v="ACTIVE"/>
    <m/>
    <s v=""/>
    <m/>
    <d v="2025-10-21T09:17:49"/>
    <d v="2025-10-21T00:00:00"/>
    <x v="0"/>
    <x v="0"/>
    <n v="1"/>
    <n v="0"/>
    <x v="23"/>
    <s v="Sergio Delgado Herrera"/>
    <x v="1"/>
  </r>
  <r>
    <n v="42"/>
    <n v="36"/>
    <n v="4"/>
    <n v="282"/>
    <n v="28.2"/>
    <n v="0"/>
    <n v="0.1"/>
    <s v="ACTIVE"/>
    <m/>
    <s v=""/>
    <m/>
    <d v="2025-10-25T18:21:14"/>
    <d v="2025-10-25T00:00:00"/>
    <x v="0"/>
    <x v="0"/>
    <n v="1"/>
    <n v="0"/>
    <x v="24"/>
    <s v="Sergio Delgado Herrera"/>
    <x v="3"/>
  </r>
  <r>
    <n v="73"/>
    <n v="36"/>
    <n v="5"/>
    <n v="217.76"/>
    <n v="21.78"/>
    <n v="0"/>
    <n v="0.1"/>
    <s v="ACTIVE"/>
    <m/>
    <s v=""/>
    <m/>
    <d v="2025-10-30T09:58:24"/>
    <d v="2025-10-30T00:00:00"/>
    <x v="0"/>
    <x v="0"/>
    <n v="1"/>
    <n v="0"/>
    <x v="25"/>
    <s v="Sergio Delgado Herrera"/>
    <x v="2"/>
  </r>
  <r>
    <n v="52"/>
    <n v="11"/>
    <n v="2"/>
    <n v="94.72"/>
    <n v="9.4700000000000006"/>
    <n v="0"/>
    <n v="0.1"/>
    <s v="ACTIVE"/>
    <m/>
    <s v=""/>
    <m/>
    <d v="2025-10-27T14:42:33"/>
    <d v="2025-10-27T00:00:00"/>
    <x v="0"/>
    <x v="0"/>
    <n v="1"/>
    <n v="0"/>
    <x v="26"/>
    <s v="Guadalupe Pérez Rodríguez"/>
    <x v="1"/>
  </r>
  <r>
    <n v="92"/>
    <n v="11"/>
    <n v="2"/>
    <n v="247.05"/>
    <n v="24.71"/>
    <n v="0"/>
    <n v="0.1"/>
    <s v="ACTIVE"/>
    <m/>
    <s v=""/>
    <m/>
    <d v="2025-11-01T09:36:36"/>
    <d v="2025-11-01T00:00:00"/>
    <x v="1"/>
    <x v="0"/>
    <n v="1"/>
    <n v="0"/>
    <x v="27"/>
    <s v="Guadalupe Pérez Rodríguez"/>
    <x v="1"/>
  </r>
  <r>
    <n v="219"/>
    <n v="11"/>
    <n v="3"/>
    <n v="257.35000000000002"/>
    <n v="25.74"/>
    <n v="0"/>
    <n v="0.1"/>
    <s v="ACTIVE"/>
    <m/>
    <s v=""/>
    <m/>
    <d v="2025-11-14T17:55:10"/>
    <d v="2025-11-14T00:00:00"/>
    <x v="1"/>
    <x v="0"/>
    <n v="1"/>
    <n v="0"/>
    <x v="28"/>
    <s v="Guadalupe Pérez Rodríguez"/>
    <x v="0"/>
  </r>
  <r>
    <n v="7"/>
    <n v="44"/>
    <n v="5"/>
    <n v="25.04"/>
    <n v="2.5"/>
    <n v="0"/>
    <n v="0.1"/>
    <s v="ACTIVE"/>
    <m/>
    <s v=""/>
    <m/>
    <d v="2025-10-21T09:40:53"/>
    <d v="2025-10-21T00:00:00"/>
    <x v="0"/>
    <x v="0"/>
    <n v="1"/>
    <n v="0"/>
    <x v="29"/>
    <s v="Pedro Herrera Castillo"/>
    <x v="2"/>
  </r>
  <r>
    <n v="27"/>
    <n v="44"/>
    <n v="3"/>
    <n v="40.229999999999997"/>
    <n v="4.0199999999999996"/>
    <n v="0"/>
    <n v="0.1"/>
    <s v="ACTIVE"/>
    <m/>
    <s v=""/>
    <m/>
    <d v="2025-10-24T11:12:05"/>
    <d v="2025-10-24T00:00:00"/>
    <x v="0"/>
    <x v="0"/>
    <n v="1"/>
    <n v="0"/>
    <x v="30"/>
    <s v="Pedro Herrera Castillo"/>
    <x v="0"/>
  </r>
  <r>
    <n v="31"/>
    <n v="44"/>
    <n v="2"/>
    <n v="20.96"/>
    <n v="2.1"/>
    <n v="0"/>
    <n v="0.1"/>
    <s v="ACTIVE"/>
    <m/>
    <s v=""/>
    <m/>
    <d v="2025-10-24T18:32:29"/>
    <d v="2025-10-24T00:00:00"/>
    <x v="0"/>
    <x v="0"/>
    <n v="1"/>
    <n v="0"/>
    <x v="31"/>
    <s v="Pedro Herrera Castillo"/>
    <x v="1"/>
  </r>
  <r>
    <n v="49"/>
    <n v="44"/>
    <n v="2"/>
    <n v="36.06"/>
    <n v="3.61"/>
    <n v="0"/>
    <n v="0.1"/>
    <s v="CANCELED"/>
    <n v="5"/>
    <s v="Monto duplicado por error de sistema"/>
    <d v="2025-10-29T06:28:16"/>
    <d v="2025-10-27T09:28:16"/>
    <d v="2025-10-27T00:00:00"/>
    <x v="0"/>
    <x v="0"/>
    <n v="1"/>
    <n v="1"/>
    <x v="32"/>
    <s v="Pedro Herrera Castillo"/>
    <x v="1"/>
  </r>
  <r>
    <n v="56"/>
    <n v="44"/>
    <n v="3"/>
    <n v="18.809999999999999"/>
    <n v="1.88"/>
    <n v="0"/>
    <n v="0.1"/>
    <s v="ACTIVE"/>
    <m/>
    <s v=""/>
    <m/>
    <d v="2025-10-28T11:45:22"/>
    <d v="2025-10-28T00:00:00"/>
    <x v="0"/>
    <x v="0"/>
    <n v="1"/>
    <n v="0"/>
    <x v="33"/>
    <s v="Pedro Herrera Castillo"/>
    <x v="0"/>
  </r>
  <r>
    <n v="161"/>
    <n v="44"/>
    <n v="5"/>
    <n v="25.05"/>
    <n v="2.5099999999999998"/>
    <n v="0"/>
    <n v="0.1"/>
    <s v="ACTIVE"/>
    <m/>
    <s v=""/>
    <m/>
    <d v="2025-11-08T15:00:04"/>
    <d v="2025-11-08T00:00:00"/>
    <x v="1"/>
    <x v="0"/>
    <n v="1"/>
    <n v="0"/>
    <x v="34"/>
    <s v="Pedro Herrera Castillo"/>
    <x v="2"/>
  </r>
  <r>
    <n v="176"/>
    <n v="44"/>
    <n v="3"/>
    <n v="50.69"/>
    <n v="5.07"/>
    <n v="0"/>
    <n v="0.1"/>
    <s v="ACTIVE"/>
    <m/>
    <s v=""/>
    <m/>
    <d v="2025-11-10T11:40:32"/>
    <d v="2025-11-10T00:00:00"/>
    <x v="1"/>
    <x v="0"/>
    <n v="1"/>
    <n v="0"/>
    <x v="35"/>
    <s v="Pedro Herrera Castillo"/>
    <x v="0"/>
  </r>
  <r>
    <n v="229"/>
    <n v="44"/>
    <n v="3"/>
    <n v="15.74"/>
    <n v="1.57"/>
    <n v="0"/>
    <n v="0.1"/>
    <s v="ACTIVE"/>
    <m/>
    <s v=""/>
    <m/>
    <d v="2025-11-15T15:47:51"/>
    <d v="2025-11-15T00:00:00"/>
    <x v="1"/>
    <x v="0"/>
    <n v="1"/>
    <n v="0"/>
    <x v="36"/>
    <s v="Pedro Herrera Castillo"/>
    <x v="0"/>
  </r>
  <r>
    <n v="233"/>
    <n v="44"/>
    <n v="3"/>
    <n v="58.09"/>
    <n v="5.81"/>
    <n v="0"/>
    <n v="0.1"/>
    <s v="CANCELED"/>
    <n v="5"/>
    <s v="Solicitud del cliente"/>
    <d v="2025-11-16T12:30:20"/>
    <d v="2025-11-15T18:30:20"/>
    <d v="2025-11-15T00:00:00"/>
    <x v="1"/>
    <x v="0"/>
    <n v="1"/>
    <n v="1"/>
    <x v="32"/>
    <s v="Pedro Herrera Castillo"/>
    <x v="0"/>
  </r>
  <r>
    <n v="258"/>
    <n v="44"/>
    <n v="4"/>
    <n v="46.46"/>
    <n v="4.6500000000000004"/>
    <n v="0"/>
    <n v="0.1"/>
    <s v="ACTIVE"/>
    <m/>
    <s v=""/>
    <m/>
    <d v="2025-11-18T11:48:26"/>
    <d v="2025-11-18T00:00:00"/>
    <x v="1"/>
    <x v="0"/>
    <n v="1"/>
    <n v="0"/>
    <x v="37"/>
    <s v="Pedro Herrera Castillo"/>
    <x v="3"/>
  </r>
  <r>
    <n v="283"/>
    <n v="44"/>
    <n v="5"/>
    <n v="74.510000000000005"/>
    <n v="7.45"/>
    <n v="0"/>
    <n v="0.1"/>
    <s v="ACTIVE"/>
    <m/>
    <s v=""/>
    <m/>
    <d v="2025-11-20T15:58:29"/>
    <d v="2025-11-20T00:00:00"/>
    <x v="1"/>
    <x v="0"/>
    <n v="1"/>
    <n v="0"/>
    <x v="38"/>
    <s v="Pedro Herrera Castillo"/>
    <x v="2"/>
  </r>
  <r>
    <n v="289"/>
    <n v="44"/>
    <n v="5"/>
    <n v="23.21"/>
    <n v="2.3199999999999998"/>
    <n v="0"/>
    <n v="0.1"/>
    <s v="ACTIVE"/>
    <m/>
    <s v=""/>
    <m/>
    <d v="2025-11-21T10:30:44"/>
    <d v="2025-11-21T00:00:00"/>
    <x v="1"/>
    <x v="0"/>
    <n v="1"/>
    <n v="0"/>
    <x v="39"/>
    <s v="Pedro Herrera Castillo"/>
    <x v="2"/>
  </r>
  <r>
    <n v="299"/>
    <n v="44"/>
    <n v="3"/>
    <n v="38.32"/>
    <n v="3.83"/>
    <n v="0"/>
    <n v="0.1"/>
    <s v="ACTIVE"/>
    <m/>
    <s v=""/>
    <m/>
    <d v="2025-11-22T08:16:49"/>
    <d v="2025-11-22T00:00:00"/>
    <x v="1"/>
    <x v="0"/>
    <n v="1"/>
    <n v="0"/>
    <x v="40"/>
    <s v="Pedro Herrera Castillo"/>
    <x v="0"/>
  </r>
  <r>
    <n v="104"/>
    <n v="12"/>
    <n v="2"/>
    <n v="28.32"/>
    <n v="2.83"/>
    <n v="0"/>
    <n v="0.1"/>
    <s v="ACTIVE"/>
    <m/>
    <s v=""/>
    <m/>
    <d v="2025-11-02T17:58:26"/>
    <d v="2025-11-02T00:00:00"/>
    <x v="1"/>
    <x v="0"/>
    <n v="1"/>
    <n v="0"/>
    <x v="41"/>
    <s v="Rosa Gutiérrez Martínez"/>
    <x v="1"/>
  </r>
  <r>
    <n v="142"/>
    <n v="12"/>
    <n v="4"/>
    <n v="38.58"/>
    <n v="3.86"/>
    <n v="0"/>
    <n v="0.1"/>
    <s v="ACTIVE"/>
    <m/>
    <s v=""/>
    <m/>
    <d v="2025-11-07T11:29:39"/>
    <d v="2025-11-07T00:00:00"/>
    <x v="1"/>
    <x v="0"/>
    <n v="1"/>
    <n v="0"/>
    <x v="42"/>
    <s v="Rosa Gutiérrez Martínez"/>
    <x v="3"/>
  </r>
  <r>
    <n v="167"/>
    <n v="12"/>
    <n v="5"/>
    <n v="30.61"/>
    <n v="3.06"/>
    <n v="0"/>
    <n v="0.1"/>
    <s v="ACTIVE"/>
    <m/>
    <s v=""/>
    <m/>
    <d v="2025-11-08T17:14:30"/>
    <d v="2025-11-08T00:00:00"/>
    <x v="1"/>
    <x v="0"/>
    <n v="1"/>
    <n v="0"/>
    <x v="43"/>
    <s v="Rosa Gutiérrez Martínez"/>
    <x v="2"/>
  </r>
  <r>
    <n v="8"/>
    <n v="47"/>
    <n v="2"/>
    <n v="30.71"/>
    <n v="3.07"/>
    <n v="0"/>
    <n v="0.1"/>
    <s v="ACTIVE"/>
    <m/>
    <s v=""/>
    <m/>
    <d v="2025-10-21T12:57:00"/>
    <d v="2025-10-21T00:00:00"/>
    <x v="0"/>
    <x v="0"/>
    <n v="1"/>
    <n v="0"/>
    <x v="44"/>
    <s v="Carmen Díaz Chávez"/>
    <x v="1"/>
  </r>
  <r>
    <n v="29"/>
    <n v="47"/>
    <n v="5"/>
    <n v="29.6"/>
    <n v="2.96"/>
    <n v="0"/>
    <n v="0.1"/>
    <s v="ACTIVE"/>
    <m/>
    <s v=""/>
    <m/>
    <d v="2025-10-24T12:57:30"/>
    <d v="2025-10-24T00:00:00"/>
    <x v="0"/>
    <x v="0"/>
    <n v="1"/>
    <n v="0"/>
    <x v="45"/>
    <s v="Carmen Díaz Chávez"/>
    <x v="2"/>
  </r>
  <r>
    <n v="185"/>
    <n v="47"/>
    <n v="3"/>
    <n v="33.43"/>
    <n v="3.34"/>
    <n v="0"/>
    <n v="0.1"/>
    <s v="ACTIVE"/>
    <m/>
    <s v=""/>
    <m/>
    <d v="2025-11-11T15:13:04"/>
    <d v="2025-11-11T00:00:00"/>
    <x v="1"/>
    <x v="0"/>
    <n v="1"/>
    <n v="0"/>
    <x v="46"/>
    <s v="Carmen Díaz Chávez"/>
    <x v="0"/>
  </r>
  <r>
    <n v="244"/>
    <n v="47"/>
    <n v="3"/>
    <n v="24.71"/>
    <n v="2.4700000000000002"/>
    <n v="0"/>
    <n v="0.1"/>
    <s v="ACTIVE"/>
    <m/>
    <s v=""/>
    <m/>
    <d v="2025-11-17T08:44:04"/>
    <d v="2025-11-17T00:00:00"/>
    <x v="1"/>
    <x v="0"/>
    <n v="1"/>
    <n v="0"/>
    <x v="47"/>
    <s v="Carmen Díaz Chávez"/>
    <x v="0"/>
  </r>
  <r>
    <n v="279"/>
    <n v="47"/>
    <n v="2"/>
    <n v="40.33"/>
    <n v="4.03"/>
    <n v="0"/>
    <n v="0.1"/>
    <s v="ACTIVE"/>
    <m/>
    <s v=""/>
    <m/>
    <d v="2025-11-20T10:23:57"/>
    <d v="2025-11-20T00:00:00"/>
    <x v="1"/>
    <x v="0"/>
    <n v="1"/>
    <n v="0"/>
    <x v="48"/>
    <s v="Carmen Díaz Chávez"/>
    <x v="1"/>
  </r>
  <r>
    <n v="300"/>
    <n v="47"/>
    <n v="4"/>
    <n v="33"/>
    <n v="3.3"/>
    <n v="0"/>
    <n v="0.1"/>
    <s v="CANCELED"/>
    <n v="5"/>
    <s v="Cliente canceló la operación"/>
    <d v="2025-11-24T04:48:15"/>
    <d v="2025-11-22T08:48:15"/>
    <d v="2025-11-22T00:00:00"/>
    <x v="1"/>
    <x v="0"/>
    <n v="1"/>
    <n v="1"/>
    <x v="32"/>
    <s v="Carmen Díaz Chávez"/>
    <x v="3"/>
  </r>
  <r>
    <n v="119"/>
    <n v="13"/>
    <n v="5"/>
    <n v="32.31"/>
    <n v="3.23"/>
    <n v="0"/>
    <n v="0.1"/>
    <s v="ACTIVE"/>
    <m/>
    <s v=""/>
    <m/>
    <d v="2025-11-04T10:37:07"/>
    <d v="2025-11-04T00:00:00"/>
    <x v="1"/>
    <x v="0"/>
    <n v="1"/>
    <n v="0"/>
    <x v="49"/>
    <s v="Laura Rodríguez Quiñones"/>
    <x v="2"/>
  </r>
  <r>
    <n v="165"/>
    <n v="13"/>
    <n v="3"/>
    <n v="37.450000000000003"/>
    <n v="3.75"/>
    <n v="0"/>
    <n v="0.1"/>
    <s v="ACTIVE"/>
    <m/>
    <s v=""/>
    <m/>
    <d v="2025-11-08T17:02:07"/>
    <d v="2025-11-08T00:00:00"/>
    <x v="1"/>
    <x v="0"/>
    <n v="1"/>
    <n v="0"/>
    <x v="50"/>
    <s v="Laura Rodríguez Quiñones"/>
    <x v="0"/>
  </r>
  <r>
    <n v="225"/>
    <n v="13"/>
    <n v="4"/>
    <n v="37.71"/>
    <n v="3.77"/>
    <n v="0"/>
    <n v="0.1"/>
    <s v="ACTIVE"/>
    <m/>
    <s v=""/>
    <m/>
    <d v="2025-11-15T09:31:12"/>
    <d v="2025-11-15T00:00:00"/>
    <x v="1"/>
    <x v="0"/>
    <n v="1"/>
    <n v="0"/>
    <x v="51"/>
    <s v="Laura Rodríguez Quiñones"/>
    <x v="3"/>
  </r>
  <r>
    <n v="255"/>
    <n v="13"/>
    <n v="4"/>
    <n v="31.27"/>
    <n v="3.13"/>
    <n v="0"/>
    <n v="0.1"/>
    <s v="ACTIVE"/>
    <m/>
    <s v=""/>
    <m/>
    <d v="2025-11-17T19:28:52"/>
    <d v="2025-11-17T00:00:00"/>
    <x v="1"/>
    <x v="0"/>
    <n v="1"/>
    <n v="0"/>
    <x v="52"/>
    <s v="Laura Rodríguez Quiñones"/>
    <x v="3"/>
  </r>
  <r>
    <n v="9"/>
    <n v="16"/>
    <n v="2"/>
    <n v="182.33"/>
    <n v="18.23"/>
    <n v="0"/>
    <n v="0.1"/>
    <s v="ACTIVE"/>
    <m/>
    <s v=""/>
    <m/>
    <d v="2025-10-21T16:32:51"/>
    <d v="2025-10-21T00:00:00"/>
    <x v="0"/>
    <x v="0"/>
    <n v="1"/>
    <n v="0"/>
    <x v="53"/>
    <s v="Laura Chávez Rangel"/>
    <x v="1"/>
  </r>
  <r>
    <n v="20"/>
    <n v="16"/>
    <n v="4"/>
    <n v="180.72"/>
    <n v="18.07"/>
    <n v="0"/>
    <n v="0.1"/>
    <s v="ACTIVE"/>
    <m/>
    <s v=""/>
    <m/>
    <d v="2025-10-23T09:12:16"/>
    <d v="2025-10-23T00:00:00"/>
    <x v="0"/>
    <x v="0"/>
    <n v="1"/>
    <n v="0"/>
    <x v="54"/>
    <s v="Laura Chávez Rangel"/>
    <x v="3"/>
  </r>
  <r>
    <n v="34"/>
    <n v="16"/>
    <n v="4"/>
    <n v="260.54000000000002"/>
    <n v="26.05"/>
    <n v="0"/>
    <n v="0.1"/>
    <s v="ACTIVE"/>
    <m/>
    <s v=""/>
    <m/>
    <d v="2025-10-25T08:50:00"/>
    <d v="2025-10-25T00:00:00"/>
    <x v="0"/>
    <x v="0"/>
    <n v="1"/>
    <n v="0"/>
    <x v="55"/>
    <s v="Laura Chávez Rangel"/>
    <x v="3"/>
  </r>
  <r>
    <n v="60"/>
    <n v="16"/>
    <n v="2"/>
    <n v="134.36000000000001"/>
    <n v="13.44"/>
    <n v="0"/>
    <n v="0.1"/>
    <s v="ACTIVE"/>
    <m/>
    <s v=""/>
    <m/>
    <d v="2025-10-28T15:51:24"/>
    <d v="2025-10-28T00:00:00"/>
    <x v="0"/>
    <x v="0"/>
    <n v="1"/>
    <n v="0"/>
    <x v="56"/>
    <s v="Laura Chávez Rangel"/>
    <x v="1"/>
  </r>
  <r>
    <n v="138"/>
    <n v="16"/>
    <n v="3"/>
    <n v="262.82"/>
    <n v="26.28"/>
    <n v="0"/>
    <n v="0.1"/>
    <s v="ACTIVE"/>
    <m/>
    <s v=""/>
    <m/>
    <d v="2025-11-07T08:37:00"/>
    <d v="2025-11-07T00:00:00"/>
    <x v="1"/>
    <x v="0"/>
    <n v="1"/>
    <n v="0"/>
    <x v="57"/>
    <s v="Laura Chávez Rangel"/>
    <x v="0"/>
  </r>
  <r>
    <n v="179"/>
    <n v="16"/>
    <n v="3"/>
    <n v="153.46"/>
    <n v="15.35"/>
    <n v="0"/>
    <n v="0.1"/>
    <s v="ACTIVE"/>
    <m/>
    <s v=""/>
    <m/>
    <d v="2025-11-10T13:43:23"/>
    <d v="2025-11-10T00:00:00"/>
    <x v="1"/>
    <x v="0"/>
    <n v="1"/>
    <n v="0"/>
    <x v="58"/>
    <s v="Laura Chávez Rangel"/>
    <x v="0"/>
  </r>
  <r>
    <n v="183"/>
    <n v="16"/>
    <n v="5"/>
    <n v="172.44"/>
    <n v="17.239999999999998"/>
    <n v="0"/>
    <n v="0.1"/>
    <s v="ACTIVE"/>
    <m/>
    <s v=""/>
    <m/>
    <d v="2025-11-11T14:15:49"/>
    <d v="2025-11-11T00:00:00"/>
    <x v="1"/>
    <x v="0"/>
    <n v="1"/>
    <n v="0"/>
    <x v="59"/>
    <s v="Laura Chávez Rangel"/>
    <x v="2"/>
  </r>
  <r>
    <n v="230"/>
    <n v="16"/>
    <n v="5"/>
    <n v="201.86"/>
    <n v="20.190000000000001"/>
    <n v="0"/>
    <n v="0.1"/>
    <s v="ACTIVE"/>
    <m/>
    <s v=""/>
    <m/>
    <d v="2025-11-15T15:50:07"/>
    <d v="2025-11-15T00:00:00"/>
    <x v="1"/>
    <x v="0"/>
    <n v="1"/>
    <n v="0"/>
    <x v="60"/>
    <s v="Laura Chávez Rangel"/>
    <x v="2"/>
  </r>
  <r>
    <n v="235"/>
    <n v="16"/>
    <n v="5"/>
    <n v="211.1"/>
    <n v="21.11"/>
    <n v="0"/>
    <n v="0.1"/>
    <s v="ACTIVE"/>
    <m/>
    <s v=""/>
    <m/>
    <d v="2025-11-16T09:06:06"/>
    <d v="2025-11-16T00:00:00"/>
    <x v="1"/>
    <x v="0"/>
    <n v="1"/>
    <n v="0"/>
    <x v="61"/>
    <s v="Laura Chávez Rangel"/>
    <x v="2"/>
  </r>
  <r>
    <n v="236"/>
    <n v="16"/>
    <n v="2"/>
    <n v="220.47"/>
    <n v="22.05"/>
    <n v="0"/>
    <n v="0.1"/>
    <s v="ACTIVE"/>
    <m/>
    <s v=""/>
    <m/>
    <d v="2025-11-16T09:13:27"/>
    <d v="2025-11-16T00:00:00"/>
    <x v="1"/>
    <x v="0"/>
    <n v="1"/>
    <n v="0"/>
    <x v="62"/>
    <s v="Laura Chávez Rangel"/>
    <x v="1"/>
  </r>
  <r>
    <n v="266"/>
    <n v="16"/>
    <n v="4"/>
    <n v="248.53"/>
    <n v="24.85"/>
    <n v="0"/>
    <n v="0.1"/>
    <s v="ACTIVE"/>
    <m/>
    <s v=""/>
    <m/>
    <d v="2025-11-19T09:48:02"/>
    <d v="2025-11-19T00:00:00"/>
    <x v="1"/>
    <x v="0"/>
    <n v="1"/>
    <n v="0"/>
    <x v="63"/>
    <s v="Laura Chávez Rangel"/>
    <x v="3"/>
  </r>
  <r>
    <n v="45"/>
    <n v="15"/>
    <n v="3"/>
    <n v="74.02"/>
    <n v="7.4"/>
    <n v="0"/>
    <n v="0.1"/>
    <s v="ACTIVE"/>
    <m/>
    <s v=""/>
    <m/>
    <d v="2025-10-26T15:52:03"/>
    <d v="2025-10-26T00:00:00"/>
    <x v="0"/>
    <x v="0"/>
    <n v="1"/>
    <n v="0"/>
    <x v="64"/>
    <s v="Javier Ramos Rodríguez"/>
    <x v="0"/>
  </r>
  <r>
    <n v="155"/>
    <n v="15"/>
    <n v="4"/>
    <n v="93.95"/>
    <n v="9.4"/>
    <n v="0"/>
    <n v="0.1"/>
    <s v="ACTIVE"/>
    <m/>
    <s v=""/>
    <m/>
    <d v="2025-11-08T11:18:32"/>
    <d v="2025-11-08T00:00:00"/>
    <x v="1"/>
    <x v="0"/>
    <n v="1"/>
    <n v="0"/>
    <x v="65"/>
    <s v="Javier Ramos Rodríguez"/>
    <x v="3"/>
  </r>
  <r>
    <n v="11"/>
    <n v="31"/>
    <n v="3"/>
    <n v="28.96"/>
    <n v="2.9"/>
    <n v="0"/>
    <n v="0.1"/>
    <s v="ACTIVE"/>
    <m/>
    <s v=""/>
    <m/>
    <d v="2025-10-21T19:00:00"/>
    <d v="2025-10-21T00:00:00"/>
    <x v="0"/>
    <x v="0"/>
    <n v="1"/>
    <n v="0"/>
    <x v="66"/>
    <s v="Óscar Zacatecas Reyes"/>
    <x v="0"/>
  </r>
  <r>
    <n v="69"/>
    <n v="31"/>
    <n v="5"/>
    <n v="13.17"/>
    <n v="1.32"/>
    <n v="0"/>
    <n v="0.1"/>
    <s v="ACTIVE"/>
    <m/>
    <s v=""/>
    <m/>
    <d v="2025-10-29T17:21:21"/>
    <d v="2025-10-29T00:00:00"/>
    <x v="0"/>
    <x v="0"/>
    <n v="1"/>
    <n v="0"/>
    <x v="67"/>
    <s v="Óscar Zacatecas Reyes"/>
    <x v="2"/>
  </r>
  <r>
    <n v="175"/>
    <n v="31"/>
    <n v="3"/>
    <n v="26.44"/>
    <n v="2.64"/>
    <n v="0"/>
    <n v="0.1"/>
    <s v="ACTIVE"/>
    <m/>
    <s v=""/>
    <m/>
    <d v="2025-11-10T10:08:26"/>
    <d v="2025-11-10T00:00:00"/>
    <x v="1"/>
    <x v="0"/>
    <n v="1"/>
    <n v="0"/>
    <x v="68"/>
    <s v="Óscar Zacatecas Reyes"/>
    <x v="0"/>
  </r>
  <r>
    <n v="268"/>
    <n v="31"/>
    <n v="2"/>
    <n v="21.9"/>
    <n v="2.19"/>
    <n v="0"/>
    <n v="0.1"/>
    <s v="ACTIVE"/>
    <m/>
    <s v=""/>
    <m/>
    <d v="2025-11-19T11:23:39"/>
    <d v="2025-11-19T00:00:00"/>
    <x v="1"/>
    <x v="0"/>
    <n v="1"/>
    <n v="0"/>
    <x v="69"/>
    <s v="Óscar Zacatecas Reyes"/>
    <x v="1"/>
  </r>
  <r>
    <n v="12"/>
    <n v="39"/>
    <n v="2"/>
    <n v="185.25"/>
    <n v="18.53"/>
    <n v="0"/>
    <n v="0.1"/>
    <s v="ACTIVE"/>
    <m/>
    <s v=""/>
    <m/>
    <d v="2025-10-22T09:14:52"/>
    <d v="2025-10-22T00:00:00"/>
    <x v="0"/>
    <x v="0"/>
    <n v="1"/>
    <n v="0"/>
    <x v="70"/>
    <s v="Guadalupe García Quiñones"/>
    <x v="1"/>
  </r>
  <r>
    <n v="16"/>
    <n v="39"/>
    <n v="5"/>
    <n v="260.45"/>
    <n v="26.05"/>
    <n v="0"/>
    <n v="0.1"/>
    <s v="ACTIVE"/>
    <m/>
    <s v=""/>
    <m/>
    <d v="2025-10-22T15:49:31"/>
    <d v="2025-10-22T00:00:00"/>
    <x v="0"/>
    <x v="0"/>
    <n v="1"/>
    <n v="0"/>
    <x v="71"/>
    <s v="Guadalupe García Quiñones"/>
    <x v="2"/>
  </r>
  <r>
    <n v="40"/>
    <n v="39"/>
    <n v="2"/>
    <n v="210.81"/>
    <n v="21.08"/>
    <n v="0"/>
    <n v="0.1"/>
    <s v="ACTIVE"/>
    <m/>
    <s v=""/>
    <m/>
    <d v="2025-10-25T15:42:25"/>
    <d v="2025-10-25T00:00:00"/>
    <x v="0"/>
    <x v="0"/>
    <n v="1"/>
    <n v="0"/>
    <x v="72"/>
    <s v="Guadalupe García Quiñones"/>
    <x v="1"/>
  </r>
  <r>
    <n v="55"/>
    <n v="39"/>
    <n v="3"/>
    <n v="225.31"/>
    <n v="22.53"/>
    <n v="0"/>
    <n v="0.1"/>
    <s v="ACTIVE"/>
    <m/>
    <s v=""/>
    <m/>
    <d v="2025-10-28T09:11:52"/>
    <d v="2025-10-28T00:00:00"/>
    <x v="0"/>
    <x v="0"/>
    <n v="1"/>
    <n v="0"/>
    <x v="73"/>
    <s v="Guadalupe García Quiñones"/>
    <x v="0"/>
  </r>
  <r>
    <n v="57"/>
    <n v="39"/>
    <n v="2"/>
    <n v="300"/>
    <n v="30"/>
    <n v="0"/>
    <n v="0.1"/>
    <s v="ACTIVE"/>
    <m/>
    <s v=""/>
    <m/>
    <d v="2025-10-28T12:42:36"/>
    <d v="2025-10-28T00:00:00"/>
    <x v="0"/>
    <x v="0"/>
    <n v="1"/>
    <n v="0"/>
    <x v="74"/>
    <s v="Guadalupe García Quiñones"/>
    <x v="1"/>
  </r>
  <r>
    <n v="58"/>
    <n v="39"/>
    <n v="2"/>
    <n v="300"/>
    <n v="30"/>
    <n v="0"/>
    <n v="0.1"/>
    <s v="ACTIVE"/>
    <m/>
    <s v=""/>
    <m/>
    <d v="2025-10-28T14:53:28"/>
    <d v="2025-10-28T00:00:00"/>
    <x v="0"/>
    <x v="0"/>
    <n v="1"/>
    <n v="0"/>
    <x v="74"/>
    <s v="Guadalupe García Quiñones"/>
    <x v="1"/>
  </r>
  <r>
    <n v="82"/>
    <n v="39"/>
    <n v="4"/>
    <n v="239.9"/>
    <n v="23.99"/>
    <n v="0"/>
    <n v="0.1"/>
    <s v="ACTIVE"/>
    <m/>
    <s v=""/>
    <m/>
    <d v="2025-10-31T09:21:53"/>
    <d v="2025-10-31T00:00:00"/>
    <x v="0"/>
    <x v="0"/>
    <n v="1"/>
    <n v="0"/>
    <x v="75"/>
    <s v="Guadalupe García Quiñones"/>
    <x v="3"/>
  </r>
  <r>
    <n v="85"/>
    <n v="39"/>
    <n v="3"/>
    <n v="235.51"/>
    <n v="23.55"/>
    <n v="0"/>
    <n v="0.1"/>
    <s v="ACTIVE"/>
    <m/>
    <s v=""/>
    <m/>
    <d v="2025-10-31T14:10:39"/>
    <d v="2025-10-31T00:00:00"/>
    <x v="0"/>
    <x v="0"/>
    <n v="1"/>
    <n v="0"/>
    <x v="76"/>
    <s v="Guadalupe García Quiñones"/>
    <x v="0"/>
  </r>
  <r>
    <n v="86"/>
    <n v="39"/>
    <n v="2"/>
    <n v="149.69999999999999"/>
    <n v="14.97"/>
    <n v="0"/>
    <n v="0.1"/>
    <s v="ACTIVE"/>
    <m/>
    <s v=""/>
    <m/>
    <d v="2025-10-31T15:26:05"/>
    <d v="2025-10-31T00:00:00"/>
    <x v="0"/>
    <x v="0"/>
    <n v="1"/>
    <n v="0"/>
    <x v="77"/>
    <s v="Guadalupe García Quiñones"/>
    <x v="1"/>
  </r>
  <r>
    <n v="88"/>
    <n v="39"/>
    <n v="2"/>
    <n v="80"/>
    <n v="0"/>
    <n v="1"/>
    <n v="0.1"/>
    <s v="ACTIVE"/>
    <m/>
    <s v=""/>
    <m/>
    <d v="2025-10-31T15:55:58"/>
    <d v="2025-10-31T00:00:00"/>
    <x v="0"/>
    <x v="1"/>
    <n v="1"/>
    <n v="0"/>
    <x v="78"/>
    <s v="Guadalupe García Quiñones"/>
    <x v="1"/>
  </r>
  <r>
    <n v="98"/>
    <n v="39"/>
    <n v="4"/>
    <n v="161.05000000000001"/>
    <n v="16.11"/>
    <n v="0"/>
    <n v="0.1"/>
    <s v="ACTIVE"/>
    <m/>
    <s v=""/>
    <m/>
    <d v="2025-11-01T17:20:15"/>
    <d v="2025-11-01T00:00:00"/>
    <x v="1"/>
    <x v="0"/>
    <n v="1"/>
    <n v="0"/>
    <x v="79"/>
    <s v="Guadalupe García Quiñones"/>
    <x v="3"/>
  </r>
  <r>
    <n v="107"/>
    <n v="39"/>
    <n v="2"/>
    <n v="111.21"/>
    <n v="11.12"/>
    <n v="0"/>
    <n v="0.1"/>
    <s v="ACTIVE"/>
    <m/>
    <s v=""/>
    <m/>
    <d v="2025-11-03T08:23:53"/>
    <d v="2025-11-03T00:00:00"/>
    <x v="1"/>
    <x v="0"/>
    <n v="1"/>
    <n v="0"/>
    <x v="80"/>
    <s v="Guadalupe García Quiñones"/>
    <x v="1"/>
  </r>
  <r>
    <n v="125"/>
    <n v="39"/>
    <n v="5"/>
    <n v="169.47"/>
    <n v="16.95"/>
    <n v="0"/>
    <n v="0.1"/>
    <s v="ACTIVE"/>
    <m/>
    <s v=""/>
    <m/>
    <d v="2025-11-04T16:53:39"/>
    <d v="2025-11-04T00:00:00"/>
    <x v="1"/>
    <x v="0"/>
    <n v="1"/>
    <n v="0"/>
    <x v="81"/>
    <s v="Guadalupe García Quiñones"/>
    <x v="2"/>
  </r>
  <r>
    <n v="128"/>
    <n v="39"/>
    <n v="5"/>
    <n v="182.24"/>
    <n v="18.22"/>
    <n v="0"/>
    <n v="0.1"/>
    <s v="ACTIVE"/>
    <m/>
    <s v=""/>
    <m/>
    <d v="2025-11-05T08:27:33"/>
    <d v="2025-11-05T00:00:00"/>
    <x v="1"/>
    <x v="0"/>
    <n v="1"/>
    <n v="0"/>
    <x v="82"/>
    <s v="Guadalupe García Quiñones"/>
    <x v="2"/>
  </r>
  <r>
    <n v="137"/>
    <n v="39"/>
    <n v="4"/>
    <n v="238.54"/>
    <n v="23.85"/>
    <n v="0"/>
    <n v="0.1"/>
    <s v="ACTIVE"/>
    <m/>
    <s v=""/>
    <m/>
    <d v="2025-11-06T15:07:28"/>
    <d v="2025-11-06T00:00:00"/>
    <x v="1"/>
    <x v="0"/>
    <n v="1"/>
    <n v="0"/>
    <x v="83"/>
    <s v="Guadalupe García Quiñones"/>
    <x v="3"/>
  </r>
  <r>
    <n v="140"/>
    <n v="39"/>
    <n v="4"/>
    <n v="219.96"/>
    <n v="22"/>
    <n v="0"/>
    <n v="0.1"/>
    <s v="ACTIVE"/>
    <m/>
    <s v=""/>
    <m/>
    <d v="2025-11-07T10:34:48"/>
    <d v="2025-11-07T00:00:00"/>
    <x v="1"/>
    <x v="0"/>
    <n v="1"/>
    <n v="0"/>
    <x v="84"/>
    <s v="Guadalupe García Quiñones"/>
    <x v="3"/>
  </r>
  <r>
    <n v="145"/>
    <n v="39"/>
    <n v="3"/>
    <n v="167.92"/>
    <n v="16.79"/>
    <n v="0"/>
    <n v="0.1"/>
    <s v="ACTIVE"/>
    <m/>
    <s v=""/>
    <m/>
    <d v="2025-11-07T13:11:06"/>
    <d v="2025-11-07T00:00:00"/>
    <x v="1"/>
    <x v="0"/>
    <n v="1"/>
    <n v="0"/>
    <x v="85"/>
    <s v="Guadalupe García Quiñones"/>
    <x v="0"/>
  </r>
  <r>
    <n v="159"/>
    <n v="39"/>
    <n v="3"/>
    <n v="162.96"/>
    <n v="16.3"/>
    <n v="0"/>
    <n v="0.1"/>
    <s v="ACTIVE"/>
    <m/>
    <s v=""/>
    <m/>
    <d v="2025-11-08T13:44:07"/>
    <d v="2025-11-08T00:00:00"/>
    <x v="1"/>
    <x v="0"/>
    <n v="1"/>
    <n v="0"/>
    <x v="86"/>
    <s v="Guadalupe García Quiñones"/>
    <x v="0"/>
  </r>
  <r>
    <n v="168"/>
    <n v="39"/>
    <n v="5"/>
    <n v="147.51"/>
    <n v="14.75"/>
    <n v="0"/>
    <n v="0.1"/>
    <s v="ACTIVE"/>
    <m/>
    <s v=""/>
    <m/>
    <d v="2025-11-09T07:29:21"/>
    <d v="2025-11-09T00:00:00"/>
    <x v="1"/>
    <x v="0"/>
    <n v="1"/>
    <n v="0"/>
    <x v="87"/>
    <s v="Guadalupe García Quiñones"/>
    <x v="2"/>
  </r>
  <r>
    <n v="173"/>
    <n v="39"/>
    <n v="3"/>
    <n v="200.11"/>
    <n v="20.010000000000002"/>
    <n v="0"/>
    <n v="0.1"/>
    <s v="ACTIVE"/>
    <m/>
    <s v=""/>
    <m/>
    <d v="2025-11-10T09:40:00"/>
    <d v="2025-11-10T00:00:00"/>
    <x v="1"/>
    <x v="0"/>
    <n v="1"/>
    <n v="0"/>
    <x v="88"/>
    <s v="Guadalupe García Quiñones"/>
    <x v="0"/>
  </r>
  <r>
    <n v="174"/>
    <n v="39"/>
    <n v="5"/>
    <n v="300"/>
    <n v="30"/>
    <n v="0"/>
    <n v="0.1"/>
    <s v="ACTIVE"/>
    <m/>
    <s v=""/>
    <m/>
    <d v="2025-11-10T09:48:12"/>
    <d v="2025-11-10T00:00:00"/>
    <x v="1"/>
    <x v="0"/>
    <n v="1"/>
    <n v="0"/>
    <x v="74"/>
    <s v="Guadalupe García Quiñones"/>
    <x v="2"/>
  </r>
  <r>
    <n v="182"/>
    <n v="39"/>
    <n v="2"/>
    <n v="127.25"/>
    <n v="12.73"/>
    <n v="0"/>
    <n v="0.1"/>
    <s v="ACTIVE"/>
    <m/>
    <s v=""/>
    <m/>
    <d v="2025-11-11T11:30:06"/>
    <d v="2025-11-11T00:00:00"/>
    <x v="1"/>
    <x v="0"/>
    <n v="1"/>
    <n v="0"/>
    <x v="89"/>
    <s v="Guadalupe García Quiñones"/>
    <x v="1"/>
  </r>
  <r>
    <n v="184"/>
    <n v="39"/>
    <n v="5"/>
    <n v="212.75"/>
    <n v="21.28"/>
    <n v="0"/>
    <n v="0.1"/>
    <s v="ACTIVE"/>
    <m/>
    <s v=""/>
    <m/>
    <d v="2025-11-11T15:08:15"/>
    <d v="2025-11-11T00:00:00"/>
    <x v="1"/>
    <x v="0"/>
    <n v="1"/>
    <n v="0"/>
    <x v="90"/>
    <s v="Guadalupe García Quiñones"/>
    <x v="2"/>
  </r>
  <r>
    <n v="193"/>
    <n v="39"/>
    <n v="3"/>
    <n v="300"/>
    <n v="0"/>
    <n v="1"/>
    <n v="0.1"/>
    <s v="ACTIVE"/>
    <m/>
    <s v=""/>
    <m/>
    <d v="2025-11-12T11:35:04"/>
    <d v="2025-11-12T00:00:00"/>
    <x v="1"/>
    <x v="1"/>
    <n v="1"/>
    <n v="0"/>
    <x v="74"/>
    <s v="Guadalupe García Quiñones"/>
    <x v="0"/>
  </r>
  <r>
    <n v="213"/>
    <n v="39"/>
    <n v="2"/>
    <n v="133.46"/>
    <n v="13.35"/>
    <n v="0"/>
    <n v="0.1"/>
    <s v="ACTIVE"/>
    <m/>
    <s v=""/>
    <m/>
    <d v="2025-11-14T13:04:31"/>
    <d v="2025-11-14T00:00:00"/>
    <x v="1"/>
    <x v="0"/>
    <n v="1"/>
    <n v="0"/>
    <x v="91"/>
    <s v="Guadalupe García Quiñones"/>
    <x v="1"/>
  </r>
  <r>
    <n v="231"/>
    <n v="39"/>
    <n v="4"/>
    <n v="103.9"/>
    <n v="10.39"/>
    <n v="0"/>
    <n v="0.1"/>
    <s v="ACTIVE"/>
    <m/>
    <s v=""/>
    <m/>
    <d v="2025-11-15T16:32:51"/>
    <d v="2025-11-15T00:00:00"/>
    <x v="1"/>
    <x v="0"/>
    <n v="1"/>
    <n v="0"/>
    <x v="92"/>
    <s v="Guadalupe García Quiñones"/>
    <x v="3"/>
  </r>
  <r>
    <n v="238"/>
    <n v="39"/>
    <n v="4"/>
    <n v="192.09"/>
    <n v="19.21"/>
    <n v="0"/>
    <n v="0.1"/>
    <s v="ACTIVE"/>
    <m/>
    <s v=""/>
    <m/>
    <d v="2025-11-16T16:09:03"/>
    <d v="2025-11-16T00:00:00"/>
    <x v="1"/>
    <x v="0"/>
    <n v="1"/>
    <n v="0"/>
    <x v="93"/>
    <s v="Guadalupe García Quiñones"/>
    <x v="3"/>
  </r>
  <r>
    <n v="243"/>
    <n v="39"/>
    <n v="5"/>
    <n v="148.80000000000001"/>
    <n v="14.88"/>
    <n v="0"/>
    <n v="0.1"/>
    <s v="ACTIVE"/>
    <m/>
    <s v=""/>
    <m/>
    <d v="2025-11-17T07:48:14"/>
    <d v="2025-11-17T00:00:00"/>
    <x v="1"/>
    <x v="0"/>
    <n v="1"/>
    <n v="0"/>
    <x v="94"/>
    <s v="Guadalupe García Quiñones"/>
    <x v="2"/>
  </r>
  <r>
    <n v="252"/>
    <n v="39"/>
    <n v="5"/>
    <n v="252.92"/>
    <n v="25.29"/>
    <n v="0"/>
    <n v="0.1"/>
    <s v="ACTIVE"/>
    <m/>
    <s v=""/>
    <m/>
    <d v="2025-11-17T13:39:09"/>
    <d v="2025-11-17T00:00:00"/>
    <x v="1"/>
    <x v="0"/>
    <n v="1"/>
    <n v="0"/>
    <x v="95"/>
    <s v="Guadalupe García Quiñones"/>
    <x v="2"/>
  </r>
  <r>
    <n v="267"/>
    <n v="39"/>
    <n v="5"/>
    <n v="106.93"/>
    <n v="10.69"/>
    <n v="0"/>
    <n v="0.1"/>
    <s v="ACTIVE"/>
    <m/>
    <s v=""/>
    <m/>
    <d v="2025-11-19T10:47:55"/>
    <d v="2025-11-19T00:00:00"/>
    <x v="1"/>
    <x v="0"/>
    <n v="1"/>
    <n v="0"/>
    <x v="96"/>
    <s v="Guadalupe García Quiñones"/>
    <x v="2"/>
  </r>
  <r>
    <n v="274"/>
    <n v="39"/>
    <n v="3"/>
    <n v="207.99"/>
    <n v="20.8"/>
    <n v="0"/>
    <n v="0.1"/>
    <s v="ACTIVE"/>
    <m/>
    <s v=""/>
    <m/>
    <d v="2025-11-20T07:26:33"/>
    <d v="2025-11-20T00:00:00"/>
    <x v="1"/>
    <x v="0"/>
    <n v="1"/>
    <n v="0"/>
    <x v="97"/>
    <s v="Guadalupe García Quiñones"/>
    <x v="0"/>
  </r>
  <r>
    <n v="282"/>
    <n v="39"/>
    <n v="5"/>
    <n v="227.5"/>
    <n v="22.75"/>
    <n v="0"/>
    <n v="0.1"/>
    <s v="ACTIVE"/>
    <m/>
    <s v=""/>
    <m/>
    <d v="2025-11-20T14:05:47"/>
    <d v="2025-11-20T00:00:00"/>
    <x v="1"/>
    <x v="0"/>
    <n v="1"/>
    <n v="0"/>
    <x v="98"/>
    <s v="Guadalupe García Quiñones"/>
    <x v="2"/>
  </r>
  <r>
    <n v="292"/>
    <n v="39"/>
    <n v="4"/>
    <n v="234.11"/>
    <n v="23.41"/>
    <n v="0"/>
    <n v="0.1"/>
    <s v="ACTIVE"/>
    <m/>
    <s v=""/>
    <m/>
    <d v="2025-11-21T12:12:56"/>
    <d v="2025-11-21T00:00:00"/>
    <x v="1"/>
    <x v="0"/>
    <n v="1"/>
    <n v="0"/>
    <x v="99"/>
    <s v="Guadalupe García Quiñones"/>
    <x v="3"/>
  </r>
  <r>
    <n v="301"/>
    <n v="39"/>
    <n v="3"/>
    <n v="137.38"/>
    <n v="13.74"/>
    <n v="0"/>
    <n v="0.1"/>
    <s v="ACTIVE"/>
    <m/>
    <s v=""/>
    <m/>
    <d v="2025-11-22T09:02:54"/>
    <d v="2025-11-22T00:00:00"/>
    <x v="1"/>
    <x v="0"/>
    <n v="1"/>
    <n v="0"/>
    <x v="100"/>
    <s v="Guadalupe García Quiñones"/>
    <x v="0"/>
  </r>
  <r>
    <n v="114"/>
    <n v="17"/>
    <n v="3"/>
    <n v="120.39"/>
    <n v="12.04"/>
    <n v="0"/>
    <n v="0.1"/>
    <s v="ACTIVE"/>
    <m/>
    <s v=""/>
    <m/>
    <d v="2025-11-03T16:32:48"/>
    <d v="2025-11-03T00:00:00"/>
    <x v="1"/>
    <x v="0"/>
    <n v="1"/>
    <n v="0"/>
    <x v="101"/>
    <s v="Patricia Castillo Morales"/>
    <x v="0"/>
  </r>
  <r>
    <n v="13"/>
    <n v="52"/>
    <n v="2"/>
    <n v="37.03"/>
    <n v="3.7"/>
    <n v="0"/>
    <n v="0.1"/>
    <s v="ACTIVE"/>
    <m/>
    <s v=""/>
    <m/>
    <d v="2025-10-22T09:17:48"/>
    <d v="2025-10-22T00:00:00"/>
    <x v="0"/>
    <x v="0"/>
    <n v="1"/>
    <n v="0"/>
    <x v="102"/>
    <s v="Gabriela Villalobos Flores"/>
    <x v="1"/>
  </r>
  <r>
    <n v="41"/>
    <n v="52"/>
    <n v="4"/>
    <n v="14.26"/>
    <n v="1.43"/>
    <n v="0"/>
    <n v="0.1"/>
    <s v="ACTIVE"/>
    <m/>
    <s v=""/>
    <m/>
    <d v="2025-10-25T16:33:04"/>
    <d v="2025-10-25T00:00:00"/>
    <x v="0"/>
    <x v="0"/>
    <n v="1"/>
    <n v="0"/>
    <x v="103"/>
    <s v="Gabriela Villalobos Flores"/>
    <x v="3"/>
  </r>
  <r>
    <n v="109"/>
    <n v="52"/>
    <n v="3"/>
    <n v="32.049999999999997"/>
    <n v="3.21"/>
    <n v="0"/>
    <n v="0.1"/>
    <s v="ACTIVE"/>
    <m/>
    <s v=""/>
    <m/>
    <d v="2025-11-03T09:05:28"/>
    <d v="2025-11-03T00:00:00"/>
    <x v="1"/>
    <x v="0"/>
    <n v="1"/>
    <n v="0"/>
    <x v="104"/>
    <s v="Gabriela Villalobos Flores"/>
    <x v="0"/>
  </r>
  <r>
    <n v="117"/>
    <n v="52"/>
    <n v="5"/>
    <n v="35.06"/>
    <n v="3.51"/>
    <n v="0"/>
    <n v="0.1"/>
    <s v="ACTIVE"/>
    <m/>
    <s v=""/>
    <m/>
    <d v="2025-11-04T08:50:25"/>
    <d v="2025-11-04T00:00:00"/>
    <x v="1"/>
    <x v="0"/>
    <n v="1"/>
    <n v="0"/>
    <x v="105"/>
    <s v="Gabriela Villalobos Flores"/>
    <x v="2"/>
  </r>
  <r>
    <n v="135"/>
    <n v="52"/>
    <n v="5"/>
    <n v="32.17"/>
    <n v="3.22"/>
    <n v="0"/>
    <n v="0.1"/>
    <s v="ACTIVE"/>
    <m/>
    <s v=""/>
    <m/>
    <d v="2025-11-06T10:07:55"/>
    <d v="2025-11-06T00:00:00"/>
    <x v="1"/>
    <x v="0"/>
    <n v="1"/>
    <n v="0"/>
    <x v="106"/>
    <s v="Gabriela Villalobos Flores"/>
    <x v="2"/>
  </r>
  <r>
    <n v="234"/>
    <n v="52"/>
    <n v="5"/>
    <n v="32.44"/>
    <n v="3.24"/>
    <n v="0"/>
    <n v="0.1"/>
    <s v="ACTIVE"/>
    <m/>
    <s v=""/>
    <m/>
    <d v="2025-11-15T18:47:19"/>
    <d v="2025-11-15T00:00:00"/>
    <x v="1"/>
    <x v="0"/>
    <n v="1"/>
    <n v="0"/>
    <x v="107"/>
    <s v="Gabriela Villalobos Flores"/>
    <x v="2"/>
  </r>
  <r>
    <n v="295"/>
    <n v="52"/>
    <n v="3"/>
    <n v="24.63"/>
    <n v="2.46"/>
    <n v="0"/>
    <n v="0.1"/>
    <s v="ACTIVE"/>
    <m/>
    <s v=""/>
    <m/>
    <d v="2025-11-21T15:51:34"/>
    <d v="2025-11-21T00:00:00"/>
    <x v="1"/>
    <x v="0"/>
    <n v="1"/>
    <n v="0"/>
    <x v="108"/>
    <s v="Gabriela Villalobos Flores"/>
    <x v="0"/>
  </r>
  <r>
    <n v="50"/>
    <n v="18"/>
    <n v="5"/>
    <n v="108.49"/>
    <n v="10.85"/>
    <n v="0"/>
    <n v="0.1"/>
    <s v="ACTIVE"/>
    <m/>
    <s v=""/>
    <m/>
    <d v="2025-10-27T09:37:03"/>
    <d v="2025-10-27T00:00:00"/>
    <x v="0"/>
    <x v="0"/>
    <n v="1"/>
    <n v="0"/>
    <x v="109"/>
    <s v="Carlos Gómez Ávila"/>
    <x v="2"/>
  </r>
  <r>
    <n v="157"/>
    <n v="18"/>
    <n v="2"/>
    <n v="83.59"/>
    <n v="8.36"/>
    <n v="0"/>
    <n v="0.1"/>
    <s v="ACTIVE"/>
    <m/>
    <s v=""/>
    <m/>
    <d v="2025-11-08T11:47:40"/>
    <d v="2025-11-08T00:00:00"/>
    <x v="1"/>
    <x v="0"/>
    <n v="1"/>
    <n v="0"/>
    <x v="110"/>
    <s v="Carlos Gómez Ávila"/>
    <x v="1"/>
  </r>
  <r>
    <n v="241"/>
    <n v="18"/>
    <n v="3"/>
    <n v="102.16"/>
    <n v="10.220000000000001"/>
    <n v="0"/>
    <n v="0.1"/>
    <s v="ACTIVE"/>
    <m/>
    <s v=""/>
    <m/>
    <d v="2025-11-16T17:18:04"/>
    <d v="2025-11-16T00:00:00"/>
    <x v="1"/>
    <x v="0"/>
    <n v="1"/>
    <n v="0"/>
    <x v="111"/>
    <s v="Carlos Gómez Ávila"/>
    <x v="0"/>
  </r>
  <r>
    <n v="14"/>
    <n v="45"/>
    <n v="4"/>
    <n v="211.68"/>
    <n v="21.17"/>
    <n v="0"/>
    <n v="0.1"/>
    <s v="ACTIVE"/>
    <m/>
    <s v=""/>
    <m/>
    <d v="2025-10-22T09:58:44"/>
    <d v="2025-10-22T00:00:00"/>
    <x v="0"/>
    <x v="0"/>
    <n v="1"/>
    <n v="0"/>
    <x v="112"/>
    <s v="Luis Pérez López"/>
    <x v="3"/>
  </r>
  <r>
    <n v="130"/>
    <n v="45"/>
    <n v="4"/>
    <n v="122.72"/>
    <n v="12.27"/>
    <n v="0"/>
    <n v="0.1"/>
    <s v="ACTIVE"/>
    <m/>
    <s v=""/>
    <m/>
    <d v="2025-11-05T09:11:42"/>
    <d v="2025-11-05T00:00:00"/>
    <x v="1"/>
    <x v="0"/>
    <n v="1"/>
    <n v="0"/>
    <x v="113"/>
    <s v="Luis Pérez López"/>
    <x v="3"/>
  </r>
  <r>
    <n v="87"/>
    <n v="19"/>
    <n v="3"/>
    <n v="37.83"/>
    <n v="3.78"/>
    <n v="0"/>
    <n v="0.1"/>
    <s v="ACTIVE"/>
    <m/>
    <s v=""/>
    <m/>
    <d v="2025-10-31T15:36:36"/>
    <d v="2025-10-31T00:00:00"/>
    <x v="0"/>
    <x v="0"/>
    <n v="1"/>
    <n v="0"/>
    <x v="114"/>
    <s v="Laura Chávez Quiñones"/>
    <x v="0"/>
  </r>
  <r>
    <n v="15"/>
    <n v="65"/>
    <n v="2"/>
    <n v="44.78"/>
    <n v="4.4800000000000004"/>
    <n v="0"/>
    <n v="0.1"/>
    <s v="ACTIVE"/>
    <m/>
    <s v=""/>
    <m/>
    <d v="2025-10-22T12:03:50"/>
    <d v="2025-10-22T00:00:00"/>
    <x v="0"/>
    <x v="0"/>
    <n v="1"/>
    <n v="0"/>
    <x v="115"/>
    <s v="Gabriela Flores Chávez"/>
    <x v="1"/>
  </r>
  <r>
    <n v="37"/>
    <n v="65"/>
    <n v="3"/>
    <n v="26.47"/>
    <n v="2.65"/>
    <n v="0"/>
    <n v="0.1"/>
    <s v="ACTIVE"/>
    <m/>
    <s v=""/>
    <m/>
    <d v="2025-10-25T11:49:05"/>
    <d v="2025-10-25T00:00:00"/>
    <x v="0"/>
    <x v="0"/>
    <n v="1"/>
    <n v="0"/>
    <x v="116"/>
    <s v="Gabriela Flores Chávez"/>
    <x v="0"/>
  </r>
  <r>
    <n v="51"/>
    <n v="65"/>
    <n v="2"/>
    <n v="35.840000000000003"/>
    <n v="3.58"/>
    <n v="0"/>
    <n v="0.1"/>
    <s v="ACTIVE"/>
    <m/>
    <s v=""/>
    <m/>
    <d v="2025-10-27T10:21:50"/>
    <d v="2025-10-27T00:00:00"/>
    <x v="0"/>
    <x v="0"/>
    <n v="1"/>
    <n v="0"/>
    <x v="117"/>
    <s v="Gabriela Flores Chávez"/>
    <x v="1"/>
  </r>
  <r>
    <n v="61"/>
    <n v="65"/>
    <n v="2"/>
    <n v="24.16"/>
    <n v="2.42"/>
    <n v="0"/>
    <n v="0.1"/>
    <s v="ACTIVE"/>
    <m/>
    <s v=""/>
    <m/>
    <d v="2025-10-28T16:15:53"/>
    <d v="2025-10-28T00:00:00"/>
    <x v="0"/>
    <x v="0"/>
    <n v="1"/>
    <n v="0"/>
    <x v="118"/>
    <s v="Gabriela Flores Chávez"/>
    <x v="1"/>
  </r>
  <r>
    <n v="67"/>
    <n v="65"/>
    <n v="2"/>
    <n v="27.28"/>
    <n v="2.73"/>
    <n v="0"/>
    <n v="0.1"/>
    <s v="ACTIVE"/>
    <m/>
    <s v=""/>
    <m/>
    <d v="2025-10-29T13:07:23"/>
    <d v="2025-10-29T00:00:00"/>
    <x v="0"/>
    <x v="0"/>
    <n v="1"/>
    <n v="0"/>
    <x v="119"/>
    <s v="Gabriela Flores Chávez"/>
    <x v="1"/>
  </r>
  <r>
    <n v="74"/>
    <n v="65"/>
    <n v="4"/>
    <n v="16.87"/>
    <n v="1.69"/>
    <n v="0"/>
    <n v="0.1"/>
    <s v="ACTIVE"/>
    <m/>
    <s v=""/>
    <m/>
    <d v="2025-10-30T11:29:49"/>
    <d v="2025-10-30T00:00:00"/>
    <x v="0"/>
    <x v="0"/>
    <n v="1"/>
    <n v="0"/>
    <x v="120"/>
    <s v="Gabriela Flores Chávez"/>
    <x v="3"/>
  </r>
  <r>
    <n v="93"/>
    <n v="65"/>
    <n v="3"/>
    <n v="37.71"/>
    <n v="3.77"/>
    <n v="0"/>
    <n v="0.1"/>
    <s v="ACTIVE"/>
    <m/>
    <s v=""/>
    <m/>
    <d v="2025-11-01T10:53:23"/>
    <d v="2025-11-01T00:00:00"/>
    <x v="1"/>
    <x v="0"/>
    <n v="1"/>
    <n v="0"/>
    <x v="51"/>
    <s v="Gabriela Flores Chávez"/>
    <x v="0"/>
  </r>
  <r>
    <n v="118"/>
    <n v="65"/>
    <n v="3"/>
    <n v="16.510000000000002"/>
    <n v="1.65"/>
    <n v="0"/>
    <n v="0.1"/>
    <s v="ACTIVE"/>
    <m/>
    <s v=""/>
    <m/>
    <d v="2025-11-04T08:53:50"/>
    <d v="2025-11-04T00:00:00"/>
    <x v="1"/>
    <x v="0"/>
    <n v="1"/>
    <n v="0"/>
    <x v="121"/>
    <s v="Gabriela Flores Chávez"/>
    <x v="0"/>
  </r>
  <r>
    <n v="169"/>
    <n v="65"/>
    <n v="2"/>
    <n v="33.840000000000003"/>
    <n v="3.38"/>
    <n v="0"/>
    <n v="0.1"/>
    <s v="ACTIVE"/>
    <m/>
    <s v=""/>
    <m/>
    <d v="2025-11-09T16:44:52"/>
    <d v="2025-11-09T00:00:00"/>
    <x v="1"/>
    <x v="0"/>
    <n v="1"/>
    <n v="0"/>
    <x v="122"/>
    <s v="Gabriela Flores Chávez"/>
    <x v="1"/>
  </r>
  <r>
    <n v="188"/>
    <n v="65"/>
    <n v="5"/>
    <n v="30.69"/>
    <n v="3.07"/>
    <n v="0"/>
    <n v="0.1"/>
    <s v="ACTIVE"/>
    <m/>
    <s v=""/>
    <m/>
    <d v="2025-11-11T16:13:48"/>
    <d v="2025-11-11T00:00:00"/>
    <x v="1"/>
    <x v="0"/>
    <n v="1"/>
    <n v="0"/>
    <x v="123"/>
    <s v="Gabriela Flores Chávez"/>
    <x v="2"/>
  </r>
  <r>
    <n v="281"/>
    <n v="65"/>
    <n v="2"/>
    <n v="57.1"/>
    <n v="5.71"/>
    <n v="0"/>
    <n v="0.1"/>
    <s v="ACTIVE"/>
    <m/>
    <s v=""/>
    <m/>
    <d v="2025-11-20T13:30:16"/>
    <d v="2025-11-20T00:00:00"/>
    <x v="1"/>
    <x v="0"/>
    <n v="1"/>
    <n v="0"/>
    <x v="124"/>
    <s v="Gabriela Flores Chávez"/>
    <x v="1"/>
  </r>
  <r>
    <n v="284"/>
    <n v="65"/>
    <n v="5"/>
    <n v="34.909999999999997"/>
    <n v="3.49"/>
    <n v="0"/>
    <n v="0.1"/>
    <s v="ACTIVE"/>
    <m/>
    <s v=""/>
    <m/>
    <d v="2025-11-20T18:57:54"/>
    <d v="2025-11-20T00:00:00"/>
    <x v="1"/>
    <x v="0"/>
    <n v="1"/>
    <n v="0"/>
    <x v="125"/>
    <s v="Gabriela Flores Chávez"/>
    <x v="2"/>
  </r>
  <r>
    <n v="72"/>
    <n v="20"/>
    <n v="5"/>
    <n v="17.91"/>
    <n v="1.79"/>
    <n v="0"/>
    <n v="0.1"/>
    <s v="ACTIVE"/>
    <m/>
    <s v=""/>
    <m/>
    <d v="2025-10-30T07:49:37"/>
    <d v="2025-10-30T00:00:00"/>
    <x v="0"/>
    <x v="0"/>
    <n v="1"/>
    <n v="0"/>
    <x v="126"/>
    <s v="Luis Cruz Martínez"/>
    <x v="2"/>
  </r>
  <r>
    <n v="22"/>
    <n v="21"/>
    <n v="4"/>
    <n v="30.92"/>
    <n v="3.09"/>
    <n v="0"/>
    <n v="0.1"/>
    <s v="ACTIVE"/>
    <m/>
    <s v=""/>
    <m/>
    <d v="2025-10-23T14:02:06"/>
    <d v="2025-10-23T00:00:00"/>
    <x v="0"/>
    <x v="0"/>
    <n v="1"/>
    <n v="0"/>
    <x v="127"/>
    <s v="Carlos Morales Santoyo"/>
    <x v="3"/>
  </r>
  <r>
    <n v="65"/>
    <n v="21"/>
    <n v="4"/>
    <n v="28.85"/>
    <n v="2.89"/>
    <n v="0"/>
    <n v="0.1"/>
    <s v="ACTIVE"/>
    <m/>
    <s v=""/>
    <m/>
    <d v="2025-10-29T09:36:42"/>
    <d v="2025-10-29T00:00:00"/>
    <x v="0"/>
    <x v="0"/>
    <n v="1"/>
    <n v="0"/>
    <x v="128"/>
    <s v="Carlos Morales Santoyo"/>
    <x v="3"/>
  </r>
  <r>
    <n v="106"/>
    <n v="21"/>
    <n v="5"/>
    <n v="40.06"/>
    <n v="4.01"/>
    <n v="0"/>
    <n v="0.1"/>
    <s v="ACTIVE"/>
    <m/>
    <s v=""/>
    <m/>
    <d v="2025-11-03T07:57:45"/>
    <d v="2025-11-03T00:00:00"/>
    <x v="1"/>
    <x v="0"/>
    <n v="1"/>
    <n v="0"/>
    <x v="129"/>
    <s v="Carlos Morales Santoyo"/>
    <x v="2"/>
  </r>
  <r>
    <n v="129"/>
    <n v="21"/>
    <n v="4"/>
    <n v="30.36"/>
    <n v="3.04"/>
    <n v="0"/>
    <n v="0.1"/>
    <s v="ACTIVE"/>
    <m/>
    <s v=""/>
    <m/>
    <d v="2025-11-05T09:05:17"/>
    <d v="2025-11-05T00:00:00"/>
    <x v="1"/>
    <x v="0"/>
    <n v="1"/>
    <n v="0"/>
    <x v="130"/>
    <s v="Carlos Morales Santoyo"/>
    <x v="3"/>
  </r>
  <r>
    <n v="154"/>
    <n v="21"/>
    <n v="3"/>
    <n v="14.33"/>
    <n v="1.43"/>
    <n v="0"/>
    <n v="0.1"/>
    <s v="ACTIVE"/>
    <m/>
    <s v=""/>
    <m/>
    <d v="2025-11-08T10:00:31"/>
    <d v="2025-11-08T00:00:00"/>
    <x v="1"/>
    <x v="0"/>
    <n v="1"/>
    <n v="0"/>
    <x v="131"/>
    <s v="Carlos Morales Santoyo"/>
    <x v="0"/>
  </r>
  <r>
    <n v="156"/>
    <n v="21"/>
    <n v="4"/>
    <n v="23.23"/>
    <n v="2.3199999999999998"/>
    <n v="0"/>
    <n v="0.1"/>
    <s v="ACTIVE"/>
    <m/>
    <s v=""/>
    <m/>
    <d v="2025-11-08T11:41:51"/>
    <d v="2025-11-08T00:00:00"/>
    <x v="1"/>
    <x v="0"/>
    <n v="1"/>
    <n v="0"/>
    <x v="132"/>
    <s v="Carlos Morales Santoyo"/>
    <x v="3"/>
  </r>
  <r>
    <n v="208"/>
    <n v="21"/>
    <n v="2"/>
    <n v="60.78"/>
    <n v="6.08"/>
    <n v="0"/>
    <n v="0.1"/>
    <s v="ACTIVE"/>
    <m/>
    <s v=""/>
    <m/>
    <d v="2025-11-13T18:55:13"/>
    <d v="2025-11-13T00:00:00"/>
    <x v="1"/>
    <x v="0"/>
    <n v="1"/>
    <n v="0"/>
    <x v="133"/>
    <s v="Carlos Morales Santoyo"/>
    <x v="1"/>
  </r>
  <r>
    <n v="17"/>
    <n v="37"/>
    <n v="2"/>
    <n v="60.83"/>
    <n v="6.08"/>
    <n v="0"/>
    <n v="0.1"/>
    <s v="ACTIVE"/>
    <m/>
    <s v=""/>
    <m/>
    <d v="2025-10-22T17:46:46"/>
    <d v="2025-10-22T00:00:00"/>
    <x v="0"/>
    <x v="0"/>
    <n v="1"/>
    <n v="0"/>
    <x v="134"/>
    <s v="Fernando Mendoza Moreno"/>
    <x v="1"/>
  </r>
  <r>
    <n v="191"/>
    <n v="22"/>
    <n v="2"/>
    <n v="67.8"/>
    <n v="6.78"/>
    <n v="0"/>
    <n v="0.1"/>
    <s v="ACTIVE"/>
    <m/>
    <s v=""/>
    <m/>
    <d v="2025-11-12T08:57:49"/>
    <d v="2025-11-12T00:00:00"/>
    <x v="1"/>
    <x v="0"/>
    <n v="1"/>
    <n v="0"/>
    <x v="135"/>
    <s v="Martha Moreno Rangel"/>
    <x v="1"/>
  </r>
  <r>
    <n v="18"/>
    <n v="49"/>
    <n v="4"/>
    <n v="113.78"/>
    <n v="11.38"/>
    <n v="0"/>
    <n v="0.1"/>
    <s v="ACTIVE"/>
    <m/>
    <s v=""/>
    <m/>
    <d v="2025-10-22T17:48:29"/>
    <d v="2025-10-22T00:00:00"/>
    <x v="0"/>
    <x v="0"/>
    <n v="1"/>
    <n v="0"/>
    <x v="136"/>
    <s v="José Rodríguez Ortiz"/>
    <x v="3"/>
  </r>
  <r>
    <n v="33"/>
    <n v="49"/>
    <n v="3"/>
    <n v="64.77"/>
    <n v="6.48"/>
    <n v="0"/>
    <n v="0.1"/>
    <s v="ACTIVE"/>
    <m/>
    <s v=""/>
    <m/>
    <d v="2025-10-25T08:11:58"/>
    <d v="2025-10-25T00:00:00"/>
    <x v="0"/>
    <x v="0"/>
    <n v="1"/>
    <n v="0"/>
    <x v="137"/>
    <s v="José Rodríguez Ortiz"/>
    <x v="0"/>
  </r>
  <r>
    <n v="247"/>
    <n v="23"/>
    <n v="3"/>
    <n v="120.44"/>
    <n v="12.04"/>
    <n v="0"/>
    <n v="0.1"/>
    <s v="ACTIVE"/>
    <m/>
    <s v=""/>
    <m/>
    <d v="2025-11-17T09:27:44"/>
    <d v="2025-11-17T00:00:00"/>
    <x v="1"/>
    <x v="0"/>
    <n v="1"/>
    <n v="0"/>
    <x v="138"/>
    <s v="Gabriela Ávila Gutiérrez"/>
    <x v="0"/>
  </r>
  <r>
    <n v="127"/>
    <n v="24"/>
    <n v="5"/>
    <n v="178.83"/>
    <n v="17.88"/>
    <n v="0"/>
    <n v="0.1"/>
    <s v="ACTIVE"/>
    <m/>
    <s v=""/>
    <m/>
    <d v="2025-11-05T07:12:18"/>
    <d v="2025-11-05T00:00:00"/>
    <x v="1"/>
    <x v="0"/>
    <n v="1"/>
    <n v="0"/>
    <x v="139"/>
    <s v="Isabel Moreno Vázquez"/>
    <x v="2"/>
  </r>
  <r>
    <n v="152"/>
    <n v="24"/>
    <n v="5"/>
    <n v="80"/>
    <n v="8"/>
    <n v="0"/>
    <n v="0.1"/>
    <s v="ACTIVE"/>
    <m/>
    <s v=""/>
    <m/>
    <d v="2025-11-08T09:30:16"/>
    <d v="2025-11-08T00:00:00"/>
    <x v="1"/>
    <x v="0"/>
    <n v="1"/>
    <n v="0"/>
    <x v="78"/>
    <s v="Isabel Moreno Vázquez"/>
    <x v="2"/>
  </r>
  <r>
    <n v="195"/>
    <n v="25"/>
    <n v="2"/>
    <n v="63.48"/>
    <n v="6.35"/>
    <n v="0"/>
    <n v="0.1"/>
    <s v="ACTIVE"/>
    <m/>
    <s v=""/>
    <m/>
    <d v="2025-11-12T13:04:36"/>
    <d v="2025-11-12T00:00:00"/>
    <x v="1"/>
    <x v="0"/>
    <n v="1"/>
    <n v="0"/>
    <x v="140"/>
    <s v="Martha Rodríguez López"/>
    <x v="1"/>
  </r>
  <r>
    <n v="200"/>
    <n v="25"/>
    <n v="2"/>
    <n v="78.83"/>
    <n v="7.88"/>
    <n v="0"/>
    <n v="0.1"/>
    <s v="ACTIVE"/>
    <m/>
    <s v=""/>
    <m/>
    <d v="2025-11-13T08:26:46"/>
    <d v="2025-11-13T00:00:00"/>
    <x v="1"/>
    <x v="0"/>
    <n v="1"/>
    <n v="0"/>
    <x v="141"/>
    <s v="Martha Rodríguez López"/>
    <x v="1"/>
  </r>
  <r>
    <n v="21"/>
    <n v="57"/>
    <n v="2"/>
    <n v="68.930000000000007"/>
    <n v="6.89"/>
    <n v="0"/>
    <n v="0.1"/>
    <s v="ACTIVE"/>
    <m/>
    <s v=""/>
    <m/>
    <d v="2025-10-23T12:46:15"/>
    <d v="2025-10-23T00:00:00"/>
    <x v="0"/>
    <x v="0"/>
    <n v="1"/>
    <n v="0"/>
    <x v="142"/>
    <s v="Isabel Martínez Rodríguez"/>
    <x v="1"/>
  </r>
  <r>
    <n v="254"/>
    <n v="57"/>
    <n v="4"/>
    <n v="86.19"/>
    <n v="8.6199999999999992"/>
    <n v="0"/>
    <n v="0.1"/>
    <s v="ACTIVE"/>
    <m/>
    <s v=""/>
    <m/>
    <d v="2025-11-17T17:42:30"/>
    <d v="2025-11-17T00:00:00"/>
    <x v="1"/>
    <x v="0"/>
    <n v="1"/>
    <n v="0"/>
    <x v="143"/>
    <s v="Isabel Martínez Rodríguez"/>
    <x v="3"/>
  </r>
  <r>
    <n v="23"/>
    <n v="32"/>
    <n v="3"/>
    <n v="43.26"/>
    <n v="4.33"/>
    <n v="0"/>
    <n v="0.1"/>
    <s v="ACTIVE"/>
    <m/>
    <s v=""/>
    <m/>
    <d v="2025-10-23T15:44:51"/>
    <d v="2025-10-23T00:00:00"/>
    <x v="0"/>
    <x v="0"/>
    <n v="1"/>
    <n v="0"/>
    <x v="144"/>
    <s v="Teresa Delgado Hernández"/>
    <x v="0"/>
  </r>
  <r>
    <n v="66"/>
    <n v="32"/>
    <n v="3"/>
    <n v="27.96"/>
    <n v="2.8"/>
    <n v="0"/>
    <n v="0.1"/>
    <s v="ACTIVE"/>
    <m/>
    <s v=""/>
    <m/>
    <d v="2025-10-29T10:12:06"/>
    <d v="2025-10-29T00:00:00"/>
    <x v="0"/>
    <x v="0"/>
    <n v="1"/>
    <n v="0"/>
    <x v="145"/>
    <s v="Teresa Delgado Hernández"/>
    <x v="0"/>
  </r>
  <r>
    <n v="70"/>
    <n v="32"/>
    <n v="5"/>
    <n v="43.64"/>
    <n v="4.3600000000000003"/>
    <n v="0"/>
    <n v="0.1"/>
    <s v="ACTIVE"/>
    <m/>
    <s v=""/>
    <m/>
    <d v="2025-10-29T17:34:37"/>
    <d v="2025-10-29T00:00:00"/>
    <x v="0"/>
    <x v="0"/>
    <n v="1"/>
    <n v="0"/>
    <x v="146"/>
    <s v="Teresa Delgado Hernández"/>
    <x v="2"/>
  </r>
  <r>
    <n v="214"/>
    <n v="32"/>
    <n v="2"/>
    <n v="26.39"/>
    <n v="2.64"/>
    <n v="0"/>
    <n v="0.1"/>
    <s v="ACTIVE"/>
    <m/>
    <s v=""/>
    <m/>
    <d v="2025-11-14T15:16:06"/>
    <d v="2025-11-14T00:00:00"/>
    <x v="1"/>
    <x v="0"/>
    <n v="1"/>
    <n v="0"/>
    <x v="147"/>
    <s v="Teresa Delgado Hernández"/>
    <x v="1"/>
  </r>
  <r>
    <n v="24"/>
    <n v="164"/>
    <n v="2"/>
    <n v="19.12"/>
    <n v="1.91"/>
    <n v="0"/>
    <n v="0.1"/>
    <s v="ACTIVE"/>
    <m/>
    <s v=""/>
    <m/>
    <d v="2025-10-23T16:51:41"/>
    <d v="2025-10-23T00:00:00"/>
    <x v="0"/>
    <x v="0"/>
    <n v="1"/>
    <n v="0"/>
    <x v="148"/>
    <s v="Sergio Ruiz Sánchez"/>
    <x v="1"/>
  </r>
  <r>
    <n v="30"/>
    <n v="164"/>
    <n v="3"/>
    <n v="30.55"/>
    <n v="3.06"/>
    <n v="0"/>
    <n v="0.1"/>
    <s v="ACTIVE"/>
    <m/>
    <s v=""/>
    <m/>
    <d v="2025-10-24T15:29:05"/>
    <d v="2025-10-24T00:00:00"/>
    <x v="0"/>
    <x v="0"/>
    <n v="1"/>
    <n v="0"/>
    <x v="149"/>
    <s v="Sergio Ruiz Sánchez"/>
    <x v="0"/>
  </r>
  <r>
    <n v="95"/>
    <n v="164"/>
    <n v="5"/>
    <n v="39.229999999999997"/>
    <n v="3.92"/>
    <n v="0"/>
    <n v="0.1"/>
    <s v="ACTIVE"/>
    <m/>
    <s v=""/>
    <m/>
    <d v="2025-11-01T13:51:20"/>
    <d v="2025-11-01T00:00:00"/>
    <x v="1"/>
    <x v="0"/>
    <n v="1"/>
    <n v="0"/>
    <x v="150"/>
    <s v="Sergio Ruiz Sánchez"/>
    <x v="2"/>
  </r>
  <r>
    <n v="133"/>
    <n v="164"/>
    <n v="2"/>
    <n v="33.99"/>
    <n v="3.4"/>
    <n v="0"/>
    <n v="0.1"/>
    <s v="ACTIVE"/>
    <m/>
    <s v=""/>
    <m/>
    <d v="2025-11-06T07:03:42"/>
    <d v="2025-11-06T00:00:00"/>
    <x v="1"/>
    <x v="0"/>
    <n v="1"/>
    <n v="0"/>
    <x v="151"/>
    <s v="Sergio Ruiz Sánchez"/>
    <x v="1"/>
  </r>
  <r>
    <n v="36"/>
    <n v="29"/>
    <n v="2"/>
    <n v="37.03"/>
    <n v="3.7"/>
    <n v="0"/>
    <n v="0.1"/>
    <s v="ACTIVE"/>
    <m/>
    <s v=""/>
    <m/>
    <d v="2025-10-25T11:21:41"/>
    <d v="2025-10-25T00:00:00"/>
    <x v="0"/>
    <x v="0"/>
    <n v="1"/>
    <n v="0"/>
    <x v="102"/>
    <s v="Héctor Herrera Gómez"/>
    <x v="1"/>
  </r>
  <r>
    <n v="44"/>
    <n v="29"/>
    <n v="5"/>
    <n v="56.04"/>
    <n v="5.6"/>
    <n v="0"/>
    <n v="0.1"/>
    <s v="ACTIVE"/>
    <m/>
    <s v=""/>
    <m/>
    <d v="2025-10-26T11:55:15"/>
    <d v="2025-10-26T00:00:00"/>
    <x v="0"/>
    <x v="0"/>
    <n v="1"/>
    <n v="0"/>
    <x v="152"/>
    <s v="Héctor Herrera Gómez"/>
    <x v="2"/>
  </r>
  <r>
    <n v="63"/>
    <n v="29"/>
    <n v="4"/>
    <n v="18.72"/>
    <n v="1.87"/>
    <n v="0"/>
    <n v="0.1"/>
    <s v="ACTIVE"/>
    <m/>
    <s v=""/>
    <m/>
    <d v="2025-10-28T17:41:24"/>
    <d v="2025-10-28T00:00:00"/>
    <x v="0"/>
    <x v="0"/>
    <n v="1"/>
    <n v="0"/>
    <x v="153"/>
    <s v="Héctor Herrera Gómez"/>
    <x v="3"/>
  </r>
  <r>
    <n v="25"/>
    <n v="55"/>
    <n v="2"/>
    <n v="27.87"/>
    <n v="2.79"/>
    <n v="0"/>
    <n v="0.1"/>
    <s v="ACTIVE"/>
    <m/>
    <s v=""/>
    <m/>
    <d v="2025-10-24T09:51:39"/>
    <d v="2025-10-24T00:00:00"/>
    <x v="0"/>
    <x v="0"/>
    <n v="1"/>
    <n v="0"/>
    <x v="154"/>
    <s v="Luis Zacatecas Rodríguez"/>
    <x v="1"/>
  </r>
  <r>
    <n v="32"/>
    <n v="55"/>
    <n v="4"/>
    <n v="28.09"/>
    <n v="2.81"/>
    <n v="0"/>
    <n v="0.1"/>
    <s v="ACTIVE"/>
    <m/>
    <s v=""/>
    <m/>
    <d v="2025-10-25T08:07:31"/>
    <d v="2025-10-25T00:00:00"/>
    <x v="0"/>
    <x v="0"/>
    <n v="1"/>
    <n v="0"/>
    <x v="155"/>
    <s v="Luis Zacatecas Rodríguez"/>
    <x v="3"/>
  </r>
  <r>
    <n v="189"/>
    <n v="55"/>
    <n v="3"/>
    <n v="45.55"/>
    <n v="4.5599999999999996"/>
    <n v="0"/>
    <n v="0.1"/>
    <s v="ACTIVE"/>
    <m/>
    <s v=""/>
    <m/>
    <d v="2025-11-11T17:26:59"/>
    <d v="2025-11-11T00:00:00"/>
    <x v="1"/>
    <x v="0"/>
    <n v="1"/>
    <n v="0"/>
    <x v="156"/>
    <s v="Luis Zacatecas Rodríguez"/>
    <x v="0"/>
  </r>
  <r>
    <n v="64"/>
    <n v="30"/>
    <n v="2"/>
    <n v="28.32"/>
    <n v="2.83"/>
    <n v="0"/>
    <n v="0.1"/>
    <s v="ACTIVE"/>
    <m/>
    <s v=""/>
    <m/>
    <d v="2025-10-28T18:39:02"/>
    <d v="2025-10-28T00:00:00"/>
    <x v="0"/>
    <x v="0"/>
    <n v="1"/>
    <n v="0"/>
    <x v="41"/>
    <s v="Sergio Zacatecas Díaz"/>
    <x v="1"/>
  </r>
  <r>
    <n v="123"/>
    <n v="33"/>
    <n v="2"/>
    <n v="23.67"/>
    <n v="2.37"/>
    <n v="0"/>
    <n v="0.1"/>
    <s v="ACTIVE"/>
    <m/>
    <s v=""/>
    <m/>
    <d v="2025-11-04T15:43:24"/>
    <d v="2025-11-04T00:00:00"/>
    <x v="1"/>
    <x v="0"/>
    <n v="1"/>
    <n v="0"/>
    <x v="157"/>
    <s v="Francisco Vázquez Mendoza"/>
    <x v="1"/>
  </r>
  <r>
    <n v="170"/>
    <n v="34"/>
    <n v="5"/>
    <n v="117.69"/>
    <n v="11.77"/>
    <n v="0"/>
    <n v="0.1"/>
    <s v="ACTIVE"/>
    <m/>
    <s v=""/>
    <m/>
    <d v="2025-11-09T16:52:22"/>
    <d v="2025-11-09T00:00:00"/>
    <x v="1"/>
    <x v="0"/>
    <n v="1"/>
    <n v="0"/>
    <x v="158"/>
    <s v="Lucía Rodríguez Rodríguez"/>
    <x v="2"/>
  </r>
  <r>
    <n v="84"/>
    <n v="38"/>
    <n v="5"/>
    <n v="23.31"/>
    <n v="2.33"/>
    <n v="0"/>
    <n v="0.1"/>
    <s v="ACTIVE"/>
    <m/>
    <s v=""/>
    <m/>
    <d v="2025-10-31T10:26:26"/>
    <d v="2025-10-31T00:00:00"/>
    <x v="0"/>
    <x v="0"/>
    <n v="1"/>
    <n v="0"/>
    <x v="159"/>
    <s v="Verónica Delgado Medina"/>
    <x v="2"/>
  </r>
  <r>
    <n v="196"/>
    <n v="38"/>
    <n v="3"/>
    <n v="53.78"/>
    <n v="5.38"/>
    <n v="0"/>
    <n v="0.1"/>
    <s v="ACTIVE"/>
    <m/>
    <s v=""/>
    <m/>
    <d v="2025-11-12T13:10:47"/>
    <d v="2025-11-12T00:00:00"/>
    <x v="1"/>
    <x v="0"/>
    <n v="1"/>
    <n v="0"/>
    <x v="160"/>
    <s v="Verónica Delgado Medina"/>
    <x v="0"/>
  </r>
  <r>
    <n v="287"/>
    <n v="38"/>
    <n v="4"/>
    <n v="23.11"/>
    <n v="2.31"/>
    <n v="0"/>
    <n v="0.1"/>
    <s v="ACTIVE"/>
    <m/>
    <s v=""/>
    <m/>
    <d v="2025-11-21T08:21:59"/>
    <d v="2025-11-21T00:00:00"/>
    <x v="1"/>
    <x v="0"/>
    <n v="1"/>
    <n v="0"/>
    <x v="161"/>
    <s v="Verónica Delgado Medina"/>
    <x v="3"/>
  </r>
  <r>
    <n v="35"/>
    <n v="72"/>
    <n v="5"/>
    <n v="27.08"/>
    <n v="2.71"/>
    <n v="0"/>
    <n v="0.1"/>
    <s v="ACTIVE"/>
    <m/>
    <s v=""/>
    <m/>
    <d v="2025-10-25T09:18:16"/>
    <d v="2025-10-25T00:00:00"/>
    <x v="0"/>
    <x v="0"/>
    <n v="1"/>
    <n v="0"/>
    <x v="162"/>
    <s v="Miguel Castillo Morales"/>
    <x v="2"/>
  </r>
  <r>
    <n v="144"/>
    <n v="42"/>
    <n v="4"/>
    <n v="32.090000000000003"/>
    <n v="3.21"/>
    <n v="0"/>
    <n v="0.1"/>
    <s v="ACTIVE"/>
    <m/>
    <s v=""/>
    <m/>
    <d v="2025-11-07T12:17:57"/>
    <d v="2025-11-07T00:00:00"/>
    <x v="1"/>
    <x v="0"/>
    <n v="1"/>
    <n v="0"/>
    <x v="163"/>
    <s v="Roberto Ávila Ramírez"/>
    <x v="3"/>
  </r>
  <r>
    <n v="38"/>
    <n v="209"/>
    <n v="2"/>
    <n v="300"/>
    <n v="30"/>
    <n v="0"/>
    <n v="0.1"/>
    <s v="ACTIVE"/>
    <m/>
    <s v=""/>
    <m/>
    <d v="2025-10-25T15:09:46"/>
    <d v="2025-10-25T00:00:00"/>
    <x v="0"/>
    <x v="0"/>
    <n v="1"/>
    <n v="0"/>
    <x v="74"/>
    <s v="Irma Cruz González"/>
    <x v="1"/>
  </r>
  <r>
    <n v="251"/>
    <n v="209"/>
    <n v="4"/>
    <n v="300"/>
    <n v="30"/>
    <n v="0"/>
    <n v="0.1"/>
    <s v="ACTIVE"/>
    <m/>
    <s v=""/>
    <m/>
    <d v="2025-11-17T12:42:05"/>
    <d v="2025-11-17T00:00:00"/>
    <x v="1"/>
    <x v="0"/>
    <n v="1"/>
    <n v="0"/>
    <x v="74"/>
    <s v="Irma Cruz González"/>
    <x v="3"/>
  </r>
  <r>
    <n v="81"/>
    <n v="43"/>
    <n v="2"/>
    <n v="66.290000000000006"/>
    <n v="6.63"/>
    <n v="0"/>
    <n v="0.1"/>
    <s v="ACTIVE"/>
    <m/>
    <s v=""/>
    <m/>
    <d v="2025-10-31T08:50:37"/>
    <d v="2025-10-31T00:00:00"/>
    <x v="0"/>
    <x v="0"/>
    <n v="1"/>
    <n v="0"/>
    <x v="164"/>
    <s v="Silvia Ortiz Salazar"/>
    <x v="1"/>
  </r>
  <r>
    <n v="257"/>
    <n v="43"/>
    <n v="2"/>
    <n v="165.49"/>
    <n v="16.55"/>
    <n v="0"/>
    <n v="0.1"/>
    <s v="ACTIVE"/>
    <m/>
    <s v=""/>
    <m/>
    <d v="2025-11-18T10:41:06"/>
    <d v="2025-11-18T00:00:00"/>
    <x v="1"/>
    <x v="0"/>
    <n v="1"/>
    <n v="0"/>
    <x v="165"/>
    <s v="Silvia Ortiz Salazar"/>
    <x v="1"/>
  </r>
  <r>
    <n v="39"/>
    <n v="112"/>
    <n v="3"/>
    <n v="39.450000000000003"/>
    <n v="3.95"/>
    <n v="0"/>
    <n v="0.1"/>
    <s v="ACTIVE"/>
    <m/>
    <s v=""/>
    <m/>
    <d v="2025-10-25T15:37:33"/>
    <d v="2025-10-25T00:00:00"/>
    <x v="0"/>
    <x v="0"/>
    <n v="1"/>
    <n v="0"/>
    <x v="166"/>
    <s v="Leticia Díaz López"/>
    <x v="0"/>
  </r>
  <r>
    <n v="43"/>
    <n v="151"/>
    <n v="3"/>
    <n v="220.27"/>
    <n v="22.03"/>
    <n v="0"/>
    <n v="0.1"/>
    <s v="ACTIVE"/>
    <m/>
    <s v=""/>
    <m/>
    <d v="2025-10-26T09:26:19"/>
    <d v="2025-10-26T00:00:00"/>
    <x v="0"/>
    <x v="0"/>
    <n v="1"/>
    <n v="0"/>
    <x v="167"/>
    <s v="Verónica Salazar Ramos"/>
    <x v="0"/>
  </r>
  <r>
    <n v="105"/>
    <n v="151"/>
    <n v="4"/>
    <n v="250.71"/>
    <n v="25.07"/>
    <n v="0"/>
    <n v="0.1"/>
    <s v="ACTIVE"/>
    <m/>
    <s v=""/>
    <m/>
    <d v="2025-11-02T18:47:19"/>
    <d v="2025-11-02T00:00:00"/>
    <x v="1"/>
    <x v="0"/>
    <n v="1"/>
    <n v="0"/>
    <x v="168"/>
    <s v="Verónica Salazar Ramos"/>
    <x v="3"/>
  </r>
  <r>
    <n v="280"/>
    <n v="151"/>
    <n v="5"/>
    <n v="105"/>
    <n v="10.5"/>
    <n v="0"/>
    <n v="0.1"/>
    <s v="ACTIVE"/>
    <m/>
    <s v=""/>
    <m/>
    <d v="2025-11-20T12:19:10"/>
    <d v="2025-11-20T00:00:00"/>
    <x v="1"/>
    <x v="0"/>
    <n v="1"/>
    <n v="0"/>
    <x v="169"/>
    <s v="Verónica Salazar Ramos"/>
    <x v="2"/>
  </r>
  <r>
    <n v="48"/>
    <n v="48"/>
    <n v="4"/>
    <n v="178.41"/>
    <n v="17.84"/>
    <n v="0"/>
    <n v="0.1"/>
    <s v="CANCELED"/>
    <n v="3"/>
    <s v="Error de captura"/>
    <d v="2025-10-27T20:18:07"/>
    <d v="2025-10-27T08:18:07"/>
    <d v="2025-10-27T00:00:00"/>
    <x v="0"/>
    <x v="0"/>
    <n v="1"/>
    <n v="1"/>
    <x v="32"/>
    <s v="Carlos Medina Quiñones"/>
    <x v="3"/>
  </r>
  <r>
    <n v="77"/>
    <n v="48"/>
    <n v="2"/>
    <n v="170.35"/>
    <n v="17.04"/>
    <n v="0"/>
    <n v="0.1"/>
    <s v="ACTIVE"/>
    <m/>
    <s v=""/>
    <m/>
    <d v="2025-10-30T13:49:23"/>
    <d v="2025-10-30T00:00:00"/>
    <x v="0"/>
    <x v="0"/>
    <n v="1"/>
    <n v="0"/>
    <x v="170"/>
    <s v="Carlos Medina Quiñones"/>
    <x v="1"/>
  </r>
  <r>
    <n v="131"/>
    <n v="48"/>
    <n v="4"/>
    <n v="196.58"/>
    <n v="19.66"/>
    <n v="0"/>
    <n v="0.1"/>
    <s v="ACTIVE"/>
    <m/>
    <s v=""/>
    <m/>
    <d v="2025-11-05T12:19:36"/>
    <d v="2025-11-05T00:00:00"/>
    <x v="1"/>
    <x v="0"/>
    <n v="1"/>
    <n v="0"/>
    <x v="171"/>
    <s v="Carlos Medina Quiñones"/>
    <x v="3"/>
  </r>
  <r>
    <n v="139"/>
    <n v="48"/>
    <n v="5"/>
    <n v="133.36000000000001"/>
    <n v="13.34"/>
    <n v="0"/>
    <n v="0.1"/>
    <s v="ACTIVE"/>
    <m/>
    <s v=""/>
    <m/>
    <d v="2025-11-07T09:19:16"/>
    <d v="2025-11-07T00:00:00"/>
    <x v="1"/>
    <x v="0"/>
    <n v="1"/>
    <n v="0"/>
    <x v="172"/>
    <s v="Carlos Medina Quiñones"/>
    <x v="2"/>
  </r>
  <r>
    <n v="177"/>
    <n v="48"/>
    <n v="3"/>
    <n v="93.92"/>
    <n v="9.39"/>
    <n v="0"/>
    <n v="0.1"/>
    <s v="ACTIVE"/>
    <m/>
    <s v=""/>
    <m/>
    <d v="2025-11-10T12:18:13"/>
    <d v="2025-11-10T00:00:00"/>
    <x v="1"/>
    <x v="0"/>
    <n v="1"/>
    <n v="0"/>
    <x v="173"/>
    <s v="Carlos Medina Quiñones"/>
    <x v="0"/>
  </r>
  <r>
    <n v="207"/>
    <n v="48"/>
    <n v="3"/>
    <n v="111.86"/>
    <n v="11.19"/>
    <n v="0"/>
    <n v="0.1"/>
    <s v="ACTIVE"/>
    <m/>
    <s v=""/>
    <m/>
    <d v="2025-11-13T16:43:43"/>
    <d v="2025-11-13T00:00:00"/>
    <x v="1"/>
    <x v="0"/>
    <n v="1"/>
    <n v="0"/>
    <x v="174"/>
    <s v="Carlos Medina Quiñones"/>
    <x v="0"/>
  </r>
  <r>
    <n v="46"/>
    <n v="293"/>
    <n v="3"/>
    <n v="27.58"/>
    <n v="2.76"/>
    <n v="0"/>
    <n v="0.1"/>
    <s v="ACTIVE"/>
    <m/>
    <s v=""/>
    <m/>
    <d v="2025-10-26T17:05:26"/>
    <d v="2025-10-26T00:00:00"/>
    <x v="0"/>
    <x v="0"/>
    <n v="1"/>
    <n v="0"/>
    <x v="175"/>
    <s v="Patricia Quiñones Pérez"/>
    <x v="0"/>
  </r>
  <r>
    <n v="121"/>
    <n v="293"/>
    <n v="4"/>
    <n v="30.19"/>
    <n v="3.02"/>
    <n v="0"/>
    <n v="0.1"/>
    <s v="ACTIVE"/>
    <m/>
    <s v=""/>
    <m/>
    <d v="2025-11-04T15:03:45"/>
    <d v="2025-11-04T00:00:00"/>
    <x v="1"/>
    <x v="0"/>
    <n v="1"/>
    <n v="0"/>
    <x v="176"/>
    <s v="Patricia Quiñones Pérez"/>
    <x v="3"/>
  </r>
  <r>
    <n v="224"/>
    <n v="293"/>
    <n v="4"/>
    <n v="28.92"/>
    <n v="2.89"/>
    <n v="0"/>
    <n v="0.1"/>
    <s v="ACTIVE"/>
    <m/>
    <s v=""/>
    <m/>
    <d v="2025-11-15T09:20:48"/>
    <d v="2025-11-15T00:00:00"/>
    <x v="1"/>
    <x v="0"/>
    <n v="1"/>
    <n v="0"/>
    <x v="177"/>
    <s v="Patricia Quiñones Pérez"/>
    <x v="3"/>
  </r>
  <r>
    <n v="47"/>
    <n v="62"/>
    <n v="2"/>
    <n v="57.29"/>
    <n v="5.73"/>
    <n v="0"/>
    <n v="0.1"/>
    <s v="ACTIVE"/>
    <m/>
    <s v=""/>
    <m/>
    <d v="2025-10-26T18:13:57"/>
    <d v="2025-10-26T00:00:00"/>
    <x v="0"/>
    <x v="0"/>
    <n v="1"/>
    <n v="0"/>
    <x v="178"/>
    <s v="Rosa González Ortiz"/>
    <x v="1"/>
  </r>
  <r>
    <n v="80"/>
    <n v="62"/>
    <n v="4"/>
    <n v="72.959999999999994"/>
    <n v="7.3"/>
    <n v="0"/>
    <n v="0.1"/>
    <s v="ACTIVE"/>
    <m/>
    <s v=""/>
    <m/>
    <d v="2025-10-31T08:04:24"/>
    <d v="2025-10-31T00:00:00"/>
    <x v="0"/>
    <x v="0"/>
    <n v="1"/>
    <n v="0"/>
    <x v="179"/>
    <s v="Rosa González Ortiz"/>
    <x v="3"/>
  </r>
  <r>
    <n v="158"/>
    <n v="54"/>
    <n v="2"/>
    <n v="27.16"/>
    <n v="2.72"/>
    <n v="0"/>
    <n v="0.1"/>
    <s v="ACTIVE"/>
    <m/>
    <s v=""/>
    <m/>
    <d v="2025-11-08T12:30:19"/>
    <d v="2025-11-08T00:00:00"/>
    <x v="1"/>
    <x v="0"/>
    <n v="1"/>
    <n v="0"/>
    <x v="180"/>
    <s v="Isabel Salazar Zacatecas"/>
    <x v="1"/>
  </r>
  <r>
    <n v="160"/>
    <n v="54"/>
    <n v="3"/>
    <n v="34.950000000000003"/>
    <n v="3.5"/>
    <n v="0"/>
    <n v="0.1"/>
    <s v="ACTIVE"/>
    <m/>
    <s v=""/>
    <m/>
    <d v="2025-11-08T14:12:48"/>
    <d v="2025-11-08T00:00:00"/>
    <x v="1"/>
    <x v="0"/>
    <n v="1"/>
    <n v="0"/>
    <x v="181"/>
    <s v="Isabel Salazar Zacatecas"/>
    <x v="0"/>
  </r>
  <r>
    <n v="53"/>
    <n v="59"/>
    <n v="4"/>
    <n v="21.53"/>
    <n v="2.15"/>
    <n v="0"/>
    <n v="0.1"/>
    <s v="ACTIVE"/>
    <m/>
    <s v=""/>
    <m/>
    <d v="2025-10-27T15:34:00"/>
    <d v="2025-10-27T00:00:00"/>
    <x v="0"/>
    <x v="0"/>
    <n v="1"/>
    <n v="0"/>
    <x v="182"/>
    <s v="Daniel Gutiérrez Moreno"/>
    <x v="3"/>
  </r>
  <r>
    <n v="115"/>
    <n v="59"/>
    <n v="3"/>
    <n v="17.88"/>
    <n v="1.79"/>
    <n v="0"/>
    <n v="0.1"/>
    <s v="ACTIVE"/>
    <m/>
    <s v=""/>
    <m/>
    <d v="2025-11-03T18:24:59"/>
    <d v="2025-11-03T00:00:00"/>
    <x v="1"/>
    <x v="0"/>
    <n v="1"/>
    <n v="0"/>
    <x v="183"/>
    <s v="Daniel Gutiérrez Moreno"/>
    <x v="0"/>
  </r>
  <r>
    <n v="246"/>
    <n v="59"/>
    <n v="2"/>
    <n v="22.78"/>
    <n v="2.2799999999999998"/>
    <n v="0"/>
    <n v="0.1"/>
    <s v="ACTIVE"/>
    <m/>
    <s v=""/>
    <m/>
    <d v="2025-11-17T08:56:08"/>
    <d v="2025-11-17T00:00:00"/>
    <x v="1"/>
    <x v="0"/>
    <n v="1"/>
    <n v="0"/>
    <x v="184"/>
    <s v="Daniel Gutiérrez Moreno"/>
    <x v="1"/>
  </r>
  <r>
    <n v="249"/>
    <n v="59"/>
    <n v="2"/>
    <n v="18.13"/>
    <n v="1.81"/>
    <n v="0"/>
    <n v="0.1"/>
    <s v="ACTIVE"/>
    <m/>
    <s v=""/>
    <m/>
    <d v="2025-11-17T11:59:59"/>
    <d v="2025-11-17T00:00:00"/>
    <x v="1"/>
    <x v="0"/>
    <n v="1"/>
    <n v="0"/>
    <x v="185"/>
    <s v="Daniel Gutiérrez Moreno"/>
    <x v="1"/>
  </r>
  <r>
    <n v="261"/>
    <n v="59"/>
    <n v="2"/>
    <n v="15.02"/>
    <n v="1.5"/>
    <n v="0"/>
    <n v="0.1"/>
    <s v="ACTIVE"/>
    <m/>
    <s v=""/>
    <m/>
    <d v="2025-11-18T15:24:56"/>
    <d v="2025-11-18T00:00:00"/>
    <x v="1"/>
    <x v="0"/>
    <n v="1"/>
    <n v="0"/>
    <x v="186"/>
    <s v="Daniel Gutiérrez Moreno"/>
    <x v="1"/>
  </r>
  <r>
    <n v="296"/>
    <n v="59"/>
    <n v="4"/>
    <n v="30.7"/>
    <n v="3.07"/>
    <n v="0"/>
    <n v="0.1"/>
    <s v="ACTIVE"/>
    <m/>
    <s v=""/>
    <m/>
    <d v="2025-11-21T17:14:15"/>
    <d v="2025-11-21T00:00:00"/>
    <x v="1"/>
    <x v="0"/>
    <n v="1"/>
    <n v="0"/>
    <x v="187"/>
    <s v="Daniel Gutiérrez Moreno"/>
    <x v="3"/>
  </r>
  <r>
    <n v="54"/>
    <n v="154"/>
    <n v="4"/>
    <n v="49.02"/>
    <n v="4.9000000000000004"/>
    <n v="0"/>
    <n v="0.1"/>
    <s v="ACTIVE"/>
    <m/>
    <s v=""/>
    <m/>
    <d v="2025-10-27T16:29:11"/>
    <d v="2025-10-27T00:00:00"/>
    <x v="0"/>
    <x v="0"/>
    <n v="1"/>
    <n v="0"/>
    <x v="188"/>
    <s v="Manuel Chávez Flores"/>
    <x v="3"/>
  </r>
  <r>
    <n v="59"/>
    <n v="154"/>
    <n v="5"/>
    <n v="47.42"/>
    <n v="4.74"/>
    <n v="0"/>
    <n v="0.1"/>
    <s v="ACTIVE"/>
    <m/>
    <s v=""/>
    <m/>
    <d v="2025-10-28T15:24:41"/>
    <d v="2025-10-28T00:00:00"/>
    <x v="0"/>
    <x v="0"/>
    <n v="1"/>
    <n v="0"/>
    <x v="189"/>
    <s v="Manuel Chávez Flores"/>
    <x v="2"/>
  </r>
  <r>
    <n v="90"/>
    <n v="154"/>
    <n v="2"/>
    <n v="30.08"/>
    <n v="3.01"/>
    <n v="0"/>
    <n v="0.1"/>
    <s v="ACTIVE"/>
    <m/>
    <s v=""/>
    <m/>
    <d v="2025-11-01T08:00:23"/>
    <d v="2025-11-01T00:00:00"/>
    <x v="1"/>
    <x v="0"/>
    <n v="1"/>
    <n v="0"/>
    <x v="190"/>
    <s v="Manuel Chávez Flores"/>
    <x v="1"/>
  </r>
  <r>
    <n v="116"/>
    <n v="154"/>
    <n v="5"/>
    <n v="41.12"/>
    <n v="4.1100000000000003"/>
    <n v="0"/>
    <n v="0.1"/>
    <s v="ACTIVE"/>
    <m/>
    <s v=""/>
    <m/>
    <d v="2025-11-03T18:38:28"/>
    <d v="2025-11-03T00:00:00"/>
    <x v="1"/>
    <x v="0"/>
    <n v="1"/>
    <n v="0"/>
    <x v="191"/>
    <s v="Manuel Chávez Flores"/>
    <x v="2"/>
  </r>
  <r>
    <n v="178"/>
    <n v="154"/>
    <n v="4"/>
    <n v="35.24"/>
    <n v="3.52"/>
    <n v="0"/>
    <n v="0.1"/>
    <s v="ACTIVE"/>
    <m/>
    <s v=""/>
    <m/>
    <d v="2025-11-10T12:26:19"/>
    <d v="2025-11-10T00:00:00"/>
    <x v="1"/>
    <x v="0"/>
    <n v="1"/>
    <n v="0"/>
    <x v="192"/>
    <s v="Manuel Chávez Flores"/>
    <x v="3"/>
  </r>
  <r>
    <n v="232"/>
    <n v="60"/>
    <n v="5"/>
    <n v="172.15"/>
    <n v="17.22"/>
    <n v="0"/>
    <n v="0.1"/>
    <s v="ACTIVE"/>
    <m/>
    <s v=""/>
    <m/>
    <d v="2025-11-15T16:59:01"/>
    <d v="2025-11-15T00:00:00"/>
    <x v="1"/>
    <x v="0"/>
    <n v="1"/>
    <n v="0"/>
    <x v="193"/>
    <s v="Leticia Ruiz González"/>
    <x v="2"/>
  </r>
  <r>
    <n v="62"/>
    <n v="61"/>
    <n v="3"/>
    <n v="64.510000000000005"/>
    <n v="6.45"/>
    <n v="0"/>
    <n v="0.1"/>
    <s v="ACTIVE"/>
    <m/>
    <s v=""/>
    <m/>
    <d v="2025-10-28T16:48:53"/>
    <d v="2025-10-28T00:00:00"/>
    <x v="0"/>
    <x v="0"/>
    <n v="1"/>
    <n v="0"/>
    <x v="194"/>
    <s v="Pedro González Ávila"/>
    <x v="0"/>
  </r>
  <r>
    <n v="91"/>
    <n v="61"/>
    <n v="4"/>
    <n v="82.19"/>
    <n v="8.2200000000000006"/>
    <n v="0"/>
    <n v="0.1"/>
    <s v="ACTIVE"/>
    <m/>
    <s v=""/>
    <m/>
    <d v="2025-11-01T08:27:07"/>
    <d v="2025-11-01T00:00:00"/>
    <x v="1"/>
    <x v="0"/>
    <n v="1"/>
    <n v="0"/>
    <x v="195"/>
    <s v="Pedro González Ávila"/>
    <x v="3"/>
  </r>
  <r>
    <n v="112"/>
    <n v="61"/>
    <n v="5"/>
    <n v="144.91999999999999"/>
    <n v="14.49"/>
    <n v="0"/>
    <n v="0.1"/>
    <s v="ACTIVE"/>
    <m/>
    <s v=""/>
    <m/>
    <d v="2025-11-03T12:23:07"/>
    <d v="2025-11-03T00:00:00"/>
    <x v="1"/>
    <x v="0"/>
    <n v="1"/>
    <n v="0"/>
    <x v="196"/>
    <s v="Pedro González Ávila"/>
    <x v="2"/>
  </r>
  <r>
    <n v="113"/>
    <n v="61"/>
    <n v="2"/>
    <n v="30.54"/>
    <n v="3.05"/>
    <n v="0"/>
    <n v="0.1"/>
    <s v="ACTIVE"/>
    <m/>
    <s v=""/>
    <m/>
    <d v="2025-11-03T15:55:28"/>
    <d v="2025-11-03T00:00:00"/>
    <x v="1"/>
    <x v="0"/>
    <n v="1"/>
    <n v="0"/>
    <x v="197"/>
    <s v="Pedro González Ávila"/>
    <x v="1"/>
  </r>
  <r>
    <n v="132"/>
    <n v="61"/>
    <n v="5"/>
    <n v="72.61"/>
    <n v="7.26"/>
    <n v="0"/>
    <n v="0.1"/>
    <s v="ACTIVE"/>
    <m/>
    <s v=""/>
    <m/>
    <d v="2025-11-05T14:54:27"/>
    <d v="2025-11-05T00:00:00"/>
    <x v="1"/>
    <x v="0"/>
    <n v="1"/>
    <n v="0"/>
    <x v="198"/>
    <s v="Pedro González Ávila"/>
    <x v="2"/>
  </r>
  <r>
    <n v="201"/>
    <n v="61"/>
    <n v="5"/>
    <n v="130.29"/>
    <n v="13.03"/>
    <n v="0"/>
    <n v="0.1"/>
    <s v="ACTIVE"/>
    <m/>
    <s v=""/>
    <m/>
    <d v="2025-11-13T09:40:39"/>
    <d v="2025-11-13T00:00:00"/>
    <x v="1"/>
    <x v="0"/>
    <n v="1"/>
    <n v="0"/>
    <x v="199"/>
    <s v="Pedro González Ávila"/>
    <x v="2"/>
  </r>
  <r>
    <n v="286"/>
    <n v="61"/>
    <n v="4"/>
    <n v="220"/>
    <n v="22"/>
    <n v="0"/>
    <n v="0.1"/>
    <s v="ACTIVE"/>
    <m/>
    <s v=""/>
    <m/>
    <d v="2025-11-21T07:56:24"/>
    <d v="2025-11-21T00:00:00"/>
    <x v="1"/>
    <x v="0"/>
    <n v="1"/>
    <n v="0"/>
    <x v="200"/>
    <s v="Pedro González Ávila"/>
    <x v="3"/>
  </r>
  <r>
    <n v="297"/>
    <n v="61"/>
    <n v="4"/>
    <n v="91.02"/>
    <n v="9.1"/>
    <n v="0"/>
    <n v="0.1"/>
    <s v="ACTIVE"/>
    <m/>
    <s v=""/>
    <m/>
    <d v="2025-11-21T18:32:45"/>
    <d v="2025-11-21T00:00:00"/>
    <x v="1"/>
    <x v="0"/>
    <n v="1"/>
    <n v="0"/>
    <x v="201"/>
    <s v="Pedro González Ávila"/>
    <x v="3"/>
  </r>
  <r>
    <n v="71"/>
    <n v="64"/>
    <n v="4"/>
    <n v="52.18"/>
    <n v="5.22"/>
    <n v="0"/>
    <n v="0.1"/>
    <s v="ACTIVE"/>
    <m/>
    <s v=""/>
    <m/>
    <d v="2025-10-29T18:16:46"/>
    <d v="2025-10-29T00:00:00"/>
    <x v="0"/>
    <x v="0"/>
    <n v="1"/>
    <n v="0"/>
    <x v="202"/>
    <s v="Óscar Pérez Ramírez"/>
    <x v="3"/>
  </r>
  <r>
    <n v="291"/>
    <n v="64"/>
    <n v="5"/>
    <n v="29.73"/>
    <n v="2.97"/>
    <n v="0"/>
    <n v="0.1"/>
    <s v="ACTIVE"/>
    <m/>
    <s v=""/>
    <m/>
    <d v="2025-11-21T11:35:53"/>
    <d v="2025-11-21T00:00:00"/>
    <x v="1"/>
    <x v="0"/>
    <n v="1"/>
    <n v="0"/>
    <x v="203"/>
    <s v="Óscar Pérez Ramírez"/>
    <x v="2"/>
  </r>
  <r>
    <n v="103"/>
    <n v="69"/>
    <n v="2"/>
    <n v="21"/>
    <n v="2.1"/>
    <n v="0"/>
    <n v="0.1"/>
    <s v="ACTIVE"/>
    <m/>
    <s v=""/>
    <m/>
    <d v="2025-11-02T16:45:47"/>
    <d v="2025-11-02T00:00:00"/>
    <x v="1"/>
    <x v="0"/>
    <n v="1"/>
    <n v="0"/>
    <x v="204"/>
    <s v="Carmen Quiñones Hernández"/>
    <x v="1"/>
  </r>
  <r>
    <n v="149"/>
    <n v="69"/>
    <n v="5"/>
    <n v="32.94"/>
    <n v="3.29"/>
    <n v="0"/>
    <n v="0.1"/>
    <s v="ACTIVE"/>
    <m/>
    <s v=""/>
    <m/>
    <d v="2025-11-07T19:51:47"/>
    <d v="2025-11-07T00:00:00"/>
    <x v="1"/>
    <x v="0"/>
    <n v="1"/>
    <n v="0"/>
    <x v="205"/>
    <s v="Carmen Quiñones Hernández"/>
    <x v="2"/>
  </r>
  <r>
    <n v="171"/>
    <n v="69"/>
    <n v="5"/>
    <n v="23.16"/>
    <n v="2.3199999999999998"/>
    <n v="0"/>
    <n v="0.1"/>
    <s v="CANCELED"/>
    <n v="2"/>
    <s v="Solicitud del cliente"/>
    <d v="2025-11-10T19:08:56"/>
    <d v="2025-11-10T09:08:56"/>
    <d v="2025-11-10T00:00:00"/>
    <x v="1"/>
    <x v="0"/>
    <n v="1"/>
    <n v="1"/>
    <x v="32"/>
    <s v="Carmen Quiñones Hernández"/>
    <x v="2"/>
  </r>
  <r>
    <n v="172"/>
    <n v="69"/>
    <n v="5"/>
    <n v="51.37"/>
    <n v="5.14"/>
    <n v="0"/>
    <n v="0.1"/>
    <s v="ACTIVE"/>
    <m/>
    <s v=""/>
    <m/>
    <d v="2025-11-10T09:37:48"/>
    <d v="2025-11-10T00:00:00"/>
    <x v="1"/>
    <x v="0"/>
    <n v="1"/>
    <n v="0"/>
    <x v="206"/>
    <s v="Carmen Quiñones Hernández"/>
    <x v="2"/>
  </r>
  <r>
    <n v="237"/>
    <n v="69"/>
    <n v="2"/>
    <n v="46.6"/>
    <n v="4.66"/>
    <n v="0"/>
    <n v="0.1"/>
    <s v="ACTIVE"/>
    <m/>
    <s v=""/>
    <m/>
    <d v="2025-11-16T14:15:56"/>
    <d v="2025-11-16T00:00:00"/>
    <x v="1"/>
    <x v="0"/>
    <n v="1"/>
    <n v="0"/>
    <x v="207"/>
    <s v="Carmen Quiñones Hernández"/>
    <x v="1"/>
  </r>
  <r>
    <n v="260"/>
    <n v="69"/>
    <n v="5"/>
    <n v="33.29"/>
    <n v="3.33"/>
    <n v="0"/>
    <n v="0.1"/>
    <s v="ACTIVE"/>
    <m/>
    <s v=""/>
    <m/>
    <d v="2025-11-18T14:40:29"/>
    <d v="2025-11-18T00:00:00"/>
    <x v="1"/>
    <x v="0"/>
    <n v="1"/>
    <n v="0"/>
    <x v="208"/>
    <s v="Carmen Quiñones Hernández"/>
    <x v="2"/>
  </r>
  <r>
    <n v="277"/>
    <n v="69"/>
    <n v="4"/>
    <n v="40.42"/>
    <n v="4.04"/>
    <n v="0"/>
    <n v="0.1"/>
    <s v="ACTIVE"/>
    <m/>
    <s v=""/>
    <m/>
    <d v="2025-11-20T09:51:12"/>
    <d v="2025-11-20T00:00:00"/>
    <x v="1"/>
    <x v="0"/>
    <n v="1"/>
    <n v="0"/>
    <x v="209"/>
    <s v="Carmen Quiñones Hernández"/>
    <x v="3"/>
  </r>
  <r>
    <n v="99"/>
    <n v="70"/>
    <n v="3"/>
    <n v="143.82"/>
    <n v="14.38"/>
    <n v="0"/>
    <n v="0.1"/>
    <s v="CANCELED"/>
    <n v="3"/>
    <s v="Solicitud del cliente"/>
    <d v="2025-11-02T01:42:28"/>
    <d v="2025-11-01T17:42:28"/>
    <d v="2025-11-01T00:00:00"/>
    <x v="1"/>
    <x v="0"/>
    <n v="1"/>
    <n v="1"/>
    <x v="32"/>
    <s v="Manuel Ávila Martínez"/>
    <x v="0"/>
  </r>
  <r>
    <n v="147"/>
    <n v="70"/>
    <n v="2"/>
    <n v="136.86000000000001"/>
    <n v="13.69"/>
    <n v="0"/>
    <n v="0.1"/>
    <s v="ACTIVE"/>
    <m/>
    <s v=""/>
    <m/>
    <d v="2025-11-07T15:07:15"/>
    <d v="2025-11-07T00:00:00"/>
    <x v="1"/>
    <x v="0"/>
    <n v="1"/>
    <n v="0"/>
    <x v="210"/>
    <s v="Manuel Ávila Martínez"/>
    <x v="1"/>
  </r>
  <r>
    <n v="222"/>
    <n v="70"/>
    <n v="2"/>
    <n v="172.59"/>
    <n v="17.260000000000002"/>
    <n v="0"/>
    <n v="0.1"/>
    <s v="ACTIVE"/>
    <m/>
    <s v=""/>
    <m/>
    <d v="2025-11-15T08:59:14"/>
    <d v="2025-11-15T00:00:00"/>
    <x v="1"/>
    <x v="0"/>
    <n v="1"/>
    <n v="0"/>
    <x v="211"/>
    <s v="Manuel Ávila Martínez"/>
    <x v="1"/>
  </r>
  <r>
    <n v="75"/>
    <n v="223"/>
    <n v="3"/>
    <n v="38.03"/>
    <n v="3.8"/>
    <n v="0"/>
    <n v="0.1"/>
    <s v="ACTIVE"/>
    <m/>
    <s v=""/>
    <m/>
    <d v="2025-10-30T12:57:45"/>
    <d v="2025-10-30T00:00:00"/>
    <x v="0"/>
    <x v="0"/>
    <n v="1"/>
    <n v="0"/>
    <x v="212"/>
    <s v="José Castillo Ortiz"/>
    <x v="0"/>
  </r>
  <r>
    <n v="76"/>
    <n v="262"/>
    <n v="5"/>
    <n v="77.52"/>
    <n v="7.75"/>
    <n v="0"/>
    <n v="0.1"/>
    <s v="ACTIVE"/>
    <m/>
    <s v=""/>
    <m/>
    <d v="2025-10-30T13:25:03"/>
    <d v="2025-10-30T00:00:00"/>
    <x v="0"/>
    <x v="0"/>
    <n v="1"/>
    <n v="0"/>
    <x v="213"/>
    <s v="Guadalupe Cruz Aguilar"/>
    <x v="2"/>
  </r>
  <r>
    <n v="78"/>
    <n v="262"/>
    <n v="5"/>
    <n v="76.790000000000006"/>
    <n v="7.68"/>
    <n v="0"/>
    <n v="0.1"/>
    <s v="ACTIVE"/>
    <m/>
    <s v=""/>
    <m/>
    <d v="2025-10-30T14:57:21"/>
    <d v="2025-10-30T00:00:00"/>
    <x v="0"/>
    <x v="0"/>
    <n v="1"/>
    <n v="0"/>
    <x v="214"/>
    <s v="Guadalupe Cruz Aguilar"/>
    <x v="2"/>
  </r>
  <r>
    <n v="215"/>
    <n v="262"/>
    <n v="2"/>
    <n v="46.57"/>
    <n v="4.66"/>
    <n v="0"/>
    <n v="0.1"/>
    <s v="ACTIVE"/>
    <m/>
    <s v=""/>
    <m/>
    <d v="2025-11-14T15:18:44"/>
    <d v="2025-11-14T00:00:00"/>
    <x v="1"/>
    <x v="0"/>
    <n v="1"/>
    <n v="0"/>
    <x v="215"/>
    <s v="Guadalupe Cruz Aguilar"/>
    <x v="1"/>
  </r>
  <r>
    <n v="242"/>
    <n v="262"/>
    <n v="5"/>
    <n v="75.010000000000005"/>
    <n v="7.5"/>
    <n v="0"/>
    <n v="0.1"/>
    <s v="ACTIVE"/>
    <m/>
    <s v=""/>
    <m/>
    <d v="2025-11-17T07:00:52"/>
    <d v="2025-11-17T00:00:00"/>
    <x v="1"/>
    <x v="0"/>
    <n v="1"/>
    <n v="0"/>
    <x v="216"/>
    <s v="Guadalupe Cruz Aguilar"/>
    <x v="2"/>
  </r>
  <r>
    <n v="253"/>
    <n v="262"/>
    <n v="5"/>
    <n v="95.31"/>
    <n v="9.5299999999999994"/>
    <n v="0"/>
    <n v="0.1"/>
    <s v="ACTIVE"/>
    <m/>
    <s v=""/>
    <m/>
    <d v="2025-11-17T15:45:40"/>
    <d v="2025-11-17T00:00:00"/>
    <x v="1"/>
    <x v="0"/>
    <n v="1"/>
    <n v="0"/>
    <x v="217"/>
    <s v="Guadalupe Cruz Aguilar"/>
    <x v="2"/>
  </r>
  <r>
    <n v="262"/>
    <n v="262"/>
    <n v="4"/>
    <n v="81.53"/>
    <n v="8.15"/>
    <n v="0"/>
    <n v="0.1"/>
    <s v="ACTIVE"/>
    <m/>
    <s v=""/>
    <m/>
    <d v="2025-11-18T16:15:39"/>
    <d v="2025-11-18T00:00:00"/>
    <x v="1"/>
    <x v="0"/>
    <n v="1"/>
    <n v="0"/>
    <x v="218"/>
    <s v="Guadalupe Cruz Aguilar"/>
    <x v="3"/>
  </r>
  <r>
    <n v="187"/>
    <n v="81"/>
    <n v="3"/>
    <n v="21.87"/>
    <n v="2.19"/>
    <n v="0"/>
    <n v="0.1"/>
    <s v="ACTIVE"/>
    <m/>
    <s v=""/>
    <m/>
    <d v="2025-11-11T16:07:31"/>
    <d v="2025-11-11T00:00:00"/>
    <x v="1"/>
    <x v="0"/>
    <n v="1"/>
    <n v="0"/>
    <x v="219"/>
    <s v="Pedro Herrera Castillo"/>
    <x v="0"/>
  </r>
  <r>
    <n v="217"/>
    <n v="81"/>
    <n v="5"/>
    <n v="14.34"/>
    <n v="1.43"/>
    <n v="0"/>
    <n v="0.1"/>
    <s v="ACTIVE"/>
    <m/>
    <s v=""/>
    <m/>
    <d v="2025-11-14T16:44:20"/>
    <d v="2025-11-14T00:00:00"/>
    <x v="1"/>
    <x v="0"/>
    <n v="1"/>
    <n v="0"/>
    <x v="220"/>
    <s v="Pedro Herrera Castillo"/>
    <x v="2"/>
  </r>
  <r>
    <n v="248"/>
    <n v="81"/>
    <n v="2"/>
    <n v="37.81"/>
    <n v="3.78"/>
    <n v="0"/>
    <n v="0.1"/>
    <s v="ACTIVE"/>
    <m/>
    <s v=""/>
    <m/>
    <d v="2025-11-17T09:41:58"/>
    <d v="2025-11-17T00:00:00"/>
    <x v="1"/>
    <x v="0"/>
    <n v="1"/>
    <n v="0"/>
    <x v="221"/>
    <s v="Pedro Herrera Castillo"/>
    <x v="1"/>
  </r>
  <r>
    <n v="79"/>
    <n v="194"/>
    <n v="3"/>
    <n v="91.6"/>
    <n v="9.16"/>
    <n v="0"/>
    <n v="0.1"/>
    <s v="ACTIVE"/>
    <m/>
    <s v=""/>
    <m/>
    <d v="2025-10-31T08:00:45"/>
    <d v="2025-10-31T00:00:00"/>
    <x v="0"/>
    <x v="0"/>
    <n v="1"/>
    <n v="0"/>
    <x v="222"/>
    <s v="Óscar Herrera Gutiérrez"/>
    <x v="0"/>
  </r>
  <r>
    <n v="110"/>
    <n v="194"/>
    <n v="5"/>
    <n v="65.47"/>
    <n v="6.55"/>
    <n v="0"/>
    <n v="0.1"/>
    <s v="ACTIVE"/>
    <m/>
    <s v=""/>
    <m/>
    <d v="2025-11-03T09:28:41"/>
    <d v="2025-11-03T00:00:00"/>
    <x v="1"/>
    <x v="0"/>
    <n v="1"/>
    <n v="0"/>
    <x v="223"/>
    <s v="Óscar Herrera Gutiérrez"/>
    <x v="2"/>
  </r>
  <r>
    <n v="218"/>
    <n v="194"/>
    <n v="5"/>
    <n v="118.97"/>
    <n v="11.9"/>
    <n v="0"/>
    <n v="0.1"/>
    <s v="ACTIVE"/>
    <m/>
    <s v=""/>
    <m/>
    <d v="2025-11-14T17:26:43"/>
    <d v="2025-11-14T00:00:00"/>
    <x v="1"/>
    <x v="0"/>
    <n v="1"/>
    <n v="0"/>
    <x v="224"/>
    <s v="Óscar Herrera Gutiérrez"/>
    <x v="2"/>
  </r>
  <r>
    <n v="273"/>
    <n v="84"/>
    <n v="3"/>
    <n v="54.06"/>
    <n v="5.41"/>
    <n v="0"/>
    <n v="0.1"/>
    <s v="ACTIVE"/>
    <m/>
    <s v=""/>
    <m/>
    <d v="2025-11-19T17:47:57"/>
    <d v="2025-11-19T00:00:00"/>
    <x v="1"/>
    <x v="0"/>
    <n v="1"/>
    <n v="0"/>
    <x v="225"/>
    <s v="Fernando Vázquez Herrera"/>
    <x v="0"/>
  </r>
  <r>
    <n v="146"/>
    <n v="85"/>
    <n v="4"/>
    <n v="99.89"/>
    <n v="9.99"/>
    <n v="0"/>
    <n v="0.1"/>
    <s v="ACTIVE"/>
    <m/>
    <s v=""/>
    <m/>
    <d v="2025-11-07T13:28:27"/>
    <d v="2025-11-07T00:00:00"/>
    <x v="1"/>
    <x v="0"/>
    <n v="1"/>
    <n v="0"/>
    <x v="226"/>
    <s v="Guadalupe Ruiz Sánchez"/>
    <x v="3"/>
  </r>
  <r>
    <n v="181"/>
    <n v="85"/>
    <n v="4"/>
    <n v="72.239999999999995"/>
    <n v="7.22"/>
    <n v="0"/>
    <n v="0.1"/>
    <s v="ACTIVE"/>
    <m/>
    <s v=""/>
    <m/>
    <d v="2025-11-10T18:17:57"/>
    <d v="2025-11-10T00:00:00"/>
    <x v="1"/>
    <x v="0"/>
    <n v="1"/>
    <n v="0"/>
    <x v="227"/>
    <s v="Guadalupe Ruiz Sánchez"/>
    <x v="3"/>
  </r>
  <r>
    <n v="186"/>
    <n v="85"/>
    <n v="3"/>
    <n v="63.81"/>
    <n v="6.38"/>
    <n v="0"/>
    <n v="0.1"/>
    <s v="ACTIVE"/>
    <m/>
    <s v=""/>
    <m/>
    <d v="2025-11-11T16:03:19"/>
    <d v="2025-11-11T00:00:00"/>
    <x v="1"/>
    <x v="0"/>
    <n v="1"/>
    <n v="0"/>
    <x v="228"/>
    <s v="Guadalupe Ruiz Sánchez"/>
    <x v="0"/>
  </r>
  <r>
    <n v="83"/>
    <n v="202"/>
    <n v="3"/>
    <n v="28.43"/>
    <n v="2.84"/>
    <n v="0"/>
    <n v="0.1"/>
    <s v="ACTIVE"/>
    <m/>
    <s v=""/>
    <m/>
    <d v="2025-10-31T09:53:12"/>
    <d v="2025-10-31T00:00:00"/>
    <x v="0"/>
    <x v="0"/>
    <n v="1"/>
    <n v="0"/>
    <x v="229"/>
    <s v="Elena Díaz Reyes"/>
    <x v="0"/>
  </r>
  <r>
    <n v="162"/>
    <n v="202"/>
    <n v="3"/>
    <n v="19"/>
    <n v="1.9"/>
    <n v="0"/>
    <n v="0.1"/>
    <s v="ACTIVE"/>
    <m/>
    <s v=""/>
    <m/>
    <d v="2025-11-08T15:23:45"/>
    <d v="2025-11-08T00:00:00"/>
    <x v="1"/>
    <x v="0"/>
    <n v="1"/>
    <n v="0"/>
    <x v="230"/>
    <s v="Elena Díaz Reyes"/>
    <x v="0"/>
  </r>
  <r>
    <n v="164"/>
    <n v="202"/>
    <n v="3"/>
    <n v="42.72"/>
    <n v="4.2699999999999996"/>
    <n v="0"/>
    <n v="0.1"/>
    <s v="ACTIVE"/>
    <m/>
    <s v=""/>
    <m/>
    <d v="2025-11-08T16:37:07"/>
    <d v="2025-11-08T00:00:00"/>
    <x v="1"/>
    <x v="0"/>
    <n v="1"/>
    <n v="0"/>
    <x v="231"/>
    <s v="Elena Díaz Reyes"/>
    <x v="0"/>
  </r>
  <r>
    <n v="216"/>
    <n v="202"/>
    <n v="2"/>
    <n v="19.02"/>
    <n v="1.9"/>
    <n v="0"/>
    <n v="0.1"/>
    <s v="ACTIVE"/>
    <m/>
    <s v=""/>
    <m/>
    <d v="2025-11-14T15:23:09"/>
    <d v="2025-11-14T00:00:00"/>
    <x v="1"/>
    <x v="0"/>
    <n v="1"/>
    <n v="0"/>
    <x v="232"/>
    <s v="Elena Díaz Reyes"/>
    <x v="1"/>
  </r>
  <r>
    <n v="221"/>
    <n v="202"/>
    <n v="2"/>
    <n v="43.32"/>
    <n v="4.33"/>
    <n v="0"/>
    <n v="0.1"/>
    <s v="CANCELED"/>
    <n v="5"/>
    <s v="Cliente canceló la operación"/>
    <d v="2025-11-16T18:06:18"/>
    <d v="2025-11-14T18:06:18"/>
    <d v="2025-11-14T00:00:00"/>
    <x v="1"/>
    <x v="0"/>
    <n v="1"/>
    <n v="1"/>
    <x v="32"/>
    <s v="Elena Díaz Reyes"/>
    <x v="1"/>
  </r>
  <r>
    <n v="89"/>
    <n v="207"/>
    <n v="5"/>
    <n v="57.5"/>
    <n v="5.75"/>
    <n v="0"/>
    <n v="0.1"/>
    <s v="ACTIVE"/>
    <m/>
    <s v=""/>
    <m/>
    <d v="2025-10-31T16:14:08"/>
    <d v="2025-10-31T00:00:00"/>
    <x v="0"/>
    <x v="0"/>
    <n v="1"/>
    <n v="0"/>
    <x v="233"/>
    <s v="Leticia Vázquez Gutiérrez"/>
    <x v="2"/>
  </r>
  <r>
    <n v="102"/>
    <n v="207"/>
    <n v="4"/>
    <n v="36.75"/>
    <n v="3.68"/>
    <n v="0"/>
    <n v="0.1"/>
    <s v="ACTIVE"/>
    <m/>
    <s v=""/>
    <m/>
    <d v="2025-11-02T13:01:41"/>
    <d v="2025-11-02T00:00:00"/>
    <x v="1"/>
    <x v="0"/>
    <n v="1"/>
    <n v="0"/>
    <x v="234"/>
    <s v="Leticia Vázquez Gutiérrez"/>
    <x v="3"/>
  </r>
  <r>
    <n v="294"/>
    <n v="207"/>
    <n v="5"/>
    <n v="27.97"/>
    <n v="2.8"/>
    <n v="0"/>
    <n v="0.1"/>
    <s v="ACTIVE"/>
    <m/>
    <s v=""/>
    <m/>
    <d v="2025-11-21T15:02:46"/>
    <d v="2025-11-21T00:00:00"/>
    <x v="1"/>
    <x v="0"/>
    <n v="1"/>
    <n v="0"/>
    <x v="235"/>
    <s v="Leticia Vázquez Gutiérrez"/>
    <x v="2"/>
  </r>
  <r>
    <n v="298"/>
    <n v="207"/>
    <n v="4"/>
    <n v="23.51"/>
    <n v="2.35"/>
    <n v="0"/>
    <n v="0.1"/>
    <s v="ACTIVE"/>
    <m/>
    <s v=""/>
    <m/>
    <d v="2025-11-22T08:16:46"/>
    <d v="2025-11-22T00:00:00"/>
    <x v="1"/>
    <x v="0"/>
    <n v="1"/>
    <n v="0"/>
    <x v="236"/>
    <s v="Leticia Vázquez Gutiérrez"/>
    <x v="3"/>
  </r>
  <r>
    <n v="141"/>
    <n v="94"/>
    <n v="4"/>
    <n v="186.56"/>
    <n v="18.66"/>
    <n v="0"/>
    <n v="0.1"/>
    <s v="ACTIVE"/>
    <m/>
    <s v=""/>
    <m/>
    <d v="2025-11-07T11:11:10"/>
    <d v="2025-11-07T00:00:00"/>
    <x v="1"/>
    <x v="0"/>
    <n v="1"/>
    <n v="0"/>
    <x v="237"/>
    <s v="Silvia González Rangel"/>
    <x v="3"/>
  </r>
  <r>
    <n v="275"/>
    <n v="94"/>
    <n v="2"/>
    <n v="124.65"/>
    <n v="12.47"/>
    <n v="0"/>
    <n v="0.1"/>
    <s v="ACTIVE"/>
    <m/>
    <s v=""/>
    <m/>
    <d v="2025-11-20T07:41:12"/>
    <d v="2025-11-20T00:00:00"/>
    <x v="1"/>
    <x v="0"/>
    <n v="1"/>
    <n v="0"/>
    <x v="238"/>
    <s v="Silvia González Rangel"/>
    <x v="1"/>
  </r>
  <r>
    <n v="205"/>
    <n v="97"/>
    <n v="5"/>
    <n v="99.47"/>
    <n v="9.9499999999999993"/>
    <n v="0"/>
    <n v="0.1"/>
    <s v="CANCELED"/>
    <n v="4"/>
    <s v="Cliente canceló la operación"/>
    <d v="2025-11-15T10:11:24"/>
    <d v="2025-11-13T15:11:24"/>
    <d v="2025-11-13T00:00:00"/>
    <x v="1"/>
    <x v="0"/>
    <n v="1"/>
    <n v="1"/>
    <x v="32"/>
    <s v="Alicia Rangel López"/>
    <x v="2"/>
  </r>
  <r>
    <n v="270"/>
    <n v="97"/>
    <n v="3"/>
    <n v="68.86"/>
    <n v="6.89"/>
    <n v="0"/>
    <n v="0.1"/>
    <s v="ACTIVE"/>
    <m/>
    <s v=""/>
    <m/>
    <d v="2025-11-19T13:11:49"/>
    <d v="2025-11-19T00:00:00"/>
    <x v="1"/>
    <x v="0"/>
    <n v="1"/>
    <n v="0"/>
    <x v="239"/>
    <s v="Alicia Rangel López"/>
    <x v="0"/>
  </r>
  <r>
    <n v="96"/>
    <n v="279"/>
    <n v="2"/>
    <n v="186.72"/>
    <n v="18.670000000000002"/>
    <n v="0"/>
    <n v="0.1"/>
    <s v="ACTIVE"/>
    <m/>
    <s v=""/>
    <m/>
    <d v="2025-11-01T14:58:51"/>
    <d v="2025-11-01T00:00:00"/>
    <x v="1"/>
    <x v="0"/>
    <n v="1"/>
    <n v="0"/>
    <x v="240"/>
    <s v="Rosa Mendoza Moreno"/>
    <x v="1"/>
  </r>
  <r>
    <n v="111"/>
    <n v="279"/>
    <n v="3"/>
    <n v="97.94"/>
    <n v="9.7899999999999991"/>
    <n v="0"/>
    <n v="0.1"/>
    <s v="CANCELED"/>
    <n v="5"/>
    <s v="Error de captura"/>
    <d v="2025-11-04T00:31:39"/>
    <d v="2025-11-03T09:31:39"/>
    <d v="2025-11-03T00:00:00"/>
    <x v="1"/>
    <x v="0"/>
    <n v="1"/>
    <n v="1"/>
    <x v="32"/>
    <s v="Rosa Mendoza Moreno"/>
    <x v="0"/>
  </r>
  <r>
    <n v="120"/>
    <n v="279"/>
    <n v="4"/>
    <n v="209.03"/>
    <n v="20.9"/>
    <n v="0"/>
    <n v="0.1"/>
    <s v="ACTIVE"/>
    <m/>
    <s v=""/>
    <m/>
    <d v="2025-11-04T11:48:40"/>
    <d v="2025-11-04T00:00:00"/>
    <x v="1"/>
    <x v="0"/>
    <n v="1"/>
    <n v="0"/>
    <x v="241"/>
    <s v="Rosa Mendoza Moreno"/>
    <x v="3"/>
  </r>
  <r>
    <n v="148"/>
    <n v="279"/>
    <n v="4"/>
    <n v="102.34"/>
    <n v="10.23"/>
    <n v="0"/>
    <n v="0.1"/>
    <s v="ACTIVE"/>
    <m/>
    <s v=""/>
    <m/>
    <d v="2025-11-07T18:51:29"/>
    <d v="2025-11-07T00:00:00"/>
    <x v="1"/>
    <x v="0"/>
    <n v="1"/>
    <n v="0"/>
    <x v="242"/>
    <s v="Rosa Mendoza Moreno"/>
    <x v="3"/>
  </r>
  <r>
    <n v="153"/>
    <n v="279"/>
    <n v="5"/>
    <n v="247.63"/>
    <n v="24.76"/>
    <n v="0"/>
    <n v="0.1"/>
    <s v="ACTIVE"/>
    <m/>
    <s v=""/>
    <m/>
    <d v="2025-11-08T09:33:02"/>
    <d v="2025-11-08T00:00:00"/>
    <x v="1"/>
    <x v="0"/>
    <n v="1"/>
    <n v="0"/>
    <x v="243"/>
    <s v="Rosa Mendoza Moreno"/>
    <x v="2"/>
  </r>
  <r>
    <n v="97"/>
    <n v="296"/>
    <n v="5"/>
    <n v="61.61"/>
    <n v="6.16"/>
    <n v="0"/>
    <n v="0.1"/>
    <s v="ACTIVE"/>
    <m/>
    <s v=""/>
    <m/>
    <d v="2025-11-01T15:24:48"/>
    <d v="2025-11-01T00:00:00"/>
    <x v="1"/>
    <x v="0"/>
    <n v="1"/>
    <n v="0"/>
    <x v="244"/>
    <s v="Verónica Castillo García"/>
    <x v="2"/>
  </r>
  <r>
    <n v="124"/>
    <n v="104"/>
    <n v="2"/>
    <n v="222.04"/>
    <n v="22.2"/>
    <n v="0"/>
    <n v="0.1"/>
    <s v="ACTIVE"/>
    <m/>
    <s v=""/>
    <m/>
    <d v="2025-11-04T16:08:42"/>
    <d v="2025-11-04T00:00:00"/>
    <x v="1"/>
    <x v="0"/>
    <n v="1"/>
    <n v="0"/>
    <x v="245"/>
    <s v="Manuel Morales González"/>
    <x v="1"/>
  </r>
  <r>
    <n v="276"/>
    <n v="104"/>
    <n v="4"/>
    <n v="300"/>
    <n v="30"/>
    <n v="0"/>
    <n v="0.1"/>
    <s v="ACTIVE"/>
    <m/>
    <s v=""/>
    <m/>
    <d v="2025-11-20T08:33:38"/>
    <d v="2025-11-20T00:00:00"/>
    <x v="1"/>
    <x v="0"/>
    <n v="1"/>
    <n v="0"/>
    <x v="74"/>
    <s v="Manuel Morales González"/>
    <x v="3"/>
  </r>
  <r>
    <n v="101"/>
    <n v="217"/>
    <n v="3"/>
    <n v="24.99"/>
    <n v="2.5"/>
    <n v="0"/>
    <n v="0.1"/>
    <s v="ACTIVE"/>
    <m/>
    <s v=""/>
    <m/>
    <d v="2025-11-02T10:49:45"/>
    <d v="2025-11-02T00:00:00"/>
    <x v="1"/>
    <x v="0"/>
    <n v="1"/>
    <n v="0"/>
    <x v="246"/>
    <s v="Francisco Rangel Rodríguez"/>
    <x v="0"/>
  </r>
  <r>
    <n v="264"/>
    <n v="217"/>
    <n v="2"/>
    <n v="40.92"/>
    <n v="4.09"/>
    <n v="0"/>
    <n v="0.1"/>
    <s v="ACTIVE"/>
    <m/>
    <s v=""/>
    <m/>
    <d v="2025-11-18T17:23:28"/>
    <d v="2025-11-18T00:00:00"/>
    <x v="1"/>
    <x v="0"/>
    <n v="1"/>
    <n v="0"/>
    <x v="247"/>
    <s v="Francisco Rangel Rodríguez"/>
    <x v="1"/>
  </r>
  <r>
    <n v="210"/>
    <n v="106"/>
    <n v="4"/>
    <n v="96.92"/>
    <n v="9.69"/>
    <n v="0"/>
    <n v="0.1"/>
    <s v="ACTIVE"/>
    <m/>
    <s v=""/>
    <m/>
    <d v="2025-11-14T09:13:36"/>
    <d v="2025-11-14T00:00:00"/>
    <x v="1"/>
    <x v="0"/>
    <n v="1"/>
    <n v="0"/>
    <x v="248"/>
    <s v="Isabel García Santoyo"/>
    <x v="3"/>
  </r>
  <r>
    <n v="288"/>
    <n v="106"/>
    <n v="5"/>
    <n v="87.31"/>
    <n v="8.73"/>
    <n v="0"/>
    <n v="0.1"/>
    <s v="ACTIVE"/>
    <m/>
    <s v=""/>
    <m/>
    <d v="2025-11-21T09:04:08"/>
    <d v="2025-11-21T00:00:00"/>
    <x v="1"/>
    <x v="0"/>
    <n v="1"/>
    <n v="0"/>
    <x v="249"/>
    <s v="Isabel García Santoyo"/>
    <x v="2"/>
  </r>
  <r>
    <n v="108"/>
    <n v="240"/>
    <n v="3"/>
    <n v="133.88"/>
    <n v="13.39"/>
    <n v="0"/>
    <n v="0.1"/>
    <s v="ACTIVE"/>
    <m/>
    <s v=""/>
    <m/>
    <d v="2025-11-03T08:29:52"/>
    <d v="2025-11-03T00:00:00"/>
    <x v="1"/>
    <x v="0"/>
    <n v="1"/>
    <n v="0"/>
    <x v="250"/>
    <s v="Pedro Castillo Quiñones"/>
    <x v="0"/>
  </r>
  <r>
    <n v="126"/>
    <n v="240"/>
    <n v="3"/>
    <n v="97.31"/>
    <n v="9.73"/>
    <n v="0"/>
    <n v="0.1"/>
    <s v="ACTIVE"/>
    <m/>
    <s v=""/>
    <m/>
    <d v="2025-11-05T07:09:21"/>
    <d v="2025-11-05T00:00:00"/>
    <x v="1"/>
    <x v="0"/>
    <n v="1"/>
    <n v="0"/>
    <x v="251"/>
    <s v="Pedro Castillo Quiñones"/>
    <x v="0"/>
  </r>
  <r>
    <n v="190"/>
    <n v="240"/>
    <n v="4"/>
    <n v="106.78"/>
    <n v="10.68"/>
    <n v="0"/>
    <n v="0.1"/>
    <s v="ACTIVE"/>
    <m/>
    <s v=""/>
    <m/>
    <d v="2025-11-11T19:40:20"/>
    <d v="2025-11-11T00:00:00"/>
    <x v="1"/>
    <x v="0"/>
    <n v="1"/>
    <n v="0"/>
    <x v="252"/>
    <s v="Pedro Castillo Quiñones"/>
    <x v="3"/>
  </r>
  <r>
    <n v="285"/>
    <n v="240"/>
    <n v="5"/>
    <n v="233.89"/>
    <n v="23.39"/>
    <n v="0"/>
    <n v="0.1"/>
    <s v="ACTIVE"/>
    <m/>
    <s v=""/>
    <m/>
    <d v="2025-11-21T07:35:49"/>
    <d v="2025-11-21T00:00:00"/>
    <x v="1"/>
    <x v="0"/>
    <n v="1"/>
    <n v="0"/>
    <x v="253"/>
    <s v="Pedro Castillo Quiñones"/>
    <x v="2"/>
  </r>
  <r>
    <n v="293"/>
    <n v="240"/>
    <n v="2"/>
    <n v="147.52000000000001"/>
    <n v="14.75"/>
    <n v="0"/>
    <n v="0.1"/>
    <s v="ACTIVE"/>
    <m/>
    <s v=""/>
    <m/>
    <d v="2025-11-21T15:02:15"/>
    <d v="2025-11-21T00:00:00"/>
    <x v="1"/>
    <x v="0"/>
    <n v="1"/>
    <n v="0"/>
    <x v="254"/>
    <s v="Pedro Castillo Quiñones"/>
    <x v="1"/>
  </r>
  <r>
    <n v="166"/>
    <n v="117"/>
    <n v="3"/>
    <n v="70.790000000000006"/>
    <n v="7.08"/>
    <n v="0"/>
    <n v="0.1"/>
    <s v="CANCELED"/>
    <n v="2"/>
    <s v="Error de captura"/>
    <d v="2025-11-09T13:08:25"/>
    <d v="2025-11-08T17:08:25"/>
    <d v="2025-11-08T00:00:00"/>
    <x v="1"/>
    <x v="0"/>
    <n v="1"/>
    <n v="1"/>
    <x v="32"/>
    <s v="Manuel Ortiz Ramírez"/>
    <x v="0"/>
  </r>
  <r>
    <n v="192"/>
    <n v="117"/>
    <n v="2"/>
    <n v="95.27"/>
    <n v="9.5299999999999994"/>
    <n v="0"/>
    <n v="0.1"/>
    <s v="ACTIVE"/>
    <m/>
    <s v=""/>
    <m/>
    <d v="2025-11-12T11:33:06"/>
    <d v="2025-11-12T00:00:00"/>
    <x v="1"/>
    <x v="0"/>
    <n v="1"/>
    <n v="0"/>
    <x v="255"/>
    <s v="Manuel Ortiz Ramírez"/>
    <x v="1"/>
  </r>
  <r>
    <n v="220"/>
    <n v="117"/>
    <n v="4"/>
    <n v="87.66"/>
    <n v="8.77"/>
    <n v="0"/>
    <n v="0.1"/>
    <s v="ACTIVE"/>
    <m/>
    <s v=""/>
    <m/>
    <d v="2025-11-14T18:04:13"/>
    <d v="2025-11-14T00:00:00"/>
    <x v="1"/>
    <x v="0"/>
    <n v="1"/>
    <n v="0"/>
    <x v="256"/>
    <s v="Manuel Ortiz Ramírez"/>
    <x v="3"/>
  </r>
  <r>
    <n v="227"/>
    <n v="117"/>
    <n v="4"/>
    <n v="73.459999999999994"/>
    <n v="7.35"/>
    <n v="0"/>
    <n v="0.1"/>
    <s v="ACTIVE"/>
    <m/>
    <s v=""/>
    <m/>
    <d v="2025-11-15T12:13:00"/>
    <d v="2025-11-15T00:00:00"/>
    <x v="1"/>
    <x v="0"/>
    <n v="1"/>
    <n v="0"/>
    <x v="257"/>
    <s v="Manuel Ortiz Ramírez"/>
    <x v="3"/>
  </r>
  <r>
    <n v="122"/>
    <n v="280"/>
    <n v="4"/>
    <n v="51.1"/>
    <n v="5.1100000000000003"/>
    <n v="0"/>
    <n v="0.1"/>
    <s v="ACTIVE"/>
    <m/>
    <s v=""/>
    <m/>
    <d v="2025-11-04T15:06:45"/>
    <d v="2025-11-04T00:00:00"/>
    <x v="1"/>
    <x v="0"/>
    <n v="1"/>
    <n v="0"/>
    <x v="258"/>
    <s v="Óscar Quiñones Jiménez"/>
    <x v="3"/>
  </r>
  <r>
    <n v="226"/>
    <n v="280"/>
    <n v="5"/>
    <n v="36.32"/>
    <n v="3.63"/>
    <n v="0"/>
    <n v="0.1"/>
    <s v="ACTIVE"/>
    <m/>
    <s v=""/>
    <m/>
    <d v="2025-11-15T11:09:38"/>
    <d v="2025-11-15T00:00:00"/>
    <x v="1"/>
    <x v="0"/>
    <n v="1"/>
    <n v="0"/>
    <x v="259"/>
    <s v="Óscar Quiñones Jiménez"/>
    <x v="2"/>
  </r>
  <r>
    <n v="163"/>
    <n v="138"/>
    <n v="4"/>
    <n v="33.19"/>
    <n v="3.32"/>
    <n v="0"/>
    <n v="0.1"/>
    <s v="ACTIVE"/>
    <m/>
    <s v=""/>
    <m/>
    <d v="2025-11-08T15:25:09"/>
    <d v="2025-11-08T00:00:00"/>
    <x v="1"/>
    <x v="0"/>
    <n v="1"/>
    <n v="0"/>
    <x v="260"/>
    <s v="Alejandro Reyes Morales"/>
    <x v="3"/>
  </r>
  <r>
    <n v="194"/>
    <n v="138"/>
    <n v="3"/>
    <n v="55.79"/>
    <n v="5.58"/>
    <n v="0"/>
    <n v="0.1"/>
    <s v="ACTIVE"/>
    <m/>
    <s v=""/>
    <m/>
    <d v="2025-11-12T13:01:39"/>
    <d v="2025-11-12T00:00:00"/>
    <x v="1"/>
    <x v="0"/>
    <n v="1"/>
    <n v="0"/>
    <x v="261"/>
    <s v="Alejandro Reyes Morales"/>
    <x v="0"/>
  </r>
  <r>
    <n v="134"/>
    <n v="152"/>
    <n v="4"/>
    <n v="240.38"/>
    <n v="24.04"/>
    <n v="0"/>
    <n v="0.1"/>
    <s v="ACTIVE"/>
    <m/>
    <s v=""/>
    <m/>
    <d v="2025-11-06T09:08:52"/>
    <d v="2025-11-06T00:00:00"/>
    <x v="1"/>
    <x v="0"/>
    <n v="1"/>
    <n v="0"/>
    <x v="262"/>
    <s v="Héctor Rangel González"/>
    <x v="3"/>
  </r>
  <r>
    <n v="180"/>
    <n v="152"/>
    <n v="5"/>
    <n v="80"/>
    <n v="8"/>
    <n v="0"/>
    <n v="0.1"/>
    <s v="ACTIVE"/>
    <m/>
    <s v=""/>
    <m/>
    <d v="2025-11-10T16:43:32"/>
    <d v="2025-11-10T00:00:00"/>
    <x v="1"/>
    <x v="0"/>
    <n v="1"/>
    <n v="0"/>
    <x v="78"/>
    <s v="Héctor Rangel González"/>
    <x v="2"/>
  </r>
  <r>
    <n v="271"/>
    <n v="152"/>
    <n v="5"/>
    <n v="80"/>
    <n v="8"/>
    <n v="0"/>
    <n v="0.1"/>
    <s v="ACTIVE"/>
    <m/>
    <s v=""/>
    <m/>
    <d v="2025-11-19T16:19:52"/>
    <d v="2025-11-19T00:00:00"/>
    <x v="1"/>
    <x v="0"/>
    <n v="1"/>
    <n v="0"/>
    <x v="78"/>
    <s v="Héctor Rangel González"/>
    <x v="2"/>
  </r>
  <r>
    <n v="136"/>
    <n v="287"/>
    <n v="4"/>
    <n v="23.35"/>
    <n v="2.34"/>
    <n v="0"/>
    <n v="0.1"/>
    <s v="ACTIVE"/>
    <m/>
    <s v=""/>
    <m/>
    <d v="2025-11-06T11:26:50"/>
    <d v="2025-11-06T00:00:00"/>
    <x v="1"/>
    <x v="0"/>
    <n v="1"/>
    <n v="0"/>
    <x v="263"/>
    <s v="Irma Gómez Medina"/>
    <x v="3"/>
  </r>
  <r>
    <n v="150"/>
    <n v="215"/>
    <n v="2"/>
    <n v="25.63"/>
    <n v="2.56"/>
    <n v="0"/>
    <n v="0.1"/>
    <s v="ACTIVE"/>
    <m/>
    <s v=""/>
    <m/>
    <d v="2025-11-08T07:05:18"/>
    <d v="2025-11-08T00:00:00"/>
    <x v="1"/>
    <x v="0"/>
    <n v="1"/>
    <n v="0"/>
    <x v="264"/>
    <s v="Verónica Medina Ortiz"/>
    <x v="1"/>
  </r>
  <r>
    <n v="151"/>
    <n v="155"/>
    <n v="4"/>
    <n v="17.57"/>
    <n v="1.76"/>
    <n v="0"/>
    <n v="0.1"/>
    <s v="ACTIVE"/>
    <m/>
    <s v=""/>
    <m/>
    <d v="2025-11-08T09:09:35"/>
    <d v="2025-11-08T00:00:00"/>
    <x v="1"/>
    <x v="0"/>
    <n v="1"/>
    <n v="0"/>
    <x v="265"/>
    <s v="Óscar Santoyo Ramos"/>
    <x v="3"/>
  </r>
  <r>
    <n v="278"/>
    <n v="160"/>
    <n v="5"/>
    <n v="26.8"/>
    <n v="2.68"/>
    <n v="0"/>
    <n v="0.1"/>
    <s v="ACTIVE"/>
    <m/>
    <s v=""/>
    <m/>
    <d v="2025-11-20T09:58:37"/>
    <d v="2025-11-20T00:00:00"/>
    <x v="1"/>
    <x v="0"/>
    <n v="1"/>
    <n v="0"/>
    <x v="266"/>
    <s v="Silvia Delgado Medina"/>
    <x v="2"/>
  </r>
  <r>
    <n v="256"/>
    <n v="197"/>
    <n v="5"/>
    <n v="95.77"/>
    <n v="9.58"/>
    <n v="0"/>
    <n v="0.1"/>
    <s v="ACTIVE"/>
    <m/>
    <s v=""/>
    <m/>
    <d v="2025-11-18T08:46:45"/>
    <d v="2025-11-18T00:00:00"/>
    <x v="1"/>
    <x v="0"/>
    <n v="1"/>
    <n v="0"/>
    <x v="267"/>
    <s v="Raúl Hernández Santoyo"/>
    <x v="2"/>
  </r>
  <r>
    <n v="259"/>
    <n v="197"/>
    <n v="3"/>
    <n v="81.319999999999993"/>
    <n v="8.1300000000000008"/>
    <n v="0"/>
    <n v="0.1"/>
    <s v="ACTIVE"/>
    <m/>
    <s v=""/>
    <m/>
    <d v="2025-11-18T14:24:42"/>
    <d v="2025-11-18T00:00:00"/>
    <x v="1"/>
    <x v="0"/>
    <n v="1"/>
    <n v="0"/>
    <x v="268"/>
    <s v="Raúl Hernández Santoyo"/>
    <x v="0"/>
  </r>
  <r>
    <n v="197"/>
    <n v="257"/>
    <n v="5"/>
    <n v="67.86"/>
    <n v="6.79"/>
    <n v="0"/>
    <n v="0.1"/>
    <s v="ACTIVE"/>
    <m/>
    <s v=""/>
    <m/>
    <d v="2025-11-12T15:57:13"/>
    <d v="2025-11-12T00:00:00"/>
    <x v="1"/>
    <x v="0"/>
    <n v="1"/>
    <n v="0"/>
    <x v="269"/>
    <s v="Carmen García Rangel"/>
    <x v="2"/>
  </r>
  <r>
    <n v="199"/>
    <n v="203"/>
    <n v="2"/>
    <n v="123.9"/>
    <n v="12.39"/>
    <n v="0"/>
    <n v="0.1"/>
    <s v="ACTIVE"/>
    <m/>
    <s v=""/>
    <m/>
    <d v="2025-11-13T08:10:57"/>
    <d v="2025-11-13T00:00:00"/>
    <x v="1"/>
    <x v="0"/>
    <n v="1"/>
    <n v="0"/>
    <x v="270"/>
    <s v="Patricia Delgado Zacatecas"/>
    <x v="1"/>
  </r>
  <r>
    <n v="202"/>
    <n v="277"/>
    <n v="2"/>
    <n v="75.52"/>
    <n v="7.55"/>
    <n v="0"/>
    <n v="0.1"/>
    <s v="ACTIVE"/>
    <m/>
    <s v=""/>
    <m/>
    <d v="2025-11-13T11:43:19"/>
    <d v="2025-11-13T00:00:00"/>
    <x v="1"/>
    <x v="0"/>
    <n v="1"/>
    <n v="0"/>
    <x v="271"/>
    <s v="Laura Ramos Gutiérrez"/>
    <x v="1"/>
  </r>
  <r>
    <n v="203"/>
    <n v="227"/>
    <n v="2"/>
    <n v="35.799999999999997"/>
    <n v="3.58"/>
    <n v="0"/>
    <n v="0.1"/>
    <s v="ACTIVE"/>
    <m/>
    <s v=""/>
    <m/>
    <d v="2025-11-13T12:18:49"/>
    <d v="2025-11-13T00:00:00"/>
    <x v="1"/>
    <x v="0"/>
    <n v="1"/>
    <n v="0"/>
    <x v="272"/>
    <s v="Alicia Mendoza Rangel"/>
    <x v="1"/>
  </r>
  <r>
    <n v="204"/>
    <n v="268"/>
    <n v="2"/>
    <n v="24.23"/>
    <n v="2.42"/>
    <n v="0"/>
    <n v="0.1"/>
    <s v="ACTIVE"/>
    <m/>
    <s v=""/>
    <m/>
    <d v="2025-11-13T13:15:45"/>
    <d v="2025-11-13T00:00:00"/>
    <x v="1"/>
    <x v="0"/>
    <n v="1"/>
    <n v="0"/>
    <x v="273"/>
    <s v="Verónica Mendoza Chávez"/>
    <x v="1"/>
  </r>
  <r>
    <n v="263"/>
    <n v="211"/>
    <n v="5"/>
    <n v="121.07"/>
    <n v="12.11"/>
    <n v="0"/>
    <n v="0.1"/>
    <s v="ACTIVE"/>
    <m/>
    <s v=""/>
    <m/>
    <d v="2025-11-18T17:07:49"/>
    <d v="2025-11-18T00:00:00"/>
    <x v="1"/>
    <x v="0"/>
    <n v="1"/>
    <n v="0"/>
    <x v="274"/>
    <s v="Martha Sánchez Pérez"/>
    <x v="2"/>
  </r>
  <r>
    <n v="209"/>
    <n v="249"/>
    <n v="5"/>
    <n v="64.02"/>
    <n v="6.4"/>
    <n v="0"/>
    <n v="0.1"/>
    <s v="ACTIVE"/>
    <m/>
    <s v=""/>
    <m/>
    <d v="2025-11-13T19:17:08"/>
    <d v="2025-11-13T00:00:00"/>
    <x v="1"/>
    <x v="0"/>
    <n v="1"/>
    <n v="0"/>
    <x v="275"/>
    <s v="Jorge Chávez Medina"/>
    <x v="2"/>
  </r>
  <r>
    <n v="211"/>
    <n v="265"/>
    <n v="3"/>
    <n v="82.8"/>
    <n v="8.2799999999999994"/>
    <n v="0"/>
    <n v="0.1"/>
    <s v="ACTIVE"/>
    <m/>
    <s v=""/>
    <m/>
    <d v="2025-11-14T09:46:30"/>
    <d v="2025-11-14T00:00:00"/>
    <x v="1"/>
    <x v="0"/>
    <n v="1"/>
    <n v="0"/>
    <x v="276"/>
    <s v="Alejandro Flores González"/>
    <x v="0"/>
  </r>
  <r>
    <n v="223"/>
    <n v="264"/>
    <n v="5"/>
    <n v="183.9"/>
    <n v="18.39"/>
    <n v="0"/>
    <n v="0.1"/>
    <s v="ACTIVE"/>
    <m/>
    <s v=""/>
    <m/>
    <d v="2025-11-15T09:07:54"/>
    <d v="2025-11-15T00:00:00"/>
    <x v="1"/>
    <x v="0"/>
    <n v="1"/>
    <n v="0"/>
    <x v="277"/>
    <s v="Rosa Flores Ortiz"/>
    <x v="2"/>
  </r>
  <r>
    <n v="239"/>
    <n v="288"/>
    <n v="4"/>
    <n v="34.28"/>
    <n v="3.43"/>
    <n v="0"/>
    <n v="0.1"/>
    <s v="ACTIVE"/>
    <m/>
    <s v=""/>
    <m/>
    <d v="2025-11-16T16:19:09"/>
    <d v="2025-11-16T00:00:00"/>
    <x v="1"/>
    <x v="0"/>
    <n v="1"/>
    <n v="0"/>
    <x v="278"/>
    <s v="Daniel Medina Ramos"/>
    <x v="3"/>
  </r>
  <r>
    <n v="250"/>
    <n v="245"/>
    <n v="5"/>
    <n v="19.13"/>
    <n v="1.91"/>
    <n v="0"/>
    <n v="0.1"/>
    <s v="ACTIVE"/>
    <m/>
    <s v=""/>
    <m/>
    <d v="2025-11-17T12:38:57"/>
    <d v="2025-11-17T00:00:00"/>
    <x v="1"/>
    <x v="0"/>
    <n v="1"/>
    <n v="0"/>
    <x v="279"/>
    <s v="Ana González Flores"/>
    <x v="2"/>
  </r>
  <r>
    <n v="302"/>
    <n v="261"/>
    <n v="5"/>
    <n v="59.41"/>
    <n v="5.94"/>
    <n v="0"/>
    <n v="0.1"/>
    <s v="ACTIVE"/>
    <m/>
    <s v=""/>
    <m/>
    <d v="2025-11-22T09:09:39"/>
    <d v="2025-11-22T00:00:00"/>
    <x v="1"/>
    <x v="0"/>
    <n v="1"/>
    <n v="0"/>
    <x v="280"/>
    <s v="Carmen Moreno Delgado"/>
    <x v="2"/>
  </r>
  <r>
    <n v="303"/>
    <n v="16"/>
    <n v="5"/>
    <n v="130.58000000000001"/>
    <n v="0"/>
    <n v="1"/>
    <n v="0.1"/>
    <s v="CANCELED"/>
    <n v="3"/>
    <s v="Monto duplicado por error de sistema"/>
    <d v="2025-11-22T15:16:32"/>
    <d v="2025-11-22T09:16:32"/>
    <d v="2025-11-22T00:00:00"/>
    <x v="1"/>
    <x v="1"/>
    <n v="1"/>
    <n v="1"/>
    <x v="32"/>
    <s v="Laura Chávez Rangel"/>
    <x v="2"/>
  </r>
  <r>
    <n v="304"/>
    <n v="84"/>
    <n v="2"/>
    <n v="38.83"/>
    <n v="3.88"/>
    <n v="0"/>
    <n v="0.1"/>
    <s v="ACTIVE"/>
    <m/>
    <s v=""/>
    <m/>
    <d v="2025-11-22T09:47:33"/>
    <d v="2025-11-22T00:00:00"/>
    <x v="1"/>
    <x v="0"/>
    <n v="1"/>
    <n v="0"/>
    <x v="281"/>
    <s v="Fernando Vázquez Herrera"/>
    <x v="1"/>
  </r>
  <r>
    <n v="305"/>
    <n v="168"/>
    <n v="2"/>
    <n v="17.239999999999998"/>
    <n v="1.72"/>
    <n v="0"/>
    <n v="0.1"/>
    <s v="ACTIVE"/>
    <m/>
    <s v=""/>
    <m/>
    <d v="2025-11-22T10:08:10"/>
    <d v="2025-11-22T00:00:00"/>
    <x v="1"/>
    <x v="0"/>
    <n v="1"/>
    <n v="0"/>
    <x v="282"/>
    <s v="Martha Sánchez García"/>
    <x v="1"/>
  </r>
  <r>
    <n v="306"/>
    <n v="32"/>
    <n v="5"/>
    <n v="39.380000000000003"/>
    <n v="3.94"/>
    <n v="0"/>
    <n v="0.1"/>
    <s v="ACTIVE"/>
    <m/>
    <s v=""/>
    <m/>
    <d v="2025-11-22T10:55:16"/>
    <d v="2025-11-22T00:00:00"/>
    <x v="1"/>
    <x v="0"/>
    <n v="1"/>
    <n v="0"/>
    <x v="283"/>
    <s v="Teresa Delgado Hernández"/>
    <x v="2"/>
  </r>
  <r>
    <n v="307"/>
    <n v="249"/>
    <n v="5"/>
    <n v="135.19999999999999"/>
    <n v="13.52"/>
    <n v="0"/>
    <n v="0.1"/>
    <s v="ACTIVE"/>
    <m/>
    <s v=""/>
    <m/>
    <d v="2025-11-22T11:22:29"/>
    <d v="2025-11-22T00:00:00"/>
    <x v="1"/>
    <x v="0"/>
    <n v="1"/>
    <n v="0"/>
    <x v="284"/>
    <s v="Jorge Chávez Medina"/>
    <x v="2"/>
  </r>
  <r>
    <n v="308"/>
    <n v="155"/>
    <n v="4"/>
    <n v="53.91"/>
    <n v="5.39"/>
    <n v="0"/>
    <n v="0.1"/>
    <s v="ACTIVE"/>
    <m/>
    <s v=""/>
    <m/>
    <d v="2025-11-22T13:23:26"/>
    <d v="2025-11-22T00:00:00"/>
    <x v="1"/>
    <x v="0"/>
    <n v="1"/>
    <n v="0"/>
    <x v="285"/>
    <s v="Óscar Santoyo Ramos"/>
    <x v="3"/>
  </r>
  <r>
    <n v="309"/>
    <n v="137"/>
    <n v="2"/>
    <n v="30.68"/>
    <n v="3.07"/>
    <n v="0"/>
    <n v="0.1"/>
    <s v="ACTIVE"/>
    <m/>
    <s v=""/>
    <m/>
    <d v="2025-11-22T13:54:12"/>
    <d v="2025-11-22T00:00:00"/>
    <x v="1"/>
    <x v="0"/>
    <n v="1"/>
    <n v="0"/>
    <x v="286"/>
    <s v="Francisco Reyes Ruiz"/>
    <x v="1"/>
  </r>
  <r>
    <n v="310"/>
    <n v="38"/>
    <n v="3"/>
    <n v="26.13"/>
    <n v="2.61"/>
    <n v="0"/>
    <n v="0.1"/>
    <s v="ACTIVE"/>
    <m/>
    <s v=""/>
    <m/>
    <d v="2025-11-22T14:00:33"/>
    <d v="2025-11-22T00:00:00"/>
    <x v="1"/>
    <x v="0"/>
    <n v="1"/>
    <n v="0"/>
    <x v="287"/>
    <s v="Verónica Delgado Medina"/>
    <x v="0"/>
  </r>
  <r>
    <n v="311"/>
    <n v="39"/>
    <n v="2"/>
    <n v="173.66"/>
    <n v="17.37"/>
    <n v="0"/>
    <n v="0.1"/>
    <s v="ACTIVE"/>
    <m/>
    <s v=""/>
    <m/>
    <d v="2025-11-22T14:23:42"/>
    <d v="2025-11-22T00:00:00"/>
    <x v="1"/>
    <x v="0"/>
    <n v="1"/>
    <n v="0"/>
    <x v="288"/>
    <s v="Guadalupe García Quiñones"/>
    <x v="1"/>
  </r>
  <r>
    <n v="312"/>
    <n v="76"/>
    <n v="4"/>
    <n v="41.35"/>
    <n v="4.1399999999999997"/>
    <n v="0"/>
    <n v="0.1"/>
    <s v="ACTIVE"/>
    <m/>
    <s v=""/>
    <m/>
    <d v="2025-11-22T15:21:31"/>
    <d v="2025-11-22T00:00:00"/>
    <x v="1"/>
    <x v="0"/>
    <n v="1"/>
    <n v="0"/>
    <x v="289"/>
    <s v="Pedro Jiménez Martínez"/>
    <x v="3"/>
  </r>
  <r>
    <n v="313"/>
    <n v="44"/>
    <n v="4"/>
    <n v="42.84"/>
    <n v="4.28"/>
    <n v="0"/>
    <n v="0.1"/>
    <s v="ACTIVE"/>
    <m/>
    <s v=""/>
    <m/>
    <d v="2025-11-22T15:40:25"/>
    <d v="2025-11-22T00:00:00"/>
    <x v="1"/>
    <x v="0"/>
    <n v="1"/>
    <n v="0"/>
    <x v="290"/>
    <s v="Pedro Herrera Castillo"/>
    <x v="3"/>
  </r>
  <r>
    <n v="314"/>
    <n v="44"/>
    <n v="2"/>
    <n v="19.62"/>
    <n v="1.96"/>
    <n v="0"/>
    <n v="0.1"/>
    <s v="ACTIVE"/>
    <m/>
    <s v=""/>
    <m/>
    <d v="2025-11-22T17:33:51"/>
    <d v="2025-11-22T00:00:00"/>
    <x v="1"/>
    <x v="0"/>
    <n v="1"/>
    <n v="0"/>
    <x v="291"/>
    <s v="Pedro Herrera Castillo"/>
    <x v="1"/>
  </r>
  <r>
    <n v="315"/>
    <n v="138"/>
    <n v="3"/>
    <n v="33"/>
    <n v="3.3"/>
    <n v="0"/>
    <n v="0.1"/>
    <s v="ACTIVE"/>
    <m/>
    <s v=""/>
    <m/>
    <d v="2025-11-22T18:57:14"/>
    <d v="2025-11-22T00:00:00"/>
    <x v="1"/>
    <x v="0"/>
    <n v="1"/>
    <n v="0"/>
    <x v="292"/>
    <s v="Alejandro Reyes Morales"/>
    <x v="0"/>
  </r>
  <r>
    <n v="316"/>
    <n v="16"/>
    <n v="5"/>
    <n v="152.87"/>
    <n v="15.29"/>
    <n v="0"/>
    <n v="0.1"/>
    <s v="ACTIVE"/>
    <m/>
    <s v=""/>
    <m/>
    <d v="2025-11-23T16:07:00"/>
    <d v="2025-11-23T00:00:00"/>
    <x v="1"/>
    <x v="0"/>
    <n v="1"/>
    <n v="0"/>
    <x v="293"/>
    <s v="Laura Chávez Rangel"/>
    <x v="2"/>
  </r>
  <r>
    <n v="317"/>
    <n v="53"/>
    <n v="4"/>
    <n v="39.340000000000003"/>
    <n v="3.93"/>
    <n v="0"/>
    <n v="0.1"/>
    <s v="ACTIVE"/>
    <m/>
    <s v=""/>
    <m/>
    <d v="2025-11-23T16:54:09"/>
    <d v="2025-11-23T00:00:00"/>
    <x v="1"/>
    <x v="0"/>
    <n v="1"/>
    <n v="0"/>
    <x v="294"/>
    <s v="Isabel Ávila López"/>
    <x v="3"/>
  </r>
  <r>
    <n v="318"/>
    <n v="137"/>
    <n v="3"/>
    <n v="49.27"/>
    <n v="4.93"/>
    <n v="0"/>
    <n v="0.1"/>
    <s v="ACTIVE"/>
    <m/>
    <s v=""/>
    <m/>
    <d v="2025-11-24T07:59:35"/>
    <d v="2025-11-24T00:00:00"/>
    <x v="1"/>
    <x v="0"/>
    <n v="1"/>
    <n v="0"/>
    <x v="295"/>
    <s v="Francisco Reyes Ruiz"/>
    <x v="0"/>
  </r>
  <r>
    <n v="319"/>
    <n v="55"/>
    <n v="2"/>
    <n v="43.41"/>
    <n v="4.34"/>
    <n v="0"/>
    <n v="0.1"/>
    <s v="ACTIVE"/>
    <m/>
    <s v=""/>
    <m/>
    <d v="2025-11-24T08:58:23"/>
    <d v="2025-11-24T00:00:00"/>
    <x v="1"/>
    <x v="0"/>
    <n v="1"/>
    <n v="0"/>
    <x v="296"/>
    <s v="Luis Zacatecas Rodríguez"/>
    <x v="1"/>
  </r>
  <r>
    <n v="320"/>
    <n v="13"/>
    <n v="5"/>
    <n v="17.91"/>
    <n v="1.79"/>
    <n v="0"/>
    <n v="0.1"/>
    <s v="ACTIVE"/>
    <m/>
    <s v=""/>
    <m/>
    <d v="2025-11-24T11:16:06"/>
    <d v="2025-11-24T00:00:00"/>
    <x v="1"/>
    <x v="0"/>
    <n v="1"/>
    <n v="0"/>
    <x v="126"/>
    <s v="Laura Rodríguez Quiñones"/>
    <x v="2"/>
  </r>
  <r>
    <n v="321"/>
    <n v="21"/>
    <n v="3"/>
    <n v="23.81"/>
    <n v="2.38"/>
    <n v="0"/>
    <n v="0.1"/>
    <s v="ACTIVE"/>
    <m/>
    <s v=""/>
    <m/>
    <d v="2025-11-24T13:00:25"/>
    <d v="2025-11-24T00:00:00"/>
    <x v="1"/>
    <x v="0"/>
    <n v="1"/>
    <n v="0"/>
    <x v="297"/>
    <s v="Carlos Morales Santoyo"/>
    <x v="0"/>
  </r>
  <r>
    <n v="322"/>
    <n v="65"/>
    <n v="3"/>
    <n v="26.3"/>
    <n v="2.63"/>
    <n v="0"/>
    <n v="0.1"/>
    <s v="ACTIVE"/>
    <m/>
    <s v=""/>
    <m/>
    <d v="2025-11-24T15:22:43"/>
    <d v="2025-11-24T00:00:00"/>
    <x v="1"/>
    <x v="0"/>
    <n v="1"/>
    <n v="0"/>
    <x v="298"/>
    <s v="Gabriela Flores Chávez"/>
    <x v="0"/>
  </r>
  <r>
    <n v="323"/>
    <n v="65"/>
    <n v="2"/>
    <n v="30.94"/>
    <n v="3.09"/>
    <n v="0"/>
    <n v="0.1"/>
    <s v="ACTIVE"/>
    <m/>
    <s v=""/>
    <m/>
    <d v="2025-11-24T16:20:26"/>
    <d v="2025-11-24T00:00:00"/>
    <x v="1"/>
    <x v="0"/>
    <n v="1"/>
    <n v="0"/>
    <x v="299"/>
    <s v="Gabriela Flores Chávez"/>
    <x v="1"/>
  </r>
  <r>
    <n v="324"/>
    <n v="76"/>
    <n v="4"/>
    <n v="90.94"/>
    <n v="9.09"/>
    <n v="0"/>
    <n v="0.1"/>
    <s v="ACTIVE"/>
    <m/>
    <s v=""/>
    <m/>
    <d v="2025-11-24T17:58:02"/>
    <d v="2025-11-24T00:00:00"/>
    <x v="1"/>
    <x v="0"/>
    <n v="1"/>
    <n v="0"/>
    <x v="300"/>
    <s v="Pedro Jiménez Martínez"/>
    <x v="3"/>
  </r>
  <r>
    <n v="325"/>
    <n v="117"/>
    <n v="4"/>
    <n v="137.44"/>
    <n v="13.74"/>
    <n v="0"/>
    <n v="0.1"/>
    <s v="ACTIVE"/>
    <m/>
    <s v=""/>
    <m/>
    <d v="2025-11-24T18:45:30"/>
    <d v="2025-11-24T00:00:00"/>
    <x v="1"/>
    <x v="0"/>
    <n v="1"/>
    <n v="0"/>
    <x v="301"/>
    <s v="Manuel Ortiz Ramírez"/>
    <x v="3"/>
  </r>
  <r>
    <n v="326"/>
    <n v="277"/>
    <n v="3"/>
    <n v="115.14"/>
    <n v="11.51"/>
    <n v="0"/>
    <n v="0.1"/>
    <s v="ACTIVE"/>
    <m/>
    <s v=""/>
    <m/>
    <d v="2025-11-25T09:06:58"/>
    <d v="2025-11-25T00:00:00"/>
    <x v="1"/>
    <x v="0"/>
    <n v="1"/>
    <n v="0"/>
    <x v="302"/>
    <s v="Laura Ramos Gutiérrez"/>
    <x v="0"/>
  </r>
  <r>
    <n v="327"/>
    <n v="44"/>
    <n v="2"/>
    <n v="64.739999999999995"/>
    <n v="6.47"/>
    <n v="0"/>
    <n v="0.1"/>
    <s v="ACTIVE"/>
    <m/>
    <s v=""/>
    <m/>
    <d v="2025-11-25T09:19:32"/>
    <d v="2025-11-25T00:00:00"/>
    <x v="1"/>
    <x v="0"/>
    <n v="1"/>
    <n v="0"/>
    <x v="303"/>
    <s v="Pedro Herrera Castillo"/>
    <x v="1"/>
  </r>
  <r>
    <n v="328"/>
    <n v="57"/>
    <n v="2"/>
    <n v="57.64"/>
    <n v="5.76"/>
    <n v="0"/>
    <n v="0.1"/>
    <s v="ACTIVE"/>
    <m/>
    <s v=""/>
    <m/>
    <d v="2025-11-25T10:46:11"/>
    <d v="2025-11-25T00:00:00"/>
    <x v="1"/>
    <x v="0"/>
    <n v="1"/>
    <n v="0"/>
    <x v="304"/>
    <s v="Isabel Martínez Rodríguez"/>
    <x v="1"/>
  </r>
  <r>
    <n v="329"/>
    <n v="113"/>
    <n v="5"/>
    <n v="45.76"/>
    <n v="4.58"/>
    <n v="0"/>
    <n v="0.1"/>
    <s v="ACTIVE"/>
    <m/>
    <s v=""/>
    <m/>
    <d v="2025-11-25T12:08:40"/>
    <d v="2025-11-25T00:00:00"/>
    <x v="1"/>
    <x v="0"/>
    <n v="1"/>
    <n v="0"/>
    <x v="305"/>
    <s v="Leticia Ruiz Aguilar"/>
    <x v="2"/>
  </r>
  <r>
    <n v="330"/>
    <n v="126"/>
    <n v="3"/>
    <n v="99.24"/>
    <n v="9.92"/>
    <n v="0"/>
    <n v="0.1"/>
    <s v="ACTIVE"/>
    <m/>
    <s v=""/>
    <m/>
    <d v="2025-11-25T13:27:13"/>
    <d v="2025-11-25T00:00:00"/>
    <x v="1"/>
    <x v="0"/>
    <n v="1"/>
    <n v="0"/>
    <x v="306"/>
    <s v="Raúl Ávila Salazar"/>
    <x v="0"/>
  </r>
  <r>
    <n v="331"/>
    <n v="32"/>
    <n v="3"/>
    <n v="37.619999999999997"/>
    <n v="3.76"/>
    <n v="0"/>
    <n v="0.1"/>
    <s v="ACTIVE"/>
    <m/>
    <s v=""/>
    <m/>
    <d v="2025-11-25T15:37:33"/>
    <d v="2025-11-25T00:00:00"/>
    <x v="1"/>
    <x v="0"/>
    <n v="1"/>
    <n v="0"/>
    <x v="307"/>
    <s v="Teresa Delgado Hernández"/>
    <x v="0"/>
  </r>
  <r>
    <n v="332"/>
    <n v="17"/>
    <n v="5"/>
    <n v="107.22"/>
    <n v="10.72"/>
    <n v="0"/>
    <n v="0.1"/>
    <s v="ACTIVE"/>
    <m/>
    <s v=""/>
    <m/>
    <d v="2025-11-26T07:24:11"/>
    <d v="2025-11-26T00:00:00"/>
    <x v="1"/>
    <x v="0"/>
    <n v="1"/>
    <n v="0"/>
    <x v="308"/>
    <s v="Patricia Castillo Morales"/>
    <x v="2"/>
  </r>
  <r>
    <n v="333"/>
    <n v="40"/>
    <n v="3"/>
    <n v="97.08"/>
    <n v="9.7100000000000009"/>
    <n v="0"/>
    <n v="0.1"/>
    <s v="ACTIVE"/>
    <m/>
    <s v=""/>
    <m/>
    <d v="2025-11-26T07:29:11"/>
    <d v="2025-11-26T00:00:00"/>
    <x v="1"/>
    <x v="0"/>
    <n v="1"/>
    <n v="0"/>
    <x v="309"/>
    <s v="Carlos López Cruz"/>
    <x v="0"/>
  </r>
  <r>
    <n v="334"/>
    <n v="16"/>
    <n v="5"/>
    <n v="145.86000000000001"/>
    <n v="14.59"/>
    <n v="0"/>
    <n v="0.1"/>
    <s v="ACTIVE"/>
    <m/>
    <s v=""/>
    <m/>
    <d v="2025-11-26T08:18:22"/>
    <d v="2025-11-26T00:00:00"/>
    <x v="1"/>
    <x v="0"/>
    <n v="1"/>
    <n v="0"/>
    <x v="310"/>
    <s v="Laura Chávez Rangel"/>
    <x v="2"/>
  </r>
  <r>
    <n v="335"/>
    <n v="117"/>
    <n v="3"/>
    <n v="69.44"/>
    <n v="6.94"/>
    <n v="0"/>
    <n v="0.1"/>
    <s v="CANCELED"/>
    <n v="3"/>
    <s v="Error de captura"/>
    <d v="2025-11-26T23:36:37"/>
    <d v="2025-11-26T08:36:37"/>
    <d v="2025-11-26T00:00:00"/>
    <x v="1"/>
    <x v="0"/>
    <n v="1"/>
    <n v="1"/>
    <x v="32"/>
    <s v="Manuel Ortiz Ramírez"/>
    <x v="0"/>
  </r>
  <r>
    <n v="336"/>
    <n v="152"/>
    <n v="2"/>
    <n v="103.96"/>
    <n v="10.4"/>
    <n v="0"/>
    <n v="0.1"/>
    <s v="ACTIVE"/>
    <m/>
    <s v=""/>
    <m/>
    <d v="2025-11-26T08:48:23"/>
    <d v="2025-11-26T00:00:00"/>
    <x v="1"/>
    <x v="0"/>
    <n v="1"/>
    <n v="0"/>
    <x v="311"/>
    <s v="Héctor Rangel González"/>
    <x v="1"/>
  </r>
  <r>
    <n v="337"/>
    <n v="117"/>
    <n v="2"/>
    <n v="159.43"/>
    <n v="15.94"/>
    <n v="0"/>
    <n v="0.1"/>
    <s v="ACTIVE"/>
    <m/>
    <s v=""/>
    <m/>
    <d v="2025-11-26T08:57:02"/>
    <d v="2025-11-26T00:00:00"/>
    <x v="1"/>
    <x v="0"/>
    <n v="1"/>
    <n v="0"/>
    <x v="312"/>
    <s v="Manuel Ortiz Ramírez"/>
    <x v="1"/>
  </r>
  <r>
    <n v="338"/>
    <n v="62"/>
    <n v="5"/>
    <n v="34.75"/>
    <n v="3.48"/>
    <n v="0"/>
    <n v="0.1"/>
    <s v="ACTIVE"/>
    <m/>
    <s v=""/>
    <m/>
    <d v="2025-11-26T10:08:25"/>
    <d v="2025-11-26T00:00:00"/>
    <x v="1"/>
    <x v="0"/>
    <n v="1"/>
    <n v="0"/>
    <x v="313"/>
    <s v="Rosa González Ortiz"/>
    <x v="2"/>
  </r>
  <r>
    <n v="339"/>
    <n v="262"/>
    <n v="3"/>
    <n v="58.54"/>
    <n v="5.85"/>
    <n v="0"/>
    <n v="0.1"/>
    <s v="ACTIVE"/>
    <m/>
    <s v=""/>
    <m/>
    <d v="2025-11-26T11:06:47"/>
    <d v="2025-11-26T00:00:00"/>
    <x v="1"/>
    <x v="0"/>
    <n v="1"/>
    <n v="0"/>
    <x v="314"/>
    <s v="Guadalupe Cruz Aguilar"/>
    <x v="0"/>
  </r>
  <r>
    <n v="340"/>
    <n v="104"/>
    <n v="3"/>
    <n v="251.9"/>
    <n v="25.19"/>
    <n v="0"/>
    <n v="0.1"/>
    <s v="ACTIVE"/>
    <m/>
    <s v=""/>
    <m/>
    <d v="2025-11-26T11:18:02"/>
    <d v="2025-11-26T00:00:00"/>
    <x v="1"/>
    <x v="0"/>
    <n v="1"/>
    <n v="0"/>
    <x v="315"/>
    <s v="Manuel Morales González"/>
    <x v="0"/>
  </r>
  <r>
    <n v="341"/>
    <n v="39"/>
    <n v="2"/>
    <n v="224.24"/>
    <n v="22.42"/>
    <n v="0"/>
    <n v="0.1"/>
    <s v="ACTIVE"/>
    <m/>
    <s v=""/>
    <m/>
    <d v="2025-11-26T12:01:21"/>
    <d v="2025-11-26T00:00:00"/>
    <x v="1"/>
    <x v="0"/>
    <n v="1"/>
    <n v="0"/>
    <x v="316"/>
    <s v="Guadalupe García Quiñones"/>
    <x v="1"/>
  </r>
  <r>
    <n v="342"/>
    <n v="251"/>
    <n v="3"/>
    <n v="66.47"/>
    <n v="6.65"/>
    <n v="0"/>
    <n v="0.1"/>
    <s v="ACTIVE"/>
    <m/>
    <s v=""/>
    <m/>
    <d v="2025-11-26T12:26:54"/>
    <d v="2025-11-26T00:00:00"/>
    <x v="1"/>
    <x v="0"/>
    <n v="1"/>
    <n v="0"/>
    <x v="317"/>
    <s v="Rosa Herrera Sánchez"/>
    <x v="0"/>
  </r>
  <r>
    <n v="343"/>
    <n v="266"/>
    <n v="2"/>
    <n v="252.37"/>
    <n v="25.24"/>
    <n v="0"/>
    <n v="0.1"/>
    <s v="ACTIVE"/>
    <m/>
    <s v=""/>
    <m/>
    <d v="2025-11-26T14:31:09"/>
    <d v="2025-11-26T00:00:00"/>
    <x v="1"/>
    <x v="0"/>
    <n v="1"/>
    <n v="0"/>
    <x v="318"/>
    <s v="Martha Rangel Santoyo"/>
    <x v="1"/>
  </r>
  <r>
    <n v="344"/>
    <n v="51"/>
    <n v="4"/>
    <n v="197.8"/>
    <n v="19.78"/>
    <n v="0"/>
    <n v="0.1"/>
    <s v="CANCELED"/>
    <n v="2"/>
    <s v="Solicitud del cliente"/>
    <d v="2025-11-28T12:09:07"/>
    <d v="2025-11-26T15:09:07"/>
    <d v="2025-11-26T00:00:00"/>
    <x v="1"/>
    <x v="0"/>
    <n v="1"/>
    <n v="1"/>
    <x v="32"/>
    <s v="Sergio Rangel Ramos"/>
    <x v="3"/>
  </r>
  <r>
    <n v="345"/>
    <n v="245"/>
    <n v="5"/>
    <n v="28.49"/>
    <n v="2.85"/>
    <n v="0"/>
    <n v="0.1"/>
    <s v="ACTIVE"/>
    <m/>
    <s v=""/>
    <m/>
    <d v="2025-11-26T15:29:55"/>
    <d v="2025-11-26T00:00:00"/>
    <x v="1"/>
    <x v="0"/>
    <n v="1"/>
    <n v="0"/>
    <x v="319"/>
    <s v="Ana González Flores"/>
    <x v="2"/>
  </r>
  <r>
    <n v="346"/>
    <n v="39"/>
    <n v="4"/>
    <n v="157.72999999999999"/>
    <n v="0"/>
    <n v="1"/>
    <n v="0.1"/>
    <s v="ACTIVE"/>
    <m/>
    <s v=""/>
    <m/>
    <d v="2025-11-26T18:19:29"/>
    <d v="2025-11-26T00:00:00"/>
    <x v="1"/>
    <x v="1"/>
    <n v="1"/>
    <n v="0"/>
    <x v="320"/>
    <s v="Guadalupe García Quiñones"/>
    <x v="3"/>
  </r>
  <r>
    <n v="347"/>
    <n v="44"/>
    <n v="3"/>
    <n v="28.62"/>
    <n v="2.86"/>
    <n v="0"/>
    <n v="0.1"/>
    <s v="ACTIVE"/>
    <m/>
    <s v=""/>
    <m/>
    <d v="2025-11-26T19:46:17"/>
    <d v="2025-11-26T00:00:00"/>
    <x v="1"/>
    <x v="0"/>
    <n v="1"/>
    <n v="0"/>
    <x v="321"/>
    <s v="Pedro Herrera Castillo"/>
    <x v="0"/>
  </r>
  <r>
    <n v="348"/>
    <n v="137"/>
    <n v="4"/>
    <n v="40.83"/>
    <n v="4.08"/>
    <n v="0"/>
    <n v="0.1"/>
    <s v="CANCELED"/>
    <n v="3"/>
    <s v="Solicitud del cliente"/>
    <d v="2025-11-28T21:44:15"/>
    <d v="2025-11-27T09:44:15"/>
    <d v="2025-11-27T00:00:00"/>
    <x v="1"/>
    <x v="0"/>
    <n v="1"/>
    <n v="1"/>
    <x v="32"/>
    <s v="Francisco Reyes Ruiz"/>
    <x v="3"/>
  </r>
  <r>
    <n v="349"/>
    <n v="240"/>
    <n v="5"/>
    <n v="187.54"/>
    <n v="18.75"/>
    <n v="0"/>
    <n v="0.1"/>
    <s v="ACTIVE"/>
    <m/>
    <s v=""/>
    <m/>
    <d v="2025-11-27T10:02:43"/>
    <d v="2025-11-27T00:00:00"/>
    <x v="1"/>
    <x v="0"/>
    <n v="1"/>
    <n v="0"/>
    <x v="322"/>
    <s v="Pedro Castillo Quiñones"/>
    <x v="2"/>
  </r>
  <r>
    <n v="350"/>
    <n v="266"/>
    <n v="5"/>
    <n v="106.97"/>
    <n v="10.7"/>
    <n v="0"/>
    <n v="0.1"/>
    <s v="ACTIVE"/>
    <m/>
    <s v=""/>
    <m/>
    <d v="2025-11-27T12:34:09"/>
    <d v="2025-11-27T00:00:00"/>
    <x v="1"/>
    <x v="0"/>
    <n v="1"/>
    <n v="0"/>
    <x v="323"/>
    <s v="Martha Rangel Santoyo"/>
    <x v="2"/>
  </r>
  <r>
    <n v="351"/>
    <n v="106"/>
    <n v="2"/>
    <n v="111.46"/>
    <n v="11.15"/>
    <n v="0"/>
    <n v="0.1"/>
    <s v="ACTIVE"/>
    <m/>
    <s v=""/>
    <m/>
    <d v="2025-11-27T16:52:23"/>
    <d v="2025-11-27T00:00:00"/>
    <x v="1"/>
    <x v="0"/>
    <n v="1"/>
    <n v="0"/>
    <x v="324"/>
    <s v="Isabel García Santoyo"/>
    <x v="1"/>
  </r>
  <r>
    <n v="352"/>
    <n v="137"/>
    <n v="4"/>
    <n v="41.24"/>
    <n v="4.12"/>
    <n v="0"/>
    <n v="0.1"/>
    <s v="ACTIVE"/>
    <m/>
    <s v=""/>
    <m/>
    <d v="2025-11-27T17:41:06"/>
    <d v="2025-11-27T00:00:00"/>
    <x v="1"/>
    <x v="0"/>
    <n v="1"/>
    <n v="0"/>
    <x v="325"/>
    <s v="Francisco Reyes Ruiz"/>
    <x v="3"/>
  </r>
  <r>
    <n v="353"/>
    <n v="207"/>
    <n v="3"/>
    <n v="38.409999999999997"/>
    <n v="3.84"/>
    <n v="0"/>
    <n v="0.1"/>
    <s v="ACTIVE"/>
    <m/>
    <s v=""/>
    <m/>
    <d v="2025-11-28T10:05:47"/>
    <d v="2025-11-28T00:00:00"/>
    <x v="1"/>
    <x v="0"/>
    <n v="1"/>
    <n v="0"/>
    <x v="326"/>
    <s v="Leticia Vázquez Gutiérrez"/>
    <x v="0"/>
  </r>
  <r>
    <n v="354"/>
    <n v="117"/>
    <n v="3"/>
    <n v="79.989999999999995"/>
    <n v="8"/>
    <n v="0"/>
    <n v="0.1"/>
    <s v="ACTIVE"/>
    <m/>
    <s v=""/>
    <m/>
    <d v="2025-11-28T10:09:48"/>
    <d v="2025-11-28T00:00:00"/>
    <x v="1"/>
    <x v="0"/>
    <n v="1"/>
    <n v="0"/>
    <x v="327"/>
    <s v="Manuel Ortiz Ramírez"/>
    <x v="0"/>
  </r>
  <r>
    <n v="355"/>
    <n v="44"/>
    <n v="4"/>
    <n v="39.18"/>
    <n v="3.92"/>
    <n v="0"/>
    <n v="0.1"/>
    <s v="ACTIVE"/>
    <m/>
    <s v=""/>
    <m/>
    <d v="2025-11-28T10:23:19"/>
    <d v="2025-11-28T00:00:00"/>
    <x v="1"/>
    <x v="0"/>
    <n v="1"/>
    <n v="0"/>
    <x v="328"/>
    <s v="Pedro Herrera Castillo"/>
    <x v="3"/>
  </r>
  <r>
    <n v="356"/>
    <n v="57"/>
    <n v="2"/>
    <n v="85.63"/>
    <n v="8.56"/>
    <n v="0"/>
    <n v="0.1"/>
    <s v="ACTIVE"/>
    <m/>
    <s v=""/>
    <m/>
    <d v="2025-11-28T11:09:32"/>
    <d v="2025-11-28T00:00:00"/>
    <x v="1"/>
    <x v="0"/>
    <n v="1"/>
    <n v="0"/>
    <x v="329"/>
    <s v="Isabel Martínez Rodríguez"/>
    <x v="1"/>
  </r>
  <r>
    <n v="357"/>
    <n v="106"/>
    <n v="3"/>
    <n v="88.83"/>
    <n v="8.8800000000000008"/>
    <n v="0"/>
    <n v="0.1"/>
    <s v="ACTIVE"/>
    <m/>
    <s v=""/>
    <m/>
    <d v="2025-11-28T16:51:23"/>
    <d v="2025-11-28T00:00:00"/>
    <x v="1"/>
    <x v="0"/>
    <n v="1"/>
    <n v="0"/>
    <x v="330"/>
    <s v="Isabel García Santoyo"/>
    <x v="0"/>
  </r>
  <r>
    <n v="358"/>
    <n v="300"/>
    <n v="3"/>
    <n v="61.24"/>
    <n v="6.12"/>
    <n v="0"/>
    <n v="0.1"/>
    <s v="ACTIVE"/>
    <m/>
    <s v=""/>
    <m/>
    <d v="2025-11-28T17:51:39"/>
    <d v="2025-11-28T00:00:00"/>
    <x v="1"/>
    <x v="0"/>
    <n v="1"/>
    <n v="0"/>
    <x v="331"/>
    <s v="Antonio Salazar Medina"/>
    <x v="0"/>
  </r>
  <r>
    <n v="359"/>
    <n v="7"/>
    <n v="5"/>
    <n v="74.31"/>
    <n v="7.43"/>
    <n v="0"/>
    <n v="0.1"/>
    <s v="ACTIVE"/>
    <m/>
    <s v=""/>
    <m/>
    <d v="2025-11-28T18:42:25"/>
    <d v="2025-11-28T00:00:00"/>
    <x v="1"/>
    <x v="0"/>
    <n v="1"/>
    <n v="0"/>
    <x v="332"/>
    <s v="Teresa Rodríguez Herrera"/>
    <x v="2"/>
  </r>
  <r>
    <n v="360"/>
    <n v="117"/>
    <n v="4"/>
    <n v="74.83"/>
    <n v="7.48"/>
    <n v="0"/>
    <n v="0.1"/>
    <s v="ACTIVE"/>
    <m/>
    <s v=""/>
    <m/>
    <d v="2025-11-29T07:23:31"/>
    <d v="2025-11-29T00:00:00"/>
    <x v="1"/>
    <x v="0"/>
    <n v="1"/>
    <n v="0"/>
    <x v="333"/>
    <s v="Manuel Ortiz Ramírez"/>
    <x v="3"/>
  </r>
  <r>
    <n v="361"/>
    <n v="202"/>
    <n v="4"/>
    <n v="18.97"/>
    <n v="1.9"/>
    <n v="0"/>
    <n v="0.1"/>
    <s v="ACTIVE"/>
    <m/>
    <s v=""/>
    <m/>
    <d v="2025-11-29T09:16:21"/>
    <d v="2025-11-29T00:00:00"/>
    <x v="1"/>
    <x v="0"/>
    <n v="1"/>
    <n v="0"/>
    <x v="334"/>
    <s v="Elena Díaz Reyes"/>
    <x v="3"/>
  </r>
  <r>
    <n v="362"/>
    <n v="202"/>
    <n v="3"/>
    <n v="29.95"/>
    <n v="3"/>
    <n v="0"/>
    <n v="0.1"/>
    <s v="ACTIVE"/>
    <m/>
    <s v=""/>
    <m/>
    <d v="2025-11-29T09:26:49"/>
    <d v="2025-11-29T00:00:00"/>
    <x v="1"/>
    <x v="0"/>
    <n v="1"/>
    <n v="0"/>
    <x v="335"/>
    <s v="Elena Díaz Reyes"/>
    <x v="0"/>
  </r>
  <r>
    <n v="363"/>
    <n v="38"/>
    <n v="2"/>
    <n v="19.39"/>
    <n v="1.94"/>
    <n v="0"/>
    <n v="0.1"/>
    <s v="ACTIVE"/>
    <m/>
    <s v=""/>
    <m/>
    <d v="2025-11-29T09:44:09"/>
    <d v="2025-11-29T00:00:00"/>
    <x v="1"/>
    <x v="0"/>
    <n v="1"/>
    <n v="0"/>
    <x v="336"/>
    <s v="Verónica Delgado Medina"/>
    <x v="1"/>
  </r>
  <r>
    <n v="364"/>
    <n v="48"/>
    <n v="5"/>
    <n v="76.47"/>
    <n v="7.65"/>
    <n v="0"/>
    <n v="0.1"/>
    <s v="ACTIVE"/>
    <m/>
    <s v=""/>
    <m/>
    <d v="2025-11-29T10:00:45"/>
    <d v="2025-11-29T00:00:00"/>
    <x v="1"/>
    <x v="0"/>
    <n v="1"/>
    <n v="0"/>
    <x v="337"/>
    <s v="Carlos Medina Quiñones"/>
    <x v="2"/>
  </r>
  <r>
    <n v="365"/>
    <n v="137"/>
    <n v="4"/>
    <n v="44.48"/>
    <n v="4.45"/>
    <n v="0"/>
    <n v="0.1"/>
    <s v="ACTIVE"/>
    <m/>
    <s v=""/>
    <m/>
    <d v="2025-11-29T11:26:24"/>
    <d v="2025-11-29T00:00:00"/>
    <x v="1"/>
    <x v="0"/>
    <n v="1"/>
    <n v="0"/>
    <x v="338"/>
    <s v="Francisco Reyes Ruiz"/>
    <x v="3"/>
  </r>
  <r>
    <n v="366"/>
    <n v="52"/>
    <n v="4"/>
    <n v="26.07"/>
    <n v="2.61"/>
    <n v="0"/>
    <n v="0.1"/>
    <s v="ACTIVE"/>
    <m/>
    <s v=""/>
    <m/>
    <d v="2025-11-29T12:19:12"/>
    <d v="2025-11-29T00:00:00"/>
    <x v="1"/>
    <x v="0"/>
    <n v="1"/>
    <n v="0"/>
    <x v="339"/>
    <s v="Gabriela Villalobos Flores"/>
    <x v="3"/>
  </r>
  <r>
    <n v="367"/>
    <n v="138"/>
    <n v="3"/>
    <n v="22.77"/>
    <n v="2.2799999999999998"/>
    <n v="0"/>
    <n v="0.1"/>
    <s v="ACTIVE"/>
    <m/>
    <s v=""/>
    <m/>
    <d v="2025-11-29T13:22:21"/>
    <d v="2025-11-29T00:00:00"/>
    <x v="1"/>
    <x v="0"/>
    <n v="1"/>
    <n v="0"/>
    <x v="340"/>
    <s v="Alejandro Reyes Morales"/>
    <x v="0"/>
  </r>
  <r>
    <n v="368"/>
    <n v="217"/>
    <n v="5"/>
    <n v="43.38"/>
    <n v="4.34"/>
    <n v="0"/>
    <n v="0.1"/>
    <s v="CANCELED"/>
    <n v="2"/>
    <s v="Monto duplicado por error de sistema"/>
    <d v="2025-11-29T18:44:48"/>
    <d v="2025-11-29T13:44:48"/>
    <d v="2025-11-29T00:00:00"/>
    <x v="1"/>
    <x v="0"/>
    <n v="1"/>
    <n v="1"/>
    <x v="32"/>
    <s v="Francisco Rangel Rodríguez"/>
    <x v="2"/>
  </r>
  <r>
    <n v="369"/>
    <n v="137"/>
    <n v="2"/>
    <n v="16.86"/>
    <n v="1.69"/>
    <n v="0"/>
    <n v="0.1"/>
    <s v="ACTIVE"/>
    <m/>
    <s v=""/>
    <m/>
    <d v="2025-11-29T14:58:56"/>
    <d v="2025-11-29T00:00:00"/>
    <x v="1"/>
    <x v="0"/>
    <n v="1"/>
    <n v="0"/>
    <x v="341"/>
    <s v="Francisco Reyes Ruiz"/>
    <x v="1"/>
  </r>
  <r>
    <n v="370"/>
    <n v="46"/>
    <n v="5"/>
    <n v="36.93"/>
    <n v="3.69"/>
    <n v="0"/>
    <n v="0.1"/>
    <s v="ACTIVE"/>
    <m/>
    <s v=""/>
    <m/>
    <d v="2025-11-29T15:22:27"/>
    <d v="2025-11-29T00:00:00"/>
    <x v="1"/>
    <x v="0"/>
    <n v="1"/>
    <n v="0"/>
    <x v="342"/>
    <s v="Pedro Ortiz Reyes"/>
    <x v="2"/>
  </r>
  <r>
    <n v="371"/>
    <n v="186"/>
    <n v="2"/>
    <n v="111.77"/>
    <n v="11.18"/>
    <n v="0"/>
    <n v="0.1"/>
    <s v="ACTIVE"/>
    <m/>
    <s v=""/>
    <m/>
    <d v="2025-11-29T16:07:31"/>
    <d v="2025-11-29T00:00:00"/>
    <x v="1"/>
    <x v="0"/>
    <n v="1"/>
    <n v="0"/>
    <x v="343"/>
    <s v="Héctor Cruz Rodríguez"/>
    <x v="1"/>
  </r>
  <r>
    <n v="372"/>
    <n v="38"/>
    <n v="2"/>
    <n v="37.49"/>
    <n v="3.75"/>
    <n v="0"/>
    <n v="0.1"/>
    <s v="ACTIVE"/>
    <m/>
    <s v=""/>
    <m/>
    <d v="2025-11-29T16:43:09"/>
    <d v="2025-11-29T00:00:00"/>
    <x v="1"/>
    <x v="0"/>
    <n v="1"/>
    <n v="0"/>
    <x v="344"/>
    <s v="Verónica Delgado Medina"/>
    <x v="1"/>
  </r>
  <r>
    <n v="373"/>
    <n v="70"/>
    <n v="5"/>
    <n v="214.64"/>
    <n v="21.46"/>
    <n v="0"/>
    <n v="0.1"/>
    <s v="ACTIVE"/>
    <m/>
    <s v=""/>
    <m/>
    <d v="2025-11-29T17:44:08"/>
    <d v="2025-11-29T00:00:00"/>
    <x v="1"/>
    <x v="0"/>
    <n v="1"/>
    <n v="0"/>
    <x v="345"/>
    <s v="Manuel Ávila Martínez"/>
    <x v="2"/>
  </r>
  <r>
    <n v="374"/>
    <n v="126"/>
    <n v="2"/>
    <n v="165.26"/>
    <n v="16.53"/>
    <n v="0"/>
    <n v="0.1"/>
    <s v="ACTIVE"/>
    <m/>
    <s v=""/>
    <m/>
    <d v="2025-11-29T17:51:03"/>
    <d v="2025-11-29T00:00:00"/>
    <x v="1"/>
    <x v="0"/>
    <n v="1"/>
    <n v="0"/>
    <x v="346"/>
    <s v="Raúl Ávila Salazar"/>
    <x v="1"/>
  </r>
  <r>
    <n v="375"/>
    <n v="72"/>
    <n v="4"/>
    <n v="18.88"/>
    <n v="1.89"/>
    <n v="0"/>
    <n v="0.1"/>
    <s v="ACTIVE"/>
    <m/>
    <s v=""/>
    <m/>
    <d v="2025-11-29T19:45:36"/>
    <d v="2025-11-29T00:00:00"/>
    <x v="1"/>
    <x v="0"/>
    <n v="1"/>
    <n v="0"/>
    <x v="347"/>
    <s v="Miguel Castillo Morales"/>
    <x v="3"/>
  </r>
  <r>
    <n v="376"/>
    <n v="16"/>
    <n v="2"/>
    <n v="148.19"/>
    <n v="14.82"/>
    <n v="0"/>
    <n v="0.1"/>
    <s v="ACTIVE"/>
    <m/>
    <s v=""/>
    <m/>
    <d v="2025-11-30T08:35:26"/>
    <d v="2025-11-30T00:00:00"/>
    <x v="1"/>
    <x v="0"/>
    <n v="1"/>
    <n v="0"/>
    <x v="348"/>
    <s v="Laura Chávez Rangel"/>
    <x v="1"/>
  </r>
  <r>
    <n v="377"/>
    <n v="151"/>
    <n v="3"/>
    <n v="140.74"/>
    <n v="14.07"/>
    <n v="0"/>
    <n v="0.1"/>
    <s v="ACTIVE"/>
    <m/>
    <s v=""/>
    <m/>
    <d v="2025-11-30T09:16:47"/>
    <d v="2025-11-30T00:00:00"/>
    <x v="1"/>
    <x v="0"/>
    <n v="1"/>
    <n v="0"/>
    <x v="349"/>
    <s v="Verónica Salazar Ramos"/>
    <x v="0"/>
  </r>
  <r>
    <n v="378"/>
    <n v="63"/>
    <n v="2"/>
    <n v="19.760000000000002"/>
    <n v="1.98"/>
    <n v="0"/>
    <n v="0.1"/>
    <s v="ACTIVE"/>
    <m/>
    <s v=""/>
    <m/>
    <d v="2025-11-30T10:34:10"/>
    <d v="2025-11-30T00:00:00"/>
    <x v="1"/>
    <x v="0"/>
    <n v="1"/>
    <n v="0"/>
    <x v="350"/>
    <s v="Teresa Mendoza Delgado"/>
    <x v="1"/>
  </r>
  <r>
    <n v="379"/>
    <n v="240"/>
    <n v="5"/>
    <n v="146.71"/>
    <n v="14.67"/>
    <n v="0"/>
    <n v="0.1"/>
    <s v="ACTIVE"/>
    <m/>
    <s v=""/>
    <m/>
    <d v="2025-11-30T10:45:58"/>
    <d v="2025-11-30T00:00:00"/>
    <x v="1"/>
    <x v="0"/>
    <n v="1"/>
    <n v="0"/>
    <x v="351"/>
    <s v="Pedro Castillo Quiñones"/>
    <x v="2"/>
  </r>
  <r>
    <n v="380"/>
    <n v="18"/>
    <n v="4"/>
    <n v="82.29"/>
    <n v="8.23"/>
    <n v="0"/>
    <n v="0.1"/>
    <s v="ACTIVE"/>
    <m/>
    <s v=""/>
    <m/>
    <d v="2025-11-30T11:00:14"/>
    <d v="2025-11-30T00:00:00"/>
    <x v="1"/>
    <x v="0"/>
    <n v="1"/>
    <n v="0"/>
    <x v="352"/>
    <s v="Carlos Gómez Ávila"/>
    <x v="3"/>
  </r>
  <r>
    <n v="381"/>
    <n v="40"/>
    <n v="3"/>
    <n v="84.93"/>
    <n v="8.49"/>
    <n v="0"/>
    <n v="0.1"/>
    <s v="ACTIVE"/>
    <m/>
    <s v=""/>
    <m/>
    <d v="2025-11-30T14:20:53"/>
    <d v="2025-11-30T00:00:00"/>
    <x v="1"/>
    <x v="0"/>
    <n v="1"/>
    <n v="0"/>
    <x v="353"/>
    <s v="Carlos López Cruz"/>
    <x v="0"/>
  </r>
  <r>
    <n v="382"/>
    <n v="35"/>
    <n v="5"/>
    <n v="18.47"/>
    <n v="1.85"/>
    <n v="0"/>
    <n v="0.1"/>
    <s v="ACTIVE"/>
    <m/>
    <s v=""/>
    <m/>
    <d v="2025-11-30T15:18:26"/>
    <d v="2025-11-30T00:00:00"/>
    <x v="1"/>
    <x v="0"/>
    <n v="1"/>
    <n v="0"/>
    <x v="354"/>
    <s v="Teresa Ramírez Ramírez"/>
    <x v="2"/>
  </r>
  <r>
    <n v="383"/>
    <n v="141"/>
    <n v="4"/>
    <n v="90.46"/>
    <n v="9.0500000000000007"/>
    <n v="0"/>
    <n v="0.1"/>
    <s v="ACTIVE"/>
    <m/>
    <s v=""/>
    <m/>
    <d v="2025-12-01T07:27:01"/>
    <d v="2025-12-01T00:00:00"/>
    <x v="2"/>
    <x v="0"/>
    <n v="1"/>
    <n v="0"/>
    <x v="355"/>
    <s v="Antonio Chávez Martínez"/>
    <x v="3"/>
  </r>
  <r>
    <n v="384"/>
    <n v="52"/>
    <n v="3"/>
    <n v="31.1"/>
    <n v="3.11"/>
    <n v="0"/>
    <n v="0.1"/>
    <s v="ACTIVE"/>
    <m/>
    <s v=""/>
    <m/>
    <d v="2025-12-01T09:02:20"/>
    <d v="2025-12-01T00:00:00"/>
    <x v="2"/>
    <x v="0"/>
    <n v="1"/>
    <n v="0"/>
    <x v="356"/>
    <s v="Gabriela Villalobos Flores"/>
    <x v="0"/>
  </r>
  <r>
    <n v="385"/>
    <n v="113"/>
    <n v="4"/>
    <n v="36.74"/>
    <n v="3.67"/>
    <n v="0"/>
    <n v="0.1"/>
    <s v="ACTIVE"/>
    <m/>
    <s v=""/>
    <m/>
    <d v="2025-12-01T10:28:27"/>
    <d v="2025-12-01T00:00:00"/>
    <x v="2"/>
    <x v="0"/>
    <n v="1"/>
    <n v="0"/>
    <x v="357"/>
    <s v="Leticia Ruiz Aguilar"/>
    <x v="3"/>
  </r>
  <r>
    <n v="386"/>
    <n v="117"/>
    <n v="2"/>
    <n v="77.11"/>
    <n v="7.71"/>
    <n v="0"/>
    <n v="0.1"/>
    <s v="ACTIVE"/>
    <m/>
    <s v=""/>
    <m/>
    <d v="2025-12-01T10:37:22"/>
    <d v="2025-12-01T00:00:00"/>
    <x v="2"/>
    <x v="0"/>
    <n v="1"/>
    <n v="0"/>
    <x v="358"/>
    <s v="Manuel Ortiz Ramírez"/>
    <x v="1"/>
  </r>
  <r>
    <n v="387"/>
    <n v="38"/>
    <n v="2"/>
    <n v="33.93"/>
    <n v="3.39"/>
    <n v="0"/>
    <n v="0.1"/>
    <s v="ACTIVE"/>
    <m/>
    <s v=""/>
    <m/>
    <d v="2025-12-01T11:43:27"/>
    <d v="2025-12-01T00:00:00"/>
    <x v="2"/>
    <x v="0"/>
    <n v="1"/>
    <n v="0"/>
    <x v="359"/>
    <s v="Verónica Delgado Medina"/>
    <x v="1"/>
  </r>
  <r>
    <n v="388"/>
    <n v="85"/>
    <n v="2"/>
    <n v="90.76"/>
    <n v="9.08"/>
    <n v="0"/>
    <n v="0.1"/>
    <s v="ACTIVE"/>
    <m/>
    <s v=""/>
    <m/>
    <d v="2025-12-01T13:37:56"/>
    <d v="2025-12-01T00:00:00"/>
    <x v="2"/>
    <x v="0"/>
    <n v="1"/>
    <n v="0"/>
    <x v="360"/>
    <s v="Guadalupe Ruiz Sánchez"/>
    <x v="1"/>
  </r>
  <r>
    <n v="389"/>
    <n v="9"/>
    <n v="3"/>
    <n v="25.92"/>
    <n v="2.59"/>
    <n v="0"/>
    <n v="0.1"/>
    <s v="ACTIVE"/>
    <m/>
    <s v=""/>
    <m/>
    <d v="2025-12-01T14:30:04"/>
    <d v="2025-12-01T00:00:00"/>
    <x v="2"/>
    <x v="0"/>
    <n v="1"/>
    <n v="0"/>
    <x v="361"/>
    <s v="Teresa Romero Cruz"/>
    <x v="0"/>
  </r>
  <r>
    <n v="390"/>
    <n v="251"/>
    <n v="2"/>
    <n v="105.17"/>
    <n v="10.52"/>
    <n v="0"/>
    <n v="0.1"/>
    <s v="ACTIVE"/>
    <m/>
    <s v=""/>
    <m/>
    <d v="2025-12-01T15:21:26"/>
    <d v="2025-12-01T00:00:00"/>
    <x v="2"/>
    <x v="0"/>
    <n v="1"/>
    <n v="0"/>
    <x v="362"/>
    <s v="Rosa Herrera Sánchez"/>
    <x v="1"/>
  </r>
  <r>
    <n v="391"/>
    <n v="35"/>
    <n v="4"/>
    <n v="43.33"/>
    <n v="4.33"/>
    <n v="0"/>
    <n v="0.1"/>
    <s v="ACTIVE"/>
    <m/>
    <s v=""/>
    <m/>
    <d v="2025-12-01T16:15:04"/>
    <d v="2025-12-01T00:00:00"/>
    <x v="2"/>
    <x v="0"/>
    <n v="1"/>
    <n v="0"/>
    <x v="363"/>
    <s v="Teresa Ramírez Ramírez"/>
    <x v="3"/>
  </r>
  <r>
    <n v="392"/>
    <n v="94"/>
    <n v="2"/>
    <n v="300"/>
    <n v="30"/>
    <n v="0"/>
    <n v="0.1"/>
    <s v="ACTIVE"/>
    <m/>
    <s v=""/>
    <m/>
    <d v="2025-12-01T16:22:20"/>
    <d v="2025-12-01T00:00:00"/>
    <x v="2"/>
    <x v="0"/>
    <n v="1"/>
    <n v="0"/>
    <x v="74"/>
    <s v="Silvia González Rangel"/>
    <x v="1"/>
  </r>
  <r>
    <n v="393"/>
    <n v="194"/>
    <n v="4"/>
    <n v="60.14"/>
    <n v="6.01"/>
    <n v="0"/>
    <n v="0.1"/>
    <s v="ACTIVE"/>
    <m/>
    <s v=""/>
    <m/>
    <d v="2025-12-01T17:53:17"/>
    <d v="2025-12-01T00:00:00"/>
    <x v="2"/>
    <x v="0"/>
    <n v="1"/>
    <n v="0"/>
    <x v="364"/>
    <s v="Óscar Herrera Gutiérrez"/>
    <x v="3"/>
  </r>
  <r>
    <n v="394"/>
    <n v="245"/>
    <n v="2"/>
    <n v="25.47"/>
    <n v="2.5499999999999998"/>
    <n v="0"/>
    <n v="0.1"/>
    <s v="ACTIVE"/>
    <m/>
    <s v=""/>
    <m/>
    <d v="2025-12-01T18:54:14"/>
    <d v="2025-12-01T00:00:00"/>
    <x v="2"/>
    <x v="0"/>
    <n v="1"/>
    <n v="0"/>
    <x v="365"/>
    <s v="Ana González Flores"/>
    <x v="1"/>
  </r>
  <r>
    <n v="395"/>
    <n v="201"/>
    <n v="4"/>
    <n v="21.6"/>
    <n v="2.16"/>
    <n v="0"/>
    <n v="0.1"/>
    <s v="ACTIVE"/>
    <m/>
    <s v=""/>
    <m/>
    <d v="2025-12-02T08:40:29"/>
    <d v="2025-12-02T00:00:00"/>
    <x v="2"/>
    <x v="0"/>
    <n v="1"/>
    <n v="0"/>
    <x v="366"/>
    <s v="Isabel Vázquez Ramírez"/>
    <x v="3"/>
  </r>
  <r>
    <n v="396"/>
    <n v="265"/>
    <n v="2"/>
    <n v="166.66"/>
    <n v="16.670000000000002"/>
    <n v="0"/>
    <n v="0.1"/>
    <s v="ACTIVE"/>
    <m/>
    <s v=""/>
    <m/>
    <d v="2025-12-02T10:39:54"/>
    <d v="2025-12-02T00:00:00"/>
    <x v="2"/>
    <x v="0"/>
    <n v="1"/>
    <n v="0"/>
    <x v="367"/>
    <s v="Alejandro Flores González"/>
    <x v="1"/>
  </r>
  <r>
    <n v="397"/>
    <n v="150"/>
    <n v="3"/>
    <n v="85.15"/>
    <n v="8.52"/>
    <n v="0"/>
    <n v="0.1"/>
    <s v="ACTIVE"/>
    <m/>
    <s v=""/>
    <m/>
    <d v="2025-12-02T10:44:25"/>
    <d v="2025-12-02T00:00:00"/>
    <x v="2"/>
    <x v="0"/>
    <n v="1"/>
    <n v="0"/>
    <x v="368"/>
    <s v="Daniel Díaz Quiñones"/>
    <x v="0"/>
  </r>
  <r>
    <n v="398"/>
    <n v="279"/>
    <n v="4"/>
    <n v="300"/>
    <n v="30"/>
    <n v="0"/>
    <n v="0.1"/>
    <s v="ACTIVE"/>
    <m/>
    <s v=""/>
    <m/>
    <d v="2025-12-02T10:45:24"/>
    <d v="2025-12-02T00:00:00"/>
    <x v="2"/>
    <x v="0"/>
    <n v="1"/>
    <n v="0"/>
    <x v="74"/>
    <s v="Rosa Mendoza Moreno"/>
    <x v="3"/>
  </r>
  <r>
    <n v="399"/>
    <n v="211"/>
    <n v="2"/>
    <n v="51.72"/>
    <n v="5.17"/>
    <n v="0"/>
    <n v="0.1"/>
    <s v="ACTIVE"/>
    <m/>
    <s v=""/>
    <m/>
    <d v="2025-12-02T11:12:26"/>
    <d v="2025-12-02T00:00:00"/>
    <x v="2"/>
    <x v="0"/>
    <n v="1"/>
    <n v="0"/>
    <x v="369"/>
    <s v="Martha Sánchez Pérez"/>
    <x v="1"/>
  </r>
  <r>
    <n v="400"/>
    <n v="137"/>
    <n v="4"/>
    <n v="39.340000000000003"/>
    <n v="3.93"/>
    <n v="0"/>
    <n v="0.1"/>
    <s v="ACTIVE"/>
    <m/>
    <s v=""/>
    <m/>
    <d v="2025-12-02T14:33:46"/>
    <d v="2025-12-02T00:00:00"/>
    <x v="2"/>
    <x v="0"/>
    <n v="1"/>
    <n v="0"/>
    <x v="294"/>
    <s v="Francisco Reyes Ruiz"/>
    <x v="3"/>
  </r>
  <r>
    <n v="401"/>
    <n v="20"/>
    <n v="2"/>
    <n v="44.64"/>
    <n v="4.46"/>
    <n v="0"/>
    <n v="0.1"/>
    <s v="ACTIVE"/>
    <m/>
    <s v=""/>
    <m/>
    <d v="2025-12-02T14:54:07"/>
    <d v="2025-12-02T00:00:00"/>
    <x v="2"/>
    <x v="0"/>
    <n v="1"/>
    <n v="0"/>
    <x v="370"/>
    <s v="Luis Cruz Martínez"/>
    <x v="1"/>
  </r>
  <r>
    <n v="402"/>
    <n v="240"/>
    <n v="4"/>
    <n v="101.59"/>
    <n v="10.16"/>
    <n v="0"/>
    <n v="0.1"/>
    <s v="ACTIVE"/>
    <m/>
    <s v=""/>
    <m/>
    <d v="2025-12-02T15:05:33"/>
    <d v="2025-12-02T00:00:00"/>
    <x v="2"/>
    <x v="0"/>
    <n v="1"/>
    <n v="0"/>
    <x v="371"/>
    <s v="Pedro Castillo Quiñones"/>
    <x v="3"/>
  </r>
  <r>
    <n v="403"/>
    <n v="21"/>
    <n v="3"/>
    <n v="46.77"/>
    <n v="4.68"/>
    <n v="0"/>
    <n v="0.1"/>
    <s v="ACTIVE"/>
    <m/>
    <s v=""/>
    <m/>
    <d v="2025-12-02T15:54:10"/>
    <d v="2025-12-02T00:00:00"/>
    <x v="2"/>
    <x v="0"/>
    <n v="1"/>
    <n v="0"/>
    <x v="372"/>
    <s v="Carlos Morales Santoyo"/>
    <x v="0"/>
  </r>
  <r>
    <n v="404"/>
    <n v="40"/>
    <n v="4"/>
    <n v="58.99"/>
    <n v="5.9"/>
    <n v="0"/>
    <n v="0.1"/>
    <s v="ACTIVE"/>
    <m/>
    <s v=""/>
    <m/>
    <d v="2025-12-02T16:10:50"/>
    <d v="2025-12-02T00:00:00"/>
    <x v="2"/>
    <x v="0"/>
    <n v="1"/>
    <n v="0"/>
    <x v="373"/>
    <s v="Carlos López Cruz"/>
    <x v="3"/>
  </r>
  <r>
    <n v="405"/>
    <n v="92"/>
    <n v="4"/>
    <n v="21.52"/>
    <n v="2.15"/>
    <n v="0"/>
    <n v="0.1"/>
    <s v="ACTIVE"/>
    <m/>
    <s v=""/>
    <m/>
    <d v="2025-12-03T10:33:51"/>
    <d v="2025-12-03T00:00:00"/>
    <x v="2"/>
    <x v="0"/>
    <n v="1"/>
    <n v="0"/>
    <x v="374"/>
    <s v="Irma Aguilar Rodríguez"/>
    <x v="3"/>
  </r>
  <r>
    <n v="406"/>
    <n v="38"/>
    <n v="5"/>
    <n v="33.11"/>
    <n v="3.31"/>
    <n v="0"/>
    <n v="0.1"/>
    <s v="ACTIVE"/>
    <m/>
    <s v=""/>
    <m/>
    <d v="2025-12-03T11:14:43"/>
    <d v="2025-12-03T00:00:00"/>
    <x v="2"/>
    <x v="0"/>
    <n v="1"/>
    <n v="0"/>
    <x v="375"/>
    <s v="Verónica Delgado Medina"/>
    <x v="2"/>
  </r>
  <r>
    <n v="407"/>
    <n v="112"/>
    <n v="5"/>
    <n v="30.94"/>
    <n v="3.09"/>
    <n v="0"/>
    <n v="0.1"/>
    <s v="ACTIVE"/>
    <m/>
    <s v=""/>
    <m/>
    <d v="2025-12-03T11:51:54"/>
    <d v="2025-12-03T00:00:00"/>
    <x v="2"/>
    <x v="0"/>
    <n v="1"/>
    <n v="0"/>
    <x v="299"/>
    <s v="Leticia Díaz López"/>
    <x v="2"/>
  </r>
  <r>
    <n v="408"/>
    <n v="244"/>
    <n v="4"/>
    <n v="64.040000000000006"/>
    <n v="6.4"/>
    <n v="0"/>
    <n v="0.1"/>
    <s v="ACTIVE"/>
    <m/>
    <s v=""/>
    <m/>
    <d v="2025-12-03T12:14:58"/>
    <d v="2025-12-03T00:00:00"/>
    <x v="2"/>
    <x v="0"/>
    <n v="1"/>
    <n v="0"/>
    <x v="376"/>
    <s v="Guadalupe Castillo Hernández"/>
    <x v="3"/>
  </r>
  <r>
    <n v="409"/>
    <n v="55"/>
    <n v="3"/>
    <n v="37.630000000000003"/>
    <n v="3.76"/>
    <n v="0"/>
    <n v="0.1"/>
    <s v="ACTIVE"/>
    <m/>
    <s v=""/>
    <m/>
    <d v="2025-12-03T13:05:25"/>
    <d v="2025-12-03T00:00:00"/>
    <x v="2"/>
    <x v="0"/>
    <n v="1"/>
    <n v="0"/>
    <x v="377"/>
    <s v="Luis Zacatecas Rodríguez"/>
    <x v="0"/>
  </r>
  <r>
    <n v="410"/>
    <n v="29"/>
    <n v="4"/>
    <n v="26.63"/>
    <n v="2.66"/>
    <n v="0"/>
    <n v="0.1"/>
    <s v="ACTIVE"/>
    <m/>
    <s v=""/>
    <m/>
    <d v="2025-12-03T13:57:36"/>
    <d v="2025-12-03T00:00:00"/>
    <x v="2"/>
    <x v="0"/>
    <n v="1"/>
    <n v="0"/>
    <x v="378"/>
    <s v="Héctor Herrera Gómez"/>
    <x v="3"/>
  </r>
  <r>
    <n v="411"/>
    <n v="106"/>
    <n v="4"/>
    <n v="77.400000000000006"/>
    <n v="7.74"/>
    <n v="0"/>
    <n v="0.1"/>
    <s v="ACTIVE"/>
    <m/>
    <s v=""/>
    <m/>
    <d v="2025-12-03T15:17:21"/>
    <d v="2025-12-03T00:00:00"/>
    <x v="2"/>
    <x v="0"/>
    <n v="1"/>
    <n v="0"/>
    <x v="379"/>
    <s v="Isabel García Santoyo"/>
    <x v="3"/>
  </r>
  <r>
    <n v="412"/>
    <n v="21"/>
    <n v="2"/>
    <n v="22.72"/>
    <n v="2.27"/>
    <n v="0"/>
    <n v="0.1"/>
    <s v="ACTIVE"/>
    <m/>
    <s v=""/>
    <m/>
    <d v="2025-12-03T15:31:48"/>
    <d v="2025-12-03T00:00:00"/>
    <x v="2"/>
    <x v="0"/>
    <n v="1"/>
    <n v="0"/>
    <x v="380"/>
    <s v="Carlos Morales Santoyo"/>
    <x v="1"/>
  </r>
  <r>
    <n v="413"/>
    <n v="137"/>
    <n v="5"/>
    <n v="24.26"/>
    <n v="2.4300000000000002"/>
    <n v="0"/>
    <n v="0.1"/>
    <s v="ACTIVE"/>
    <m/>
    <s v=""/>
    <m/>
    <d v="2025-12-03T15:33:43"/>
    <d v="2025-12-03T00:00:00"/>
    <x v="2"/>
    <x v="0"/>
    <n v="1"/>
    <n v="0"/>
    <x v="381"/>
    <s v="Francisco Reyes Ruiz"/>
    <x v="2"/>
  </r>
  <r>
    <n v="414"/>
    <n v="21"/>
    <n v="2"/>
    <n v="37.630000000000003"/>
    <n v="3.76"/>
    <n v="0"/>
    <n v="0.1"/>
    <s v="ACTIVE"/>
    <m/>
    <s v=""/>
    <m/>
    <d v="2025-12-03T16:06:09"/>
    <d v="2025-12-03T00:00:00"/>
    <x v="2"/>
    <x v="0"/>
    <n v="1"/>
    <n v="0"/>
    <x v="377"/>
    <s v="Carlos Morales Santoyo"/>
    <x v="1"/>
  </r>
  <r>
    <n v="415"/>
    <n v="186"/>
    <n v="3"/>
    <n v="119.89"/>
    <n v="11.99"/>
    <n v="0"/>
    <n v="0.1"/>
    <s v="ACTIVE"/>
    <m/>
    <s v=""/>
    <m/>
    <d v="2025-12-03T16:20:49"/>
    <d v="2025-12-03T00:00:00"/>
    <x v="2"/>
    <x v="0"/>
    <n v="1"/>
    <n v="0"/>
    <x v="382"/>
    <s v="Héctor Cruz Rodríguez"/>
    <x v="0"/>
  </r>
  <r>
    <n v="416"/>
    <n v="16"/>
    <n v="2"/>
    <n v="202.95"/>
    <n v="20.3"/>
    <n v="0"/>
    <n v="0.1"/>
    <s v="ACTIVE"/>
    <m/>
    <s v=""/>
    <m/>
    <d v="2025-12-03T16:26:58"/>
    <d v="2025-12-03T00:00:00"/>
    <x v="2"/>
    <x v="0"/>
    <n v="1"/>
    <n v="0"/>
    <x v="383"/>
    <s v="Laura Chávez Rangel"/>
    <x v="1"/>
  </r>
  <r>
    <n v="417"/>
    <n v="65"/>
    <n v="2"/>
    <n v="42.39"/>
    <n v="4.24"/>
    <n v="0"/>
    <n v="0.1"/>
    <s v="ACTIVE"/>
    <m/>
    <s v=""/>
    <m/>
    <d v="2025-12-03T17:31:45"/>
    <d v="2025-12-03T00:00:00"/>
    <x v="2"/>
    <x v="0"/>
    <n v="1"/>
    <n v="0"/>
    <x v="384"/>
    <s v="Gabriela Flores Chávez"/>
    <x v="1"/>
  </r>
  <r>
    <n v="418"/>
    <n v="211"/>
    <n v="3"/>
    <n v="58.72"/>
    <n v="5.87"/>
    <n v="0"/>
    <n v="0.1"/>
    <s v="ACTIVE"/>
    <m/>
    <s v=""/>
    <m/>
    <d v="2025-12-03T18:55:30"/>
    <d v="2025-12-03T00:00:00"/>
    <x v="2"/>
    <x v="0"/>
    <n v="1"/>
    <n v="0"/>
    <x v="385"/>
    <s v="Martha Sánchez Pérez"/>
    <x v="0"/>
  </r>
  <r>
    <n v="419"/>
    <n v="137"/>
    <n v="2"/>
    <n v="19.96"/>
    <n v="2"/>
    <n v="0"/>
    <n v="0.1"/>
    <s v="ACTIVE"/>
    <m/>
    <s v=""/>
    <m/>
    <d v="2025-12-03T19:49:09"/>
    <d v="2025-12-03T00:00:00"/>
    <x v="2"/>
    <x v="0"/>
    <n v="1"/>
    <n v="0"/>
    <x v="386"/>
    <s v="Francisco Reyes Ruiz"/>
    <x v="1"/>
  </r>
  <r>
    <n v="420"/>
    <n v="39"/>
    <n v="5"/>
    <n v="80.36"/>
    <n v="8.0399999999999991"/>
    <n v="0"/>
    <n v="0.1"/>
    <s v="ACTIVE"/>
    <m/>
    <s v=""/>
    <m/>
    <d v="2025-12-04T08:10:45"/>
    <d v="2025-12-04T00:00:00"/>
    <x v="2"/>
    <x v="0"/>
    <n v="1"/>
    <n v="0"/>
    <x v="387"/>
    <s v="Guadalupe García Quiñones"/>
    <x v="2"/>
  </r>
  <r>
    <n v="421"/>
    <n v="262"/>
    <n v="5"/>
    <n v="68.08"/>
    <n v="6.81"/>
    <n v="0"/>
    <n v="0.1"/>
    <s v="ACTIVE"/>
    <m/>
    <s v=""/>
    <m/>
    <d v="2025-12-04T08:47:32"/>
    <d v="2025-12-04T00:00:00"/>
    <x v="2"/>
    <x v="0"/>
    <n v="1"/>
    <n v="0"/>
    <x v="388"/>
    <s v="Guadalupe Cruz Aguilar"/>
    <x v="2"/>
  </r>
  <r>
    <n v="422"/>
    <n v="25"/>
    <n v="5"/>
    <n v="72.680000000000007"/>
    <n v="7.27"/>
    <n v="0"/>
    <n v="0.1"/>
    <s v="ACTIVE"/>
    <m/>
    <s v=""/>
    <m/>
    <d v="2025-12-04T09:36:00"/>
    <d v="2025-12-04T00:00:00"/>
    <x v="2"/>
    <x v="0"/>
    <n v="1"/>
    <n v="0"/>
    <x v="389"/>
    <s v="Martha Rodríguez López"/>
    <x v="2"/>
  </r>
  <r>
    <n v="423"/>
    <n v="117"/>
    <n v="5"/>
    <n v="220"/>
    <n v="22"/>
    <n v="0"/>
    <n v="0.1"/>
    <s v="ACTIVE"/>
    <m/>
    <s v=""/>
    <m/>
    <d v="2025-12-04T10:05:15"/>
    <d v="2025-12-04T00:00:00"/>
    <x v="2"/>
    <x v="0"/>
    <n v="1"/>
    <n v="0"/>
    <x v="200"/>
    <s v="Manuel Ortiz Ramírez"/>
    <x v="2"/>
  </r>
  <r>
    <n v="424"/>
    <n v="290"/>
    <n v="3"/>
    <n v="28.84"/>
    <n v="2.88"/>
    <n v="0"/>
    <n v="0.1"/>
    <s v="ACTIVE"/>
    <m/>
    <s v=""/>
    <m/>
    <d v="2025-12-04T11:57:39"/>
    <d v="2025-12-04T00:00:00"/>
    <x v="2"/>
    <x v="0"/>
    <n v="1"/>
    <n v="0"/>
    <x v="390"/>
    <s v="Silvia Reyes Vázquez"/>
    <x v="0"/>
  </r>
  <r>
    <n v="425"/>
    <n v="245"/>
    <n v="5"/>
    <n v="39.11"/>
    <n v="3.91"/>
    <n v="0"/>
    <n v="0.1"/>
    <s v="CANCELED"/>
    <n v="5"/>
    <s v="Cliente canceló la operación"/>
    <d v="2025-12-05T02:01:14"/>
    <d v="2025-12-04T13:01:14"/>
    <d v="2025-12-04T00:00:00"/>
    <x v="2"/>
    <x v="0"/>
    <n v="1"/>
    <n v="1"/>
    <x v="32"/>
    <s v="Ana González Flores"/>
    <x v="2"/>
  </r>
  <r>
    <n v="426"/>
    <n v="55"/>
    <n v="2"/>
    <n v="37.58"/>
    <n v="3.76"/>
    <n v="0"/>
    <n v="0.1"/>
    <s v="ACTIVE"/>
    <m/>
    <s v=""/>
    <m/>
    <d v="2025-12-04T13:53:59"/>
    <d v="2025-12-04T00:00:00"/>
    <x v="2"/>
    <x v="0"/>
    <n v="1"/>
    <n v="0"/>
    <x v="391"/>
    <s v="Luis Zacatecas Rodríguez"/>
    <x v="1"/>
  </r>
  <r>
    <n v="427"/>
    <n v="244"/>
    <n v="2"/>
    <n v="106.62"/>
    <n v="10.66"/>
    <n v="0"/>
    <n v="0.1"/>
    <s v="ACTIVE"/>
    <m/>
    <s v=""/>
    <m/>
    <d v="2025-12-04T15:11:50"/>
    <d v="2025-12-04T00:00:00"/>
    <x v="2"/>
    <x v="0"/>
    <n v="1"/>
    <n v="0"/>
    <x v="392"/>
    <s v="Guadalupe Castillo Hernández"/>
    <x v="1"/>
  </r>
  <r>
    <n v="428"/>
    <n v="293"/>
    <n v="2"/>
    <n v="25.18"/>
    <n v="2.52"/>
    <n v="0"/>
    <n v="0.1"/>
    <s v="ACTIVE"/>
    <m/>
    <s v=""/>
    <m/>
    <d v="2025-12-04T15:32:33"/>
    <d v="2025-12-04T00:00:00"/>
    <x v="2"/>
    <x v="0"/>
    <n v="1"/>
    <n v="0"/>
    <x v="393"/>
    <s v="Patricia Quiñones Pérez"/>
    <x v="1"/>
  </r>
  <r>
    <n v="429"/>
    <n v="34"/>
    <n v="4"/>
    <n v="143.87"/>
    <n v="14.39"/>
    <n v="0"/>
    <n v="0.1"/>
    <s v="ACTIVE"/>
    <m/>
    <s v=""/>
    <m/>
    <d v="2025-12-04T16:53:10"/>
    <d v="2025-12-04T00:00:00"/>
    <x v="2"/>
    <x v="0"/>
    <n v="1"/>
    <n v="0"/>
    <x v="394"/>
    <s v="Lucía Rodríguez Rodríguez"/>
    <x v="3"/>
  </r>
  <r>
    <n v="430"/>
    <n v="154"/>
    <n v="5"/>
    <n v="37.22"/>
    <n v="3.72"/>
    <n v="0"/>
    <n v="0.1"/>
    <s v="ACTIVE"/>
    <m/>
    <s v=""/>
    <m/>
    <d v="2025-12-04T16:55:50"/>
    <d v="2025-12-04T00:00:00"/>
    <x v="2"/>
    <x v="0"/>
    <n v="1"/>
    <n v="0"/>
    <x v="395"/>
    <s v="Manuel Chávez Flores"/>
    <x v="2"/>
  </r>
  <r>
    <n v="431"/>
    <n v="117"/>
    <n v="2"/>
    <n v="159.81"/>
    <n v="15.98"/>
    <n v="0"/>
    <n v="0.1"/>
    <s v="ACTIVE"/>
    <m/>
    <s v=""/>
    <m/>
    <d v="2025-12-04T18:50:15"/>
    <d v="2025-12-04T00:00:00"/>
    <x v="2"/>
    <x v="0"/>
    <n v="1"/>
    <n v="0"/>
    <x v="396"/>
    <s v="Manuel Ortiz Ramírez"/>
    <x v="1"/>
  </r>
  <r>
    <n v="432"/>
    <n v="58"/>
    <n v="5"/>
    <n v="102"/>
    <n v="10.199999999999999"/>
    <n v="0"/>
    <n v="0.1"/>
    <s v="ACTIVE"/>
    <m/>
    <s v=""/>
    <m/>
    <d v="2025-12-04T18:58:15"/>
    <d v="2025-12-04T00:00:00"/>
    <x v="2"/>
    <x v="0"/>
    <n v="1"/>
    <n v="0"/>
    <x v="397"/>
    <s v="Alicia Ruiz Gutiérrez"/>
    <x v="2"/>
  </r>
  <r>
    <n v="433"/>
    <n v="175"/>
    <n v="5"/>
    <n v="32.409999999999997"/>
    <n v="3.24"/>
    <n v="0"/>
    <n v="0.1"/>
    <s v="ACTIVE"/>
    <m/>
    <s v=""/>
    <m/>
    <d v="2025-12-04T19:55:44"/>
    <d v="2025-12-04T00:00:00"/>
    <x v="2"/>
    <x v="0"/>
    <n v="1"/>
    <n v="0"/>
    <x v="398"/>
    <s v="Óscar Villalobos Flores"/>
    <x v="2"/>
  </r>
  <r>
    <n v="434"/>
    <n v="202"/>
    <n v="3"/>
    <n v="38.590000000000003"/>
    <n v="3.86"/>
    <n v="0"/>
    <n v="0.1"/>
    <s v="ACTIVE"/>
    <m/>
    <s v=""/>
    <m/>
    <d v="2025-12-05T08:19:15"/>
    <d v="2025-12-05T00:00:00"/>
    <x v="2"/>
    <x v="0"/>
    <n v="1"/>
    <n v="0"/>
    <x v="399"/>
    <s v="Elena Díaz Reyes"/>
    <x v="0"/>
  </r>
  <r>
    <n v="435"/>
    <n v="47"/>
    <n v="2"/>
    <n v="13.71"/>
    <n v="1.37"/>
    <n v="0"/>
    <n v="0.1"/>
    <s v="CANCELED"/>
    <n v="3"/>
    <s v="Monto duplicado por error de sistema"/>
    <d v="2025-12-05T21:05:09"/>
    <d v="2025-12-05T09:05:09"/>
    <d v="2025-12-05T00:00:00"/>
    <x v="2"/>
    <x v="0"/>
    <n v="1"/>
    <n v="1"/>
    <x v="32"/>
    <s v="Carmen Díaz Chávez"/>
    <x v="1"/>
  </r>
  <r>
    <n v="436"/>
    <n v="25"/>
    <n v="3"/>
    <n v="153.35"/>
    <n v="15.34"/>
    <n v="0"/>
    <n v="0.1"/>
    <s v="ACTIVE"/>
    <m/>
    <s v=""/>
    <m/>
    <d v="2025-12-05T09:08:13"/>
    <d v="2025-12-05T00:00:00"/>
    <x v="2"/>
    <x v="0"/>
    <n v="1"/>
    <n v="0"/>
    <x v="400"/>
    <s v="Martha Rodríguez López"/>
    <x v="0"/>
  </r>
  <r>
    <n v="437"/>
    <n v="40"/>
    <n v="3"/>
    <n v="133.62"/>
    <n v="13.36"/>
    <n v="0"/>
    <n v="0.1"/>
    <s v="ACTIVE"/>
    <m/>
    <s v=""/>
    <m/>
    <d v="2025-12-05T09:23:33"/>
    <d v="2025-12-05T00:00:00"/>
    <x v="2"/>
    <x v="0"/>
    <n v="1"/>
    <n v="0"/>
    <x v="401"/>
    <s v="Carlos López Cruz"/>
    <x v="0"/>
  </r>
  <r>
    <n v="438"/>
    <n v="245"/>
    <n v="2"/>
    <n v="57.38"/>
    <n v="5.74"/>
    <n v="0"/>
    <n v="0.1"/>
    <s v="ACTIVE"/>
    <m/>
    <s v=""/>
    <m/>
    <d v="2025-12-05T10:05:19"/>
    <d v="2025-12-05T00:00:00"/>
    <x v="2"/>
    <x v="0"/>
    <n v="1"/>
    <n v="0"/>
    <x v="402"/>
    <s v="Ana González Flores"/>
    <x v="1"/>
  </r>
  <r>
    <n v="439"/>
    <n v="137"/>
    <n v="3"/>
    <n v="51.15"/>
    <n v="5.12"/>
    <n v="0"/>
    <n v="0.1"/>
    <s v="ACTIVE"/>
    <m/>
    <s v=""/>
    <m/>
    <d v="2025-12-05T10:20:00"/>
    <d v="2025-12-05T00:00:00"/>
    <x v="2"/>
    <x v="0"/>
    <n v="1"/>
    <n v="0"/>
    <x v="403"/>
    <s v="Francisco Reyes Ruiz"/>
    <x v="0"/>
  </r>
  <r>
    <n v="440"/>
    <n v="47"/>
    <n v="2"/>
    <n v="18.77"/>
    <n v="1.88"/>
    <n v="0"/>
    <n v="0.1"/>
    <s v="ACTIVE"/>
    <m/>
    <s v=""/>
    <m/>
    <d v="2025-12-05T12:23:52"/>
    <d v="2025-12-05T00:00:00"/>
    <x v="2"/>
    <x v="0"/>
    <n v="1"/>
    <n v="0"/>
    <x v="404"/>
    <s v="Carmen Díaz Chávez"/>
    <x v="1"/>
  </r>
  <r>
    <n v="441"/>
    <n v="290"/>
    <n v="3"/>
    <n v="38.89"/>
    <n v="3.89"/>
    <n v="0"/>
    <n v="0.1"/>
    <s v="ACTIVE"/>
    <m/>
    <s v=""/>
    <m/>
    <d v="2025-12-05T12:59:56"/>
    <d v="2025-12-05T00:00:00"/>
    <x v="2"/>
    <x v="0"/>
    <n v="1"/>
    <n v="0"/>
    <x v="405"/>
    <s v="Silvia Reyes Vázquez"/>
    <x v="0"/>
  </r>
  <r>
    <n v="442"/>
    <n v="39"/>
    <n v="2"/>
    <n v="104.33"/>
    <n v="0"/>
    <n v="1"/>
    <n v="0.1"/>
    <s v="ACTIVE"/>
    <m/>
    <s v=""/>
    <m/>
    <d v="2025-12-05T13:31:51"/>
    <d v="2025-12-05T00:00:00"/>
    <x v="2"/>
    <x v="1"/>
    <n v="1"/>
    <n v="0"/>
    <x v="406"/>
    <s v="Guadalupe García Quiñones"/>
    <x v="1"/>
  </r>
  <r>
    <n v="443"/>
    <n v="137"/>
    <n v="3"/>
    <n v="30.1"/>
    <n v="3.01"/>
    <n v="0"/>
    <n v="0.1"/>
    <s v="ACTIVE"/>
    <m/>
    <s v=""/>
    <m/>
    <d v="2025-12-05T16:12:05"/>
    <d v="2025-12-05T00:00:00"/>
    <x v="2"/>
    <x v="0"/>
    <n v="1"/>
    <n v="0"/>
    <x v="407"/>
    <s v="Francisco Reyes Ruiz"/>
    <x v="0"/>
  </r>
  <r>
    <n v="444"/>
    <n v="106"/>
    <n v="5"/>
    <n v="46.79"/>
    <n v="4.68"/>
    <n v="0"/>
    <n v="0.1"/>
    <s v="ACTIVE"/>
    <m/>
    <s v=""/>
    <m/>
    <d v="2025-12-05T16:15:10"/>
    <d v="2025-12-05T00:00:00"/>
    <x v="2"/>
    <x v="0"/>
    <n v="1"/>
    <n v="0"/>
    <x v="408"/>
    <s v="Isabel García Santoyo"/>
    <x v="2"/>
  </r>
  <r>
    <n v="445"/>
    <n v="257"/>
    <n v="3"/>
    <n v="153.35"/>
    <n v="15.34"/>
    <n v="0"/>
    <n v="0.1"/>
    <s v="ACTIVE"/>
    <m/>
    <s v=""/>
    <m/>
    <d v="2025-12-05T16:27:37"/>
    <d v="2025-12-05T00:00:00"/>
    <x v="2"/>
    <x v="0"/>
    <n v="1"/>
    <n v="0"/>
    <x v="400"/>
    <s v="Carmen García Rangel"/>
    <x v="0"/>
  </r>
  <r>
    <n v="446"/>
    <n v="244"/>
    <n v="5"/>
    <n v="175.89"/>
    <n v="17.59"/>
    <n v="0"/>
    <n v="0.1"/>
    <s v="ACTIVE"/>
    <m/>
    <s v=""/>
    <m/>
    <d v="2025-12-06T08:27:17"/>
    <d v="2025-12-06T00:00:00"/>
    <x v="2"/>
    <x v="0"/>
    <n v="1"/>
    <n v="0"/>
    <x v="409"/>
    <s v="Guadalupe Castillo Hernández"/>
    <x v="2"/>
  </r>
  <r>
    <n v="447"/>
    <n v="137"/>
    <n v="4"/>
    <n v="24.89"/>
    <n v="2.4900000000000002"/>
    <n v="0"/>
    <n v="0.1"/>
    <s v="ACTIVE"/>
    <m/>
    <s v=""/>
    <m/>
    <d v="2025-12-06T08:30:57"/>
    <d v="2025-12-06T00:00:00"/>
    <x v="2"/>
    <x v="0"/>
    <n v="1"/>
    <n v="0"/>
    <x v="410"/>
    <s v="Francisco Reyes Ruiz"/>
    <x v="3"/>
  </r>
  <r>
    <n v="448"/>
    <n v="244"/>
    <n v="3"/>
    <n v="32.22"/>
    <n v="3.22"/>
    <n v="0"/>
    <n v="0.1"/>
    <s v="ACTIVE"/>
    <m/>
    <s v=""/>
    <m/>
    <d v="2025-12-06T08:32:09"/>
    <d v="2025-12-06T00:00:00"/>
    <x v="2"/>
    <x v="0"/>
    <n v="1"/>
    <n v="0"/>
    <x v="411"/>
    <s v="Guadalupe Castillo Hernández"/>
    <x v="0"/>
  </r>
  <r>
    <n v="449"/>
    <n v="46"/>
    <n v="2"/>
    <n v="33.78"/>
    <n v="3.38"/>
    <n v="0"/>
    <n v="0.1"/>
    <s v="ACTIVE"/>
    <m/>
    <s v=""/>
    <m/>
    <d v="2025-12-06T08:43:48"/>
    <d v="2025-12-06T00:00:00"/>
    <x v="2"/>
    <x v="0"/>
    <n v="1"/>
    <n v="0"/>
    <x v="412"/>
    <s v="Pedro Ortiz Reyes"/>
    <x v="1"/>
  </r>
  <r>
    <n v="450"/>
    <n v="46"/>
    <n v="3"/>
    <n v="47.25"/>
    <n v="4.7300000000000004"/>
    <n v="0"/>
    <n v="0.1"/>
    <s v="ACTIVE"/>
    <m/>
    <s v=""/>
    <m/>
    <d v="2025-12-06T09:17:26"/>
    <d v="2025-12-06T00:00:00"/>
    <x v="2"/>
    <x v="0"/>
    <n v="1"/>
    <n v="0"/>
    <x v="413"/>
    <s v="Pedro Ortiz Reyes"/>
    <x v="0"/>
  </r>
  <r>
    <n v="451"/>
    <n v="293"/>
    <n v="5"/>
    <n v="31.68"/>
    <n v="3.17"/>
    <n v="0"/>
    <n v="0.1"/>
    <s v="ACTIVE"/>
    <m/>
    <s v=""/>
    <m/>
    <d v="2025-12-06T09:36:02"/>
    <d v="2025-12-06T00:00:00"/>
    <x v="2"/>
    <x v="0"/>
    <n v="1"/>
    <n v="0"/>
    <x v="414"/>
    <s v="Patricia Quiñones Pérez"/>
    <x v="2"/>
  </r>
  <r>
    <n v="452"/>
    <n v="44"/>
    <n v="5"/>
    <n v="27.25"/>
    <n v="2.73"/>
    <n v="0"/>
    <n v="0.1"/>
    <s v="ACTIVE"/>
    <m/>
    <s v=""/>
    <m/>
    <d v="2025-12-06T09:40:50"/>
    <d v="2025-12-06T00:00:00"/>
    <x v="2"/>
    <x v="0"/>
    <n v="1"/>
    <n v="0"/>
    <x v="415"/>
    <s v="Pedro Herrera Castillo"/>
    <x v="2"/>
  </r>
  <r>
    <n v="453"/>
    <n v="60"/>
    <n v="5"/>
    <n v="182.18"/>
    <n v="18.22"/>
    <n v="0"/>
    <n v="0.1"/>
    <s v="ACTIVE"/>
    <m/>
    <s v=""/>
    <m/>
    <d v="2025-12-06T10:07:36"/>
    <d v="2025-12-06T00:00:00"/>
    <x v="2"/>
    <x v="0"/>
    <n v="1"/>
    <n v="0"/>
    <x v="416"/>
    <s v="Leticia Ruiz González"/>
    <x v="2"/>
  </r>
  <r>
    <n v="454"/>
    <n v="240"/>
    <n v="4"/>
    <n v="300"/>
    <n v="30"/>
    <n v="0"/>
    <n v="0.1"/>
    <s v="ACTIVE"/>
    <m/>
    <s v=""/>
    <m/>
    <d v="2025-12-06T10:15:48"/>
    <d v="2025-12-06T00:00:00"/>
    <x v="2"/>
    <x v="0"/>
    <n v="1"/>
    <n v="0"/>
    <x v="74"/>
    <s v="Pedro Castillo Quiñones"/>
    <x v="3"/>
  </r>
  <r>
    <n v="455"/>
    <n v="197"/>
    <n v="5"/>
    <n v="82.04"/>
    <n v="8.1999999999999993"/>
    <n v="0"/>
    <n v="0.1"/>
    <s v="ACTIVE"/>
    <m/>
    <s v=""/>
    <m/>
    <d v="2025-12-06T10:30:36"/>
    <d v="2025-12-06T00:00:00"/>
    <x v="2"/>
    <x v="0"/>
    <n v="1"/>
    <n v="0"/>
    <x v="417"/>
    <s v="Raúl Hernández Santoyo"/>
    <x v="2"/>
  </r>
  <r>
    <n v="456"/>
    <n v="252"/>
    <n v="3"/>
    <n v="31.91"/>
    <n v="3.19"/>
    <n v="0"/>
    <n v="0.1"/>
    <s v="ACTIVE"/>
    <m/>
    <s v=""/>
    <m/>
    <d v="2025-12-06T11:07:10"/>
    <d v="2025-12-06T00:00:00"/>
    <x v="2"/>
    <x v="0"/>
    <n v="1"/>
    <n v="0"/>
    <x v="418"/>
    <s v="Martha Delgado Mendoza"/>
    <x v="0"/>
  </r>
  <r>
    <n v="457"/>
    <n v="47"/>
    <n v="3"/>
    <n v="29.06"/>
    <n v="2.91"/>
    <n v="0"/>
    <n v="0.1"/>
    <s v="ACTIVE"/>
    <m/>
    <s v=""/>
    <m/>
    <d v="2025-12-06T12:10:34"/>
    <d v="2025-12-06T00:00:00"/>
    <x v="2"/>
    <x v="0"/>
    <n v="1"/>
    <n v="0"/>
    <x v="419"/>
    <s v="Carmen Díaz Chávez"/>
    <x v="0"/>
  </r>
  <r>
    <n v="458"/>
    <n v="23"/>
    <n v="2"/>
    <n v="90.75"/>
    <n v="9.08"/>
    <n v="0"/>
    <n v="0.1"/>
    <s v="ACTIVE"/>
    <m/>
    <s v=""/>
    <m/>
    <d v="2025-12-06T14:03:14"/>
    <d v="2025-12-06T00:00:00"/>
    <x v="2"/>
    <x v="0"/>
    <n v="1"/>
    <n v="0"/>
    <x v="420"/>
    <s v="Gabriela Ávila Gutiérrez"/>
    <x v="1"/>
  </r>
  <r>
    <n v="459"/>
    <n v="240"/>
    <n v="4"/>
    <n v="300"/>
    <n v="30"/>
    <n v="0"/>
    <n v="0.1"/>
    <s v="ACTIVE"/>
    <m/>
    <s v=""/>
    <m/>
    <d v="2025-12-06T15:02:09"/>
    <d v="2025-12-06T00:00:00"/>
    <x v="2"/>
    <x v="0"/>
    <n v="1"/>
    <n v="0"/>
    <x v="74"/>
    <s v="Pedro Castillo Quiñones"/>
    <x v="3"/>
  </r>
  <r>
    <n v="460"/>
    <n v="44"/>
    <n v="2"/>
    <n v="61.51"/>
    <n v="6.15"/>
    <n v="0"/>
    <n v="0.1"/>
    <s v="ACTIVE"/>
    <m/>
    <s v=""/>
    <m/>
    <d v="2025-12-06T15:04:46"/>
    <d v="2025-12-06T00:00:00"/>
    <x v="2"/>
    <x v="0"/>
    <n v="1"/>
    <n v="0"/>
    <x v="421"/>
    <s v="Pedro Herrera Castillo"/>
    <x v="1"/>
  </r>
  <r>
    <n v="461"/>
    <n v="221"/>
    <n v="5"/>
    <n v="300"/>
    <n v="30"/>
    <n v="0"/>
    <n v="0.1"/>
    <s v="ACTIVE"/>
    <m/>
    <s v=""/>
    <m/>
    <d v="2025-12-06T16:57:03"/>
    <d v="2025-12-06T00:00:00"/>
    <x v="2"/>
    <x v="0"/>
    <n v="1"/>
    <n v="0"/>
    <x v="74"/>
    <s v="Norma Hernández Chávez"/>
    <x v="2"/>
  </r>
  <r>
    <n v="462"/>
    <n v="16"/>
    <n v="5"/>
    <n v="136.24"/>
    <n v="13.62"/>
    <n v="0"/>
    <n v="0.1"/>
    <s v="ACTIVE"/>
    <m/>
    <s v=""/>
    <m/>
    <d v="2025-12-06T16:57:39"/>
    <d v="2025-12-06T00:00:00"/>
    <x v="2"/>
    <x v="0"/>
    <n v="1"/>
    <n v="0"/>
    <x v="422"/>
    <s v="Laura Chávez Rangel"/>
    <x v="2"/>
  </r>
  <r>
    <n v="463"/>
    <n v="103"/>
    <n v="4"/>
    <n v="20.49"/>
    <n v="2.0499999999999998"/>
    <n v="0"/>
    <n v="0.1"/>
    <s v="ACTIVE"/>
    <m/>
    <s v=""/>
    <m/>
    <d v="2025-12-06T17:58:30"/>
    <d v="2025-12-06T00:00:00"/>
    <x v="2"/>
    <x v="0"/>
    <n v="1"/>
    <n v="0"/>
    <x v="423"/>
    <s v="Teresa Rodríguez Ramírez"/>
    <x v="3"/>
  </r>
  <r>
    <n v="464"/>
    <n v="16"/>
    <n v="4"/>
    <n v="133.80000000000001"/>
    <n v="0"/>
    <n v="1"/>
    <n v="0.1"/>
    <s v="ACTIVE"/>
    <m/>
    <s v=""/>
    <m/>
    <d v="2025-12-06T18:27:05"/>
    <d v="2025-12-06T00:00:00"/>
    <x v="2"/>
    <x v="1"/>
    <n v="1"/>
    <n v="0"/>
    <x v="424"/>
    <s v="Laura Chávez Rangel"/>
    <x v="3"/>
  </r>
  <r>
    <n v="465"/>
    <n v="11"/>
    <n v="3"/>
    <n v="203.63"/>
    <n v="20.36"/>
    <n v="0"/>
    <n v="0.1"/>
    <s v="ACTIVE"/>
    <m/>
    <s v=""/>
    <m/>
    <d v="2025-12-07T09:08:11"/>
    <d v="2025-12-07T00:00:00"/>
    <x v="2"/>
    <x v="0"/>
    <n v="1"/>
    <n v="0"/>
    <x v="425"/>
    <s v="Guadalupe Pérez Rodríguez"/>
    <x v="0"/>
  </r>
  <r>
    <n v="466"/>
    <n v="227"/>
    <n v="5"/>
    <n v="27.41"/>
    <n v="2.74"/>
    <n v="0"/>
    <n v="0.1"/>
    <s v="ACTIVE"/>
    <m/>
    <s v=""/>
    <m/>
    <d v="2025-12-07T09:38:45"/>
    <d v="2025-12-07T00:00:00"/>
    <x v="2"/>
    <x v="0"/>
    <n v="1"/>
    <n v="0"/>
    <x v="426"/>
    <s v="Alicia Mendoza Rangel"/>
    <x v="2"/>
  </r>
  <r>
    <n v="467"/>
    <n v="92"/>
    <n v="5"/>
    <n v="39.46"/>
    <n v="3.95"/>
    <n v="0"/>
    <n v="0.1"/>
    <s v="ACTIVE"/>
    <m/>
    <s v=""/>
    <m/>
    <d v="2025-12-07T10:43:52"/>
    <d v="2025-12-07T00:00:00"/>
    <x v="2"/>
    <x v="0"/>
    <n v="1"/>
    <n v="0"/>
    <x v="427"/>
    <s v="Irma Aguilar Rodríguez"/>
    <x v="2"/>
  </r>
  <r>
    <n v="468"/>
    <n v="135"/>
    <n v="5"/>
    <n v="149.47"/>
    <n v="14.95"/>
    <n v="0"/>
    <n v="0.1"/>
    <s v="ACTIVE"/>
    <m/>
    <s v=""/>
    <m/>
    <d v="2025-12-07T10:59:45"/>
    <d v="2025-12-07T00:00:00"/>
    <x v="2"/>
    <x v="0"/>
    <n v="1"/>
    <n v="0"/>
    <x v="428"/>
    <s v="Silvia Quiñones Delgado"/>
    <x v="2"/>
  </r>
  <r>
    <n v="469"/>
    <n v="42"/>
    <n v="4"/>
    <n v="43.7"/>
    <n v="4.37"/>
    <n v="0"/>
    <n v="0.1"/>
    <s v="ACTIVE"/>
    <m/>
    <s v=""/>
    <m/>
    <d v="2025-12-07T12:51:11"/>
    <d v="2025-12-07T00:00:00"/>
    <x v="2"/>
    <x v="0"/>
    <n v="1"/>
    <n v="0"/>
    <x v="429"/>
    <s v="Roberto Ávila Ramírez"/>
    <x v="3"/>
  </r>
  <r>
    <n v="470"/>
    <n v="38"/>
    <n v="5"/>
    <n v="25.9"/>
    <n v="2.59"/>
    <n v="0"/>
    <n v="0.1"/>
    <s v="ACTIVE"/>
    <m/>
    <s v=""/>
    <m/>
    <d v="2025-12-07T16:50:25"/>
    <d v="2025-12-07T00:00:00"/>
    <x v="2"/>
    <x v="0"/>
    <n v="1"/>
    <n v="0"/>
    <x v="430"/>
    <s v="Verónica Delgado Medina"/>
    <x v="2"/>
  </r>
  <r>
    <n v="471"/>
    <n v="244"/>
    <n v="5"/>
    <n v="68.17"/>
    <n v="6.82"/>
    <n v="0"/>
    <n v="0.1"/>
    <s v="ACTIVE"/>
    <m/>
    <s v=""/>
    <m/>
    <d v="2025-12-07T18:39:27"/>
    <d v="2025-12-07T00:00:00"/>
    <x v="2"/>
    <x v="0"/>
    <n v="1"/>
    <n v="0"/>
    <x v="431"/>
    <s v="Guadalupe Castillo Hernández"/>
    <x v="2"/>
  </r>
  <r>
    <n v="472"/>
    <n v="138"/>
    <n v="4"/>
    <n v="19.28"/>
    <n v="1.93"/>
    <n v="0"/>
    <n v="0.1"/>
    <s v="ACTIVE"/>
    <m/>
    <s v=""/>
    <m/>
    <d v="2025-12-07T19:39:35"/>
    <d v="2025-12-07T00:00:00"/>
    <x v="2"/>
    <x v="0"/>
    <n v="1"/>
    <n v="0"/>
    <x v="432"/>
    <s v="Alejandro Reyes Morales"/>
    <x v="3"/>
  </r>
  <r>
    <n v="473"/>
    <n v="137"/>
    <n v="4"/>
    <n v="30.79"/>
    <n v="3.08"/>
    <n v="0"/>
    <n v="0.1"/>
    <s v="ACTIVE"/>
    <m/>
    <s v=""/>
    <m/>
    <d v="2025-12-08T07:40:47"/>
    <d v="2025-12-08T00:00:00"/>
    <x v="2"/>
    <x v="0"/>
    <n v="1"/>
    <n v="0"/>
    <x v="433"/>
    <s v="Francisco Reyes Ruiz"/>
    <x v="3"/>
  </r>
  <r>
    <n v="474"/>
    <n v="122"/>
    <n v="3"/>
    <n v="194.1"/>
    <n v="19.41"/>
    <n v="0"/>
    <n v="0.1"/>
    <s v="ACTIVE"/>
    <m/>
    <s v=""/>
    <m/>
    <d v="2025-12-08T08:24:10"/>
    <d v="2025-12-08T00:00:00"/>
    <x v="2"/>
    <x v="0"/>
    <n v="1"/>
    <n v="0"/>
    <x v="434"/>
    <s v="Norma Sánchez Santoyo"/>
    <x v="0"/>
  </r>
  <r>
    <n v="475"/>
    <n v="192"/>
    <n v="3"/>
    <n v="25.14"/>
    <n v="2.5099999999999998"/>
    <n v="0"/>
    <n v="0.1"/>
    <s v="ACTIVE"/>
    <m/>
    <s v=""/>
    <m/>
    <d v="2025-12-08T08:24:36"/>
    <d v="2025-12-08T00:00:00"/>
    <x v="2"/>
    <x v="0"/>
    <n v="1"/>
    <n v="0"/>
    <x v="435"/>
    <s v="Leticia Gutiérrez Hernández"/>
    <x v="0"/>
  </r>
  <r>
    <n v="476"/>
    <n v="252"/>
    <n v="2"/>
    <n v="23.87"/>
    <n v="2.39"/>
    <n v="0"/>
    <n v="0.1"/>
    <s v="ACTIVE"/>
    <m/>
    <s v=""/>
    <m/>
    <d v="2025-12-08T09:12:50"/>
    <d v="2025-12-08T00:00:00"/>
    <x v="2"/>
    <x v="0"/>
    <n v="1"/>
    <n v="0"/>
    <x v="436"/>
    <s v="Martha Delgado Mendoza"/>
    <x v="1"/>
  </r>
  <r>
    <n v="477"/>
    <n v="13"/>
    <n v="4"/>
    <n v="37.28"/>
    <n v="3.73"/>
    <n v="0"/>
    <n v="0.1"/>
    <s v="ACTIVE"/>
    <m/>
    <s v=""/>
    <m/>
    <d v="2025-12-08T10:13:45"/>
    <d v="2025-12-08T00:00:00"/>
    <x v="2"/>
    <x v="0"/>
    <n v="1"/>
    <n v="0"/>
    <x v="437"/>
    <s v="Laura Rodríguez Quiñones"/>
    <x v="3"/>
  </r>
  <r>
    <n v="478"/>
    <n v="69"/>
    <n v="5"/>
    <n v="39.380000000000003"/>
    <n v="3.94"/>
    <n v="0"/>
    <n v="0.1"/>
    <s v="ACTIVE"/>
    <m/>
    <s v=""/>
    <m/>
    <d v="2025-12-08T11:11:57"/>
    <d v="2025-12-08T00:00:00"/>
    <x v="2"/>
    <x v="0"/>
    <n v="1"/>
    <n v="0"/>
    <x v="283"/>
    <s v="Carmen Quiñones Hernández"/>
    <x v="2"/>
  </r>
  <r>
    <n v="479"/>
    <n v="60"/>
    <n v="2"/>
    <n v="171.52"/>
    <n v="17.149999999999999"/>
    <n v="0"/>
    <n v="0.1"/>
    <s v="ACTIVE"/>
    <m/>
    <s v=""/>
    <m/>
    <d v="2025-12-08T12:26:49"/>
    <d v="2025-12-08T00:00:00"/>
    <x v="2"/>
    <x v="0"/>
    <n v="1"/>
    <n v="0"/>
    <x v="438"/>
    <s v="Leticia Ruiz González"/>
    <x v="1"/>
  </r>
  <r>
    <n v="480"/>
    <n v="39"/>
    <n v="2"/>
    <n v="204.45"/>
    <n v="20.45"/>
    <n v="0"/>
    <n v="0.1"/>
    <s v="ACTIVE"/>
    <m/>
    <s v=""/>
    <m/>
    <d v="2025-12-08T13:49:43"/>
    <d v="2025-12-08T00:00:00"/>
    <x v="2"/>
    <x v="0"/>
    <n v="1"/>
    <n v="0"/>
    <x v="439"/>
    <s v="Guadalupe García Quiñones"/>
    <x v="1"/>
  </r>
  <r>
    <n v="481"/>
    <n v="279"/>
    <n v="3"/>
    <n v="140.99"/>
    <n v="14.1"/>
    <n v="0"/>
    <n v="0.1"/>
    <s v="ACTIVE"/>
    <m/>
    <s v=""/>
    <m/>
    <d v="2025-12-08T14:51:20"/>
    <d v="2025-12-08T00:00:00"/>
    <x v="2"/>
    <x v="0"/>
    <n v="1"/>
    <n v="0"/>
    <x v="440"/>
    <s v="Rosa Mendoza Moreno"/>
    <x v="0"/>
  </r>
  <r>
    <n v="482"/>
    <n v="201"/>
    <n v="2"/>
    <n v="52.73"/>
    <n v="5.27"/>
    <n v="0"/>
    <n v="0.1"/>
    <s v="ACTIVE"/>
    <m/>
    <s v=""/>
    <m/>
    <d v="2025-12-08T15:25:28"/>
    <d v="2025-12-08T00:00:00"/>
    <x v="2"/>
    <x v="0"/>
    <n v="1"/>
    <n v="0"/>
    <x v="441"/>
    <s v="Isabel Vázquez Ramírez"/>
    <x v="1"/>
  </r>
  <r>
    <n v="483"/>
    <n v="16"/>
    <n v="4"/>
    <n v="214.27"/>
    <n v="21.43"/>
    <n v="0"/>
    <n v="0.1"/>
    <s v="ACTIVE"/>
    <m/>
    <s v=""/>
    <m/>
    <d v="2025-12-08T15:48:02"/>
    <d v="2025-12-08T00:00:00"/>
    <x v="2"/>
    <x v="0"/>
    <n v="1"/>
    <n v="0"/>
    <x v="442"/>
    <s v="Laura Chávez Rangel"/>
    <x v="3"/>
  </r>
  <r>
    <n v="484"/>
    <n v="268"/>
    <n v="5"/>
    <n v="11.89"/>
    <n v="1.19"/>
    <n v="0"/>
    <n v="0.1"/>
    <s v="ACTIVE"/>
    <m/>
    <s v=""/>
    <m/>
    <d v="2025-12-08T16:24:26"/>
    <d v="2025-12-08T00:00:00"/>
    <x v="2"/>
    <x v="0"/>
    <n v="1"/>
    <n v="0"/>
    <x v="443"/>
    <s v="Verónica Mendoza Chávez"/>
    <x v="2"/>
  </r>
  <r>
    <n v="485"/>
    <n v="201"/>
    <n v="2"/>
    <n v="22.48"/>
    <n v="2.25"/>
    <n v="0"/>
    <n v="0.1"/>
    <s v="ACTIVE"/>
    <m/>
    <s v=""/>
    <m/>
    <d v="2025-12-08T17:02:38"/>
    <d v="2025-12-08T00:00:00"/>
    <x v="2"/>
    <x v="0"/>
    <n v="1"/>
    <n v="0"/>
    <x v="444"/>
    <s v="Isabel Vázquez Ramírez"/>
    <x v="1"/>
  </r>
  <r>
    <n v="486"/>
    <n v="101"/>
    <n v="2"/>
    <n v="36.47"/>
    <n v="3.65"/>
    <n v="0"/>
    <n v="0.1"/>
    <s v="ACTIVE"/>
    <m/>
    <s v=""/>
    <m/>
    <d v="2025-12-08T17:12:30"/>
    <d v="2025-12-08T00:00:00"/>
    <x v="2"/>
    <x v="0"/>
    <n v="1"/>
    <n v="0"/>
    <x v="445"/>
    <s v="Raúl Delgado Villalobos"/>
    <x v="1"/>
  </r>
  <r>
    <n v="487"/>
    <n v="202"/>
    <n v="3"/>
    <n v="22.22"/>
    <n v="2.2200000000000002"/>
    <n v="0"/>
    <n v="0.1"/>
    <s v="ACTIVE"/>
    <m/>
    <s v=""/>
    <m/>
    <d v="2025-12-08T18:30:01"/>
    <d v="2025-12-08T00:00:00"/>
    <x v="2"/>
    <x v="0"/>
    <n v="1"/>
    <n v="0"/>
    <x v="446"/>
    <s v="Elena Díaz Reyes"/>
    <x v="0"/>
  </r>
  <r>
    <n v="488"/>
    <n v="16"/>
    <n v="5"/>
    <n v="216.4"/>
    <n v="21.64"/>
    <n v="0"/>
    <n v="0.1"/>
    <s v="CANCELED"/>
    <n v="2"/>
    <s v="Error de captura"/>
    <d v="2025-12-10T01:32:07"/>
    <d v="2025-12-09T07:32:07"/>
    <d v="2025-12-09T00:00:00"/>
    <x v="2"/>
    <x v="0"/>
    <n v="1"/>
    <n v="1"/>
    <x v="32"/>
    <s v="Laura Chávez Rangel"/>
    <x v="2"/>
  </r>
  <r>
    <n v="489"/>
    <n v="215"/>
    <n v="4"/>
    <n v="45.02"/>
    <n v="4.5"/>
    <n v="0"/>
    <n v="0.1"/>
    <s v="ACTIVE"/>
    <m/>
    <s v=""/>
    <m/>
    <d v="2025-12-09T08:16:50"/>
    <d v="2025-12-09T00:00:00"/>
    <x v="2"/>
    <x v="0"/>
    <n v="1"/>
    <n v="0"/>
    <x v="447"/>
    <s v="Verónica Medina Ortiz"/>
    <x v="3"/>
  </r>
  <r>
    <n v="490"/>
    <n v="92"/>
    <n v="2"/>
    <n v="29.1"/>
    <n v="2.91"/>
    <n v="0"/>
    <n v="0.1"/>
    <s v="ACTIVE"/>
    <m/>
    <s v=""/>
    <m/>
    <d v="2025-12-09T08:34:26"/>
    <d v="2025-12-09T00:00:00"/>
    <x v="2"/>
    <x v="0"/>
    <n v="1"/>
    <n v="0"/>
    <x v="448"/>
    <s v="Irma Aguilar Rodríguez"/>
    <x v="1"/>
  </r>
  <r>
    <n v="491"/>
    <n v="262"/>
    <n v="3"/>
    <n v="62.39"/>
    <n v="6.24"/>
    <n v="0"/>
    <n v="0.1"/>
    <s v="ACTIVE"/>
    <m/>
    <s v=""/>
    <m/>
    <d v="2025-12-09T08:39:21"/>
    <d v="2025-12-09T00:00:00"/>
    <x v="2"/>
    <x v="0"/>
    <n v="1"/>
    <n v="0"/>
    <x v="449"/>
    <s v="Guadalupe Cruz Aguilar"/>
    <x v="0"/>
  </r>
  <r>
    <n v="492"/>
    <n v="106"/>
    <n v="2"/>
    <n v="98.72"/>
    <n v="9.8699999999999992"/>
    <n v="0"/>
    <n v="0.1"/>
    <s v="ACTIVE"/>
    <m/>
    <s v=""/>
    <m/>
    <d v="2025-12-09T08:39:35"/>
    <d v="2025-12-09T00:00:00"/>
    <x v="2"/>
    <x v="0"/>
    <n v="1"/>
    <n v="0"/>
    <x v="450"/>
    <s v="Isabel García Santoyo"/>
    <x v="1"/>
  </r>
  <r>
    <n v="493"/>
    <n v="40"/>
    <n v="3"/>
    <n v="132.05000000000001"/>
    <n v="13.21"/>
    <n v="0"/>
    <n v="0.1"/>
    <s v="ACTIVE"/>
    <m/>
    <s v=""/>
    <m/>
    <d v="2025-12-09T09:56:37"/>
    <d v="2025-12-09T00:00:00"/>
    <x v="2"/>
    <x v="0"/>
    <n v="1"/>
    <n v="0"/>
    <x v="451"/>
    <s v="Carlos López Cruz"/>
    <x v="0"/>
  </r>
  <r>
    <n v="494"/>
    <n v="202"/>
    <n v="3"/>
    <n v="40.74"/>
    <n v="4.07"/>
    <n v="0"/>
    <n v="0.1"/>
    <s v="ACTIVE"/>
    <m/>
    <s v=""/>
    <m/>
    <d v="2025-12-09T10:14:40"/>
    <d v="2025-12-09T00:00:00"/>
    <x v="2"/>
    <x v="0"/>
    <n v="1"/>
    <n v="0"/>
    <x v="452"/>
    <s v="Elena Díaz Reyes"/>
    <x v="0"/>
  </r>
  <r>
    <n v="495"/>
    <n v="262"/>
    <n v="4"/>
    <n v="121.23"/>
    <n v="12.12"/>
    <n v="0"/>
    <n v="0.1"/>
    <s v="ACTIVE"/>
    <m/>
    <s v=""/>
    <m/>
    <d v="2025-12-09T12:20:06"/>
    <d v="2025-12-09T00:00:00"/>
    <x v="2"/>
    <x v="0"/>
    <n v="1"/>
    <n v="0"/>
    <x v="453"/>
    <s v="Guadalupe Cruz Aguilar"/>
    <x v="3"/>
  </r>
  <r>
    <n v="496"/>
    <n v="39"/>
    <n v="2"/>
    <n v="193.92"/>
    <n v="19.39"/>
    <n v="0"/>
    <n v="0.1"/>
    <s v="ACTIVE"/>
    <m/>
    <s v=""/>
    <m/>
    <d v="2025-12-09T13:55:45"/>
    <d v="2025-12-09T00:00:00"/>
    <x v="2"/>
    <x v="0"/>
    <n v="1"/>
    <n v="0"/>
    <x v="454"/>
    <s v="Guadalupe García Quiñones"/>
    <x v="1"/>
  </r>
  <r>
    <n v="497"/>
    <n v="117"/>
    <n v="3"/>
    <n v="61.47"/>
    <n v="6.15"/>
    <n v="0"/>
    <n v="0.1"/>
    <s v="ACTIVE"/>
    <m/>
    <s v=""/>
    <m/>
    <d v="2025-12-09T15:47:59"/>
    <d v="2025-12-09T00:00:00"/>
    <x v="2"/>
    <x v="0"/>
    <n v="1"/>
    <n v="0"/>
    <x v="455"/>
    <s v="Manuel Ortiz Ramírez"/>
    <x v="0"/>
  </r>
  <r>
    <n v="498"/>
    <n v="117"/>
    <n v="3"/>
    <n v="41.21"/>
    <n v="4.12"/>
    <n v="0"/>
    <n v="0.1"/>
    <s v="ACTIVE"/>
    <m/>
    <s v=""/>
    <m/>
    <d v="2025-12-09T16:47:25"/>
    <d v="2025-12-09T00:00:00"/>
    <x v="2"/>
    <x v="0"/>
    <n v="1"/>
    <n v="0"/>
    <x v="456"/>
    <s v="Manuel Ortiz Ramírez"/>
    <x v="0"/>
  </r>
  <r>
    <n v="499"/>
    <n v="141"/>
    <n v="3"/>
    <n v="177.83"/>
    <n v="17.78"/>
    <n v="0"/>
    <n v="0.1"/>
    <s v="ACTIVE"/>
    <m/>
    <s v=""/>
    <m/>
    <d v="2025-12-09T17:34:18"/>
    <d v="2025-12-09T00:00:00"/>
    <x v="2"/>
    <x v="0"/>
    <n v="1"/>
    <n v="0"/>
    <x v="457"/>
    <s v="Antonio Chávez Martínez"/>
    <x v="0"/>
  </r>
  <r>
    <n v="500"/>
    <n v="57"/>
    <n v="5"/>
    <n v="193.24"/>
    <n v="19.32"/>
    <n v="0"/>
    <n v="0.1"/>
    <s v="ACTIVE"/>
    <m/>
    <s v=""/>
    <m/>
    <d v="2025-12-09T18:03:41"/>
    <d v="2025-12-09T00:00:00"/>
    <x v="2"/>
    <x v="0"/>
    <n v="1"/>
    <n v="0"/>
    <x v="458"/>
    <s v="Isabel Martínez Rodríguez"/>
    <x v="2"/>
  </r>
  <r>
    <n v="501"/>
    <n v="144"/>
    <n v="4"/>
    <n v="70.540000000000006"/>
    <n v="7.05"/>
    <n v="0"/>
    <n v="0.1"/>
    <s v="ACTIVE"/>
    <m/>
    <s v=""/>
    <m/>
    <d v="2025-12-10T08:32:24"/>
    <d v="2025-12-10T00:00:00"/>
    <x v="2"/>
    <x v="0"/>
    <n v="1"/>
    <n v="0"/>
    <x v="459"/>
    <s v="Silvia Sánchez González"/>
    <x v="3"/>
  </r>
  <r>
    <n v="502"/>
    <n v="55"/>
    <n v="2"/>
    <n v="29.4"/>
    <n v="2.94"/>
    <n v="0"/>
    <n v="0.1"/>
    <s v="ACTIVE"/>
    <m/>
    <s v=""/>
    <m/>
    <d v="2025-12-10T08:57:05"/>
    <d v="2025-12-10T00:00:00"/>
    <x v="2"/>
    <x v="0"/>
    <n v="1"/>
    <n v="0"/>
    <x v="460"/>
    <s v="Luis Zacatecas Rodríguez"/>
    <x v="1"/>
  </r>
  <r>
    <n v="503"/>
    <n v="65"/>
    <n v="2"/>
    <n v="30.34"/>
    <n v="3.03"/>
    <n v="0"/>
    <n v="0.1"/>
    <s v="ACTIVE"/>
    <m/>
    <s v=""/>
    <m/>
    <d v="2025-12-10T08:58:39"/>
    <d v="2025-12-10T00:00:00"/>
    <x v="2"/>
    <x v="0"/>
    <n v="1"/>
    <n v="0"/>
    <x v="461"/>
    <s v="Gabriela Flores Chávez"/>
    <x v="1"/>
  </r>
  <r>
    <n v="504"/>
    <n v="23"/>
    <n v="3"/>
    <n v="230.54"/>
    <n v="23.05"/>
    <n v="0"/>
    <n v="0.1"/>
    <s v="CANCELED"/>
    <n v="3"/>
    <s v="Solicitud del cliente"/>
    <d v="2025-12-10T18:21:27"/>
    <d v="2025-12-10T10:21:27"/>
    <d v="2025-12-10T00:00:00"/>
    <x v="2"/>
    <x v="0"/>
    <n v="1"/>
    <n v="1"/>
    <x v="32"/>
    <s v="Gabriela Ávila Gutiérrez"/>
    <x v="0"/>
  </r>
  <r>
    <n v="505"/>
    <n v="72"/>
    <n v="2"/>
    <n v="17.04"/>
    <n v="1.7"/>
    <n v="0"/>
    <n v="0.1"/>
    <s v="ACTIVE"/>
    <m/>
    <s v=""/>
    <m/>
    <d v="2025-12-10T13:48:01"/>
    <d v="2025-12-10T00:00:00"/>
    <x v="2"/>
    <x v="0"/>
    <n v="1"/>
    <n v="0"/>
    <x v="462"/>
    <s v="Miguel Castillo Morales"/>
    <x v="1"/>
  </r>
  <r>
    <n v="506"/>
    <n v="150"/>
    <n v="3"/>
    <n v="87.93"/>
    <n v="8.7899999999999991"/>
    <n v="0"/>
    <n v="0.1"/>
    <s v="ACTIVE"/>
    <m/>
    <s v=""/>
    <m/>
    <d v="2025-12-10T13:58:13"/>
    <d v="2025-12-10T00:00:00"/>
    <x v="2"/>
    <x v="0"/>
    <n v="1"/>
    <n v="0"/>
    <x v="463"/>
    <s v="Daniel Díaz Quiñones"/>
    <x v="0"/>
  </r>
  <r>
    <n v="507"/>
    <n v="290"/>
    <n v="4"/>
    <n v="30.84"/>
    <n v="3.08"/>
    <n v="0"/>
    <n v="0.1"/>
    <s v="ACTIVE"/>
    <m/>
    <s v=""/>
    <m/>
    <d v="2025-12-10T14:02:04"/>
    <d v="2025-12-10T00:00:00"/>
    <x v="2"/>
    <x v="0"/>
    <n v="1"/>
    <n v="0"/>
    <x v="464"/>
    <s v="Silvia Reyes Vázquez"/>
    <x v="3"/>
  </r>
  <r>
    <n v="508"/>
    <n v="211"/>
    <n v="5"/>
    <n v="109.97"/>
    <n v="11"/>
    <n v="0"/>
    <n v="0.1"/>
    <s v="ACTIVE"/>
    <m/>
    <s v=""/>
    <m/>
    <d v="2025-12-10T14:29:14"/>
    <d v="2025-12-10T00:00:00"/>
    <x v="2"/>
    <x v="0"/>
    <n v="1"/>
    <n v="0"/>
    <x v="465"/>
    <s v="Martha Sánchez Pérez"/>
    <x v="2"/>
  </r>
  <r>
    <n v="509"/>
    <n v="79"/>
    <n v="3"/>
    <n v="23.21"/>
    <n v="2.3199999999999998"/>
    <n v="0"/>
    <n v="0.1"/>
    <s v="CANCELED"/>
    <n v="4"/>
    <s v="Monto duplicado por error de sistema"/>
    <d v="2025-12-10T21:42:12"/>
    <d v="2025-12-10T14:42:12"/>
    <d v="2025-12-10T00:00:00"/>
    <x v="2"/>
    <x v="0"/>
    <n v="1"/>
    <n v="1"/>
    <x v="32"/>
    <s v="Raúl Castillo Zacatecas"/>
    <x v="0"/>
  </r>
  <r>
    <n v="510"/>
    <n v="137"/>
    <n v="3"/>
    <n v="49.24"/>
    <n v="4.92"/>
    <n v="0"/>
    <n v="0.1"/>
    <s v="ACTIVE"/>
    <m/>
    <s v=""/>
    <m/>
    <d v="2025-12-10T15:05:56"/>
    <d v="2025-12-10T00:00:00"/>
    <x v="2"/>
    <x v="0"/>
    <n v="1"/>
    <n v="0"/>
    <x v="466"/>
    <s v="Francisco Reyes Ruiz"/>
    <x v="0"/>
  </r>
  <r>
    <n v="511"/>
    <n v="136"/>
    <n v="3"/>
    <n v="81.06"/>
    <n v="8.11"/>
    <n v="0"/>
    <n v="0.1"/>
    <s v="ACTIVE"/>
    <m/>
    <s v=""/>
    <m/>
    <d v="2025-12-10T15:37:18"/>
    <d v="2025-12-10T00:00:00"/>
    <x v="2"/>
    <x v="0"/>
    <n v="1"/>
    <n v="0"/>
    <x v="467"/>
    <s v="Guadalupe Castillo Rangel"/>
    <x v="0"/>
  </r>
  <r>
    <n v="512"/>
    <n v="61"/>
    <n v="4"/>
    <n v="50.57"/>
    <n v="5.0599999999999996"/>
    <n v="0"/>
    <n v="0.1"/>
    <s v="ACTIVE"/>
    <m/>
    <s v=""/>
    <m/>
    <d v="2025-12-10T16:24:53"/>
    <d v="2025-12-10T00:00:00"/>
    <x v="2"/>
    <x v="0"/>
    <n v="1"/>
    <n v="0"/>
    <x v="468"/>
    <s v="Pedro González Ávila"/>
    <x v="3"/>
  </r>
  <r>
    <n v="513"/>
    <n v="104"/>
    <n v="5"/>
    <n v="240.49"/>
    <n v="24.05"/>
    <n v="0"/>
    <n v="0.1"/>
    <s v="ACTIVE"/>
    <m/>
    <s v=""/>
    <m/>
    <d v="2025-12-10T16:34:12"/>
    <d v="2025-12-10T00:00:00"/>
    <x v="2"/>
    <x v="0"/>
    <n v="1"/>
    <n v="0"/>
    <x v="469"/>
    <s v="Manuel Morales González"/>
    <x v="2"/>
  </r>
  <r>
    <n v="514"/>
    <n v="150"/>
    <n v="2"/>
    <n v="54.83"/>
    <n v="5.48"/>
    <n v="0"/>
    <n v="0.1"/>
    <s v="ACTIVE"/>
    <m/>
    <s v=""/>
    <m/>
    <d v="2025-12-10T17:47:53"/>
    <d v="2025-12-10T00:00:00"/>
    <x v="2"/>
    <x v="0"/>
    <n v="1"/>
    <n v="0"/>
    <x v="470"/>
    <s v="Daniel Díaz Quiñones"/>
    <x v="1"/>
  </r>
  <r>
    <n v="515"/>
    <n v="20"/>
    <n v="3"/>
    <n v="20.75"/>
    <n v="2.08"/>
    <n v="0"/>
    <n v="0.1"/>
    <s v="ACTIVE"/>
    <m/>
    <s v=""/>
    <m/>
    <d v="2025-12-10T19:00:51"/>
    <d v="2025-12-10T00:00:00"/>
    <x v="2"/>
    <x v="0"/>
    <n v="1"/>
    <n v="0"/>
    <x v="471"/>
    <s v="Luis Cruz Martínez"/>
    <x v="0"/>
  </r>
  <r>
    <n v="516"/>
    <n v="207"/>
    <n v="4"/>
    <n v="16.850000000000001"/>
    <n v="1.69"/>
    <n v="0"/>
    <n v="0.1"/>
    <s v="ACTIVE"/>
    <m/>
    <s v=""/>
    <m/>
    <d v="2025-12-10T19:15:25"/>
    <d v="2025-12-10T00:00:00"/>
    <x v="2"/>
    <x v="0"/>
    <n v="1"/>
    <n v="0"/>
    <x v="472"/>
    <s v="Leticia Vázquez Gutiérrez"/>
    <x v="3"/>
  </r>
  <r>
    <n v="517"/>
    <n v="59"/>
    <n v="5"/>
    <n v="29.26"/>
    <n v="2.93"/>
    <n v="0"/>
    <n v="0.1"/>
    <s v="ACTIVE"/>
    <m/>
    <s v=""/>
    <m/>
    <d v="2025-12-11T08:13:58"/>
    <d v="2025-12-11T00:00:00"/>
    <x v="2"/>
    <x v="0"/>
    <n v="1"/>
    <n v="0"/>
    <x v="473"/>
    <s v="Daniel Gutiérrez Moreno"/>
    <x v="2"/>
  </r>
  <r>
    <n v="518"/>
    <n v="137"/>
    <n v="5"/>
    <n v="20.09"/>
    <n v="2.0099999999999998"/>
    <n v="0"/>
    <n v="0.1"/>
    <s v="ACTIVE"/>
    <m/>
    <s v=""/>
    <m/>
    <d v="2025-12-11T08:48:02"/>
    <d v="2025-12-11T00:00:00"/>
    <x v="2"/>
    <x v="0"/>
    <n v="1"/>
    <n v="0"/>
    <x v="474"/>
    <s v="Francisco Reyes Ruiz"/>
    <x v="2"/>
  </r>
  <r>
    <n v="519"/>
    <n v="22"/>
    <n v="2"/>
    <n v="76.84"/>
    <n v="7.68"/>
    <n v="0"/>
    <n v="0.1"/>
    <s v="ACTIVE"/>
    <m/>
    <s v=""/>
    <m/>
    <d v="2025-12-11T09:14:17"/>
    <d v="2025-12-11T00:00:00"/>
    <x v="2"/>
    <x v="0"/>
    <n v="1"/>
    <n v="0"/>
    <x v="475"/>
    <s v="Martha Moreno Rangel"/>
    <x v="1"/>
  </r>
  <r>
    <n v="520"/>
    <n v="61"/>
    <n v="4"/>
    <n v="76.680000000000007"/>
    <n v="7.67"/>
    <n v="0"/>
    <n v="0.1"/>
    <s v="ACTIVE"/>
    <m/>
    <s v=""/>
    <m/>
    <d v="2025-12-11T09:20:37"/>
    <d v="2025-12-11T00:00:00"/>
    <x v="2"/>
    <x v="0"/>
    <n v="1"/>
    <n v="0"/>
    <x v="476"/>
    <s v="Pedro González Ávila"/>
    <x v="3"/>
  </r>
  <r>
    <n v="521"/>
    <n v="280"/>
    <n v="5"/>
    <n v="32.19"/>
    <n v="3.22"/>
    <n v="0"/>
    <n v="0.1"/>
    <s v="ACTIVE"/>
    <m/>
    <s v=""/>
    <m/>
    <d v="2025-12-11T09:26:48"/>
    <d v="2025-12-11T00:00:00"/>
    <x v="2"/>
    <x v="0"/>
    <n v="1"/>
    <n v="0"/>
    <x v="477"/>
    <s v="Óscar Quiñones Jiménez"/>
    <x v="2"/>
  </r>
  <r>
    <n v="522"/>
    <n v="28"/>
    <n v="4"/>
    <n v="29.92"/>
    <n v="2.99"/>
    <n v="0"/>
    <n v="0.1"/>
    <s v="ACTIVE"/>
    <m/>
    <s v=""/>
    <m/>
    <d v="2025-12-11T09:37:02"/>
    <d v="2025-12-11T00:00:00"/>
    <x v="2"/>
    <x v="0"/>
    <n v="1"/>
    <n v="0"/>
    <x v="478"/>
    <s v="Francisco Ávila Chávez"/>
    <x v="3"/>
  </r>
  <r>
    <n v="523"/>
    <n v="54"/>
    <n v="2"/>
    <n v="55.64"/>
    <n v="5.56"/>
    <n v="0"/>
    <n v="0.1"/>
    <s v="ACTIVE"/>
    <m/>
    <s v=""/>
    <m/>
    <d v="2025-12-11T09:45:50"/>
    <d v="2025-12-11T00:00:00"/>
    <x v="2"/>
    <x v="0"/>
    <n v="1"/>
    <n v="0"/>
    <x v="479"/>
    <s v="Isabel Salazar Zacatecas"/>
    <x v="1"/>
  </r>
  <r>
    <n v="524"/>
    <n v="296"/>
    <n v="5"/>
    <n v="84.85"/>
    <n v="8.49"/>
    <n v="0"/>
    <n v="0.1"/>
    <s v="ACTIVE"/>
    <m/>
    <s v=""/>
    <m/>
    <d v="2025-12-11T10:06:02"/>
    <d v="2025-12-11T00:00:00"/>
    <x v="2"/>
    <x v="0"/>
    <n v="1"/>
    <n v="0"/>
    <x v="480"/>
    <s v="Verónica Castillo García"/>
    <x v="2"/>
  </r>
  <r>
    <n v="525"/>
    <n v="21"/>
    <n v="5"/>
    <n v="24.45"/>
    <n v="2.4500000000000002"/>
    <n v="0"/>
    <n v="0.1"/>
    <s v="ACTIVE"/>
    <m/>
    <s v=""/>
    <m/>
    <d v="2025-12-11T10:40:40"/>
    <d v="2025-12-11T00:00:00"/>
    <x v="2"/>
    <x v="0"/>
    <n v="1"/>
    <n v="0"/>
    <x v="481"/>
    <s v="Carlos Morales Santoyo"/>
    <x v="2"/>
  </r>
  <r>
    <n v="526"/>
    <n v="52"/>
    <n v="2"/>
    <n v="21.44"/>
    <n v="2.14"/>
    <n v="0"/>
    <n v="0.1"/>
    <s v="ACTIVE"/>
    <m/>
    <s v=""/>
    <m/>
    <d v="2025-12-11T11:06:52"/>
    <d v="2025-12-11T00:00:00"/>
    <x v="2"/>
    <x v="0"/>
    <n v="1"/>
    <n v="0"/>
    <x v="482"/>
    <s v="Gabriela Villalobos Flores"/>
    <x v="1"/>
  </r>
  <r>
    <n v="527"/>
    <n v="141"/>
    <n v="5"/>
    <n v="107.33"/>
    <n v="10.73"/>
    <n v="0"/>
    <n v="0.1"/>
    <s v="ACTIVE"/>
    <m/>
    <s v=""/>
    <m/>
    <d v="2025-12-11T14:36:41"/>
    <d v="2025-12-11T00:00:00"/>
    <x v="2"/>
    <x v="0"/>
    <n v="1"/>
    <n v="0"/>
    <x v="483"/>
    <s v="Antonio Chávez Martínez"/>
    <x v="2"/>
  </r>
  <r>
    <n v="528"/>
    <n v="137"/>
    <n v="3"/>
    <n v="26.35"/>
    <n v="0"/>
    <n v="1"/>
    <n v="0.1"/>
    <s v="ACTIVE"/>
    <m/>
    <s v=""/>
    <m/>
    <d v="2025-12-11T15:07:05"/>
    <d v="2025-12-11T00:00:00"/>
    <x v="2"/>
    <x v="1"/>
    <n v="1"/>
    <n v="0"/>
    <x v="484"/>
    <s v="Francisco Reyes Ruiz"/>
    <x v="0"/>
  </r>
  <r>
    <n v="529"/>
    <n v="175"/>
    <n v="4"/>
    <n v="26.65"/>
    <n v="2.67"/>
    <n v="0"/>
    <n v="0.1"/>
    <s v="ACTIVE"/>
    <m/>
    <s v=""/>
    <m/>
    <d v="2025-12-11T15:57:27"/>
    <d v="2025-12-11T00:00:00"/>
    <x v="2"/>
    <x v="0"/>
    <n v="1"/>
    <n v="0"/>
    <x v="485"/>
    <s v="Óscar Villalobos Flores"/>
    <x v="3"/>
  </r>
  <r>
    <n v="530"/>
    <n v="252"/>
    <n v="4"/>
    <n v="24.12"/>
    <n v="2.41"/>
    <n v="0"/>
    <n v="0.1"/>
    <s v="ACTIVE"/>
    <m/>
    <s v=""/>
    <m/>
    <d v="2025-12-11T17:20:04"/>
    <d v="2025-12-11T00:00:00"/>
    <x v="2"/>
    <x v="0"/>
    <n v="1"/>
    <n v="0"/>
    <x v="486"/>
    <s v="Martha Delgado Mendoza"/>
    <x v="3"/>
  </r>
  <r>
    <n v="531"/>
    <n v="136"/>
    <n v="2"/>
    <n v="81.11"/>
    <n v="8.11"/>
    <n v="0"/>
    <n v="0.1"/>
    <s v="ACTIVE"/>
    <m/>
    <s v=""/>
    <m/>
    <d v="2025-12-11T18:33:25"/>
    <d v="2025-12-11T00:00:00"/>
    <x v="2"/>
    <x v="0"/>
    <n v="1"/>
    <n v="0"/>
    <x v="487"/>
    <s v="Guadalupe Castillo Rangel"/>
    <x v="1"/>
  </r>
  <r>
    <n v="532"/>
    <n v="37"/>
    <n v="4"/>
    <n v="61.27"/>
    <n v="6.13"/>
    <n v="0"/>
    <n v="0.1"/>
    <s v="ACTIVE"/>
    <m/>
    <s v=""/>
    <m/>
    <d v="2025-12-11T19:15:33"/>
    <d v="2025-12-11T00:00:00"/>
    <x v="2"/>
    <x v="0"/>
    <n v="1"/>
    <n v="0"/>
    <x v="488"/>
    <s v="Fernando Mendoza Moreno"/>
    <x v="3"/>
  </r>
  <r>
    <n v="533"/>
    <n v="138"/>
    <n v="5"/>
    <n v="23.23"/>
    <n v="2.3199999999999998"/>
    <n v="0"/>
    <n v="0.1"/>
    <s v="ACTIVE"/>
    <m/>
    <s v=""/>
    <m/>
    <d v="2025-12-12T09:47:36"/>
    <d v="2025-12-12T00:00:00"/>
    <x v="2"/>
    <x v="0"/>
    <n v="1"/>
    <n v="0"/>
    <x v="132"/>
    <s v="Alejandro Reyes Morales"/>
    <x v="2"/>
  </r>
  <r>
    <n v="534"/>
    <n v="240"/>
    <n v="4"/>
    <n v="200.29"/>
    <n v="20.03"/>
    <n v="0"/>
    <n v="0.1"/>
    <s v="ACTIVE"/>
    <m/>
    <s v=""/>
    <m/>
    <d v="2025-12-12T10:09:37"/>
    <d v="2025-12-12T00:00:00"/>
    <x v="2"/>
    <x v="0"/>
    <n v="1"/>
    <n v="0"/>
    <x v="489"/>
    <s v="Pedro Castillo Quiñones"/>
    <x v="3"/>
  </r>
  <r>
    <n v="535"/>
    <n v="34"/>
    <n v="2"/>
    <n v="169.47"/>
    <n v="16.95"/>
    <n v="0"/>
    <n v="0.1"/>
    <s v="ACTIVE"/>
    <m/>
    <s v=""/>
    <m/>
    <d v="2025-12-12T10:16:26"/>
    <d v="2025-12-12T00:00:00"/>
    <x v="2"/>
    <x v="0"/>
    <n v="1"/>
    <n v="0"/>
    <x v="81"/>
    <s v="Lucía Rodríguez Rodríguez"/>
    <x v="1"/>
  </r>
  <r>
    <n v="536"/>
    <n v="136"/>
    <n v="2"/>
    <n v="70.150000000000006"/>
    <n v="7.02"/>
    <n v="0"/>
    <n v="0.1"/>
    <s v="ACTIVE"/>
    <m/>
    <s v=""/>
    <m/>
    <d v="2025-12-12T10:24:15"/>
    <d v="2025-12-12T00:00:00"/>
    <x v="2"/>
    <x v="0"/>
    <n v="1"/>
    <n v="0"/>
    <x v="490"/>
    <s v="Guadalupe Castillo Rangel"/>
    <x v="1"/>
  </r>
  <r>
    <n v="537"/>
    <n v="44"/>
    <n v="4"/>
    <n v="37.590000000000003"/>
    <n v="0"/>
    <n v="1"/>
    <n v="0.1"/>
    <s v="ACTIVE"/>
    <m/>
    <s v=""/>
    <m/>
    <d v="2025-12-12T10:28:39"/>
    <d v="2025-12-12T00:00:00"/>
    <x v="2"/>
    <x v="1"/>
    <n v="1"/>
    <n v="0"/>
    <x v="491"/>
    <s v="Pedro Herrera Castillo"/>
    <x v="3"/>
  </r>
  <r>
    <n v="538"/>
    <n v="155"/>
    <n v="4"/>
    <n v="33.22"/>
    <n v="3.32"/>
    <n v="0"/>
    <n v="0.1"/>
    <s v="ACTIVE"/>
    <m/>
    <s v=""/>
    <m/>
    <d v="2025-12-12T10:50:14"/>
    <d v="2025-12-12T00:00:00"/>
    <x v="2"/>
    <x v="0"/>
    <n v="1"/>
    <n v="0"/>
    <x v="492"/>
    <s v="Óscar Santoyo Ramos"/>
    <x v="3"/>
  </r>
  <r>
    <n v="539"/>
    <n v="137"/>
    <n v="2"/>
    <n v="50.91"/>
    <n v="5.09"/>
    <n v="0"/>
    <n v="0.1"/>
    <s v="ACTIVE"/>
    <m/>
    <s v=""/>
    <m/>
    <d v="2025-12-12T10:50:44"/>
    <d v="2025-12-12T00:00:00"/>
    <x v="2"/>
    <x v="0"/>
    <n v="1"/>
    <n v="0"/>
    <x v="493"/>
    <s v="Francisco Reyes Ruiz"/>
    <x v="1"/>
  </r>
  <r>
    <n v="540"/>
    <n v="44"/>
    <n v="5"/>
    <n v="24.33"/>
    <n v="2.4300000000000002"/>
    <n v="0"/>
    <n v="0.1"/>
    <s v="ACTIVE"/>
    <m/>
    <s v=""/>
    <m/>
    <d v="2025-12-12T11:27:38"/>
    <d v="2025-12-12T00:00:00"/>
    <x v="2"/>
    <x v="0"/>
    <n v="1"/>
    <n v="0"/>
    <x v="494"/>
    <s v="Pedro Herrera Castillo"/>
    <x v="2"/>
  </r>
  <r>
    <n v="541"/>
    <n v="196"/>
    <n v="2"/>
    <n v="22.31"/>
    <n v="2.23"/>
    <n v="0"/>
    <n v="0.1"/>
    <s v="ACTIVE"/>
    <m/>
    <s v=""/>
    <m/>
    <d v="2025-12-12T11:56:41"/>
    <d v="2025-12-12T00:00:00"/>
    <x v="2"/>
    <x v="0"/>
    <n v="1"/>
    <n v="0"/>
    <x v="495"/>
    <s v="Lucía Ramos Ramos"/>
    <x v="1"/>
  </r>
  <r>
    <n v="542"/>
    <n v="252"/>
    <n v="5"/>
    <n v="36.01"/>
    <n v="3.6"/>
    <n v="0"/>
    <n v="0.1"/>
    <s v="ACTIVE"/>
    <m/>
    <s v=""/>
    <m/>
    <d v="2025-12-12T13:11:30"/>
    <d v="2025-12-12T00:00:00"/>
    <x v="2"/>
    <x v="0"/>
    <n v="1"/>
    <n v="0"/>
    <x v="496"/>
    <s v="Martha Delgado Mendoza"/>
    <x v="2"/>
  </r>
  <r>
    <n v="543"/>
    <n v="194"/>
    <n v="4"/>
    <n v="220"/>
    <n v="22"/>
    <n v="0"/>
    <n v="0.1"/>
    <s v="ACTIVE"/>
    <m/>
    <s v=""/>
    <m/>
    <d v="2025-12-12T16:31:08"/>
    <d v="2025-12-12T00:00:00"/>
    <x v="2"/>
    <x v="0"/>
    <n v="1"/>
    <n v="0"/>
    <x v="200"/>
    <s v="Óscar Herrera Gutiérrez"/>
    <x v="3"/>
  </r>
  <r>
    <n v="544"/>
    <n v="44"/>
    <n v="5"/>
    <n v="34.020000000000003"/>
    <n v="3.4"/>
    <n v="0"/>
    <n v="0.1"/>
    <s v="ACTIVE"/>
    <m/>
    <s v=""/>
    <m/>
    <d v="2025-12-12T17:12:32"/>
    <d v="2025-12-12T00:00:00"/>
    <x v="2"/>
    <x v="0"/>
    <n v="1"/>
    <n v="0"/>
    <x v="497"/>
    <s v="Pedro Herrera Castillo"/>
    <x v="2"/>
  </r>
  <r>
    <n v="545"/>
    <n v="136"/>
    <n v="4"/>
    <n v="114.76"/>
    <n v="11.48"/>
    <n v="0"/>
    <n v="0.1"/>
    <s v="ACTIVE"/>
    <m/>
    <s v=""/>
    <m/>
    <d v="2025-12-12T17:41:33"/>
    <d v="2025-12-12T00:00:00"/>
    <x v="2"/>
    <x v="0"/>
    <n v="1"/>
    <n v="0"/>
    <x v="498"/>
    <s v="Guadalupe Castillo Rangel"/>
    <x v="3"/>
  </r>
  <r>
    <n v="546"/>
    <n v="7"/>
    <n v="3"/>
    <n v="113.18"/>
    <n v="11.32"/>
    <n v="0"/>
    <n v="0.1"/>
    <s v="ACTIVE"/>
    <m/>
    <s v=""/>
    <m/>
    <d v="2025-12-13T07:08:44"/>
    <d v="2025-12-13T00:00:00"/>
    <x v="2"/>
    <x v="0"/>
    <n v="1"/>
    <n v="0"/>
    <x v="499"/>
    <s v="Teresa Rodríguez Herrera"/>
    <x v="0"/>
  </r>
  <r>
    <n v="547"/>
    <n v="137"/>
    <n v="4"/>
    <n v="32.04"/>
    <n v="3.2"/>
    <n v="0"/>
    <n v="0.1"/>
    <s v="ACTIVE"/>
    <m/>
    <s v=""/>
    <m/>
    <d v="2025-12-13T07:57:02"/>
    <d v="2025-12-13T00:00:00"/>
    <x v="2"/>
    <x v="0"/>
    <n v="1"/>
    <n v="0"/>
    <x v="500"/>
    <s v="Francisco Reyes Ruiz"/>
    <x v="3"/>
  </r>
  <r>
    <n v="548"/>
    <n v="12"/>
    <n v="5"/>
    <n v="22.24"/>
    <n v="2.2200000000000002"/>
    <n v="0"/>
    <n v="0.1"/>
    <s v="ACTIVE"/>
    <m/>
    <s v=""/>
    <m/>
    <d v="2025-12-13T10:03:34"/>
    <d v="2025-12-13T00:00:00"/>
    <x v="2"/>
    <x v="0"/>
    <n v="1"/>
    <n v="0"/>
    <x v="501"/>
    <s v="Rosa Gutiérrez Martínez"/>
    <x v="2"/>
  </r>
  <r>
    <n v="549"/>
    <n v="64"/>
    <n v="3"/>
    <n v="25.11"/>
    <n v="2.5099999999999998"/>
    <n v="0"/>
    <n v="0.1"/>
    <s v="ACTIVE"/>
    <m/>
    <s v=""/>
    <m/>
    <d v="2025-12-13T11:20:00"/>
    <d v="2025-12-13T00:00:00"/>
    <x v="2"/>
    <x v="0"/>
    <n v="1"/>
    <n v="0"/>
    <x v="502"/>
    <s v="Óscar Pérez Ramírez"/>
    <x v="0"/>
  </r>
  <r>
    <n v="550"/>
    <n v="144"/>
    <n v="3"/>
    <n v="99.39"/>
    <n v="9.94"/>
    <n v="0"/>
    <n v="0.1"/>
    <s v="ACTIVE"/>
    <m/>
    <s v=""/>
    <m/>
    <d v="2025-12-13T11:39:38"/>
    <d v="2025-12-13T00:00:00"/>
    <x v="2"/>
    <x v="0"/>
    <n v="1"/>
    <n v="0"/>
    <x v="503"/>
    <s v="Silvia Sánchez González"/>
    <x v="0"/>
  </r>
  <r>
    <n v="551"/>
    <n v="244"/>
    <n v="4"/>
    <n v="64.959999999999994"/>
    <n v="6.5"/>
    <n v="0"/>
    <n v="0.1"/>
    <s v="ACTIVE"/>
    <m/>
    <s v=""/>
    <m/>
    <d v="2025-12-13T12:44:25"/>
    <d v="2025-12-13T00:00:00"/>
    <x v="2"/>
    <x v="0"/>
    <n v="1"/>
    <n v="0"/>
    <x v="504"/>
    <s v="Guadalupe Castillo Hernández"/>
    <x v="3"/>
  </r>
  <r>
    <n v="552"/>
    <n v="70"/>
    <n v="5"/>
    <n v="87.5"/>
    <n v="8.75"/>
    <n v="0"/>
    <n v="0.1"/>
    <s v="ACTIVE"/>
    <m/>
    <s v=""/>
    <m/>
    <d v="2025-12-13T13:24:02"/>
    <d v="2025-12-13T00:00:00"/>
    <x v="2"/>
    <x v="0"/>
    <n v="1"/>
    <n v="0"/>
    <x v="505"/>
    <s v="Manuel Ávila Martínez"/>
    <x v="2"/>
  </r>
  <r>
    <n v="553"/>
    <n v="39"/>
    <n v="2"/>
    <n v="176.77"/>
    <n v="17.68"/>
    <n v="0"/>
    <n v="0.1"/>
    <s v="ACTIVE"/>
    <m/>
    <s v=""/>
    <m/>
    <d v="2025-12-13T13:50:59"/>
    <d v="2025-12-13T00:00:00"/>
    <x v="2"/>
    <x v="0"/>
    <n v="1"/>
    <n v="0"/>
    <x v="506"/>
    <s v="Guadalupe García Quiñones"/>
    <x v="1"/>
  </r>
  <r>
    <n v="554"/>
    <n v="21"/>
    <n v="4"/>
    <n v="43.12"/>
    <n v="4.3099999999999996"/>
    <n v="0"/>
    <n v="0.1"/>
    <s v="ACTIVE"/>
    <m/>
    <s v=""/>
    <m/>
    <d v="2025-12-13T14:11:13"/>
    <d v="2025-12-13T00:00:00"/>
    <x v="2"/>
    <x v="0"/>
    <n v="1"/>
    <n v="0"/>
    <x v="507"/>
    <s v="Carlos Morales Santoyo"/>
    <x v="3"/>
  </r>
  <r>
    <n v="555"/>
    <n v="137"/>
    <n v="3"/>
    <n v="38.39"/>
    <n v="3.84"/>
    <n v="0"/>
    <n v="0.1"/>
    <s v="ACTIVE"/>
    <m/>
    <s v=""/>
    <m/>
    <d v="2025-12-13T14:46:11"/>
    <d v="2025-12-13T00:00:00"/>
    <x v="2"/>
    <x v="0"/>
    <n v="1"/>
    <n v="0"/>
    <x v="508"/>
    <s v="Francisco Reyes Ruiz"/>
    <x v="0"/>
  </r>
  <r>
    <n v="556"/>
    <n v="223"/>
    <n v="4"/>
    <n v="39.06"/>
    <n v="3.91"/>
    <n v="0"/>
    <n v="0.1"/>
    <s v="ACTIVE"/>
    <m/>
    <s v=""/>
    <m/>
    <d v="2025-12-13T15:19:37"/>
    <d v="2025-12-13T00:00:00"/>
    <x v="2"/>
    <x v="0"/>
    <n v="1"/>
    <n v="0"/>
    <x v="509"/>
    <s v="José Castillo Ortiz"/>
    <x v="3"/>
  </r>
  <r>
    <n v="557"/>
    <n v="255"/>
    <n v="3"/>
    <n v="37.6"/>
    <n v="3.76"/>
    <n v="0"/>
    <n v="0.1"/>
    <s v="ACTIVE"/>
    <m/>
    <s v=""/>
    <m/>
    <d v="2025-12-13T15:51:19"/>
    <d v="2025-12-13T00:00:00"/>
    <x v="2"/>
    <x v="0"/>
    <n v="1"/>
    <n v="0"/>
    <x v="510"/>
    <s v="Carmen Díaz Ramírez"/>
    <x v="0"/>
  </r>
  <r>
    <n v="558"/>
    <n v="45"/>
    <n v="4"/>
    <n v="74.53"/>
    <n v="7.45"/>
    <n v="0"/>
    <n v="0.1"/>
    <s v="ACTIVE"/>
    <m/>
    <s v=""/>
    <m/>
    <d v="2025-12-13T15:56:45"/>
    <d v="2025-12-13T00:00:00"/>
    <x v="2"/>
    <x v="0"/>
    <n v="1"/>
    <n v="0"/>
    <x v="511"/>
    <s v="Luis Pérez López"/>
    <x v="3"/>
  </r>
  <r>
    <n v="559"/>
    <n v="137"/>
    <n v="5"/>
    <n v="19.22"/>
    <n v="1.92"/>
    <n v="0"/>
    <n v="0.1"/>
    <s v="ACTIVE"/>
    <m/>
    <s v=""/>
    <m/>
    <d v="2025-12-13T16:06:24"/>
    <d v="2025-12-13T00:00:00"/>
    <x v="2"/>
    <x v="0"/>
    <n v="1"/>
    <n v="0"/>
    <x v="512"/>
    <s v="Francisco Reyes Ruiz"/>
    <x v="2"/>
  </r>
  <r>
    <n v="560"/>
    <n v="138"/>
    <n v="2"/>
    <n v="31.8"/>
    <n v="3.18"/>
    <n v="0"/>
    <n v="0.1"/>
    <s v="ACTIVE"/>
    <m/>
    <s v=""/>
    <m/>
    <d v="2025-12-13T16:22:20"/>
    <d v="2025-12-13T00:00:00"/>
    <x v="2"/>
    <x v="0"/>
    <n v="1"/>
    <n v="0"/>
    <x v="513"/>
    <s v="Alejandro Reyes Morales"/>
    <x v="1"/>
  </r>
  <r>
    <n v="561"/>
    <n v="52"/>
    <n v="3"/>
    <n v="43.05"/>
    <n v="4.3099999999999996"/>
    <n v="0"/>
    <n v="0.1"/>
    <s v="ACTIVE"/>
    <m/>
    <s v=""/>
    <m/>
    <d v="2025-12-13T18:58:12"/>
    <d v="2025-12-13T00:00:00"/>
    <x v="2"/>
    <x v="0"/>
    <n v="1"/>
    <n v="0"/>
    <x v="514"/>
    <s v="Gabriela Villalobos Flores"/>
    <x v="0"/>
  </r>
  <r>
    <n v="562"/>
    <n v="253"/>
    <n v="4"/>
    <n v="36.450000000000003"/>
    <n v="3.65"/>
    <n v="0"/>
    <n v="0.1"/>
    <s v="ACTIVE"/>
    <m/>
    <s v=""/>
    <m/>
    <d v="2025-12-14T11:44:02"/>
    <d v="2025-12-14T00:00:00"/>
    <x v="2"/>
    <x v="0"/>
    <n v="1"/>
    <n v="0"/>
    <x v="515"/>
    <s v="Luis Hernández Morales"/>
    <x v="3"/>
  </r>
  <r>
    <n v="563"/>
    <n v="262"/>
    <n v="4"/>
    <n v="125.29"/>
    <n v="12.53"/>
    <n v="0"/>
    <n v="0.1"/>
    <s v="ACTIVE"/>
    <m/>
    <s v=""/>
    <m/>
    <d v="2025-12-14T12:37:23"/>
    <d v="2025-12-14T00:00:00"/>
    <x v="2"/>
    <x v="0"/>
    <n v="1"/>
    <n v="0"/>
    <x v="516"/>
    <s v="Guadalupe Cruz Aguilar"/>
    <x v="3"/>
  </r>
  <r>
    <n v="564"/>
    <n v="155"/>
    <n v="3"/>
    <n v="20.66"/>
    <n v="2.0699999999999998"/>
    <n v="0"/>
    <n v="0.1"/>
    <s v="ACTIVE"/>
    <m/>
    <s v=""/>
    <m/>
    <d v="2025-12-14T13:40:20"/>
    <d v="2025-12-14T00:00:00"/>
    <x v="2"/>
    <x v="0"/>
    <n v="1"/>
    <n v="0"/>
    <x v="517"/>
    <s v="Óscar Santoyo Ramos"/>
    <x v="0"/>
  </r>
  <r>
    <n v="565"/>
    <n v="44"/>
    <n v="4"/>
    <n v="25.49"/>
    <n v="0"/>
    <n v="1"/>
    <n v="0.1"/>
    <s v="ACTIVE"/>
    <m/>
    <s v=""/>
    <m/>
    <d v="2025-12-14T14:00:28"/>
    <d v="2025-12-14T00:00:00"/>
    <x v="2"/>
    <x v="1"/>
    <n v="1"/>
    <n v="0"/>
    <x v="518"/>
    <s v="Pedro Herrera Castillo"/>
    <x v="3"/>
  </r>
  <r>
    <n v="566"/>
    <n v="137"/>
    <n v="5"/>
    <n v="37.39"/>
    <n v="3.74"/>
    <n v="0"/>
    <n v="0.1"/>
    <s v="ACTIVE"/>
    <m/>
    <s v=""/>
    <m/>
    <d v="2025-12-14T14:48:02"/>
    <d v="2025-12-14T00:00:00"/>
    <x v="2"/>
    <x v="0"/>
    <n v="1"/>
    <n v="0"/>
    <x v="519"/>
    <s v="Francisco Reyes Ruiz"/>
    <x v="2"/>
  </r>
  <r>
    <n v="567"/>
    <n v="26"/>
    <n v="5"/>
    <n v="43.33"/>
    <n v="4.33"/>
    <n v="0"/>
    <n v="0.1"/>
    <s v="ACTIVE"/>
    <m/>
    <s v=""/>
    <m/>
    <d v="2025-12-14T16:44:00"/>
    <d v="2025-12-14T00:00:00"/>
    <x v="2"/>
    <x v="0"/>
    <n v="1"/>
    <n v="0"/>
    <x v="363"/>
    <s v="Ricardo Herrera González"/>
    <x v="2"/>
  </r>
  <r>
    <n v="568"/>
    <n v="57"/>
    <n v="4"/>
    <n v="96.13"/>
    <n v="9.61"/>
    <n v="0"/>
    <n v="0.1"/>
    <s v="ACTIVE"/>
    <m/>
    <s v=""/>
    <m/>
    <d v="2025-12-14T17:37:35"/>
    <d v="2025-12-14T00:00:00"/>
    <x v="2"/>
    <x v="0"/>
    <n v="1"/>
    <n v="0"/>
    <x v="520"/>
    <s v="Isabel Martínez Rodríguez"/>
    <x v="3"/>
  </r>
  <r>
    <n v="569"/>
    <n v="136"/>
    <n v="3"/>
    <n v="193.48"/>
    <n v="19.350000000000001"/>
    <n v="0"/>
    <n v="0.1"/>
    <s v="ACTIVE"/>
    <m/>
    <s v=""/>
    <m/>
    <d v="2025-12-15T07:11:42"/>
    <d v="2025-12-15T00:00:00"/>
    <x v="2"/>
    <x v="0"/>
    <n v="1"/>
    <n v="0"/>
    <x v="521"/>
    <s v="Guadalupe Castillo Rangel"/>
    <x v="0"/>
  </r>
  <r>
    <n v="570"/>
    <n v="253"/>
    <n v="5"/>
    <n v="14.18"/>
    <n v="1.42"/>
    <n v="0"/>
    <n v="0.1"/>
    <s v="ACTIVE"/>
    <m/>
    <s v=""/>
    <m/>
    <d v="2025-12-15T07:53:16"/>
    <d v="2025-12-15T00:00:00"/>
    <x v="2"/>
    <x v="0"/>
    <n v="1"/>
    <n v="0"/>
    <x v="522"/>
    <s v="Luis Hernández Morales"/>
    <x v="2"/>
  </r>
  <r>
    <n v="571"/>
    <n v="39"/>
    <n v="4"/>
    <n v="292.19"/>
    <n v="29.22"/>
    <n v="0"/>
    <n v="0.1"/>
    <s v="ACTIVE"/>
    <m/>
    <s v=""/>
    <m/>
    <d v="2025-12-15T10:00:26"/>
    <d v="2025-12-15T00:00:00"/>
    <x v="2"/>
    <x v="0"/>
    <n v="1"/>
    <n v="0"/>
    <x v="523"/>
    <s v="Guadalupe García Quiñones"/>
    <x v="3"/>
  </r>
  <r>
    <n v="572"/>
    <n v="52"/>
    <n v="3"/>
    <n v="28.63"/>
    <n v="2.86"/>
    <n v="0"/>
    <n v="0.1"/>
    <s v="ACTIVE"/>
    <m/>
    <s v=""/>
    <m/>
    <d v="2025-12-15T10:01:28"/>
    <d v="2025-12-15T00:00:00"/>
    <x v="2"/>
    <x v="0"/>
    <n v="1"/>
    <n v="0"/>
    <x v="524"/>
    <s v="Gabriela Villalobos Flores"/>
    <x v="0"/>
  </r>
  <r>
    <n v="573"/>
    <n v="58"/>
    <n v="3"/>
    <n v="70.91"/>
    <n v="7.09"/>
    <n v="0"/>
    <n v="0.1"/>
    <s v="ACTIVE"/>
    <m/>
    <s v=""/>
    <m/>
    <d v="2025-12-15T10:50:11"/>
    <d v="2025-12-15T00:00:00"/>
    <x v="2"/>
    <x v="0"/>
    <n v="1"/>
    <n v="0"/>
    <x v="525"/>
    <s v="Alicia Ruiz Gutiérrez"/>
    <x v="0"/>
  </r>
  <r>
    <n v="574"/>
    <n v="150"/>
    <n v="3"/>
    <n v="68.48"/>
    <n v="6.85"/>
    <n v="0"/>
    <n v="0.1"/>
    <s v="ACTIVE"/>
    <m/>
    <s v=""/>
    <m/>
    <d v="2025-12-15T11:57:42"/>
    <d v="2025-12-15T00:00:00"/>
    <x v="2"/>
    <x v="0"/>
    <n v="1"/>
    <n v="0"/>
    <x v="526"/>
    <s v="Daniel Díaz Quiñones"/>
    <x v="0"/>
  </r>
  <r>
    <n v="575"/>
    <n v="97"/>
    <n v="2"/>
    <n v="70.97"/>
    <n v="7.1"/>
    <n v="0"/>
    <n v="0.1"/>
    <s v="ACTIVE"/>
    <m/>
    <s v=""/>
    <m/>
    <d v="2025-12-15T12:28:00"/>
    <d v="2025-12-15T00:00:00"/>
    <x v="2"/>
    <x v="0"/>
    <n v="1"/>
    <n v="0"/>
    <x v="527"/>
    <s v="Alicia Rangel López"/>
    <x v="1"/>
  </r>
  <r>
    <n v="576"/>
    <n v="47"/>
    <n v="2"/>
    <n v="35.21"/>
    <n v="3.52"/>
    <n v="0"/>
    <n v="0.1"/>
    <s v="ACTIVE"/>
    <m/>
    <s v=""/>
    <m/>
    <d v="2025-12-15T14:21:06"/>
    <d v="2025-12-15T00:00:00"/>
    <x v="2"/>
    <x v="0"/>
    <n v="1"/>
    <n v="0"/>
    <x v="528"/>
    <s v="Carmen Díaz Chávez"/>
    <x v="1"/>
  </r>
  <r>
    <n v="577"/>
    <n v="70"/>
    <n v="4"/>
    <n v="230.91"/>
    <n v="23.09"/>
    <n v="0"/>
    <n v="0.1"/>
    <s v="ACTIVE"/>
    <m/>
    <s v=""/>
    <m/>
    <d v="2025-12-16T07:57:57"/>
    <d v="2025-12-16T00:00:00"/>
    <x v="2"/>
    <x v="0"/>
    <n v="1"/>
    <n v="0"/>
    <x v="529"/>
    <s v="Manuel Ávila Martínez"/>
    <x v="3"/>
  </r>
  <r>
    <n v="578"/>
    <n v="27"/>
    <n v="4"/>
    <n v="45.4"/>
    <n v="4.54"/>
    <n v="0"/>
    <n v="0.1"/>
    <s v="ACTIVE"/>
    <m/>
    <s v=""/>
    <m/>
    <d v="2025-12-16T08:02:03"/>
    <d v="2025-12-16T00:00:00"/>
    <x v="2"/>
    <x v="0"/>
    <n v="1"/>
    <n v="0"/>
    <x v="530"/>
    <s v="Alicia Gutiérrez Quiñones"/>
    <x v="3"/>
  </r>
  <r>
    <n v="579"/>
    <n v="117"/>
    <n v="3"/>
    <n v="67.23"/>
    <n v="6.72"/>
    <n v="0"/>
    <n v="0.1"/>
    <s v="ACTIVE"/>
    <m/>
    <s v=""/>
    <m/>
    <d v="2025-12-16T08:48:10"/>
    <d v="2025-12-16T00:00:00"/>
    <x v="2"/>
    <x v="0"/>
    <n v="1"/>
    <n v="0"/>
    <x v="531"/>
    <s v="Manuel Ortiz Ramírez"/>
    <x v="0"/>
  </r>
  <r>
    <n v="580"/>
    <n v="76"/>
    <n v="5"/>
    <n v="94.7"/>
    <n v="9.4700000000000006"/>
    <n v="0"/>
    <n v="0.1"/>
    <s v="ACTIVE"/>
    <m/>
    <s v=""/>
    <m/>
    <d v="2025-12-16T09:42:46"/>
    <d v="2025-12-16T00:00:00"/>
    <x v="2"/>
    <x v="0"/>
    <n v="1"/>
    <n v="0"/>
    <x v="532"/>
    <s v="Pedro Jiménez Martínez"/>
    <x v="2"/>
  </r>
  <r>
    <n v="581"/>
    <n v="240"/>
    <n v="2"/>
    <n v="157.16"/>
    <n v="15.72"/>
    <n v="0"/>
    <n v="0.1"/>
    <s v="ACTIVE"/>
    <m/>
    <s v=""/>
    <m/>
    <d v="2025-12-16T10:05:09"/>
    <d v="2025-12-16T00:00:00"/>
    <x v="2"/>
    <x v="0"/>
    <n v="1"/>
    <n v="0"/>
    <x v="533"/>
    <s v="Pedro Castillo Quiñones"/>
    <x v="1"/>
  </r>
  <r>
    <n v="582"/>
    <n v="137"/>
    <n v="4"/>
    <n v="37.11"/>
    <n v="3.71"/>
    <n v="0"/>
    <n v="0.1"/>
    <s v="ACTIVE"/>
    <m/>
    <s v=""/>
    <m/>
    <d v="2025-12-16T10:40:29"/>
    <d v="2025-12-16T00:00:00"/>
    <x v="2"/>
    <x v="0"/>
    <n v="1"/>
    <n v="0"/>
    <x v="534"/>
    <s v="Francisco Reyes Ruiz"/>
    <x v="3"/>
  </r>
  <r>
    <n v="583"/>
    <n v="17"/>
    <n v="5"/>
    <n v="123.42"/>
    <n v="12.34"/>
    <n v="0"/>
    <n v="0.1"/>
    <s v="ACTIVE"/>
    <m/>
    <s v=""/>
    <m/>
    <d v="2025-12-16T10:42:59"/>
    <d v="2025-12-16T00:00:00"/>
    <x v="2"/>
    <x v="0"/>
    <n v="1"/>
    <n v="0"/>
    <x v="535"/>
    <s v="Patricia Castillo Morales"/>
    <x v="2"/>
  </r>
  <r>
    <n v="584"/>
    <n v="16"/>
    <n v="2"/>
    <n v="278.97000000000003"/>
    <n v="27.9"/>
    <n v="0"/>
    <n v="0.1"/>
    <s v="ACTIVE"/>
    <m/>
    <s v=""/>
    <m/>
    <d v="2025-12-16T11:10:33"/>
    <d v="2025-12-16T00:00:00"/>
    <x v="2"/>
    <x v="0"/>
    <n v="1"/>
    <n v="0"/>
    <x v="536"/>
    <s v="Laura Chávez Rangel"/>
    <x v="1"/>
  </r>
  <r>
    <n v="585"/>
    <n v="65"/>
    <n v="4"/>
    <n v="19.670000000000002"/>
    <n v="1.97"/>
    <n v="0"/>
    <n v="0.1"/>
    <s v="ACTIVE"/>
    <m/>
    <s v=""/>
    <m/>
    <d v="2025-12-16T13:02:38"/>
    <d v="2025-12-16T00:00:00"/>
    <x v="2"/>
    <x v="0"/>
    <n v="1"/>
    <n v="0"/>
    <x v="537"/>
    <s v="Gabriela Flores Chávez"/>
    <x v="3"/>
  </r>
  <r>
    <n v="586"/>
    <n v="36"/>
    <n v="5"/>
    <n v="94.51"/>
    <n v="9.4499999999999993"/>
    <n v="0"/>
    <n v="0.1"/>
    <s v="ACTIVE"/>
    <m/>
    <s v=""/>
    <m/>
    <d v="2025-12-16T14:01:49"/>
    <d v="2025-12-16T00:00:00"/>
    <x v="2"/>
    <x v="0"/>
    <n v="1"/>
    <n v="0"/>
    <x v="538"/>
    <s v="Sergio Delgado Herrera"/>
    <x v="2"/>
  </r>
  <r>
    <n v="587"/>
    <n v="106"/>
    <n v="2"/>
    <n v="65.260000000000005"/>
    <n v="6.53"/>
    <n v="0"/>
    <n v="0.1"/>
    <s v="ACTIVE"/>
    <m/>
    <s v=""/>
    <m/>
    <d v="2025-12-16T14:04:55"/>
    <d v="2025-12-16T00:00:00"/>
    <x v="2"/>
    <x v="0"/>
    <n v="1"/>
    <n v="0"/>
    <x v="539"/>
    <s v="Isabel García Santoyo"/>
    <x v="1"/>
  </r>
  <r>
    <n v="588"/>
    <n v="65"/>
    <n v="4"/>
    <n v="22.56"/>
    <n v="2.2599999999999998"/>
    <n v="0"/>
    <n v="0.1"/>
    <s v="ACTIVE"/>
    <m/>
    <s v=""/>
    <m/>
    <d v="2025-12-16T16:32:17"/>
    <d v="2025-12-16T00:00:00"/>
    <x v="2"/>
    <x v="0"/>
    <n v="1"/>
    <n v="0"/>
    <x v="540"/>
    <s v="Gabriela Flores Chávez"/>
    <x v="3"/>
  </r>
  <r>
    <n v="589"/>
    <n v="48"/>
    <n v="3"/>
    <n v="163.38999999999999"/>
    <n v="16.34"/>
    <n v="0"/>
    <n v="0.1"/>
    <s v="ACTIVE"/>
    <m/>
    <s v=""/>
    <m/>
    <d v="2025-12-16T18:23:21"/>
    <d v="2025-12-16T00:00:00"/>
    <x v="2"/>
    <x v="0"/>
    <n v="1"/>
    <n v="0"/>
    <x v="541"/>
    <s v="Carlos Medina Quiñones"/>
    <x v="0"/>
  </r>
  <r>
    <n v="590"/>
    <n v="296"/>
    <n v="2"/>
    <n v="112.64"/>
    <n v="11.26"/>
    <n v="0"/>
    <n v="0.1"/>
    <s v="ACTIVE"/>
    <m/>
    <s v=""/>
    <m/>
    <d v="2025-12-17T07:01:46"/>
    <d v="2025-12-17T00:00:00"/>
    <x v="2"/>
    <x v="0"/>
    <n v="1"/>
    <n v="0"/>
    <x v="542"/>
    <s v="Verónica Castillo García"/>
    <x v="1"/>
  </r>
  <r>
    <n v="591"/>
    <n v="44"/>
    <n v="2"/>
    <n v="51.8"/>
    <n v="5.18"/>
    <n v="0"/>
    <n v="0.1"/>
    <s v="ACTIVE"/>
    <m/>
    <s v=""/>
    <m/>
    <d v="2025-12-17T07:28:29"/>
    <d v="2025-12-17T00:00:00"/>
    <x v="2"/>
    <x v="0"/>
    <n v="1"/>
    <n v="0"/>
    <x v="543"/>
    <s v="Pedro Herrera Castillo"/>
    <x v="1"/>
  </r>
  <r>
    <n v="592"/>
    <n v="137"/>
    <n v="5"/>
    <n v="61.47"/>
    <n v="6.15"/>
    <n v="0"/>
    <n v="0.1"/>
    <s v="ACTIVE"/>
    <m/>
    <s v=""/>
    <m/>
    <d v="2025-12-17T09:17:33"/>
    <d v="2025-12-17T00:00:00"/>
    <x v="2"/>
    <x v="0"/>
    <n v="1"/>
    <n v="0"/>
    <x v="455"/>
    <s v="Francisco Reyes Ruiz"/>
    <x v="2"/>
  </r>
  <r>
    <n v="593"/>
    <n v="209"/>
    <n v="2"/>
    <n v="174.89"/>
    <n v="17.489999999999998"/>
    <n v="0"/>
    <n v="0.1"/>
    <s v="ACTIVE"/>
    <m/>
    <s v=""/>
    <m/>
    <d v="2025-12-17T11:41:03"/>
    <d v="2025-12-17T00:00:00"/>
    <x v="2"/>
    <x v="0"/>
    <n v="1"/>
    <n v="0"/>
    <x v="544"/>
    <s v="Irma Cruz González"/>
    <x v="1"/>
  </r>
  <r>
    <n v="594"/>
    <n v="207"/>
    <n v="2"/>
    <n v="32.86"/>
    <n v="3.29"/>
    <n v="0"/>
    <n v="0.1"/>
    <s v="ACTIVE"/>
    <m/>
    <s v=""/>
    <m/>
    <d v="2025-12-17T11:56:19"/>
    <d v="2025-12-17T00:00:00"/>
    <x v="2"/>
    <x v="0"/>
    <n v="1"/>
    <n v="0"/>
    <x v="545"/>
    <s v="Leticia Vázquez Gutiérrez"/>
    <x v="1"/>
  </r>
  <r>
    <n v="595"/>
    <n v="21"/>
    <n v="4"/>
    <n v="34.58"/>
    <n v="3.46"/>
    <n v="0"/>
    <n v="0.1"/>
    <s v="ACTIVE"/>
    <m/>
    <s v=""/>
    <m/>
    <d v="2025-12-17T12:30:13"/>
    <d v="2025-12-17T00:00:00"/>
    <x v="2"/>
    <x v="0"/>
    <n v="1"/>
    <n v="0"/>
    <x v="546"/>
    <s v="Carlos Morales Santoyo"/>
    <x v="3"/>
  </r>
  <r>
    <n v="596"/>
    <n v="262"/>
    <n v="2"/>
    <n v="89.55"/>
    <n v="8.9600000000000009"/>
    <n v="0"/>
    <n v="0.1"/>
    <s v="ACTIVE"/>
    <m/>
    <s v=""/>
    <m/>
    <d v="2025-12-17T14:01:42"/>
    <d v="2025-12-17T00:00:00"/>
    <x v="2"/>
    <x v="0"/>
    <n v="1"/>
    <n v="0"/>
    <x v="547"/>
    <s v="Guadalupe Cruz Aguilar"/>
    <x v="1"/>
  </r>
  <r>
    <n v="597"/>
    <n v="296"/>
    <n v="5"/>
    <n v="112.96"/>
    <n v="11.3"/>
    <n v="0"/>
    <n v="0.1"/>
    <s v="ACTIVE"/>
    <m/>
    <s v=""/>
    <m/>
    <d v="2025-12-17T15:51:00"/>
    <d v="2025-12-17T00:00:00"/>
    <x v="2"/>
    <x v="0"/>
    <n v="1"/>
    <n v="0"/>
    <x v="548"/>
    <s v="Verónica Castillo García"/>
    <x v="2"/>
  </r>
  <r>
    <n v="598"/>
    <n v="37"/>
    <n v="2"/>
    <n v="78.680000000000007"/>
    <n v="7.87"/>
    <n v="0"/>
    <n v="0.1"/>
    <s v="ACTIVE"/>
    <m/>
    <s v=""/>
    <m/>
    <d v="2025-12-17T16:20:54"/>
    <d v="2025-12-17T00:00:00"/>
    <x v="2"/>
    <x v="0"/>
    <n v="1"/>
    <n v="0"/>
    <x v="549"/>
    <s v="Fernando Mendoza Moreno"/>
    <x v="1"/>
  </r>
  <r>
    <n v="599"/>
    <n v="39"/>
    <n v="5"/>
    <n v="253.28"/>
    <n v="25.33"/>
    <n v="0"/>
    <n v="0.1"/>
    <s v="ACTIVE"/>
    <m/>
    <s v=""/>
    <m/>
    <d v="2025-12-18T07:18:07"/>
    <d v="2025-12-18T00:00:00"/>
    <x v="2"/>
    <x v="0"/>
    <n v="1"/>
    <n v="0"/>
    <x v="550"/>
    <s v="Guadalupe García Quiñones"/>
    <x v="2"/>
  </r>
  <r>
    <n v="600"/>
    <n v="240"/>
    <n v="5"/>
    <n v="233.49"/>
    <n v="23.35"/>
    <n v="0"/>
    <n v="0.1"/>
    <s v="ACTIVE"/>
    <m/>
    <s v=""/>
    <m/>
    <d v="2025-12-18T08:02:53"/>
    <d v="2025-12-18T00:00:00"/>
    <x v="2"/>
    <x v="0"/>
    <n v="1"/>
    <n v="0"/>
    <x v="551"/>
    <s v="Pedro Castillo Quiñones"/>
    <x v="2"/>
  </r>
  <r>
    <n v="601"/>
    <n v="101"/>
    <n v="3"/>
    <n v="23.32"/>
    <n v="2.33"/>
    <n v="0"/>
    <n v="0.1"/>
    <s v="ACTIVE"/>
    <m/>
    <s v=""/>
    <m/>
    <d v="2025-12-18T09:52:19"/>
    <d v="2025-12-18T00:00:00"/>
    <x v="2"/>
    <x v="0"/>
    <n v="1"/>
    <n v="0"/>
    <x v="552"/>
    <s v="Raúl Delgado Villalobos"/>
    <x v="0"/>
  </r>
  <r>
    <n v="602"/>
    <n v="117"/>
    <n v="2"/>
    <n v="38.83"/>
    <n v="3.88"/>
    <n v="0"/>
    <n v="0.1"/>
    <s v="ACTIVE"/>
    <m/>
    <s v=""/>
    <m/>
    <d v="2025-12-18T10:57:48"/>
    <d v="2025-12-18T00:00:00"/>
    <x v="2"/>
    <x v="0"/>
    <n v="1"/>
    <n v="0"/>
    <x v="281"/>
    <s v="Manuel Ortiz Ramírez"/>
    <x v="1"/>
  </r>
  <r>
    <n v="603"/>
    <n v="227"/>
    <n v="4"/>
    <n v="17.350000000000001"/>
    <n v="1.74"/>
    <n v="0"/>
    <n v="0.1"/>
    <s v="CANCELED"/>
    <n v="5"/>
    <s v="Monto duplicado por error de sistema"/>
    <d v="2025-12-19T11:42:41"/>
    <d v="2025-12-18T11:42:41"/>
    <d v="2025-12-18T00:00:00"/>
    <x v="2"/>
    <x v="0"/>
    <n v="1"/>
    <n v="1"/>
    <x v="32"/>
    <s v="Alicia Mendoza Rangel"/>
    <x v="3"/>
  </r>
  <r>
    <n v="604"/>
    <n v="79"/>
    <n v="2"/>
    <n v="51.39"/>
    <n v="5.14"/>
    <n v="0"/>
    <n v="0.1"/>
    <s v="ACTIVE"/>
    <m/>
    <s v=""/>
    <m/>
    <d v="2025-12-18T14:31:27"/>
    <d v="2025-12-18T00:00:00"/>
    <x v="2"/>
    <x v="0"/>
    <n v="1"/>
    <n v="0"/>
    <x v="553"/>
    <s v="Raúl Castillo Zacatecas"/>
    <x v="1"/>
  </r>
  <r>
    <n v="605"/>
    <n v="21"/>
    <n v="5"/>
    <n v="18.399999999999999"/>
    <n v="1.84"/>
    <n v="0"/>
    <n v="0.1"/>
    <s v="ACTIVE"/>
    <m/>
    <s v=""/>
    <m/>
    <d v="2025-12-18T14:40:42"/>
    <d v="2025-12-18T00:00:00"/>
    <x v="2"/>
    <x v="0"/>
    <n v="1"/>
    <n v="0"/>
    <x v="554"/>
    <s v="Carlos Morales Santoyo"/>
    <x v="2"/>
  </r>
  <r>
    <n v="606"/>
    <n v="17"/>
    <n v="3"/>
    <n v="119.36"/>
    <n v="11.94"/>
    <n v="0"/>
    <n v="0.1"/>
    <s v="ACTIVE"/>
    <m/>
    <s v=""/>
    <m/>
    <d v="2025-12-18T15:59:06"/>
    <d v="2025-12-18T00:00:00"/>
    <x v="2"/>
    <x v="0"/>
    <n v="1"/>
    <n v="0"/>
    <x v="555"/>
    <s v="Patricia Castillo Morales"/>
    <x v="0"/>
  </r>
  <r>
    <n v="607"/>
    <n v="42"/>
    <n v="5"/>
    <n v="27.82"/>
    <n v="2.78"/>
    <n v="0"/>
    <n v="0.1"/>
    <s v="ACTIVE"/>
    <m/>
    <s v=""/>
    <m/>
    <d v="2025-12-18T16:15:47"/>
    <d v="2025-12-18T00:00:00"/>
    <x v="2"/>
    <x v="0"/>
    <n v="1"/>
    <n v="0"/>
    <x v="556"/>
    <s v="Roberto Ávila Ramírez"/>
    <x v="2"/>
  </r>
  <r>
    <n v="608"/>
    <n v="70"/>
    <n v="3"/>
    <n v="157.72"/>
    <n v="15.77"/>
    <n v="0"/>
    <n v="0.1"/>
    <s v="ACTIVE"/>
    <m/>
    <s v=""/>
    <m/>
    <d v="2025-12-18T17:00:45"/>
    <d v="2025-12-18T00:00:00"/>
    <x v="2"/>
    <x v="0"/>
    <n v="1"/>
    <n v="0"/>
    <x v="557"/>
    <s v="Manuel Ávila Martínez"/>
    <x v="0"/>
  </r>
  <r>
    <n v="609"/>
    <n v="137"/>
    <n v="2"/>
    <n v="37.25"/>
    <n v="3.73"/>
    <n v="0"/>
    <n v="0.1"/>
    <s v="ACTIVE"/>
    <m/>
    <s v=""/>
    <m/>
    <d v="2025-12-19T08:20:50"/>
    <d v="2025-12-19T00:00:00"/>
    <x v="2"/>
    <x v="0"/>
    <n v="1"/>
    <n v="0"/>
    <x v="558"/>
    <s v="Francisco Reyes Ruiz"/>
    <x v="1"/>
  </r>
  <r>
    <n v="610"/>
    <n v="240"/>
    <n v="4"/>
    <n v="128.19"/>
    <n v="12.82"/>
    <n v="0"/>
    <n v="0.1"/>
    <s v="ACTIVE"/>
    <m/>
    <s v=""/>
    <m/>
    <d v="2025-12-19T09:51:36"/>
    <d v="2025-12-19T00:00:00"/>
    <x v="2"/>
    <x v="0"/>
    <n v="1"/>
    <n v="0"/>
    <x v="559"/>
    <s v="Pedro Castillo Quiñones"/>
    <x v="3"/>
  </r>
  <r>
    <n v="611"/>
    <n v="253"/>
    <n v="5"/>
    <n v="24.58"/>
    <n v="2.46"/>
    <n v="0"/>
    <n v="0.1"/>
    <s v="ACTIVE"/>
    <m/>
    <s v=""/>
    <m/>
    <d v="2025-12-19T11:16:49"/>
    <d v="2025-12-19T00:00:00"/>
    <x v="2"/>
    <x v="0"/>
    <n v="1"/>
    <n v="0"/>
    <x v="560"/>
    <s v="Luis Hernández Morales"/>
    <x v="2"/>
  </r>
  <r>
    <n v="612"/>
    <n v="49"/>
    <n v="5"/>
    <n v="70.599999999999994"/>
    <n v="7.06"/>
    <n v="0"/>
    <n v="0.1"/>
    <s v="ACTIVE"/>
    <m/>
    <s v=""/>
    <m/>
    <d v="2025-12-19T11:38:15"/>
    <d v="2025-12-19T00:00:00"/>
    <x v="2"/>
    <x v="0"/>
    <n v="1"/>
    <n v="0"/>
    <x v="561"/>
    <s v="José Rodríguez Ortiz"/>
    <x v="2"/>
  </r>
  <r>
    <n v="613"/>
    <n v="106"/>
    <n v="5"/>
    <n v="49.62"/>
    <n v="4.96"/>
    <n v="0"/>
    <n v="0.1"/>
    <s v="ACTIVE"/>
    <m/>
    <s v=""/>
    <m/>
    <d v="2025-12-19T13:13:38"/>
    <d v="2025-12-19T00:00:00"/>
    <x v="2"/>
    <x v="0"/>
    <n v="1"/>
    <n v="0"/>
    <x v="562"/>
    <s v="Isabel García Santoyo"/>
    <x v="2"/>
  </r>
  <r>
    <n v="614"/>
    <n v="241"/>
    <n v="3"/>
    <n v="19.309999999999999"/>
    <n v="1.93"/>
    <n v="0"/>
    <n v="0.1"/>
    <s v="ACTIVE"/>
    <m/>
    <s v=""/>
    <m/>
    <d v="2025-12-19T15:23:46"/>
    <d v="2025-12-19T00:00:00"/>
    <x v="2"/>
    <x v="0"/>
    <n v="1"/>
    <n v="0"/>
    <x v="563"/>
    <s v="Lucía Cruz Herrera"/>
    <x v="0"/>
  </r>
  <r>
    <n v="615"/>
    <n v="97"/>
    <n v="2"/>
    <n v="112.56"/>
    <n v="11.26"/>
    <n v="0"/>
    <n v="0.1"/>
    <s v="ACTIVE"/>
    <m/>
    <s v=""/>
    <m/>
    <d v="2025-12-19T16:46:55"/>
    <d v="2025-12-19T00:00:00"/>
    <x v="2"/>
    <x v="0"/>
    <n v="1"/>
    <n v="0"/>
    <x v="564"/>
    <s v="Alicia Rangel López"/>
    <x v="1"/>
  </r>
  <r>
    <n v="616"/>
    <n v="137"/>
    <n v="2"/>
    <n v="20.93"/>
    <n v="2.09"/>
    <n v="0"/>
    <n v="0.1"/>
    <s v="ACTIVE"/>
    <m/>
    <s v=""/>
    <m/>
    <d v="2025-12-19T17:42:50"/>
    <d v="2025-12-19T00:00:00"/>
    <x v="2"/>
    <x v="0"/>
    <n v="1"/>
    <n v="0"/>
    <x v="565"/>
    <s v="Francisco Reyes Ruiz"/>
    <x v="1"/>
  </r>
  <r>
    <n v="617"/>
    <n v="293"/>
    <n v="2"/>
    <n v="26.9"/>
    <n v="2.69"/>
    <n v="0"/>
    <n v="0.1"/>
    <s v="ACTIVE"/>
    <m/>
    <s v=""/>
    <m/>
    <d v="2025-12-19T19:49:48"/>
    <d v="2025-12-19T00:00:00"/>
    <x v="2"/>
    <x v="0"/>
    <n v="1"/>
    <n v="0"/>
    <x v="566"/>
    <s v="Patricia Quiñones Pérez"/>
    <x v="1"/>
  </r>
  <r>
    <n v="618"/>
    <n v="106"/>
    <n v="4"/>
    <n v="110.13"/>
    <n v="11.01"/>
    <n v="0"/>
    <n v="0.1"/>
    <s v="ACTIVE"/>
    <m/>
    <s v=""/>
    <m/>
    <d v="2025-12-20T08:12:42"/>
    <d v="2025-12-20T00:00:00"/>
    <x v="2"/>
    <x v="0"/>
    <n v="1"/>
    <n v="0"/>
    <x v="567"/>
    <s v="Isabel García Santoyo"/>
    <x v="3"/>
  </r>
  <r>
    <n v="619"/>
    <n v="21"/>
    <n v="5"/>
    <n v="35.840000000000003"/>
    <n v="3.58"/>
    <n v="0"/>
    <n v="0.1"/>
    <s v="ACTIVE"/>
    <m/>
    <s v=""/>
    <m/>
    <d v="2025-12-20T08:29:21"/>
    <d v="2025-12-20T00:00:00"/>
    <x v="2"/>
    <x v="0"/>
    <n v="1"/>
    <n v="0"/>
    <x v="117"/>
    <s v="Carlos Morales Santoyo"/>
    <x v="2"/>
  </r>
  <r>
    <n v="620"/>
    <n v="49"/>
    <n v="2"/>
    <n v="220"/>
    <n v="22"/>
    <n v="0"/>
    <n v="0.1"/>
    <s v="ACTIVE"/>
    <m/>
    <s v=""/>
    <m/>
    <d v="2025-12-20T08:35:12"/>
    <d v="2025-12-20T00:00:00"/>
    <x v="2"/>
    <x v="0"/>
    <n v="1"/>
    <n v="0"/>
    <x v="200"/>
    <s v="José Rodríguez Ortiz"/>
    <x v="1"/>
  </r>
  <r>
    <n v="621"/>
    <n v="244"/>
    <n v="5"/>
    <n v="158.80000000000001"/>
    <n v="15.88"/>
    <n v="0"/>
    <n v="0.1"/>
    <s v="ACTIVE"/>
    <m/>
    <s v=""/>
    <m/>
    <d v="2025-12-20T08:38:58"/>
    <d v="2025-12-20T00:00:00"/>
    <x v="2"/>
    <x v="0"/>
    <n v="1"/>
    <n v="0"/>
    <x v="568"/>
    <s v="Guadalupe Castillo Hernández"/>
    <x v="2"/>
  </r>
  <r>
    <n v="622"/>
    <n v="50"/>
    <n v="4"/>
    <n v="95.91"/>
    <n v="9.59"/>
    <n v="0"/>
    <n v="0.1"/>
    <s v="ACTIVE"/>
    <m/>
    <s v=""/>
    <m/>
    <d v="2025-12-20T09:21:16"/>
    <d v="2025-12-20T00:00:00"/>
    <x v="2"/>
    <x v="0"/>
    <n v="1"/>
    <n v="0"/>
    <x v="569"/>
    <s v="Roberto Moreno López"/>
    <x v="3"/>
  </r>
  <r>
    <n v="623"/>
    <n v="48"/>
    <n v="4"/>
    <n v="149.75"/>
    <n v="14.98"/>
    <n v="0"/>
    <n v="0.1"/>
    <s v="ACTIVE"/>
    <m/>
    <s v=""/>
    <m/>
    <d v="2025-12-20T09:28:43"/>
    <d v="2025-12-20T00:00:00"/>
    <x v="2"/>
    <x v="0"/>
    <n v="1"/>
    <n v="0"/>
    <x v="570"/>
    <s v="Carlos Medina Quiñones"/>
    <x v="3"/>
  </r>
  <r>
    <n v="624"/>
    <n v="223"/>
    <n v="5"/>
    <n v="35.630000000000003"/>
    <n v="3.56"/>
    <n v="0"/>
    <n v="0.1"/>
    <s v="ACTIVE"/>
    <m/>
    <s v=""/>
    <m/>
    <d v="2025-12-20T09:52:33"/>
    <d v="2025-12-20T00:00:00"/>
    <x v="2"/>
    <x v="0"/>
    <n v="1"/>
    <n v="0"/>
    <x v="571"/>
    <s v="José Castillo Ortiz"/>
    <x v="2"/>
  </r>
  <r>
    <n v="625"/>
    <n v="48"/>
    <n v="3"/>
    <n v="116.9"/>
    <n v="11.69"/>
    <n v="0"/>
    <n v="0.1"/>
    <s v="ACTIVE"/>
    <m/>
    <s v=""/>
    <m/>
    <d v="2025-12-20T10:25:20"/>
    <d v="2025-12-20T00:00:00"/>
    <x v="2"/>
    <x v="0"/>
    <n v="1"/>
    <n v="0"/>
    <x v="572"/>
    <s v="Carlos Medina Quiñones"/>
    <x v="0"/>
  </r>
  <r>
    <n v="626"/>
    <n v="18"/>
    <n v="3"/>
    <n v="72.48"/>
    <n v="7.25"/>
    <n v="0"/>
    <n v="0.1"/>
    <s v="ACTIVE"/>
    <m/>
    <s v=""/>
    <m/>
    <d v="2025-12-20T10:41:40"/>
    <d v="2025-12-20T00:00:00"/>
    <x v="2"/>
    <x v="0"/>
    <n v="1"/>
    <n v="0"/>
    <x v="573"/>
    <s v="Carlos Gómez Ávila"/>
    <x v="0"/>
  </r>
  <r>
    <n v="627"/>
    <n v="53"/>
    <n v="5"/>
    <n v="40.380000000000003"/>
    <n v="4.04"/>
    <n v="0"/>
    <n v="0.1"/>
    <s v="ACTIVE"/>
    <m/>
    <s v=""/>
    <m/>
    <d v="2025-12-20T11:00:57"/>
    <d v="2025-12-20T00:00:00"/>
    <x v="2"/>
    <x v="0"/>
    <n v="1"/>
    <n v="0"/>
    <x v="574"/>
    <s v="Isabel Ávila López"/>
    <x v="2"/>
  </r>
  <r>
    <n v="628"/>
    <n v="155"/>
    <n v="5"/>
    <n v="34.18"/>
    <n v="3.42"/>
    <n v="0"/>
    <n v="0.1"/>
    <s v="ACTIVE"/>
    <m/>
    <s v=""/>
    <m/>
    <d v="2025-12-20T12:24:02"/>
    <d v="2025-12-20T00:00:00"/>
    <x v="2"/>
    <x v="0"/>
    <n v="1"/>
    <n v="0"/>
    <x v="575"/>
    <s v="Óscar Santoyo Ramos"/>
    <x v="2"/>
  </r>
  <r>
    <n v="629"/>
    <n v="106"/>
    <n v="2"/>
    <n v="111.48"/>
    <n v="11.15"/>
    <n v="0"/>
    <n v="0.1"/>
    <s v="ACTIVE"/>
    <m/>
    <s v=""/>
    <m/>
    <d v="2025-12-20T13:02:30"/>
    <d v="2025-12-20T00:00:00"/>
    <x v="2"/>
    <x v="0"/>
    <n v="1"/>
    <n v="0"/>
    <x v="576"/>
    <s v="Isabel García Santoyo"/>
    <x v="1"/>
  </r>
  <r>
    <n v="630"/>
    <n v="197"/>
    <n v="2"/>
    <n v="85.23"/>
    <n v="8.52"/>
    <n v="0"/>
    <n v="0.1"/>
    <s v="ACTIVE"/>
    <m/>
    <s v=""/>
    <m/>
    <d v="2025-12-20T13:11:40"/>
    <d v="2025-12-20T00:00:00"/>
    <x v="2"/>
    <x v="0"/>
    <n v="1"/>
    <n v="0"/>
    <x v="577"/>
    <s v="Raúl Hernández Santoyo"/>
    <x v="1"/>
  </r>
  <r>
    <n v="631"/>
    <n v="39"/>
    <n v="2"/>
    <n v="120.31"/>
    <n v="12.03"/>
    <n v="0"/>
    <n v="0.1"/>
    <s v="ACTIVE"/>
    <m/>
    <s v=""/>
    <m/>
    <d v="2025-12-20T15:02:08"/>
    <d v="2025-12-20T00:00:00"/>
    <x v="2"/>
    <x v="0"/>
    <n v="1"/>
    <n v="0"/>
    <x v="578"/>
    <s v="Guadalupe García Quiñones"/>
    <x v="1"/>
  </r>
  <r>
    <n v="632"/>
    <n v="70"/>
    <n v="4"/>
    <n v="132.71"/>
    <n v="13.27"/>
    <n v="0"/>
    <n v="0.1"/>
    <s v="CANCELED"/>
    <n v="2"/>
    <s v="Monto duplicado por error de sistema"/>
    <d v="2025-12-22T10:32:43"/>
    <d v="2025-12-20T17:32:43"/>
    <d v="2025-12-20T00:00:00"/>
    <x v="2"/>
    <x v="0"/>
    <n v="1"/>
    <n v="1"/>
    <x v="32"/>
    <s v="Manuel Ávila Martínez"/>
    <x v="3"/>
  </r>
  <r>
    <n v="633"/>
    <n v="51"/>
    <n v="3"/>
    <n v="220.9"/>
    <n v="22.09"/>
    <n v="0"/>
    <n v="0.1"/>
    <s v="ACTIVE"/>
    <m/>
    <s v=""/>
    <m/>
    <d v="2025-12-21T08:33:14"/>
    <d v="2025-12-21T00:00:00"/>
    <x v="2"/>
    <x v="0"/>
    <n v="1"/>
    <n v="0"/>
    <x v="579"/>
    <s v="Sergio Rangel Ramos"/>
    <x v="0"/>
  </r>
  <r>
    <n v="634"/>
    <n v="277"/>
    <n v="2"/>
    <n v="83.75"/>
    <n v="8.3800000000000008"/>
    <n v="0"/>
    <n v="0.1"/>
    <s v="ACTIVE"/>
    <m/>
    <s v=""/>
    <m/>
    <d v="2025-12-21T09:11:59"/>
    <d v="2025-12-21T00:00:00"/>
    <x v="2"/>
    <x v="0"/>
    <n v="1"/>
    <n v="0"/>
    <x v="580"/>
    <s v="Laura Ramos Gutiérrez"/>
    <x v="1"/>
  </r>
  <r>
    <n v="635"/>
    <n v="279"/>
    <n v="5"/>
    <n v="116.37"/>
    <n v="11.64"/>
    <n v="0"/>
    <n v="0.1"/>
    <s v="ACTIVE"/>
    <m/>
    <s v=""/>
    <m/>
    <d v="2025-12-21T09:42:17"/>
    <d v="2025-12-21T00:00:00"/>
    <x v="2"/>
    <x v="0"/>
    <n v="1"/>
    <n v="0"/>
    <x v="581"/>
    <s v="Rosa Mendoza Moreno"/>
    <x v="2"/>
  </r>
  <r>
    <n v="636"/>
    <n v="197"/>
    <n v="5"/>
    <n v="220"/>
    <n v="22"/>
    <n v="0"/>
    <n v="0.1"/>
    <s v="ACTIVE"/>
    <m/>
    <s v=""/>
    <m/>
    <d v="2025-12-21T10:53:10"/>
    <d v="2025-12-21T00:00:00"/>
    <x v="2"/>
    <x v="0"/>
    <n v="1"/>
    <n v="0"/>
    <x v="200"/>
    <s v="Raúl Hernández Santoyo"/>
    <x v="2"/>
  </r>
  <r>
    <n v="637"/>
    <n v="138"/>
    <n v="5"/>
    <n v="26.85"/>
    <n v="2.69"/>
    <n v="0"/>
    <n v="0.1"/>
    <s v="ACTIVE"/>
    <m/>
    <s v=""/>
    <m/>
    <d v="2025-12-21T11:52:18"/>
    <d v="2025-12-21T00:00:00"/>
    <x v="2"/>
    <x v="0"/>
    <n v="1"/>
    <n v="0"/>
    <x v="582"/>
    <s v="Alejandro Reyes Morales"/>
    <x v="2"/>
  </r>
  <r>
    <n v="638"/>
    <n v="104"/>
    <n v="5"/>
    <n v="126.12"/>
    <n v="12.61"/>
    <n v="0"/>
    <n v="0.1"/>
    <s v="ACTIVE"/>
    <m/>
    <s v=""/>
    <m/>
    <d v="2025-12-21T14:16:00"/>
    <d v="2025-12-21T00:00:00"/>
    <x v="2"/>
    <x v="0"/>
    <n v="1"/>
    <n v="0"/>
    <x v="583"/>
    <s v="Manuel Morales González"/>
    <x v="2"/>
  </r>
  <r>
    <n v="639"/>
    <n v="164"/>
    <n v="2"/>
    <n v="19.73"/>
    <n v="1.97"/>
    <n v="0"/>
    <n v="0.1"/>
    <s v="ACTIVE"/>
    <m/>
    <s v=""/>
    <m/>
    <d v="2025-12-21T14:17:40"/>
    <d v="2025-12-21T00:00:00"/>
    <x v="2"/>
    <x v="0"/>
    <n v="1"/>
    <n v="0"/>
    <x v="584"/>
    <s v="Sergio Ruiz Sánchez"/>
    <x v="1"/>
  </r>
  <r>
    <n v="640"/>
    <n v="65"/>
    <n v="3"/>
    <n v="17.77"/>
    <n v="1.78"/>
    <n v="0"/>
    <n v="0.1"/>
    <s v="ACTIVE"/>
    <m/>
    <s v=""/>
    <m/>
    <d v="2025-12-21T14:54:48"/>
    <d v="2025-12-21T00:00:00"/>
    <x v="2"/>
    <x v="0"/>
    <n v="1"/>
    <n v="0"/>
    <x v="585"/>
    <s v="Gabriela Flores Chávez"/>
    <x v="0"/>
  </r>
  <r>
    <n v="641"/>
    <n v="48"/>
    <n v="4"/>
    <n v="149.34"/>
    <n v="14.93"/>
    <n v="0"/>
    <n v="0.1"/>
    <s v="ACTIVE"/>
    <m/>
    <s v=""/>
    <m/>
    <d v="2025-12-21T15:45:38"/>
    <d v="2025-12-21T00:00:00"/>
    <x v="2"/>
    <x v="0"/>
    <n v="1"/>
    <n v="0"/>
    <x v="586"/>
    <s v="Carlos Medina Quiñones"/>
    <x v="3"/>
  </r>
  <r>
    <n v="642"/>
    <n v="109"/>
    <n v="5"/>
    <n v="288.98"/>
    <n v="28.9"/>
    <n v="0"/>
    <n v="0.1"/>
    <s v="ACTIVE"/>
    <m/>
    <s v=""/>
    <m/>
    <d v="2025-12-21T16:37:15"/>
    <d v="2025-12-21T00:00:00"/>
    <x v="2"/>
    <x v="0"/>
    <n v="1"/>
    <n v="0"/>
    <x v="587"/>
    <s v="Juan Jiménez Aguilar"/>
    <x v="2"/>
  </r>
  <r>
    <n v="643"/>
    <n v="290"/>
    <n v="4"/>
    <n v="37.93"/>
    <n v="3.79"/>
    <n v="0"/>
    <n v="0.1"/>
    <s v="ACTIVE"/>
    <m/>
    <s v=""/>
    <m/>
    <d v="2025-12-21T19:23:34"/>
    <d v="2025-12-21T00:00:00"/>
    <x v="2"/>
    <x v="0"/>
    <n v="1"/>
    <n v="0"/>
    <x v="588"/>
    <s v="Silvia Reyes Vázquez"/>
    <x v="3"/>
  </r>
  <r>
    <n v="644"/>
    <n v="244"/>
    <n v="2"/>
    <n v="74.62"/>
    <n v="0"/>
    <n v="1"/>
    <n v="0.1"/>
    <s v="ACTIVE"/>
    <m/>
    <s v=""/>
    <m/>
    <d v="2025-12-22T07:24:45"/>
    <d v="2025-12-22T00:00:00"/>
    <x v="2"/>
    <x v="1"/>
    <n v="1"/>
    <n v="0"/>
    <x v="589"/>
    <s v="Guadalupe Castillo Hernández"/>
    <x v="1"/>
  </r>
  <r>
    <n v="645"/>
    <n v="137"/>
    <n v="5"/>
    <n v="35.94"/>
    <n v="3.59"/>
    <n v="0"/>
    <n v="0.1"/>
    <s v="ACTIVE"/>
    <m/>
    <s v=""/>
    <m/>
    <d v="2025-12-22T07:36:13"/>
    <d v="2025-12-22T00:00:00"/>
    <x v="2"/>
    <x v="0"/>
    <n v="1"/>
    <n v="0"/>
    <x v="590"/>
    <s v="Francisco Reyes Ruiz"/>
    <x v="2"/>
  </r>
  <r>
    <n v="646"/>
    <n v="217"/>
    <n v="3"/>
    <n v="31.07"/>
    <n v="3.11"/>
    <n v="0"/>
    <n v="0.1"/>
    <s v="ACTIVE"/>
    <m/>
    <s v=""/>
    <m/>
    <d v="2025-12-22T08:34:43"/>
    <d v="2025-12-22T00:00:00"/>
    <x v="2"/>
    <x v="0"/>
    <n v="1"/>
    <n v="0"/>
    <x v="591"/>
    <s v="Francisco Rangel Rodríguez"/>
    <x v="0"/>
  </r>
  <r>
    <n v="647"/>
    <n v="32"/>
    <n v="2"/>
    <n v="21.26"/>
    <n v="2.13"/>
    <n v="0"/>
    <n v="0.1"/>
    <s v="ACTIVE"/>
    <m/>
    <s v=""/>
    <m/>
    <d v="2025-12-22T10:20:17"/>
    <d v="2025-12-22T00:00:00"/>
    <x v="2"/>
    <x v="0"/>
    <n v="1"/>
    <n v="0"/>
    <x v="592"/>
    <s v="Teresa Delgado Hernández"/>
    <x v="1"/>
  </r>
  <r>
    <n v="648"/>
    <n v="241"/>
    <n v="5"/>
    <n v="32.700000000000003"/>
    <n v="3.27"/>
    <n v="0"/>
    <n v="0.1"/>
    <s v="ACTIVE"/>
    <m/>
    <s v=""/>
    <m/>
    <d v="2025-12-22T10:55:42"/>
    <d v="2025-12-22T00:00:00"/>
    <x v="2"/>
    <x v="0"/>
    <n v="1"/>
    <n v="0"/>
    <x v="593"/>
    <s v="Lucía Cruz Herrera"/>
    <x v="2"/>
  </r>
  <r>
    <n v="649"/>
    <n v="138"/>
    <n v="2"/>
    <n v="20.239999999999998"/>
    <n v="2.02"/>
    <n v="0"/>
    <n v="0.1"/>
    <s v="ACTIVE"/>
    <m/>
    <s v=""/>
    <m/>
    <d v="2025-12-22T11:25:18"/>
    <d v="2025-12-22T00:00:00"/>
    <x v="2"/>
    <x v="0"/>
    <n v="1"/>
    <n v="0"/>
    <x v="594"/>
    <s v="Alejandro Reyes Morales"/>
    <x v="1"/>
  </r>
  <r>
    <n v="650"/>
    <n v="106"/>
    <n v="3"/>
    <n v="78.37"/>
    <n v="7.84"/>
    <n v="0"/>
    <n v="0.1"/>
    <s v="ACTIVE"/>
    <m/>
    <s v=""/>
    <m/>
    <d v="2025-12-22T11:45:42"/>
    <d v="2025-12-22T00:00:00"/>
    <x v="2"/>
    <x v="0"/>
    <n v="1"/>
    <n v="0"/>
    <x v="595"/>
    <s v="Isabel García Santoyo"/>
    <x v="0"/>
  </r>
  <r>
    <n v="651"/>
    <n v="85"/>
    <n v="2"/>
    <n v="179.78"/>
    <n v="17.98"/>
    <n v="0"/>
    <n v="0.1"/>
    <s v="ACTIVE"/>
    <m/>
    <s v=""/>
    <m/>
    <d v="2025-12-22T12:30:06"/>
    <d v="2025-12-22T00:00:00"/>
    <x v="2"/>
    <x v="0"/>
    <n v="1"/>
    <n v="0"/>
    <x v="596"/>
    <s v="Guadalupe Ruiz Sánchez"/>
    <x v="1"/>
  </r>
  <r>
    <n v="652"/>
    <n v="57"/>
    <n v="2"/>
    <n v="81.34"/>
    <n v="8.1300000000000008"/>
    <n v="0"/>
    <n v="0.1"/>
    <s v="ACTIVE"/>
    <m/>
    <s v=""/>
    <m/>
    <d v="2025-12-22T15:39:56"/>
    <d v="2025-12-22T00:00:00"/>
    <x v="2"/>
    <x v="0"/>
    <n v="1"/>
    <n v="0"/>
    <x v="597"/>
    <s v="Isabel Martínez Rodríguez"/>
    <x v="1"/>
  </r>
  <r>
    <n v="653"/>
    <n v="287"/>
    <n v="5"/>
    <n v="18.809999999999999"/>
    <n v="1.88"/>
    <n v="0"/>
    <n v="0.1"/>
    <s v="ACTIVE"/>
    <m/>
    <s v=""/>
    <m/>
    <d v="2025-12-22T15:42:20"/>
    <d v="2025-12-22T00:00:00"/>
    <x v="2"/>
    <x v="0"/>
    <n v="1"/>
    <n v="0"/>
    <x v="33"/>
    <s v="Irma Gómez Medina"/>
    <x v="2"/>
  </r>
  <r>
    <n v="654"/>
    <n v="50"/>
    <n v="2"/>
    <n v="98.5"/>
    <n v="9.85"/>
    <n v="0"/>
    <n v="0.1"/>
    <s v="ACTIVE"/>
    <m/>
    <s v=""/>
    <m/>
    <d v="2025-12-22T16:47:47"/>
    <d v="2025-12-22T00:00:00"/>
    <x v="2"/>
    <x v="0"/>
    <n v="1"/>
    <n v="0"/>
    <x v="598"/>
    <s v="Roberto Moreno López"/>
    <x v="1"/>
  </r>
  <r>
    <n v="655"/>
    <n v="215"/>
    <n v="4"/>
    <n v="33.590000000000003"/>
    <n v="3.36"/>
    <n v="0"/>
    <n v="0.1"/>
    <s v="ACTIVE"/>
    <m/>
    <s v=""/>
    <m/>
    <d v="2025-12-22T17:19:36"/>
    <d v="2025-12-22T00:00:00"/>
    <x v="2"/>
    <x v="0"/>
    <n v="1"/>
    <n v="0"/>
    <x v="599"/>
    <s v="Verónica Medina Ortiz"/>
    <x v="3"/>
  </r>
  <r>
    <n v="656"/>
    <n v="61"/>
    <n v="4"/>
    <n v="49.71"/>
    <n v="4.97"/>
    <n v="0"/>
    <n v="0.1"/>
    <s v="ACTIVE"/>
    <m/>
    <s v=""/>
    <m/>
    <d v="2025-12-22T17:32:22"/>
    <d v="2025-12-22T00:00:00"/>
    <x v="2"/>
    <x v="0"/>
    <n v="1"/>
    <n v="0"/>
    <x v="600"/>
    <s v="Pedro González Ávila"/>
    <x v="3"/>
  </r>
  <r>
    <n v="657"/>
    <n v="207"/>
    <n v="4"/>
    <n v="19.47"/>
    <n v="1.95"/>
    <n v="0"/>
    <n v="0.1"/>
    <s v="ACTIVE"/>
    <m/>
    <s v=""/>
    <m/>
    <d v="2025-12-22T17:56:47"/>
    <d v="2025-12-22T00:00:00"/>
    <x v="2"/>
    <x v="0"/>
    <n v="1"/>
    <n v="0"/>
    <x v="601"/>
    <s v="Leticia Vázquez Gutiérrez"/>
    <x v="3"/>
  </r>
  <r>
    <n v="658"/>
    <n v="245"/>
    <n v="4"/>
    <n v="15.49"/>
    <n v="1.55"/>
    <n v="0"/>
    <n v="0.1"/>
    <s v="ACTIVE"/>
    <m/>
    <s v=""/>
    <m/>
    <d v="2025-12-23T07:01:22"/>
    <d v="2025-12-23T00:00:00"/>
    <x v="2"/>
    <x v="0"/>
    <n v="1"/>
    <n v="0"/>
    <x v="602"/>
    <s v="Ana González Flores"/>
    <x v="3"/>
  </r>
  <r>
    <n v="659"/>
    <n v="244"/>
    <n v="5"/>
    <n v="63.95"/>
    <n v="6.4"/>
    <n v="0"/>
    <n v="0.1"/>
    <s v="ACTIVE"/>
    <m/>
    <s v=""/>
    <m/>
    <d v="2025-12-23T08:38:16"/>
    <d v="2025-12-23T00:00:00"/>
    <x v="2"/>
    <x v="0"/>
    <n v="1"/>
    <n v="0"/>
    <x v="603"/>
    <s v="Guadalupe Castillo Hernández"/>
    <x v="2"/>
  </r>
  <r>
    <n v="660"/>
    <n v="137"/>
    <n v="2"/>
    <n v="37.03"/>
    <n v="3.7"/>
    <n v="0"/>
    <n v="0.1"/>
    <s v="ACTIVE"/>
    <m/>
    <s v=""/>
    <m/>
    <d v="2025-12-23T08:41:22"/>
    <d v="2025-12-23T00:00:00"/>
    <x v="2"/>
    <x v="0"/>
    <n v="1"/>
    <n v="0"/>
    <x v="102"/>
    <s v="Francisco Reyes Ruiz"/>
    <x v="1"/>
  </r>
  <r>
    <n v="661"/>
    <n v="70"/>
    <n v="2"/>
    <n v="158.77000000000001"/>
    <n v="15.88"/>
    <n v="0"/>
    <n v="0.1"/>
    <s v="ACTIVE"/>
    <m/>
    <s v=""/>
    <m/>
    <d v="2025-12-23T08:44:00"/>
    <d v="2025-12-23T00:00:00"/>
    <x v="2"/>
    <x v="0"/>
    <n v="1"/>
    <n v="0"/>
    <x v="604"/>
    <s v="Manuel Ávila Martínez"/>
    <x v="1"/>
  </r>
  <r>
    <n v="662"/>
    <n v="44"/>
    <n v="3"/>
    <n v="18.91"/>
    <n v="1.89"/>
    <n v="0"/>
    <n v="0.1"/>
    <s v="ACTIVE"/>
    <m/>
    <s v=""/>
    <m/>
    <d v="2025-12-23T09:26:44"/>
    <d v="2025-12-23T00:00:00"/>
    <x v="2"/>
    <x v="0"/>
    <n v="1"/>
    <n v="0"/>
    <x v="605"/>
    <s v="Pedro Herrera Castillo"/>
    <x v="0"/>
  </r>
  <r>
    <n v="663"/>
    <n v="251"/>
    <n v="2"/>
    <n v="119.57"/>
    <n v="11.96"/>
    <n v="0"/>
    <n v="0.1"/>
    <s v="ACTIVE"/>
    <m/>
    <s v=""/>
    <m/>
    <d v="2025-12-23T09:39:51"/>
    <d v="2025-12-23T00:00:00"/>
    <x v="2"/>
    <x v="0"/>
    <n v="1"/>
    <n v="0"/>
    <x v="606"/>
    <s v="Rosa Herrera Sánchez"/>
    <x v="1"/>
  </r>
  <r>
    <n v="664"/>
    <n v="41"/>
    <n v="2"/>
    <n v="300"/>
    <n v="30"/>
    <n v="0"/>
    <n v="0.1"/>
    <s v="ACTIVE"/>
    <m/>
    <s v=""/>
    <m/>
    <d v="2025-12-23T10:27:17"/>
    <d v="2025-12-23T00:00:00"/>
    <x v="2"/>
    <x v="0"/>
    <n v="1"/>
    <n v="0"/>
    <x v="74"/>
    <s v="Guadalupe González Zacatecas"/>
    <x v="1"/>
  </r>
  <r>
    <n v="665"/>
    <n v="196"/>
    <n v="2"/>
    <n v="25.9"/>
    <n v="2.59"/>
    <n v="0"/>
    <n v="0.1"/>
    <s v="ACTIVE"/>
    <m/>
    <s v=""/>
    <m/>
    <d v="2025-12-23T10:45:49"/>
    <d v="2025-12-23T00:00:00"/>
    <x v="2"/>
    <x v="0"/>
    <n v="1"/>
    <n v="0"/>
    <x v="430"/>
    <s v="Lucía Ramos Ramos"/>
    <x v="1"/>
  </r>
  <r>
    <n v="666"/>
    <n v="35"/>
    <n v="5"/>
    <n v="20.62"/>
    <n v="2.06"/>
    <n v="0"/>
    <n v="0.1"/>
    <s v="ACTIVE"/>
    <m/>
    <s v=""/>
    <m/>
    <d v="2025-12-23T12:02:23"/>
    <d v="2025-12-23T00:00:00"/>
    <x v="2"/>
    <x v="0"/>
    <n v="1"/>
    <n v="0"/>
    <x v="607"/>
    <s v="Teresa Ramírez Ramírez"/>
    <x v="2"/>
  </r>
  <r>
    <n v="667"/>
    <n v="18"/>
    <n v="5"/>
    <n v="139.83000000000001"/>
    <n v="13.98"/>
    <n v="0"/>
    <n v="0.1"/>
    <s v="ACTIVE"/>
    <m/>
    <s v=""/>
    <m/>
    <d v="2025-12-23T12:56:53"/>
    <d v="2025-12-23T00:00:00"/>
    <x v="2"/>
    <x v="0"/>
    <n v="1"/>
    <n v="0"/>
    <x v="608"/>
    <s v="Carlos Gómez Ávila"/>
    <x v="2"/>
  </r>
  <r>
    <n v="668"/>
    <n v="22"/>
    <n v="4"/>
    <n v="99.59"/>
    <n v="9.9600000000000009"/>
    <n v="0"/>
    <n v="0.1"/>
    <s v="ACTIVE"/>
    <m/>
    <s v=""/>
    <m/>
    <d v="2025-12-23T12:58:38"/>
    <d v="2025-12-23T00:00:00"/>
    <x v="2"/>
    <x v="0"/>
    <n v="1"/>
    <n v="0"/>
    <x v="609"/>
    <s v="Martha Moreno Rangel"/>
    <x v="3"/>
  </r>
  <r>
    <n v="669"/>
    <n v="39"/>
    <n v="4"/>
    <n v="129.74"/>
    <n v="12.97"/>
    <n v="0"/>
    <n v="0.1"/>
    <s v="ACTIVE"/>
    <m/>
    <s v=""/>
    <m/>
    <d v="2025-12-23T15:20:10"/>
    <d v="2025-12-23T00:00:00"/>
    <x v="2"/>
    <x v="0"/>
    <n v="1"/>
    <n v="0"/>
    <x v="610"/>
    <s v="Guadalupe García Quiñones"/>
    <x v="3"/>
  </r>
  <r>
    <n v="670"/>
    <n v="241"/>
    <n v="4"/>
    <n v="27.29"/>
    <n v="2.73"/>
    <n v="0"/>
    <n v="0.1"/>
    <s v="ACTIVE"/>
    <m/>
    <s v=""/>
    <m/>
    <d v="2025-12-23T16:44:22"/>
    <d v="2025-12-23T00:00:00"/>
    <x v="2"/>
    <x v="0"/>
    <n v="1"/>
    <n v="0"/>
    <x v="611"/>
    <s v="Lucía Cruz Herrera"/>
    <x v="3"/>
  </r>
  <r>
    <n v="671"/>
    <n v="137"/>
    <n v="2"/>
    <n v="36.520000000000003"/>
    <n v="3.65"/>
    <n v="0"/>
    <n v="0.1"/>
    <s v="ACTIVE"/>
    <m/>
    <s v=""/>
    <m/>
    <d v="2025-12-23T17:58:28"/>
    <d v="2025-12-23T00:00:00"/>
    <x v="2"/>
    <x v="0"/>
    <n v="1"/>
    <n v="0"/>
    <x v="612"/>
    <s v="Francisco Reyes Ruiz"/>
    <x v="1"/>
  </r>
  <r>
    <n v="672"/>
    <n v="14"/>
    <n v="2"/>
    <n v="22.6"/>
    <n v="2.2599999999999998"/>
    <n v="0"/>
    <n v="0.1"/>
    <s v="ACTIVE"/>
    <m/>
    <s v=""/>
    <m/>
    <d v="2025-12-23T19:10:54"/>
    <d v="2025-12-23T00:00:00"/>
    <x v="2"/>
    <x v="0"/>
    <n v="1"/>
    <n v="0"/>
    <x v="613"/>
    <s v="Patricia Santoyo Reyes"/>
    <x v="1"/>
  </r>
  <r>
    <n v="673"/>
    <n v="16"/>
    <n v="3"/>
    <n v="300"/>
    <n v="30"/>
    <n v="0"/>
    <n v="0.1"/>
    <s v="ACTIVE"/>
    <m/>
    <s v=""/>
    <m/>
    <d v="2025-12-24T07:11:21"/>
    <d v="2025-12-24T00:00:00"/>
    <x v="2"/>
    <x v="0"/>
    <n v="1"/>
    <n v="0"/>
    <x v="74"/>
    <s v="Laura Chávez Rangel"/>
    <x v="0"/>
  </r>
  <r>
    <n v="674"/>
    <n v="244"/>
    <n v="4"/>
    <n v="182.5"/>
    <n v="18.25"/>
    <n v="0"/>
    <n v="0.1"/>
    <s v="ACTIVE"/>
    <m/>
    <s v=""/>
    <m/>
    <d v="2025-12-24T10:26:16"/>
    <d v="2025-12-24T00:00:00"/>
    <x v="2"/>
    <x v="0"/>
    <n v="1"/>
    <n v="0"/>
    <x v="614"/>
    <s v="Guadalupe Castillo Hernández"/>
    <x v="3"/>
  </r>
  <r>
    <n v="675"/>
    <n v="57"/>
    <n v="4"/>
    <n v="60.67"/>
    <n v="0"/>
    <n v="1"/>
    <n v="0.1"/>
    <s v="ACTIVE"/>
    <m/>
    <s v=""/>
    <m/>
    <d v="2025-12-24T12:49:52"/>
    <d v="2025-12-24T00:00:00"/>
    <x v="2"/>
    <x v="1"/>
    <n v="1"/>
    <n v="0"/>
    <x v="615"/>
    <s v="Isabel Martínez Rodríguez"/>
    <x v="3"/>
  </r>
  <r>
    <n v="676"/>
    <n v="137"/>
    <n v="4"/>
    <n v="33.770000000000003"/>
    <n v="3.38"/>
    <n v="0"/>
    <n v="0.1"/>
    <s v="ACTIVE"/>
    <m/>
    <s v=""/>
    <m/>
    <d v="2025-12-24T16:58:26"/>
    <d v="2025-12-24T00:00:00"/>
    <x v="2"/>
    <x v="0"/>
    <n v="1"/>
    <n v="0"/>
    <x v="616"/>
    <s v="Francisco Reyes Ruiz"/>
    <x v="3"/>
  </r>
  <r>
    <n v="677"/>
    <n v="36"/>
    <n v="5"/>
    <n v="219.27"/>
    <n v="21.93"/>
    <n v="0"/>
    <n v="0.1"/>
    <s v="ACTIVE"/>
    <m/>
    <s v=""/>
    <m/>
    <d v="2025-12-24T17:18:02"/>
    <d v="2025-12-24T00:00:00"/>
    <x v="2"/>
    <x v="0"/>
    <n v="1"/>
    <n v="0"/>
    <x v="617"/>
    <s v="Sergio Delgado Herrera"/>
    <x v="2"/>
  </r>
  <r>
    <n v="678"/>
    <n v="160"/>
    <n v="2"/>
    <n v="26.38"/>
    <n v="2.64"/>
    <n v="0"/>
    <n v="0.1"/>
    <s v="ACTIVE"/>
    <m/>
    <s v=""/>
    <m/>
    <d v="2025-12-24T18:17:47"/>
    <d v="2025-12-24T00:00:00"/>
    <x v="2"/>
    <x v="0"/>
    <n v="1"/>
    <n v="0"/>
    <x v="618"/>
    <s v="Silvia Delgado Medina"/>
    <x v="1"/>
  </r>
  <r>
    <n v="679"/>
    <n v="106"/>
    <n v="5"/>
    <n v="133.58000000000001"/>
    <n v="13.36"/>
    <n v="0"/>
    <n v="0.1"/>
    <s v="ACTIVE"/>
    <m/>
    <s v=""/>
    <m/>
    <d v="2025-12-25T08:20:50"/>
    <d v="2025-12-25T00:00:00"/>
    <x v="2"/>
    <x v="0"/>
    <n v="1"/>
    <n v="0"/>
    <x v="619"/>
    <s v="Isabel García Santoyo"/>
    <x v="2"/>
  </r>
  <r>
    <n v="680"/>
    <n v="31"/>
    <n v="4"/>
    <n v="34.729999999999997"/>
    <n v="3.47"/>
    <n v="0"/>
    <n v="0.1"/>
    <s v="ACTIVE"/>
    <m/>
    <s v=""/>
    <m/>
    <d v="2025-12-25T09:09:55"/>
    <d v="2025-12-25T00:00:00"/>
    <x v="2"/>
    <x v="0"/>
    <n v="1"/>
    <n v="0"/>
    <x v="620"/>
    <s v="Óscar Zacatecas Reyes"/>
    <x v="3"/>
  </r>
  <r>
    <n v="681"/>
    <n v="29"/>
    <n v="3"/>
    <n v="30.91"/>
    <n v="3.09"/>
    <n v="0"/>
    <n v="0.1"/>
    <s v="ACTIVE"/>
    <m/>
    <s v=""/>
    <m/>
    <d v="2025-12-25T09:36:06"/>
    <d v="2025-12-25T00:00:00"/>
    <x v="2"/>
    <x v="0"/>
    <n v="1"/>
    <n v="0"/>
    <x v="621"/>
    <s v="Héctor Herrera Gómez"/>
    <x v="0"/>
  </r>
  <r>
    <n v="682"/>
    <n v="155"/>
    <n v="3"/>
    <n v="18.739999999999998"/>
    <n v="1.87"/>
    <n v="0"/>
    <n v="0.1"/>
    <s v="ACTIVE"/>
    <m/>
    <s v=""/>
    <m/>
    <d v="2025-12-25T09:45:18"/>
    <d v="2025-12-25T00:00:00"/>
    <x v="2"/>
    <x v="0"/>
    <n v="1"/>
    <n v="0"/>
    <x v="622"/>
    <s v="Óscar Santoyo Ramos"/>
    <x v="0"/>
  </r>
  <r>
    <n v="683"/>
    <n v="66"/>
    <n v="2"/>
    <n v="65.790000000000006"/>
    <n v="6.58"/>
    <n v="0"/>
    <n v="0.1"/>
    <s v="ACTIVE"/>
    <m/>
    <s v=""/>
    <m/>
    <d v="2025-12-25T09:55:15"/>
    <d v="2025-12-25T00:00:00"/>
    <x v="2"/>
    <x v="0"/>
    <n v="1"/>
    <n v="0"/>
    <x v="623"/>
    <s v="Guadalupe Morales Gutiérrez"/>
    <x v="1"/>
  </r>
  <r>
    <n v="684"/>
    <n v="186"/>
    <n v="5"/>
    <n v="39.78"/>
    <n v="3.98"/>
    <n v="0"/>
    <n v="0.1"/>
    <s v="ACTIVE"/>
    <m/>
    <s v=""/>
    <m/>
    <d v="2025-12-25T10:14:05"/>
    <d v="2025-12-25T00:00:00"/>
    <x v="2"/>
    <x v="0"/>
    <n v="1"/>
    <n v="0"/>
    <x v="624"/>
    <s v="Héctor Cruz Rodríguez"/>
    <x v="2"/>
  </r>
  <r>
    <n v="685"/>
    <n v="117"/>
    <n v="5"/>
    <n v="95.04"/>
    <n v="9.5"/>
    <n v="0"/>
    <n v="0.1"/>
    <s v="ACTIVE"/>
    <m/>
    <s v=""/>
    <m/>
    <d v="2025-12-25T10:59:41"/>
    <d v="2025-12-25T00:00:00"/>
    <x v="2"/>
    <x v="0"/>
    <n v="1"/>
    <n v="0"/>
    <x v="625"/>
    <s v="Manuel Ortiz Ramírez"/>
    <x v="2"/>
  </r>
  <r>
    <n v="686"/>
    <n v="29"/>
    <n v="4"/>
    <n v="36.200000000000003"/>
    <n v="3.62"/>
    <n v="0"/>
    <n v="0.1"/>
    <s v="ACTIVE"/>
    <m/>
    <s v=""/>
    <m/>
    <d v="2025-12-25T11:00:43"/>
    <d v="2025-12-25T00:00:00"/>
    <x v="2"/>
    <x v="0"/>
    <n v="1"/>
    <n v="0"/>
    <x v="626"/>
    <s v="Héctor Herrera Gómez"/>
    <x v="3"/>
  </r>
  <r>
    <n v="687"/>
    <n v="277"/>
    <n v="4"/>
    <n v="90.29"/>
    <n v="9.0299999999999994"/>
    <n v="0"/>
    <n v="0.1"/>
    <s v="ACTIVE"/>
    <m/>
    <s v=""/>
    <m/>
    <d v="2025-12-25T14:07:45"/>
    <d v="2025-12-25T00:00:00"/>
    <x v="2"/>
    <x v="0"/>
    <n v="1"/>
    <n v="0"/>
    <x v="627"/>
    <s v="Laura Ramos Gutiérrez"/>
    <x v="3"/>
  </r>
  <r>
    <n v="688"/>
    <n v="35"/>
    <n v="2"/>
    <n v="27.04"/>
    <n v="2.7"/>
    <n v="0"/>
    <n v="0.1"/>
    <s v="ACTIVE"/>
    <m/>
    <s v=""/>
    <m/>
    <d v="2025-12-25T18:29:57"/>
    <d v="2025-12-25T00:00:00"/>
    <x v="2"/>
    <x v="0"/>
    <n v="1"/>
    <n v="0"/>
    <x v="628"/>
    <s v="Teresa Ramírez Ramírez"/>
    <x v="1"/>
  </r>
  <r>
    <n v="689"/>
    <n v="39"/>
    <n v="4"/>
    <n v="195.07"/>
    <n v="19.510000000000002"/>
    <n v="0"/>
    <n v="0.1"/>
    <s v="ACTIVE"/>
    <m/>
    <s v=""/>
    <m/>
    <d v="2025-12-25T19:36:18"/>
    <d v="2025-12-25T00:00:00"/>
    <x v="2"/>
    <x v="0"/>
    <n v="1"/>
    <n v="0"/>
    <x v="629"/>
    <s v="Guadalupe García Quiñones"/>
    <x v="3"/>
  </r>
  <r>
    <n v="690"/>
    <n v="61"/>
    <n v="3"/>
    <n v="148.77000000000001"/>
    <n v="14.88"/>
    <n v="0"/>
    <n v="0.1"/>
    <s v="ACTIVE"/>
    <m/>
    <s v=""/>
    <m/>
    <d v="2025-12-26T07:46:47"/>
    <d v="2025-12-26T00:00:00"/>
    <x v="2"/>
    <x v="0"/>
    <n v="1"/>
    <n v="0"/>
    <x v="630"/>
    <s v="Pedro González Ávila"/>
    <x v="0"/>
  </r>
  <r>
    <n v="691"/>
    <n v="65"/>
    <n v="5"/>
    <n v="40.54"/>
    <n v="4.05"/>
    <n v="0"/>
    <n v="0.1"/>
    <s v="ACTIVE"/>
    <m/>
    <s v=""/>
    <m/>
    <d v="2025-12-26T08:02:46"/>
    <d v="2025-12-26T00:00:00"/>
    <x v="2"/>
    <x v="0"/>
    <n v="1"/>
    <n v="0"/>
    <x v="631"/>
    <s v="Gabriela Flores Chávez"/>
    <x v="2"/>
  </r>
  <r>
    <n v="692"/>
    <n v="240"/>
    <n v="2"/>
    <n v="159.13"/>
    <n v="15.91"/>
    <n v="0"/>
    <n v="0.1"/>
    <s v="ACTIVE"/>
    <m/>
    <s v=""/>
    <m/>
    <d v="2025-12-26T09:57:41"/>
    <d v="2025-12-26T00:00:00"/>
    <x v="2"/>
    <x v="0"/>
    <n v="1"/>
    <n v="0"/>
    <x v="632"/>
    <s v="Pedro Castillo Quiñones"/>
    <x v="1"/>
  </r>
  <r>
    <n v="693"/>
    <n v="61"/>
    <n v="3"/>
    <n v="30.58"/>
    <n v="3.06"/>
    <n v="0"/>
    <n v="0.1"/>
    <s v="ACTIVE"/>
    <m/>
    <s v=""/>
    <m/>
    <d v="2025-12-26T11:52:55"/>
    <d v="2025-12-26T00:00:00"/>
    <x v="2"/>
    <x v="0"/>
    <n v="1"/>
    <n v="0"/>
    <x v="633"/>
    <s v="Pedro González Ávila"/>
    <x v="0"/>
  </r>
  <r>
    <n v="694"/>
    <n v="137"/>
    <n v="3"/>
    <n v="29.55"/>
    <n v="2.96"/>
    <n v="0"/>
    <n v="0.1"/>
    <s v="ACTIVE"/>
    <m/>
    <s v=""/>
    <m/>
    <d v="2025-12-26T12:35:49"/>
    <d v="2025-12-26T00:00:00"/>
    <x v="2"/>
    <x v="0"/>
    <n v="1"/>
    <n v="0"/>
    <x v="634"/>
    <s v="Francisco Reyes Ruiz"/>
    <x v="0"/>
  </r>
  <r>
    <n v="695"/>
    <n v="32"/>
    <n v="3"/>
    <n v="19.329999999999998"/>
    <n v="1.93"/>
    <n v="0"/>
    <n v="0.1"/>
    <s v="ACTIVE"/>
    <m/>
    <s v=""/>
    <m/>
    <d v="2025-12-26T14:59:31"/>
    <d v="2025-12-26T00:00:00"/>
    <x v="2"/>
    <x v="0"/>
    <n v="1"/>
    <n v="0"/>
    <x v="635"/>
    <s v="Teresa Delgado Hernández"/>
    <x v="0"/>
  </r>
  <r>
    <n v="696"/>
    <n v="253"/>
    <n v="5"/>
    <n v="51.37"/>
    <n v="5.14"/>
    <n v="0"/>
    <n v="0.1"/>
    <s v="ACTIVE"/>
    <m/>
    <s v=""/>
    <m/>
    <d v="2025-12-26T17:39:16"/>
    <d v="2025-12-26T00:00:00"/>
    <x v="2"/>
    <x v="0"/>
    <n v="1"/>
    <n v="0"/>
    <x v="206"/>
    <s v="Luis Hernández Morales"/>
    <x v="2"/>
  </r>
  <r>
    <n v="697"/>
    <n v="43"/>
    <n v="2"/>
    <n v="79.63"/>
    <n v="7.96"/>
    <n v="0"/>
    <n v="0.1"/>
    <s v="ACTIVE"/>
    <m/>
    <s v=""/>
    <m/>
    <d v="2025-12-26T18:01:49"/>
    <d v="2025-12-26T00:00:00"/>
    <x v="2"/>
    <x v="0"/>
    <n v="1"/>
    <n v="0"/>
    <x v="636"/>
    <s v="Silvia Ortiz Salazar"/>
    <x v="1"/>
  </r>
  <r>
    <n v="698"/>
    <n v="11"/>
    <n v="4"/>
    <n v="254.82"/>
    <n v="25.48"/>
    <n v="0"/>
    <n v="0.1"/>
    <s v="ACTIVE"/>
    <m/>
    <s v=""/>
    <m/>
    <d v="2025-12-26T18:17:12"/>
    <d v="2025-12-26T00:00:00"/>
    <x v="2"/>
    <x v="0"/>
    <n v="1"/>
    <n v="0"/>
    <x v="637"/>
    <s v="Guadalupe Pérez Rodríguez"/>
    <x v="3"/>
  </r>
  <r>
    <n v="699"/>
    <n v="221"/>
    <n v="4"/>
    <n v="231.82"/>
    <n v="23.18"/>
    <n v="0"/>
    <n v="0.1"/>
    <s v="ACTIVE"/>
    <m/>
    <s v=""/>
    <m/>
    <d v="2025-12-27T08:46:57"/>
    <d v="2025-12-27T00:00:00"/>
    <x v="2"/>
    <x v="0"/>
    <n v="1"/>
    <n v="0"/>
    <x v="638"/>
    <s v="Norma Hernández Chávez"/>
    <x v="3"/>
  </r>
  <r>
    <n v="700"/>
    <n v="39"/>
    <n v="2"/>
    <n v="103.91"/>
    <n v="0"/>
    <n v="1"/>
    <n v="0.1"/>
    <s v="ACTIVE"/>
    <m/>
    <s v=""/>
    <m/>
    <d v="2025-12-27T09:26:55"/>
    <d v="2025-12-27T00:00:00"/>
    <x v="2"/>
    <x v="1"/>
    <n v="1"/>
    <n v="0"/>
    <x v="639"/>
    <s v="Guadalupe García Quiñones"/>
    <x v="1"/>
  </r>
  <r>
    <n v="701"/>
    <n v="57"/>
    <n v="5"/>
    <n v="66.87"/>
    <n v="6.69"/>
    <n v="0"/>
    <n v="0.1"/>
    <s v="ACTIVE"/>
    <m/>
    <s v=""/>
    <m/>
    <d v="2025-12-27T09:58:46"/>
    <d v="2025-12-27T00:00:00"/>
    <x v="2"/>
    <x v="0"/>
    <n v="1"/>
    <n v="0"/>
    <x v="640"/>
    <s v="Isabel Martínez Rodríguez"/>
    <x v="2"/>
  </r>
  <r>
    <n v="702"/>
    <n v="209"/>
    <n v="5"/>
    <n v="170.3"/>
    <n v="17.03"/>
    <n v="0"/>
    <n v="0.1"/>
    <s v="ACTIVE"/>
    <m/>
    <s v=""/>
    <m/>
    <d v="2025-12-27T10:49:46"/>
    <d v="2025-12-27T00:00:00"/>
    <x v="2"/>
    <x v="0"/>
    <n v="1"/>
    <n v="0"/>
    <x v="641"/>
    <s v="Irma Cruz González"/>
    <x v="2"/>
  </r>
  <r>
    <n v="703"/>
    <n v="203"/>
    <n v="2"/>
    <n v="223.87"/>
    <n v="22.39"/>
    <n v="0"/>
    <n v="0.1"/>
    <s v="ACTIVE"/>
    <m/>
    <s v=""/>
    <m/>
    <d v="2025-12-27T11:44:52"/>
    <d v="2025-12-27T00:00:00"/>
    <x v="2"/>
    <x v="0"/>
    <n v="1"/>
    <n v="0"/>
    <x v="642"/>
    <s v="Patricia Delgado Zacatecas"/>
    <x v="1"/>
  </r>
  <r>
    <n v="704"/>
    <n v="49"/>
    <n v="5"/>
    <n v="105.13"/>
    <n v="10.51"/>
    <n v="0"/>
    <n v="0.1"/>
    <s v="ACTIVE"/>
    <m/>
    <s v=""/>
    <m/>
    <d v="2025-12-27T11:48:29"/>
    <d v="2025-12-27T00:00:00"/>
    <x v="2"/>
    <x v="0"/>
    <n v="1"/>
    <n v="0"/>
    <x v="643"/>
    <s v="José Rodríguez Ortiz"/>
    <x v="2"/>
  </r>
  <r>
    <n v="705"/>
    <n v="44"/>
    <n v="2"/>
    <n v="34.1"/>
    <n v="3.41"/>
    <n v="0"/>
    <n v="0.1"/>
    <s v="ACTIVE"/>
    <m/>
    <s v=""/>
    <m/>
    <d v="2025-12-27T15:04:58"/>
    <d v="2025-12-27T00:00:00"/>
    <x v="2"/>
    <x v="0"/>
    <n v="1"/>
    <n v="0"/>
    <x v="644"/>
    <s v="Pedro Herrera Castillo"/>
    <x v="1"/>
  </r>
  <r>
    <n v="706"/>
    <n v="137"/>
    <n v="5"/>
    <n v="35.46"/>
    <n v="0"/>
    <n v="1"/>
    <n v="0.1"/>
    <s v="ACTIVE"/>
    <m/>
    <s v=""/>
    <m/>
    <d v="2025-12-27T15:10:05"/>
    <d v="2025-12-27T00:00:00"/>
    <x v="2"/>
    <x v="1"/>
    <n v="1"/>
    <n v="0"/>
    <x v="645"/>
    <s v="Francisco Reyes Ruiz"/>
    <x v="2"/>
  </r>
  <r>
    <n v="707"/>
    <n v="80"/>
    <n v="5"/>
    <n v="34.450000000000003"/>
    <n v="3.45"/>
    <n v="0"/>
    <n v="0.1"/>
    <s v="ACTIVE"/>
    <m/>
    <s v=""/>
    <m/>
    <d v="2025-12-27T16:26:58"/>
    <d v="2025-12-27T00:00:00"/>
    <x v="2"/>
    <x v="0"/>
    <n v="1"/>
    <n v="0"/>
    <x v="646"/>
    <s v="Juan Sánchez Gutiérrez"/>
    <x v="2"/>
  </r>
  <r>
    <n v="708"/>
    <n v="117"/>
    <n v="4"/>
    <n v="164.81"/>
    <n v="16.48"/>
    <n v="0"/>
    <n v="0.1"/>
    <s v="ACTIVE"/>
    <m/>
    <s v=""/>
    <m/>
    <d v="2025-12-28T08:45:26"/>
    <d v="2025-12-28T00:00:00"/>
    <x v="2"/>
    <x v="0"/>
    <n v="1"/>
    <n v="0"/>
    <x v="647"/>
    <s v="Manuel Ortiz Ramírez"/>
    <x v="3"/>
  </r>
  <r>
    <n v="709"/>
    <n v="24"/>
    <n v="3"/>
    <n v="242.39"/>
    <n v="24.24"/>
    <n v="0"/>
    <n v="0.1"/>
    <s v="ACTIVE"/>
    <m/>
    <s v=""/>
    <m/>
    <d v="2025-12-28T08:51:06"/>
    <d v="2025-12-28T00:00:00"/>
    <x v="2"/>
    <x v="0"/>
    <n v="1"/>
    <n v="0"/>
    <x v="648"/>
    <s v="Isabel Moreno Vázquez"/>
    <x v="0"/>
  </r>
  <r>
    <n v="710"/>
    <n v="19"/>
    <n v="4"/>
    <n v="36.25"/>
    <n v="3.63"/>
    <n v="0"/>
    <n v="0.1"/>
    <s v="ACTIVE"/>
    <m/>
    <s v=""/>
    <m/>
    <d v="2025-12-28T12:22:44"/>
    <d v="2025-12-28T00:00:00"/>
    <x v="2"/>
    <x v="0"/>
    <n v="1"/>
    <n v="0"/>
    <x v="649"/>
    <s v="Laura Chávez Quiñones"/>
    <x v="3"/>
  </r>
  <r>
    <n v="711"/>
    <n v="152"/>
    <n v="2"/>
    <n v="122.72"/>
    <n v="12.27"/>
    <n v="0"/>
    <n v="0.1"/>
    <s v="ACTIVE"/>
    <m/>
    <s v=""/>
    <m/>
    <d v="2025-12-28T14:30:01"/>
    <d v="2025-12-28T00:00:00"/>
    <x v="2"/>
    <x v="0"/>
    <n v="1"/>
    <n v="0"/>
    <x v="113"/>
    <s v="Héctor Rangel González"/>
    <x v="1"/>
  </r>
  <r>
    <n v="712"/>
    <n v="27"/>
    <n v="2"/>
    <n v="123.12"/>
    <n v="12.31"/>
    <n v="0"/>
    <n v="0.1"/>
    <s v="ACTIVE"/>
    <m/>
    <s v=""/>
    <m/>
    <d v="2025-12-28T15:08:32"/>
    <d v="2025-12-28T00:00:00"/>
    <x v="2"/>
    <x v="0"/>
    <n v="1"/>
    <n v="0"/>
    <x v="650"/>
    <s v="Alicia Gutiérrez Quiñones"/>
    <x v="1"/>
  </r>
  <r>
    <n v="713"/>
    <n v="163"/>
    <n v="5"/>
    <n v="46.82"/>
    <n v="4.68"/>
    <n v="0"/>
    <n v="0.1"/>
    <s v="ACTIVE"/>
    <m/>
    <s v=""/>
    <m/>
    <d v="2025-12-29T08:08:47"/>
    <d v="2025-12-29T00:00:00"/>
    <x v="2"/>
    <x v="0"/>
    <n v="1"/>
    <n v="0"/>
    <x v="651"/>
    <s v="Héctor Moreno Quiñones"/>
    <x v="2"/>
  </r>
  <r>
    <n v="714"/>
    <n v="106"/>
    <n v="4"/>
    <n v="132.54"/>
    <n v="13.25"/>
    <n v="0"/>
    <n v="0.1"/>
    <s v="ACTIVE"/>
    <m/>
    <s v=""/>
    <m/>
    <d v="2025-12-29T08:47:09"/>
    <d v="2025-12-29T00:00:00"/>
    <x v="2"/>
    <x v="0"/>
    <n v="1"/>
    <n v="0"/>
    <x v="652"/>
    <s v="Isabel García Santoyo"/>
    <x v="3"/>
  </r>
  <r>
    <n v="715"/>
    <n v="44"/>
    <n v="4"/>
    <n v="37.49"/>
    <n v="3.75"/>
    <n v="0"/>
    <n v="0.1"/>
    <s v="ACTIVE"/>
    <m/>
    <s v=""/>
    <m/>
    <d v="2025-12-29T09:02:23"/>
    <d v="2025-12-29T00:00:00"/>
    <x v="2"/>
    <x v="0"/>
    <n v="1"/>
    <n v="0"/>
    <x v="344"/>
    <s v="Pedro Herrera Castillo"/>
    <x v="3"/>
  </r>
  <r>
    <n v="716"/>
    <n v="25"/>
    <n v="5"/>
    <n v="68.11"/>
    <n v="0"/>
    <n v="1"/>
    <n v="0.1"/>
    <s v="ACTIVE"/>
    <m/>
    <s v=""/>
    <m/>
    <d v="2025-12-29T09:18:05"/>
    <d v="2025-12-29T00:00:00"/>
    <x v="2"/>
    <x v="1"/>
    <n v="1"/>
    <n v="0"/>
    <x v="653"/>
    <s v="Martha Rodríguez López"/>
    <x v="2"/>
  </r>
  <r>
    <n v="717"/>
    <n v="39"/>
    <n v="4"/>
    <n v="178.06"/>
    <n v="17.809999999999999"/>
    <n v="0"/>
    <n v="0.1"/>
    <s v="ACTIVE"/>
    <m/>
    <s v=""/>
    <m/>
    <d v="2025-12-29T10:04:57"/>
    <d v="2025-12-29T00:00:00"/>
    <x v="2"/>
    <x v="0"/>
    <n v="1"/>
    <n v="0"/>
    <x v="654"/>
    <s v="Guadalupe García Quiñones"/>
    <x v="3"/>
  </r>
  <r>
    <n v="718"/>
    <n v="135"/>
    <n v="2"/>
    <n v="300"/>
    <n v="30"/>
    <n v="0"/>
    <n v="0.1"/>
    <s v="ACTIVE"/>
    <m/>
    <s v=""/>
    <m/>
    <d v="2025-12-29T10:06:13"/>
    <d v="2025-12-29T00:00:00"/>
    <x v="2"/>
    <x v="0"/>
    <n v="1"/>
    <n v="0"/>
    <x v="74"/>
    <s v="Silvia Quiñones Delgado"/>
    <x v="1"/>
  </r>
  <r>
    <n v="719"/>
    <n v="135"/>
    <n v="3"/>
    <n v="258.23"/>
    <n v="25.82"/>
    <n v="0"/>
    <n v="0.1"/>
    <s v="ACTIVE"/>
    <m/>
    <s v=""/>
    <m/>
    <d v="2025-12-29T10:53:48"/>
    <d v="2025-12-29T00:00:00"/>
    <x v="2"/>
    <x v="0"/>
    <n v="1"/>
    <n v="0"/>
    <x v="655"/>
    <s v="Silvia Quiñones Delgado"/>
    <x v="0"/>
  </r>
  <r>
    <n v="720"/>
    <n v="126"/>
    <n v="3"/>
    <n v="96.72"/>
    <n v="9.67"/>
    <n v="0"/>
    <n v="0.1"/>
    <s v="ACTIVE"/>
    <m/>
    <s v=""/>
    <m/>
    <d v="2025-12-29T11:52:07"/>
    <d v="2025-12-29T00:00:00"/>
    <x v="2"/>
    <x v="0"/>
    <n v="1"/>
    <n v="0"/>
    <x v="656"/>
    <s v="Raúl Ávila Salazar"/>
    <x v="0"/>
  </r>
  <r>
    <n v="721"/>
    <n v="201"/>
    <n v="4"/>
    <n v="23.92"/>
    <n v="2.39"/>
    <n v="0"/>
    <n v="0.1"/>
    <s v="ACTIVE"/>
    <m/>
    <s v=""/>
    <m/>
    <d v="2025-12-29T14:14:26"/>
    <d v="2025-12-29T00:00:00"/>
    <x v="2"/>
    <x v="0"/>
    <n v="1"/>
    <n v="0"/>
    <x v="657"/>
    <s v="Isabel Vázquez Ramírez"/>
    <x v="3"/>
  </r>
  <r>
    <n v="722"/>
    <n v="106"/>
    <n v="5"/>
    <n v="126.25"/>
    <n v="0"/>
    <n v="1"/>
    <n v="0.1"/>
    <s v="ACTIVE"/>
    <m/>
    <s v=""/>
    <m/>
    <d v="2025-12-29T14:35:48"/>
    <d v="2025-12-29T00:00:00"/>
    <x v="2"/>
    <x v="1"/>
    <n v="1"/>
    <n v="0"/>
    <x v="658"/>
    <s v="Isabel García Santoyo"/>
    <x v="2"/>
  </r>
  <r>
    <n v="723"/>
    <n v="56"/>
    <n v="2"/>
    <n v="63.94"/>
    <n v="6.39"/>
    <n v="0"/>
    <n v="0.1"/>
    <s v="CANCELED"/>
    <n v="3"/>
    <s v="Solicitud del cliente"/>
    <d v="2025-12-31T01:57:07"/>
    <d v="2025-12-29T14:57:07"/>
    <d v="2025-12-29T00:00:00"/>
    <x v="2"/>
    <x v="0"/>
    <n v="1"/>
    <n v="1"/>
    <x v="32"/>
    <s v="Carlos Ortiz Moreno"/>
    <x v="1"/>
  </r>
  <r>
    <n v="724"/>
    <n v="16"/>
    <n v="4"/>
    <n v="159.74"/>
    <n v="15.97"/>
    <n v="0"/>
    <n v="0.1"/>
    <s v="ACTIVE"/>
    <m/>
    <s v=""/>
    <m/>
    <d v="2025-12-29T15:04:29"/>
    <d v="2025-12-29T00:00:00"/>
    <x v="2"/>
    <x v="0"/>
    <n v="1"/>
    <n v="0"/>
    <x v="659"/>
    <s v="Laura Chávez Rangel"/>
    <x v="3"/>
  </r>
  <r>
    <n v="725"/>
    <n v="189"/>
    <n v="4"/>
    <n v="63.82"/>
    <n v="6.38"/>
    <n v="0"/>
    <n v="0.1"/>
    <s v="ACTIVE"/>
    <m/>
    <s v=""/>
    <m/>
    <d v="2025-12-29T15:09:48"/>
    <d v="2025-12-29T00:00:00"/>
    <x v="2"/>
    <x v="0"/>
    <n v="1"/>
    <n v="0"/>
    <x v="660"/>
    <s v="Daniel Delgado Romero"/>
    <x v="3"/>
  </r>
  <r>
    <n v="726"/>
    <n v="20"/>
    <n v="3"/>
    <n v="19.670000000000002"/>
    <n v="1.97"/>
    <n v="0"/>
    <n v="0.1"/>
    <s v="ACTIVE"/>
    <m/>
    <s v=""/>
    <m/>
    <d v="2025-12-29T15:22:57"/>
    <d v="2025-12-29T00:00:00"/>
    <x v="2"/>
    <x v="0"/>
    <n v="1"/>
    <n v="0"/>
    <x v="537"/>
    <s v="Luis Cruz Martínez"/>
    <x v="0"/>
  </r>
  <r>
    <n v="727"/>
    <n v="154"/>
    <n v="4"/>
    <n v="30.71"/>
    <n v="3.07"/>
    <n v="0"/>
    <n v="0.1"/>
    <s v="ACTIVE"/>
    <m/>
    <s v=""/>
    <m/>
    <d v="2025-12-29T15:31:59"/>
    <d v="2025-12-29T00:00:00"/>
    <x v="2"/>
    <x v="0"/>
    <n v="1"/>
    <n v="0"/>
    <x v="44"/>
    <s v="Manuel Chávez Flores"/>
    <x v="3"/>
  </r>
  <r>
    <n v="728"/>
    <n v="283"/>
    <n v="5"/>
    <n v="31.6"/>
    <n v="3.16"/>
    <n v="0"/>
    <n v="0.1"/>
    <s v="ACTIVE"/>
    <m/>
    <s v=""/>
    <m/>
    <d v="2025-12-29T17:17:35"/>
    <d v="2025-12-29T00:00:00"/>
    <x v="2"/>
    <x v="0"/>
    <n v="1"/>
    <n v="0"/>
    <x v="661"/>
    <s v="Martha Reyes Cruz"/>
    <x v="2"/>
  </r>
  <r>
    <n v="729"/>
    <n v="84"/>
    <n v="2"/>
    <n v="108.92"/>
    <n v="10.89"/>
    <n v="0"/>
    <n v="0.1"/>
    <s v="ACTIVE"/>
    <m/>
    <s v=""/>
    <m/>
    <d v="2025-12-29T18:41:21"/>
    <d v="2025-12-29T00:00:00"/>
    <x v="2"/>
    <x v="0"/>
    <n v="1"/>
    <n v="0"/>
    <x v="662"/>
    <s v="Fernando Vázquez Herrera"/>
    <x v="1"/>
  </r>
  <r>
    <n v="730"/>
    <n v="297"/>
    <n v="5"/>
    <n v="41.85"/>
    <n v="4.1900000000000004"/>
    <n v="0"/>
    <n v="0.1"/>
    <s v="ACTIVE"/>
    <m/>
    <s v=""/>
    <m/>
    <d v="2025-12-30T08:26:01"/>
    <d v="2025-12-30T00:00:00"/>
    <x v="2"/>
    <x v="0"/>
    <n v="1"/>
    <n v="0"/>
    <x v="663"/>
    <s v="Patricia Ortiz Jiménez"/>
    <x v="2"/>
  </r>
  <r>
    <n v="731"/>
    <n v="137"/>
    <n v="2"/>
    <n v="57.45"/>
    <n v="5.75"/>
    <n v="0"/>
    <n v="0.1"/>
    <s v="ACTIVE"/>
    <m/>
    <s v=""/>
    <m/>
    <d v="2025-12-30T08:33:06"/>
    <d v="2025-12-30T00:00:00"/>
    <x v="2"/>
    <x v="0"/>
    <n v="1"/>
    <n v="0"/>
    <x v="664"/>
    <s v="Francisco Reyes Ruiz"/>
    <x v="1"/>
  </r>
  <r>
    <n v="732"/>
    <n v="137"/>
    <n v="5"/>
    <n v="31.97"/>
    <n v="3.2"/>
    <n v="0"/>
    <n v="0.1"/>
    <s v="ACTIVE"/>
    <m/>
    <s v=""/>
    <m/>
    <d v="2025-12-30T08:36:57"/>
    <d v="2025-12-30T00:00:00"/>
    <x v="2"/>
    <x v="0"/>
    <n v="1"/>
    <n v="0"/>
    <x v="665"/>
    <s v="Francisco Reyes Ruiz"/>
    <x v="2"/>
  </r>
  <r>
    <n v="733"/>
    <n v="27"/>
    <n v="5"/>
    <n v="71"/>
    <n v="7.1"/>
    <n v="0"/>
    <n v="0.1"/>
    <s v="ACTIVE"/>
    <m/>
    <s v=""/>
    <m/>
    <d v="2025-12-30T09:59:27"/>
    <d v="2025-12-30T00:00:00"/>
    <x v="2"/>
    <x v="0"/>
    <n v="1"/>
    <n v="0"/>
    <x v="666"/>
    <s v="Alicia Gutiérrez Quiñones"/>
    <x v="2"/>
  </r>
  <r>
    <n v="734"/>
    <n v="106"/>
    <n v="3"/>
    <n v="87.88"/>
    <n v="8.7899999999999991"/>
    <n v="0"/>
    <n v="0.1"/>
    <s v="ACTIVE"/>
    <m/>
    <s v=""/>
    <m/>
    <d v="2025-12-30T11:00:36"/>
    <d v="2025-12-30T00:00:00"/>
    <x v="2"/>
    <x v="0"/>
    <n v="1"/>
    <n v="0"/>
    <x v="667"/>
    <s v="Isabel García Santoyo"/>
    <x v="0"/>
  </r>
  <r>
    <n v="735"/>
    <n v="35"/>
    <n v="5"/>
    <n v="27.63"/>
    <n v="2.76"/>
    <n v="0"/>
    <n v="0.1"/>
    <s v="ACTIVE"/>
    <m/>
    <s v=""/>
    <m/>
    <d v="2025-12-30T11:24:12"/>
    <d v="2025-12-30T00:00:00"/>
    <x v="2"/>
    <x v="0"/>
    <n v="1"/>
    <n v="0"/>
    <x v="668"/>
    <s v="Teresa Ramírez Ramírez"/>
    <x v="2"/>
  </r>
  <r>
    <n v="736"/>
    <n v="70"/>
    <n v="2"/>
    <n v="163.11000000000001"/>
    <n v="16.309999999999999"/>
    <n v="0"/>
    <n v="0.1"/>
    <s v="ACTIVE"/>
    <m/>
    <s v=""/>
    <m/>
    <d v="2025-12-30T11:39:42"/>
    <d v="2025-12-30T00:00:00"/>
    <x v="2"/>
    <x v="0"/>
    <n v="1"/>
    <n v="0"/>
    <x v="669"/>
    <s v="Manuel Ávila Martínez"/>
    <x v="1"/>
  </r>
  <r>
    <n v="737"/>
    <n v="245"/>
    <n v="5"/>
    <n v="38.299999999999997"/>
    <n v="3.83"/>
    <n v="0"/>
    <n v="0.1"/>
    <s v="ACTIVE"/>
    <m/>
    <s v=""/>
    <m/>
    <d v="2025-12-30T11:43:33"/>
    <d v="2025-12-30T00:00:00"/>
    <x v="2"/>
    <x v="0"/>
    <n v="1"/>
    <n v="0"/>
    <x v="670"/>
    <s v="Ana González Flores"/>
    <x v="2"/>
  </r>
  <r>
    <n v="738"/>
    <n v="138"/>
    <n v="3"/>
    <n v="13.8"/>
    <n v="1.38"/>
    <n v="0"/>
    <n v="0.1"/>
    <s v="ACTIVE"/>
    <m/>
    <s v=""/>
    <m/>
    <d v="2025-12-30T11:50:34"/>
    <d v="2025-12-30T00:00:00"/>
    <x v="2"/>
    <x v="0"/>
    <n v="1"/>
    <n v="0"/>
    <x v="671"/>
    <s v="Alejandro Reyes Morales"/>
    <x v="0"/>
  </r>
  <r>
    <n v="739"/>
    <n v="178"/>
    <n v="4"/>
    <n v="116.16"/>
    <n v="11.62"/>
    <n v="0"/>
    <n v="0.1"/>
    <s v="ACTIVE"/>
    <m/>
    <s v=""/>
    <m/>
    <d v="2025-12-30T12:03:09"/>
    <d v="2025-12-30T00:00:00"/>
    <x v="2"/>
    <x v="0"/>
    <n v="1"/>
    <n v="0"/>
    <x v="672"/>
    <s v="Miguel Ruiz Salazar"/>
    <x v="3"/>
  </r>
  <r>
    <n v="740"/>
    <n v="87"/>
    <n v="2"/>
    <n v="81.81"/>
    <n v="8.18"/>
    <n v="0"/>
    <n v="0.1"/>
    <s v="ACTIVE"/>
    <m/>
    <s v=""/>
    <m/>
    <d v="2025-12-30T12:37:20"/>
    <d v="2025-12-30T00:00:00"/>
    <x v="2"/>
    <x v="0"/>
    <n v="1"/>
    <n v="0"/>
    <x v="673"/>
    <s v="Antonio Reyes Romero"/>
    <x v="1"/>
  </r>
  <r>
    <n v="741"/>
    <n v="84"/>
    <n v="2"/>
    <n v="72.28"/>
    <n v="7.23"/>
    <n v="0"/>
    <n v="0.1"/>
    <s v="ACTIVE"/>
    <m/>
    <s v=""/>
    <m/>
    <d v="2025-12-30T14:30:29"/>
    <d v="2025-12-30T00:00:00"/>
    <x v="2"/>
    <x v="0"/>
    <n v="1"/>
    <n v="0"/>
    <x v="674"/>
    <s v="Fernando Vázquez Herrera"/>
    <x v="1"/>
  </r>
  <r>
    <n v="742"/>
    <n v="137"/>
    <n v="3"/>
    <n v="39.24"/>
    <n v="3.92"/>
    <n v="0"/>
    <n v="0.1"/>
    <s v="ACTIVE"/>
    <m/>
    <s v=""/>
    <m/>
    <d v="2025-12-31T07:52:23"/>
    <d v="2025-12-31T00:00:00"/>
    <x v="2"/>
    <x v="0"/>
    <n v="1"/>
    <n v="0"/>
    <x v="675"/>
    <s v="Francisco Reyes Ruiz"/>
    <x v="0"/>
  </r>
  <r>
    <n v="743"/>
    <n v="202"/>
    <n v="2"/>
    <n v="27.64"/>
    <n v="2.76"/>
    <n v="0"/>
    <n v="0.1"/>
    <s v="ACTIVE"/>
    <m/>
    <s v=""/>
    <m/>
    <d v="2025-12-31T09:38:36"/>
    <d v="2025-12-31T00:00:00"/>
    <x v="2"/>
    <x v="0"/>
    <n v="1"/>
    <n v="0"/>
    <x v="676"/>
    <s v="Elena Díaz Reyes"/>
    <x v="1"/>
  </r>
  <r>
    <n v="744"/>
    <n v="137"/>
    <n v="2"/>
    <n v="31.56"/>
    <n v="3.16"/>
    <n v="0"/>
    <n v="0.1"/>
    <s v="ACTIVE"/>
    <m/>
    <s v=""/>
    <m/>
    <d v="2025-12-31T10:37:55"/>
    <d v="2025-12-31T00:00:00"/>
    <x v="2"/>
    <x v="0"/>
    <n v="1"/>
    <n v="0"/>
    <x v="677"/>
    <s v="Francisco Reyes Ruiz"/>
    <x v="1"/>
  </r>
  <r>
    <n v="745"/>
    <n v="249"/>
    <n v="5"/>
    <n v="117.76"/>
    <n v="11.78"/>
    <n v="0"/>
    <n v="0.1"/>
    <s v="ACTIVE"/>
    <m/>
    <s v=""/>
    <m/>
    <d v="2025-12-31T13:17:14"/>
    <d v="2025-12-31T00:00:00"/>
    <x v="2"/>
    <x v="0"/>
    <n v="1"/>
    <n v="0"/>
    <x v="678"/>
    <s v="Jorge Chávez Medina"/>
    <x v="2"/>
  </r>
  <r>
    <n v="746"/>
    <n v="197"/>
    <n v="4"/>
    <n v="114.51"/>
    <n v="11.45"/>
    <n v="0"/>
    <n v="0.1"/>
    <s v="ACTIVE"/>
    <m/>
    <s v=""/>
    <m/>
    <d v="2025-12-31T13:50:58"/>
    <d v="2025-12-31T00:00:00"/>
    <x v="2"/>
    <x v="0"/>
    <n v="1"/>
    <n v="0"/>
    <x v="679"/>
    <s v="Raúl Hernández Santoyo"/>
    <x v="3"/>
  </r>
  <r>
    <n v="747"/>
    <n v="194"/>
    <n v="5"/>
    <n v="73.69"/>
    <n v="7.37"/>
    <n v="0"/>
    <n v="0.1"/>
    <s v="ACTIVE"/>
    <m/>
    <s v=""/>
    <m/>
    <d v="2025-12-31T14:00:44"/>
    <d v="2025-12-31T00:00:00"/>
    <x v="2"/>
    <x v="0"/>
    <n v="1"/>
    <n v="0"/>
    <x v="680"/>
    <s v="Óscar Herrera Gutiérrez"/>
    <x v="2"/>
  </r>
  <r>
    <n v="748"/>
    <n v="215"/>
    <n v="2"/>
    <n v="61.35"/>
    <n v="6.14"/>
    <n v="0"/>
    <n v="0.1"/>
    <s v="ACTIVE"/>
    <m/>
    <s v=""/>
    <m/>
    <d v="2025-12-31T14:23:36"/>
    <d v="2025-12-31T00:00:00"/>
    <x v="2"/>
    <x v="0"/>
    <n v="1"/>
    <n v="0"/>
    <x v="681"/>
    <s v="Verónica Medina Ortiz"/>
    <x v="1"/>
  </r>
  <r>
    <n v="749"/>
    <n v="168"/>
    <n v="2"/>
    <n v="37.64"/>
    <n v="3.76"/>
    <n v="0"/>
    <n v="0.1"/>
    <s v="ACTIVE"/>
    <m/>
    <s v=""/>
    <m/>
    <d v="2025-12-31T15:54:13"/>
    <d v="2025-12-31T00:00:00"/>
    <x v="2"/>
    <x v="0"/>
    <n v="1"/>
    <n v="0"/>
    <x v="682"/>
    <s v="Martha Sánchez García"/>
    <x v="1"/>
  </r>
  <r>
    <n v="750"/>
    <n v="11"/>
    <n v="3"/>
    <n v="189.64"/>
    <n v="18.96"/>
    <n v="0"/>
    <n v="0.1"/>
    <s v="ACTIVE"/>
    <m/>
    <s v=""/>
    <m/>
    <d v="2025-12-31T16:25:05"/>
    <d v="2025-12-31T00:00:00"/>
    <x v="2"/>
    <x v="0"/>
    <n v="1"/>
    <n v="0"/>
    <x v="683"/>
    <s v="Guadalupe Pérez Rodríguez"/>
    <x v="0"/>
  </r>
  <r>
    <n v="751"/>
    <n v="70"/>
    <n v="3"/>
    <n v="214.97"/>
    <n v="21.5"/>
    <n v="0"/>
    <n v="0.1"/>
    <s v="ACTIVE"/>
    <m/>
    <s v=""/>
    <m/>
    <d v="2026-01-01T07:56:20"/>
    <d v="2026-01-01T00:00:00"/>
    <x v="3"/>
    <x v="0"/>
    <n v="1"/>
    <n v="0"/>
    <x v="684"/>
    <s v="Manuel Ávila Martínez"/>
    <x v="0"/>
  </r>
  <r>
    <n v="752"/>
    <n v="55"/>
    <n v="2"/>
    <n v="37.32"/>
    <n v="3.73"/>
    <n v="0"/>
    <n v="0.1"/>
    <s v="ACTIVE"/>
    <m/>
    <s v=""/>
    <m/>
    <d v="2026-01-01T08:25:31"/>
    <d v="2026-01-01T00:00:00"/>
    <x v="3"/>
    <x v="0"/>
    <n v="1"/>
    <n v="0"/>
    <x v="685"/>
    <s v="Luis Zacatecas Rodríguez"/>
    <x v="1"/>
  </r>
  <r>
    <n v="753"/>
    <n v="21"/>
    <n v="2"/>
    <n v="45.11"/>
    <n v="4.51"/>
    <n v="0"/>
    <n v="0.1"/>
    <s v="ACTIVE"/>
    <m/>
    <s v=""/>
    <m/>
    <d v="2026-01-01T09:42:44"/>
    <d v="2026-01-01T00:00:00"/>
    <x v="3"/>
    <x v="0"/>
    <n v="1"/>
    <n v="0"/>
    <x v="686"/>
    <s v="Carlos Morales Santoyo"/>
    <x v="1"/>
  </r>
  <r>
    <n v="754"/>
    <n v="136"/>
    <n v="5"/>
    <n v="67.03"/>
    <n v="6.7"/>
    <n v="0"/>
    <n v="0.1"/>
    <s v="ACTIVE"/>
    <m/>
    <s v=""/>
    <m/>
    <d v="2026-01-01T10:26:56"/>
    <d v="2026-01-01T00:00:00"/>
    <x v="3"/>
    <x v="0"/>
    <n v="1"/>
    <n v="0"/>
    <x v="687"/>
    <s v="Guadalupe Castillo Rangel"/>
    <x v="2"/>
  </r>
  <r>
    <n v="755"/>
    <n v="61"/>
    <n v="2"/>
    <n v="73.650000000000006"/>
    <n v="0"/>
    <n v="1"/>
    <n v="0.1"/>
    <s v="ACTIVE"/>
    <m/>
    <s v=""/>
    <m/>
    <d v="2026-01-01T12:16:06"/>
    <d v="2026-01-01T00:00:00"/>
    <x v="3"/>
    <x v="1"/>
    <n v="1"/>
    <n v="0"/>
    <x v="688"/>
    <s v="Pedro González Ávila"/>
    <x v="1"/>
  </r>
  <r>
    <n v="756"/>
    <n v="39"/>
    <n v="5"/>
    <n v="175.89"/>
    <n v="17.59"/>
    <n v="0"/>
    <n v="0.1"/>
    <s v="ACTIVE"/>
    <m/>
    <s v=""/>
    <m/>
    <d v="2026-01-01T14:15:50"/>
    <d v="2026-01-01T00:00:00"/>
    <x v="3"/>
    <x v="0"/>
    <n v="1"/>
    <n v="0"/>
    <x v="409"/>
    <s v="Guadalupe García Quiñones"/>
    <x v="2"/>
  </r>
  <r>
    <n v="757"/>
    <n v="16"/>
    <n v="2"/>
    <n v="230.28"/>
    <n v="23.03"/>
    <n v="0"/>
    <n v="0.1"/>
    <s v="ACTIVE"/>
    <m/>
    <s v=""/>
    <m/>
    <d v="2026-01-01T15:29:11"/>
    <d v="2026-01-01T00:00:00"/>
    <x v="3"/>
    <x v="0"/>
    <n v="1"/>
    <n v="0"/>
    <x v="689"/>
    <s v="Laura Chávez Rangel"/>
    <x v="1"/>
  </r>
  <r>
    <n v="758"/>
    <n v="69"/>
    <n v="2"/>
    <n v="31.43"/>
    <n v="3.14"/>
    <n v="0"/>
    <n v="0.1"/>
    <s v="ACTIVE"/>
    <m/>
    <s v=""/>
    <m/>
    <d v="2026-01-01T15:54:49"/>
    <d v="2026-01-01T00:00:00"/>
    <x v="3"/>
    <x v="0"/>
    <n v="1"/>
    <n v="0"/>
    <x v="690"/>
    <s v="Carmen Quiñones Hernández"/>
    <x v="1"/>
  </r>
  <r>
    <n v="759"/>
    <n v="117"/>
    <n v="2"/>
    <n v="50.17"/>
    <n v="5.0199999999999996"/>
    <n v="0"/>
    <n v="0.1"/>
    <s v="ACTIVE"/>
    <m/>
    <s v=""/>
    <m/>
    <d v="2026-01-01T16:21:18"/>
    <d v="2026-01-01T00:00:00"/>
    <x v="3"/>
    <x v="0"/>
    <n v="1"/>
    <n v="0"/>
    <x v="691"/>
    <s v="Manuel Ortiz Ramírez"/>
    <x v="1"/>
  </r>
  <r>
    <n v="760"/>
    <n v="107"/>
    <n v="3"/>
    <n v="22.32"/>
    <n v="2.23"/>
    <n v="0"/>
    <n v="0.1"/>
    <s v="CANCELED"/>
    <n v="5"/>
    <s v="Cliente canceló la operación"/>
    <d v="2026-01-03T15:48:59"/>
    <d v="2026-01-01T16:48:59"/>
    <d v="2026-01-01T00:00:00"/>
    <x v="3"/>
    <x v="0"/>
    <n v="1"/>
    <n v="1"/>
    <x v="32"/>
    <s v="Óscar Jiménez Romero"/>
    <x v="0"/>
  </r>
  <r>
    <n v="761"/>
    <n v="33"/>
    <n v="5"/>
    <n v="31.73"/>
    <n v="3.17"/>
    <n v="0"/>
    <n v="0.1"/>
    <s v="ACTIVE"/>
    <m/>
    <s v=""/>
    <m/>
    <d v="2026-01-01T17:03:47"/>
    <d v="2026-01-01T00:00:00"/>
    <x v="3"/>
    <x v="0"/>
    <n v="1"/>
    <n v="0"/>
    <x v="692"/>
    <s v="Francisco Vázquez Mendoza"/>
    <x v="2"/>
  </r>
  <r>
    <n v="762"/>
    <n v="104"/>
    <n v="5"/>
    <n v="300"/>
    <n v="30"/>
    <n v="0"/>
    <n v="0.1"/>
    <s v="ACTIVE"/>
    <m/>
    <s v=""/>
    <m/>
    <d v="2026-01-01T19:21:13"/>
    <d v="2026-01-01T00:00:00"/>
    <x v="3"/>
    <x v="0"/>
    <n v="1"/>
    <n v="0"/>
    <x v="74"/>
    <s v="Manuel Morales González"/>
    <x v="2"/>
  </r>
  <r>
    <n v="763"/>
    <n v="80"/>
    <n v="2"/>
    <n v="26.5"/>
    <n v="2.65"/>
    <n v="0"/>
    <n v="0.1"/>
    <s v="ACTIVE"/>
    <m/>
    <s v=""/>
    <m/>
    <d v="2026-01-02T07:04:43"/>
    <d v="2026-01-02T00:00:00"/>
    <x v="3"/>
    <x v="0"/>
    <n v="1"/>
    <n v="0"/>
    <x v="693"/>
    <s v="Juan Sánchez Gutiérrez"/>
    <x v="1"/>
  </r>
  <r>
    <n v="764"/>
    <n v="240"/>
    <n v="5"/>
    <n v="164.71"/>
    <n v="0"/>
    <n v="1"/>
    <n v="0.1"/>
    <s v="ACTIVE"/>
    <m/>
    <s v=""/>
    <m/>
    <d v="2026-01-02T08:43:47"/>
    <d v="2026-01-02T00:00:00"/>
    <x v="3"/>
    <x v="1"/>
    <n v="1"/>
    <n v="0"/>
    <x v="694"/>
    <s v="Pedro Castillo Quiñones"/>
    <x v="2"/>
  </r>
  <r>
    <n v="765"/>
    <n v="55"/>
    <n v="2"/>
    <n v="19.649999999999999"/>
    <n v="1.97"/>
    <n v="0"/>
    <n v="0.1"/>
    <s v="ACTIVE"/>
    <m/>
    <s v=""/>
    <m/>
    <d v="2026-01-02T09:46:42"/>
    <d v="2026-01-02T00:00:00"/>
    <x v="3"/>
    <x v="0"/>
    <n v="1"/>
    <n v="0"/>
    <x v="695"/>
    <s v="Luis Zacatecas Rodríguez"/>
    <x v="1"/>
  </r>
  <r>
    <n v="766"/>
    <n v="217"/>
    <n v="5"/>
    <n v="34.61"/>
    <n v="3.46"/>
    <n v="0"/>
    <n v="0.1"/>
    <s v="ACTIVE"/>
    <m/>
    <s v=""/>
    <m/>
    <d v="2026-01-02T10:07:52"/>
    <d v="2026-01-02T00:00:00"/>
    <x v="3"/>
    <x v="0"/>
    <n v="1"/>
    <n v="0"/>
    <x v="696"/>
    <s v="Francisco Rangel Rodríguez"/>
    <x v="2"/>
  </r>
  <r>
    <n v="767"/>
    <n v="57"/>
    <n v="2"/>
    <n v="48.01"/>
    <n v="4.8"/>
    <n v="0"/>
    <n v="0.1"/>
    <s v="CANCELED"/>
    <n v="5"/>
    <s v="Cliente canceló la operación"/>
    <d v="2026-01-02T17:35:32"/>
    <d v="2026-01-02T10:35:32"/>
    <d v="2026-01-02T00:00:00"/>
    <x v="3"/>
    <x v="0"/>
    <n v="1"/>
    <n v="1"/>
    <x v="32"/>
    <s v="Isabel Martínez Rodríguez"/>
    <x v="1"/>
  </r>
  <r>
    <n v="768"/>
    <n v="240"/>
    <n v="3"/>
    <n v="109.76"/>
    <n v="10.98"/>
    <n v="0"/>
    <n v="0.1"/>
    <s v="CANCELED"/>
    <n v="3"/>
    <s v="Solicitud del cliente"/>
    <d v="2026-01-03T16:37:12"/>
    <d v="2026-01-02T10:37:12"/>
    <d v="2026-01-02T00:00:00"/>
    <x v="3"/>
    <x v="0"/>
    <n v="1"/>
    <n v="1"/>
    <x v="32"/>
    <s v="Pedro Castillo Quiñones"/>
    <x v="0"/>
  </r>
  <r>
    <n v="769"/>
    <n v="178"/>
    <n v="2"/>
    <n v="80"/>
    <n v="8"/>
    <n v="0"/>
    <n v="0.1"/>
    <s v="ACTIVE"/>
    <m/>
    <s v=""/>
    <m/>
    <d v="2026-01-02T12:58:23"/>
    <d v="2026-01-02T00:00:00"/>
    <x v="3"/>
    <x v="0"/>
    <n v="1"/>
    <n v="0"/>
    <x v="78"/>
    <s v="Miguel Ruiz Salazar"/>
    <x v="1"/>
  </r>
  <r>
    <n v="770"/>
    <n v="62"/>
    <n v="2"/>
    <n v="18"/>
    <n v="1.8"/>
    <n v="0"/>
    <n v="0.1"/>
    <s v="ACTIVE"/>
    <m/>
    <s v=""/>
    <m/>
    <d v="2026-01-02T14:40:53"/>
    <d v="2026-01-02T00:00:00"/>
    <x v="3"/>
    <x v="0"/>
    <n v="1"/>
    <n v="0"/>
    <x v="697"/>
    <s v="Rosa González Ortiz"/>
    <x v="1"/>
  </r>
  <r>
    <n v="771"/>
    <n v="31"/>
    <n v="5"/>
    <n v="58.6"/>
    <n v="5.86"/>
    <n v="0"/>
    <n v="0.1"/>
    <s v="ACTIVE"/>
    <m/>
    <s v=""/>
    <m/>
    <d v="2026-01-02T15:22:19"/>
    <d v="2026-01-02T00:00:00"/>
    <x v="3"/>
    <x v="0"/>
    <n v="1"/>
    <n v="0"/>
    <x v="698"/>
    <s v="Óscar Zacatecas Reyes"/>
    <x v="2"/>
  </r>
  <r>
    <n v="772"/>
    <n v="106"/>
    <n v="2"/>
    <n v="119.06"/>
    <n v="11.91"/>
    <n v="0"/>
    <n v="0.1"/>
    <s v="ACTIVE"/>
    <m/>
    <s v=""/>
    <m/>
    <d v="2026-01-02T19:40:29"/>
    <d v="2026-01-02T00:00:00"/>
    <x v="3"/>
    <x v="0"/>
    <n v="1"/>
    <n v="0"/>
    <x v="699"/>
    <s v="Isabel García Santoyo"/>
    <x v="1"/>
  </r>
  <r>
    <n v="773"/>
    <n v="96"/>
    <n v="4"/>
    <n v="300"/>
    <n v="30"/>
    <n v="0"/>
    <n v="0.1"/>
    <s v="ACTIVE"/>
    <m/>
    <s v=""/>
    <m/>
    <d v="2026-01-03T07:47:04"/>
    <d v="2026-01-03T00:00:00"/>
    <x v="3"/>
    <x v="0"/>
    <n v="1"/>
    <n v="0"/>
    <x v="74"/>
    <s v="José Pérez Herrera"/>
    <x v="3"/>
  </r>
  <r>
    <n v="774"/>
    <n v="227"/>
    <n v="3"/>
    <n v="28.85"/>
    <n v="2.89"/>
    <n v="0"/>
    <n v="0.1"/>
    <s v="ACTIVE"/>
    <m/>
    <s v=""/>
    <m/>
    <d v="2026-01-03T07:58:39"/>
    <d v="2026-01-03T00:00:00"/>
    <x v="3"/>
    <x v="0"/>
    <n v="1"/>
    <n v="0"/>
    <x v="128"/>
    <s v="Alicia Mendoza Rangel"/>
    <x v="0"/>
  </r>
  <r>
    <n v="775"/>
    <n v="202"/>
    <n v="3"/>
    <n v="67.56"/>
    <n v="6.76"/>
    <n v="0"/>
    <n v="0.1"/>
    <s v="ACTIVE"/>
    <m/>
    <s v=""/>
    <m/>
    <d v="2026-01-03T08:42:00"/>
    <d v="2026-01-03T00:00:00"/>
    <x v="3"/>
    <x v="0"/>
    <n v="1"/>
    <n v="0"/>
    <x v="700"/>
    <s v="Elena Díaz Reyes"/>
    <x v="0"/>
  </r>
  <r>
    <n v="776"/>
    <n v="69"/>
    <n v="3"/>
    <n v="24.03"/>
    <n v="2.4"/>
    <n v="0"/>
    <n v="0.1"/>
    <s v="CANCELED"/>
    <n v="3"/>
    <s v="Cliente canceló la operación"/>
    <d v="2026-01-04T07:27:50"/>
    <d v="2026-01-03T09:27:50"/>
    <d v="2026-01-03T00:00:00"/>
    <x v="3"/>
    <x v="0"/>
    <n v="1"/>
    <n v="1"/>
    <x v="32"/>
    <s v="Carmen Quiñones Hernández"/>
    <x v="0"/>
  </r>
  <r>
    <n v="777"/>
    <n v="254"/>
    <n v="4"/>
    <n v="215.21"/>
    <n v="21.52"/>
    <n v="0"/>
    <n v="0.1"/>
    <s v="ACTIVE"/>
    <m/>
    <s v=""/>
    <m/>
    <d v="2026-01-03T09:29:12"/>
    <d v="2026-01-03T00:00:00"/>
    <x v="3"/>
    <x v="0"/>
    <n v="1"/>
    <n v="0"/>
    <x v="701"/>
    <s v="Antonio Gutiérrez Ramos"/>
    <x v="3"/>
  </r>
  <r>
    <n v="778"/>
    <n v="150"/>
    <n v="2"/>
    <n v="97.72"/>
    <n v="9.77"/>
    <n v="0"/>
    <n v="0.1"/>
    <s v="ACTIVE"/>
    <m/>
    <s v=""/>
    <m/>
    <d v="2026-01-03T09:31:29"/>
    <d v="2026-01-03T00:00:00"/>
    <x v="3"/>
    <x v="0"/>
    <n v="1"/>
    <n v="0"/>
    <x v="702"/>
    <s v="Daniel Díaz Quiñones"/>
    <x v="1"/>
  </r>
  <r>
    <n v="779"/>
    <n v="244"/>
    <n v="5"/>
    <n v="137.16999999999999"/>
    <n v="13.72"/>
    <n v="0"/>
    <n v="0.1"/>
    <s v="ACTIVE"/>
    <m/>
    <s v=""/>
    <m/>
    <d v="2026-01-03T10:18:50"/>
    <d v="2026-01-03T00:00:00"/>
    <x v="3"/>
    <x v="0"/>
    <n v="1"/>
    <n v="0"/>
    <x v="703"/>
    <s v="Guadalupe Castillo Hernández"/>
    <x v="2"/>
  </r>
  <r>
    <n v="780"/>
    <n v="293"/>
    <n v="5"/>
    <n v="34.21"/>
    <n v="3.42"/>
    <n v="0"/>
    <n v="0.1"/>
    <s v="ACTIVE"/>
    <m/>
    <s v=""/>
    <m/>
    <d v="2026-01-03T11:00:07"/>
    <d v="2026-01-03T00:00:00"/>
    <x v="3"/>
    <x v="0"/>
    <n v="1"/>
    <n v="0"/>
    <x v="704"/>
    <s v="Patricia Quiñones Pérez"/>
    <x v="2"/>
  </r>
  <r>
    <n v="781"/>
    <n v="65"/>
    <n v="5"/>
    <n v="25.65"/>
    <n v="2.57"/>
    <n v="0"/>
    <n v="0.1"/>
    <s v="ACTIVE"/>
    <m/>
    <s v=""/>
    <m/>
    <d v="2026-01-03T11:40:44"/>
    <d v="2026-01-03T00:00:00"/>
    <x v="3"/>
    <x v="0"/>
    <n v="1"/>
    <n v="0"/>
    <x v="705"/>
    <s v="Gabriela Flores Chávez"/>
    <x v="2"/>
  </r>
  <r>
    <n v="782"/>
    <n v="18"/>
    <n v="2"/>
    <n v="70.760000000000005"/>
    <n v="7.08"/>
    <n v="0"/>
    <n v="0.1"/>
    <s v="ACTIVE"/>
    <m/>
    <s v=""/>
    <m/>
    <d v="2026-01-03T13:29:01"/>
    <d v="2026-01-03T00:00:00"/>
    <x v="3"/>
    <x v="0"/>
    <n v="1"/>
    <n v="0"/>
    <x v="706"/>
    <s v="Carlos Gómez Ávila"/>
    <x v="1"/>
  </r>
  <r>
    <n v="783"/>
    <n v="247"/>
    <n v="4"/>
    <n v="17.190000000000001"/>
    <n v="1.72"/>
    <n v="0"/>
    <n v="0.1"/>
    <s v="ACTIVE"/>
    <m/>
    <s v=""/>
    <m/>
    <d v="2026-01-03T15:04:55"/>
    <d v="2026-01-03T00:00:00"/>
    <x v="3"/>
    <x v="0"/>
    <n v="1"/>
    <n v="0"/>
    <x v="707"/>
    <s v="Patricia Mendoza Ruiz"/>
    <x v="3"/>
  </r>
  <r>
    <n v="784"/>
    <n v="16"/>
    <n v="2"/>
    <n v="127.25"/>
    <n v="12.73"/>
    <n v="0"/>
    <n v="0.1"/>
    <s v="ACTIVE"/>
    <m/>
    <s v=""/>
    <m/>
    <d v="2026-01-03T16:04:03"/>
    <d v="2026-01-03T00:00:00"/>
    <x v="3"/>
    <x v="0"/>
    <n v="1"/>
    <n v="0"/>
    <x v="89"/>
    <s v="Laura Chávez Rangel"/>
    <x v="1"/>
  </r>
  <r>
    <n v="785"/>
    <n v="137"/>
    <n v="4"/>
    <n v="60.79"/>
    <n v="6.08"/>
    <n v="0"/>
    <n v="0.1"/>
    <s v="ACTIVE"/>
    <m/>
    <s v=""/>
    <m/>
    <d v="2026-01-03T17:01:45"/>
    <d v="2026-01-03T00:00:00"/>
    <x v="3"/>
    <x v="0"/>
    <n v="1"/>
    <n v="0"/>
    <x v="708"/>
    <s v="Francisco Reyes Ruiz"/>
    <x v="3"/>
  </r>
  <r>
    <n v="786"/>
    <n v="235"/>
    <n v="5"/>
    <n v="19.760000000000002"/>
    <n v="1.98"/>
    <n v="0"/>
    <n v="0.1"/>
    <s v="ACTIVE"/>
    <m/>
    <s v=""/>
    <m/>
    <d v="2026-01-04T08:07:24"/>
    <d v="2026-01-04T00:00:00"/>
    <x v="3"/>
    <x v="0"/>
    <n v="1"/>
    <n v="0"/>
    <x v="350"/>
    <s v="Silvia González Rodríguez"/>
    <x v="2"/>
  </r>
  <r>
    <n v="787"/>
    <n v="44"/>
    <n v="4"/>
    <n v="25.76"/>
    <n v="2.58"/>
    <n v="0"/>
    <n v="0.1"/>
    <s v="ACTIVE"/>
    <m/>
    <s v=""/>
    <m/>
    <d v="2026-01-04T08:52:48"/>
    <d v="2026-01-04T00:00:00"/>
    <x v="3"/>
    <x v="0"/>
    <n v="1"/>
    <n v="0"/>
    <x v="709"/>
    <s v="Pedro Herrera Castillo"/>
    <x v="3"/>
  </r>
  <r>
    <n v="788"/>
    <n v="136"/>
    <n v="2"/>
    <n v="57.23"/>
    <n v="5.72"/>
    <n v="0"/>
    <n v="0.1"/>
    <s v="ACTIVE"/>
    <m/>
    <s v=""/>
    <m/>
    <d v="2026-01-04T10:36:25"/>
    <d v="2026-01-04T00:00:00"/>
    <x v="3"/>
    <x v="0"/>
    <n v="1"/>
    <n v="0"/>
    <x v="710"/>
    <s v="Guadalupe Castillo Rangel"/>
    <x v="1"/>
  </r>
  <r>
    <n v="789"/>
    <n v="83"/>
    <n v="5"/>
    <n v="26.45"/>
    <n v="2.65"/>
    <n v="0"/>
    <n v="0.1"/>
    <s v="ACTIVE"/>
    <m/>
    <s v=""/>
    <m/>
    <d v="2026-01-04T11:57:10"/>
    <d v="2026-01-04T00:00:00"/>
    <x v="3"/>
    <x v="0"/>
    <n v="1"/>
    <n v="0"/>
    <x v="711"/>
    <s v="Sergio Martínez Herrera"/>
    <x v="2"/>
  </r>
  <r>
    <n v="790"/>
    <n v="202"/>
    <n v="3"/>
    <n v="47.16"/>
    <n v="4.72"/>
    <n v="0"/>
    <n v="0.1"/>
    <s v="ACTIVE"/>
    <m/>
    <s v=""/>
    <m/>
    <d v="2026-01-04T12:51:24"/>
    <d v="2026-01-04T00:00:00"/>
    <x v="3"/>
    <x v="0"/>
    <n v="1"/>
    <n v="0"/>
    <x v="712"/>
    <s v="Elena Díaz Reyes"/>
    <x v="0"/>
  </r>
  <r>
    <n v="791"/>
    <n v="27"/>
    <n v="4"/>
    <n v="95.23"/>
    <n v="9.52"/>
    <n v="0"/>
    <n v="0.1"/>
    <s v="ACTIVE"/>
    <m/>
    <s v=""/>
    <m/>
    <d v="2026-01-04T14:25:15"/>
    <d v="2026-01-04T00:00:00"/>
    <x v="3"/>
    <x v="0"/>
    <n v="1"/>
    <n v="0"/>
    <x v="713"/>
    <s v="Alicia Gutiérrez Quiñones"/>
    <x v="3"/>
  </r>
  <r>
    <n v="792"/>
    <n v="39"/>
    <n v="2"/>
    <n v="180.51"/>
    <n v="18.05"/>
    <n v="0"/>
    <n v="0.1"/>
    <s v="ACTIVE"/>
    <m/>
    <s v=""/>
    <m/>
    <d v="2026-01-04T14:27:37"/>
    <d v="2026-01-04T00:00:00"/>
    <x v="3"/>
    <x v="0"/>
    <n v="1"/>
    <n v="0"/>
    <x v="714"/>
    <s v="Guadalupe García Quiñones"/>
    <x v="1"/>
  </r>
  <r>
    <n v="793"/>
    <n v="148"/>
    <n v="4"/>
    <n v="25.39"/>
    <n v="2.54"/>
    <n v="0"/>
    <n v="0.1"/>
    <s v="CANCELED"/>
    <n v="3"/>
    <s v="Cliente canceló la operación"/>
    <d v="2026-01-04T21:44:59"/>
    <d v="2026-01-04T16:44:59"/>
    <d v="2026-01-04T00:00:00"/>
    <x v="3"/>
    <x v="0"/>
    <n v="1"/>
    <n v="1"/>
    <x v="32"/>
    <s v="Isabel Herrera Mendoza"/>
    <x v="3"/>
  </r>
  <r>
    <n v="794"/>
    <n v="245"/>
    <n v="4"/>
    <n v="23.98"/>
    <n v="2.4"/>
    <n v="0"/>
    <n v="0.1"/>
    <s v="CANCELED"/>
    <n v="5"/>
    <s v="Cliente canceló la operación"/>
    <d v="2026-01-06T17:07:22"/>
    <d v="2026-01-05T07:07:22"/>
    <d v="2026-01-05T00:00:00"/>
    <x v="3"/>
    <x v="0"/>
    <n v="1"/>
    <n v="1"/>
    <x v="32"/>
    <s v="Ana González Flores"/>
    <x v="3"/>
  </r>
  <r>
    <n v="795"/>
    <n v="39"/>
    <n v="4"/>
    <n v="168.03"/>
    <n v="16.8"/>
    <n v="0"/>
    <n v="0.1"/>
    <s v="CANCELED"/>
    <n v="2"/>
    <s v="Error de captura"/>
    <d v="2026-01-06T18:06:34"/>
    <d v="2026-01-05T08:06:34"/>
    <d v="2026-01-05T00:00:00"/>
    <x v="3"/>
    <x v="0"/>
    <n v="1"/>
    <n v="1"/>
    <x v="32"/>
    <s v="Guadalupe García Quiñones"/>
    <x v="3"/>
  </r>
  <r>
    <n v="796"/>
    <n v="61"/>
    <n v="4"/>
    <n v="133.01"/>
    <n v="13.3"/>
    <n v="0"/>
    <n v="0.1"/>
    <s v="ACTIVE"/>
    <m/>
    <s v=""/>
    <m/>
    <d v="2026-01-05T09:43:49"/>
    <d v="2026-01-05T00:00:00"/>
    <x v="3"/>
    <x v="0"/>
    <n v="1"/>
    <n v="0"/>
    <x v="715"/>
    <s v="Pedro González Ávila"/>
    <x v="3"/>
  </r>
  <r>
    <n v="797"/>
    <n v="235"/>
    <n v="3"/>
    <n v="19.54"/>
    <n v="1.95"/>
    <n v="0"/>
    <n v="0.1"/>
    <s v="ACTIVE"/>
    <m/>
    <s v=""/>
    <m/>
    <d v="2026-01-05T10:00:33"/>
    <d v="2026-01-05T00:00:00"/>
    <x v="3"/>
    <x v="0"/>
    <n v="1"/>
    <n v="0"/>
    <x v="716"/>
    <s v="Silvia González Rodríguez"/>
    <x v="0"/>
  </r>
  <r>
    <n v="798"/>
    <n v="95"/>
    <n v="5"/>
    <n v="262.43"/>
    <n v="26.24"/>
    <n v="0"/>
    <n v="0.1"/>
    <s v="ACTIVE"/>
    <m/>
    <s v=""/>
    <m/>
    <d v="2026-01-05T11:40:25"/>
    <d v="2026-01-05T00:00:00"/>
    <x v="3"/>
    <x v="0"/>
    <n v="1"/>
    <n v="0"/>
    <x v="717"/>
    <s v="Fernando Jiménez Villalobos"/>
    <x v="2"/>
  </r>
  <r>
    <n v="799"/>
    <n v="247"/>
    <n v="4"/>
    <n v="48.8"/>
    <n v="4.88"/>
    <n v="0"/>
    <n v="0.1"/>
    <s v="ACTIVE"/>
    <m/>
    <s v=""/>
    <m/>
    <d v="2026-01-05T11:47:49"/>
    <d v="2026-01-05T00:00:00"/>
    <x v="3"/>
    <x v="0"/>
    <n v="1"/>
    <n v="0"/>
    <x v="718"/>
    <s v="Patricia Mendoza Ruiz"/>
    <x v="3"/>
  </r>
  <r>
    <n v="800"/>
    <n v="18"/>
    <n v="3"/>
    <n v="136.68"/>
    <n v="13.67"/>
    <n v="0"/>
    <n v="0.1"/>
    <s v="ACTIVE"/>
    <m/>
    <s v=""/>
    <m/>
    <d v="2026-01-05T16:11:28"/>
    <d v="2026-01-05T00:00:00"/>
    <x v="3"/>
    <x v="0"/>
    <n v="1"/>
    <n v="0"/>
    <x v="719"/>
    <s v="Carlos Gómez Ávila"/>
    <x v="0"/>
  </r>
  <r>
    <n v="801"/>
    <n v="241"/>
    <n v="3"/>
    <n v="25.28"/>
    <n v="2.5299999999999998"/>
    <n v="0"/>
    <n v="0.1"/>
    <s v="ACTIVE"/>
    <m/>
    <s v=""/>
    <m/>
    <d v="2026-01-05T16:35:14"/>
    <d v="2026-01-05T00:00:00"/>
    <x v="3"/>
    <x v="0"/>
    <n v="1"/>
    <n v="0"/>
    <x v="720"/>
    <s v="Lucía Cruz Herrera"/>
    <x v="0"/>
  </r>
  <r>
    <n v="802"/>
    <n v="48"/>
    <n v="4"/>
    <n v="44.41"/>
    <n v="4.4400000000000004"/>
    <n v="0"/>
    <n v="0.1"/>
    <s v="ACTIVE"/>
    <m/>
    <s v=""/>
    <m/>
    <d v="2026-01-06T07:21:26"/>
    <d v="2026-01-06T00:00:00"/>
    <x v="3"/>
    <x v="0"/>
    <n v="1"/>
    <n v="0"/>
    <x v="721"/>
    <s v="Carlos Medina Quiñones"/>
    <x v="3"/>
  </r>
  <r>
    <n v="803"/>
    <n v="252"/>
    <n v="4"/>
    <n v="30.09"/>
    <n v="3.01"/>
    <n v="0"/>
    <n v="0.1"/>
    <s v="ACTIVE"/>
    <m/>
    <s v=""/>
    <m/>
    <d v="2026-01-06T08:21:10"/>
    <d v="2026-01-06T00:00:00"/>
    <x v="3"/>
    <x v="0"/>
    <n v="1"/>
    <n v="0"/>
    <x v="722"/>
    <s v="Martha Delgado Mendoza"/>
    <x v="3"/>
  </r>
  <r>
    <n v="804"/>
    <n v="136"/>
    <n v="2"/>
    <n v="67.459999999999994"/>
    <n v="6.75"/>
    <n v="0"/>
    <n v="0.1"/>
    <s v="CANCELED"/>
    <n v="3"/>
    <s v="Monto duplicado por error de sistema"/>
    <d v="2026-01-07T09:41:43"/>
    <d v="2026-01-06T09:41:43"/>
    <d v="2026-01-06T00:00:00"/>
    <x v="3"/>
    <x v="0"/>
    <n v="1"/>
    <n v="1"/>
    <x v="32"/>
    <s v="Guadalupe Castillo Rangel"/>
    <x v="1"/>
  </r>
  <r>
    <n v="805"/>
    <n v="136"/>
    <n v="3"/>
    <n v="69.459999999999994"/>
    <n v="6.95"/>
    <n v="0"/>
    <n v="0.1"/>
    <s v="ACTIVE"/>
    <m/>
    <s v=""/>
    <m/>
    <d v="2026-01-06T10:19:11"/>
    <d v="2026-01-06T00:00:00"/>
    <x v="3"/>
    <x v="0"/>
    <n v="1"/>
    <n v="0"/>
    <x v="723"/>
    <s v="Guadalupe Castillo Rangel"/>
    <x v="0"/>
  </r>
  <r>
    <n v="806"/>
    <n v="97"/>
    <n v="4"/>
    <n v="69.31"/>
    <n v="6.93"/>
    <n v="0"/>
    <n v="0.1"/>
    <s v="ACTIVE"/>
    <m/>
    <s v=""/>
    <m/>
    <d v="2026-01-06T10:25:51"/>
    <d v="2026-01-06T00:00:00"/>
    <x v="3"/>
    <x v="0"/>
    <n v="1"/>
    <n v="0"/>
    <x v="724"/>
    <s v="Alicia Rangel López"/>
    <x v="3"/>
  </r>
  <r>
    <n v="807"/>
    <n v="65"/>
    <n v="2"/>
    <n v="56.56"/>
    <n v="5.66"/>
    <n v="0"/>
    <n v="0.1"/>
    <s v="ACTIVE"/>
    <m/>
    <s v=""/>
    <m/>
    <d v="2026-01-06T10:39:21"/>
    <d v="2026-01-06T00:00:00"/>
    <x v="3"/>
    <x v="0"/>
    <n v="1"/>
    <n v="0"/>
    <x v="725"/>
    <s v="Gabriela Flores Chávez"/>
    <x v="1"/>
  </r>
  <r>
    <n v="808"/>
    <n v="18"/>
    <n v="3"/>
    <n v="92.06"/>
    <n v="9.2100000000000009"/>
    <n v="0"/>
    <n v="0.1"/>
    <s v="ACTIVE"/>
    <m/>
    <s v=""/>
    <m/>
    <d v="2026-01-06T11:06:35"/>
    <d v="2026-01-06T00:00:00"/>
    <x v="3"/>
    <x v="0"/>
    <n v="1"/>
    <n v="0"/>
    <x v="726"/>
    <s v="Carlos Gómez Ávila"/>
    <x v="0"/>
  </r>
  <r>
    <n v="809"/>
    <n v="207"/>
    <n v="3"/>
    <n v="47.26"/>
    <n v="4.7300000000000004"/>
    <n v="0"/>
    <n v="0.1"/>
    <s v="ACTIVE"/>
    <m/>
    <s v=""/>
    <m/>
    <d v="2026-01-06T11:15:33"/>
    <d v="2026-01-06T00:00:00"/>
    <x v="3"/>
    <x v="0"/>
    <n v="1"/>
    <n v="0"/>
    <x v="727"/>
    <s v="Leticia Vázquez Gutiérrez"/>
    <x v="0"/>
  </r>
  <r>
    <n v="810"/>
    <n v="202"/>
    <n v="2"/>
    <n v="29.82"/>
    <n v="2.98"/>
    <n v="0"/>
    <n v="0.1"/>
    <s v="ACTIVE"/>
    <m/>
    <s v=""/>
    <m/>
    <d v="2026-01-06T13:59:30"/>
    <d v="2026-01-06T00:00:00"/>
    <x v="3"/>
    <x v="0"/>
    <n v="1"/>
    <n v="0"/>
    <x v="728"/>
    <s v="Elena Díaz Reyes"/>
    <x v="1"/>
  </r>
  <r>
    <n v="811"/>
    <n v="117"/>
    <n v="4"/>
    <n v="101.13"/>
    <n v="10.11"/>
    <n v="0"/>
    <n v="0.1"/>
    <s v="ACTIVE"/>
    <m/>
    <s v=""/>
    <m/>
    <d v="2026-01-06T15:36:38"/>
    <d v="2026-01-06T00:00:00"/>
    <x v="3"/>
    <x v="0"/>
    <n v="1"/>
    <n v="0"/>
    <x v="729"/>
    <s v="Manuel Ortiz Ramírez"/>
    <x v="3"/>
  </r>
  <r>
    <n v="812"/>
    <n v="58"/>
    <n v="3"/>
    <n v="74.010000000000005"/>
    <n v="7.4"/>
    <n v="0"/>
    <n v="0.1"/>
    <s v="ACTIVE"/>
    <m/>
    <s v=""/>
    <m/>
    <d v="2026-01-06T15:57:41"/>
    <d v="2026-01-06T00:00:00"/>
    <x v="3"/>
    <x v="0"/>
    <n v="1"/>
    <n v="0"/>
    <x v="730"/>
    <s v="Alicia Ruiz Gutiérrez"/>
    <x v="0"/>
  </r>
  <r>
    <n v="813"/>
    <n v="87"/>
    <n v="2"/>
    <n v="39.32"/>
    <n v="3.93"/>
    <n v="0"/>
    <n v="0.1"/>
    <s v="ACTIVE"/>
    <m/>
    <s v=""/>
    <m/>
    <d v="2026-01-06T18:11:10"/>
    <d v="2026-01-06T00:00:00"/>
    <x v="3"/>
    <x v="0"/>
    <n v="1"/>
    <n v="0"/>
    <x v="731"/>
    <s v="Antonio Reyes Romero"/>
    <x v="1"/>
  </r>
  <r>
    <n v="814"/>
    <n v="87"/>
    <n v="5"/>
    <n v="220"/>
    <n v="22"/>
    <n v="0"/>
    <n v="0.1"/>
    <s v="CANCELED"/>
    <n v="3"/>
    <s v="Cliente canceló la operación"/>
    <d v="2026-01-08T00:22:30"/>
    <d v="2026-01-06T18:22:30"/>
    <d v="2026-01-06T00:00:00"/>
    <x v="3"/>
    <x v="0"/>
    <n v="1"/>
    <n v="1"/>
    <x v="32"/>
    <s v="Antonio Reyes Romero"/>
    <x v="2"/>
  </r>
  <r>
    <n v="815"/>
    <n v="151"/>
    <n v="2"/>
    <n v="141.72999999999999"/>
    <n v="14.17"/>
    <n v="0"/>
    <n v="0.1"/>
    <s v="ACTIVE"/>
    <m/>
    <s v=""/>
    <m/>
    <d v="2026-01-06T18:33:42"/>
    <d v="2026-01-06T00:00:00"/>
    <x v="3"/>
    <x v="0"/>
    <n v="1"/>
    <n v="0"/>
    <x v="732"/>
    <s v="Verónica Salazar Ramos"/>
    <x v="1"/>
  </r>
  <r>
    <n v="816"/>
    <n v="59"/>
    <n v="3"/>
    <n v="30.75"/>
    <n v="3.08"/>
    <n v="0"/>
    <n v="0.1"/>
    <s v="ACTIVE"/>
    <m/>
    <s v=""/>
    <m/>
    <d v="2026-01-07T07:04:53"/>
    <d v="2026-01-07T00:00:00"/>
    <x v="3"/>
    <x v="0"/>
    <n v="1"/>
    <n v="0"/>
    <x v="733"/>
    <s v="Daniel Gutiérrez Moreno"/>
    <x v="0"/>
  </r>
  <r>
    <n v="817"/>
    <n v="136"/>
    <n v="3"/>
    <n v="98.84"/>
    <n v="9.8800000000000008"/>
    <n v="0"/>
    <n v="0.1"/>
    <s v="CANCELED"/>
    <n v="4"/>
    <s v="Error de captura"/>
    <d v="2026-01-08T02:42:13"/>
    <d v="2026-01-07T09:42:13"/>
    <d v="2026-01-07T00:00:00"/>
    <x v="3"/>
    <x v="0"/>
    <n v="1"/>
    <n v="1"/>
    <x v="32"/>
    <s v="Guadalupe Castillo Rangel"/>
    <x v="0"/>
  </r>
  <r>
    <n v="818"/>
    <n v="240"/>
    <n v="5"/>
    <n v="231.19"/>
    <n v="23.12"/>
    <n v="0"/>
    <n v="0.1"/>
    <s v="ACTIVE"/>
    <m/>
    <s v=""/>
    <m/>
    <d v="2026-01-07T09:53:15"/>
    <d v="2026-01-07T00:00:00"/>
    <x v="3"/>
    <x v="0"/>
    <n v="1"/>
    <n v="0"/>
    <x v="734"/>
    <s v="Pedro Castillo Quiñones"/>
    <x v="2"/>
  </r>
  <r>
    <n v="819"/>
    <n v="240"/>
    <n v="4"/>
    <n v="119.34"/>
    <n v="11.93"/>
    <n v="0"/>
    <n v="0.1"/>
    <s v="ACTIVE"/>
    <m/>
    <s v=""/>
    <m/>
    <d v="2026-01-07T11:24:10"/>
    <d v="2026-01-07T00:00:00"/>
    <x v="3"/>
    <x v="0"/>
    <n v="1"/>
    <n v="0"/>
    <x v="735"/>
    <s v="Pedro Castillo Quiñones"/>
    <x v="3"/>
  </r>
  <r>
    <n v="820"/>
    <n v="217"/>
    <n v="3"/>
    <n v="28.19"/>
    <n v="2.82"/>
    <n v="0"/>
    <n v="0.1"/>
    <s v="ACTIVE"/>
    <m/>
    <s v=""/>
    <m/>
    <d v="2026-01-07T14:35:57"/>
    <d v="2026-01-07T00:00:00"/>
    <x v="3"/>
    <x v="0"/>
    <n v="1"/>
    <n v="0"/>
    <x v="736"/>
    <s v="Francisco Rangel Rodríguez"/>
    <x v="0"/>
  </r>
  <r>
    <n v="821"/>
    <n v="106"/>
    <n v="2"/>
    <n v="67.680000000000007"/>
    <n v="6.77"/>
    <n v="0"/>
    <n v="0.1"/>
    <s v="ACTIVE"/>
    <m/>
    <s v=""/>
    <m/>
    <d v="2026-01-07T15:21:59"/>
    <d v="2026-01-07T00:00:00"/>
    <x v="3"/>
    <x v="0"/>
    <n v="1"/>
    <n v="0"/>
    <x v="737"/>
    <s v="Isabel García Santoyo"/>
    <x v="1"/>
  </r>
  <r>
    <n v="822"/>
    <n v="16"/>
    <n v="3"/>
    <n v="269.41000000000003"/>
    <n v="26.94"/>
    <n v="0"/>
    <n v="0.1"/>
    <s v="ACTIVE"/>
    <m/>
    <s v=""/>
    <m/>
    <d v="2026-01-07T15:32:06"/>
    <d v="2026-01-07T00:00:00"/>
    <x v="3"/>
    <x v="0"/>
    <n v="1"/>
    <n v="0"/>
    <x v="738"/>
    <s v="Laura Chávez Rangel"/>
    <x v="0"/>
  </r>
  <r>
    <n v="823"/>
    <n v="297"/>
    <n v="4"/>
    <n v="96.45"/>
    <n v="9.65"/>
    <n v="0"/>
    <n v="0.1"/>
    <s v="ACTIVE"/>
    <m/>
    <s v=""/>
    <m/>
    <d v="2026-01-07T15:37:01"/>
    <d v="2026-01-07T00:00:00"/>
    <x v="3"/>
    <x v="0"/>
    <n v="1"/>
    <n v="0"/>
    <x v="739"/>
    <s v="Patricia Ortiz Jiménez"/>
    <x v="3"/>
  </r>
  <r>
    <n v="824"/>
    <n v="87"/>
    <n v="3"/>
    <n v="64.13"/>
    <n v="6.41"/>
    <n v="0"/>
    <n v="0.1"/>
    <s v="ACTIVE"/>
    <m/>
    <s v=""/>
    <m/>
    <d v="2026-01-07T15:56:21"/>
    <d v="2026-01-07T00:00:00"/>
    <x v="3"/>
    <x v="0"/>
    <n v="1"/>
    <n v="0"/>
    <x v="740"/>
    <s v="Antonio Reyes Romero"/>
    <x v="0"/>
  </r>
  <r>
    <n v="825"/>
    <n v="230"/>
    <n v="5"/>
    <n v="203.69"/>
    <n v="20.37"/>
    <n v="0"/>
    <n v="0.1"/>
    <s v="CANCELED"/>
    <n v="5"/>
    <s v="Solicitud del cliente"/>
    <d v="2026-01-08T19:57:43"/>
    <d v="2026-01-07T17:57:43"/>
    <d v="2026-01-07T00:00:00"/>
    <x v="3"/>
    <x v="0"/>
    <n v="1"/>
    <n v="1"/>
    <x v="32"/>
    <s v="Antonio Chávez Quiñones"/>
    <x v="2"/>
  </r>
  <r>
    <n v="826"/>
    <n v="13"/>
    <n v="3"/>
    <n v="40.299999999999997"/>
    <n v="4.03"/>
    <n v="0"/>
    <n v="0.1"/>
    <s v="ACTIVE"/>
    <m/>
    <s v=""/>
    <m/>
    <d v="2026-01-08T07:38:14"/>
    <d v="2026-01-08T00:00:00"/>
    <x v="3"/>
    <x v="0"/>
    <n v="1"/>
    <n v="0"/>
    <x v="741"/>
    <s v="Laura Rodríguez Quiñones"/>
    <x v="0"/>
  </r>
  <r>
    <n v="827"/>
    <n v="136"/>
    <n v="5"/>
    <n v="140.52000000000001"/>
    <n v="14.05"/>
    <n v="0"/>
    <n v="0.1"/>
    <s v="ACTIVE"/>
    <m/>
    <s v=""/>
    <m/>
    <d v="2026-01-08T08:14:02"/>
    <d v="2026-01-08T00:00:00"/>
    <x v="3"/>
    <x v="0"/>
    <n v="1"/>
    <n v="0"/>
    <x v="742"/>
    <s v="Guadalupe Castillo Rangel"/>
    <x v="2"/>
  </r>
  <r>
    <n v="828"/>
    <n v="65"/>
    <n v="4"/>
    <n v="38.39"/>
    <n v="3.84"/>
    <n v="0"/>
    <n v="0.1"/>
    <s v="ACTIVE"/>
    <m/>
    <s v=""/>
    <m/>
    <d v="2026-01-08T09:48:28"/>
    <d v="2026-01-08T00:00:00"/>
    <x v="3"/>
    <x v="0"/>
    <n v="1"/>
    <n v="0"/>
    <x v="508"/>
    <s v="Gabriela Flores Chávez"/>
    <x v="3"/>
  </r>
  <r>
    <n v="829"/>
    <n v="137"/>
    <n v="3"/>
    <n v="34.17"/>
    <n v="3.42"/>
    <n v="0"/>
    <n v="0.1"/>
    <s v="ACTIVE"/>
    <m/>
    <s v=""/>
    <m/>
    <d v="2026-01-08T10:02:44"/>
    <d v="2026-01-08T00:00:00"/>
    <x v="3"/>
    <x v="0"/>
    <n v="1"/>
    <n v="0"/>
    <x v="743"/>
    <s v="Francisco Reyes Ruiz"/>
    <x v="0"/>
  </r>
  <r>
    <n v="830"/>
    <n v="209"/>
    <n v="2"/>
    <n v="234.37"/>
    <n v="23.44"/>
    <n v="0"/>
    <n v="0.1"/>
    <s v="ACTIVE"/>
    <m/>
    <s v=""/>
    <m/>
    <d v="2026-01-08T11:01:55"/>
    <d v="2026-01-08T00:00:00"/>
    <x v="3"/>
    <x v="0"/>
    <n v="1"/>
    <n v="0"/>
    <x v="744"/>
    <s v="Irma Cruz González"/>
    <x v="1"/>
  </r>
  <r>
    <n v="831"/>
    <n v="135"/>
    <n v="3"/>
    <n v="129.75"/>
    <n v="12.98"/>
    <n v="0"/>
    <n v="0.1"/>
    <s v="ACTIVE"/>
    <m/>
    <s v=""/>
    <m/>
    <d v="2026-01-08T11:23:51"/>
    <d v="2026-01-08T00:00:00"/>
    <x v="3"/>
    <x v="0"/>
    <n v="1"/>
    <n v="0"/>
    <x v="745"/>
    <s v="Silvia Quiñones Delgado"/>
    <x v="0"/>
  </r>
  <r>
    <n v="832"/>
    <n v="144"/>
    <n v="2"/>
    <n v="71.67"/>
    <n v="7.17"/>
    <n v="0"/>
    <n v="0.1"/>
    <s v="ACTIVE"/>
    <m/>
    <s v=""/>
    <m/>
    <d v="2026-01-08T12:15:11"/>
    <d v="2026-01-08T00:00:00"/>
    <x v="3"/>
    <x v="0"/>
    <n v="1"/>
    <n v="0"/>
    <x v="746"/>
    <s v="Silvia Sánchez González"/>
    <x v="1"/>
  </r>
  <r>
    <n v="833"/>
    <n v="197"/>
    <n v="3"/>
    <n v="66.03"/>
    <n v="6.6"/>
    <n v="0"/>
    <n v="0.1"/>
    <s v="ACTIVE"/>
    <m/>
    <s v=""/>
    <m/>
    <d v="2026-01-08T12:55:23"/>
    <d v="2026-01-08T00:00:00"/>
    <x v="3"/>
    <x v="0"/>
    <n v="1"/>
    <n v="0"/>
    <x v="747"/>
    <s v="Raúl Hernández Santoyo"/>
    <x v="0"/>
  </r>
  <r>
    <n v="834"/>
    <n v="44"/>
    <n v="4"/>
    <n v="22.86"/>
    <n v="2.29"/>
    <n v="0"/>
    <n v="0.1"/>
    <s v="CANCELED"/>
    <n v="4"/>
    <s v="Monto duplicado por error de sistema"/>
    <d v="2026-01-09T15:13:16"/>
    <d v="2026-01-08T13:13:16"/>
    <d v="2026-01-08T00:00:00"/>
    <x v="3"/>
    <x v="0"/>
    <n v="1"/>
    <n v="1"/>
    <x v="32"/>
    <s v="Pedro Herrera Castillo"/>
    <x v="3"/>
  </r>
  <r>
    <n v="835"/>
    <n v="209"/>
    <n v="5"/>
    <n v="258.8"/>
    <n v="25.88"/>
    <n v="0"/>
    <n v="0.1"/>
    <s v="ACTIVE"/>
    <m/>
    <s v=""/>
    <m/>
    <d v="2026-01-08T16:34:07"/>
    <d v="2026-01-08T00:00:00"/>
    <x v="3"/>
    <x v="0"/>
    <n v="1"/>
    <n v="0"/>
    <x v="748"/>
    <s v="Irma Cruz González"/>
    <x v="2"/>
  </r>
  <r>
    <n v="836"/>
    <n v="297"/>
    <n v="3"/>
    <n v="71.08"/>
    <n v="7.11"/>
    <n v="0"/>
    <n v="0.1"/>
    <s v="ACTIVE"/>
    <m/>
    <s v=""/>
    <m/>
    <d v="2026-01-08T16:41:15"/>
    <d v="2026-01-08T00:00:00"/>
    <x v="3"/>
    <x v="0"/>
    <n v="1"/>
    <n v="0"/>
    <x v="749"/>
    <s v="Patricia Ortiz Jiménez"/>
    <x v="0"/>
  </r>
  <r>
    <n v="837"/>
    <n v="244"/>
    <n v="3"/>
    <n v="124.67"/>
    <n v="12.47"/>
    <n v="0"/>
    <n v="0.1"/>
    <s v="ACTIVE"/>
    <m/>
    <s v=""/>
    <m/>
    <d v="2026-01-08T17:42:23"/>
    <d v="2026-01-08T00:00:00"/>
    <x v="3"/>
    <x v="0"/>
    <n v="1"/>
    <n v="0"/>
    <x v="750"/>
    <s v="Guadalupe Castillo Hernández"/>
    <x v="0"/>
  </r>
  <r>
    <n v="838"/>
    <n v="14"/>
    <n v="2"/>
    <n v="49.35"/>
    <n v="4.9400000000000004"/>
    <n v="0"/>
    <n v="0.1"/>
    <s v="CANCELED"/>
    <n v="2"/>
    <s v="Error de captura"/>
    <d v="2026-01-09T01:36:23"/>
    <d v="2026-01-08T18:36:23"/>
    <d v="2026-01-08T00:00:00"/>
    <x v="3"/>
    <x v="0"/>
    <n v="1"/>
    <n v="1"/>
    <x v="32"/>
    <s v="Patricia Santoyo Reyes"/>
    <x v="1"/>
  </r>
  <r>
    <n v="839"/>
    <n v="186"/>
    <n v="3"/>
    <n v="80.62"/>
    <n v="8.06"/>
    <n v="0"/>
    <n v="0.1"/>
    <s v="ACTIVE"/>
    <m/>
    <s v=""/>
    <m/>
    <d v="2026-01-09T07:28:24"/>
    <d v="2026-01-09T00:00:00"/>
    <x v="3"/>
    <x v="0"/>
    <n v="1"/>
    <n v="0"/>
    <x v="751"/>
    <s v="Héctor Cruz Rodríguez"/>
    <x v="0"/>
  </r>
  <r>
    <n v="840"/>
    <n v="49"/>
    <n v="3"/>
    <n v="104.62"/>
    <n v="10.46"/>
    <n v="0"/>
    <n v="0.1"/>
    <s v="ACTIVE"/>
    <m/>
    <s v=""/>
    <m/>
    <d v="2026-01-09T10:51:06"/>
    <d v="2026-01-09T00:00:00"/>
    <x v="3"/>
    <x v="0"/>
    <n v="1"/>
    <n v="0"/>
    <x v="752"/>
    <s v="José Rodríguez Ortiz"/>
    <x v="0"/>
  </r>
  <r>
    <n v="841"/>
    <n v="106"/>
    <n v="5"/>
    <n v="89.77"/>
    <n v="8.98"/>
    <n v="0"/>
    <n v="0.1"/>
    <s v="ACTIVE"/>
    <m/>
    <s v=""/>
    <m/>
    <d v="2026-01-09T13:10:49"/>
    <d v="2026-01-09T00:00:00"/>
    <x v="3"/>
    <x v="0"/>
    <n v="1"/>
    <n v="0"/>
    <x v="753"/>
    <s v="Isabel García Santoyo"/>
    <x v="2"/>
  </r>
  <r>
    <n v="842"/>
    <n v="11"/>
    <n v="5"/>
    <n v="115.7"/>
    <n v="11.57"/>
    <n v="0"/>
    <n v="0.1"/>
    <s v="ACTIVE"/>
    <m/>
    <s v=""/>
    <m/>
    <d v="2026-01-09T14:12:20"/>
    <d v="2026-01-09T00:00:00"/>
    <x v="3"/>
    <x v="0"/>
    <n v="1"/>
    <n v="0"/>
    <x v="754"/>
    <s v="Guadalupe Pérez Rodríguez"/>
    <x v="2"/>
  </r>
  <r>
    <n v="843"/>
    <n v="80"/>
    <n v="2"/>
    <n v="38.43"/>
    <n v="3.84"/>
    <n v="0"/>
    <n v="0.1"/>
    <s v="ACTIVE"/>
    <m/>
    <s v=""/>
    <m/>
    <d v="2026-01-09T16:10:44"/>
    <d v="2026-01-09T00:00:00"/>
    <x v="3"/>
    <x v="0"/>
    <n v="1"/>
    <n v="0"/>
    <x v="755"/>
    <s v="Juan Sánchez Gutiérrez"/>
    <x v="1"/>
  </r>
  <r>
    <n v="844"/>
    <n v="152"/>
    <n v="2"/>
    <n v="199.12"/>
    <n v="19.91"/>
    <n v="0"/>
    <n v="0.1"/>
    <s v="ACTIVE"/>
    <m/>
    <s v=""/>
    <m/>
    <d v="2026-01-09T16:32:25"/>
    <d v="2026-01-09T00:00:00"/>
    <x v="3"/>
    <x v="0"/>
    <n v="1"/>
    <n v="0"/>
    <x v="756"/>
    <s v="Héctor Rangel González"/>
    <x v="1"/>
  </r>
  <r>
    <n v="845"/>
    <n v="252"/>
    <n v="2"/>
    <n v="39.42"/>
    <n v="3.94"/>
    <n v="0"/>
    <n v="0.1"/>
    <s v="ACTIVE"/>
    <m/>
    <s v=""/>
    <m/>
    <d v="2026-01-09T16:32:32"/>
    <d v="2026-01-09T00:00:00"/>
    <x v="3"/>
    <x v="0"/>
    <n v="1"/>
    <n v="0"/>
    <x v="757"/>
    <s v="Martha Delgado Mendoza"/>
    <x v="1"/>
  </r>
  <r>
    <n v="846"/>
    <n v="12"/>
    <n v="5"/>
    <n v="39.99"/>
    <n v="4"/>
    <n v="0"/>
    <n v="0.1"/>
    <s v="CANCELED"/>
    <n v="2"/>
    <s v="Cliente canceló la operación"/>
    <d v="2026-01-10T16:10:45"/>
    <d v="2026-01-10T08:10:45"/>
    <d v="2026-01-10T00:00:00"/>
    <x v="3"/>
    <x v="0"/>
    <n v="1"/>
    <n v="1"/>
    <x v="32"/>
    <s v="Rosa Gutiérrez Martínez"/>
    <x v="2"/>
  </r>
  <r>
    <n v="847"/>
    <n v="244"/>
    <n v="5"/>
    <n v="76.31"/>
    <n v="7.63"/>
    <n v="0"/>
    <n v="0.1"/>
    <s v="ACTIVE"/>
    <m/>
    <s v=""/>
    <m/>
    <d v="2026-01-10T08:17:17"/>
    <d v="2026-01-10T00:00:00"/>
    <x v="3"/>
    <x v="0"/>
    <n v="1"/>
    <n v="0"/>
    <x v="758"/>
    <s v="Guadalupe Castillo Hernández"/>
    <x v="2"/>
  </r>
  <r>
    <n v="848"/>
    <n v="304"/>
    <n v="5"/>
    <n v="53.27"/>
    <n v="5.33"/>
    <n v="0"/>
    <n v="0.1"/>
    <s v="ACTIVE"/>
    <m/>
    <s v=""/>
    <m/>
    <d v="2026-01-10T08:24:21"/>
    <d v="2026-01-10T00:00:00"/>
    <x v="3"/>
    <x v="0"/>
    <n v="1"/>
    <n v="0"/>
    <x v="759"/>
    <s v="Leticia González Sánchez"/>
    <x v="2"/>
  </r>
  <r>
    <n v="849"/>
    <n v="8"/>
    <n v="2"/>
    <n v="27.77"/>
    <n v="2.78"/>
    <n v="0"/>
    <n v="0.1"/>
    <s v="ACTIVE"/>
    <m/>
    <s v=""/>
    <m/>
    <d v="2026-01-10T09:02:19"/>
    <d v="2026-01-10T00:00:00"/>
    <x v="3"/>
    <x v="0"/>
    <n v="1"/>
    <n v="0"/>
    <x v="760"/>
    <s v="Javier Zacatecas García"/>
    <x v="1"/>
  </r>
  <r>
    <n v="850"/>
    <n v="117"/>
    <n v="3"/>
    <n v="60.12"/>
    <n v="0"/>
    <n v="1"/>
    <n v="0.1"/>
    <s v="CANCELED"/>
    <n v="2"/>
    <s v="Solicitud del cliente"/>
    <d v="2026-01-12T07:37:15"/>
    <d v="2026-01-10T10:37:15"/>
    <d v="2026-01-10T00:00:00"/>
    <x v="3"/>
    <x v="1"/>
    <n v="1"/>
    <n v="1"/>
    <x v="32"/>
    <s v="Manuel Ortiz Ramírez"/>
    <x v="0"/>
  </r>
  <r>
    <n v="851"/>
    <n v="29"/>
    <n v="3"/>
    <n v="22.7"/>
    <n v="2.27"/>
    <n v="0"/>
    <n v="0.1"/>
    <s v="ACTIVE"/>
    <m/>
    <s v=""/>
    <m/>
    <d v="2026-01-10T11:59:18"/>
    <d v="2026-01-10T00:00:00"/>
    <x v="3"/>
    <x v="0"/>
    <n v="1"/>
    <n v="0"/>
    <x v="761"/>
    <s v="Héctor Herrera Gómez"/>
    <x v="0"/>
  </r>
  <r>
    <n v="852"/>
    <n v="39"/>
    <n v="5"/>
    <n v="134.28"/>
    <n v="0"/>
    <n v="1"/>
    <n v="0.1"/>
    <s v="ACTIVE"/>
    <m/>
    <s v=""/>
    <m/>
    <d v="2026-01-10T12:24:17"/>
    <d v="2026-01-10T00:00:00"/>
    <x v="3"/>
    <x v="1"/>
    <n v="1"/>
    <n v="0"/>
    <x v="762"/>
    <s v="Guadalupe García Quiñones"/>
    <x v="2"/>
  </r>
  <r>
    <n v="853"/>
    <n v="18"/>
    <n v="4"/>
    <n v="162.28"/>
    <n v="16.23"/>
    <n v="0"/>
    <n v="0.1"/>
    <s v="ACTIVE"/>
    <m/>
    <s v=""/>
    <m/>
    <d v="2026-01-10T13:27:04"/>
    <d v="2026-01-10T00:00:00"/>
    <x v="3"/>
    <x v="0"/>
    <n v="1"/>
    <n v="0"/>
    <x v="763"/>
    <s v="Carlos Gómez Ávila"/>
    <x v="3"/>
  </r>
  <r>
    <n v="854"/>
    <n v="244"/>
    <n v="3"/>
    <n v="141.41"/>
    <n v="14.14"/>
    <n v="0"/>
    <n v="0.1"/>
    <s v="ACTIVE"/>
    <m/>
    <s v=""/>
    <m/>
    <d v="2026-01-10T14:56:51"/>
    <d v="2026-01-10T00:00:00"/>
    <x v="3"/>
    <x v="0"/>
    <n v="1"/>
    <n v="0"/>
    <x v="764"/>
    <s v="Guadalupe Castillo Hernández"/>
    <x v="0"/>
  </r>
  <r>
    <n v="855"/>
    <n v="247"/>
    <n v="4"/>
    <n v="41.29"/>
    <n v="4.13"/>
    <n v="0"/>
    <n v="0.1"/>
    <s v="CANCELED"/>
    <n v="4"/>
    <s v="Monto duplicado por error de sistema"/>
    <d v="2026-01-11T02:31:09"/>
    <d v="2026-01-10T15:31:09"/>
    <d v="2026-01-10T00:00:00"/>
    <x v="3"/>
    <x v="0"/>
    <n v="1"/>
    <n v="1"/>
    <x v="32"/>
    <s v="Patricia Mendoza Ruiz"/>
    <x v="3"/>
  </r>
  <r>
    <n v="856"/>
    <n v="34"/>
    <n v="3"/>
    <n v="221.42"/>
    <n v="22.14"/>
    <n v="0"/>
    <n v="0.1"/>
    <s v="ACTIVE"/>
    <m/>
    <s v=""/>
    <m/>
    <d v="2026-01-10T15:44:55"/>
    <d v="2026-01-10T00:00:00"/>
    <x v="3"/>
    <x v="0"/>
    <n v="1"/>
    <n v="0"/>
    <x v="765"/>
    <s v="Lucía Rodríguez Rodríguez"/>
    <x v="0"/>
  </r>
  <r>
    <n v="857"/>
    <n v="148"/>
    <n v="3"/>
    <n v="38.229999999999997"/>
    <n v="3.82"/>
    <n v="0"/>
    <n v="0.1"/>
    <s v="ACTIVE"/>
    <m/>
    <s v=""/>
    <m/>
    <d v="2026-01-10T17:02:39"/>
    <d v="2026-01-10T00:00:00"/>
    <x v="3"/>
    <x v="0"/>
    <n v="1"/>
    <n v="0"/>
    <x v="766"/>
    <s v="Isabel Herrera Mendoza"/>
    <x v="0"/>
  </r>
  <r>
    <n v="858"/>
    <n v="152"/>
    <n v="5"/>
    <n v="220.28"/>
    <n v="22.03"/>
    <n v="0"/>
    <n v="0.1"/>
    <s v="ACTIVE"/>
    <m/>
    <s v=""/>
    <m/>
    <d v="2026-01-10T17:08:14"/>
    <d v="2026-01-10T00:00:00"/>
    <x v="3"/>
    <x v="0"/>
    <n v="1"/>
    <n v="0"/>
    <x v="767"/>
    <s v="Héctor Rangel González"/>
    <x v="2"/>
  </r>
  <r>
    <n v="859"/>
    <n v="87"/>
    <n v="2"/>
    <n v="78.5"/>
    <n v="7.85"/>
    <n v="0"/>
    <n v="0.1"/>
    <s v="ACTIVE"/>
    <m/>
    <s v=""/>
    <m/>
    <d v="2026-01-10T18:25:18"/>
    <d v="2026-01-10T00:00:00"/>
    <x v="3"/>
    <x v="0"/>
    <n v="1"/>
    <n v="0"/>
    <x v="768"/>
    <s v="Antonio Reyes Romero"/>
    <x v="1"/>
  </r>
  <r>
    <n v="860"/>
    <n v="96"/>
    <n v="3"/>
    <n v="121.98"/>
    <n v="12.2"/>
    <n v="0"/>
    <n v="0.1"/>
    <s v="ACTIVE"/>
    <m/>
    <s v=""/>
    <m/>
    <d v="2026-01-11T08:29:29"/>
    <d v="2026-01-11T00:00:00"/>
    <x v="3"/>
    <x v="0"/>
    <n v="1"/>
    <n v="0"/>
    <x v="769"/>
    <s v="José Pérez Herrera"/>
    <x v="0"/>
  </r>
  <r>
    <n v="861"/>
    <n v="39"/>
    <n v="2"/>
    <n v="137.87"/>
    <n v="13.79"/>
    <n v="0"/>
    <n v="0.1"/>
    <s v="ACTIVE"/>
    <m/>
    <s v=""/>
    <m/>
    <d v="2026-01-11T10:05:04"/>
    <d v="2026-01-11T00:00:00"/>
    <x v="3"/>
    <x v="0"/>
    <n v="1"/>
    <n v="0"/>
    <x v="770"/>
    <s v="Guadalupe García Quiñones"/>
    <x v="1"/>
  </r>
  <r>
    <n v="862"/>
    <n v="64"/>
    <n v="4"/>
    <n v="39.68"/>
    <n v="3.97"/>
    <n v="0"/>
    <n v="0.1"/>
    <s v="ACTIVE"/>
    <m/>
    <s v=""/>
    <m/>
    <d v="2026-01-11T10:26:15"/>
    <d v="2026-01-11T00:00:00"/>
    <x v="3"/>
    <x v="0"/>
    <n v="1"/>
    <n v="0"/>
    <x v="771"/>
    <s v="Óscar Pérez Ramírez"/>
    <x v="3"/>
  </r>
  <r>
    <n v="863"/>
    <n v="24"/>
    <n v="2"/>
    <n v="300"/>
    <n v="30"/>
    <n v="0"/>
    <n v="0.1"/>
    <s v="ACTIVE"/>
    <m/>
    <s v=""/>
    <m/>
    <d v="2026-01-11T16:30:14"/>
    <d v="2026-01-11T00:00:00"/>
    <x v="3"/>
    <x v="0"/>
    <n v="1"/>
    <n v="0"/>
    <x v="74"/>
    <s v="Isabel Moreno Vázquez"/>
    <x v="1"/>
  </r>
  <r>
    <n v="864"/>
    <n v="40"/>
    <n v="4"/>
    <n v="90.27"/>
    <n v="9.0299999999999994"/>
    <n v="0"/>
    <n v="0.1"/>
    <s v="ACTIVE"/>
    <m/>
    <s v=""/>
    <m/>
    <d v="2026-01-11T16:57:34"/>
    <d v="2026-01-11T00:00:00"/>
    <x v="3"/>
    <x v="0"/>
    <n v="1"/>
    <n v="0"/>
    <x v="772"/>
    <s v="Carlos López Cruz"/>
    <x v="3"/>
  </r>
  <r>
    <n v="865"/>
    <n v="287"/>
    <n v="4"/>
    <n v="23.05"/>
    <n v="2.31"/>
    <n v="0"/>
    <n v="0.1"/>
    <s v="ACTIVE"/>
    <m/>
    <s v=""/>
    <m/>
    <d v="2026-01-12T07:37:40"/>
    <d v="2026-01-12T00:00:00"/>
    <x v="3"/>
    <x v="0"/>
    <n v="1"/>
    <n v="0"/>
    <x v="773"/>
    <s v="Irma Gómez Medina"/>
    <x v="3"/>
  </r>
  <r>
    <n v="866"/>
    <n v="300"/>
    <n v="5"/>
    <n v="113.09"/>
    <n v="11.31"/>
    <n v="0"/>
    <n v="0.1"/>
    <s v="ACTIVE"/>
    <m/>
    <s v=""/>
    <m/>
    <d v="2026-01-12T08:28:38"/>
    <d v="2026-01-12T00:00:00"/>
    <x v="3"/>
    <x v="0"/>
    <n v="1"/>
    <n v="0"/>
    <x v="774"/>
    <s v="Antonio Salazar Medina"/>
    <x v="2"/>
  </r>
  <r>
    <n v="867"/>
    <n v="51"/>
    <n v="4"/>
    <n v="126"/>
    <n v="12.6"/>
    <n v="0"/>
    <n v="0.1"/>
    <s v="ACTIVE"/>
    <m/>
    <s v=""/>
    <m/>
    <d v="2026-01-12T08:38:54"/>
    <d v="2026-01-12T00:00:00"/>
    <x v="3"/>
    <x v="0"/>
    <n v="1"/>
    <n v="0"/>
    <x v="775"/>
    <s v="Sergio Rangel Ramos"/>
    <x v="3"/>
  </r>
  <r>
    <n v="868"/>
    <n v="137"/>
    <n v="2"/>
    <n v="41.13"/>
    <n v="4.1100000000000003"/>
    <n v="0"/>
    <n v="0.1"/>
    <s v="ACTIVE"/>
    <m/>
    <s v=""/>
    <m/>
    <d v="2026-01-12T11:10:54"/>
    <d v="2026-01-12T00:00:00"/>
    <x v="3"/>
    <x v="0"/>
    <n v="1"/>
    <n v="0"/>
    <x v="776"/>
    <s v="Francisco Reyes Ruiz"/>
    <x v="1"/>
  </r>
  <r>
    <n v="869"/>
    <n v="138"/>
    <n v="3"/>
    <n v="29.07"/>
    <n v="2.91"/>
    <n v="0"/>
    <n v="0.1"/>
    <s v="ACTIVE"/>
    <m/>
    <s v=""/>
    <m/>
    <d v="2026-01-12T13:04:13"/>
    <d v="2026-01-12T00:00:00"/>
    <x v="3"/>
    <x v="0"/>
    <n v="1"/>
    <n v="0"/>
    <x v="777"/>
    <s v="Alejandro Reyes Morales"/>
    <x v="0"/>
  </r>
  <r>
    <n v="870"/>
    <n v="31"/>
    <n v="2"/>
    <n v="25.99"/>
    <n v="2.6"/>
    <n v="0"/>
    <n v="0.1"/>
    <s v="ACTIVE"/>
    <m/>
    <s v=""/>
    <m/>
    <d v="2026-01-12T14:06:48"/>
    <d v="2026-01-12T00:00:00"/>
    <x v="3"/>
    <x v="0"/>
    <n v="1"/>
    <n v="0"/>
    <x v="778"/>
    <s v="Óscar Zacatecas Reyes"/>
    <x v="1"/>
  </r>
  <r>
    <n v="871"/>
    <n v="240"/>
    <n v="2"/>
    <n v="160.68"/>
    <n v="16.07"/>
    <n v="0"/>
    <n v="0.1"/>
    <s v="ACTIVE"/>
    <m/>
    <s v=""/>
    <m/>
    <d v="2026-01-12T14:08:33"/>
    <d v="2026-01-12T00:00:00"/>
    <x v="3"/>
    <x v="0"/>
    <n v="1"/>
    <n v="0"/>
    <x v="779"/>
    <s v="Pedro Castillo Quiñones"/>
    <x v="1"/>
  </r>
  <r>
    <n v="872"/>
    <n v="293"/>
    <n v="5"/>
    <n v="30.18"/>
    <n v="3.02"/>
    <n v="0"/>
    <n v="0.1"/>
    <s v="ACTIVE"/>
    <m/>
    <s v=""/>
    <m/>
    <d v="2026-01-12T14:19:43"/>
    <d v="2026-01-12T00:00:00"/>
    <x v="3"/>
    <x v="0"/>
    <n v="1"/>
    <n v="0"/>
    <x v="780"/>
    <s v="Patricia Quiñones Pérez"/>
    <x v="2"/>
  </r>
  <r>
    <n v="873"/>
    <n v="155"/>
    <n v="2"/>
    <n v="69.39"/>
    <n v="6.94"/>
    <n v="0"/>
    <n v="0.1"/>
    <s v="ACTIVE"/>
    <m/>
    <s v=""/>
    <m/>
    <d v="2026-01-12T15:43:27"/>
    <d v="2026-01-12T00:00:00"/>
    <x v="3"/>
    <x v="0"/>
    <n v="1"/>
    <n v="0"/>
    <x v="781"/>
    <s v="Óscar Santoyo Ramos"/>
    <x v="1"/>
  </r>
  <r>
    <n v="874"/>
    <n v="297"/>
    <n v="5"/>
    <n v="56.32"/>
    <n v="5.63"/>
    <n v="0"/>
    <n v="0.1"/>
    <s v="ACTIVE"/>
    <m/>
    <s v=""/>
    <m/>
    <d v="2026-01-12T15:54:36"/>
    <d v="2026-01-12T00:00:00"/>
    <x v="3"/>
    <x v="0"/>
    <n v="1"/>
    <n v="0"/>
    <x v="782"/>
    <s v="Patricia Ortiz Jiménez"/>
    <x v="2"/>
  </r>
  <r>
    <n v="875"/>
    <n v="265"/>
    <n v="4"/>
    <n v="124.32"/>
    <n v="12.43"/>
    <n v="0"/>
    <n v="0.1"/>
    <s v="ACTIVE"/>
    <m/>
    <s v=""/>
    <m/>
    <d v="2026-01-12T16:48:42"/>
    <d v="2026-01-12T00:00:00"/>
    <x v="3"/>
    <x v="0"/>
    <n v="1"/>
    <n v="0"/>
    <x v="783"/>
    <s v="Alejandro Flores González"/>
    <x v="3"/>
  </r>
  <r>
    <n v="876"/>
    <n v="39"/>
    <n v="4"/>
    <n v="175.53"/>
    <n v="17.55"/>
    <n v="0"/>
    <n v="0.1"/>
    <s v="ACTIVE"/>
    <m/>
    <s v=""/>
    <m/>
    <d v="2026-01-12T17:26:16"/>
    <d v="2026-01-12T00:00:00"/>
    <x v="3"/>
    <x v="0"/>
    <n v="1"/>
    <n v="0"/>
    <x v="784"/>
    <s v="Guadalupe García Quiñones"/>
    <x v="3"/>
  </r>
  <r>
    <n v="877"/>
    <n v="192"/>
    <n v="5"/>
    <n v="63.37"/>
    <n v="6.34"/>
    <n v="0"/>
    <n v="0.1"/>
    <s v="ACTIVE"/>
    <m/>
    <s v=""/>
    <m/>
    <d v="2026-01-12T18:27:37"/>
    <d v="2026-01-12T00:00:00"/>
    <x v="3"/>
    <x v="0"/>
    <n v="1"/>
    <n v="0"/>
    <x v="785"/>
    <s v="Leticia Gutiérrez Hernández"/>
    <x v="2"/>
  </r>
  <r>
    <n v="878"/>
    <n v="136"/>
    <n v="2"/>
    <n v="88.82"/>
    <n v="8.8800000000000008"/>
    <n v="0"/>
    <n v="0.1"/>
    <s v="CANCELED"/>
    <n v="5"/>
    <s v="Monto duplicado por error de sistema"/>
    <d v="2026-01-13T19:38:32"/>
    <d v="2026-01-13T07:38:32"/>
    <d v="2026-01-13T00:00:00"/>
    <x v="3"/>
    <x v="0"/>
    <n v="1"/>
    <n v="1"/>
    <x v="32"/>
    <s v="Guadalupe Castillo Rangel"/>
    <x v="1"/>
  </r>
  <r>
    <n v="879"/>
    <n v="234"/>
    <n v="2"/>
    <n v="271.67"/>
    <n v="27.17"/>
    <n v="0"/>
    <n v="0.1"/>
    <s v="ACTIVE"/>
    <m/>
    <s v=""/>
    <m/>
    <d v="2026-01-13T08:23:29"/>
    <d v="2026-01-13T00:00:00"/>
    <x v="3"/>
    <x v="0"/>
    <n v="1"/>
    <n v="0"/>
    <x v="786"/>
    <s v="Carmen Ruiz Gutiérrez"/>
    <x v="1"/>
  </r>
  <r>
    <n v="880"/>
    <n v="241"/>
    <n v="3"/>
    <n v="27.59"/>
    <n v="2.76"/>
    <n v="0"/>
    <n v="0.1"/>
    <s v="ACTIVE"/>
    <m/>
    <s v=""/>
    <m/>
    <d v="2026-01-13T08:32:04"/>
    <d v="2026-01-13T00:00:00"/>
    <x v="3"/>
    <x v="0"/>
    <n v="1"/>
    <n v="0"/>
    <x v="787"/>
    <s v="Lucía Cruz Herrera"/>
    <x v="0"/>
  </r>
  <r>
    <n v="881"/>
    <n v="262"/>
    <n v="5"/>
    <n v="111.35"/>
    <n v="11.14"/>
    <n v="0"/>
    <n v="0.1"/>
    <s v="ACTIVE"/>
    <m/>
    <s v=""/>
    <m/>
    <d v="2026-01-13T09:18:39"/>
    <d v="2026-01-13T00:00:00"/>
    <x v="3"/>
    <x v="0"/>
    <n v="1"/>
    <n v="0"/>
    <x v="788"/>
    <s v="Guadalupe Cruz Aguilar"/>
    <x v="2"/>
  </r>
  <r>
    <n v="882"/>
    <n v="101"/>
    <n v="4"/>
    <n v="28.55"/>
    <n v="2.86"/>
    <n v="0"/>
    <n v="0.1"/>
    <s v="ACTIVE"/>
    <m/>
    <s v=""/>
    <m/>
    <d v="2026-01-13T10:05:26"/>
    <d v="2026-01-13T00:00:00"/>
    <x v="3"/>
    <x v="0"/>
    <n v="1"/>
    <n v="0"/>
    <x v="789"/>
    <s v="Raúl Delgado Villalobos"/>
    <x v="3"/>
  </r>
  <r>
    <n v="883"/>
    <n v="39"/>
    <n v="3"/>
    <n v="300"/>
    <n v="30"/>
    <n v="0"/>
    <n v="0.1"/>
    <s v="ACTIVE"/>
    <m/>
    <s v=""/>
    <m/>
    <d v="2026-01-13T12:14:56"/>
    <d v="2026-01-13T00:00:00"/>
    <x v="3"/>
    <x v="0"/>
    <n v="1"/>
    <n v="0"/>
    <x v="74"/>
    <s v="Guadalupe García Quiñones"/>
    <x v="0"/>
  </r>
  <r>
    <n v="884"/>
    <n v="255"/>
    <n v="5"/>
    <n v="28.62"/>
    <n v="2.86"/>
    <n v="0"/>
    <n v="0.1"/>
    <s v="ACTIVE"/>
    <m/>
    <s v=""/>
    <m/>
    <d v="2026-01-13T13:20:59"/>
    <d v="2026-01-13T00:00:00"/>
    <x v="3"/>
    <x v="0"/>
    <n v="1"/>
    <n v="0"/>
    <x v="321"/>
    <s v="Carmen Díaz Ramírez"/>
    <x v="2"/>
  </r>
  <r>
    <n v="885"/>
    <n v="39"/>
    <n v="5"/>
    <n v="300"/>
    <n v="30"/>
    <n v="0"/>
    <n v="0.1"/>
    <s v="ACTIVE"/>
    <m/>
    <s v=""/>
    <m/>
    <d v="2026-01-13T14:09:55"/>
    <d v="2026-01-13T00:00:00"/>
    <x v="3"/>
    <x v="0"/>
    <n v="1"/>
    <n v="0"/>
    <x v="74"/>
    <s v="Guadalupe García Quiñones"/>
    <x v="2"/>
  </r>
  <r>
    <n v="886"/>
    <n v="249"/>
    <n v="2"/>
    <n v="137.31"/>
    <n v="13.73"/>
    <n v="0"/>
    <n v="0.1"/>
    <s v="ACTIVE"/>
    <m/>
    <s v=""/>
    <m/>
    <d v="2026-01-13T16:24:16"/>
    <d v="2026-01-13T00:00:00"/>
    <x v="3"/>
    <x v="0"/>
    <n v="1"/>
    <n v="0"/>
    <x v="790"/>
    <s v="Jorge Chávez Medina"/>
    <x v="1"/>
  </r>
  <r>
    <n v="887"/>
    <n v="64"/>
    <n v="3"/>
    <n v="15.9"/>
    <n v="1.59"/>
    <n v="0"/>
    <n v="0.1"/>
    <s v="ACTIVE"/>
    <m/>
    <s v=""/>
    <m/>
    <d v="2026-01-13T16:24:43"/>
    <d v="2026-01-13T00:00:00"/>
    <x v="3"/>
    <x v="0"/>
    <n v="1"/>
    <n v="0"/>
    <x v="791"/>
    <s v="Óscar Pérez Ramírez"/>
    <x v="0"/>
  </r>
  <r>
    <n v="888"/>
    <n v="14"/>
    <n v="4"/>
    <n v="32.270000000000003"/>
    <n v="3.23"/>
    <n v="0"/>
    <n v="0.1"/>
    <s v="ACTIVE"/>
    <m/>
    <s v=""/>
    <m/>
    <d v="2026-01-13T16:27:38"/>
    <d v="2026-01-13T00:00:00"/>
    <x v="3"/>
    <x v="0"/>
    <n v="1"/>
    <n v="0"/>
    <x v="792"/>
    <s v="Patricia Santoyo Reyes"/>
    <x v="3"/>
  </r>
  <r>
    <n v="889"/>
    <n v="156"/>
    <n v="2"/>
    <n v="45.11"/>
    <n v="4.51"/>
    <n v="0"/>
    <n v="0.1"/>
    <s v="ACTIVE"/>
    <m/>
    <s v=""/>
    <m/>
    <d v="2026-01-13T19:44:35"/>
    <d v="2026-01-13T00:00:00"/>
    <x v="3"/>
    <x v="0"/>
    <n v="1"/>
    <n v="0"/>
    <x v="686"/>
    <s v="Óscar Moreno Chávez"/>
    <x v="1"/>
  </r>
  <r>
    <n v="890"/>
    <n v="48"/>
    <n v="4"/>
    <n v="84.38"/>
    <n v="8.44"/>
    <n v="0"/>
    <n v="0.1"/>
    <s v="ACTIVE"/>
    <m/>
    <s v=""/>
    <m/>
    <d v="2026-01-14T07:59:22"/>
    <d v="2026-01-14T00:00:00"/>
    <x v="3"/>
    <x v="0"/>
    <n v="1"/>
    <n v="0"/>
    <x v="793"/>
    <s v="Carlos Medina Quiñones"/>
    <x v="3"/>
  </r>
  <r>
    <n v="891"/>
    <n v="28"/>
    <n v="5"/>
    <n v="29.99"/>
    <n v="3"/>
    <n v="0"/>
    <n v="0.1"/>
    <s v="ACTIVE"/>
    <m/>
    <s v=""/>
    <m/>
    <d v="2026-01-14T08:37:01"/>
    <d v="2026-01-14T00:00:00"/>
    <x v="3"/>
    <x v="0"/>
    <n v="1"/>
    <n v="0"/>
    <x v="794"/>
    <s v="Francisco Ávila Chávez"/>
    <x v="2"/>
  </r>
  <r>
    <n v="892"/>
    <n v="288"/>
    <n v="2"/>
    <n v="43.83"/>
    <n v="4.38"/>
    <n v="0"/>
    <n v="0.1"/>
    <s v="ACTIVE"/>
    <m/>
    <s v=""/>
    <m/>
    <d v="2026-01-14T09:35:02"/>
    <d v="2026-01-14T00:00:00"/>
    <x v="3"/>
    <x v="0"/>
    <n v="1"/>
    <n v="0"/>
    <x v="795"/>
    <s v="Daniel Medina Ramos"/>
    <x v="1"/>
  </r>
  <r>
    <n v="893"/>
    <n v="202"/>
    <n v="4"/>
    <n v="23.16"/>
    <n v="2.3199999999999998"/>
    <n v="0"/>
    <n v="0.1"/>
    <s v="ACTIVE"/>
    <m/>
    <s v=""/>
    <m/>
    <d v="2026-01-14T09:37:58"/>
    <d v="2026-01-14T00:00:00"/>
    <x v="3"/>
    <x v="0"/>
    <n v="1"/>
    <n v="0"/>
    <x v="796"/>
    <s v="Elena Díaz Reyes"/>
    <x v="3"/>
  </r>
  <r>
    <n v="894"/>
    <n v="255"/>
    <n v="3"/>
    <n v="29.01"/>
    <n v="2.9"/>
    <n v="0"/>
    <n v="0.1"/>
    <s v="ACTIVE"/>
    <m/>
    <s v=""/>
    <m/>
    <d v="2026-01-14T09:39:28"/>
    <d v="2026-01-14T00:00:00"/>
    <x v="3"/>
    <x v="0"/>
    <n v="1"/>
    <n v="0"/>
    <x v="797"/>
    <s v="Carmen Díaz Ramírez"/>
    <x v="0"/>
  </r>
  <r>
    <n v="895"/>
    <n v="89"/>
    <n v="3"/>
    <n v="177.85"/>
    <n v="17.79"/>
    <n v="0"/>
    <n v="0.1"/>
    <s v="ACTIVE"/>
    <m/>
    <s v=""/>
    <m/>
    <d v="2026-01-14T12:50:40"/>
    <d v="2026-01-14T00:00:00"/>
    <x v="3"/>
    <x v="0"/>
    <n v="1"/>
    <n v="0"/>
    <x v="798"/>
    <s v="Héctor Morales Herrera"/>
    <x v="0"/>
  </r>
  <r>
    <n v="896"/>
    <n v="87"/>
    <n v="4"/>
    <n v="110.32"/>
    <n v="11.03"/>
    <n v="0"/>
    <n v="0.1"/>
    <s v="ACTIVE"/>
    <m/>
    <s v=""/>
    <m/>
    <d v="2026-01-14T14:25:27"/>
    <d v="2026-01-14T00:00:00"/>
    <x v="3"/>
    <x v="0"/>
    <n v="1"/>
    <n v="0"/>
    <x v="799"/>
    <s v="Antonio Reyes Romero"/>
    <x v="3"/>
  </r>
  <r>
    <n v="897"/>
    <n v="264"/>
    <n v="2"/>
    <n v="171.38"/>
    <n v="17.14"/>
    <n v="0"/>
    <n v="0.1"/>
    <s v="ACTIVE"/>
    <m/>
    <s v=""/>
    <m/>
    <d v="2026-01-14T15:56:17"/>
    <d v="2026-01-14T00:00:00"/>
    <x v="3"/>
    <x v="0"/>
    <n v="1"/>
    <n v="0"/>
    <x v="800"/>
    <s v="Rosa Flores Ortiz"/>
    <x v="1"/>
  </r>
  <r>
    <n v="898"/>
    <n v="113"/>
    <n v="4"/>
    <n v="21.86"/>
    <n v="2.19"/>
    <n v="0"/>
    <n v="0.1"/>
    <s v="ACTIVE"/>
    <m/>
    <s v=""/>
    <m/>
    <d v="2026-01-14T17:13:36"/>
    <d v="2026-01-14T00:00:00"/>
    <x v="3"/>
    <x v="0"/>
    <n v="1"/>
    <n v="0"/>
    <x v="801"/>
    <s v="Leticia Ruiz Aguilar"/>
    <x v="3"/>
  </r>
  <r>
    <n v="899"/>
    <n v="136"/>
    <n v="5"/>
    <n v="121.45"/>
    <n v="12.15"/>
    <n v="0"/>
    <n v="0.1"/>
    <s v="ACTIVE"/>
    <m/>
    <s v=""/>
    <m/>
    <d v="2026-01-15T08:56:12"/>
    <d v="2026-01-15T00:00:00"/>
    <x v="3"/>
    <x v="0"/>
    <n v="1"/>
    <n v="0"/>
    <x v="802"/>
    <s v="Guadalupe Castillo Rangel"/>
    <x v="2"/>
  </r>
  <r>
    <n v="900"/>
    <n v="6"/>
    <n v="5"/>
    <n v="21.9"/>
    <n v="2.19"/>
    <n v="0"/>
    <n v="0.1"/>
    <s v="ACTIVE"/>
    <m/>
    <s v=""/>
    <m/>
    <d v="2026-01-15T09:23:29"/>
    <d v="2026-01-15T00:00:00"/>
    <x v="3"/>
    <x v="0"/>
    <n v="1"/>
    <n v="0"/>
    <x v="69"/>
    <s v="Raúl Ortiz Cruz"/>
    <x v="2"/>
  </r>
  <r>
    <n v="901"/>
    <n v="39"/>
    <n v="5"/>
    <n v="222.39"/>
    <n v="22.24"/>
    <n v="0"/>
    <n v="0.1"/>
    <s v="ACTIVE"/>
    <m/>
    <s v=""/>
    <m/>
    <d v="2026-01-15T09:43:04"/>
    <d v="2026-01-15T00:00:00"/>
    <x v="3"/>
    <x v="0"/>
    <n v="1"/>
    <n v="0"/>
    <x v="803"/>
    <s v="Guadalupe García Quiñones"/>
    <x v="2"/>
  </r>
  <r>
    <n v="902"/>
    <n v="137"/>
    <n v="2"/>
    <n v="25.89"/>
    <n v="2.59"/>
    <n v="0"/>
    <n v="0.1"/>
    <s v="ACTIVE"/>
    <m/>
    <s v=""/>
    <m/>
    <d v="2026-01-15T09:47:40"/>
    <d v="2026-01-15T00:00:00"/>
    <x v="3"/>
    <x v="0"/>
    <n v="1"/>
    <n v="0"/>
    <x v="804"/>
    <s v="Francisco Reyes Ruiz"/>
    <x v="1"/>
  </r>
  <r>
    <n v="903"/>
    <n v="137"/>
    <n v="2"/>
    <n v="25.66"/>
    <n v="2.57"/>
    <n v="0"/>
    <n v="0.1"/>
    <s v="ACTIVE"/>
    <m/>
    <s v=""/>
    <m/>
    <d v="2026-01-15T12:32:16"/>
    <d v="2026-01-15T00:00:00"/>
    <x v="3"/>
    <x v="0"/>
    <n v="1"/>
    <n v="0"/>
    <x v="805"/>
    <s v="Francisco Reyes Ruiz"/>
    <x v="1"/>
  </r>
  <r>
    <n v="904"/>
    <n v="37"/>
    <n v="3"/>
    <n v="71.180000000000007"/>
    <n v="7.12"/>
    <n v="0"/>
    <n v="0.1"/>
    <s v="ACTIVE"/>
    <m/>
    <s v=""/>
    <m/>
    <d v="2026-01-15T13:53:26"/>
    <d v="2026-01-15T00:00:00"/>
    <x v="3"/>
    <x v="0"/>
    <n v="1"/>
    <n v="0"/>
    <x v="806"/>
    <s v="Fernando Mendoza Moreno"/>
    <x v="0"/>
  </r>
  <r>
    <n v="905"/>
    <n v="39"/>
    <n v="5"/>
    <n v="135.62"/>
    <n v="13.56"/>
    <n v="0"/>
    <n v="0.1"/>
    <s v="ACTIVE"/>
    <m/>
    <s v=""/>
    <m/>
    <d v="2026-01-15T15:12:36"/>
    <d v="2026-01-15T00:00:00"/>
    <x v="3"/>
    <x v="0"/>
    <n v="1"/>
    <n v="0"/>
    <x v="807"/>
    <s v="Guadalupe García Quiñones"/>
    <x v="2"/>
  </r>
  <r>
    <n v="906"/>
    <n v="117"/>
    <n v="2"/>
    <n v="172.55"/>
    <n v="0"/>
    <n v="1"/>
    <n v="0.1"/>
    <s v="ACTIVE"/>
    <m/>
    <s v=""/>
    <m/>
    <d v="2026-01-15T18:39:33"/>
    <d v="2026-01-15T00:00:00"/>
    <x v="3"/>
    <x v="1"/>
    <n v="1"/>
    <n v="0"/>
    <x v="808"/>
    <s v="Manuel Ortiz Ramírez"/>
    <x v="1"/>
  </r>
  <r>
    <n v="907"/>
    <n v="136"/>
    <n v="4"/>
    <n v="74.05"/>
    <n v="7.41"/>
    <n v="0"/>
    <n v="0.1"/>
    <s v="ACTIVE"/>
    <m/>
    <s v=""/>
    <m/>
    <d v="2026-01-15T18:43:17"/>
    <d v="2026-01-15T00:00:00"/>
    <x v="3"/>
    <x v="0"/>
    <n v="1"/>
    <n v="0"/>
    <x v="809"/>
    <s v="Guadalupe Castillo Rangel"/>
    <x v="3"/>
  </r>
  <r>
    <n v="908"/>
    <n v="279"/>
    <n v="4"/>
    <n v="99.51"/>
    <n v="9.9499999999999993"/>
    <n v="0"/>
    <n v="0.1"/>
    <s v="ACTIVE"/>
    <m/>
    <s v=""/>
    <m/>
    <d v="2026-01-15T18:51:32"/>
    <d v="2026-01-15T00:00:00"/>
    <x v="3"/>
    <x v="0"/>
    <n v="1"/>
    <n v="0"/>
    <x v="810"/>
    <s v="Rosa Mendoza Moreno"/>
    <x v="3"/>
  </r>
  <r>
    <n v="909"/>
    <n v="39"/>
    <n v="5"/>
    <n v="178.42"/>
    <n v="17.84"/>
    <n v="0"/>
    <n v="0.1"/>
    <s v="ACTIVE"/>
    <m/>
    <s v=""/>
    <m/>
    <d v="2026-01-16T07:18:20"/>
    <d v="2026-01-16T00:00:00"/>
    <x v="3"/>
    <x v="0"/>
    <n v="1"/>
    <n v="0"/>
    <x v="811"/>
    <s v="Guadalupe García Quiñones"/>
    <x v="2"/>
  </r>
  <r>
    <n v="910"/>
    <n v="138"/>
    <n v="2"/>
    <n v="38.47"/>
    <n v="3.85"/>
    <n v="0"/>
    <n v="0.1"/>
    <s v="ACTIVE"/>
    <m/>
    <s v=""/>
    <m/>
    <d v="2026-01-16T10:46:33"/>
    <d v="2026-01-16T00:00:00"/>
    <x v="3"/>
    <x v="0"/>
    <n v="1"/>
    <n v="0"/>
    <x v="812"/>
    <s v="Alejandro Reyes Morales"/>
    <x v="1"/>
  </r>
  <r>
    <n v="911"/>
    <n v="47"/>
    <n v="5"/>
    <n v="38.130000000000003"/>
    <n v="3.81"/>
    <n v="0"/>
    <n v="0.1"/>
    <s v="ACTIVE"/>
    <m/>
    <s v=""/>
    <m/>
    <d v="2026-01-16T12:11:52"/>
    <d v="2026-01-16T00:00:00"/>
    <x v="3"/>
    <x v="0"/>
    <n v="1"/>
    <n v="0"/>
    <x v="813"/>
    <s v="Carmen Díaz Chávez"/>
    <x v="2"/>
  </r>
  <r>
    <n v="912"/>
    <n v="279"/>
    <n v="4"/>
    <n v="161.43"/>
    <n v="16.14"/>
    <n v="0"/>
    <n v="0.1"/>
    <s v="ACTIVE"/>
    <m/>
    <s v=""/>
    <m/>
    <d v="2026-01-16T16:11:01"/>
    <d v="2026-01-16T00:00:00"/>
    <x v="3"/>
    <x v="0"/>
    <n v="1"/>
    <n v="0"/>
    <x v="814"/>
    <s v="Rosa Mendoza Moreno"/>
    <x v="3"/>
  </r>
  <r>
    <n v="913"/>
    <n v="16"/>
    <n v="4"/>
    <n v="181.35"/>
    <n v="18.14"/>
    <n v="0"/>
    <n v="0.1"/>
    <s v="CANCELED"/>
    <n v="5"/>
    <s v="Monto duplicado por error de sistema"/>
    <d v="2026-01-18T17:48:59"/>
    <d v="2026-01-16T17:48:59"/>
    <d v="2026-01-16T00:00:00"/>
    <x v="3"/>
    <x v="0"/>
    <n v="1"/>
    <n v="1"/>
    <x v="32"/>
    <s v="Laura Chávez Rangel"/>
    <x v="3"/>
  </r>
  <r>
    <n v="914"/>
    <n v="52"/>
    <n v="5"/>
    <n v="34.64"/>
    <n v="3.46"/>
    <n v="0"/>
    <n v="0.1"/>
    <s v="ACTIVE"/>
    <m/>
    <s v=""/>
    <m/>
    <d v="2026-01-16T19:08:44"/>
    <d v="2026-01-16T00:00:00"/>
    <x v="3"/>
    <x v="0"/>
    <n v="1"/>
    <n v="0"/>
    <x v="815"/>
    <s v="Gabriela Villalobos Flores"/>
    <x v="2"/>
  </r>
  <r>
    <n v="915"/>
    <n v="186"/>
    <n v="2"/>
    <n v="61.14"/>
    <n v="6.11"/>
    <n v="0"/>
    <n v="0.1"/>
    <s v="ACTIVE"/>
    <m/>
    <s v=""/>
    <m/>
    <d v="2026-01-17T07:21:24"/>
    <d v="2026-01-17T00:00:00"/>
    <x v="3"/>
    <x v="0"/>
    <n v="1"/>
    <n v="0"/>
    <x v="816"/>
    <s v="Héctor Cruz Rodríguez"/>
    <x v="1"/>
  </r>
  <r>
    <n v="916"/>
    <n v="39"/>
    <n v="3"/>
    <n v="160.82"/>
    <n v="16.079999999999998"/>
    <n v="0"/>
    <n v="0.1"/>
    <s v="CANCELED"/>
    <n v="3"/>
    <s v="Monto duplicado por error de sistema"/>
    <d v="2026-01-17T19:24:41"/>
    <d v="2026-01-17T08:24:41"/>
    <d v="2026-01-17T00:00:00"/>
    <x v="3"/>
    <x v="0"/>
    <n v="1"/>
    <n v="1"/>
    <x v="32"/>
    <s v="Guadalupe García Quiñones"/>
    <x v="0"/>
  </r>
  <r>
    <n v="917"/>
    <n v="106"/>
    <n v="2"/>
    <n v="67.77"/>
    <n v="6.78"/>
    <n v="0"/>
    <n v="0.1"/>
    <s v="ACTIVE"/>
    <m/>
    <s v=""/>
    <m/>
    <d v="2026-01-17T08:48:59"/>
    <d v="2026-01-17T00:00:00"/>
    <x v="3"/>
    <x v="0"/>
    <n v="1"/>
    <n v="0"/>
    <x v="817"/>
    <s v="Isabel García Santoyo"/>
    <x v="1"/>
  </r>
  <r>
    <n v="918"/>
    <n v="279"/>
    <n v="4"/>
    <n v="208.71"/>
    <n v="20.87"/>
    <n v="0"/>
    <n v="0.1"/>
    <s v="ACTIVE"/>
    <m/>
    <s v=""/>
    <m/>
    <d v="2026-01-17T09:40:06"/>
    <d v="2026-01-17T00:00:00"/>
    <x v="3"/>
    <x v="0"/>
    <n v="1"/>
    <n v="0"/>
    <x v="818"/>
    <s v="Rosa Mendoza Moreno"/>
    <x v="3"/>
  </r>
  <r>
    <n v="919"/>
    <n v="215"/>
    <n v="3"/>
    <n v="41.28"/>
    <n v="4.13"/>
    <n v="0"/>
    <n v="0.1"/>
    <s v="ACTIVE"/>
    <m/>
    <s v=""/>
    <m/>
    <d v="2026-01-17T09:44:39"/>
    <d v="2026-01-17T00:00:00"/>
    <x v="3"/>
    <x v="0"/>
    <n v="1"/>
    <n v="0"/>
    <x v="819"/>
    <s v="Verónica Medina Ortiz"/>
    <x v="0"/>
  </r>
  <r>
    <n v="920"/>
    <n v="65"/>
    <n v="5"/>
    <n v="24.93"/>
    <n v="2.4900000000000002"/>
    <n v="0"/>
    <n v="0.1"/>
    <s v="ACTIVE"/>
    <m/>
    <s v=""/>
    <m/>
    <d v="2026-01-17T10:01:34"/>
    <d v="2026-01-17T00:00:00"/>
    <x v="3"/>
    <x v="0"/>
    <n v="1"/>
    <n v="0"/>
    <x v="820"/>
    <s v="Gabriela Flores Chávez"/>
    <x v="2"/>
  </r>
  <r>
    <n v="921"/>
    <n v="10"/>
    <n v="4"/>
    <n v="119.57"/>
    <n v="11.96"/>
    <n v="0"/>
    <n v="0.1"/>
    <s v="ACTIVE"/>
    <m/>
    <s v=""/>
    <m/>
    <d v="2026-01-17T10:51:18"/>
    <d v="2026-01-17T00:00:00"/>
    <x v="3"/>
    <x v="0"/>
    <n v="1"/>
    <n v="0"/>
    <x v="606"/>
    <s v="José Gómez Herrera"/>
    <x v="3"/>
  </r>
  <r>
    <n v="922"/>
    <n v="227"/>
    <n v="3"/>
    <n v="22.08"/>
    <n v="2.21"/>
    <n v="0"/>
    <n v="0.1"/>
    <s v="ACTIVE"/>
    <m/>
    <s v=""/>
    <m/>
    <d v="2026-01-17T10:59:00"/>
    <d v="2026-01-17T00:00:00"/>
    <x v="3"/>
    <x v="0"/>
    <n v="1"/>
    <n v="0"/>
    <x v="821"/>
    <s v="Alicia Mendoza Rangel"/>
    <x v="0"/>
  </r>
  <r>
    <n v="923"/>
    <n v="156"/>
    <n v="4"/>
    <n v="32.28"/>
    <n v="3.23"/>
    <n v="0"/>
    <n v="0.1"/>
    <s v="CANCELED"/>
    <n v="4"/>
    <s v="Error de captura"/>
    <d v="2026-01-17T23:05:54"/>
    <d v="2026-01-17T11:05:54"/>
    <d v="2026-01-17T00:00:00"/>
    <x v="3"/>
    <x v="0"/>
    <n v="1"/>
    <n v="1"/>
    <x v="32"/>
    <s v="Óscar Moreno Chávez"/>
    <x v="3"/>
  </r>
  <r>
    <n v="924"/>
    <n v="288"/>
    <n v="3"/>
    <n v="43.28"/>
    <n v="4.33"/>
    <n v="0"/>
    <n v="0.1"/>
    <s v="ACTIVE"/>
    <m/>
    <s v=""/>
    <m/>
    <d v="2026-01-17T11:23:08"/>
    <d v="2026-01-17T00:00:00"/>
    <x v="3"/>
    <x v="0"/>
    <n v="1"/>
    <n v="0"/>
    <x v="822"/>
    <s v="Daniel Medina Ramos"/>
    <x v="0"/>
  </r>
  <r>
    <n v="925"/>
    <n v="87"/>
    <n v="3"/>
    <n v="60.59"/>
    <n v="6.06"/>
    <n v="0"/>
    <n v="0.1"/>
    <s v="ACTIVE"/>
    <m/>
    <s v=""/>
    <m/>
    <d v="2026-01-17T13:11:07"/>
    <d v="2026-01-17T00:00:00"/>
    <x v="3"/>
    <x v="0"/>
    <n v="1"/>
    <n v="0"/>
    <x v="823"/>
    <s v="Antonio Reyes Romero"/>
    <x v="0"/>
  </r>
  <r>
    <n v="926"/>
    <n v="178"/>
    <n v="4"/>
    <n v="137.62"/>
    <n v="13.76"/>
    <n v="0"/>
    <n v="0.1"/>
    <s v="ACTIVE"/>
    <m/>
    <s v=""/>
    <m/>
    <d v="2026-01-17T14:16:23"/>
    <d v="2026-01-17T00:00:00"/>
    <x v="3"/>
    <x v="0"/>
    <n v="1"/>
    <n v="0"/>
    <x v="824"/>
    <s v="Miguel Ruiz Salazar"/>
    <x v="3"/>
  </r>
  <r>
    <n v="927"/>
    <n v="13"/>
    <n v="4"/>
    <n v="29.44"/>
    <n v="2.94"/>
    <n v="0"/>
    <n v="0.1"/>
    <s v="ACTIVE"/>
    <m/>
    <s v=""/>
    <m/>
    <d v="2026-01-17T14:29:14"/>
    <d v="2026-01-17T00:00:00"/>
    <x v="3"/>
    <x v="0"/>
    <n v="1"/>
    <n v="0"/>
    <x v="825"/>
    <s v="Laura Rodríguez Quiñones"/>
    <x v="3"/>
  </r>
  <r>
    <n v="928"/>
    <n v="106"/>
    <n v="5"/>
    <n v="74.44"/>
    <n v="7.44"/>
    <n v="0"/>
    <n v="0.1"/>
    <s v="ACTIVE"/>
    <m/>
    <s v=""/>
    <m/>
    <d v="2026-01-17T15:36:08"/>
    <d v="2026-01-17T00:00:00"/>
    <x v="3"/>
    <x v="0"/>
    <n v="1"/>
    <n v="0"/>
    <x v="826"/>
    <s v="Isabel García Santoyo"/>
    <x v="2"/>
  </r>
  <r>
    <n v="929"/>
    <n v="247"/>
    <n v="5"/>
    <n v="35.36"/>
    <n v="3.54"/>
    <n v="0"/>
    <n v="0.1"/>
    <s v="ACTIVE"/>
    <m/>
    <s v=""/>
    <m/>
    <d v="2026-01-17T16:10:57"/>
    <d v="2026-01-17T00:00:00"/>
    <x v="3"/>
    <x v="0"/>
    <n v="1"/>
    <n v="0"/>
    <x v="827"/>
    <s v="Patricia Mendoza Ruiz"/>
    <x v="2"/>
  </r>
  <r>
    <n v="930"/>
    <n v="18"/>
    <n v="4"/>
    <n v="128.01"/>
    <n v="12.8"/>
    <n v="0"/>
    <n v="0.1"/>
    <s v="ACTIVE"/>
    <m/>
    <s v=""/>
    <m/>
    <d v="2026-01-17T19:33:21"/>
    <d v="2026-01-17T00:00:00"/>
    <x v="3"/>
    <x v="0"/>
    <n v="1"/>
    <n v="0"/>
    <x v="828"/>
    <s v="Carlos Gómez Ávila"/>
    <x v="3"/>
  </r>
  <r>
    <n v="931"/>
    <n v="117"/>
    <n v="4"/>
    <n v="37.6"/>
    <n v="3.76"/>
    <n v="0"/>
    <n v="0.1"/>
    <s v="ACTIVE"/>
    <m/>
    <s v=""/>
    <m/>
    <d v="2026-01-18T10:35:38"/>
    <d v="2026-01-18T00:00:00"/>
    <x v="3"/>
    <x v="0"/>
    <n v="1"/>
    <n v="0"/>
    <x v="510"/>
    <s v="Manuel Ortiz Ramírez"/>
    <x v="3"/>
  </r>
  <r>
    <n v="932"/>
    <n v="192"/>
    <n v="4"/>
    <n v="30.57"/>
    <n v="3.06"/>
    <n v="0"/>
    <n v="0.1"/>
    <s v="ACTIVE"/>
    <m/>
    <s v=""/>
    <m/>
    <d v="2026-01-18T10:45:25"/>
    <d v="2026-01-18T00:00:00"/>
    <x v="3"/>
    <x v="0"/>
    <n v="1"/>
    <n v="0"/>
    <x v="829"/>
    <s v="Leticia Gutiérrez Hernández"/>
    <x v="3"/>
  </r>
  <r>
    <n v="933"/>
    <n v="6"/>
    <n v="3"/>
    <n v="20.85"/>
    <n v="0"/>
    <n v="1"/>
    <n v="0.1"/>
    <s v="ACTIVE"/>
    <m/>
    <s v=""/>
    <m/>
    <d v="2026-01-18T11:42:53"/>
    <d v="2026-01-18T00:00:00"/>
    <x v="3"/>
    <x v="1"/>
    <n v="1"/>
    <n v="0"/>
    <x v="830"/>
    <s v="Raúl Ortiz Cruz"/>
    <x v="0"/>
  </r>
  <r>
    <n v="934"/>
    <n v="50"/>
    <n v="4"/>
    <n v="120.49"/>
    <n v="12.05"/>
    <n v="0"/>
    <n v="0.1"/>
    <s v="ACTIVE"/>
    <m/>
    <s v=""/>
    <m/>
    <d v="2026-01-18T14:07:10"/>
    <d v="2026-01-18T00:00:00"/>
    <x v="3"/>
    <x v="0"/>
    <n v="1"/>
    <n v="0"/>
    <x v="831"/>
    <s v="Roberto Moreno López"/>
    <x v="3"/>
  </r>
  <r>
    <n v="935"/>
    <n v="53"/>
    <n v="4"/>
    <n v="38.03"/>
    <n v="3.8"/>
    <n v="0"/>
    <n v="0.1"/>
    <s v="ACTIVE"/>
    <m/>
    <s v=""/>
    <m/>
    <d v="2026-01-18T14:58:53"/>
    <d v="2026-01-18T00:00:00"/>
    <x v="3"/>
    <x v="0"/>
    <n v="1"/>
    <n v="0"/>
    <x v="212"/>
    <s v="Isabel Ávila López"/>
    <x v="3"/>
  </r>
  <r>
    <n v="936"/>
    <n v="156"/>
    <n v="2"/>
    <n v="36.869999999999997"/>
    <n v="3.69"/>
    <n v="0"/>
    <n v="0.1"/>
    <s v="ACTIVE"/>
    <m/>
    <s v=""/>
    <m/>
    <d v="2026-01-18T16:31:51"/>
    <d v="2026-01-18T00:00:00"/>
    <x v="3"/>
    <x v="0"/>
    <n v="1"/>
    <n v="0"/>
    <x v="832"/>
    <s v="Óscar Moreno Chávez"/>
    <x v="1"/>
  </r>
  <r>
    <n v="937"/>
    <n v="87"/>
    <n v="5"/>
    <n v="89.2"/>
    <n v="8.92"/>
    <n v="0"/>
    <n v="0.1"/>
    <s v="ACTIVE"/>
    <m/>
    <s v=""/>
    <m/>
    <d v="2026-01-18T16:36:36"/>
    <d v="2026-01-18T00:00:00"/>
    <x v="3"/>
    <x v="0"/>
    <n v="1"/>
    <n v="0"/>
    <x v="833"/>
    <s v="Antonio Reyes Romero"/>
    <x v="2"/>
  </r>
  <r>
    <n v="938"/>
    <n v="268"/>
    <n v="3"/>
    <n v="43.7"/>
    <n v="4.37"/>
    <n v="0"/>
    <n v="0.1"/>
    <s v="ACTIVE"/>
    <m/>
    <s v=""/>
    <m/>
    <d v="2026-01-18T17:36:10"/>
    <d v="2026-01-18T00:00:00"/>
    <x v="3"/>
    <x v="0"/>
    <n v="1"/>
    <n v="0"/>
    <x v="429"/>
    <s v="Verónica Mendoza Chávez"/>
    <x v="0"/>
  </r>
  <r>
    <n v="939"/>
    <n v="156"/>
    <n v="2"/>
    <n v="24"/>
    <n v="2.4"/>
    <n v="0"/>
    <n v="0.1"/>
    <s v="ACTIVE"/>
    <m/>
    <s v=""/>
    <m/>
    <d v="2026-01-18T17:58:26"/>
    <d v="2026-01-18T00:00:00"/>
    <x v="3"/>
    <x v="0"/>
    <n v="1"/>
    <n v="0"/>
    <x v="834"/>
    <s v="Óscar Moreno Chávez"/>
    <x v="1"/>
  </r>
  <r>
    <n v="940"/>
    <n v="105"/>
    <n v="4"/>
    <n v="139.1"/>
    <n v="13.91"/>
    <n v="0"/>
    <n v="0.1"/>
    <s v="ACTIVE"/>
    <m/>
    <s v=""/>
    <m/>
    <d v="2026-01-18T19:41:17"/>
    <d v="2026-01-18T00:00:00"/>
    <x v="3"/>
    <x v="0"/>
    <n v="1"/>
    <n v="0"/>
    <x v="835"/>
    <s v="Leticia Romero López"/>
    <x v="3"/>
  </r>
  <r>
    <n v="941"/>
    <n v="51"/>
    <n v="3"/>
    <n v="277.13"/>
    <n v="27.71"/>
    <n v="0"/>
    <n v="0.1"/>
    <s v="ACTIVE"/>
    <m/>
    <s v=""/>
    <m/>
    <d v="2026-01-19T08:23:58"/>
    <d v="2026-01-19T00:00:00"/>
    <x v="3"/>
    <x v="0"/>
    <n v="1"/>
    <n v="0"/>
    <x v="836"/>
    <s v="Sergio Rangel Ramos"/>
    <x v="0"/>
  </r>
  <r>
    <n v="942"/>
    <n v="65"/>
    <n v="5"/>
    <n v="38.22"/>
    <n v="3.82"/>
    <n v="0"/>
    <n v="0.1"/>
    <s v="ACTIVE"/>
    <m/>
    <s v=""/>
    <m/>
    <d v="2026-01-19T08:39:58"/>
    <d v="2026-01-19T00:00:00"/>
    <x v="3"/>
    <x v="0"/>
    <n v="1"/>
    <n v="0"/>
    <x v="837"/>
    <s v="Gabriela Flores Chávez"/>
    <x v="2"/>
  </r>
  <r>
    <n v="943"/>
    <n v="163"/>
    <n v="4"/>
    <n v="27.97"/>
    <n v="2.8"/>
    <n v="0"/>
    <n v="0.1"/>
    <s v="ACTIVE"/>
    <m/>
    <s v=""/>
    <m/>
    <d v="2026-01-19T11:38:06"/>
    <d v="2026-01-19T00:00:00"/>
    <x v="3"/>
    <x v="0"/>
    <n v="1"/>
    <n v="0"/>
    <x v="235"/>
    <s v="Héctor Moreno Quiñones"/>
    <x v="3"/>
  </r>
  <r>
    <n v="944"/>
    <n v="106"/>
    <n v="4"/>
    <n v="103.39"/>
    <n v="10.34"/>
    <n v="0"/>
    <n v="0.1"/>
    <s v="ACTIVE"/>
    <m/>
    <s v=""/>
    <m/>
    <d v="2026-01-19T11:53:14"/>
    <d v="2026-01-19T00:00:00"/>
    <x v="3"/>
    <x v="0"/>
    <n v="1"/>
    <n v="0"/>
    <x v="838"/>
    <s v="Isabel García Santoyo"/>
    <x v="3"/>
  </r>
  <r>
    <n v="945"/>
    <n v="44"/>
    <n v="5"/>
    <n v="23.68"/>
    <n v="2.37"/>
    <n v="0"/>
    <n v="0.1"/>
    <s v="ACTIVE"/>
    <m/>
    <s v=""/>
    <m/>
    <d v="2026-01-19T12:35:05"/>
    <d v="2026-01-19T00:00:00"/>
    <x v="3"/>
    <x v="0"/>
    <n v="1"/>
    <n v="0"/>
    <x v="839"/>
    <s v="Pedro Herrera Castillo"/>
    <x v="2"/>
  </r>
  <r>
    <n v="946"/>
    <n v="39"/>
    <n v="2"/>
    <n v="185.64"/>
    <n v="18.559999999999999"/>
    <n v="0"/>
    <n v="0.1"/>
    <s v="ACTIVE"/>
    <m/>
    <s v=""/>
    <m/>
    <d v="2026-01-19T13:13:51"/>
    <d v="2026-01-19T00:00:00"/>
    <x v="3"/>
    <x v="0"/>
    <n v="1"/>
    <n v="0"/>
    <x v="840"/>
    <s v="Guadalupe García Quiñones"/>
    <x v="1"/>
  </r>
  <r>
    <n v="947"/>
    <n v="7"/>
    <n v="5"/>
    <n v="76.239999999999995"/>
    <n v="7.62"/>
    <n v="0"/>
    <n v="0.1"/>
    <s v="ACTIVE"/>
    <m/>
    <s v=""/>
    <m/>
    <d v="2026-01-19T13:20:49"/>
    <d v="2026-01-19T00:00:00"/>
    <x v="3"/>
    <x v="0"/>
    <n v="1"/>
    <n v="0"/>
    <x v="841"/>
    <s v="Teresa Rodríguez Herrera"/>
    <x v="2"/>
  </r>
  <r>
    <n v="948"/>
    <n v="141"/>
    <n v="4"/>
    <n v="188.34"/>
    <n v="18.829999999999998"/>
    <n v="0"/>
    <n v="0.1"/>
    <s v="ACTIVE"/>
    <m/>
    <s v=""/>
    <m/>
    <d v="2026-01-19T14:39:07"/>
    <d v="2026-01-19T00:00:00"/>
    <x v="3"/>
    <x v="0"/>
    <n v="1"/>
    <n v="0"/>
    <x v="842"/>
    <s v="Antonio Chávez Martínez"/>
    <x v="3"/>
  </r>
  <r>
    <n v="949"/>
    <n v="55"/>
    <n v="3"/>
    <n v="24.31"/>
    <n v="2.4300000000000002"/>
    <n v="0"/>
    <n v="0.1"/>
    <s v="ACTIVE"/>
    <m/>
    <s v=""/>
    <m/>
    <d v="2026-01-19T17:45:02"/>
    <d v="2026-01-19T00:00:00"/>
    <x v="3"/>
    <x v="0"/>
    <n v="1"/>
    <n v="0"/>
    <x v="843"/>
    <s v="Luis Zacatecas Rodríguez"/>
    <x v="0"/>
  </r>
  <r>
    <n v="950"/>
    <n v="280"/>
    <n v="2"/>
    <n v="46.51"/>
    <n v="4.6500000000000004"/>
    <n v="0"/>
    <n v="0.1"/>
    <s v="ACTIVE"/>
    <m/>
    <s v=""/>
    <m/>
    <d v="2026-01-19T19:48:18"/>
    <d v="2026-01-19T00:00:00"/>
    <x v="3"/>
    <x v="0"/>
    <n v="1"/>
    <n v="0"/>
    <x v="844"/>
    <s v="Óscar Quiñones Jiménez"/>
    <x v="1"/>
  </r>
  <r>
    <n v="951"/>
    <n v="156"/>
    <n v="2"/>
    <n v="12.89"/>
    <n v="1.29"/>
    <n v="0"/>
    <n v="0.1"/>
    <s v="ACTIVE"/>
    <m/>
    <s v=""/>
    <m/>
    <d v="2026-01-20T07:36:13"/>
    <d v="2026-01-20T00:00:00"/>
    <x v="3"/>
    <x v="0"/>
    <n v="1"/>
    <n v="0"/>
    <x v="845"/>
    <s v="Óscar Moreno Chávez"/>
    <x v="1"/>
  </r>
  <r>
    <n v="952"/>
    <n v="202"/>
    <n v="4"/>
    <n v="28.5"/>
    <n v="2.85"/>
    <n v="0"/>
    <n v="0.1"/>
    <s v="ACTIVE"/>
    <m/>
    <s v=""/>
    <m/>
    <d v="2026-01-20T08:07:23"/>
    <d v="2026-01-20T00:00:00"/>
    <x v="3"/>
    <x v="0"/>
    <n v="1"/>
    <n v="0"/>
    <x v="846"/>
    <s v="Elena Díaz Reyes"/>
    <x v="3"/>
  </r>
  <r>
    <n v="953"/>
    <n v="202"/>
    <n v="2"/>
    <n v="21.79"/>
    <n v="2.1800000000000002"/>
    <n v="0"/>
    <n v="0.1"/>
    <s v="ACTIVE"/>
    <m/>
    <s v=""/>
    <m/>
    <d v="2026-01-20T08:11:16"/>
    <d v="2026-01-20T00:00:00"/>
    <x v="3"/>
    <x v="0"/>
    <n v="1"/>
    <n v="0"/>
    <x v="847"/>
    <s v="Elena Díaz Reyes"/>
    <x v="1"/>
  </r>
  <r>
    <n v="954"/>
    <n v="109"/>
    <n v="3"/>
    <n v="131.68"/>
    <n v="13.17"/>
    <n v="0"/>
    <n v="0.1"/>
    <s v="ACTIVE"/>
    <m/>
    <s v=""/>
    <m/>
    <d v="2026-01-20T08:26:32"/>
    <d v="2026-01-20T00:00:00"/>
    <x v="3"/>
    <x v="0"/>
    <n v="1"/>
    <n v="0"/>
    <x v="848"/>
    <s v="Juan Jiménez Aguilar"/>
    <x v="0"/>
  </r>
  <r>
    <n v="955"/>
    <n v="106"/>
    <n v="3"/>
    <n v="89.1"/>
    <n v="8.91"/>
    <n v="0"/>
    <n v="0.1"/>
    <s v="ACTIVE"/>
    <m/>
    <s v=""/>
    <m/>
    <d v="2026-01-20T09:01:13"/>
    <d v="2026-01-20T00:00:00"/>
    <x v="3"/>
    <x v="0"/>
    <n v="1"/>
    <n v="0"/>
    <x v="849"/>
    <s v="Isabel García Santoyo"/>
    <x v="0"/>
  </r>
  <r>
    <n v="956"/>
    <n v="252"/>
    <n v="5"/>
    <n v="27.59"/>
    <n v="2.76"/>
    <n v="0"/>
    <n v="0.1"/>
    <s v="ACTIVE"/>
    <m/>
    <s v=""/>
    <m/>
    <d v="2026-01-20T10:52:28"/>
    <d v="2026-01-20T00:00:00"/>
    <x v="3"/>
    <x v="0"/>
    <n v="1"/>
    <n v="0"/>
    <x v="787"/>
    <s v="Martha Delgado Mendoza"/>
    <x v="2"/>
  </r>
  <r>
    <n v="957"/>
    <n v="59"/>
    <n v="2"/>
    <n v="19.48"/>
    <n v="1.95"/>
    <n v="0"/>
    <n v="0.1"/>
    <s v="ACTIVE"/>
    <m/>
    <s v=""/>
    <m/>
    <d v="2026-01-20T11:15:45"/>
    <d v="2026-01-20T00:00:00"/>
    <x v="3"/>
    <x v="0"/>
    <n v="1"/>
    <n v="0"/>
    <x v="850"/>
    <s v="Daniel Gutiérrez Moreno"/>
    <x v="1"/>
  </r>
  <r>
    <n v="958"/>
    <n v="118"/>
    <n v="5"/>
    <n v="58.6"/>
    <n v="5.86"/>
    <n v="0"/>
    <n v="0.1"/>
    <s v="ACTIVE"/>
    <m/>
    <s v=""/>
    <m/>
    <d v="2026-01-20T11:55:59"/>
    <d v="2026-01-20T00:00:00"/>
    <x v="3"/>
    <x v="0"/>
    <n v="1"/>
    <n v="0"/>
    <x v="698"/>
    <s v="Roberto Rangel Gutiérrez"/>
    <x v="2"/>
  </r>
  <r>
    <n v="959"/>
    <n v="50"/>
    <n v="3"/>
    <n v="112.38"/>
    <n v="11.24"/>
    <n v="0"/>
    <n v="0.1"/>
    <s v="ACTIVE"/>
    <m/>
    <s v=""/>
    <m/>
    <d v="2026-01-20T13:00:47"/>
    <d v="2026-01-20T00:00:00"/>
    <x v="3"/>
    <x v="0"/>
    <n v="1"/>
    <n v="0"/>
    <x v="851"/>
    <s v="Roberto Moreno López"/>
    <x v="0"/>
  </r>
  <r>
    <n v="960"/>
    <n v="109"/>
    <n v="4"/>
    <n v="155.91999999999999"/>
    <n v="15.59"/>
    <n v="0"/>
    <n v="0.1"/>
    <s v="ACTIVE"/>
    <m/>
    <s v=""/>
    <m/>
    <d v="2026-01-20T15:48:42"/>
    <d v="2026-01-20T00:00:00"/>
    <x v="3"/>
    <x v="0"/>
    <n v="1"/>
    <n v="0"/>
    <x v="852"/>
    <s v="Juan Jiménez Aguilar"/>
    <x v="3"/>
  </r>
  <r>
    <n v="961"/>
    <n v="39"/>
    <n v="3"/>
    <n v="222.44"/>
    <n v="22.24"/>
    <n v="0"/>
    <n v="0.1"/>
    <s v="ACTIVE"/>
    <m/>
    <s v=""/>
    <m/>
    <d v="2026-01-20T15:52:24"/>
    <d v="2026-01-20T00:00:00"/>
    <x v="3"/>
    <x v="0"/>
    <n v="1"/>
    <n v="0"/>
    <x v="853"/>
    <s v="Guadalupe García Quiñones"/>
    <x v="0"/>
  </r>
  <r>
    <n v="962"/>
    <n v="178"/>
    <n v="2"/>
    <n v="245.53"/>
    <n v="24.55"/>
    <n v="0"/>
    <n v="0.1"/>
    <s v="ACTIVE"/>
    <m/>
    <s v=""/>
    <m/>
    <d v="2026-01-20T16:38:14"/>
    <d v="2026-01-20T00:00:00"/>
    <x v="3"/>
    <x v="0"/>
    <n v="1"/>
    <n v="0"/>
    <x v="854"/>
    <s v="Miguel Ruiz Salazar"/>
    <x v="1"/>
  </r>
  <r>
    <n v="963"/>
    <n v="227"/>
    <n v="5"/>
    <n v="30.81"/>
    <n v="3.08"/>
    <n v="0"/>
    <n v="0.1"/>
    <s v="ACTIVE"/>
    <m/>
    <s v=""/>
    <m/>
    <d v="2026-01-20T17:47:24"/>
    <d v="2026-01-20T00:00:00"/>
    <x v="3"/>
    <x v="0"/>
    <n v="1"/>
    <n v="0"/>
    <x v="855"/>
    <s v="Alicia Mendoza Rangel"/>
    <x v="2"/>
  </r>
  <r>
    <n v="964"/>
    <n v="265"/>
    <n v="2"/>
    <n v="75.62"/>
    <n v="7.56"/>
    <n v="0"/>
    <n v="0.1"/>
    <s v="ACTIVE"/>
    <m/>
    <s v=""/>
    <m/>
    <d v="2026-01-20T18:27:06"/>
    <d v="2026-01-20T00:00:00"/>
    <x v="3"/>
    <x v="0"/>
    <n v="1"/>
    <n v="0"/>
    <x v="856"/>
    <s v="Alejandro Flores González"/>
    <x v="1"/>
  </r>
  <r>
    <n v="965"/>
    <n v="87"/>
    <n v="5"/>
    <n v="134.59"/>
    <n v="13.46"/>
    <n v="0"/>
    <n v="0.1"/>
    <s v="ACTIVE"/>
    <m/>
    <s v=""/>
    <m/>
    <d v="2026-01-21T07:43:13"/>
    <d v="2026-01-21T00:00:00"/>
    <x v="3"/>
    <x v="0"/>
    <n v="1"/>
    <n v="0"/>
    <x v="857"/>
    <s v="Antonio Reyes Romero"/>
    <x v="2"/>
  </r>
  <r>
    <n v="966"/>
    <n v="48"/>
    <n v="5"/>
    <n v="168.1"/>
    <n v="16.809999999999999"/>
    <n v="0"/>
    <n v="0.1"/>
    <s v="ACTIVE"/>
    <m/>
    <s v=""/>
    <m/>
    <d v="2026-01-21T09:36:27"/>
    <d v="2026-01-21T00:00:00"/>
    <x v="3"/>
    <x v="0"/>
    <n v="1"/>
    <n v="0"/>
    <x v="858"/>
    <s v="Carlos Medina Quiñones"/>
    <x v="2"/>
  </r>
  <r>
    <n v="967"/>
    <n v="207"/>
    <n v="3"/>
    <n v="32.03"/>
    <n v="3.2"/>
    <n v="0"/>
    <n v="0.1"/>
    <s v="ACTIVE"/>
    <m/>
    <s v=""/>
    <m/>
    <d v="2026-01-21T10:05:35"/>
    <d v="2026-01-21T00:00:00"/>
    <x v="3"/>
    <x v="0"/>
    <n v="1"/>
    <n v="0"/>
    <x v="859"/>
    <s v="Leticia Vázquez Gutiérrez"/>
    <x v="0"/>
  </r>
  <r>
    <n v="968"/>
    <n v="223"/>
    <n v="5"/>
    <n v="22.85"/>
    <n v="2.29"/>
    <n v="0"/>
    <n v="0.1"/>
    <s v="ACTIVE"/>
    <m/>
    <s v=""/>
    <m/>
    <d v="2026-01-21T10:12:03"/>
    <d v="2026-01-21T00:00:00"/>
    <x v="3"/>
    <x v="0"/>
    <n v="1"/>
    <n v="0"/>
    <x v="860"/>
    <s v="José Castillo Ortiz"/>
    <x v="2"/>
  </r>
  <r>
    <n v="969"/>
    <n v="156"/>
    <n v="3"/>
    <n v="30.03"/>
    <n v="3"/>
    <n v="0"/>
    <n v="0.1"/>
    <s v="ACTIVE"/>
    <m/>
    <s v=""/>
    <m/>
    <d v="2026-01-21T10:17:38"/>
    <d v="2026-01-21T00:00:00"/>
    <x v="3"/>
    <x v="0"/>
    <n v="1"/>
    <n v="0"/>
    <x v="861"/>
    <s v="Óscar Moreno Chávez"/>
    <x v="0"/>
  </r>
  <r>
    <n v="970"/>
    <n v="137"/>
    <n v="2"/>
    <n v="38.9"/>
    <n v="3.89"/>
    <n v="0"/>
    <n v="0.1"/>
    <s v="ACTIVE"/>
    <m/>
    <s v=""/>
    <m/>
    <d v="2026-01-21T19:48:09"/>
    <d v="2026-01-21T00:00:00"/>
    <x v="3"/>
    <x v="0"/>
    <n v="1"/>
    <n v="0"/>
    <x v="862"/>
    <s v="Francisco Reyes Ruiz"/>
    <x v="1"/>
  </r>
  <r>
    <n v="971"/>
    <n v="290"/>
    <n v="3"/>
    <n v="26.77"/>
    <n v="2.68"/>
    <n v="0"/>
    <n v="0.1"/>
    <s v="ACTIVE"/>
    <m/>
    <s v=""/>
    <m/>
    <d v="2026-01-22T08:06:10"/>
    <d v="2026-01-22T00:00:00"/>
    <x v="3"/>
    <x v="0"/>
    <n v="1"/>
    <n v="0"/>
    <x v="863"/>
    <s v="Silvia Reyes Vázquez"/>
    <x v="0"/>
  </r>
  <r>
    <n v="972"/>
    <n v="175"/>
    <n v="3"/>
    <n v="31.08"/>
    <n v="3.11"/>
    <n v="0"/>
    <n v="0.1"/>
    <s v="ACTIVE"/>
    <m/>
    <s v=""/>
    <m/>
    <d v="2026-01-22T08:44:25"/>
    <d v="2026-01-22T00:00:00"/>
    <x v="3"/>
    <x v="0"/>
    <n v="1"/>
    <n v="0"/>
    <x v="864"/>
    <s v="Óscar Villalobos Flores"/>
    <x v="0"/>
  </r>
  <r>
    <n v="973"/>
    <n v="186"/>
    <n v="2"/>
    <n v="97.97"/>
    <n v="9.8000000000000007"/>
    <n v="0"/>
    <n v="0.1"/>
    <s v="ACTIVE"/>
    <m/>
    <s v=""/>
    <m/>
    <d v="2026-01-22T11:12:42"/>
    <d v="2026-01-22T00:00:00"/>
    <x v="3"/>
    <x v="0"/>
    <n v="1"/>
    <n v="0"/>
    <x v="865"/>
    <s v="Héctor Cruz Rodríguez"/>
    <x v="1"/>
  </r>
  <r>
    <n v="974"/>
    <n v="230"/>
    <n v="4"/>
    <n v="148.15"/>
    <n v="14.82"/>
    <n v="0"/>
    <n v="0.1"/>
    <s v="ACTIVE"/>
    <m/>
    <s v=""/>
    <m/>
    <d v="2026-01-22T11:22:49"/>
    <d v="2026-01-22T00:00:00"/>
    <x v="3"/>
    <x v="0"/>
    <n v="1"/>
    <n v="0"/>
    <x v="866"/>
    <s v="Antonio Chávez Quiñones"/>
    <x v="3"/>
  </r>
  <r>
    <n v="975"/>
    <n v="92"/>
    <n v="4"/>
    <n v="14.52"/>
    <n v="1.45"/>
    <n v="0"/>
    <n v="0.1"/>
    <s v="ACTIVE"/>
    <m/>
    <s v=""/>
    <m/>
    <d v="2026-01-22T11:40:42"/>
    <d v="2026-01-22T00:00:00"/>
    <x v="3"/>
    <x v="0"/>
    <n v="1"/>
    <n v="0"/>
    <x v="867"/>
    <s v="Irma Aguilar Rodríguez"/>
    <x v="3"/>
  </r>
  <r>
    <n v="976"/>
    <n v="240"/>
    <n v="2"/>
    <n v="191.67"/>
    <n v="19.170000000000002"/>
    <n v="0"/>
    <n v="0.1"/>
    <s v="ACTIVE"/>
    <m/>
    <s v=""/>
    <m/>
    <d v="2026-01-22T12:39:24"/>
    <d v="2026-01-22T00:00:00"/>
    <x v="3"/>
    <x v="0"/>
    <n v="1"/>
    <n v="0"/>
    <x v="868"/>
    <s v="Pedro Castillo Quiñones"/>
    <x v="1"/>
  </r>
  <r>
    <n v="977"/>
    <n v="41"/>
    <n v="5"/>
    <n v="106.1"/>
    <n v="10.61"/>
    <n v="0"/>
    <n v="0.1"/>
    <s v="ACTIVE"/>
    <m/>
    <s v=""/>
    <m/>
    <d v="2026-01-22T13:30:52"/>
    <d v="2026-01-22T00:00:00"/>
    <x v="3"/>
    <x v="0"/>
    <n v="1"/>
    <n v="0"/>
    <x v="869"/>
    <s v="Guadalupe González Zacatecas"/>
    <x v="2"/>
  </r>
  <r>
    <n v="978"/>
    <n v="171"/>
    <n v="2"/>
    <n v="69.38"/>
    <n v="6.94"/>
    <n v="0"/>
    <n v="0.1"/>
    <s v="ACTIVE"/>
    <m/>
    <s v=""/>
    <m/>
    <d v="2026-01-22T14:20:32"/>
    <d v="2026-01-22T00:00:00"/>
    <x v="3"/>
    <x v="0"/>
    <n v="1"/>
    <n v="0"/>
    <x v="870"/>
    <s v="Manuel Villalobos Ramos"/>
    <x v="1"/>
  </r>
  <r>
    <n v="979"/>
    <n v="241"/>
    <n v="2"/>
    <n v="31.42"/>
    <n v="3.14"/>
    <n v="0"/>
    <n v="0.1"/>
    <s v="ACTIVE"/>
    <m/>
    <s v=""/>
    <m/>
    <d v="2026-01-22T16:09:29"/>
    <d v="2026-01-22T00:00:00"/>
    <x v="3"/>
    <x v="0"/>
    <n v="1"/>
    <n v="0"/>
    <x v="871"/>
    <s v="Lucía Cruz Herrera"/>
    <x v="1"/>
  </r>
  <r>
    <n v="980"/>
    <n v="251"/>
    <n v="3"/>
    <n v="110.05"/>
    <n v="11.01"/>
    <n v="0"/>
    <n v="0.1"/>
    <s v="ACTIVE"/>
    <m/>
    <s v=""/>
    <m/>
    <d v="2026-01-22T16:21:01"/>
    <d v="2026-01-22T00:00:00"/>
    <x v="3"/>
    <x v="0"/>
    <n v="1"/>
    <n v="0"/>
    <x v="872"/>
    <s v="Rosa Herrera Sánchez"/>
    <x v="0"/>
  </r>
  <r>
    <n v="981"/>
    <n v="136"/>
    <n v="2"/>
    <n v="79.099999999999994"/>
    <n v="7.91"/>
    <n v="0"/>
    <n v="0.1"/>
    <s v="ACTIVE"/>
    <m/>
    <s v=""/>
    <m/>
    <d v="2026-01-22T19:38:56"/>
    <d v="2026-01-22T00:00:00"/>
    <x v="3"/>
    <x v="0"/>
    <n v="1"/>
    <n v="0"/>
    <x v="873"/>
    <s v="Guadalupe Castillo Rangel"/>
    <x v="1"/>
  </r>
  <r>
    <n v="982"/>
    <n v="150"/>
    <n v="2"/>
    <n v="85.14"/>
    <n v="8.51"/>
    <n v="0"/>
    <n v="0.1"/>
    <s v="ACTIVE"/>
    <m/>
    <s v=""/>
    <m/>
    <d v="2026-01-23T07:59:40"/>
    <d v="2026-01-23T00:00:00"/>
    <x v="3"/>
    <x v="0"/>
    <n v="1"/>
    <n v="0"/>
    <x v="874"/>
    <s v="Daniel Díaz Quiñones"/>
    <x v="1"/>
  </r>
  <r>
    <n v="983"/>
    <n v="32"/>
    <n v="4"/>
    <n v="21.6"/>
    <n v="2.16"/>
    <n v="0"/>
    <n v="0.1"/>
    <s v="ACTIVE"/>
    <m/>
    <s v=""/>
    <m/>
    <d v="2026-01-23T09:17:37"/>
    <d v="2026-01-23T00:00:00"/>
    <x v="3"/>
    <x v="0"/>
    <n v="1"/>
    <n v="0"/>
    <x v="366"/>
    <s v="Teresa Delgado Hernández"/>
    <x v="3"/>
  </r>
  <r>
    <n v="984"/>
    <n v="261"/>
    <n v="5"/>
    <n v="61.58"/>
    <n v="6.16"/>
    <n v="0"/>
    <n v="0.1"/>
    <s v="ACTIVE"/>
    <m/>
    <s v=""/>
    <m/>
    <d v="2026-01-23T09:49:51"/>
    <d v="2026-01-23T00:00:00"/>
    <x v="3"/>
    <x v="0"/>
    <n v="1"/>
    <n v="0"/>
    <x v="875"/>
    <s v="Carmen Moreno Delgado"/>
    <x v="2"/>
  </r>
  <r>
    <n v="985"/>
    <n v="106"/>
    <n v="2"/>
    <n v="70.209999999999994"/>
    <n v="7.02"/>
    <n v="0"/>
    <n v="0.1"/>
    <s v="ACTIVE"/>
    <m/>
    <s v=""/>
    <m/>
    <d v="2026-01-23T11:48:40"/>
    <d v="2026-01-23T00:00:00"/>
    <x v="3"/>
    <x v="0"/>
    <n v="1"/>
    <n v="0"/>
    <x v="876"/>
    <s v="Isabel García Santoyo"/>
    <x v="1"/>
  </r>
  <r>
    <n v="986"/>
    <n v="16"/>
    <n v="3"/>
    <n v="135.07"/>
    <n v="13.51"/>
    <n v="0"/>
    <n v="0.1"/>
    <s v="ACTIVE"/>
    <m/>
    <s v=""/>
    <m/>
    <d v="2026-01-23T11:57:02"/>
    <d v="2026-01-23T00:00:00"/>
    <x v="3"/>
    <x v="0"/>
    <n v="1"/>
    <n v="0"/>
    <x v="877"/>
    <s v="Laura Chávez Rangel"/>
    <x v="0"/>
  </r>
  <r>
    <n v="987"/>
    <n v="138"/>
    <n v="2"/>
    <n v="43.01"/>
    <n v="4.3"/>
    <n v="0"/>
    <n v="0.1"/>
    <s v="ACTIVE"/>
    <m/>
    <s v=""/>
    <m/>
    <d v="2026-01-23T13:30:41"/>
    <d v="2026-01-23T00:00:00"/>
    <x v="3"/>
    <x v="0"/>
    <n v="1"/>
    <n v="0"/>
    <x v="878"/>
    <s v="Alejandro Reyes Morales"/>
    <x v="1"/>
  </r>
  <r>
    <n v="988"/>
    <n v="117"/>
    <n v="3"/>
    <n v="68.95"/>
    <n v="6.9"/>
    <n v="0"/>
    <n v="0.1"/>
    <s v="ACTIVE"/>
    <m/>
    <s v=""/>
    <m/>
    <d v="2026-01-23T15:07:11"/>
    <d v="2026-01-23T00:00:00"/>
    <x v="3"/>
    <x v="0"/>
    <n v="1"/>
    <n v="0"/>
    <x v="879"/>
    <s v="Manuel Ortiz Ramírez"/>
    <x v="0"/>
  </r>
  <r>
    <n v="989"/>
    <n v="136"/>
    <n v="4"/>
    <n v="147.09"/>
    <n v="14.71"/>
    <n v="0"/>
    <n v="0.1"/>
    <s v="ACTIVE"/>
    <m/>
    <s v=""/>
    <m/>
    <d v="2026-01-23T16:02:56"/>
    <d v="2026-01-23T00:00:00"/>
    <x v="3"/>
    <x v="0"/>
    <n v="1"/>
    <n v="0"/>
    <x v="880"/>
    <s v="Guadalupe Castillo Rangel"/>
    <x v="3"/>
  </r>
  <r>
    <n v="990"/>
    <n v="122"/>
    <n v="5"/>
    <n v="146.46"/>
    <n v="14.65"/>
    <n v="0"/>
    <n v="0.1"/>
    <s v="ACTIVE"/>
    <m/>
    <s v=""/>
    <m/>
    <d v="2026-01-24T10:30:32"/>
    <d v="2026-01-24T00:00:00"/>
    <x v="3"/>
    <x v="0"/>
    <n v="1"/>
    <n v="0"/>
    <x v="881"/>
    <s v="Norma Sánchez Santoyo"/>
    <x v="2"/>
  </r>
  <r>
    <n v="991"/>
    <n v="202"/>
    <n v="2"/>
    <n v="22.85"/>
    <n v="2.29"/>
    <n v="0"/>
    <n v="0.1"/>
    <s v="ACTIVE"/>
    <m/>
    <s v=""/>
    <m/>
    <d v="2026-01-24T10:39:06"/>
    <d v="2026-01-24T00:00:00"/>
    <x v="3"/>
    <x v="0"/>
    <n v="1"/>
    <n v="0"/>
    <x v="860"/>
    <s v="Elena Díaz Reyes"/>
    <x v="1"/>
  </r>
  <r>
    <n v="992"/>
    <n v="202"/>
    <n v="3"/>
    <n v="44.08"/>
    <n v="4.41"/>
    <n v="0"/>
    <n v="0.1"/>
    <s v="ACTIVE"/>
    <m/>
    <s v=""/>
    <m/>
    <d v="2026-01-24T10:41:50"/>
    <d v="2026-01-24T00:00:00"/>
    <x v="3"/>
    <x v="0"/>
    <n v="1"/>
    <n v="0"/>
    <x v="882"/>
    <s v="Elena Díaz Reyes"/>
    <x v="0"/>
  </r>
  <r>
    <n v="993"/>
    <n v="91"/>
    <n v="5"/>
    <n v="51.71"/>
    <n v="5.17"/>
    <n v="0"/>
    <n v="0.1"/>
    <s v="ACTIVE"/>
    <m/>
    <s v=""/>
    <m/>
    <d v="2026-01-24T10:43:07"/>
    <d v="2026-01-24T00:00:00"/>
    <x v="3"/>
    <x v="0"/>
    <n v="1"/>
    <n v="0"/>
    <x v="883"/>
    <s v="Silvia Gómez Rodríguez"/>
    <x v="2"/>
  </r>
  <r>
    <n v="994"/>
    <n v="244"/>
    <n v="3"/>
    <n v="67.959999999999994"/>
    <n v="6.8"/>
    <n v="0"/>
    <n v="0.1"/>
    <s v="ACTIVE"/>
    <m/>
    <s v=""/>
    <m/>
    <d v="2026-01-24T10:52:52"/>
    <d v="2026-01-24T00:00:00"/>
    <x v="3"/>
    <x v="0"/>
    <n v="1"/>
    <n v="0"/>
    <x v="884"/>
    <s v="Guadalupe Castillo Hernández"/>
    <x v="0"/>
  </r>
  <r>
    <n v="995"/>
    <n v="240"/>
    <n v="5"/>
    <n v="300"/>
    <n v="30"/>
    <n v="0"/>
    <n v="0.1"/>
    <s v="ACTIVE"/>
    <m/>
    <s v=""/>
    <m/>
    <d v="2026-01-24T12:09:20"/>
    <d v="2026-01-24T00:00:00"/>
    <x v="3"/>
    <x v="0"/>
    <n v="1"/>
    <n v="0"/>
    <x v="74"/>
    <s v="Pedro Castillo Quiñones"/>
    <x v="2"/>
  </r>
  <r>
    <n v="996"/>
    <n v="276"/>
    <n v="5"/>
    <n v="18.87"/>
    <n v="1.89"/>
    <n v="0"/>
    <n v="0.1"/>
    <s v="ACTIVE"/>
    <m/>
    <s v=""/>
    <m/>
    <d v="2026-01-24T12:14:04"/>
    <d v="2026-01-24T00:00:00"/>
    <x v="3"/>
    <x v="0"/>
    <n v="1"/>
    <n v="0"/>
    <x v="885"/>
    <s v="Norma López Aguilar"/>
    <x v="2"/>
  </r>
  <r>
    <n v="997"/>
    <n v="43"/>
    <n v="2"/>
    <n v="83.07"/>
    <n v="8.31"/>
    <n v="0"/>
    <n v="0.1"/>
    <s v="ACTIVE"/>
    <m/>
    <s v=""/>
    <m/>
    <d v="2026-01-24T13:00:23"/>
    <d v="2026-01-24T00:00:00"/>
    <x v="3"/>
    <x v="0"/>
    <n v="1"/>
    <n v="0"/>
    <x v="886"/>
    <s v="Silvia Ortiz Salazar"/>
    <x v="1"/>
  </r>
  <r>
    <n v="998"/>
    <n v="137"/>
    <n v="2"/>
    <n v="22.89"/>
    <n v="2.29"/>
    <n v="0"/>
    <n v="0.1"/>
    <s v="ACTIVE"/>
    <m/>
    <s v=""/>
    <m/>
    <d v="2026-01-24T13:07:15"/>
    <d v="2026-01-24T00:00:00"/>
    <x v="3"/>
    <x v="0"/>
    <n v="1"/>
    <n v="0"/>
    <x v="887"/>
    <s v="Francisco Reyes Ruiz"/>
    <x v="1"/>
  </r>
  <r>
    <n v="999"/>
    <n v="156"/>
    <n v="2"/>
    <n v="38.119999999999997"/>
    <n v="3.81"/>
    <n v="0"/>
    <n v="0.1"/>
    <s v="ACTIVE"/>
    <m/>
    <s v=""/>
    <m/>
    <d v="2026-01-24T14:48:53"/>
    <d v="2026-01-24T00:00:00"/>
    <x v="3"/>
    <x v="0"/>
    <n v="1"/>
    <n v="0"/>
    <x v="888"/>
    <s v="Óscar Moreno Chávez"/>
    <x v="1"/>
  </r>
  <r>
    <n v="1000"/>
    <n v="39"/>
    <n v="2"/>
    <n v="191.87"/>
    <n v="19.190000000000001"/>
    <n v="0"/>
    <n v="0.1"/>
    <s v="ACTIVE"/>
    <m/>
    <s v=""/>
    <m/>
    <d v="2026-01-24T15:09:02"/>
    <d v="2026-01-24T00:00:00"/>
    <x v="3"/>
    <x v="0"/>
    <n v="1"/>
    <n v="0"/>
    <x v="889"/>
    <s v="Guadalupe García Quiñones"/>
    <x v="1"/>
  </r>
  <r>
    <n v="1001"/>
    <n v="137"/>
    <n v="3"/>
    <n v="37.14"/>
    <n v="0"/>
    <n v="1"/>
    <n v="0.1"/>
    <s v="ACTIVE"/>
    <m/>
    <s v=""/>
    <m/>
    <d v="2026-01-24T15:35:26"/>
    <d v="2026-01-24T00:00:00"/>
    <x v="3"/>
    <x v="1"/>
    <n v="1"/>
    <n v="0"/>
    <x v="890"/>
    <s v="Francisco Reyes Ruiz"/>
    <x v="0"/>
  </r>
  <r>
    <n v="1002"/>
    <n v="156"/>
    <n v="2"/>
    <n v="33.64"/>
    <n v="3.36"/>
    <n v="0"/>
    <n v="0.1"/>
    <s v="ACTIVE"/>
    <m/>
    <s v=""/>
    <m/>
    <d v="2026-01-24T15:46:46"/>
    <d v="2026-01-24T00:00:00"/>
    <x v="3"/>
    <x v="0"/>
    <n v="1"/>
    <n v="0"/>
    <x v="891"/>
    <s v="Óscar Moreno Chávez"/>
    <x v="1"/>
  </r>
  <r>
    <n v="1003"/>
    <n v="65"/>
    <n v="5"/>
    <n v="31.93"/>
    <n v="3.19"/>
    <n v="0"/>
    <n v="0.1"/>
    <s v="ACTIVE"/>
    <m/>
    <s v=""/>
    <m/>
    <d v="2026-01-24T19:27:42"/>
    <d v="2026-01-24T00:00:00"/>
    <x v="3"/>
    <x v="0"/>
    <n v="1"/>
    <n v="0"/>
    <x v="892"/>
    <s v="Gabriela Flores Chávez"/>
    <x v="2"/>
  </r>
  <r>
    <n v="1004"/>
    <n v="39"/>
    <n v="3"/>
    <n v="191.54"/>
    <n v="19.149999999999999"/>
    <n v="0"/>
    <n v="0.1"/>
    <s v="ACTIVE"/>
    <m/>
    <s v=""/>
    <m/>
    <d v="2026-01-25T07:29:03"/>
    <d v="2026-01-25T00:00:00"/>
    <x v="3"/>
    <x v="0"/>
    <n v="1"/>
    <n v="0"/>
    <x v="893"/>
    <s v="Guadalupe García Quiñones"/>
    <x v="0"/>
  </r>
  <r>
    <n v="1005"/>
    <n v="277"/>
    <n v="5"/>
    <n v="96.76"/>
    <n v="9.68"/>
    <n v="0"/>
    <n v="0.1"/>
    <s v="ACTIVE"/>
    <m/>
    <s v=""/>
    <m/>
    <d v="2026-01-25T07:42:12"/>
    <d v="2026-01-25T00:00:00"/>
    <x v="3"/>
    <x v="0"/>
    <n v="1"/>
    <n v="0"/>
    <x v="894"/>
    <s v="Laura Ramos Gutiérrez"/>
    <x v="2"/>
  </r>
  <r>
    <n v="1006"/>
    <n v="173"/>
    <n v="3"/>
    <n v="194.39"/>
    <n v="19.440000000000001"/>
    <n v="0"/>
    <n v="0.1"/>
    <s v="ACTIVE"/>
    <m/>
    <s v=""/>
    <m/>
    <d v="2026-01-25T08:25:36"/>
    <d v="2026-01-25T00:00:00"/>
    <x v="3"/>
    <x v="0"/>
    <n v="1"/>
    <n v="0"/>
    <x v="895"/>
    <s v="Fernando Zacatecas Ramírez"/>
    <x v="0"/>
  </r>
  <r>
    <n v="1007"/>
    <n v="166"/>
    <n v="4"/>
    <n v="103.97"/>
    <n v="10.4"/>
    <n v="0"/>
    <n v="0.1"/>
    <s v="ACTIVE"/>
    <m/>
    <s v=""/>
    <m/>
    <d v="2026-01-25T09:03:34"/>
    <d v="2026-01-25T00:00:00"/>
    <x v="3"/>
    <x v="0"/>
    <n v="1"/>
    <n v="0"/>
    <x v="896"/>
    <s v="Alicia Vázquez Villalobos"/>
    <x v="3"/>
  </r>
  <r>
    <n v="1008"/>
    <n v="59"/>
    <n v="2"/>
    <n v="28.7"/>
    <n v="2.87"/>
    <n v="0"/>
    <n v="0.1"/>
    <s v="ACTIVE"/>
    <m/>
    <s v=""/>
    <m/>
    <d v="2026-01-25T10:51:18"/>
    <d v="2026-01-25T00:00:00"/>
    <x v="3"/>
    <x v="0"/>
    <n v="1"/>
    <n v="0"/>
    <x v="897"/>
    <s v="Daniel Gutiérrez Moreno"/>
    <x v="1"/>
  </r>
  <r>
    <n v="1009"/>
    <n v="207"/>
    <n v="2"/>
    <n v="26.89"/>
    <n v="2.69"/>
    <n v="0"/>
    <n v="0.1"/>
    <s v="ACTIVE"/>
    <m/>
    <s v=""/>
    <m/>
    <d v="2026-01-25T12:28:22"/>
    <d v="2026-01-25T00:00:00"/>
    <x v="3"/>
    <x v="0"/>
    <n v="1"/>
    <n v="0"/>
    <x v="898"/>
    <s v="Leticia Vázquez Gutiérrez"/>
    <x v="1"/>
  </r>
  <r>
    <n v="1010"/>
    <n v="207"/>
    <n v="2"/>
    <n v="23.03"/>
    <n v="2.2999999999999998"/>
    <n v="0"/>
    <n v="0.1"/>
    <s v="ACTIVE"/>
    <m/>
    <s v=""/>
    <m/>
    <d v="2026-01-25T16:23:47"/>
    <d v="2026-01-25T00:00:00"/>
    <x v="3"/>
    <x v="0"/>
    <n v="1"/>
    <n v="0"/>
    <x v="899"/>
    <s v="Leticia Vázquez Gutiérrez"/>
    <x v="1"/>
  </r>
  <r>
    <n v="1011"/>
    <n v="137"/>
    <n v="2"/>
    <n v="15.17"/>
    <n v="1.52"/>
    <n v="0"/>
    <n v="0.1"/>
    <s v="ACTIVE"/>
    <m/>
    <s v=""/>
    <m/>
    <d v="2026-01-25T19:26:44"/>
    <d v="2026-01-25T00:00:00"/>
    <x v="3"/>
    <x v="0"/>
    <n v="1"/>
    <n v="0"/>
    <x v="900"/>
    <s v="Francisco Reyes Ruiz"/>
    <x v="1"/>
  </r>
  <r>
    <n v="1012"/>
    <n v="166"/>
    <n v="2"/>
    <n v="77.7"/>
    <n v="7.77"/>
    <n v="0"/>
    <n v="0.1"/>
    <s v="ACTIVE"/>
    <m/>
    <s v=""/>
    <m/>
    <d v="2026-01-26T07:13:15"/>
    <d v="2026-01-26T00:00:00"/>
    <x v="3"/>
    <x v="0"/>
    <n v="1"/>
    <n v="0"/>
    <x v="901"/>
    <s v="Alicia Vázquez Villalobos"/>
    <x v="1"/>
  </r>
  <r>
    <n v="1013"/>
    <n v="48"/>
    <n v="5"/>
    <n v="41.98"/>
    <n v="4.2"/>
    <n v="0"/>
    <n v="0.1"/>
    <s v="ACTIVE"/>
    <m/>
    <s v=""/>
    <m/>
    <d v="2026-01-26T09:06:30"/>
    <d v="2026-01-26T00:00:00"/>
    <x v="3"/>
    <x v="0"/>
    <n v="1"/>
    <n v="0"/>
    <x v="902"/>
    <s v="Carlos Medina Quiñones"/>
    <x v="2"/>
  </r>
  <r>
    <n v="1014"/>
    <n v="197"/>
    <n v="2"/>
    <n v="86.58"/>
    <n v="8.66"/>
    <n v="0"/>
    <n v="0.1"/>
    <s v="ACTIVE"/>
    <m/>
    <s v=""/>
    <m/>
    <d v="2026-01-26T10:29:28"/>
    <d v="2026-01-26T00:00:00"/>
    <x v="3"/>
    <x v="0"/>
    <n v="1"/>
    <n v="0"/>
    <x v="903"/>
    <s v="Raúl Hernández Santoyo"/>
    <x v="1"/>
  </r>
  <r>
    <n v="1015"/>
    <n v="265"/>
    <n v="2"/>
    <n v="101.33"/>
    <n v="10.130000000000001"/>
    <n v="0"/>
    <n v="0.1"/>
    <s v="ACTIVE"/>
    <m/>
    <s v=""/>
    <m/>
    <d v="2026-01-26T10:35:35"/>
    <d v="2026-01-26T00:00:00"/>
    <x v="3"/>
    <x v="0"/>
    <n v="1"/>
    <n v="0"/>
    <x v="904"/>
    <s v="Alejandro Flores González"/>
    <x v="1"/>
  </r>
  <r>
    <n v="1016"/>
    <n v="22"/>
    <n v="3"/>
    <n v="78.05"/>
    <n v="7.81"/>
    <n v="0"/>
    <n v="0.1"/>
    <s v="ACTIVE"/>
    <m/>
    <s v=""/>
    <m/>
    <d v="2026-01-26T10:59:58"/>
    <d v="2026-01-26T00:00:00"/>
    <x v="3"/>
    <x v="0"/>
    <n v="1"/>
    <n v="0"/>
    <x v="905"/>
    <s v="Martha Moreno Rangel"/>
    <x v="0"/>
  </r>
  <r>
    <n v="1017"/>
    <n v="52"/>
    <n v="3"/>
    <n v="44.56"/>
    <n v="4.46"/>
    <n v="0"/>
    <n v="0.1"/>
    <s v="ACTIVE"/>
    <m/>
    <s v=""/>
    <m/>
    <d v="2026-01-26T12:22:34"/>
    <d v="2026-01-26T00:00:00"/>
    <x v="3"/>
    <x v="0"/>
    <n v="1"/>
    <n v="0"/>
    <x v="906"/>
    <s v="Gabriela Villalobos Flores"/>
    <x v="0"/>
  </r>
  <r>
    <n v="1018"/>
    <n v="87"/>
    <n v="4"/>
    <n v="140.26"/>
    <n v="14.03"/>
    <n v="0"/>
    <n v="0.1"/>
    <s v="ACTIVE"/>
    <m/>
    <s v=""/>
    <m/>
    <d v="2026-01-26T14:37:28"/>
    <d v="2026-01-26T00:00:00"/>
    <x v="3"/>
    <x v="0"/>
    <n v="1"/>
    <n v="0"/>
    <x v="907"/>
    <s v="Antonio Reyes Romero"/>
    <x v="3"/>
  </r>
  <r>
    <n v="1019"/>
    <n v="261"/>
    <n v="4"/>
    <n v="118.29"/>
    <n v="11.83"/>
    <n v="0"/>
    <n v="0.1"/>
    <s v="ACTIVE"/>
    <m/>
    <s v=""/>
    <m/>
    <d v="2026-01-26T15:12:09"/>
    <d v="2026-01-26T00:00:00"/>
    <x v="3"/>
    <x v="0"/>
    <n v="1"/>
    <n v="0"/>
    <x v="908"/>
    <s v="Carmen Moreno Delgado"/>
    <x v="3"/>
  </r>
  <r>
    <n v="1020"/>
    <n v="141"/>
    <n v="2"/>
    <n v="79.06"/>
    <n v="7.91"/>
    <n v="0"/>
    <n v="0.1"/>
    <s v="ACTIVE"/>
    <m/>
    <s v=""/>
    <m/>
    <d v="2026-01-26T15:17:16"/>
    <d v="2026-01-26T00:00:00"/>
    <x v="3"/>
    <x v="0"/>
    <n v="1"/>
    <n v="0"/>
    <x v="909"/>
    <s v="Antonio Chávez Martínez"/>
    <x v="1"/>
  </r>
  <r>
    <n v="1021"/>
    <n v="137"/>
    <n v="5"/>
    <n v="38.9"/>
    <n v="3.89"/>
    <n v="0"/>
    <n v="0.1"/>
    <s v="ACTIVE"/>
    <m/>
    <s v=""/>
    <m/>
    <d v="2026-01-26T16:08:13"/>
    <d v="2026-01-26T00:00:00"/>
    <x v="3"/>
    <x v="0"/>
    <n v="1"/>
    <n v="0"/>
    <x v="862"/>
    <s v="Francisco Reyes Ruiz"/>
    <x v="2"/>
  </r>
  <r>
    <n v="1022"/>
    <n v="195"/>
    <n v="2"/>
    <n v="193.72"/>
    <n v="19.37"/>
    <n v="0"/>
    <n v="0.1"/>
    <s v="ACTIVE"/>
    <m/>
    <s v=""/>
    <m/>
    <d v="2026-01-26T16:26:59"/>
    <d v="2026-01-26T00:00:00"/>
    <x v="3"/>
    <x v="0"/>
    <n v="1"/>
    <n v="0"/>
    <x v="910"/>
    <s v="Laura Salazar Pérez"/>
    <x v="1"/>
  </r>
  <r>
    <n v="1023"/>
    <n v="297"/>
    <n v="2"/>
    <n v="82.89"/>
    <n v="8.2899999999999991"/>
    <n v="0"/>
    <n v="0.1"/>
    <s v="ACTIVE"/>
    <m/>
    <s v=""/>
    <m/>
    <d v="2026-01-26T17:51:01"/>
    <d v="2026-01-26T00:00:00"/>
    <x v="3"/>
    <x v="0"/>
    <n v="1"/>
    <n v="0"/>
    <x v="911"/>
    <s v="Patricia Ortiz Jiménez"/>
    <x v="1"/>
  </r>
  <r>
    <n v="1024"/>
    <n v="106"/>
    <n v="5"/>
    <n v="72.150000000000006"/>
    <n v="7.22"/>
    <n v="0"/>
    <n v="0.1"/>
    <s v="ACTIVE"/>
    <m/>
    <s v=""/>
    <m/>
    <d v="2026-01-27T07:42:56"/>
    <d v="2026-01-27T00:00:00"/>
    <x v="3"/>
    <x v="0"/>
    <n v="1"/>
    <n v="0"/>
    <x v="912"/>
    <s v="Isabel García Santoyo"/>
    <x v="2"/>
  </r>
  <r>
    <n v="1025"/>
    <n v="39"/>
    <n v="3"/>
    <n v="204.57"/>
    <n v="20.46"/>
    <n v="0"/>
    <n v="0.1"/>
    <s v="ACTIVE"/>
    <m/>
    <s v=""/>
    <m/>
    <d v="2026-01-27T08:23:04"/>
    <d v="2026-01-27T00:00:00"/>
    <x v="3"/>
    <x v="0"/>
    <n v="1"/>
    <n v="0"/>
    <x v="913"/>
    <s v="Guadalupe García Quiñones"/>
    <x v="0"/>
  </r>
  <r>
    <n v="1026"/>
    <n v="44"/>
    <n v="5"/>
    <n v="23.22"/>
    <n v="2.3199999999999998"/>
    <n v="0"/>
    <n v="0.1"/>
    <s v="ACTIVE"/>
    <m/>
    <s v=""/>
    <m/>
    <d v="2026-01-27T09:42:04"/>
    <d v="2026-01-27T00:00:00"/>
    <x v="3"/>
    <x v="0"/>
    <n v="1"/>
    <n v="0"/>
    <x v="914"/>
    <s v="Pedro Herrera Castillo"/>
    <x v="2"/>
  </r>
  <r>
    <n v="1027"/>
    <n v="137"/>
    <n v="2"/>
    <n v="69.44"/>
    <n v="6.94"/>
    <n v="0"/>
    <n v="0.1"/>
    <s v="ACTIVE"/>
    <m/>
    <s v=""/>
    <m/>
    <d v="2026-01-27T10:52:01"/>
    <d v="2026-01-27T00:00:00"/>
    <x v="3"/>
    <x v="0"/>
    <n v="1"/>
    <n v="0"/>
    <x v="915"/>
    <s v="Francisco Reyes Ruiz"/>
    <x v="1"/>
  </r>
  <r>
    <n v="1028"/>
    <n v="39"/>
    <n v="4"/>
    <n v="149.65"/>
    <n v="14.97"/>
    <n v="0"/>
    <n v="0.1"/>
    <s v="ACTIVE"/>
    <m/>
    <s v=""/>
    <m/>
    <d v="2026-01-27T11:34:53"/>
    <d v="2026-01-27T00:00:00"/>
    <x v="3"/>
    <x v="0"/>
    <n v="1"/>
    <n v="0"/>
    <x v="916"/>
    <s v="Guadalupe García Quiñones"/>
    <x v="3"/>
  </r>
  <r>
    <n v="1029"/>
    <n v="83"/>
    <n v="5"/>
    <n v="35.29"/>
    <n v="3.53"/>
    <n v="0"/>
    <n v="0.1"/>
    <s v="ACTIVE"/>
    <m/>
    <s v=""/>
    <m/>
    <d v="2026-01-27T11:39:17"/>
    <d v="2026-01-27T00:00:00"/>
    <x v="3"/>
    <x v="0"/>
    <n v="1"/>
    <n v="0"/>
    <x v="917"/>
    <s v="Sergio Martínez Herrera"/>
    <x v="2"/>
  </r>
  <r>
    <n v="1030"/>
    <n v="240"/>
    <n v="3"/>
    <n v="165.12"/>
    <n v="16.510000000000002"/>
    <n v="0"/>
    <n v="0.1"/>
    <s v="ACTIVE"/>
    <m/>
    <s v=""/>
    <m/>
    <d v="2026-01-27T11:53:46"/>
    <d v="2026-01-27T00:00:00"/>
    <x v="3"/>
    <x v="0"/>
    <n v="1"/>
    <n v="0"/>
    <x v="918"/>
    <s v="Pedro Castillo Quiñones"/>
    <x v="0"/>
  </r>
  <r>
    <n v="1031"/>
    <n v="176"/>
    <n v="2"/>
    <n v="160.56"/>
    <n v="16.059999999999999"/>
    <n v="0"/>
    <n v="0.1"/>
    <s v="ACTIVE"/>
    <m/>
    <s v=""/>
    <m/>
    <d v="2026-01-27T13:44:43"/>
    <d v="2026-01-27T00:00:00"/>
    <x v="3"/>
    <x v="0"/>
    <n v="1"/>
    <n v="0"/>
    <x v="919"/>
    <s v="Guadalupe Quiñones Ávila"/>
    <x v="1"/>
  </r>
  <r>
    <n v="1032"/>
    <n v="235"/>
    <n v="2"/>
    <n v="57.43"/>
    <n v="5.74"/>
    <n v="0"/>
    <n v="0.1"/>
    <s v="ACTIVE"/>
    <m/>
    <s v=""/>
    <m/>
    <d v="2026-01-27T13:44:47"/>
    <d v="2026-01-27T00:00:00"/>
    <x v="3"/>
    <x v="0"/>
    <n v="1"/>
    <n v="0"/>
    <x v="920"/>
    <s v="Silvia González Rodríguez"/>
    <x v="1"/>
  </r>
  <r>
    <n v="1033"/>
    <n v="125"/>
    <n v="4"/>
    <n v="30.21"/>
    <n v="3.02"/>
    <n v="0"/>
    <n v="0.1"/>
    <s v="ACTIVE"/>
    <m/>
    <s v=""/>
    <m/>
    <d v="2026-01-27T14:36:54"/>
    <d v="2026-01-27T00:00:00"/>
    <x v="3"/>
    <x v="0"/>
    <n v="1"/>
    <n v="0"/>
    <x v="921"/>
    <s v="Leticia Flores Herrera"/>
    <x v="3"/>
  </r>
  <r>
    <n v="1034"/>
    <n v="156"/>
    <n v="5"/>
    <n v="27.95"/>
    <n v="2.8"/>
    <n v="0"/>
    <n v="0.1"/>
    <s v="ACTIVE"/>
    <m/>
    <s v=""/>
    <m/>
    <d v="2026-01-27T14:53:45"/>
    <d v="2026-01-27T00:00:00"/>
    <x v="3"/>
    <x v="0"/>
    <n v="1"/>
    <n v="0"/>
    <x v="922"/>
    <s v="Óscar Moreno Chávez"/>
    <x v="2"/>
  </r>
  <r>
    <n v="1035"/>
    <n v="136"/>
    <n v="5"/>
    <n v="52.94"/>
    <n v="5.29"/>
    <n v="0"/>
    <n v="0.1"/>
    <s v="ACTIVE"/>
    <m/>
    <s v=""/>
    <m/>
    <d v="2026-01-27T15:21:34"/>
    <d v="2026-01-27T00:00:00"/>
    <x v="3"/>
    <x v="0"/>
    <n v="1"/>
    <n v="0"/>
    <x v="923"/>
    <s v="Guadalupe Castillo Rangel"/>
    <x v="2"/>
  </r>
  <r>
    <n v="1036"/>
    <n v="91"/>
    <n v="5"/>
    <n v="26.08"/>
    <n v="2.61"/>
    <n v="0"/>
    <n v="0.1"/>
    <s v="ACTIVE"/>
    <m/>
    <s v=""/>
    <m/>
    <d v="2026-01-27T15:22:48"/>
    <d v="2026-01-27T00:00:00"/>
    <x v="3"/>
    <x v="0"/>
    <n v="1"/>
    <n v="0"/>
    <x v="924"/>
    <s v="Silvia Gómez Rodríguez"/>
    <x v="2"/>
  </r>
  <r>
    <n v="1037"/>
    <n v="240"/>
    <n v="5"/>
    <n v="203.18"/>
    <n v="20.32"/>
    <n v="0"/>
    <n v="0.1"/>
    <s v="ACTIVE"/>
    <m/>
    <s v=""/>
    <m/>
    <d v="2026-01-27T16:19:17"/>
    <d v="2026-01-27T00:00:00"/>
    <x v="3"/>
    <x v="0"/>
    <n v="1"/>
    <n v="0"/>
    <x v="925"/>
    <s v="Pedro Castillo Quiñones"/>
    <x v="2"/>
  </r>
  <r>
    <n v="1038"/>
    <n v="101"/>
    <n v="3"/>
    <n v="33.24"/>
    <n v="3.32"/>
    <n v="0"/>
    <n v="0.1"/>
    <s v="ACTIVE"/>
    <m/>
    <s v=""/>
    <m/>
    <d v="2026-01-27T16:19:28"/>
    <d v="2026-01-27T00:00:00"/>
    <x v="3"/>
    <x v="0"/>
    <n v="1"/>
    <n v="0"/>
    <x v="926"/>
    <s v="Raúl Delgado Villalobos"/>
    <x v="0"/>
  </r>
  <r>
    <n v="1039"/>
    <n v="59"/>
    <n v="3"/>
    <n v="18.13"/>
    <n v="0"/>
    <n v="1"/>
    <n v="0.1"/>
    <s v="ACTIVE"/>
    <m/>
    <s v=""/>
    <m/>
    <d v="2026-01-27T16:44:00"/>
    <d v="2026-01-27T00:00:00"/>
    <x v="3"/>
    <x v="1"/>
    <n v="1"/>
    <n v="0"/>
    <x v="185"/>
    <s v="Daniel Gutiérrez Moreno"/>
    <x v="0"/>
  </r>
  <r>
    <n v="1040"/>
    <n v="304"/>
    <n v="5"/>
    <n v="33.54"/>
    <n v="3.35"/>
    <n v="0"/>
    <n v="0.1"/>
    <s v="ACTIVE"/>
    <m/>
    <s v=""/>
    <m/>
    <d v="2026-01-27T17:08:21"/>
    <d v="2026-01-27T00:00:00"/>
    <x v="3"/>
    <x v="0"/>
    <n v="1"/>
    <n v="0"/>
    <x v="927"/>
    <s v="Leticia González Sánchez"/>
    <x v="2"/>
  </r>
  <r>
    <n v="1041"/>
    <n v="81"/>
    <n v="3"/>
    <n v="15.08"/>
    <n v="1.51"/>
    <n v="0"/>
    <n v="0.1"/>
    <s v="ACTIVE"/>
    <m/>
    <s v=""/>
    <m/>
    <d v="2026-01-27T17:11:58"/>
    <d v="2026-01-27T00:00:00"/>
    <x v="3"/>
    <x v="0"/>
    <n v="1"/>
    <n v="0"/>
    <x v="928"/>
    <s v="Pedro Herrera Castillo"/>
    <x v="0"/>
  </r>
  <r>
    <n v="1042"/>
    <n v="70"/>
    <n v="5"/>
    <n v="191.65"/>
    <n v="19.170000000000002"/>
    <n v="0"/>
    <n v="0.1"/>
    <s v="ACTIVE"/>
    <m/>
    <s v=""/>
    <m/>
    <d v="2026-01-27T19:11:16"/>
    <d v="2026-01-27T00:00:00"/>
    <x v="3"/>
    <x v="0"/>
    <n v="1"/>
    <n v="0"/>
    <x v="929"/>
    <s v="Manuel Ávila Martínez"/>
    <x v="2"/>
  </r>
  <r>
    <n v="1043"/>
    <n v="221"/>
    <n v="4"/>
    <n v="279.92"/>
    <n v="27.99"/>
    <n v="0"/>
    <n v="0.1"/>
    <s v="ACTIVE"/>
    <m/>
    <s v=""/>
    <m/>
    <d v="2026-01-28T07:21:33"/>
    <d v="2026-01-28T00:00:00"/>
    <x v="3"/>
    <x v="0"/>
    <n v="1"/>
    <n v="0"/>
    <x v="930"/>
    <s v="Norma Hernández Chávez"/>
    <x v="3"/>
  </r>
  <r>
    <n v="1044"/>
    <n v="270"/>
    <n v="3"/>
    <n v="36.93"/>
    <n v="3.69"/>
    <n v="0"/>
    <n v="0.1"/>
    <s v="ACTIVE"/>
    <m/>
    <s v=""/>
    <m/>
    <d v="2026-01-28T08:09:38"/>
    <d v="2026-01-28T00:00:00"/>
    <x v="3"/>
    <x v="0"/>
    <n v="1"/>
    <n v="0"/>
    <x v="342"/>
    <s v="Héctor González Rodríguez"/>
    <x v="0"/>
  </r>
  <r>
    <n v="1045"/>
    <n v="115"/>
    <n v="3"/>
    <n v="23.67"/>
    <n v="2.37"/>
    <n v="0"/>
    <n v="0.1"/>
    <s v="CANCELED"/>
    <n v="4"/>
    <s v="Monto duplicado por error de sistema"/>
    <d v="2026-01-28T14:48:45"/>
    <d v="2026-01-28T09:48:45"/>
    <d v="2026-01-28T00:00:00"/>
    <x v="3"/>
    <x v="0"/>
    <n v="1"/>
    <n v="1"/>
    <x v="32"/>
    <s v="Luis Castillo Cruz"/>
    <x v="0"/>
  </r>
  <r>
    <n v="1046"/>
    <n v="240"/>
    <n v="2"/>
    <n v="235.25"/>
    <n v="23.53"/>
    <n v="0"/>
    <n v="0.1"/>
    <s v="ACTIVE"/>
    <m/>
    <s v=""/>
    <m/>
    <d v="2026-01-28T10:02:24"/>
    <d v="2026-01-28T00:00:00"/>
    <x v="3"/>
    <x v="0"/>
    <n v="1"/>
    <n v="0"/>
    <x v="931"/>
    <s v="Pedro Castillo Quiñones"/>
    <x v="1"/>
  </r>
  <r>
    <n v="1047"/>
    <n v="37"/>
    <n v="2"/>
    <n v="141.26"/>
    <n v="14.13"/>
    <n v="0"/>
    <n v="0.1"/>
    <s v="ACTIVE"/>
    <m/>
    <s v=""/>
    <m/>
    <d v="2026-01-28T10:51:08"/>
    <d v="2026-01-28T00:00:00"/>
    <x v="3"/>
    <x v="0"/>
    <n v="1"/>
    <n v="0"/>
    <x v="932"/>
    <s v="Fernando Mendoza Moreno"/>
    <x v="1"/>
  </r>
  <r>
    <n v="1048"/>
    <n v="156"/>
    <n v="2"/>
    <n v="31.51"/>
    <n v="3.15"/>
    <n v="0"/>
    <n v="0.1"/>
    <s v="ACTIVE"/>
    <m/>
    <s v=""/>
    <m/>
    <d v="2026-01-28T12:09:46"/>
    <d v="2026-01-28T00:00:00"/>
    <x v="3"/>
    <x v="0"/>
    <n v="1"/>
    <n v="0"/>
    <x v="933"/>
    <s v="Óscar Moreno Chávez"/>
    <x v="1"/>
  </r>
  <r>
    <n v="1049"/>
    <n v="274"/>
    <n v="5"/>
    <n v="44.28"/>
    <n v="4.43"/>
    <n v="0"/>
    <n v="0.1"/>
    <s v="ACTIVE"/>
    <m/>
    <s v=""/>
    <m/>
    <d v="2026-01-28T14:12:47"/>
    <d v="2026-01-28T00:00:00"/>
    <x v="3"/>
    <x v="0"/>
    <n v="1"/>
    <n v="0"/>
    <x v="934"/>
    <s v="Daniel Medina Medina"/>
    <x v="2"/>
  </r>
  <r>
    <n v="1050"/>
    <n v="197"/>
    <n v="5"/>
    <n v="162.82"/>
    <n v="16.28"/>
    <n v="0"/>
    <n v="0.1"/>
    <s v="ACTIVE"/>
    <m/>
    <s v=""/>
    <m/>
    <d v="2026-01-28T14:13:44"/>
    <d v="2026-01-28T00:00:00"/>
    <x v="3"/>
    <x v="0"/>
    <n v="1"/>
    <n v="0"/>
    <x v="935"/>
    <s v="Raúl Hernández Santoyo"/>
    <x v="2"/>
  </r>
  <r>
    <n v="1051"/>
    <n v="137"/>
    <n v="4"/>
    <n v="38.53"/>
    <n v="3.85"/>
    <n v="0"/>
    <n v="0.1"/>
    <s v="ACTIVE"/>
    <m/>
    <s v=""/>
    <m/>
    <d v="2026-01-28T14:44:05"/>
    <d v="2026-01-28T00:00:00"/>
    <x v="3"/>
    <x v="0"/>
    <n v="1"/>
    <n v="0"/>
    <x v="936"/>
    <s v="Francisco Reyes Ruiz"/>
    <x v="3"/>
  </r>
  <r>
    <n v="1052"/>
    <n v="27"/>
    <n v="3"/>
    <n v="77.790000000000006"/>
    <n v="7.78"/>
    <n v="0"/>
    <n v="0.1"/>
    <s v="ACTIVE"/>
    <m/>
    <s v=""/>
    <m/>
    <d v="2026-01-28T15:03:02"/>
    <d v="2026-01-28T00:00:00"/>
    <x v="3"/>
    <x v="0"/>
    <n v="1"/>
    <n v="0"/>
    <x v="937"/>
    <s v="Alicia Gutiérrez Quiñones"/>
    <x v="0"/>
  </r>
  <r>
    <n v="1053"/>
    <n v="157"/>
    <n v="5"/>
    <n v="38.21"/>
    <n v="3.82"/>
    <n v="0"/>
    <n v="0.1"/>
    <s v="ACTIVE"/>
    <m/>
    <s v=""/>
    <m/>
    <d v="2026-01-28T15:11:42"/>
    <d v="2026-01-28T00:00:00"/>
    <x v="3"/>
    <x v="0"/>
    <n v="1"/>
    <n v="0"/>
    <x v="938"/>
    <s v="Jorge Martínez Herrera"/>
    <x v="2"/>
  </r>
  <r>
    <n v="1054"/>
    <n v="144"/>
    <n v="5"/>
    <n v="220"/>
    <n v="22"/>
    <n v="0"/>
    <n v="0.1"/>
    <s v="ACTIVE"/>
    <m/>
    <s v=""/>
    <m/>
    <d v="2026-01-28T15:20:31"/>
    <d v="2026-01-28T00:00:00"/>
    <x v="3"/>
    <x v="0"/>
    <n v="1"/>
    <n v="0"/>
    <x v="200"/>
    <s v="Silvia Sánchez González"/>
    <x v="2"/>
  </r>
  <r>
    <n v="1055"/>
    <n v="42"/>
    <n v="4"/>
    <n v="28.04"/>
    <n v="2.8"/>
    <n v="0"/>
    <n v="0.1"/>
    <s v="ACTIVE"/>
    <m/>
    <s v=""/>
    <m/>
    <d v="2026-01-28T15:52:11"/>
    <d v="2026-01-28T00:00:00"/>
    <x v="3"/>
    <x v="0"/>
    <n v="1"/>
    <n v="0"/>
    <x v="939"/>
    <s v="Roberto Ávila Ramírez"/>
    <x v="3"/>
  </r>
  <r>
    <n v="1056"/>
    <n v="106"/>
    <n v="4"/>
    <n v="84.79"/>
    <n v="0"/>
    <n v="1"/>
    <n v="0.1"/>
    <s v="ACTIVE"/>
    <m/>
    <s v=""/>
    <m/>
    <d v="2026-01-28T17:27:55"/>
    <d v="2026-01-28T00:00:00"/>
    <x v="3"/>
    <x v="1"/>
    <n v="1"/>
    <n v="0"/>
    <x v="940"/>
    <s v="Isabel García Santoyo"/>
    <x v="3"/>
  </r>
  <r>
    <n v="1057"/>
    <n v="197"/>
    <n v="4"/>
    <n v="137.78"/>
    <n v="13.78"/>
    <n v="0"/>
    <n v="0.1"/>
    <s v="CANCELED"/>
    <n v="4"/>
    <s v="Solicitud del cliente"/>
    <d v="2026-01-29T11:35:53"/>
    <d v="2026-01-28T19:35:53"/>
    <d v="2026-01-28T00:00:00"/>
    <x v="3"/>
    <x v="0"/>
    <n v="1"/>
    <n v="1"/>
    <x v="32"/>
    <s v="Raúl Hernández Santoyo"/>
    <x v="3"/>
  </r>
  <r>
    <n v="1058"/>
    <n v="59"/>
    <n v="4"/>
    <n v="22.85"/>
    <n v="2.29"/>
    <n v="0"/>
    <n v="0.1"/>
    <s v="ACTIVE"/>
    <m/>
    <s v=""/>
    <m/>
    <d v="2026-01-29T09:12:31"/>
    <d v="2026-01-29T00:00:00"/>
    <x v="3"/>
    <x v="0"/>
    <n v="1"/>
    <n v="0"/>
    <x v="860"/>
    <s v="Daniel Gutiérrez Moreno"/>
    <x v="3"/>
  </r>
  <r>
    <n v="1059"/>
    <n v="261"/>
    <n v="3"/>
    <n v="87.16"/>
    <n v="8.7200000000000006"/>
    <n v="0"/>
    <n v="0.1"/>
    <s v="ACTIVE"/>
    <m/>
    <s v=""/>
    <m/>
    <d v="2026-01-29T09:14:37"/>
    <d v="2026-01-29T00:00:00"/>
    <x v="3"/>
    <x v="0"/>
    <n v="1"/>
    <n v="0"/>
    <x v="941"/>
    <s v="Carmen Moreno Delgado"/>
    <x v="0"/>
  </r>
  <r>
    <n v="1060"/>
    <n v="262"/>
    <n v="2"/>
    <n v="89.54"/>
    <n v="8.9499999999999993"/>
    <n v="0"/>
    <n v="0.1"/>
    <s v="ACTIVE"/>
    <m/>
    <s v=""/>
    <m/>
    <d v="2026-01-29T09:41:39"/>
    <d v="2026-01-29T00:00:00"/>
    <x v="3"/>
    <x v="0"/>
    <n v="1"/>
    <n v="0"/>
    <x v="942"/>
    <s v="Guadalupe Cruz Aguilar"/>
    <x v="1"/>
  </r>
  <r>
    <n v="1061"/>
    <n v="227"/>
    <n v="4"/>
    <n v="19.079999999999998"/>
    <n v="1.91"/>
    <n v="0"/>
    <n v="0.1"/>
    <s v="ACTIVE"/>
    <m/>
    <s v=""/>
    <m/>
    <d v="2026-01-29T10:23:03"/>
    <d v="2026-01-29T00:00:00"/>
    <x v="3"/>
    <x v="0"/>
    <n v="1"/>
    <n v="0"/>
    <x v="943"/>
    <s v="Alicia Mendoza Rangel"/>
    <x v="3"/>
  </r>
  <r>
    <n v="1062"/>
    <n v="48"/>
    <n v="3"/>
    <n v="66.53"/>
    <n v="6.65"/>
    <n v="0"/>
    <n v="0.1"/>
    <s v="ACTIVE"/>
    <m/>
    <s v=""/>
    <m/>
    <d v="2026-01-29T10:40:19"/>
    <d v="2026-01-29T00:00:00"/>
    <x v="3"/>
    <x v="0"/>
    <n v="1"/>
    <n v="0"/>
    <x v="944"/>
    <s v="Carlos Medina Quiñones"/>
    <x v="0"/>
  </r>
  <r>
    <n v="1063"/>
    <n v="233"/>
    <n v="2"/>
    <n v="102.35"/>
    <n v="10.24"/>
    <n v="0"/>
    <n v="0.1"/>
    <s v="ACTIVE"/>
    <m/>
    <s v=""/>
    <m/>
    <d v="2026-01-29T16:39:48"/>
    <d v="2026-01-29T00:00:00"/>
    <x v="3"/>
    <x v="0"/>
    <n v="1"/>
    <n v="0"/>
    <x v="945"/>
    <s v="Guadalupe Rangel Moreno"/>
    <x v="1"/>
  </r>
  <r>
    <n v="1064"/>
    <n v="124"/>
    <n v="3"/>
    <n v="25.86"/>
    <n v="2.59"/>
    <n v="0"/>
    <n v="0.1"/>
    <s v="ACTIVE"/>
    <m/>
    <s v=""/>
    <m/>
    <d v="2026-01-30T09:58:16"/>
    <d v="2026-01-30T00:00:00"/>
    <x v="3"/>
    <x v="0"/>
    <n v="1"/>
    <n v="0"/>
    <x v="946"/>
    <s v="Elena Villalobos Pérez"/>
    <x v="0"/>
  </r>
  <r>
    <n v="1065"/>
    <n v="233"/>
    <n v="4"/>
    <n v="125.62"/>
    <n v="12.56"/>
    <n v="0"/>
    <n v="0.1"/>
    <s v="ACTIVE"/>
    <m/>
    <s v=""/>
    <m/>
    <d v="2026-01-30T12:34:57"/>
    <d v="2026-01-30T00:00:00"/>
    <x v="3"/>
    <x v="0"/>
    <n v="1"/>
    <n v="0"/>
    <x v="947"/>
    <s v="Guadalupe Rangel Moreno"/>
    <x v="3"/>
  </r>
  <r>
    <n v="1066"/>
    <n v="197"/>
    <n v="5"/>
    <n v="82.68"/>
    <n v="8.27"/>
    <n v="0"/>
    <n v="0.1"/>
    <s v="ACTIVE"/>
    <m/>
    <s v=""/>
    <m/>
    <d v="2026-01-30T13:18:29"/>
    <d v="2026-01-30T00:00:00"/>
    <x v="3"/>
    <x v="0"/>
    <n v="1"/>
    <n v="0"/>
    <x v="948"/>
    <s v="Raúl Hernández Santoyo"/>
    <x v="2"/>
  </r>
  <r>
    <n v="1067"/>
    <n v="172"/>
    <n v="3"/>
    <n v="38.159999999999997"/>
    <n v="3.82"/>
    <n v="0"/>
    <n v="0.1"/>
    <s v="ACTIVE"/>
    <m/>
    <s v=""/>
    <m/>
    <d v="2026-01-30T15:28:12"/>
    <d v="2026-01-30T00:00:00"/>
    <x v="3"/>
    <x v="0"/>
    <n v="1"/>
    <n v="0"/>
    <x v="949"/>
    <s v="Silvia Salazar Ortiz"/>
    <x v="0"/>
  </r>
  <r>
    <n v="1068"/>
    <n v="240"/>
    <n v="2"/>
    <n v="223.73"/>
    <n v="22.37"/>
    <n v="0"/>
    <n v="0.1"/>
    <s v="ACTIVE"/>
    <m/>
    <s v=""/>
    <m/>
    <d v="2026-01-30T16:17:55"/>
    <d v="2026-01-30T00:00:00"/>
    <x v="3"/>
    <x v="0"/>
    <n v="1"/>
    <n v="0"/>
    <x v="950"/>
    <s v="Pedro Castillo Quiñones"/>
    <x v="1"/>
  </r>
  <r>
    <n v="1069"/>
    <n v="257"/>
    <n v="2"/>
    <n v="153.06"/>
    <n v="15.31"/>
    <n v="0"/>
    <n v="0.1"/>
    <s v="ACTIVE"/>
    <m/>
    <s v=""/>
    <m/>
    <d v="2026-01-30T16:29:26"/>
    <d v="2026-01-30T00:00:00"/>
    <x v="3"/>
    <x v="0"/>
    <n v="1"/>
    <n v="0"/>
    <x v="951"/>
    <s v="Carmen García Rangel"/>
    <x v="1"/>
  </r>
  <r>
    <n v="1070"/>
    <n v="16"/>
    <n v="4"/>
    <n v="186.44"/>
    <n v="18.64"/>
    <n v="0"/>
    <n v="0.1"/>
    <s v="ACTIVE"/>
    <m/>
    <s v=""/>
    <m/>
    <d v="2026-01-30T16:46:00"/>
    <d v="2026-01-30T00:00:00"/>
    <x v="3"/>
    <x v="0"/>
    <n v="1"/>
    <n v="0"/>
    <x v="952"/>
    <s v="Laura Chávez Rangel"/>
    <x v="3"/>
  </r>
  <r>
    <n v="1071"/>
    <n v="69"/>
    <n v="4"/>
    <n v="31.67"/>
    <n v="3.17"/>
    <n v="0"/>
    <n v="0.1"/>
    <s v="ACTIVE"/>
    <m/>
    <s v=""/>
    <m/>
    <d v="2026-01-30T17:42:21"/>
    <d v="2026-01-30T00:00:00"/>
    <x v="3"/>
    <x v="0"/>
    <n v="1"/>
    <n v="0"/>
    <x v="953"/>
    <s v="Carmen Quiñones Hernández"/>
    <x v="3"/>
  </r>
  <r>
    <n v="1072"/>
    <n v="279"/>
    <n v="2"/>
    <n v="300"/>
    <n v="30"/>
    <n v="0"/>
    <n v="0.1"/>
    <s v="ACTIVE"/>
    <m/>
    <s v=""/>
    <m/>
    <d v="2026-01-30T18:43:36"/>
    <d v="2026-01-30T00:00:00"/>
    <x v="3"/>
    <x v="0"/>
    <n v="1"/>
    <n v="0"/>
    <x v="74"/>
    <s v="Rosa Mendoza Moreno"/>
    <x v="1"/>
  </r>
  <r>
    <n v="1073"/>
    <n v="202"/>
    <n v="4"/>
    <n v="15.06"/>
    <n v="1.51"/>
    <n v="0"/>
    <n v="0.1"/>
    <s v="ACTIVE"/>
    <m/>
    <s v=""/>
    <m/>
    <d v="2026-01-31T09:27:43"/>
    <d v="2026-01-31T00:00:00"/>
    <x v="3"/>
    <x v="0"/>
    <n v="1"/>
    <n v="0"/>
    <x v="954"/>
    <s v="Elena Díaz Reyes"/>
    <x v="3"/>
  </r>
  <r>
    <n v="1074"/>
    <n v="59"/>
    <n v="2"/>
    <n v="29.72"/>
    <n v="2.97"/>
    <n v="0"/>
    <n v="0.1"/>
    <s v="CANCELED"/>
    <n v="2"/>
    <s v="Monto duplicado por error de sistema"/>
    <d v="2026-02-01T01:57:38"/>
    <d v="2026-01-31T09:57:38"/>
    <d v="2026-01-31T00:00:00"/>
    <x v="3"/>
    <x v="0"/>
    <n v="1"/>
    <n v="1"/>
    <x v="32"/>
    <s v="Daniel Gutiérrez Moreno"/>
    <x v="1"/>
  </r>
  <r>
    <n v="1075"/>
    <n v="136"/>
    <n v="4"/>
    <n v="141.54"/>
    <n v="14.15"/>
    <n v="0"/>
    <n v="0.1"/>
    <s v="ACTIVE"/>
    <m/>
    <s v=""/>
    <m/>
    <d v="2026-01-31T10:49:41"/>
    <d v="2026-01-31T00:00:00"/>
    <x v="3"/>
    <x v="0"/>
    <n v="1"/>
    <n v="0"/>
    <x v="955"/>
    <s v="Guadalupe Castillo Rangel"/>
    <x v="3"/>
  </r>
  <r>
    <n v="1076"/>
    <n v="296"/>
    <n v="3"/>
    <n v="48.23"/>
    <n v="4.82"/>
    <n v="0"/>
    <n v="0.1"/>
    <s v="ACTIVE"/>
    <m/>
    <s v=""/>
    <m/>
    <d v="2026-01-31T12:03:07"/>
    <d v="2026-01-31T00:00:00"/>
    <x v="3"/>
    <x v="0"/>
    <n v="1"/>
    <n v="0"/>
    <x v="956"/>
    <s v="Verónica Castillo García"/>
    <x v="0"/>
  </r>
  <r>
    <n v="1077"/>
    <n v="207"/>
    <n v="5"/>
    <n v="60.03"/>
    <n v="6"/>
    <n v="0"/>
    <n v="0.1"/>
    <s v="ACTIVE"/>
    <m/>
    <s v=""/>
    <m/>
    <d v="2026-01-31T12:10:18"/>
    <d v="2026-01-31T00:00:00"/>
    <x v="3"/>
    <x v="0"/>
    <n v="1"/>
    <n v="0"/>
    <x v="957"/>
    <s v="Leticia Vázquez Gutiérrez"/>
    <x v="2"/>
  </r>
  <r>
    <n v="1078"/>
    <n v="265"/>
    <n v="4"/>
    <n v="168.14"/>
    <n v="16.809999999999999"/>
    <n v="0"/>
    <n v="0.1"/>
    <s v="ACTIVE"/>
    <m/>
    <s v=""/>
    <m/>
    <d v="2026-01-31T12:10:39"/>
    <d v="2026-01-31T00:00:00"/>
    <x v="3"/>
    <x v="0"/>
    <n v="1"/>
    <n v="0"/>
    <x v="958"/>
    <s v="Alejandro Flores González"/>
    <x v="3"/>
  </r>
  <r>
    <n v="1079"/>
    <n v="279"/>
    <n v="2"/>
    <n v="221.25"/>
    <n v="22.13"/>
    <n v="0"/>
    <n v="0.1"/>
    <s v="ACTIVE"/>
    <m/>
    <s v=""/>
    <m/>
    <d v="2026-01-31T12:18:17"/>
    <d v="2026-01-31T00:00:00"/>
    <x v="3"/>
    <x v="0"/>
    <n v="1"/>
    <n v="0"/>
    <x v="959"/>
    <s v="Rosa Mendoza Moreno"/>
    <x v="1"/>
  </r>
  <r>
    <n v="1080"/>
    <n v="27"/>
    <n v="3"/>
    <n v="100.67"/>
    <n v="10.07"/>
    <n v="0"/>
    <n v="0.1"/>
    <s v="ACTIVE"/>
    <m/>
    <s v=""/>
    <m/>
    <d v="2026-01-31T13:13:44"/>
    <d v="2026-01-31T00:00:00"/>
    <x v="3"/>
    <x v="0"/>
    <n v="1"/>
    <n v="0"/>
    <x v="960"/>
    <s v="Alicia Gutiérrez Quiñones"/>
    <x v="0"/>
  </r>
  <r>
    <n v="1081"/>
    <n v="156"/>
    <n v="5"/>
    <n v="35.15"/>
    <n v="3.52"/>
    <n v="0"/>
    <n v="0.1"/>
    <s v="ACTIVE"/>
    <m/>
    <s v=""/>
    <m/>
    <d v="2026-01-31T13:58:23"/>
    <d v="2026-01-31T00:00:00"/>
    <x v="3"/>
    <x v="0"/>
    <n v="1"/>
    <n v="0"/>
    <x v="961"/>
    <s v="Óscar Moreno Chávez"/>
    <x v="2"/>
  </r>
  <r>
    <n v="1082"/>
    <n v="15"/>
    <n v="5"/>
    <n v="36.04"/>
    <n v="3.6"/>
    <n v="0"/>
    <n v="0.1"/>
    <s v="ACTIVE"/>
    <m/>
    <s v=""/>
    <m/>
    <d v="2026-01-31T15:16:12"/>
    <d v="2026-01-31T00:00:00"/>
    <x v="3"/>
    <x v="0"/>
    <n v="1"/>
    <n v="0"/>
    <x v="962"/>
    <s v="Javier Ramos Rodríguez"/>
    <x v="2"/>
  </r>
  <r>
    <n v="1083"/>
    <n v="84"/>
    <n v="2"/>
    <n v="88.44"/>
    <n v="8.84"/>
    <n v="0"/>
    <n v="0.1"/>
    <s v="ACTIVE"/>
    <m/>
    <s v=""/>
    <m/>
    <d v="2026-01-31T16:52:38"/>
    <d v="2026-01-31T00:00:00"/>
    <x v="3"/>
    <x v="0"/>
    <n v="1"/>
    <n v="0"/>
    <x v="963"/>
    <s v="Fernando Vázquez Herrera"/>
    <x v="1"/>
  </r>
  <r>
    <n v="1084"/>
    <n v="156"/>
    <n v="2"/>
    <n v="31.87"/>
    <n v="3.19"/>
    <n v="0"/>
    <n v="0.1"/>
    <s v="ACTIVE"/>
    <m/>
    <s v=""/>
    <m/>
    <d v="2026-01-31T17:39:58"/>
    <d v="2026-01-31T00:00:00"/>
    <x v="3"/>
    <x v="0"/>
    <n v="1"/>
    <n v="0"/>
    <x v="964"/>
    <s v="Óscar Moreno Chávez"/>
    <x v="1"/>
  </r>
  <r>
    <n v="1085"/>
    <n v="39"/>
    <n v="2"/>
    <n v="196.66"/>
    <n v="19.670000000000002"/>
    <n v="0"/>
    <n v="0.1"/>
    <s v="ACTIVE"/>
    <m/>
    <s v=""/>
    <m/>
    <d v="2026-01-31T17:55:36"/>
    <d v="2026-01-31T00:00:00"/>
    <x v="3"/>
    <x v="0"/>
    <n v="1"/>
    <n v="0"/>
    <x v="965"/>
    <s v="Guadalupe García Quiñones"/>
    <x v="1"/>
  </r>
  <r>
    <n v="1086"/>
    <n v="126"/>
    <n v="4"/>
    <n v="60.39"/>
    <n v="6.04"/>
    <n v="0"/>
    <n v="0.1"/>
    <s v="ACTIVE"/>
    <m/>
    <s v=""/>
    <m/>
    <d v="2026-02-01T07:45:51"/>
    <d v="2026-02-01T00:00:00"/>
    <x v="4"/>
    <x v="0"/>
    <n v="1"/>
    <n v="0"/>
    <x v="966"/>
    <s v="Raúl Ávila Salazar"/>
    <x v="3"/>
  </r>
  <r>
    <n v="1087"/>
    <n v="253"/>
    <n v="4"/>
    <n v="32.28"/>
    <n v="3.23"/>
    <n v="0"/>
    <n v="0.1"/>
    <s v="ACTIVE"/>
    <m/>
    <s v=""/>
    <m/>
    <d v="2026-02-01T09:52:55"/>
    <d v="2026-02-01T00:00:00"/>
    <x v="4"/>
    <x v="0"/>
    <n v="1"/>
    <n v="0"/>
    <x v="967"/>
    <s v="Luis Hernández Morales"/>
    <x v="3"/>
  </r>
  <r>
    <n v="1088"/>
    <n v="52"/>
    <n v="3"/>
    <n v="24.23"/>
    <n v="2.42"/>
    <n v="0"/>
    <n v="0.1"/>
    <s v="ACTIVE"/>
    <m/>
    <s v=""/>
    <m/>
    <d v="2026-02-01T10:42:15"/>
    <d v="2026-02-01T00:00:00"/>
    <x v="4"/>
    <x v="0"/>
    <n v="1"/>
    <n v="0"/>
    <x v="273"/>
    <s v="Gabriela Villalobos Flores"/>
    <x v="0"/>
  </r>
  <r>
    <n v="1089"/>
    <n v="31"/>
    <n v="4"/>
    <n v="33.93"/>
    <n v="3.39"/>
    <n v="0"/>
    <n v="0.1"/>
    <s v="ACTIVE"/>
    <m/>
    <s v=""/>
    <m/>
    <d v="2026-02-01T12:06:14"/>
    <d v="2026-02-01T00:00:00"/>
    <x v="4"/>
    <x v="0"/>
    <n v="1"/>
    <n v="0"/>
    <x v="359"/>
    <s v="Óscar Zacatecas Reyes"/>
    <x v="3"/>
  </r>
  <r>
    <n v="1090"/>
    <n v="91"/>
    <n v="5"/>
    <n v="36.79"/>
    <n v="3.68"/>
    <n v="0"/>
    <n v="0.1"/>
    <s v="ACTIVE"/>
    <m/>
    <s v=""/>
    <m/>
    <d v="2026-02-01T15:52:11"/>
    <d v="2026-02-01T00:00:00"/>
    <x v="4"/>
    <x v="0"/>
    <n v="1"/>
    <n v="0"/>
    <x v="968"/>
    <s v="Silvia Gómez Rodríguez"/>
    <x v="2"/>
  </r>
  <r>
    <n v="1091"/>
    <n v="21"/>
    <n v="4"/>
    <n v="19.18"/>
    <n v="1.92"/>
    <n v="0"/>
    <n v="0.1"/>
    <s v="ACTIVE"/>
    <m/>
    <s v=""/>
    <m/>
    <d v="2026-02-01T16:07:58"/>
    <d v="2026-02-01T00:00:00"/>
    <x v="4"/>
    <x v="0"/>
    <n v="1"/>
    <n v="0"/>
    <x v="969"/>
    <s v="Carlos Morales Santoyo"/>
    <x v="3"/>
  </r>
  <r>
    <n v="1092"/>
    <n v="44"/>
    <n v="3"/>
    <n v="18.23"/>
    <n v="1.82"/>
    <n v="0"/>
    <n v="0.1"/>
    <s v="ACTIVE"/>
    <m/>
    <s v=""/>
    <m/>
    <d v="2026-02-02T08:23:32"/>
    <d v="2026-02-02T00:00:00"/>
    <x v="4"/>
    <x v="0"/>
    <n v="1"/>
    <n v="0"/>
    <x v="970"/>
    <s v="Pedro Herrera Castillo"/>
    <x v="0"/>
  </r>
  <r>
    <n v="1093"/>
    <n v="45"/>
    <n v="3"/>
    <n v="98.55"/>
    <n v="9.86"/>
    <n v="0"/>
    <n v="0.1"/>
    <s v="ACTIVE"/>
    <m/>
    <s v=""/>
    <m/>
    <d v="2026-02-02T08:34:25"/>
    <d v="2026-02-02T00:00:00"/>
    <x v="4"/>
    <x v="0"/>
    <n v="1"/>
    <n v="0"/>
    <x v="971"/>
    <s v="Luis Pérez López"/>
    <x v="0"/>
  </r>
  <r>
    <n v="1094"/>
    <n v="21"/>
    <n v="5"/>
    <n v="20.67"/>
    <n v="2.0699999999999998"/>
    <n v="0"/>
    <n v="0.1"/>
    <s v="ACTIVE"/>
    <m/>
    <s v=""/>
    <m/>
    <d v="2026-02-02T08:39:27"/>
    <d v="2026-02-02T00:00:00"/>
    <x v="4"/>
    <x v="0"/>
    <n v="1"/>
    <n v="0"/>
    <x v="972"/>
    <s v="Carlos Morales Santoyo"/>
    <x v="2"/>
  </r>
  <r>
    <n v="1095"/>
    <n v="240"/>
    <n v="5"/>
    <n v="268.2"/>
    <n v="26.82"/>
    <n v="0"/>
    <n v="0.1"/>
    <s v="ACTIVE"/>
    <m/>
    <s v=""/>
    <m/>
    <d v="2026-02-02T08:45:27"/>
    <d v="2026-02-02T00:00:00"/>
    <x v="4"/>
    <x v="0"/>
    <n v="1"/>
    <n v="0"/>
    <x v="973"/>
    <s v="Pedro Castillo Quiñones"/>
    <x v="2"/>
  </r>
  <r>
    <n v="1096"/>
    <n v="63"/>
    <n v="5"/>
    <n v="17.309999999999999"/>
    <n v="1.73"/>
    <n v="0"/>
    <n v="0.1"/>
    <s v="ACTIVE"/>
    <m/>
    <s v=""/>
    <m/>
    <d v="2026-02-02T09:57:14"/>
    <d v="2026-02-02T00:00:00"/>
    <x v="4"/>
    <x v="0"/>
    <n v="1"/>
    <n v="0"/>
    <x v="974"/>
    <s v="Teresa Mendoza Delgado"/>
    <x v="2"/>
  </r>
  <r>
    <n v="1097"/>
    <n v="252"/>
    <n v="5"/>
    <n v="30.32"/>
    <n v="3.03"/>
    <n v="0"/>
    <n v="0.1"/>
    <s v="ACTIVE"/>
    <m/>
    <s v=""/>
    <m/>
    <d v="2026-02-02T11:38:16"/>
    <d v="2026-02-02T00:00:00"/>
    <x v="4"/>
    <x v="0"/>
    <n v="1"/>
    <n v="0"/>
    <x v="975"/>
    <s v="Martha Delgado Mendoza"/>
    <x v="2"/>
  </r>
  <r>
    <n v="1098"/>
    <n v="293"/>
    <n v="3"/>
    <n v="19.02"/>
    <n v="1.9"/>
    <n v="0"/>
    <n v="0.1"/>
    <s v="CANCELED"/>
    <n v="3"/>
    <s v="Error de captura"/>
    <d v="2026-02-02T14:39:03"/>
    <d v="2026-02-02T11:39:03"/>
    <d v="2026-02-02T00:00:00"/>
    <x v="4"/>
    <x v="0"/>
    <n v="1"/>
    <n v="1"/>
    <x v="32"/>
    <s v="Patricia Quiñones Pérez"/>
    <x v="0"/>
  </r>
  <r>
    <n v="1099"/>
    <n v="163"/>
    <n v="5"/>
    <n v="30.94"/>
    <n v="3.09"/>
    <n v="0"/>
    <n v="0.1"/>
    <s v="ACTIVE"/>
    <m/>
    <s v=""/>
    <m/>
    <d v="2026-02-02T12:39:55"/>
    <d v="2026-02-02T00:00:00"/>
    <x v="4"/>
    <x v="0"/>
    <n v="1"/>
    <n v="0"/>
    <x v="299"/>
    <s v="Héctor Moreno Quiñones"/>
    <x v="2"/>
  </r>
  <r>
    <n v="1100"/>
    <n v="60"/>
    <n v="2"/>
    <n v="268.69"/>
    <n v="26.87"/>
    <n v="0"/>
    <n v="0.1"/>
    <s v="ACTIVE"/>
    <m/>
    <s v=""/>
    <m/>
    <d v="2026-02-02T15:22:03"/>
    <d v="2026-02-02T00:00:00"/>
    <x v="4"/>
    <x v="0"/>
    <n v="1"/>
    <n v="0"/>
    <x v="976"/>
    <s v="Leticia Ruiz González"/>
    <x v="1"/>
  </r>
  <r>
    <n v="1101"/>
    <n v="57"/>
    <n v="4"/>
    <n v="63.12"/>
    <n v="6.31"/>
    <n v="0"/>
    <n v="0.1"/>
    <s v="ACTIVE"/>
    <m/>
    <s v=""/>
    <m/>
    <d v="2026-02-02T15:22:15"/>
    <d v="2026-02-02T00:00:00"/>
    <x v="4"/>
    <x v="0"/>
    <n v="1"/>
    <n v="0"/>
    <x v="977"/>
    <s v="Isabel Martínez Rodríguez"/>
    <x v="3"/>
  </r>
  <r>
    <n v="1102"/>
    <n v="117"/>
    <n v="4"/>
    <n v="105.04"/>
    <n v="10.5"/>
    <n v="0"/>
    <n v="0.1"/>
    <s v="ACTIVE"/>
    <m/>
    <s v=""/>
    <m/>
    <d v="2026-02-02T17:10:26"/>
    <d v="2026-02-02T00:00:00"/>
    <x v="4"/>
    <x v="0"/>
    <n v="1"/>
    <n v="0"/>
    <x v="978"/>
    <s v="Manuel Ortiz Ramírez"/>
    <x v="3"/>
  </r>
  <r>
    <n v="1103"/>
    <n v="37"/>
    <n v="3"/>
    <n v="107.89"/>
    <n v="10.79"/>
    <n v="0"/>
    <n v="0.1"/>
    <s v="ACTIVE"/>
    <m/>
    <s v=""/>
    <m/>
    <d v="2026-02-02T17:49:52"/>
    <d v="2026-02-02T00:00:00"/>
    <x v="4"/>
    <x v="0"/>
    <n v="1"/>
    <n v="0"/>
    <x v="979"/>
    <s v="Fernando Mendoza Moreno"/>
    <x v="0"/>
  </r>
  <r>
    <n v="1104"/>
    <n v="44"/>
    <n v="5"/>
    <n v="18.38"/>
    <n v="1.84"/>
    <n v="0"/>
    <n v="0.1"/>
    <s v="ACTIVE"/>
    <m/>
    <s v=""/>
    <m/>
    <d v="2026-02-02T19:26:12"/>
    <d v="2026-02-02T00:00:00"/>
    <x v="4"/>
    <x v="0"/>
    <n v="1"/>
    <n v="0"/>
    <x v="980"/>
    <s v="Pedro Herrera Castillo"/>
    <x v="2"/>
  </r>
  <r>
    <n v="1105"/>
    <n v="87"/>
    <n v="4"/>
    <n v="71.599999999999994"/>
    <n v="7.16"/>
    <n v="0"/>
    <n v="0.1"/>
    <s v="ACTIVE"/>
    <m/>
    <s v=""/>
    <m/>
    <d v="2026-02-02T19:57:41"/>
    <d v="2026-02-02T00:00:00"/>
    <x v="4"/>
    <x v="0"/>
    <n v="1"/>
    <n v="0"/>
    <x v="981"/>
    <s v="Antonio Reyes Romero"/>
    <x v="3"/>
  </r>
  <r>
    <n v="1106"/>
    <n v="31"/>
    <n v="2"/>
    <n v="19.52"/>
    <n v="1.95"/>
    <n v="0"/>
    <n v="0.1"/>
    <s v="ACTIVE"/>
    <m/>
    <s v=""/>
    <m/>
    <d v="2026-02-03T08:01:35"/>
    <d v="2026-02-03T00:00:00"/>
    <x v="4"/>
    <x v="0"/>
    <n v="1"/>
    <n v="0"/>
    <x v="982"/>
    <s v="Óscar Zacatecas Reyes"/>
    <x v="1"/>
  </r>
  <r>
    <n v="1107"/>
    <n v="52"/>
    <n v="4"/>
    <n v="41.72"/>
    <n v="0"/>
    <n v="1"/>
    <n v="0.1"/>
    <s v="ACTIVE"/>
    <m/>
    <s v=""/>
    <m/>
    <d v="2026-02-03T09:41:37"/>
    <d v="2026-02-03T00:00:00"/>
    <x v="4"/>
    <x v="1"/>
    <n v="1"/>
    <n v="0"/>
    <x v="983"/>
    <s v="Gabriela Villalobos Flores"/>
    <x v="3"/>
  </r>
  <r>
    <n v="1108"/>
    <n v="52"/>
    <n v="2"/>
    <n v="41.48"/>
    <n v="4.1500000000000004"/>
    <n v="0"/>
    <n v="0.1"/>
    <s v="ACTIVE"/>
    <m/>
    <s v=""/>
    <m/>
    <d v="2026-02-03T09:45:16"/>
    <d v="2026-02-03T00:00:00"/>
    <x v="4"/>
    <x v="0"/>
    <n v="1"/>
    <n v="0"/>
    <x v="984"/>
    <s v="Gabriela Villalobos Flores"/>
    <x v="1"/>
  </r>
  <r>
    <n v="1109"/>
    <n v="84"/>
    <n v="3"/>
    <n v="35.76"/>
    <n v="3.58"/>
    <n v="0"/>
    <n v="0.1"/>
    <s v="ACTIVE"/>
    <m/>
    <s v=""/>
    <m/>
    <d v="2026-02-03T09:54:01"/>
    <d v="2026-02-03T00:00:00"/>
    <x v="4"/>
    <x v="0"/>
    <n v="1"/>
    <n v="0"/>
    <x v="985"/>
    <s v="Fernando Vázquez Herrera"/>
    <x v="0"/>
  </r>
  <r>
    <n v="1110"/>
    <n v="151"/>
    <n v="5"/>
    <n v="140.53"/>
    <n v="14.05"/>
    <n v="0"/>
    <n v="0.1"/>
    <s v="ACTIVE"/>
    <m/>
    <s v=""/>
    <m/>
    <d v="2026-02-03T10:26:54"/>
    <d v="2026-02-03T00:00:00"/>
    <x v="4"/>
    <x v="0"/>
    <n v="1"/>
    <n v="0"/>
    <x v="986"/>
    <s v="Verónica Salazar Ramos"/>
    <x v="2"/>
  </r>
  <r>
    <n v="1111"/>
    <n v="112"/>
    <n v="2"/>
    <n v="29.76"/>
    <n v="2.98"/>
    <n v="0"/>
    <n v="0.1"/>
    <s v="ACTIVE"/>
    <m/>
    <s v=""/>
    <m/>
    <d v="2026-02-03T11:36:11"/>
    <d v="2026-02-03T00:00:00"/>
    <x v="4"/>
    <x v="0"/>
    <n v="1"/>
    <n v="0"/>
    <x v="987"/>
    <s v="Leticia Díaz López"/>
    <x v="1"/>
  </r>
  <r>
    <n v="1112"/>
    <n v="137"/>
    <n v="2"/>
    <n v="12.88"/>
    <n v="0"/>
    <n v="1"/>
    <n v="0.1"/>
    <s v="ACTIVE"/>
    <m/>
    <s v=""/>
    <m/>
    <d v="2026-02-03T15:43:04"/>
    <d v="2026-02-03T00:00:00"/>
    <x v="4"/>
    <x v="1"/>
    <n v="1"/>
    <n v="0"/>
    <x v="988"/>
    <s v="Francisco Reyes Ruiz"/>
    <x v="1"/>
  </r>
  <r>
    <n v="1113"/>
    <n v="56"/>
    <n v="3"/>
    <n v="71.760000000000005"/>
    <n v="7.18"/>
    <n v="0"/>
    <n v="0.1"/>
    <s v="ACTIVE"/>
    <m/>
    <s v=""/>
    <m/>
    <d v="2026-02-03T17:34:51"/>
    <d v="2026-02-03T00:00:00"/>
    <x v="4"/>
    <x v="0"/>
    <n v="1"/>
    <n v="0"/>
    <x v="989"/>
    <s v="Carlos Ortiz Moreno"/>
    <x v="0"/>
  </r>
  <r>
    <n v="1114"/>
    <n v="280"/>
    <n v="3"/>
    <n v="28.12"/>
    <n v="2.81"/>
    <n v="0"/>
    <n v="0.1"/>
    <s v="ACTIVE"/>
    <m/>
    <s v=""/>
    <m/>
    <d v="2026-02-03T18:11:59"/>
    <d v="2026-02-03T00:00:00"/>
    <x v="4"/>
    <x v="0"/>
    <n v="1"/>
    <n v="0"/>
    <x v="990"/>
    <s v="Óscar Quiñones Jiménez"/>
    <x v="0"/>
  </r>
  <r>
    <n v="1115"/>
    <n v="156"/>
    <n v="4"/>
    <n v="30.07"/>
    <n v="3.01"/>
    <n v="0"/>
    <n v="0.1"/>
    <s v="ACTIVE"/>
    <m/>
    <s v=""/>
    <m/>
    <d v="2026-02-04T07:43:31"/>
    <d v="2026-02-04T00:00:00"/>
    <x v="4"/>
    <x v="0"/>
    <n v="1"/>
    <n v="0"/>
    <x v="991"/>
    <s v="Óscar Moreno Chávez"/>
    <x v="3"/>
  </r>
  <r>
    <n v="1116"/>
    <n v="38"/>
    <n v="2"/>
    <n v="21.41"/>
    <n v="2.14"/>
    <n v="0"/>
    <n v="0.1"/>
    <s v="ACTIVE"/>
    <m/>
    <s v=""/>
    <m/>
    <d v="2026-02-04T07:51:19"/>
    <d v="2026-02-04T00:00:00"/>
    <x v="4"/>
    <x v="0"/>
    <n v="1"/>
    <n v="0"/>
    <x v="992"/>
    <s v="Verónica Delgado Medina"/>
    <x v="1"/>
  </r>
  <r>
    <n v="1117"/>
    <n v="137"/>
    <n v="5"/>
    <n v="29.94"/>
    <n v="2.99"/>
    <n v="0"/>
    <n v="0.1"/>
    <s v="ACTIVE"/>
    <m/>
    <s v=""/>
    <m/>
    <d v="2026-02-04T08:04:00"/>
    <d v="2026-02-04T00:00:00"/>
    <x v="4"/>
    <x v="0"/>
    <n v="1"/>
    <n v="0"/>
    <x v="993"/>
    <s v="Francisco Reyes Ruiz"/>
    <x v="2"/>
  </r>
  <r>
    <n v="1118"/>
    <n v="94"/>
    <n v="5"/>
    <n v="192.87"/>
    <n v="19.29"/>
    <n v="0"/>
    <n v="0.1"/>
    <s v="ACTIVE"/>
    <m/>
    <s v=""/>
    <m/>
    <d v="2026-02-04T08:45:42"/>
    <d v="2026-02-04T00:00:00"/>
    <x v="4"/>
    <x v="0"/>
    <n v="1"/>
    <n v="0"/>
    <x v="994"/>
    <s v="Silvia González Rangel"/>
    <x v="2"/>
  </r>
  <r>
    <n v="1119"/>
    <n v="156"/>
    <n v="3"/>
    <n v="23.91"/>
    <n v="2.39"/>
    <n v="0"/>
    <n v="0.1"/>
    <s v="ACTIVE"/>
    <m/>
    <s v=""/>
    <m/>
    <d v="2026-02-04T09:07:16"/>
    <d v="2026-02-04T00:00:00"/>
    <x v="4"/>
    <x v="0"/>
    <n v="1"/>
    <n v="0"/>
    <x v="995"/>
    <s v="Óscar Moreno Chávez"/>
    <x v="0"/>
  </r>
  <r>
    <n v="1120"/>
    <n v="156"/>
    <n v="5"/>
    <n v="27.43"/>
    <n v="2.74"/>
    <n v="0"/>
    <n v="0.1"/>
    <s v="ACTIVE"/>
    <m/>
    <s v=""/>
    <m/>
    <d v="2026-02-04T09:22:38"/>
    <d v="2026-02-04T00:00:00"/>
    <x v="4"/>
    <x v="0"/>
    <n v="1"/>
    <n v="0"/>
    <x v="996"/>
    <s v="Óscar Moreno Chávez"/>
    <x v="2"/>
  </r>
  <r>
    <n v="1121"/>
    <n v="17"/>
    <n v="5"/>
    <n v="97.91"/>
    <n v="9.7899999999999991"/>
    <n v="0"/>
    <n v="0.1"/>
    <s v="ACTIVE"/>
    <m/>
    <s v=""/>
    <m/>
    <d v="2026-02-04T09:27:58"/>
    <d v="2026-02-04T00:00:00"/>
    <x v="4"/>
    <x v="0"/>
    <n v="1"/>
    <n v="0"/>
    <x v="997"/>
    <s v="Patricia Castillo Morales"/>
    <x v="2"/>
  </r>
  <r>
    <n v="1122"/>
    <n v="40"/>
    <n v="2"/>
    <n v="110.04"/>
    <n v="11"/>
    <n v="0"/>
    <n v="0.1"/>
    <s v="ACTIVE"/>
    <m/>
    <s v=""/>
    <m/>
    <d v="2026-02-04T09:52:31"/>
    <d v="2026-02-04T00:00:00"/>
    <x v="4"/>
    <x v="0"/>
    <n v="1"/>
    <n v="0"/>
    <x v="998"/>
    <s v="Carlos López Cruz"/>
    <x v="1"/>
  </r>
  <r>
    <n v="1123"/>
    <n v="227"/>
    <n v="4"/>
    <n v="42.6"/>
    <n v="4.26"/>
    <n v="0"/>
    <n v="0.1"/>
    <s v="ACTIVE"/>
    <m/>
    <s v=""/>
    <m/>
    <d v="2026-02-04T10:24:49"/>
    <d v="2026-02-04T00:00:00"/>
    <x v="4"/>
    <x v="0"/>
    <n v="1"/>
    <n v="0"/>
    <x v="999"/>
    <s v="Alicia Mendoza Rangel"/>
    <x v="3"/>
  </r>
  <r>
    <n v="1124"/>
    <n v="270"/>
    <n v="2"/>
    <n v="31.23"/>
    <n v="3.12"/>
    <n v="0"/>
    <n v="0.1"/>
    <s v="ACTIVE"/>
    <m/>
    <s v=""/>
    <m/>
    <d v="2026-02-04T14:04:00"/>
    <d v="2026-02-04T00:00:00"/>
    <x v="4"/>
    <x v="0"/>
    <n v="1"/>
    <n v="0"/>
    <x v="1000"/>
    <s v="Héctor González Rodríguez"/>
    <x v="1"/>
  </r>
  <r>
    <n v="1125"/>
    <n v="136"/>
    <n v="4"/>
    <n v="109.73"/>
    <n v="10.97"/>
    <n v="0"/>
    <n v="0.1"/>
    <s v="ACTIVE"/>
    <m/>
    <s v=""/>
    <m/>
    <d v="2026-02-04T15:01:45"/>
    <d v="2026-02-04T00:00:00"/>
    <x v="4"/>
    <x v="0"/>
    <n v="1"/>
    <n v="0"/>
    <x v="1001"/>
    <s v="Guadalupe Castillo Rangel"/>
    <x v="3"/>
  </r>
  <r>
    <n v="1126"/>
    <n v="137"/>
    <n v="4"/>
    <n v="33.75"/>
    <n v="3.38"/>
    <n v="0"/>
    <n v="0.1"/>
    <s v="ACTIVE"/>
    <m/>
    <s v=""/>
    <m/>
    <d v="2026-02-04T15:45:04"/>
    <d v="2026-02-04T00:00:00"/>
    <x v="4"/>
    <x v="0"/>
    <n v="1"/>
    <n v="0"/>
    <x v="1002"/>
    <s v="Francisco Reyes Ruiz"/>
    <x v="3"/>
  </r>
  <r>
    <n v="1127"/>
    <n v="279"/>
    <n v="5"/>
    <n v="128.61000000000001"/>
    <n v="12.86"/>
    <n v="0"/>
    <n v="0.1"/>
    <s v="ACTIVE"/>
    <m/>
    <s v=""/>
    <m/>
    <d v="2026-02-04T15:48:30"/>
    <d v="2026-02-04T00:00:00"/>
    <x v="4"/>
    <x v="0"/>
    <n v="1"/>
    <n v="0"/>
    <x v="1003"/>
    <s v="Rosa Mendoza Moreno"/>
    <x v="2"/>
  </r>
  <r>
    <n v="1128"/>
    <n v="137"/>
    <n v="2"/>
    <n v="31.4"/>
    <n v="3.14"/>
    <n v="0"/>
    <n v="0.1"/>
    <s v="ACTIVE"/>
    <m/>
    <s v=""/>
    <m/>
    <d v="2026-02-04T16:59:16"/>
    <d v="2026-02-04T00:00:00"/>
    <x v="4"/>
    <x v="0"/>
    <n v="1"/>
    <n v="0"/>
    <x v="1004"/>
    <s v="Francisco Reyes Ruiz"/>
    <x v="1"/>
  </r>
  <r>
    <n v="1129"/>
    <n v="52"/>
    <n v="3"/>
    <n v="14.47"/>
    <n v="1.45"/>
    <n v="0"/>
    <n v="0.1"/>
    <s v="ACTIVE"/>
    <m/>
    <s v=""/>
    <m/>
    <d v="2026-02-04T17:43:23"/>
    <d v="2026-02-04T00:00:00"/>
    <x v="4"/>
    <x v="0"/>
    <n v="1"/>
    <n v="0"/>
    <x v="1005"/>
    <s v="Gabriela Villalobos Flores"/>
    <x v="0"/>
  </r>
  <r>
    <n v="1130"/>
    <n v="47"/>
    <n v="4"/>
    <n v="25.12"/>
    <n v="2.5099999999999998"/>
    <n v="0"/>
    <n v="0.1"/>
    <s v="ACTIVE"/>
    <m/>
    <s v=""/>
    <m/>
    <d v="2026-02-05T07:33:27"/>
    <d v="2026-02-05T00:00:00"/>
    <x v="4"/>
    <x v="0"/>
    <n v="1"/>
    <n v="0"/>
    <x v="1006"/>
    <s v="Carmen Díaz Chávez"/>
    <x v="3"/>
  </r>
  <r>
    <n v="1131"/>
    <n v="63"/>
    <n v="3"/>
    <n v="70.62"/>
    <n v="7.06"/>
    <n v="0"/>
    <n v="0.1"/>
    <s v="ACTIVE"/>
    <m/>
    <s v=""/>
    <m/>
    <d v="2026-02-05T08:13:26"/>
    <d v="2026-02-05T00:00:00"/>
    <x v="4"/>
    <x v="0"/>
    <n v="1"/>
    <n v="0"/>
    <x v="1007"/>
    <s v="Teresa Mendoza Delgado"/>
    <x v="0"/>
  </r>
  <r>
    <n v="1132"/>
    <n v="192"/>
    <n v="5"/>
    <n v="17.670000000000002"/>
    <n v="1.77"/>
    <n v="0"/>
    <n v="0.1"/>
    <s v="ACTIVE"/>
    <m/>
    <s v=""/>
    <m/>
    <d v="2026-02-05T09:00:14"/>
    <d v="2026-02-05T00:00:00"/>
    <x v="4"/>
    <x v="0"/>
    <n v="1"/>
    <n v="0"/>
    <x v="1008"/>
    <s v="Leticia Gutiérrez Hernández"/>
    <x v="2"/>
  </r>
  <r>
    <n v="1133"/>
    <n v="48"/>
    <n v="5"/>
    <n v="87.87"/>
    <n v="8.7899999999999991"/>
    <n v="0"/>
    <n v="0.1"/>
    <s v="ACTIVE"/>
    <m/>
    <s v=""/>
    <m/>
    <d v="2026-02-05T09:20:44"/>
    <d v="2026-02-05T00:00:00"/>
    <x v="4"/>
    <x v="0"/>
    <n v="1"/>
    <n v="0"/>
    <x v="1009"/>
    <s v="Carlos Medina Quiñones"/>
    <x v="2"/>
  </r>
  <r>
    <n v="1134"/>
    <n v="65"/>
    <n v="4"/>
    <n v="33.01"/>
    <n v="3.3"/>
    <n v="0"/>
    <n v="0.1"/>
    <s v="ACTIVE"/>
    <m/>
    <s v=""/>
    <m/>
    <d v="2026-02-05T10:19:57"/>
    <d v="2026-02-05T00:00:00"/>
    <x v="4"/>
    <x v="0"/>
    <n v="1"/>
    <n v="0"/>
    <x v="1010"/>
    <s v="Gabriela Flores Chávez"/>
    <x v="3"/>
  </r>
  <r>
    <n v="1135"/>
    <n v="156"/>
    <n v="2"/>
    <n v="15.18"/>
    <n v="1.52"/>
    <n v="0"/>
    <n v="0.1"/>
    <s v="ACTIVE"/>
    <m/>
    <s v=""/>
    <m/>
    <d v="2026-02-05T10:20:28"/>
    <d v="2026-02-05T00:00:00"/>
    <x v="4"/>
    <x v="0"/>
    <n v="1"/>
    <n v="0"/>
    <x v="1011"/>
    <s v="Óscar Moreno Chávez"/>
    <x v="1"/>
  </r>
  <r>
    <n v="1136"/>
    <n v="137"/>
    <n v="4"/>
    <n v="25.63"/>
    <n v="2.56"/>
    <n v="0"/>
    <n v="0.1"/>
    <s v="ACTIVE"/>
    <m/>
    <s v=""/>
    <m/>
    <d v="2026-02-05T10:31:20"/>
    <d v="2026-02-05T00:00:00"/>
    <x v="4"/>
    <x v="0"/>
    <n v="1"/>
    <n v="0"/>
    <x v="264"/>
    <s v="Francisco Reyes Ruiz"/>
    <x v="3"/>
  </r>
  <r>
    <n v="1137"/>
    <n v="150"/>
    <n v="3"/>
    <n v="107.45"/>
    <n v="10.75"/>
    <n v="0"/>
    <n v="0.1"/>
    <s v="ACTIVE"/>
    <m/>
    <s v=""/>
    <m/>
    <d v="2026-02-05T12:21:51"/>
    <d v="2026-02-05T00:00:00"/>
    <x v="4"/>
    <x v="0"/>
    <n v="1"/>
    <n v="0"/>
    <x v="1012"/>
    <s v="Daniel Díaz Quiñones"/>
    <x v="0"/>
  </r>
  <r>
    <n v="1138"/>
    <n v="117"/>
    <n v="2"/>
    <n v="149.97999999999999"/>
    <n v="15"/>
    <n v="0"/>
    <n v="0.1"/>
    <s v="ACTIVE"/>
    <m/>
    <s v=""/>
    <m/>
    <d v="2026-02-05T14:42:55"/>
    <d v="2026-02-05T00:00:00"/>
    <x v="4"/>
    <x v="0"/>
    <n v="1"/>
    <n v="0"/>
    <x v="1013"/>
    <s v="Manuel Ortiz Ramírez"/>
    <x v="1"/>
  </r>
  <r>
    <n v="1139"/>
    <n v="8"/>
    <n v="2"/>
    <n v="26.92"/>
    <n v="2.69"/>
    <n v="0"/>
    <n v="0.1"/>
    <s v="ACTIVE"/>
    <m/>
    <s v=""/>
    <m/>
    <d v="2026-02-05T15:29:05"/>
    <d v="2026-02-05T00:00:00"/>
    <x v="4"/>
    <x v="0"/>
    <n v="1"/>
    <n v="0"/>
    <x v="1014"/>
    <s v="Javier Zacatecas García"/>
    <x v="1"/>
  </r>
  <r>
    <n v="1140"/>
    <n v="65"/>
    <n v="2"/>
    <n v="24.86"/>
    <n v="2.4900000000000002"/>
    <n v="0"/>
    <n v="0.1"/>
    <s v="CANCELED"/>
    <n v="5"/>
    <s v="Monto duplicado por error de sistema"/>
    <d v="2026-02-07T09:27:41"/>
    <d v="2026-02-06T07:27:41"/>
    <d v="2026-02-06T00:00:00"/>
    <x v="4"/>
    <x v="0"/>
    <n v="1"/>
    <n v="1"/>
    <x v="32"/>
    <s v="Gabriela Flores Chávez"/>
    <x v="1"/>
  </r>
  <r>
    <n v="1141"/>
    <n v="244"/>
    <n v="5"/>
    <n v="54.9"/>
    <n v="0"/>
    <n v="1"/>
    <n v="0.1"/>
    <s v="ACTIVE"/>
    <m/>
    <s v=""/>
    <m/>
    <d v="2026-02-06T08:47:59"/>
    <d v="2026-02-06T00:00:00"/>
    <x v="4"/>
    <x v="1"/>
    <n v="1"/>
    <n v="0"/>
    <x v="1015"/>
    <s v="Guadalupe Castillo Hernández"/>
    <x v="2"/>
  </r>
  <r>
    <n v="1142"/>
    <n v="202"/>
    <n v="3"/>
    <n v="43.21"/>
    <n v="0"/>
    <n v="1"/>
    <n v="0.1"/>
    <s v="ACTIVE"/>
    <m/>
    <s v=""/>
    <m/>
    <d v="2026-02-06T08:50:56"/>
    <d v="2026-02-06T00:00:00"/>
    <x v="4"/>
    <x v="1"/>
    <n v="1"/>
    <n v="0"/>
    <x v="1016"/>
    <s v="Elena Díaz Reyes"/>
    <x v="0"/>
  </r>
  <r>
    <n v="1143"/>
    <n v="51"/>
    <n v="2"/>
    <n v="269.41000000000003"/>
    <n v="26.94"/>
    <n v="0"/>
    <n v="0.1"/>
    <s v="ACTIVE"/>
    <m/>
    <s v=""/>
    <m/>
    <d v="2026-02-06T08:58:43"/>
    <d v="2026-02-06T00:00:00"/>
    <x v="4"/>
    <x v="0"/>
    <n v="1"/>
    <n v="0"/>
    <x v="738"/>
    <s v="Sergio Rangel Ramos"/>
    <x v="1"/>
  </r>
  <r>
    <n v="1144"/>
    <n v="44"/>
    <n v="5"/>
    <n v="19.61"/>
    <n v="1.96"/>
    <n v="0"/>
    <n v="0.1"/>
    <s v="ACTIVE"/>
    <m/>
    <s v=""/>
    <m/>
    <d v="2026-02-06T10:09:24"/>
    <d v="2026-02-06T00:00:00"/>
    <x v="4"/>
    <x v="0"/>
    <n v="1"/>
    <n v="0"/>
    <x v="1017"/>
    <s v="Pedro Herrera Castillo"/>
    <x v="2"/>
  </r>
  <r>
    <n v="1145"/>
    <n v="94"/>
    <n v="4"/>
    <n v="181.2"/>
    <n v="18.12"/>
    <n v="0"/>
    <n v="0.1"/>
    <s v="ACTIVE"/>
    <m/>
    <s v=""/>
    <m/>
    <d v="2026-02-06T11:35:27"/>
    <d v="2026-02-06T00:00:00"/>
    <x v="4"/>
    <x v="0"/>
    <n v="1"/>
    <n v="0"/>
    <x v="1018"/>
    <s v="Silvia González Rangel"/>
    <x v="3"/>
  </r>
  <r>
    <n v="1146"/>
    <n v="83"/>
    <n v="2"/>
    <n v="43"/>
    <n v="4.3"/>
    <n v="0"/>
    <n v="0.1"/>
    <s v="ACTIVE"/>
    <m/>
    <s v=""/>
    <m/>
    <d v="2026-02-06T12:12:40"/>
    <d v="2026-02-06T00:00:00"/>
    <x v="4"/>
    <x v="0"/>
    <n v="1"/>
    <n v="0"/>
    <x v="1019"/>
    <s v="Sergio Martínez Herrera"/>
    <x v="1"/>
  </r>
  <r>
    <n v="1147"/>
    <n v="233"/>
    <n v="3"/>
    <n v="107.24"/>
    <n v="10.72"/>
    <n v="0"/>
    <n v="0.1"/>
    <s v="ACTIVE"/>
    <m/>
    <s v=""/>
    <m/>
    <d v="2026-02-06T12:32:33"/>
    <d v="2026-02-06T00:00:00"/>
    <x v="4"/>
    <x v="0"/>
    <n v="1"/>
    <n v="0"/>
    <x v="1020"/>
    <s v="Guadalupe Rangel Moreno"/>
    <x v="0"/>
  </r>
  <r>
    <n v="1148"/>
    <n v="47"/>
    <n v="5"/>
    <n v="23.69"/>
    <n v="2.37"/>
    <n v="0"/>
    <n v="0.1"/>
    <s v="ACTIVE"/>
    <m/>
    <s v=""/>
    <m/>
    <d v="2026-02-06T12:53:55"/>
    <d v="2026-02-06T00:00:00"/>
    <x v="4"/>
    <x v="0"/>
    <n v="1"/>
    <n v="0"/>
    <x v="1021"/>
    <s v="Carmen Díaz Chávez"/>
    <x v="2"/>
  </r>
  <r>
    <n v="1149"/>
    <n v="22"/>
    <n v="3"/>
    <n v="98.88"/>
    <n v="9.89"/>
    <n v="0"/>
    <n v="0.1"/>
    <s v="ACTIVE"/>
    <m/>
    <s v=""/>
    <m/>
    <d v="2026-02-06T13:08:48"/>
    <d v="2026-02-06T00:00:00"/>
    <x v="4"/>
    <x v="0"/>
    <n v="1"/>
    <n v="0"/>
    <x v="1022"/>
    <s v="Martha Moreno Rangel"/>
    <x v="0"/>
  </r>
  <r>
    <n v="1150"/>
    <n v="106"/>
    <n v="4"/>
    <n v="161.41999999999999"/>
    <n v="16.14"/>
    <n v="0"/>
    <n v="0.1"/>
    <s v="ACTIVE"/>
    <m/>
    <s v=""/>
    <m/>
    <d v="2026-02-06T13:10:34"/>
    <d v="2026-02-06T00:00:00"/>
    <x v="4"/>
    <x v="0"/>
    <n v="1"/>
    <n v="0"/>
    <x v="1023"/>
    <s v="Isabel García Santoyo"/>
    <x v="3"/>
  </r>
  <r>
    <n v="1151"/>
    <n v="175"/>
    <n v="5"/>
    <n v="42.96"/>
    <n v="4.3"/>
    <n v="0"/>
    <n v="0.1"/>
    <s v="ACTIVE"/>
    <m/>
    <s v=""/>
    <m/>
    <d v="2026-02-06T13:11:20"/>
    <d v="2026-02-06T00:00:00"/>
    <x v="4"/>
    <x v="0"/>
    <n v="1"/>
    <n v="0"/>
    <x v="1024"/>
    <s v="Óscar Villalobos Flores"/>
    <x v="2"/>
  </r>
  <r>
    <n v="1152"/>
    <n v="39"/>
    <n v="5"/>
    <n v="156.49"/>
    <n v="15.65"/>
    <n v="0"/>
    <n v="0.1"/>
    <s v="ACTIVE"/>
    <m/>
    <s v=""/>
    <m/>
    <d v="2026-02-06T14:01:59"/>
    <d v="2026-02-06T00:00:00"/>
    <x v="4"/>
    <x v="0"/>
    <n v="1"/>
    <n v="0"/>
    <x v="1025"/>
    <s v="Guadalupe García Quiñones"/>
    <x v="2"/>
  </r>
  <r>
    <n v="1153"/>
    <n v="265"/>
    <n v="4"/>
    <n v="220"/>
    <n v="22"/>
    <n v="0"/>
    <n v="0.1"/>
    <s v="ACTIVE"/>
    <m/>
    <s v=""/>
    <m/>
    <d v="2026-02-06T14:40:15"/>
    <d v="2026-02-06T00:00:00"/>
    <x v="4"/>
    <x v="0"/>
    <n v="1"/>
    <n v="0"/>
    <x v="200"/>
    <s v="Alejandro Flores González"/>
    <x v="3"/>
  </r>
  <r>
    <n v="1154"/>
    <n v="251"/>
    <n v="2"/>
    <n v="76.36"/>
    <n v="7.64"/>
    <n v="0"/>
    <n v="0.1"/>
    <s v="ACTIVE"/>
    <m/>
    <s v=""/>
    <m/>
    <d v="2026-02-06T14:57:36"/>
    <d v="2026-02-06T00:00:00"/>
    <x v="4"/>
    <x v="0"/>
    <n v="1"/>
    <n v="0"/>
    <x v="1026"/>
    <s v="Rosa Herrera Sánchez"/>
    <x v="1"/>
  </r>
  <r>
    <n v="1155"/>
    <n v="39"/>
    <n v="2"/>
    <n v="219.27"/>
    <n v="21.93"/>
    <n v="0"/>
    <n v="0.1"/>
    <s v="ACTIVE"/>
    <m/>
    <s v=""/>
    <m/>
    <d v="2026-02-06T15:12:31"/>
    <d v="2026-02-06T00:00:00"/>
    <x v="4"/>
    <x v="0"/>
    <n v="1"/>
    <n v="0"/>
    <x v="617"/>
    <s v="Guadalupe García Quiñones"/>
    <x v="1"/>
  </r>
  <r>
    <n v="1156"/>
    <n v="117"/>
    <n v="4"/>
    <n v="138.41999999999999"/>
    <n v="13.84"/>
    <n v="0"/>
    <n v="0.1"/>
    <s v="ACTIVE"/>
    <m/>
    <s v=""/>
    <m/>
    <d v="2026-02-07T07:27:53"/>
    <d v="2026-02-07T00:00:00"/>
    <x v="4"/>
    <x v="0"/>
    <n v="1"/>
    <n v="0"/>
    <x v="1027"/>
    <s v="Manuel Ortiz Ramírez"/>
    <x v="3"/>
  </r>
  <r>
    <n v="1157"/>
    <n v="117"/>
    <n v="3"/>
    <n v="61.36"/>
    <n v="6.14"/>
    <n v="0"/>
    <n v="0.1"/>
    <s v="ACTIVE"/>
    <m/>
    <s v=""/>
    <m/>
    <d v="2026-02-07T10:16:13"/>
    <d v="2026-02-07T00:00:00"/>
    <x v="4"/>
    <x v="0"/>
    <n v="1"/>
    <n v="0"/>
    <x v="1028"/>
    <s v="Manuel Ortiz Ramírez"/>
    <x v="0"/>
  </r>
  <r>
    <n v="1158"/>
    <n v="137"/>
    <n v="2"/>
    <n v="35.700000000000003"/>
    <n v="0"/>
    <n v="1"/>
    <n v="0.1"/>
    <s v="ACTIVE"/>
    <m/>
    <s v=""/>
    <m/>
    <d v="2026-02-07T10:17:08"/>
    <d v="2026-02-07T00:00:00"/>
    <x v="4"/>
    <x v="1"/>
    <n v="1"/>
    <n v="0"/>
    <x v="1029"/>
    <s v="Francisco Reyes Ruiz"/>
    <x v="1"/>
  </r>
  <r>
    <n v="1159"/>
    <n v="223"/>
    <n v="5"/>
    <n v="44.74"/>
    <n v="4.47"/>
    <n v="0"/>
    <n v="0.1"/>
    <s v="ACTIVE"/>
    <m/>
    <s v=""/>
    <m/>
    <d v="2026-02-07T10:58:28"/>
    <d v="2026-02-07T00:00:00"/>
    <x v="4"/>
    <x v="0"/>
    <n v="1"/>
    <n v="0"/>
    <x v="1030"/>
    <s v="José Castillo Ortiz"/>
    <x v="2"/>
  </r>
  <r>
    <n v="1160"/>
    <n v="65"/>
    <n v="2"/>
    <n v="41.15"/>
    <n v="4.12"/>
    <n v="0"/>
    <n v="0.1"/>
    <s v="ACTIVE"/>
    <m/>
    <s v=""/>
    <m/>
    <d v="2026-02-07T11:30:22"/>
    <d v="2026-02-07T00:00:00"/>
    <x v="4"/>
    <x v="0"/>
    <n v="1"/>
    <n v="0"/>
    <x v="1031"/>
    <s v="Gabriela Flores Chávez"/>
    <x v="1"/>
  </r>
  <r>
    <n v="1161"/>
    <n v="223"/>
    <n v="4"/>
    <n v="23.04"/>
    <n v="2.2999999999999998"/>
    <n v="0"/>
    <n v="0.1"/>
    <s v="ACTIVE"/>
    <m/>
    <s v=""/>
    <m/>
    <d v="2026-02-07T11:36:06"/>
    <d v="2026-02-07T00:00:00"/>
    <x v="4"/>
    <x v="0"/>
    <n v="1"/>
    <n v="0"/>
    <x v="1032"/>
    <s v="José Castillo Ortiz"/>
    <x v="3"/>
  </r>
  <r>
    <n v="1162"/>
    <n v="137"/>
    <n v="5"/>
    <n v="35.61"/>
    <n v="3.56"/>
    <n v="0"/>
    <n v="0.1"/>
    <s v="ACTIVE"/>
    <m/>
    <s v=""/>
    <m/>
    <d v="2026-02-07T12:02:11"/>
    <d v="2026-02-07T00:00:00"/>
    <x v="4"/>
    <x v="0"/>
    <n v="1"/>
    <n v="0"/>
    <x v="1033"/>
    <s v="Francisco Reyes Ruiz"/>
    <x v="2"/>
  </r>
  <r>
    <n v="1163"/>
    <n v="39"/>
    <n v="3"/>
    <n v="265.12"/>
    <n v="26.51"/>
    <n v="0"/>
    <n v="0.1"/>
    <s v="ACTIVE"/>
    <m/>
    <s v=""/>
    <m/>
    <d v="2026-02-07T14:33:10"/>
    <d v="2026-02-07T00:00:00"/>
    <x v="4"/>
    <x v="0"/>
    <n v="1"/>
    <n v="0"/>
    <x v="1034"/>
    <s v="Guadalupe García Quiñones"/>
    <x v="0"/>
  </r>
  <r>
    <n v="1164"/>
    <n v="31"/>
    <n v="2"/>
    <n v="44.38"/>
    <n v="4.4400000000000004"/>
    <n v="0"/>
    <n v="0.1"/>
    <s v="ACTIVE"/>
    <m/>
    <s v=""/>
    <m/>
    <d v="2026-02-07T16:25:23"/>
    <d v="2026-02-07T00:00:00"/>
    <x v="4"/>
    <x v="0"/>
    <n v="1"/>
    <n v="0"/>
    <x v="1035"/>
    <s v="Óscar Zacatecas Reyes"/>
    <x v="1"/>
  </r>
  <r>
    <n v="1165"/>
    <n v="37"/>
    <n v="2"/>
    <n v="82.53"/>
    <n v="8.25"/>
    <n v="0"/>
    <n v="0.1"/>
    <s v="ACTIVE"/>
    <m/>
    <s v=""/>
    <m/>
    <d v="2026-02-07T17:27:06"/>
    <d v="2026-02-07T00:00:00"/>
    <x v="4"/>
    <x v="0"/>
    <n v="1"/>
    <n v="0"/>
    <x v="1036"/>
    <s v="Fernando Mendoza Moreno"/>
    <x v="1"/>
  </r>
  <r>
    <n v="1166"/>
    <n v="207"/>
    <n v="5"/>
    <n v="44.96"/>
    <n v="4.5"/>
    <n v="0"/>
    <n v="0.1"/>
    <s v="ACTIVE"/>
    <m/>
    <s v=""/>
    <m/>
    <d v="2026-02-07T17:44:04"/>
    <d v="2026-02-07T00:00:00"/>
    <x v="4"/>
    <x v="0"/>
    <n v="1"/>
    <n v="0"/>
    <x v="1037"/>
    <s v="Leticia Vázquez Gutiérrez"/>
    <x v="2"/>
  </r>
  <r>
    <n v="1167"/>
    <n v="55"/>
    <n v="5"/>
    <n v="19.53"/>
    <n v="1.95"/>
    <n v="0"/>
    <n v="0.1"/>
    <s v="ACTIVE"/>
    <m/>
    <s v=""/>
    <m/>
    <d v="2026-02-08T07:03:12"/>
    <d v="2026-02-08T00:00:00"/>
    <x v="4"/>
    <x v="0"/>
    <n v="1"/>
    <n v="0"/>
    <x v="1038"/>
    <s v="Luis Zacatecas Rodríguez"/>
    <x v="2"/>
  </r>
  <r>
    <n v="1168"/>
    <n v="103"/>
    <n v="2"/>
    <n v="29.27"/>
    <n v="2.93"/>
    <n v="0"/>
    <n v="0.1"/>
    <s v="ACTIVE"/>
    <m/>
    <s v=""/>
    <m/>
    <d v="2026-02-08T08:21:54"/>
    <d v="2026-02-08T00:00:00"/>
    <x v="4"/>
    <x v="0"/>
    <n v="1"/>
    <n v="0"/>
    <x v="1039"/>
    <s v="Teresa Rodríguez Ramírez"/>
    <x v="1"/>
  </r>
  <r>
    <n v="1169"/>
    <n v="124"/>
    <n v="5"/>
    <n v="18.98"/>
    <n v="1.9"/>
    <n v="0"/>
    <n v="0.1"/>
    <s v="ACTIVE"/>
    <m/>
    <s v=""/>
    <m/>
    <d v="2026-02-08T14:40:22"/>
    <d v="2026-02-08T00:00:00"/>
    <x v="4"/>
    <x v="0"/>
    <n v="1"/>
    <n v="0"/>
    <x v="1040"/>
    <s v="Elena Villalobos Pérez"/>
    <x v="2"/>
  </r>
  <r>
    <n v="1170"/>
    <n v="137"/>
    <n v="3"/>
    <n v="26.26"/>
    <n v="0"/>
    <n v="1"/>
    <n v="0.1"/>
    <s v="ACTIVE"/>
    <m/>
    <s v=""/>
    <m/>
    <d v="2026-02-08T15:59:08"/>
    <d v="2026-02-08T00:00:00"/>
    <x v="4"/>
    <x v="1"/>
    <n v="1"/>
    <n v="0"/>
    <x v="1041"/>
    <s v="Francisco Reyes Ruiz"/>
    <x v="0"/>
  </r>
  <r>
    <n v="1171"/>
    <n v="137"/>
    <n v="4"/>
    <n v="26.5"/>
    <n v="2.65"/>
    <n v="0"/>
    <n v="0.1"/>
    <s v="ACTIVE"/>
    <m/>
    <s v=""/>
    <m/>
    <d v="2026-02-08T16:58:21"/>
    <d v="2026-02-08T00:00:00"/>
    <x v="4"/>
    <x v="0"/>
    <n v="1"/>
    <n v="0"/>
    <x v="693"/>
    <s v="Francisco Reyes Ruiz"/>
    <x v="3"/>
  </r>
  <r>
    <n v="1172"/>
    <n v="65"/>
    <n v="4"/>
    <n v="17.64"/>
    <n v="1.76"/>
    <n v="0"/>
    <n v="0.1"/>
    <s v="ACTIVE"/>
    <m/>
    <s v=""/>
    <m/>
    <d v="2026-02-08T19:06:57"/>
    <d v="2026-02-08T00:00:00"/>
    <x v="4"/>
    <x v="0"/>
    <n v="1"/>
    <n v="0"/>
    <x v="1042"/>
    <s v="Gabriela Flores Chávez"/>
    <x v="3"/>
  </r>
  <r>
    <n v="1173"/>
    <n v="25"/>
    <n v="2"/>
    <n v="58.26"/>
    <n v="5.83"/>
    <n v="0"/>
    <n v="0.1"/>
    <s v="ACTIVE"/>
    <m/>
    <s v=""/>
    <m/>
    <d v="2026-02-09T13:01:10"/>
    <d v="2026-02-09T00:00:00"/>
    <x v="4"/>
    <x v="0"/>
    <n v="1"/>
    <n v="0"/>
    <x v="1043"/>
    <s v="Martha Rodríguez López"/>
    <x v="1"/>
  </r>
  <r>
    <n v="1174"/>
    <n v="232"/>
    <n v="2"/>
    <n v="30.3"/>
    <n v="3.03"/>
    <n v="0"/>
    <n v="0.1"/>
    <s v="ACTIVE"/>
    <m/>
    <s v=""/>
    <m/>
    <d v="2026-02-09T14:10:04"/>
    <d v="2026-02-09T00:00:00"/>
    <x v="4"/>
    <x v="0"/>
    <n v="1"/>
    <n v="0"/>
    <x v="1044"/>
    <s v="Francisco Quiñones Morales"/>
    <x v="1"/>
  </r>
  <r>
    <n v="1175"/>
    <n v="44"/>
    <n v="2"/>
    <n v="38.619999999999997"/>
    <n v="3.86"/>
    <n v="0"/>
    <n v="0.1"/>
    <s v="ACTIVE"/>
    <m/>
    <s v=""/>
    <m/>
    <d v="2026-02-09T15:01:54"/>
    <d v="2026-02-09T00:00:00"/>
    <x v="4"/>
    <x v="0"/>
    <n v="1"/>
    <n v="0"/>
    <x v="1045"/>
    <s v="Pedro Herrera Castillo"/>
    <x v="1"/>
  </r>
  <r>
    <n v="1176"/>
    <n v="106"/>
    <n v="2"/>
    <n v="130.75"/>
    <n v="13.08"/>
    <n v="0"/>
    <n v="0.1"/>
    <s v="ACTIVE"/>
    <m/>
    <s v=""/>
    <m/>
    <d v="2026-02-09T15:35:54"/>
    <d v="2026-02-09T00:00:00"/>
    <x v="4"/>
    <x v="0"/>
    <n v="1"/>
    <n v="0"/>
    <x v="1046"/>
    <s v="Isabel García Santoyo"/>
    <x v="1"/>
  </r>
  <r>
    <n v="1177"/>
    <n v="69"/>
    <n v="3"/>
    <n v="30.39"/>
    <n v="3.04"/>
    <n v="0"/>
    <n v="0.1"/>
    <s v="ACTIVE"/>
    <m/>
    <s v=""/>
    <m/>
    <d v="2026-02-09T16:58:49"/>
    <d v="2026-02-09T00:00:00"/>
    <x v="4"/>
    <x v="0"/>
    <n v="1"/>
    <n v="0"/>
    <x v="1047"/>
    <s v="Carmen Quiñones Hernández"/>
    <x v="0"/>
  </r>
  <r>
    <n v="1178"/>
    <n v="192"/>
    <n v="4"/>
    <n v="40.590000000000003"/>
    <n v="4.0599999999999996"/>
    <n v="0"/>
    <n v="0.1"/>
    <s v="ACTIVE"/>
    <m/>
    <s v=""/>
    <m/>
    <d v="2026-02-09T17:08:40"/>
    <d v="2026-02-09T00:00:00"/>
    <x v="4"/>
    <x v="0"/>
    <n v="1"/>
    <n v="0"/>
    <x v="1048"/>
    <s v="Leticia Gutiérrez Hernández"/>
    <x v="3"/>
  </r>
  <r>
    <n v="1179"/>
    <n v="62"/>
    <n v="4"/>
    <n v="36.21"/>
    <n v="3.62"/>
    <n v="0"/>
    <n v="0.1"/>
    <s v="CANCELED"/>
    <n v="2"/>
    <s v="Solicitud del cliente"/>
    <d v="2026-02-10T23:44:27"/>
    <d v="2026-02-09T19:44:27"/>
    <d v="2026-02-09T00:00:00"/>
    <x v="4"/>
    <x v="0"/>
    <n v="1"/>
    <n v="1"/>
    <x v="32"/>
    <s v="Rosa González Ortiz"/>
    <x v="3"/>
  </r>
  <r>
    <n v="1180"/>
    <n v="18"/>
    <n v="5"/>
    <n v="63.77"/>
    <n v="6.38"/>
    <n v="0"/>
    <n v="0.1"/>
    <s v="ACTIVE"/>
    <m/>
    <s v=""/>
    <m/>
    <d v="2026-02-09T19:59:04"/>
    <d v="2026-02-09T00:00:00"/>
    <x v="4"/>
    <x v="0"/>
    <n v="1"/>
    <n v="0"/>
    <x v="1049"/>
    <s v="Carlos Gómez Ávila"/>
    <x v="2"/>
  </r>
  <r>
    <n v="1181"/>
    <n v="21"/>
    <n v="2"/>
    <n v="22.55"/>
    <n v="2.2599999999999998"/>
    <n v="0"/>
    <n v="0.1"/>
    <s v="CANCELED"/>
    <n v="2"/>
    <s v="Solicitud del cliente"/>
    <d v="2026-02-11T06:06:54"/>
    <d v="2026-02-10T09:06:54"/>
    <d v="2026-02-10T00:00:00"/>
    <x v="4"/>
    <x v="0"/>
    <n v="1"/>
    <n v="1"/>
    <x v="32"/>
    <s v="Carlos Morales Santoyo"/>
    <x v="1"/>
  </r>
  <r>
    <n v="1182"/>
    <n v="28"/>
    <n v="3"/>
    <n v="20.49"/>
    <n v="2.0499999999999998"/>
    <n v="0"/>
    <n v="0.1"/>
    <s v="ACTIVE"/>
    <m/>
    <s v=""/>
    <m/>
    <d v="2026-02-10T14:33:13"/>
    <d v="2026-02-10T00:00:00"/>
    <x v="4"/>
    <x v="0"/>
    <n v="1"/>
    <n v="0"/>
    <x v="423"/>
    <s v="Francisco Ávila Chávez"/>
    <x v="0"/>
  </r>
  <r>
    <n v="1183"/>
    <n v="221"/>
    <n v="2"/>
    <n v="196.44"/>
    <n v="19.64"/>
    <n v="0"/>
    <n v="0.1"/>
    <s v="ACTIVE"/>
    <m/>
    <s v=""/>
    <m/>
    <d v="2026-02-10T14:34:54"/>
    <d v="2026-02-10T00:00:00"/>
    <x v="4"/>
    <x v="0"/>
    <n v="1"/>
    <n v="0"/>
    <x v="1050"/>
    <s v="Norma Hernández Chávez"/>
    <x v="1"/>
  </r>
  <r>
    <n v="1184"/>
    <n v="201"/>
    <n v="4"/>
    <n v="77.59"/>
    <n v="7.76"/>
    <n v="0"/>
    <n v="0.1"/>
    <s v="ACTIVE"/>
    <m/>
    <s v=""/>
    <m/>
    <d v="2026-02-10T14:54:14"/>
    <d v="2026-02-10T00:00:00"/>
    <x v="4"/>
    <x v="0"/>
    <n v="1"/>
    <n v="0"/>
    <x v="1051"/>
    <s v="Isabel Vázquez Ramírez"/>
    <x v="3"/>
  </r>
  <r>
    <n v="1185"/>
    <n v="62"/>
    <n v="2"/>
    <n v="25.18"/>
    <n v="2.52"/>
    <n v="0"/>
    <n v="0.1"/>
    <s v="ACTIVE"/>
    <m/>
    <s v=""/>
    <m/>
    <d v="2026-02-10T15:33:02"/>
    <d v="2026-02-10T00:00:00"/>
    <x v="4"/>
    <x v="0"/>
    <n v="1"/>
    <n v="0"/>
    <x v="393"/>
    <s v="Rosa González Ortiz"/>
    <x v="1"/>
  </r>
  <r>
    <n v="1186"/>
    <n v="244"/>
    <n v="3"/>
    <n v="148.16"/>
    <n v="14.82"/>
    <n v="0"/>
    <n v="0.1"/>
    <s v="ACTIVE"/>
    <m/>
    <s v=""/>
    <m/>
    <d v="2026-02-10T15:43:18"/>
    <d v="2026-02-10T00:00:00"/>
    <x v="4"/>
    <x v="0"/>
    <n v="1"/>
    <n v="0"/>
    <x v="1052"/>
    <s v="Guadalupe Castillo Hernández"/>
    <x v="0"/>
  </r>
  <r>
    <n v="1187"/>
    <n v="227"/>
    <n v="3"/>
    <n v="26.08"/>
    <n v="2.61"/>
    <n v="0"/>
    <n v="0.1"/>
    <s v="CANCELED"/>
    <n v="4"/>
    <s v="Cliente canceló la operación"/>
    <d v="2026-02-11T05:29:26"/>
    <d v="2026-02-10T16:29:26"/>
    <d v="2026-02-10T00:00:00"/>
    <x v="4"/>
    <x v="0"/>
    <n v="1"/>
    <n v="1"/>
    <x v="32"/>
    <s v="Alicia Mendoza Rangel"/>
    <x v="0"/>
  </r>
  <r>
    <n v="1188"/>
    <n v="126"/>
    <n v="2"/>
    <n v="58.63"/>
    <n v="5.86"/>
    <n v="0"/>
    <n v="0.1"/>
    <s v="ACTIVE"/>
    <m/>
    <s v=""/>
    <m/>
    <d v="2026-02-10T18:15:43"/>
    <d v="2026-02-10T00:00:00"/>
    <x v="4"/>
    <x v="0"/>
    <n v="1"/>
    <n v="0"/>
    <x v="1053"/>
    <s v="Raúl Ávila Salazar"/>
    <x v="1"/>
  </r>
  <r>
    <n v="1189"/>
    <n v="12"/>
    <n v="4"/>
    <n v="31.11"/>
    <n v="3.11"/>
    <n v="0"/>
    <n v="0.1"/>
    <s v="ACTIVE"/>
    <m/>
    <s v=""/>
    <m/>
    <d v="2026-02-11T08:21:12"/>
    <d v="2026-02-11T00:00:00"/>
    <x v="4"/>
    <x v="0"/>
    <n v="1"/>
    <n v="0"/>
    <x v="1054"/>
    <s v="Rosa Gutiérrez Martínez"/>
    <x v="3"/>
  </r>
  <r>
    <n v="1190"/>
    <n v="94"/>
    <n v="2"/>
    <n v="199.04"/>
    <n v="19.899999999999999"/>
    <n v="0"/>
    <n v="0.1"/>
    <s v="ACTIVE"/>
    <m/>
    <s v=""/>
    <m/>
    <d v="2026-02-11T08:21:57"/>
    <d v="2026-02-11T00:00:00"/>
    <x v="4"/>
    <x v="0"/>
    <n v="1"/>
    <n v="0"/>
    <x v="1055"/>
    <s v="Silvia González Rangel"/>
    <x v="1"/>
  </r>
  <r>
    <n v="1191"/>
    <n v="157"/>
    <n v="3"/>
    <n v="59.7"/>
    <n v="5.97"/>
    <n v="0"/>
    <n v="0.1"/>
    <s v="ACTIVE"/>
    <m/>
    <s v=""/>
    <m/>
    <d v="2026-02-11T08:48:00"/>
    <d v="2026-02-11T00:00:00"/>
    <x v="4"/>
    <x v="0"/>
    <n v="1"/>
    <n v="0"/>
    <x v="1056"/>
    <s v="Jorge Martínez Herrera"/>
    <x v="0"/>
  </r>
  <r>
    <n v="1192"/>
    <n v="106"/>
    <n v="4"/>
    <n v="135.6"/>
    <n v="13.56"/>
    <n v="0"/>
    <n v="0.1"/>
    <s v="ACTIVE"/>
    <m/>
    <s v=""/>
    <m/>
    <d v="2026-02-11T09:33:55"/>
    <d v="2026-02-11T00:00:00"/>
    <x v="4"/>
    <x v="0"/>
    <n v="1"/>
    <n v="0"/>
    <x v="1057"/>
    <s v="Isabel García Santoyo"/>
    <x v="3"/>
  </r>
  <r>
    <n v="1193"/>
    <n v="7"/>
    <n v="4"/>
    <n v="56.46"/>
    <n v="5.65"/>
    <n v="0"/>
    <n v="0.1"/>
    <s v="ACTIVE"/>
    <m/>
    <s v=""/>
    <m/>
    <d v="2026-02-11T10:03:38"/>
    <d v="2026-02-11T00:00:00"/>
    <x v="4"/>
    <x v="0"/>
    <n v="1"/>
    <n v="0"/>
    <x v="1058"/>
    <s v="Teresa Rodríguez Herrera"/>
    <x v="3"/>
  </r>
  <r>
    <n v="1194"/>
    <n v="96"/>
    <n v="3"/>
    <n v="295.49"/>
    <n v="29.55"/>
    <n v="0"/>
    <n v="0.1"/>
    <s v="ACTIVE"/>
    <m/>
    <s v=""/>
    <m/>
    <d v="2026-02-11T10:20:42"/>
    <d v="2026-02-11T00:00:00"/>
    <x v="4"/>
    <x v="0"/>
    <n v="1"/>
    <n v="0"/>
    <x v="1059"/>
    <s v="José Pérez Herrera"/>
    <x v="0"/>
  </r>
  <r>
    <n v="1195"/>
    <n v="196"/>
    <n v="5"/>
    <n v="51.18"/>
    <n v="5.12"/>
    <n v="0"/>
    <n v="0.1"/>
    <s v="ACTIVE"/>
    <m/>
    <s v=""/>
    <m/>
    <d v="2026-02-11T10:25:38"/>
    <d v="2026-02-11T00:00:00"/>
    <x v="4"/>
    <x v="0"/>
    <n v="1"/>
    <n v="0"/>
    <x v="1060"/>
    <s v="Lucía Ramos Ramos"/>
    <x v="2"/>
  </r>
  <r>
    <n v="1196"/>
    <n v="60"/>
    <n v="5"/>
    <n v="139.13"/>
    <n v="13.91"/>
    <n v="0"/>
    <n v="0.1"/>
    <s v="ACTIVE"/>
    <m/>
    <s v=""/>
    <m/>
    <d v="2026-02-11T12:50:49"/>
    <d v="2026-02-11T00:00:00"/>
    <x v="4"/>
    <x v="0"/>
    <n v="1"/>
    <n v="0"/>
    <x v="1061"/>
    <s v="Leticia Ruiz González"/>
    <x v="2"/>
  </r>
  <r>
    <n v="1197"/>
    <n v="156"/>
    <n v="3"/>
    <n v="36.450000000000003"/>
    <n v="3.65"/>
    <n v="0"/>
    <n v="0.1"/>
    <s v="ACTIVE"/>
    <m/>
    <s v=""/>
    <m/>
    <d v="2026-02-11T15:11:34"/>
    <d v="2026-02-11T00:00:00"/>
    <x v="4"/>
    <x v="0"/>
    <n v="1"/>
    <n v="0"/>
    <x v="515"/>
    <s v="Óscar Moreno Chávez"/>
    <x v="0"/>
  </r>
  <r>
    <n v="1198"/>
    <n v="293"/>
    <n v="2"/>
    <n v="35.46"/>
    <n v="3.55"/>
    <n v="0"/>
    <n v="0.1"/>
    <s v="ACTIVE"/>
    <m/>
    <s v=""/>
    <m/>
    <d v="2026-02-11T18:25:59"/>
    <d v="2026-02-11T00:00:00"/>
    <x v="4"/>
    <x v="0"/>
    <n v="1"/>
    <n v="0"/>
    <x v="645"/>
    <s v="Patricia Quiñones Pérez"/>
    <x v="1"/>
  </r>
  <r>
    <n v="1199"/>
    <n v="39"/>
    <n v="3"/>
    <n v="155.81"/>
    <n v="15.58"/>
    <n v="0"/>
    <n v="0.1"/>
    <s v="ACTIVE"/>
    <m/>
    <s v=""/>
    <m/>
    <d v="2026-02-11T18:54:11"/>
    <d v="2026-02-11T00:00:00"/>
    <x v="4"/>
    <x v="0"/>
    <n v="1"/>
    <n v="0"/>
    <x v="1062"/>
    <s v="Guadalupe García Quiñones"/>
    <x v="0"/>
  </r>
  <r>
    <n v="1200"/>
    <n v="117"/>
    <n v="4"/>
    <n v="96.91"/>
    <n v="9.69"/>
    <n v="0"/>
    <n v="0.1"/>
    <s v="ACTIVE"/>
    <m/>
    <s v=""/>
    <m/>
    <d v="2026-02-12T08:22:54"/>
    <d v="2026-02-12T00:00:00"/>
    <x v="4"/>
    <x v="0"/>
    <n v="1"/>
    <n v="0"/>
    <x v="1063"/>
    <s v="Manuel Ortiz Ramírez"/>
    <x v="3"/>
  </r>
  <r>
    <n v="1201"/>
    <n v="154"/>
    <n v="5"/>
    <n v="41.98"/>
    <n v="4.2"/>
    <n v="0"/>
    <n v="0.1"/>
    <s v="ACTIVE"/>
    <m/>
    <s v=""/>
    <m/>
    <d v="2026-02-12T08:40:17"/>
    <d v="2026-02-12T00:00:00"/>
    <x v="4"/>
    <x v="0"/>
    <n v="1"/>
    <n v="0"/>
    <x v="902"/>
    <s v="Manuel Chávez Flores"/>
    <x v="2"/>
  </r>
  <r>
    <n v="1202"/>
    <n v="241"/>
    <n v="5"/>
    <n v="16.309999999999999"/>
    <n v="1.63"/>
    <n v="0"/>
    <n v="0.1"/>
    <s v="CANCELED"/>
    <n v="3"/>
    <s v="Cliente canceló la operación"/>
    <d v="2026-02-12T19:30:09"/>
    <d v="2026-02-12T09:30:09"/>
    <d v="2026-02-12T00:00:00"/>
    <x v="4"/>
    <x v="0"/>
    <n v="1"/>
    <n v="1"/>
    <x v="32"/>
    <s v="Lucía Cruz Herrera"/>
    <x v="2"/>
  </r>
  <r>
    <n v="1203"/>
    <n v="241"/>
    <n v="5"/>
    <n v="38.61"/>
    <n v="3.86"/>
    <n v="0"/>
    <n v="0.1"/>
    <s v="ACTIVE"/>
    <m/>
    <s v=""/>
    <m/>
    <d v="2026-02-12T10:06:40"/>
    <d v="2026-02-12T00:00:00"/>
    <x v="4"/>
    <x v="0"/>
    <n v="1"/>
    <n v="0"/>
    <x v="1064"/>
    <s v="Lucía Cruz Herrera"/>
    <x v="2"/>
  </r>
  <r>
    <n v="1204"/>
    <n v="57"/>
    <n v="5"/>
    <n v="75.680000000000007"/>
    <n v="7.57"/>
    <n v="0"/>
    <n v="0.1"/>
    <s v="ACTIVE"/>
    <m/>
    <s v=""/>
    <m/>
    <d v="2026-02-12T10:54:35"/>
    <d v="2026-02-12T00:00:00"/>
    <x v="4"/>
    <x v="0"/>
    <n v="1"/>
    <n v="0"/>
    <x v="1065"/>
    <s v="Isabel Martínez Rodríguez"/>
    <x v="2"/>
  </r>
  <r>
    <n v="1205"/>
    <n v="135"/>
    <n v="5"/>
    <n v="140.63999999999999"/>
    <n v="14.06"/>
    <n v="0"/>
    <n v="0.1"/>
    <s v="ACTIVE"/>
    <m/>
    <s v=""/>
    <m/>
    <d v="2026-02-12T12:38:38"/>
    <d v="2026-02-12T00:00:00"/>
    <x v="4"/>
    <x v="0"/>
    <n v="1"/>
    <n v="0"/>
    <x v="1066"/>
    <s v="Silvia Quiñones Delgado"/>
    <x v="2"/>
  </r>
  <r>
    <n v="1206"/>
    <n v="254"/>
    <n v="4"/>
    <n v="167.93"/>
    <n v="16.79"/>
    <n v="0"/>
    <n v="0.1"/>
    <s v="ACTIVE"/>
    <m/>
    <s v=""/>
    <m/>
    <d v="2026-02-12T13:11:12"/>
    <d v="2026-02-12T00:00:00"/>
    <x v="4"/>
    <x v="0"/>
    <n v="1"/>
    <n v="0"/>
    <x v="1067"/>
    <s v="Antonio Gutiérrez Ramos"/>
    <x v="3"/>
  </r>
  <r>
    <n v="1207"/>
    <n v="65"/>
    <n v="2"/>
    <n v="68.14"/>
    <n v="6.81"/>
    <n v="0"/>
    <n v="0.1"/>
    <s v="ACTIVE"/>
    <m/>
    <s v=""/>
    <m/>
    <d v="2026-02-12T14:49:37"/>
    <d v="2026-02-12T00:00:00"/>
    <x v="4"/>
    <x v="0"/>
    <n v="1"/>
    <n v="0"/>
    <x v="1068"/>
    <s v="Gabriela Flores Chávez"/>
    <x v="1"/>
  </r>
  <r>
    <n v="1208"/>
    <n v="268"/>
    <n v="2"/>
    <n v="22.87"/>
    <n v="2.29"/>
    <n v="0"/>
    <n v="0.1"/>
    <s v="ACTIVE"/>
    <m/>
    <s v=""/>
    <m/>
    <d v="2026-02-12T15:06:47"/>
    <d v="2026-02-12T00:00:00"/>
    <x v="4"/>
    <x v="0"/>
    <n v="1"/>
    <n v="0"/>
    <x v="1069"/>
    <s v="Verónica Mendoza Chávez"/>
    <x v="1"/>
  </r>
  <r>
    <n v="1209"/>
    <n v="137"/>
    <n v="5"/>
    <n v="23.68"/>
    <n v="2.37"/>
    <n v="0"/>
    <n v="0.1"/>
    <s v="ACTIVE"/>
    <m/>
    <s v=""/>
    <m/>
    <d v="2026-02-12T15:25:14"/>
    <d v="2026-02-12T00:00:00"/>
    <x v="4"/>
    <x v="0"/>
    <n v="1"/>
    <n v="0"/>
    <x v="839"/>
    <s v="Francisco Reyes Ruiz"/>
    <x v="2"/>
  </r>
  <r>
    <n v="1210"/>
    <n v="109"/>
    <n v="2"/>
    <n v="216.57"/>
    <n v="21.66"/>
    <n v="0"/>
    <n v="0.1"/>
    <s v="ACTIVE"/>
    <m/>
    <s v=""/>
    <m/>
    <d v="2026-02-12T15:28:01"/>
    <d v="2026-02-12T00:00:00"/>
    <x v="4"/>
    <x v="0"/>
    <n v="1"/>
    <n v="0"/>
    <x v="1070"/>
    <s v="Juan Jiménez Aguilar"/>
    <x v="1"/>
  </r>
  <r>
    <n v="1211"/>
    <n v="211"/>
    <n v="2"/>
    <n v="147.57"/>
    <n v="14.76"/>
    <n v="0"/>
    <n v="0.1"/>
    <s v="ACTIVE"/>
    <m/>
    <s v=""/>
    <m/>
    <d v="2026-02-12T15:42:21"/>
    <d v="2026-02-12T00:00:00"/>
    <x v="4"/>
    <x v="0"/>
    <n v="1"/>
    <n v="0"/>
    <x v="1071"/>
    <s v="Martha Sánchez Pérez"/>
    <x v="1"/>
  </r>
  <r>
    <n v="1212"/>
    <n v="244"/>
    <n v="2"/>
    <n v="106.46"/>
    <n v="10.65"/>
    <n v="0"/>
    <n v="0.1"/>
    <s v="ACTIVE"/>
    <m/>
    <s v=""/>
    <m/>
    <d v="2026-02-12T17:37:46"/>
    <d v="2026-02-12T00:00:00"/>
    <x v="4"/>
    <x v="0"/>
    <n v="1"/>
    <n v="0"/>
    <x v="1072"/>
    <s v="Guadalupe Castillo Hernández"/>
    <x v="1"/>
  </r>
  <r>
    <n v="1213"/>
    <n v="19"/>
    <n v="5"/>
    <n v="24.39"/>
    <n v="2.44"/>
    <n v="0"/>
    <n v="0.1"/>
    <s v="ACTIVE"/>
    <m/>
    <s v=""/>
    <m/>
    <d v="2026-02-13T08:21:32"/>
    <d v="2026-02-13T00:00:00"/>
    <x v="4"/>
    <x v="0"/>
    <n v="1"/>
    <n v="0"/>
    <x v="1073"/>
    <s v="Laura Chávez Quiñones"/>
    <x v="2"/>
  </r>
  <r>
    <n v="1214"/>
    <n v="156"/>
    <n v="2"/>
    <n v="15.55"/>
    <n v="1.56"/>
    <n v="0"/>
    <n v="0.1"/>
    <s v="ACTIVE"/>
    <m/>
    <s v=""/>
    <m/>
    <d v="2026-02-13T09:10:39"/>
    <d v="2026-02-13T00:00:00"/>
    <x v="4"/>
    <x v="0"/>
    <n v="1"/>
    <n v="0"/>
    <x v="1074"/>
    <s v="Óscar Moreno Chávez"/>
    <x v="1"/>
  </r>
  <r>
    <n v="1215"/>
    <n v="221"/>
    <n v="3"/>
    <n v="151.62"/>
    <n v="15.16"/>
    <n v="0"/>
    <n v="0.1"/>
    <s v="ACTIVE"/>
    <m/>
    <s v=""/>
    <m/>
    <d v="2026-02-13T11:04:51"/>
    <d v="2026-02-13T00:00:00"/>
    <x v="4"/>
    <x v="0"/>
    <n v="1"/>
    <n v="0"/>
    <x v="1075"/>
    <s v="Norma Hernández Chávez"/>
    <x v="0"/>
  </r>
  <r>
    <n v="1216"/>
    <n v="18"/>
    <n v="5"/>
    <n v="119.33"/>
    <n v="11.93"/>
    <n v="0"/>
    <n v="0.1"/>
    <s v="ACTIVE"/>
    <m/>
    <s v=""/>
    <m/>
    <d v="2026-02-13T11:25:21"/>
    <d v="2026-02-13T00:00:00"/>
    <x v="4"/>
    <x v="0"/>
    <n v="1"/>
    <n v="0"/>
    <x v="1076"/>
    <s v="Carlos Gómez Ávila"/>
    <x v="2"/>
  </r>
  <r>
    <n v="1217"/>
    <n v="136"/>
    <n v="4"/>
    <n v="48.7"/>
    <n v="4.87"/>
    <n v="0"/>
    <n v="0.1"/>
    <s v="ACTIVE"/>
    <m/>
    <s v=""/>
    <m/>
    <d v="2026-02-13T12:03:53"/>
    <d v="2026-02-13T00:00:00"/>
    <x v="4"/>
    <x v="0"/>
    <n v="1"/>
    <n v="0"/>
    <x v="1077"/>
    <s v="Guadalupe Castillo Rangel"/>
    <x v="3"/>
  </r>
  <r>
    <n v="1218"/>
    <n v="38"/>
    <n v="3"/>
    <n v="25.62"/>
    <n v="2.56"/>
    <n v="0"/>
    <n v="0.1"/>
    <s v="ACTIVE"/>
    <m/>
    <s v=""/>
    <m/>
    <d v="2026-02-13T13:29:20"/>
    <d v="2026-02-13T00:00:00"/>
    <x v="4"/>
    <x v="0"/>
    <n v="1"/>
    <n v="0"/>
    <x v="1078"/>
    <s v="Verónica Delgado Medina"/>
    <x v="0"/>
  </r>
  <r>
    <n v="1219"/>
    <n v="32"/>
    <n v="2"/>
    <n v="66.14"/>
    <n v="6.61"/>
    <n v="0"/>
    <n v="0.1"/>
    <s v="ACTIVE"/>
    <m/>
    <s v=""/>
    <m/>
    <d v="2026-02-13T13:43:05"/>
    <d v="2026-02-13T00:00:00"/>
    <x v="4"/>
    <x v="0"/>
    <n v="1"/>
    <n v="0"/>
    <x v="1079"/>
    <s v="Teresa Delgado Hernández"/>
    <x v="1"/>
  </r>
  <r>
    <n v="1220"/>
    <n v="304"/>
    <n v="2"/>
    <n v="47.93"/>
    <n v="4.79"/>
    <n v="0"/>
    <n v="0.1"/>
    <s v="ACTIVE"/>
    <m/>
    <s v=""/>
    <m/>
    <d v="2026-02-13T14:35:39"/>
    <d v="2026-02-13T00:00:00"/>
    <x v="4"/>
    <x v="0"/>
    <n v="1"/>
    <n v="0"/>
    <x v="1080"/>
    <s v="Leticia González Sánchez"/>
    <x v="1"/>
  </r>
  <r>
    <n v="1221"/>
    <n v="36"/>
    <n v="4"/>
    <n v="174.22"/>
    <n v="17.420000000000002"/>
    <n v="0"/>
    <n v="0.1"/>
    <s v="ACTIVE"/>
    <m/>
    <s v=""/>
    <m/>
    <d v="2026-02-13T15:20:28"/>
    <d v="2026-02-13T00:00:00"/>
    <x v="4"/>
    <x v="0"/>
    <n v="1"/>
    <n v="0"/>
    <x v="1081"/>
    <s v="Sergio Delgado Herrera"/>
    <x v="3"/>
  </r>
  <r>
    <n v="1222"/>
    <n v="136"/>
    <n v="4"/>
    <n v="110.04"/>
    <n v="0"/>
    <n v="1"/>
    <n v="0.1"/>
    <s v="ACTIVE"/>
    <m/>
    <s v=""/>
    <m/>
    <d v="2026-02-13T15:30:10"/>
    <d v="2026-02-13T00:00:00"/>
    <x v="4"/>
    <x v="1"/>
    <n v="1"/>
    <n v="0"/>
    <x v="998"/>
    <s v="Guadalupe Castillo Rangel"/>
    <x v="3"/>
  </r>
  <r>
    <n v="1223"/>
    <n v="279"/>
    <n v="3"/>
    <n v="293.54000000000002"/>
    <n v="29.35"/>
    <n v="0"/>
    <n v="0.1"/>
    <s v="ACTIVE"/>
    <m/>
    <s v=""/>
    <m/>
    <d v="2026-02-13T18:06:54"/>
    <d v="2026-02-13T00:00:00"/>
    <x v="4"/>
    <x v="0"/>
    <n v="1"/>
    <n v="0"/>
    <x v="1082"/>
    <s v="Rosa Mendoza Moreno"/>
    <x v="0"/>
  </r>
  <r>
    <n v="1224"/>
    <n v="156"/>
    <n v="4"/>
    <n v="39.020000000000003"/>
    <n v="3.9"/>
    <n v="0"/>
    <n v="0.1"/>
    <s v="ACTIVE"/>
    <m/>
    <s v=""/>
    <m/>
    <d v="2026-02-14T07:50:52"/>
    <d v="2026-02-14T00:00:00"/>
    <x v="4"/>
    <x v="0"/>
    <n v="1"/>
    <n v="0"/>
    <x v="1083"/>
    <s v="Óscar Moreno Chávez"/>
    <x v="3"/>
  </r>
  <r>
    <n v="1225"/>
    <n v="12"/>
    <n v="4"/>
    <n v="34.049999999999997"/>
    <n v="3.41"/>
    <n v="0"/>
    <n v="0.1"/>
    <s v="ACTIVE"/>
    <m/>
    <s v=""/>
    <m/>
    <d v="2026-02-14T07:55:59"/>
    <d v="2026-02-14T00:00:00"/>
    <x v="4"/>
    <x v="0"/>
    <n v="1"/>
    <n v="0"/>
    <x v="1084"/>
    <s v="Rosa Gutiérrez Martínez"/>
    <x v="3"/>
  </r>
  <r>
    <n v="1226"/>
    <n v="227"/>
    <n v="2"/>
    <n v="42.6"/>
    <n v="4.26"/>
    <n v="0"/>
    <n v="0.1"/>
    <s v="ACTIVE"/>
    <m/>
    <s v=""/>
    <m/>
    <d v="2026-02-14T09:24:37"/>
    <d v="2026-02-14T00:00:00"/>
    <x v="4"/>
    <x v="0"/>
    <n v="1"/>
    <n v="0"/>
    <x v="999"/>
    <s v="Alicia Mendoza Rangel"/>
    <x v="1"/>
  </r>
  <r>
    <n v="1227"/>
    <n v="124"/>
    <n v="5"/>
    <n v="35.89"/>
    <n v="3.59"/>
    <n v="0"/>
    <n v="0.1"/>
    <s v="ACTIVE"/>
    <m/>
    <s v=""/>
    <m/>
    <d v="2026-02-14T09:39:40"/>
    <d v="2026-02-14T00:00:00"/>
    <x v="4"/>
    <x v="0"/>
    <n v="1"/>
    <n v="0"/>
    <x v="1085"/>
    <s v="Elena Villalobos Pérez"/>
    <x v="2"/>
  </r>
  <r>
    <n v="1228"/>
    <n v="304"/>
    <n v="4"/>
    <n v="49"/>
    <n v="4.9000000000000004"/>
    <n v="0"/>
    <n v="0.1"/>
    <s v="ACTIVE"/>
    <m/>
    <s v=""/>
    <m/>
    <d v="2026-02-14T10:10:34"/>
    <d v="2026-02-14T00:00:00"/>
    <x v="4"/>
    <x v="0"/>
    <n v="1"/>
    <n v="0"/>
    <x v="1086"/>
    <s v="Leticia González Sánchez"/>
    <x v="3"/>
  </r>
  <r>
    <n v="1229"/>
    <n v="168"/>
    <n v="4"/>
    <n v="27.14"/>
    <n v="2.71"/>
    <n v="0"/>
    <n v="0.1"/>
    <s v="CANCELED"/>
    <n v="5"/>
    <s v="Solicitud del cliente"/>
    <d v="2026-02-15T02:56:21"/>
    <d v="2026-02-14T11:56:21"/>
    <d v="2026-02-14T00:00:00"/>
    <x v="4"/>
    <x v="0"/>
    <n v="1"/>
    <n v="1"/>
    <x v="32"/>
    <s v="Martha Sánchez García"/>
    <x v="3"/>
  </r>
  <r>
    <n v="1230"/>
    <n v="166"/>
    <n v="4"/>
    <n v="71.959999999999994"/>
    <n v="7.2"/>
    <n v="0"/>
    <n v="0.1"/>
    <s v="ACTIVE"/>
    <m/>
    <s v=""/>
    <m/>
    <d v="2026-02-14T12:53:24"/>
    <d v="2026-02-14T00:00:00"/>
    <x v="4"/>
    <x v="0"/>
    <n v="1"/>
    <n v="0"/>
    <x v="1087"/>
    <s v="Alicia Vázquez Villalobos"/>
    <x v="3"/>
  </r>
  <r>
    <n v="1231"/>
    <n v="87"/>
    <n v="5"/>
    <n v="90.47"/>
    <n v="9.0500000000000007"/>
    <n v="0"/>
    <n v="0.1"/>
    <s v="ACTIVE"/>
    <m/>
    <s v=""/>
    <m/>
    <d v="2026-02-14T14:41:05"/>
    <d v="2026-02-14T00:00:00"/>
    <x v="4"/>
    <x v="0"/>
    <n v="1"/>
    <n v="0"/>
    <x v="1088"/>
    <s v="Antonio Reyes Romero"/>
    <x v="2"/>
  </r>
  <r>
    <n v="1232"/>
    <n v="252"/>
    <n v="5"/>
    <n v="22.81"/>
    <n v="2.2799999999999998"/>
    <n v="0"/>
    <n v="0.1"/>
    <s v="ACTIVE"/>
    <m/>
    <s v=""/>
    <m/>
    <d v="2026-02-14T16:44:59"/>
    <d v="2026-02-14T00:00:00"/>
    <x v="4"/>
    <x v="0"/>
    <n v="1"/>
    <n v="0"/>
    <x v="1089"/>
    <s v="Martha Delgado Mendoza"/>
    <x v="2"/>
  </r>
  <r>
    <n v="1233"/>
    <n v="29"/>
    <n v="3"/>
    <n v="34.07"/>
    <n v="3.41"/>
    <n v="0"/>
    <n v="0.1"/>
    <s v="ACTIVE"/>
    <m/>
    <s v=""/>
    <m/>
    <d v="2026-02-14T16:50:27"/>
    <d v="2026-02-14T00:00:00"/>
    <x v="4"/>
    <x v="0"/>
    <n v="1"/>
    <n v="0"/>
    <x v="1090"/>
    <s v="Héctor Herrera Gómez"/>
    <x v="0"/>
  </r>
  <r>
    <n v="1234"/>
    <n v="277"/>
    <n v="3"/>
    <n v="106.41"/>
    <n v="10.64"/>
    <n v="0"/>
    <n v="0.1"/>
    <s v="ACTIVE"/>
    <m/>
    <s v=""/>
    <m/>
    <d v="2026-02-14T17:22:13"/>
    <d v="2026-02-14T00:00:00"/>
    <x v="4"/>
    <x v="0"/>
    <n v="1"/>
    <n v="0"/>
    <x v="1091"/>
    <s v="Laura Ramos Gutiérrez"/>
    <x v="0"/>
  </r>
  <r>
    <n v="1235"/>
    <n v="13"/>
    <n v="4"/>
    <n v="24.59"/>
    <n v="0"/>
    <n v="1"/>
    <n v="0.1"/>
    <s v="ACTIVE"/>
    <m/>
    <s v=""/>
    <m/>
    <d v="2026-02-14T17:59:08"/>
    <d v="2026-02-14T00:00:00"/>
    <x v="4"/>
    <x v="1"/>
    <n v="1"/>
    <n v="0"/>
    <x v="1092"/>
    <s v="Laura Rodríguez Quiñones"/>
    <x v="3"/>
  </r>
  <r>
    <n v="1236"/>
    <n v="178"/>
    <n v="4"/>
    <n v="121.1"/>
    <n v="12.11"/>
    <n v="0"/>
    <n v="0.1"/>
    <s v="ACTIVE"/>
    <m/>
    <s v=""/>
    <m/>
    <d v="2026-02-14T18:17:31"/>
    <d v="2026-02-14T00:00:00"/>
    <x v="4"/>
    <x v="0"/>
    <n v="1"/>
    <n v="0"/>
    <x v="1093"/>
    <s v="Miguel Ruiz Salazar"/>
    <x v="3"/>
  </r>
  <r>
    <n v="1237"/>
    <n v="16"/>
    <n v="5"/>
    <n v="175.5"/>
    <n v="17.55"/>
    <n v="0"/>
    <n v="0.1"/>
    <s v="ACTIVE"/>
    <m/>
    <s v=""/>
    <m/>
    <d v="2026-02-14T18:37:41"/>
    <d v="2026-02-14T00:00:00"/>
    <x v="4"/>
    <x v="0"/>
    <n v="1"/>
    <n v="0"/>
    <x v="1094"/>
    <s v="Laura Chávez Rangel"/>
    <x v="2"/>
  </r>
  <r>
    <n v="1238"/>
    <n v="49"/>
    <n v="5"/>
    <n v="113.8"/>
    <n v="11.38"/>
    <n v="0"/>
    <n v="0.1"/>
    <s v="ACTIVE"/>
    <m/>
    <s v=""/>
    <m/>
    <d v="2026-02-15T08:56:06"/>
    <d v="2026-02-15T00:00:00"/>
    <x v="4"/>
    <x v="0"/>
    <n v="1"/>
    <n v="0"/>
    <x v="1095"/>
    <s v="José Rodríguez Ortiz"/>
    <x v="2"/>
  </r>
  <r>
    <n v="1239"/>
    <n v="221"/>
    <n v="4"/>
    <n v="194.38"/>
    <n v="19.440000000000001"/>
    <n v="0"/>
    <n v="0.1"/>
    <s v="ACTIVE"/>
    <m/>
    <s v=""/>
    <m/>
    <d v="2026-02-15T09:29:28"/>
    <d v="2026-02-15T00:00:00"/>
    <x v="4"/>
    <x v="0"/>
    <n v="1"/>
    <n v="0"/>
    <x v="1096"/>
    <s v="Norma Hernández Chávez"/>
    <x v="3"/>
  </r>
  <r>
    <n v="1240"/>
    <n v="136"/>
    <n v="2"/>
    <n v="82.04"/>
    <n v="8.1999999999999993"/>
    <n v="0"/>
    <n v="0.1"/>
    <s v="ACTIVE"/>
    <m/>
    <s v=""/>
    <m/>
    <d v="2026-02-15T09:45:21"/>
    <d v="2026-02-15T00:00:00"/>
    <x v="4"/>
    <x v="0"/>
    <n v="1"/>
    <n v="0"/>
    <x v="417"/>
    <s v="Guadalupe Castillo Rangel"/>
    <x v="1"/>
  </r>
  <r>
    <n v="1241"/>
    <n v="44"/>
    <n v="3"/>
    <n v="26.4"/>
    <n v="2.64"/>
    <n v="0"/>
    <n v="0.1"/>
    <s v="ACTIVE"/>
    <m/>
    <s v=""/>
    <m/>
    <d v="2026-02-15T09:46:08"/>
    <d v="2026-02-15T00:00:00"/>
    <x v="4"/>
    <x v="0"/>
    <n v="1"/>
    <n v="0"/>
    <x v="1097"/>
    <s v="Pedro Herrera Castillo"/>
    <x v="0"/>
  </r>
  <r>
    <n v="1242"/>
    <n v="124"/>
    <n v="2"/>
    <n v="15.05"/>
    <n v="1.51"/>
    <n v="0"/>
    <n v="0.1"/>
    <s v="ACTIVE"/>
    <m/>
    <s v=""/>
    <m/>
    <d v="2026-02-15T10:58:58"/>
    <d v="2026-02-15T00:00:00"/>
    <x v="4"/>
    <x v="0"/>
    <n v="1"/>
    <n v="0"/>
    <x v="1098"/>
    <s v="Elena Villalobos Pérez"/>
    <x v="1"/>
  </r>
  <r>
    <n v="1243"/>
    <n v="87"/>
    <n v="5"/>
    <n v="104.05"/>
    <n v="10.41"/>
    <n v="0"/>
    <n v="0.1"/>
    <s v="ACTIVE"/>
    <m/>
    <s v=""/>
    <m/>
    <d v="2026-02-15T11:25:47"/>
    <d v="2026-02-15T00:00:00"/>
    <x v="4"/>
    <x v="0"/>
    <n v="1"/>
    <n v="0"/>
    <x v="1099"/>
    <s v="Antonio Reyes Romero"/>
    <x v="2"/>
  </r>
  <r>
    <n v="1244"/>
    <n v="156"/>
    <n v="3"/>
    <n v="55.54"/>
    <n v="5.55"/>
    <n v="0"/>
    <n v="0.1"/>
    <s v="ACTIVE"/>
    <m/>
    <s v=""/>
    <m/>
    <d v="2026-02-15T15:36:05"/>
    <d v="2026-02-15T00:00:00"/>
    <x v="4"/>
    <x v="0"/>
    <n v="1"/>
    <n v="0"/>
    <x v="1100"/>
    <s v="Óscar Moreno Chávez"/>
    <x v="0"/>
  </r>
  <r>
    <n v="1245"/>
    <n v="20"/>
    <n v="3"/>
    <n v="36.479999999999997"/>
    <n v="3.65"/>
    <n v="0"/>
    <n v="0.1"/>
    <s v="ACTIVE"/>
    <m/>
    <s v=""/>
    <m/>
    <d v="2026-02-15T15:51:50"/>
    <d v="2026-02-15T00:00:00"/>
    <x v="4"/>
    <x v="0"/>
    <n v="1"/>
    <n v="0"/>
    <x v="1101"/>
    <s v="Luis Cruz Martínez"/>
    <x v="0"/>
  </r>
  <r>
    <n v="1246"/>
    <n v="302"/>
    <n v="3"/>
    <n v="34.08"/>
    <n v="3.41"/>
    <n v="0"/>
    <n v="0.1"/>
    <s v="ACTIVE"/>
    <m/>
    <s v=""/>
    <m/>
    <d v="2026-02-15T16:37:45"/>
    <d v="2026-02-15T00:00:00"/>
    <x v="4"/>
    <x v="0"/>
    <n v="1"/>
    <n v="0"/>
    <x v="1102"/>
    <s v="Alicia Herrera Sánchez"/>
    <x v="0"/>
  </r>
  <r>
    <n v="1247"/>
    <n v="16"/>
    <n v="2"/>
    <n v="187.87"/>
    <n v="18.79"/>
    <n v="0"/>
    <n v="0.1"/>
    <s v="ACTIVE"/>
    <m/>
    <s v=""/>
    <m/>
    <d v="2026-02-15T19:24:00"/>
    <d v="2026-02-15T00:00:00"/>
    <x v="4"/>
    <x v="0"/>
    <n v="1"/>
    <n v="0"/>
    <x v="1103"/>
    <s v="Laura Chávez Rangel"/>
    <x v="1"/>
  </r>
  <r>
    <n v="1248"/>
    <n v="131"/>
    <n v="5"/>
    <n v="297.33"/>
    <n v="29.73"/>
    <n v="0"/>
    <n v="0.1"/>
    <s v="CANCELED"/>
    <n v="5"/>
    <s v="Cliente canceló la operación"/>
    <d v="2026-02-17T05:33:29"/>
    <d v="2026-02-16T08:33:29"/>
    <d v="2026-02-16T00:00:00"/>
    <x v="4"/>
    <x v="0"/>
    <n v="1"/>
    <n v="1"/>
    <x v="32"/>
    <s v="Raúl Quiñones Hernández"/>
    <x v="2"/>
  </r>
  <r>
    <n v="1249"/>
    <n v="39"/>
    <n v="4"/>
    <n v="227.56"/>
    <n v="22.76"/>
    <n v="0"/>
    <n v="0.1"/>
    <s v="ACTIVE"/>
    <m/>
    <s v=""/>
    <m/>
    <d v="2026-02-16T09:39:20"/>
    <d v="2026-02-16T00:00:00"/>
    <x v="4"/>
    <x v="0"/>
    <n v="1"/>
    <n v="0"/>
    <x v="1104"/>
    <s v="Guadalupe García Quiñones"/>
    <x v="3"/>
  </r>
  <r>
    <n v="1250"/>
    <n v="136"/>
    <n v="2"/>
    <n v="126.26"/>
    <n v="12.63"/>
    <n v="0"/>
    <n v="0.1"/>
    <s v="ACTIVE"/>
    <m/>
    <s v=""/>
    <m/>
    <d v="2026-02-16T09:41:42"/>
    <d v="2026-02-16T00:00:00"/>
    <x v="4"/>
    <x v="0"/>
    <n v="1"/>
    <n v="0"/>
    <x v="1105"/>
    <s v="Guadalupe Castillo Rangel"/>
    <x v="1"/>
  </r>
  <r>
    <n v="1251"/>
    <n v="39"/>
    <n v="2"/>
    <n v="199.33"/>
    <n v="19.93"/>
    <n v="0"/>
    <n v="0.1"/>
    <s v="ACTIVE"/>
    <m/>
    <s v=""/>
    <m/>
    <d v="2026-02-16T11:13:42"/>
    <d v="2026-02-16T00:00:00"/>
    <x v="4"/>
    <x v="0"/>
    <n v="1"/>
    <n v="0"/>
    <x v="1106"/>
    <s v="Guadalupe García Quiñones"/>
    <x v="1"/>
  </r>
  <r>
    <n v="1252"/>
    <n v="55"/>
    <n v="5"/>
    <n v="21.72"/>
    <n v="2.17"/>
    <n v="0"/>
    <n v="0.1"/>
    <s v="ACTIVE"/>
    <m/>
    <s v=""/>
    <m/>
    <d v="2026-02-16T14:08:38"/>
    <d v="2026-02-16T00:00:00"/>
    <x v="4"/>
    <x v="0"/>
    <n v="1"/>
    <n v="0"/>
    <x v="1107"/>
    <s v="Luis Zacatecas Rodríguez"/>
    <x v="2"/>
  </r>
  <r>
    <n v="1253"/>
    <n v="150"/>
    <n v="4"/>
    <n v="58.48"/>
    <n v="5.85"/>
    <n v="0"/>
    <n v="0.1"/>
    <s v="ACTIVE"/>
    <m/>
    <s v=""/>
    <m/>
    <d v="2026-02-16T17:18:15"/>
    <d v="2026-02-16T00:00:00"/>
    <x v="4"/>
    <x v="0"/>
    <n v="1"/>
    <n v="0"/>
    <x v="1108"/>
    <s v="Daniel Díaz Quiñones"/>
    <x v="3"/>
  </r>
  <r>
    <n v="1254"/>
    <n v="56"/>
    <n v="4"/>
    <n v="114.62"/>
    <n v="11.46"/>
    <n v="0"/>
    <n v="0.1"/>
    <s v="ACTIVE"/>
    <m/>
    <s v=""/>
    <m/>
    <d v="2026-02-16T19:29:39"/>
    <d v="2026-02-16T00:00:00"/>
    <x v="4"/>
    <x v="0"/>
    <n v="1"/>
    <n v="0"/>
    <x v="1109"/>
    <s v="Carlos Ortiz Moreno"/>
    <x v="3"/>
  </r>
  <r>
    <n v="1255"/>
    <n v="39"/>
    <n v="3"/>
    <n v="166.59"/>
    <n v="16.66"/>
    <n v="0"/>
    <n v="0.1"/>
    <s v="ACTIVE"/>
    <m/>
    <s v=""/>
    <m/>
    <d v="2026-02-17T07:39:15"/>
    <d v="2026-02-17T00:00:00"/>
    <x v="4"/>
    <x v="0"/>
    <n v="1"/>
    <n v="0"/>
    <x v="1110"/>
    <s v="Guadalupe García Quiñones"/>
    <x v="0"/>
  </r>
  <r>
    <n v="1256"/>
    <n v="141"/>
    <n v="5"/>
    <n v="188.15"/>
    <n v="18.82"/>
    <n v="0"/>
    <n v="0.1"/>
    <s v="ACTIVE"/>
    <m/>
    <s v=""/>
    <m/>
    <d v="2026-02-17T09:08:36"/>
    <d v="2026-02-17T00:00:00"/>
    <x v="4"/>
    <x v="0"/>
    <n v="1"/>
    <n v="0"/>
    <x v="1111"/>
    <s v="Antonio Chávez Martínez"/>
    <x v="2"/>
  </r>
  <r>
    <n v="1257"/>
    <n v="241"/>
    <n v="3"/>
    <n v="29.55"/>
    <n v="2.96"/>
    <n v="0"/>
    <n v="0.1"/>
    <s v="ACTIVE"/>
    <m/>
    <s v=""/>
    <m/>
    <d v="2026-02-17T09:22:40"/>
    <d v="2026-02-17T00:00:00"/>
    <x v="4"/>
    <x v="0"/>
    <n v="1"/>
    <n v="0"/>
    <x v="634"/>
    <s v="Lucía Cruz Herrera"/>
    <x v="0"/>
  </r>
  <r>
    <n v="1258"/>
    <n v="151"/>
    <n v="2"/>
    <n v="158.59"/>
    <n v="15.86"/>
    <n v="0"/>
    <n v="0.1"/>
    <s v="ACTIVE"/>
    <m/>
    <s v=""/>
    <m/>
    <d v="2026-02-17T14:17:15"/>
    <d v="2026-02-17T00:00:00"/>
    <x v="4"/>
    <x v="0"/>
    <n v="1"/>
    <n v="0"/>
    <x v="1112"/>
    <s v="Verónica Salazar Ramos"/>
    <x v="1"/>
  </r>
  <r>
    <n v="1259"/>
    <n v="21"/>
    <n v="4"/>
    <n v="39.520000000000003"/>
    <n v="3.95"/>
    <n v="0"/>
    <n v="0.1"/>
    <s v="ACTIVE"/>
    <m/>
    <s v=""/>
    <m/>
    <d v="2026-02-17T16:07:23"/>
    <d v="2026-02-17T00:00:00"/>
    <x v="4"/>
    <x v="0"/>
    <n v="1"/>
    <n v="0"/>
    <x v="1113"/>
    <s v="Carlos Morales Santoyo"/>
    <x v="3"/>
  </r>
  <r>
    <n v="1260"/>
    <n v="217"/>
    <n v="4"/>
    <n v="21.67"/>
    <n v="2.17"/>
    <n v="0"/>
    <n v="0.1"/>
    <s v="ACTIVE"/>
    <m/>
    <s v=""/>
    <m/>
    <d v="2026-02-17T17:20:59"/>
    <d v="2026-02-17T00:00:00"/>
    <x v="4"/>
    <x v="0"/>
    <n v="1"/>
    <n v="0"/>
    <x v="1114"/>
    <s v="Francisco Rangel Rodríguez"/>
    <x v="3"/>
  </r>
  <r>
    <n v="1261"/>
    <n v="253"/>
    <n v="3"/>
    <n v="31.93"/>
    <n v="3.19"/>
    <n v="0"/>
    <n v="0.1"/>
    <s v="ACTIVE"/>
    <m/>
    <s v=""/>
    <m/>
    <d v="2026-02-18T07:29:54"/>
    <d v="2026-02-18T00:00:00"/>
    <x v="4"/>
    <x v="0"/>
    <n v="1"/>
    <n v="0"/>
    <x v="892"/>
    <s v="Luis Hernández Morales"/>
    <x v="0"/>
  </r>
  <r>
    <n v="1262"/>
    <n v="16"/>
    <n v="2"/>
    <n v="142.66999999999999"/>
    <n v="14.27"/>
    <n v="0"/>
    <n v="0.1"/>
    <s v="ACTIVE"/>
    <m/>
    <s v=""/>
    <m/>
    <d v="2026-02-18T08:12:37"/>
    <d v="2026-02-18T00:00:00"/>
    <x v="4"/>
    <x v="0"/>
    <n v="1"/>
    <n v="0"/>
    <x v="1115"/>
    <s v="Laura Chávez Rangel"/>
    <x v="1"/>
  </r>
  <r>
    <n v="1263"/>
    <n v="274"/>
    <n v="2"/>
    <n v="25.92"/>
    <n v="2.59"/>
    <n v="0"/>
    <n v="0.1"/>
    <s v="ACTIVE"/>
    <m/>
    <s v=""/>
    <m/>
    <d v="2026-02-18T09:11:11"/>
    <d v="2026-02-18T00:00:00"/>
    <x v="4"/>
    <x v="0"/>
    <n v="1"/>
    <n v="0"/>
    <x v="361"/>
    <s v="Daniel Medina Medina"/>
    <x v="1"/>
  </r>
  <r>
    <n v="1264"/>
    <n v="135"/>
    <n v="4"/>
    <n v="129.31"/>
    <n v="12.93"/>
    <n v="0"/>
    <n v="0.1"/>
    <s v="ACTIVE"/>
    <m/>
    <s v=""/>
    <m/>
    <d v="2026-02-18T09:18:17"/>
    <d v="2026-02-18T00:00:00"/>
    <x v="4"/>
    <x v="0"/>
    <n v="1"/>
    <n v="0"/>
    <x v="1116"/>
    <s v="Silvia Quiñones Delgado"/>
    <x v="3"/>
  </r>
  <r>
    <n v="1265"/>
    <n v="253"/>
    <n v="5"/>
    <n v="32.46"/>
    <n v="0"/>
    <n v="1"/>
    <n v="0.1"/>
    <s v="ACTIVE"/>
    <m/>
    <s v=""/>
    <m/>
    <d v="2026-02-18T09:21:35"/>
    <d v="2026-02-18T00:00:00"/>
    <x v="4"/>
    <x v="1"/>
    <n v="1"/>
    <n v="0"/>
    <x v="1117"/>
    <s v="Luis Hernández Morales"/>
    <x v="2"/>
  </r>
  <r>
    <n v="1266"/>
    <n v="66"/>
    <n v="2"/>
    <n v="63.64"/>
    <n v="6.36"/>
    <n v="0"/>
    <n v="0.1"/>
    <s v="ACTIVE"/>
    <m/>
    <s v=""/>
    <m/>
    <d v="2026-02-18T09:40:52"/>
    <d v="2026-02-18T00:00:00"/>
    <x v="4"/>
    <x v="0"/>
    <n v="1"/>
    <n v="0"/>
    <x v="1118"/>
    <s v="Guadalupe Morales Gutiérrez"/>
    <x v="1"/>
  </r>
  <r>
    <n v="1267"/>
    <n v="156"/>
    <n v="5"/>
    <n v="27.34"/>
    <n v="0"/>
    <n v="1"/>
    <n v="0.1"/>
    <s v="ACTIVE"/>
    <m/>
    <s v=""/>
    <m/>
    <d v="2026-02-18T10:35:51"/>
    <d v="2026-02-18T00:00:00"/>
    <x v="4"/>
    <x v="1"/>
    <n v="1"/>
    <n v="0"/>
    <x v="1119"/>
    <s v="Óscar Moreno Chávez"/>
    <x v="2"/>
  </r>
  <r>
    <n v="1268"/>
    <n v="106"/>
    <n v="4"/>
    <n v="90.13"/>
    <n v="9.01"/>
    <n v="0"/>
    <n v="0.1"/>
    <s v="ACTIVE"/>
    <m/>
    <s v=""/>
    <m/>
    <d v="2026-02-18T10:53:34"/>
    <d v="2026-02-18T00:00:00"/>
    <x v="4"/>
    <x v="0"/>
    <n v="1"/>
    <n v="0"/>
    <x v="1120"/>
    <s v="Isabel García Santoyo"/>
    <x v="3"/>
  </r>
  <r>
    <n v="1269"/>
    <n v="44"/>
    <n v="3"/>
    <n v="21.93"/>
    <n v="0"/>
    <n v="1"/>
    <n v="0.1"/>
    <s v="ACTIVE"/>
    <m/>
    <s v=""/>
    <m/>
    <d v="2026-02-18T17:17:56"/>
    <d v="2026-02-18T00:00:00"/>
    <x v="4"/>
    <x v="1"/>
    <n v="1"/>
    <n v="0"/>
    <x v="1121"/>
    <s v="Pedro Herrera Castillo"/>
    <x v="0"/>
  </r>
  <r>
    <n v="1270"/>
    <n v="38"/>
    <n v="2"/>
    <n v="23.02"/>
    <n v="2.2999999999999998"/>
    <n v="0"/>
    <n v="0.1"/>
    <s v="ACTIVE"/>
    <m/>
    <s v=""/>
    <m/>
    <d v="2026-02-18T17:38:05"/>
    <d v="2026-02-18T00:00:00"/>
    <x v="4"/>
    <x v="0"/>
    <n v="1"/>
    <n v="0"/>
    <x v="1122"/>
    <s v="Verónica Delgado Medina"/>
    <x v="1"/>
  </r>
  <r>
    <n v="1271"/>
    <n v="202"/>
    <n v="2"/>
    <n v="36.43"/>
    <n v="3.64"/>
    <n v="0"/>
    <n v="0.1"/>
    <s v="ACTIVE"/>
    <m/>
    <s v=""/>
    <m/>
    <d v="2026-02-18T17:45:31"/>
    <d v="2026-02-18T00:00:00"/>
    <x v="4"/>
    <x v="0"/>
    <n v="1"/>
    <n v="0"/>
    <x v="1123"/>
    <s v="Elena Díaz Reyes"/>
    <x v="1"/>
  </r>
  <r>
    <n v="1272"/>
    <n v="156"/>
    <n v="5"/>
    <n v="33.68"/>
    <n v="3.37"/>
    <n v="0"/>
    <n v="0.1"/>
    <s v="ACTIVE"/>
    <m/>
    <s v=""/>
    <m/>
    <d v="2026-02-19T07:09:57"/>
    <d v="2026-02-19T00:00:00"/>
    <x v="4"/>
    <x v="0"/>
    <n v="1"/>
    <n v="0"/>
    <x v="1124"/>
    <s v="Óscar Moreno Chávez"/>
    <x v="2"/>
  </r>
  <r>
    <n v="1273"/>
    <n v="145"/>
    <n v="5"/>
    <n v="253.63"/>
    <n v="25.36"/>
    <n v="0"/>
    <n v="0.1"/>
    <s v="ACTIVE"/>
    <m/>
    <s v=""/>
    <m/>
    <d v="2026-02-19T07:53:34"/>
    <d v="2026-02-19T00:00:00"/>
    <x v="4"/>
    <x v="0"/>
    <n v="1"/>
    <n v="0"/>
    <x v="1125"/>
    <s v="Luis Flores Flores"/>
    <x v="2"/>
  </r>
  <r>
    <n v="1274"/>
    <n v="47"/>
    <n v="3"/>
    <n v="33.97"/>
    <n v="3.4"/>
    <n v="0"/>
    <n v="0.1"/>
    <s v="ACTIVE"/>
    <m/>
    <s v=""/>
    <m/>
    <d v="2026-02-19T09:01:39"/>
    <d v="2026-02-19T00:00:00"/>
    <x v="4"/>
    <x v="0"/>
    <n v="1"/>
    <n v="0"/>
    <x v="1126"/>
    <s v="Carmen Díaz Chávez"/>
    <x v="0"/>
  </r>
  <r>
    <n v="1275"/>
    <n v="126"/>
    <n v="4"/>
    <n v="38.21"/>
    <n v="0"/>
    <n v="1"/>
    <n v="0.1"/>
    <s v="CANCELED"/>
    <n v="3"/>
    <s v="Error de captura"/>
    <d v="2026-02-19T21:32:08"/>
    <d v="2026-02-19T09:32:08"/>
    <d v="2026-02-19T00:00:00"/>
    <x v="4"/>
    <x v="1"/>
    <n v="1"/>
    <n v="1"/>
    <x v="32"/>
    <s v="Raúl Ávila Salazar"/>
    <x v="3"/>
  </r>
  <r>
    <n v="1276"/>
    <n v="35"/>
    <n v="3"/>
    <n v="48.72"/>
    <n v="4.87"/>
    <n v="0"/>
    <n v="0.1"/>
    <s v="ACTIVE"/>
    <m/>
    <s v=""/>
    <m/>
    <d v="2026-02-19T10:55:42"/>
    <d v="2026-02-19T00:00:00"/>
    <x v="4"/>
    <x v="0"/>
    <n v="1"/>
    <n v="0"/>
    <x v="1127"/>
    <s v="Teresa Ramírez Ramírez"/>
    <x v="0"/>
  </r>
  <r>
    <n v="1277"/>
    <n v="232"/>
    <n v="4"/>
    <n v="16.2"/>
    <n v="1.62"/>
    <n v="0"/>
    <n v="0.1"/>
    <s v="ACTIVE"/>
    <m/>
    <s v=""/>
    <m/>
    <d v="2026-02-19T11:45:03"/>
    <d v="2026-02-19T00:00:00"/>
    <x v="4"/>
    <x v="0"/>
    <n v="1"/>
    <n v="0"/>
    <x v="1128"/>
    <s v="Francisco Quiñones Morales"/>
    <x v="3"/>
  </r>
  <r>
    <n v="1278"/>
    <n v="44"/>
    <n v="2"/>
    <n v="25.84"/>
    <n v="2.58"/>
    <n v="0"/>
    <n v="0.1"/>
    <s v="ACTIVE"/>
    <m/>
    <s v=""/>
    <m/>
    <d v="2026-02-19T15:12:28"/>
    <d v="2026-02-19T00:00:00"/>
    <x v="4"/>
    <x v="0"/>
    <n v="1"/>
    <n v="0"/>
    <x v="1129"/>
    <s v="Pedro Herrera Castillo"/>
    <x v="1"/>
  </r>
  <r>
    <n v="1279"/>
    <n v="56"/>
    <n v="2"/>
    <n v="75.88"/>
    <n v="7.59"/>
    <n v="0"/>
    <n v="0.1"/>
    <s v="ACTIVE"/>
    <m/>
    <s v=""/>
    <m/>
    <d v="2026-02-19T15:14:59"/>
    <d v="2026-02-19T00:00:00"/>
    <x v="4"/>
    <x v="0"/>
    <n v="1"/>
    <n v="0"/>
    <x v="1130"/>
    <s v="Carlos Ortiz Moreno"/>
    <x v="1"/>
  </r>
  <r>
    <n v="1280"/>
    <n v="175"/>
    <n v="2"/>
    <n v="28.24"/>
    <n v="2.82"/>
    <n v="0"/>
    <n v="0.1"/>
    <s v="ACTIVE"/>
    <m/>
    <s v=""/>
    <m/>
    <d v="2026-02-19T16:40:23"/>
    <d v="2026-02-19T00:00:00"/>
    <x v="4"/>
    <x v="0"/>
    <n v="1"/>
    <n v="0"/>
    <x v="1131"/>
    <s v="Óscar Villalobos Flores"/>
    <x v="1"/>
  </r>
  <r>
    <n v="1281"/>
    <n v="16"/>
    <n v="3"/>
    <n v="139.71"/>
    <n v="0"/>
    <n v="1"/>
    <n v="0.1"/>
    <s v="ACTIVE"/>
    <m/>
    <s v=""/>
    <m/>
    <d v="2026-02-19T19:19:12"/>
    <d v="2026-02-19T00:00:00"/>
    <x v="4"/>
    <x v="1"/>
    <n v="1"/>
    <n v="0"/>
    <x v="1132"/>
    <s v="Laura Chávez Rangel"/>
    <x v="0"/>
  </r>
  <r>
    <n v="1282"/>
    <n v="16"/>
    <n v="3"/>
    <n v="300"/>
    <n v="30"/>
    <n v="0"/>
    <n v="0.1"/>
    <s v="ACTIVE"/>
    <m/>
    <s v=""/>
    <m/>
    <d v="2026-02-20T08:32:34"/>
    <d v="2026-02-20T00:00:00"/>
    <x v="4"/>
    <x v="0"/>
    <n v="1"/>
    <n v="0"/>
    <x v="74"/>
    <s v="Laura Chávez Rangel"/>
    <x v="0"/>
  </r>
  <r>
    <n v="1283"/>
    <n v="39"/>
    <n v="4"/>
    <n v="145.51"/>
    <n v="0"/>
    <n v="1"/>
    <n v="0.1"/>
    <s v="ACTIVE"/>
    <m/>
    <s v=""/>
    <m/>
    <d v="2026-02-20T10:05:15"/>
    <d v="2026-02-20T00:00:00"/>
    <x v="4"/>
    <x v="1"/>
    <n v="1"/>
    <n v="0"/>
    <x v="1133"/>
    <s v="Guadalupe García Quiñones"/>
    <x v="3"/>
  </r>
  <r>
    <n v="1284"/>
    <n v="113"/>
    <n v="2"/>
    <n v="38.04"/>
    <n v="3.8"/>
    <n v="0"/>
    <n v="0.1"/>
    <s v="ACTIVE"/>
    <m/>
    <s v=""/>
    <m/>
    <d v="2026-02-20T11:46:28"/>
    <d v="2026-02-20T00:00:00"/>
    <x v="4"/>
    <x v="0"/>
    <n v="1"/>
    <n v="0"/>
    <x v="1134"/>
    <s v="Leticia Ruiz Aguilar"/>
    <x v="1"/>
  </r>
  <r>
    <n v="1285"/>
    <n v="91"/>
    <n v="3"/>
    <n v="24.94"/>
    <n v="2.4900000000000002"/>
    <n v="0"/>
    <n v="0.1"/>
    <s v="ACTIVE"/>
    <m/>
    <s v=""/>
    <m/>
    <d v="2026-02-20T13:10:38"/>
    <d v="2026-02-20T00:00:00"/>
    <x v="4"/>
    <x v="0"/>
    <n v="1"/>
    <n v="0"/>
    <x v="1135"/>
    <s v="Silvia Gómez Rodríguez"/>
    <x v="0"/>
  </r>
  <r>
    <n v="1286"/>
    <n v="67"/>
    <n v="3"/>
    <n v="37.72"/>
    <n v="3.77"/>
    <n v="0"/>
    <n v="0.1"/>
    <s v="ACTIVE"/>
    <m/>
    <s v=""/>
    <m/>
    <d v="2026-02-20T15:35:47"/>
    <d v="2026-02-20T00:00:00"/>
    <x v="4"/>
    <x v="0"/>
    <n v="1"/>
    <n v="0"/>
    <x v="1136"/>
    <s v="Luis Rodríguez Herrera"/>
    <x v="0"/>
  </r>
  <r>
    <n v="1287"/>
    <n v="18"/>
    <n v="3"/>
    <n v="111.51"/>
    <n v="11.15"/>
    <n v="0"/>
    <n v="0.1"/>
    <s v="ACTIVE"/>
    <m/>
    <s v=""/>
    <m/>
    <d v="2026-02-21T07:42:36"/>
    <d v="2026-02-21T00:00:00"/>
    <x v="4"/>
    <x v="0"/>
    <n v="1"/>
    <n v="0"/>
    <x v="1137"/>
    <s v="Carlos Gómez Ávila"/>
    <x v="0"/>
  </r>
  <r>
    <n v="1288"/>
    <n v="187"/>
    <n v="4"/>
    <n v="26.4"/>
    <n v="2.64"/>
    <n v="0"/>
    <n v="0.1"/>
    <s v="ACTIVE"/>
    <m/>
    <s v=""/>
    <m/>
    <d v="2026-02-21T11:59:31"/>
    <d v="2026-02-21T00:00:00"/>
    <x v="4"/>
    <x v="0"/>
    <n v="1"/>
    <n v="0"/>
    <x v="1097"/>
    <s v="Pedro Medina Gómez"/>
    <x v="3"/>
  </r>
  <r>
    <n v="1289"/>
    <n v="202"/>
    <n v="4"/>
    <n v="33.65"/>
    <n v="3.37"/>
    <n v="0"/>
    <n v="0.1"/>
    <s v="ACTIVE"/>
    <m/>
    <s v=""/>
    <m/>
    <d v="2026-02-21T15:17:56"/>
    <d v="2026-02-21T00:00:00"/>
    <x v="4"/>
    <x v="0"/>
    <n v="1"/>
    <n v="0"/>
    <x v="1138"/>
    <s v="Elena Díaz Reyes"/>
    <x v="3"/>
  </r>
  <r>
    <n v="1290"/>
    <n v="56"/>
    <n v="5"/>
    <n v="84.24"/>
    <n v="8.42"/>
    <n v="0"/>
    <n v="0.1"/>
    <s v="ACTIVE"/>
    <m/>
    <s v=""/>
    <m/>
    <d v="2026-02-21T16:41:48"/>
    <d v="2026-02-21T00:00:00"/>
    <x v="4"/>
    <x v="0"/>
    <n v="1"/>
    <n v="0"/>
    <x v="1139"/>
    <s v="Carlos Ortiz Moreno"/>
    <x v="2"/>
  </r>
  <r>
    <n v="1291"/>
    <n v="152"/>
    <n v="4"/>
    <n v="98.07"/>
    <n v="9.81"/>
    <n v="0"/>
    <n v="0.1"/>
    <s v="ACTIVE"/>
    <m/>
    <s v=""/>
    <m/>
    <d v="2026-02-21T16:52:20"/>
    <d v="2026-02-21T00:00:00"/>
    <x v="4"/>
    <x v="0"/>
    <n v="1"/>
    <n v="0"/>
    <x v="1140"/>
    <s v="Héctor Rangel González"/>
    <x v="3"/>
  </r>
  <r>
    <n v="1292"/>
    <n v="28"/>
    <n v="3"/>
    <n v="21.92"/>
    <n v="2.19"/>
    <n v="0"/>
    <n v="0.1"/>
    <s v="ACTIVE"/>
    <m/>
    <s v=""/>
    <m/>
    <d v="2026-02-22T07:34:08"/>
    <d v="2026-02-22T00:00:00"/>
    <x v="4"/>
    <x v="0"/>
    <n v="1"/>
    <n v="0"/>
    <x v="1141"/>
    <s v="Francisco Ávila Chávez"/>
    <x v="0"/>
  </r>
  <r>
    <n v="1293"/>
    <n v="66"/>
    <n v="5"/>
    <n v="127.99"/>
    <n v="12.8"/>
    <n v="0"/>
    <n v="0.1"/>
    <s v="ACTIVE"/>
    <m/>
    <s v=""/>
    <m/>
    <d v="2026-02-22T08:58:58"/>
    <d v="2026-02-22T00:00:00"/>
    <x v="4"/>
    <x v="0"/>
    <n v="1"/>
    <n v="0"/>
    <x v="1142"/>
    <s v="Guadalupe Morales Gutiérrez"/>
    <x v="2"/>
  </r>
  <r>
    <n v="1294"/>
    <n v="149"/>
    <n v="3"/>
    <n v="22.02"/>
    <n v="2.2000000000000002"/>
    <n v="0"/>
    <n v="0.1"/>
    <s v="ACTIVE"/>
    <m/>
    <s v=""/>
    <m/>
    <d v="2026-02-22T09:38:57"/>
    <d v="2026-02-22T00:00:00"/>
    <x v="4"/>
    <x v="0"/>
    <n v="1"/>
    <n v="0"/>
    <x v="1143"/>
    <s v="Pedro Morales Morales"/>
    <x v="0"/>
  </r>
  <r>
    <n v="1295"/>
    <n v="149"/>
    <n v="5"/>
    <n v="38.909999999999997"/>
    <n v="3.89"/>
    <n v="0"/>
    <n v="0.1"/>
    <s v="ACTIVE"/>
    <m/>
    <s v=""/>
    <m/>
    <d v="2026-02-22T10:01:20"/>
    <d v="2026-02-22T00:00:00"/>
    <x v="4"/>
    <x v="0"/>
    <n v="1"/>
    <n v="0"/>
    <x v="1144"/>
    <s v="Pedro Morales Morales"/>
    <x v="2"/>
  </r>
  <r>
    <n v="1296"/>
    <n v="87"/>
    <n v="2"/>
    <n v="103.59"/>
    <n v="10.36"/>
    <n v="0"/>
    <n v="0.1"/>
    <s v="ACTIVE"/>
    <m/>
    <s v=""/>
    <m/>
    <d v="2026-02-22T11:00:18"/>
    <d v="2026-02-22T00:00:00"/>
    <x v="4"/>
    <x v="0"/>
    <n v="1"/>
    <n v="0"/>
    <x v="1145"/>
    <s v="Antonio Reyes Romero"/>
    <x v="1"/>
  </r>
  <r>
    <n v="1297"/>
    <n v="190"/>
    <n v="4"/>
    <n v="135.62"/>
    <n v="13.56"/>
    <n v="0"/>
    <n v="0.1"/>
    <s v="ACTIVE"/>
    <m/>
    <s v=""/>
    <m/>
    <d v="2026-02-22T11:35:35"/>
    <d v="2026-02-22T00:00:00"/>
    <x v="4"/>
    <x v="0"/>
    <n v="1"/>
    <n v="0"/>
    <x v="807"/>
    <s v="Ricardo Díaz Rodríguez"/>
    <x v="3"/>
  </r>
  <r>
    <n v="1298"/>
    <n v="80"/>
    <n v="4"/>
    <n v="23.9"/>
    <n v="2.39"/>
    <n v="0"/>
    <n v="0.1"/>
    <s v="ACTIVE"/>
    <m/>
    <s v=""/>
    <m/>
    <d v="2026-02-22T15:09:05"/>
    <d v="2026-02-22T00:00:00"/>
    <x v="4"/>
    <x v="0"/>
    <n v="1"/>
    <n v="0"/>
    <x v="1146"/>
    <s v="Juan Sánchez Gutiérrez"/>
    <x v="3"/>
  </r>
  <r>
    <n v="1299"/>
    <n v="195"/>
    <n v="5"/>
    <n v="97.7"/>
    <n v="9.77"/>
    <n v="0"/>
    <n v="0.1"/>
    <s v="ACTIVE"/>
    <m/>
    <s v=""/>
    <m/>
    <d v="2026-02-22T15:23:06"/>
    <d v="2026-02-22T00:00:00"/>
    <x v="4"/>
    <x v="0"/>
    <n v="1"/>
    <n v="0"/>
    <x v="1147"/>
    <s v="Laura Salazar Pérez"/>
    <x v="2"/>
  </r>
  <r>
    <n v="1300"/>
    <n v="59"/>
    <n v="4"/>
    <n v="35.770000000000003"/>
    <n v="3.58"/>
    <n v="0"/>
    <n v="0.1"/>
    <s v="ACTIVE"/>
    <m/>
    <s v=""/>
    <m/>
    <d v="2026-02-23T09:05:11"/>
    <d v="2026-02-23T00:00:00"/>
    <x v="4"/>
    <x v="0"/>
    <n v="1"/>
    <n v="0"/>
    <x v="1148"/>
    <s v="Daniel Gutiérrez Moreno"/>
    <x v="3"/>
  </r>
  <r>
    <n v="1301"/>
    <n v="65"/>
    <n v="5"/>
    <n v="29.73"/>
    <n v="2.97"/>
    <n v="0"/>
    <n v="0.1"/>
    <s v="ACTIVE"/>
    <m/>
    <s v=""/>
    <m/>
    <d v="2026-02-23T09:13:52"/>
    <d v="2026-02-23T00:00:00"/>
    <x v="4"/>
    <x v="0"/>
    <n v="1"/>
    <n v="0"/>
    <x v="203"/>
    <s v="Gabriela Flores Chávez"/>
    <x v="2"/>
  </r>
  <r>
    <n v="1302"/>
    <n v="230"/>
    <n v="2"/>
    <n v="123.08"/>
    <n v="12.31"/>
    <n v="0"/>
    <n v="0.1"/>
    <s v="ACTIVE"/>
    <m/>
    <s v=""/>
    <m/>
    <d v="2026-02-23T09:17:20"/>
    <d v="2026-02-23T00:00:00"/>
    <x v="4"/>
    <x v="0"/>
    <n v="1"/>
    <n v="0"/>
    <x v="1149"/>
    <s v="Antonio Chávez Quiñones"/>
    <x v="1"/>
  </r>
  <r>
    <n v="1303"/>
    <n v="7"/>
    <n v="3"/>
    <n v="130.44"/>
    <n v="13.04"/>
    <n v="0"/>
    <n v="0.1"/>
    <s v="ACTIVE"/>
    <m/>
    <s v=""/>
    <m/>
    <d v="2026-02-23T10:14:50"/>
    <d v="2026-02-23T00:00:00"/>
    <x v="4"/>
    <x v="0"/>
    <n v="1"/>
    <n v="0"/>
    <x v="1150"/>
    <s v="Teresa Rodríguez Herrera"/>
    <x v="0"/>
  </r>
  <r>
    <n v="1304"/>
    <n v="96"/>
    <n v="4"/>
    <n v="166.2"/>
    <n v="16.62"/>
    <n v="0"/>
    <n v="0.1"/>
    <s v="ACTIVE"/>
    <m/>
    <s v=""/>
    <m/>
    <d v="2026-02-23T10:28:17"/>
    <d v="2026-02-23T00:00:00"/>
    <x v="4"/>
    <x v="0"/>
    <n v="1"/>
    <n v="0"/>
    <x v="1151"/>
    <s v="José Pérez Herrera"/>
    <x v="3"/>
  </r>
  <r>
    <n v="1305"/>
    <n v="249"/>
    <n v="2"/>
    <n v="84.21"/>
    <n v="8.42"/>
    <n v="0"/>
    <n v="0.1"/>
    <s v="ACTIVE"/>
    <m/>
    <s v=""/>
    <m/>
    <d v="2026-02-23T10:28:56"/>
    <d v="2026-02-23T00:00:00"/>
    <x v="4"/>
    <x v="0"/>
    <n v="1"/>
    <n v="0"/>
    <x v="1152"/>
    <s v="Jorge Chávez Medina"/>
    <x v="1"/>
  </r>
  <r>
    <n v="1306"/>
    <n v="52"/>
    <n v="5"/>
    <n v="32.21"/>
    <n v="3.22"/>
    <n v="0"/>
    <n v="0.1"/>
    <s v="ACTIVE"/>
    <m/>
    <s v=""/>
    <m/>
    <d v="2026-02-23T10:59:59"/>
    <d v="2026-02-23T00:00:00"/>
    <x v="4"/>
    <x v="0"/>
    <n v="1"/>
    <n v="0"/>
    <x v="1153"/>
    <s v="Gabriela Villalobos Flores"/>
    <x v="2"/>
  </r>
  <r>
    <n v="1307"/>
    <n v="31"/>
    <n v="2"/>
    <n v="27.73"/>
    <n v="2.77"/>
    <n v="0"/>
    <n v="0.1"/>
    <s v="ACTIVE"/>
    <m/>
    <s v=""/>
    <m/>
    <d v="2026-02-23T12:50:51"/>
    <d v="2026-02-23T00:00:00"/>
    <x v="4"/>
    <x v="0"/>
    <n v="1"/>
    <n v="0"/>
    <x v="1154"/>
    <s v="Óscar Zacatecas Reyes"/>
    <x v="1"/>
  </r>
  <r>
    <n v="1308"/>
    <n v="293"/>
    <n v="2"/>
    <n v="30.34"/>
    <n v="3.03"/>
    <n v="0"/>
    <n v="0.1"/>
    <s v="CANCELED"/>
    <n v="5"/>
    <s v="Cliente canceló la operación"/>
    <d v="2026-02-23T15:16:45"/>
    <d v="2026-02-23T13:16:45"/>
    <d v="2026-02-23T00:00:00"/>
    <x v="4"/>
    <x v="0"/>
    <n v="1"/>
    <n v="1"/>
    <x v="32"/>
    <s v="Patricia Quiñones Pérez"/>
    <x v="1"/>
  </r>
  <r>
    <n v="1309"/>
    <n v="48"/>
    <n v="5"/>
    <n v="161.22"/>
    <n v="16.12"/>
    <n v="0"/>
    <n v="0.1"/>
    <s v="ACTIVE"/>
    <m/>
    <s v=""/>
    <m/>
    <d v="2026-02-23T16:08:25"/>
    <d v="2026-02-23T00:00:00"/>
    <x v="4"/>
    <x v="0"/>
    <n v="1"/>
    <n v="0"/>
    <x v="1155"/>
    <s v="Carlos Medina Quiñones"/>
    <x v="2"/>
  </r>
  <r>
    <n v="1310"/>
    <n v="72"/>
    <n v="4"/>
    <n v="31.16"/>
    <n v="3.12"/>
    <n v="0"/>
    <n v="0.1"/>
    <s v="ACTIVE"/>
    <m/>
    <s v=""/>
    <m/>
    <d v="2026-02-23T18:24:28"/>
    <d v="2026-02-23T00:00:00"/>
    <x v="4"/>
    <x v="0"/>
    <n v="1"/>
    <n v="0"/>
    <x v="1156"/>
    <s v="Miguel Castillo Morales"/>
    <x v="3"/>
  </r>
  <r>
    <n v="1311"/>
    <n v="117"/>
    <n v="2"/>
    <n v="94.11"/>
    <n v="9.41"/>
    <n v="0"/>
    <n v="0.1"/>
    <s v="ACTIVE"/>
    <m/>
    <s v=""/>
    <m/>
    <d v="2026-02-23T18:26:13"/>
    <d v="2026-02-23T00:00:00"/>
    <x v="4"/>
    <x v="0"/>
    <n v="1"/>
    <n v="0"/>
    <x v="1157"/>
    <s v="Manuel Ortiz Ramírez"/>
    <x v="1"/>
  </r>
  <r>
    <n v="1312"/>
    <n v="293"/>
    <n v="2"/>
    <n v="23.32"/>
    <n v="2.33"/>
    <n v="0"/>
    <n v="0.1"/>
    <s v="ACTIVE"/>
    <m/>
    <s v=""/>
    <m/>
    <d v="2026-02-23T19:01:48"/>
    <d v="2026-02-23T00:00:00"/>
    <x v="4"/>
    <x v="0"/>
    <n v="1"/>
    <n v="0"/>
    <x v="552"/>
    <s v="Patricia Quiñones Pérez"/>
    <x v="1"/>
  </r>
  <r>
    <n v="1313"/>
    <n v="7"/>
    <n v="4"/>
    <n v="127.47"/>
    <n v="12.75"/>
    <n v="0"/>
    <n v="0.1"/>
    <s v="ACTIVE"/>
    <m/>
    <s v=""/>
    <m/>
    <d v="2026-02-24T07:36:18"/>
    <d v="2026-02-24T00:00:00"/>
    <x v="4"/>
    <x v="0"/>
    <n v="1"/>
    <n v="0"/>
    <x v="1158"/>
    <s v="Teresa Rodríguez Herrera"/>
    <x v="3"/>
  </r>
  <r>
    <n v="1314"/>
    <n v="23"/>
    <n v="3"/>
    <n v="205.08"/>
    <n v="20.51"/>
    <n v="0"/>
    <n v="0.1"/>
    <s v="ACTIVE"/>
    <m/>
    <s v=""/>
    <m/>
    <d v="2026-02-24T07:38:15"/>
    <d v="2026-02-24T00:00:00"/>
    <x v="4"/>
    <x v="0"/>
    <n v="1"/>
    <n v="0"/>
    <x v="1159"/>
    <s v="Gabriela Ávila Gutiérrez"/>
    <x v="0"/>
  </r>
  <r>
    <n v="1315"/>
    <n v="156"/>
    <n v="5"/>
    <n v="33.450000000000003"/>
    <n v="3.35"/>
    <n v="0"/>
    <n v="0.1"/>
    <s v="ACTIVE"/>
    <m/>
    <s v=""/>
    <m/>
    <d v="2026-02-24T07:47:48"/>
    <d v="2026-02-24T00:00:00"/>
    <x v="4"/>
    <x v="0"/>
    <n v="1"/>
    <n v="0"/>
    <x v="1160"/>
    <s v="Óscar Moreno Chávez"/>
    <x v="2"/>
  </r>
  <r>
    <n v="1316"/>
    <n v="17"/>
    <n v="4"/>
    <n v="51.69"/>
    <n v="5.17"/>
    <n v="0"/>
    <n v="0.1"/>
    <s v="ACTIVE"/>
    <m/>
    <s v=""/>
    <m/>
    <d v="2026-02-24T08:03:35"/>
    <d v="2026-02-24T00:00:00"/>
    <x v="4"/>
    <x v="0"/>
    <n v="1"/>
    <n v="0"/>
    <x v="1161"/>
    <s v="Patricia Castillo Morales"/>
    <x v="3"/>
  </r>
  <r>
    <n v="1317"/>
    <n v="277"/>
    <n v="2"/>
    <n v="124.89"/>
    <n v="12.49"/>
    <n v="0"/>
    <n v="0.1"/>
    <s v="ACTIVE"/>
    <m/>
    <s v=""/>
    <m/>
    <d v="2026-02-24T09:59:37"/>
    <d v="2026-02-24T00:00:00"/>
    <x v="4"/>
    <x v="0"/>
    <n v="1"/>
    <n v="0"/>
    <x v="1162"/>
    <s v="Laura Ramos Gutiérrez"/>
    <x v="1"/>
  </r>
  <r>
    <n v="1318"/>
    <n v="136"/>
    <n v="5"/>
    <n v="55.76"/>
    <n v="5.58"/>
    <n v="0"/>
    <n v="0.1"/>
    <s v="CANCELED"/>
    <n v="3"/>
    <s v="Cliente canceló la operación"/>
    <d v="2026-02-26T06:32:19"/>
    <d v="2026-02-24T10:32:19"/>
    <d v="2026-02-24T00:00:00"/>
    <x v="4"/>
    <x v="0"/>
    <n v="1"/>
    <n v="1"/>
    <x v="32"/>
    <s v="Guadalupe Castillo Rangel"/>
    <x v="2"/>
  </r>
  <r>
    <n v="1319"/>
    <n v="149"/>
    <n v="4"/>
    <n v="24.84"/>
    <n v="2.48"/>
    <n v="0"/>
    <n v="0.1"/>
    <s v="ACTIVE"/>
    <m/>
    <s v=""/>
    <m/>
    <d v="2026-02-24T11:31:47"/>
    <d v="2026-02-24T00:00:00"/>
    <x v="4"/>
    <x v="0"/>
    <n v="1"/>
    <n v="0"/>
    <x v="1163"/>
    <s v="Pedro Morales Morales"/>
    <x v="3"/>
  </r>
  <r>
    <n v="1320"/>
    <n v="172"/>
    <n v="3"/>
    <n v="20.16"/>
    <n v="2.02"/>
    <n v="0"/>
    <n v="0.1"/>
    <s v="ACTIVE"/>
    <m/>
    <s v=""/>
    <m/>
    <d v="2026-02-24T11:42:11"/>
    <d v="2026-02-24T00:00:00"/>
    <x v="4"/>
    <x v="0"/>
    <n v="1"/>
    <n v="0"/>
    <x v="1164"/>
    <s v="Silvia Salazar Ortiz"/>
    <x v="0"/>
  </r>
  <r>
    <n v="1321"/>
    <n v="175"/>
    <n v="3"/>
    <n v="31.72"/>
    <n v="3.17"/>
    <n v="0"/>
    <n v="0.1"/>
    <s v="ACTIVE"/>
    <m/>
    <s v=""/>
    <m/>
    <d v="2026-02-24T14:40:20"/>
    <d v="2026-02-24T00:00:00"/>
    <x v="4"/>
    <x v="0"/>
    <n v="1"/>
    <n v="0"/>
    <x v="1165"/>
    <s v="Óscar Villalobos Flores"/>
    <x v="0"/>
  </r>
  <r>
    <n v="1322"/>
    <n v="268"/>
    <n v="2"/>
    <n v="23.63"/>
    <n v="2.36"/>
    <n v="0"/>
    <n v="0.1"/>
    <s v="ACTIVE"/>
    <m/>
    <s v=""/>
    <m/>
    <d v="2026-02-24T15:10:59"/>
    <d v="2026-02-24T00:00:00"/>
    <x v="4"/>
    <x v="0"/>
    <n v="1"/>
    <n v="0"/>
    <x v="1166"/>
    <s v="Verónica Mendoza Chávez"/>
    <x v="1"/>
  </r>
  <r>
    <n v="1323"/>
    <n v="65"/>
    <n v="5"/>
    <n v="53.74"/>
    <n v="5.37"/>
    <n v="0"/>
    <n v="0.1"/>
    <s v="ACTIVE"/>
    <m/>
    <s v=""/>
    <m/>
    <d v="2026-02-24T15:43:50"/>
    <d v="2026-02-24T00:00:00"/>
    <x v="4"/>
    <x v="0"/>
    <n v="1"/>
    <n v="0"/>
    <x v="1167"/>
    <s v="Gabriela Flores Chávez"/>
    <x v="2"/>
  </r>
  <r>
    <n v="1324"/>
    <n v="304"/>
    <n v="2"/>
    <n v="14.14"/>
    <n v="1.41"/>
    <n v="0"/>
    <n v="0.1"/>
    <s v="ACTIVE"/>
    <m/>
    <s v=""/>
    <m/>
    <d v="2026-02-24T17:19:14"/>
    <d v="2026-02-24T00:00:00"/>
    <x v="4"/>
    <x v="0"/>
    <n v="1"/>
    <n v="0"/>
    <x v="1168"/>
    <s v="Leticia González Sánchez"/>
    <x v="1"/>
  </r>
  <r>
    <n v="1325"/>
    <n v="126"/>
    <n v="2"/>
    <n v="147.58000000000001"/>
    <n v="14.76"/>
    <n v="0"/>
    <n v="0.1"/>
    <s v="ACTIVE"/>
    <m/>
    <s v=""/>
    <m/>
    <d v="2026-02-24T18:51:02"/>
    <d v="2026-02-24T00:00:00"/>
    <x v="4"/>
    <x v="0"/>
    <n v="1"/>
    <n v="0"/>
    <x v="1169"/>
    <s v="Raúl Ávila Salazar"/>
    <x v="1"/>
  </r>
  <r>
    <n v="1326"/>
    <n v="42"/>
    <n v="4"/>
    <n v="35.29"/>
    <n v="3.53"/>
    <n v="0"/>
    <n v="0.1"/>
    <s v="ACTIVE"/>
    <m/>
    <s v=""/>
    <m/>
    <d v="2026-02-25T09:39:29"/>
    <d v="2026-02-25T00:00:00"/>
    <x v="4"/>
    <x v="0"/>
    <n v="1"/>
    <n v="0"/>
    <x v="917"/>
    <s v="Roberto Ávila Ramírez"/>
    <x v="3"/>
  </r>
  <r>
    <n v="1327"/>
    <n v="20"/>
    <n v="2"/>
    <n v="20.22"/>
    <n v="2.02"/>
    <n v="0"/>
    <n v="0.1"/>
    <s v="ACTIVE"/>
    <m/>
    <s v=""/>
    <m/>
    <d v="2026-02-25T10:53:58"/>
    <d v="2026-02-25T00:00:00"/>
    <x v="4"/>
    <x v="0"/>
    <n v="1"/>
    <n v="0"/>
    <x v="1170"/>
    <s v="Luis Cruz Martínez"/>
    <x v="1"/>
  </r>
  <r>
    <n v="1328"/>
    <n v="113"/>
    <n v="2"/>
    <n v="18.579999999999998"/>
    <n v="1.86"/>
    <n v="0"/>
    <n v="0.1"/>
    <s v="ACTIVE"/>
    <m/>
    <s v=""/>
    <m/>
    <d v="2026-02-25T11:10:56"/>
    <d v="2026-02-25T00:00:00"/>
    <x v="4"/>
    <x v="0"/>
    <n v="1"/>
    <n v="0"/>
    <x v="1171"/>
    <s v="Leticia Ruiz Aguilar"/>
    <x v="1"/>
  </r>
  <r>
    <n v="1329"/>
    <n v="76"/>
    <n v="2"/>
    <n v="77.91"/>
    <n v="7.79"/>
    <n v="0"/>
    <n v="0.1"/>
    <s v="ACTIVE"/>
    <m/>
    <s v=""/>
    <m/>
    <d v="2026-02-25T11:55:33"/>
    <d v="2026-02-25T00:00:00"/>
    <x v="4"/>
    <x v="0"/>
    <n v="1"/>
    <n v="0"/>
    <x v="1172"/>
    <s v="Pedro Jiménez Martínez"/>
    <x v="1"/>
  </r>
  <r>
    <n v="1330"/>
    <n v="117"/>
    <n v="2"/>
    <n v="73.44"/>
    <n v="7.34"/>
    <n v="0"/>
    <n v="0.1"/>
    <s v="ACTIVE"/>
    <m/>
    <s v=""/>
    <m/>
    <d v="2026-02-25T12:27:05"/>
    <d v="2026-02-25T00:00:00"/>
    <x v="4"/>
    <x v="0"/>
    <n v="1"/>
    <n v="0"/>
    <x v="1173"/>
    <s v="Manuel Ortiz Ramírez"/>
    <x v="1"/>
  </r>
  <r>
    <n v="1331"/>
    <n v="21"/>
    <n v="4"/>
    <n v="30.14"/>
    <n v="3.01"/>
    <n v="0"/>
    <n v="0.1"/>
    <s v="ACTIVE"/>
    <m/>
    <s v=""/>
    <m/>
    <d v="2026-02-25T12:54:50"/>
    <d v="2026-02-25T00:00:00"/>
    <x v="4"/>
    <x v="0"/>
    <n v="1"/>
    <n v="0"/>
    <x v="1174"/>
    <s v="Carlos Morales Santoyo"/>
    <x v="3"/>
  </r>
  <r>
    <n v="1332"/>
    <n v="76"/>
    <n v="3"/>
    <n v="62.71"/>
    <n v="6.27"/>
    <n v="0"/>
    <n v="0.1"/>
    <s v="ACTIVE"/>
    <m/>
    <s v=""/>
    <m/>
    <d v="2026-02-25T15:31:41"/>
    <d v="2026-02-25T00:00:00"/>
    <x v="4"/>
    <x v="0"/>
    <n v="1"/>
    <n v="0"/>
    <x v="1175"/>
    <s v="Pedro Jiménez Martínez"/>
    <x v="0"/>
  </r>
  <r>
    <n v="1333"/>
    <n v="227"/>
    <n v="2"/>
    <n v="26.04"/>
    <n v="2.6"/>
    <n v="0"/>
    <n v="0.1"/>
    <s v="ACTIVE"/>
    <m/>
    <s v=""/>
    <m/>
    <d v="2026-02-25T18:36:24"/>
    <d v="2026-02-25T00:00:00"/>
    <x v="4"/>
    <x v="0"/>
    <n v="1"/>
    <n v="0"/>
    <x v="1176"/>
    <s v="Alicia Mendoza Rangel"/>
    <x v="1"/>
  </r>
  <r>
    <n v="1334"/>
    <n v="117"/>
    <n v="5"/>
    <n v="57.51"/>
    <n v="5.75"/>
    <n v="0"/>
    <n v="0.1"/>
    <s v="ACTIVE"/>
    <m/>
    <s v=""/>
    <m/>
    <d v="2026-02-25T19:02:56"/>
    <d v="2026-02-25T00:00:00"/>
    <x v="4"/>
    <x v="0"/>
    <n v="1"/>
    <n v="0"/>
    <x v="1177"/>
    <s v="Manuel Ortiz Ramírez"/>
    <x v="2"/>
  </r>
  <r>
    <n v="1335"/>
    <n v="302"/>
    <n v="2"/>
    <n v="36.549999999999997"/>
    <n v="3.66"/>
    <n v="0"/>
    <n v="0.1"/>
    <s v="ACTIVE"/>
    <m/>
    <s v=""/>
    <m/>
    <d v="2026-02-26T07:27:12"/>
    <d v="2026-02-26T00:00:00"/>
    <x v="4"/>
    <x v="0"/>
    <n v="1"/>
    <n v="0"/>
    <x v="1178"/>
    <s v="Alicia Herrera Sánchez"/>
    <x v="1"/>
  </r>
  <r>
    <n v="1336"/>
    <n v="65"/>
    <n v="2"/>
    <n v="32.24"/>
    <n v="3.22"/>
    <n v="0"/>
    <n v="0.1"/>
    <s v="CANCELED"/>
    <n v="4"/>
    <s v="Solicitud del cliente"/>
    <d v="2026-02-26T18:32:41"/>
    <d v="2026-02-26T09:32:41"/>
    <d v="2026-02-26T00:00:00"/>
    <x v="4"/>
    <x v="0"/>
    <n v="1"/>
    <n v="1"/>
    <x v="32"/>
    <s v="Gabriela Flores Chávez"/>
    <x v="1"/>
  </r>
  <r>
    <n v="1337"/>
    <n v="212"/>
    <n v="2"/>
    <n v="100.54"/>
    <n v="10.050000000000001"/>
    <n v="0"/>
    <n v="0.1"/>
    <s v="ACTIVE"/>
    <m/>
    <s v=""/>
    <m/>
    <d v="2026-02-26T09:42:59"/>
    <d v="2026-02-26T00:00:00"/>
    <x v="4"/>
    <x v="0"/>
    <n v="1"/>
    <n v="0"/>
    <x v="1179"/>
    <s v="Laura Rangel Vázquez"/>
    <x v="1"/>
  </r>
  <r>
    <n v="1338"/>
    <n v="92"/>
    <n v="5"/>
    <n v="40.53"/>
    <n v="4.05"/>
    <n v="0"/>
    <n v="0.1"/>
    <s v="ACTIVE"/>
    <m/>
    <s v=""/>
    <m/>
    <d v="2026-02-26T09:44:24"/>
    <d v="2026-02-26T00:00:00"/>
    <x v="4"/>
    <x v="0"/>
    <n v="1"/>
    <n v="0"/>
    <x v="1180"/>
    <s v="Irma Aguilar Rodríguez"/>
    <x v="2"/>
  </r>
  <r>
    <n v="1339"/>
    <n v="175"/>
    <n v="2"/>
    <n v="45.53"/>
    <n v="4.55"/>
    <n v="0"/>
    <n v="0.1"/>
    <s v="ACTIVE"/>
    <m/>
    <s v=""/>
    <m/>
    <d v="2026-02-26T10:59:43"/>
    <d v="2026-02-26T00:00:00"/>
    <x v="4"/>
    <x v="0"/>
    <n v="1"/>
    <n v="0"/>
    <x v="1181"/>
    <s v="Óscar Villalobos Flores"/>
    <x v="1"/>
  </r>
  <r>
    <n v="1340"/>
    <n v="244"/>
    <n v="4"/>
    <n v="89.2"/>
    <n v="8.92"/>
    <n v="0"/>
    <n v="0.1"/>
    <s v="ACTIVE"/>
    <m/>
    <s v=""/>
    <m/>
    <d v="2026-02-26T14:44:20"/>
    <d v="2026-02-26T00:00:00"/>
    <x v="4"/>
    <x v="0"/>
    <n v="1"/>
    <n v="0"/>
    <x v="833"/>
    <s v="Guadalupe Castillo Hernández"/>
    <x v="3"/>
  </r>
  <r>
    <n v="1341"/>
    <n v="137"/>
    <n v="3"/>
    <n v="73.94"/>
    <n v="7.39"/>
    <n v="0"/>
    <n v="0.1"/>
    <s v="ACTIVE"/>
    <m/>
    <s v=""/>
    <m/>
    <d v="2026-02-26T16:41:49"/>
    <d v="2026-02-26T00:00:00"/>
    <x v="4"/>
    <x v="0"/>
    <n v="1"/>
    <n v="0"/>
    <x v="1182"/>
    <s v="Francisco Reyes Ruiz"/>
    <x v="0"/>
  </r>
  <r>
    <n v="1342"/>
    <n v="6"/>
    <n v="4"/>
    <n v="32.42"/>
    <n v="3.24"/>
    <n v="0"/>
    <n v="0.1"/>
    <s v="ACTIVE"/>
    <m/>
    <s v=""/>
    <m/>
    <d v="2026-02-26T17:51:40"/>
    <d v="2026-02-26T00:00:00"/>
    <x v="4"/>
    <x v="0"/>
    <n v="1"/>
    <n v="0"/>
    <x v="1183"/>
    <s v="Raúl Ortiz Cruz"/>
    <x v="3"/>
  </r>
  <r>
    <n v="1343"/>
    <n v="7"/>
    <n v="4"/>
    <n v="47.8"/>
    <n v="0"/>
    <n v="1"/>
    <n v="0.1"/>
    <s v="ACTIVE"/>
    <m/>
    <s v=""/>
    <m/>
    <d v="2026-02-26T19:11:31"/>
    <d v="2026-02-26T00:00:00"/>
    <x v="4"/>
    <x v="1"/>
    <n v="1"/>
    <n v="0"/>
    <x v="1184"/>
    <s v="Teresa Rodríguez Herrera"/>
    <x v="3"/>
  </r>
  <r>
    <n v="1344"/>
    <n v="127"/>
    <n v="2"/>
    <n v="61.46"/>
    <n v="6.15"/>
    <n v="0"/>
    <n v="0.1"/>
    <s v="ACTIVE"/>
    <m/>
    <s v=""/>
    <m/>
    <d v="2026-02-26T19:35:31"/>
    <d v="2026-02-26T00:00:00"/>
    <x v="4"/>
    <x v="0"/>
    <n v="1"/>
    <n v="0"/>
    <x v="1185"/>
    <s v="Raúl Ruiz Ortiz"/>
    <x v="1"/>
  </r>
  <r>
    <n v="1345"/>
    <n v="262"/>
    <n v="2"/>
    <n v="75.06"/>
    <n v="7.51"/>
    <n v="0"/>
    <n v="0.1"/>
    <s v="ACTIVE"/>
    <m/>
    <s v=""/>
    <m/>
    <d v="2026-02-27T08:29:18"/>
    <d v="2026-02-27T00:00:00"/>
    <x v="4"/>
    <x v="0"/>
    <n v="1"/>
    <n v="0"/>
    <x v="1186"/>
    <s v="Guadalupe Cruz Aguilar"/>
    <x v="1"/>
  </r>
  <r>
    <n v="1346"/>
    <n v="230"/>
    <n v="2"/>
    <n v="166.97"/>
    <n v="16.7"/>
    <n v="0"/>
    <n v="0.1"/>
    <s v="ACTIVE"/>
    <m/>
    <s v=""/>
    <m/>
    <d v="2026-02-27T08:57:54"/>
    <d v="2026-02-27T00:00:00"/>
    <x v="4"/>
    <x v="0"/>
    <n v="1"/>
    <n v="0"/>
    <x v="1187"/>
    <s v="Antonio Chávez Quiñones"/>
    <x v="1"/>
  </r>
  <r>
    <n v="1347"/>
    <n v="39"/>
    <n v="4"/>
    <n v="102.16"/>
    <n v="10.220000000000001"/>
    <n v="0"/>
    <n v="0.1"/>
    <s v="ACTIVE"/>
    <m/>
    <s v=""/>
    <m/>
    <d v="2026-02-27T09:57:06"/>
    <d v="2026-02-27T00:00:00"/>
    <x v="4"/>
    <x v="0"/>
    <n v="1"/>
    <n v="0"/>
    <x v="111"/>
    <s v="Guadalupe García Quiñones"/>
    <x v="3"/>
  </r>
  <r>
    <n v="1348"/>
    <n v="300"/>
    <n v="2"/>
    <n v="60.99"/>
    <n v="6.1"/>
    <n v="0"/>
    <n v="0.1"/>
    <s v="ACTIVE"/>
    <m/>
    <s v=""/>
    <m/>
    <d v="2026-02-27T10:20:35"/>
    <d v="2026-02-27T00:00:00"/>
    <x v="4"/>
    <x v="0"/>
    <n v="1"/>
    <n v="0"/>
    <x v="1188"/>
    <s v="Antonio Salazar Medina"/>
    <x v="1"/>
  </r>
  <r>
    <n v="1349"/>
    <n v="132"/>
    <n v="5"/>
    <n v="203.94"/>
    <n v="20.39"/>
    <n v="0"/>
    <n v="0.1"/>
    <s v="ACTIVE"/>
    <m/>
    <s v=""/>
    <m/>
    <d v="2026-02-27T10:37:02"/>
    <d v="2026-02-27T00:00:00"/>
    <x v="4"/>
    <x v="0"/>
    <n v="1"/>
    <n v="0"/>
    <x v="1189"/>
    <s v="Daniel Romero Villalobos"/>
    <x v="2"/>
  </r>
  <r>
    <n v="1350"/>
    <n v="149"/>
    <n v="4"/>
    <n v="26.81"/>
    <n v="2.68"/>
    <n v="0"/>
    <n v="0.1"/>
    <s v="ACTIVE"/>
    <m/>
    <s v=""/>
    <m/>
    <d v="2026-02-27T11:17:36"/>
    <d v="2026-02-27T00:00:00"/>
    <x v="4"/>
    <x v="0"/>
    <n v="1"/>
    <n v="0"/>
    <x v="1190"/>
    <s v="Pedro Morales Morales"/>
    <x v="3"/>
  </r>
  <r>
    <n v="1351"/>
    <n v="117"/>
    <n v="3"/>
    <n v="110.92"/>
    <n v="11.09"/>
    <n v="0"/>
    <n v="0.1"/>
    <s v="ACTIVE"/>
    <m/>
    <s v=""/>
    <m/>
    <d v="2026-02-27T13:18:54"/>
    <d v="2026-02-27T00:00:00"/>
    <x v="4"/>
    <x v="0"/>
    <n v="1"/>
    <n v="0"/>
    <x v="1191"/>
    <s v="Manuel Ortiz Ramírez"/>
    <x v="0"/>
  </r>
  <r>
    <n v="1352"/>
    <n v="149"/>
    <n v="5"/>
    <n v="22.78"/>
    <n v="2.2799999999999998"/>
    <n v="0"/>
    <n v="0.1"/>
    <s v="ACTIVE"/>
    <m/>
    <s v=""/>
    <m/>
    <d v="2026-02-27T14:25:47"/>
    <d v="2026-02-27T00:00:00"/>
    <x v="4"/>
    <x v="0"/>
    <n v="1"/>
    <n v="0"/>
    <x v="184"/>
    <s v="Pedro Morales Morales"/>
    <x v="2"/>
  </r>
  <r>
    <n v="1353"/>
    <n v="252"/>
    <n v="3"/>
    <n v="26.8"/>
    <n v="2.68"/>
    <n v="0"/>
    <n v="0.1"/>
    <s v="ACTIVE"/>
    <m/>
    <s v=""/>
    <m/>
    <d v="2026-02-27T14:59:34"/>
    <d v="2026-02-27T00:00:00"/>
    <x v="4"/>
    <x v="0"/>
    <n v="1"/>
    <n v="0"/>
    <x v="266"/>
    <s v="Martha Delgado Mendoza"/>
    <x v="0"/>
  </r>
  <r>
    <n v="1354"/>
    <n v="44"/>
    <n v="3"/>
    <n v="38.33"/>
    <n v="3.83"/>
    <n v="0"/>
    <n v="0.1"/>
    <s v="ACTIVE"/>
    <m/>
    <s v=""/>
    <m/>
    <d v="2026-02-27T15:00:25"/>
    <d v="2026-02-27T00:00:00"/>
    <x v="4"/>
    <x v="0"/>
    <n v="1"/>
    <n v="0"/>
    <x v="1192"/>
    <s v="Pedro Herrera Castillo"/>
    <x v="0"/>
  </r>
  <r>
    <n v="1355"/>
    <n v="136"/>
    <n v="2"/>
    <n v="85.78"/>
    <n v="8.58"/>
    <n v="0"/>
    <n v="0.1"/>
    <s v="ACTIVE"/>
    <m/>
    <s v=""/>
    <m/>
    <d v="2026-02-27T18:07:36"/>
    <d v="2026-02-27T00:00:00"/>
    <x v="4"/>
    <x v="0"/>
    <n v="1"/>
    <n v="0"/>
    <x v="1193"/>
    <s v="Guadalupe Castillo Rangel"/>
    <x v="1"/>
  </r>
  <r>
    <n v="1356"/>
    <n v="133"/>
    <n v="4"/>
    <n v="63.86"/>
    <n v="6.39"/>
    <n v="0"/>
    <n v="0.1"/>
    <s v="ACTIVE"/>
    <m/>
    <s v=""/>
    <m/>
    <d v="2026-02-27T18:22:08"/>
    <d v="2026-02-27T00:00:00"/>
    <x v="4"/>
    <x v="0"/>
    <n v="1"/>
    <n v="0"/>
    <x v="1194"/>
    <s v="Silvia Villalobos Medina"/>
    <x v="3"/>
  </r>
  <r>
    <n v="1357"/>
    <n v="42"/>
    <n v="5"/>
    <n v="40.229999999999997"/>
    <n v="4.0199999999999996"/>
    <n v="0"/>
    <n v="0.1"/>
    <s v="ACTIVE"/>
    <m/>
    <s v=""/>
    <m/>
    <d v="2026-02-27T19:44:34"/>
    <d v="2026-02-27T00:00:00"/>
    <x v="4"/>
    <x v="0"/>
    <n v="1"/>
    <n v="0"/>
    <x v="30"/>
    <s v="Roberto Ávila Ramírez"/>
    <x v="2"/>
  </r>
  <r>
    <n v="1358"/>
    <n v="87"/>
    <n v="2"/>
    <n v="149.32"/>
    <n v="14.93"/>
    <n v="0"/>
    <n v="0.1"/>
    <s v="ACTIVE"/>
    <m/>
    <s v=""/>
    <m/>
    <d v="2026-02-28T08:35:04"/>
    <d v="2026-02-28T00:00:00"/>
    <x v="4"/>
    <x v="0"/>
    <n v="1"/>
    <n v="0"/>
    <x v="1195"/>
    <s v="Antonio Reyes Romero"/>
    <x v="1"/>
  </r>
  <r>
    <n v="1359"/>
    <n v="230"/>
    <n v="4"/>
    <n v="119.65"/>
    <n v="11.97"/>
    <n v="0"/>
    <n v="0.1"/>
    <s v="ACTIVE"/>
    <m/>
    <s v=""/>
    <m/>
    <d v="2026-02-28T09:18:36"/>
    <d v="2026-02-28T00:00:00"/>
    <x v="4"/>
    <x v="0"/>
    <n v="1"/>
    <n v="0"/>
    <x v="1196"/>
    <s v="Antonio Chávez Quiñones"/>
    <x v="3"/>
  </r>
  <r>
    <n v="1360"/>
    <n v="94"/>
    <n v="2"/>
    <n v="201.22"/>
    <n v="20.12"/>
    <n v="0"/>
    <n v="0.1"/>
    <s v="ACTIVE"/>
    <m/>
    <s v=""/>
    <m/>
    <d v="2026-02-28T10:07:34"/>
    <d v="2026-02-28T00:00:00"/>
    <x v="4"/>
    <x v="0"/>
    <n v="1"/>
    <n v="0"/>
    <x v="1197"/>
    <s v="Silvia González Rangel"/>
    <x v="1"/>
  </r>
  <r>
    <n v="1361"/>
    <n v="149"/>
    <n v="3"/>
    <n v="31.44"/>
    <n v="3.14"/>
    <n v="0"/>
    <n v="0.1"/>
    <s v="ACTIVE"/>
    <m/>
    <s v=""/>
    <m/>
    <d v="2026-02-28T11:33:25"/>
    <d v="2026-02-28T00:00:00"/>
    <x v="4"/>
    <x v="0"/>
    <n v="1"/>
    <n v="0"/>
    <x v="1198"/>
    <s v="Pedro Morales Morales"/>
    <x v="0"/>
  </r>
  <r>
    <n v="1362"/>
    <n v="297"/>
    <n v="3"/>
    <n v="92.54"/>
    <n v="9.25"/>
    <n v="0"/>
    <n v="0.1"/>
    <s v="ACTIVE"/>
    <m/>
    <s v=""/>
    <m/>
    <d v="2026-02-28T11:46:02"/>
    <d v="2026-02-28T00:00:00"/>
    <x v="4"/>
    <x v="0"/>
    <n v="1"/>
    <n v="0"/>
    <x v="1199"/>
    <s v="Patricia Ortiz Jiménez"/>
    <x v="0"/>
  </r>
  <r>
    <n v="1363"/>
    <n v="38"/>
    <n v="2"/>
    <n v="40.69"/>
    <n v="4.07"/>
    <n v="0"/>
    <n v="0.1"/>
    <s v="ACTIVE"/>
    <m/>
    <s v=""/>
    <m/>
    <d v="2026-02-28T14:07:57"/>
    <d v="2026-02-28T00:00:00"/>
    <x v="4"/>
    <x v="0"/>
    <n v="1"/>
    <n v="0"/>
    <x v="1200"/>
    <s v="Verónica Delgado Medina"/>
    <x v="1"/>
  </r>
  <r>
    <n v="1364"/>
    <n v="137"/>
    <n v="3"/>
    <n v="21.15"/>
    <n v="2.12"/>
    <n v="0"/>
    <n v="0.1"/>
    <s v="ACTIVE"/>
    <m/>
    <s v=""/>
    <m/>
    <d v="2026-02-28T14:37:25"/>
    <d v="2026-02-28T00:00:00"/>
    <x v="4"/>
    <x v="0"/>
    <n v="1"/>
    <n v="0"/>
    <x v="1201"/>
    <s v="Francisco Reyes Ruiz"/>
    <x v="0"/>
  </r>
  <r>
    <n v="1365"/>
    <n v="39"/>
    <n v="4"/>
    <n v="300"/>
    <n v="30"/>
    <n v="0"/>
    <n v="0.1"/>
    <s v="ACTIVE"/>
    <m/>
    <s v=""/>
    <m/>
    <d v="2026-02-28T15:27:23"/>
    <d v="2026-02-28T00:00:00"/>
    <x v="4"/>
    <x v="0"/>
    <n v="1"/>
    <n v="0"/>
    <x v="74"/>
    <s v="Guadalupe García Quiñones"/>
    <x v="3"/>
  </r>
  <r>
    <n v="1366"/>
    <n v="35"/>
    <n v="4"/>
    <n v="37.03"/>
    <n v="3.7"/>
    <n v="0"/>
    <n v="0.1"/>
    <s v="CANCELED"/>
    <n v="4"/>
    <s v="Error de captura"/>
    <d v="2026-03-01T21:28:20"/>
    <d v="2026-02-28T17:28:20"/>
    <d v="2026-02-28T00:00:00"/>
    <x v="4"/>
    <x v="0"/>
    <n v="1"/>
    <n v="1"/>
    <x v="32"/>
    <s v="Teresa Ramírez Ramírez"/>
    <x v="3"/>
  </r>
  <r>
    <n v="1367"/>
    <n v="215"/>
    <n v="4"/>
    <n v="55.66"/>
    <n v="5.57"/>
    <n v="0"/>
    <n v="0.1"/>
    <s v="ACTIVE"/>
    <m/>
    <s v=""/>
    <m/>
    <d v="2026-02-28T18:10:13"/>
    <d v="2026-02-28T00:00:00"/>
    <x v="4"/>
    <x v="0"/>
    <n v="1"/>
    <n v="0"/>
    <x v="1202"/>
    <s v="Verónica Medina Ortiz"/>
    <x v="3"/>
  </r>
  <r>
    <n v="1368"/>
    <n v="16"/>
    <n v="3"/>
    <n v="80"/>
    <n v="8"/>
    <n v="0"/>
    <n v="0.1"/>
    <s v="ACTIVE"/>
    <m/>
    <s v=""/>
    <m/>
    <d v="2026-03-01T09:17:38"/>
    <d v="2026-03-01T00:00:00"/>
    <x v="5"/>
    <x v="0"/>
    <n v="1"/>
    <n v="0"/>
    <x v="78"/>
    <s v="Laura Chávez Rangel"/>
    <x v="0"/>
  </r>
  <r>
    <n v="1369"/>
    <n v="12"/>
    <n v="2"/>
    <n v="50.95"/>
    <n v="5.0999999999999996"/>
    <n v="0"/>
    <n v="0.1"/>
    <s v="ACTIVE"/>
    <m/>
    <s v=""/>
    <m/>
    <d v="2026-03-01T16:02:18"/>
    <d v="2026-03-01T00:00:00"/>
    <x v="5"/>
    <x v="0"/>
    <n v="1"/>
    <n v="0"/>
    <x v="1203"/>
    <s v="Rosa Gutiérrez Martínez"/>
    <x v="1"/>
  </r>
  <r>
    <n v="1370"/>
    <n v="125"/>
    <n v="2"/>
    <n v="42.57"/>
    <n v="4.26"/>
    <n v="0"/>
    <n v="0.1"/>
    <s v="ACTIVE"/>
    <m/>
    <s v=""/>
    <m/>
    <d v="2026-03-01T17:08:40"/>
    <d v="2026-03-01T00:00:00"/>
    <x v="5"/>
    <x v="0"/>
    <n v="1"/>
    <n v="0"/>
    <x v="1204"/>
    <s v="Leticia Flores Herrera"/>
    <x v="1"/>
  </r>
  <r>
    <n v="1371"/>
    <n v="137"/>
    <n v="5"/>
    <n v="18.04"/>
    <n v="1.8"/>
    <n v="0"/>
    <n v="0.1"/>
    <s v="ACTIVE"/>
    <m/>
    <s v=""/>
    <m/>
    <d v="2026-03-02T08:03:59"/>
    <d v="2026-03-02T00:00:00"/>
    <x v="5"/>
    <x v="0"/>
    <n v="1"/>
    <n v="0"/>
    <x v="1205"/>
    <s v="Francisco Reyes Ruiz"/>
    <x v="2"/>
  </r>
  <r>
    <n v="1372"/>
    <n v="247"/>
    <n v="2"/>
    <n v="22.63"/>
    <n v="2.2599999999999998"/>
    <n v="0"/>
    <n v="0.1"/>
    <s v="ACTIVE"/>
    <m/>
    <s v=""/>
    <m/>
    <d v="2026-03-02T08:16:01"/>
    <d v="2026-03-02T00:00:00"/>
    <x v="5"/>
    <x v="0"/>
    <n v="1"/>
    <n v="0"/>
    <x v="1206"/>
    <s v="Patricia Mendoza Ruiz"/>
    <x v="1"/>
  </r>
  <r>
    <n v="1373"/>
    <n v="124"/>
    <n v="2"/>
    <n v="34.340000000000003"/>
    <n v="3.43"/>
    <n v="0"/>
    <n v="0.1"/>
    <s v="ACTIVE"/>
    <m/>
    <s v=""/>
    <m/>
    <d v="2026-03-02T10:39:36"/>
    <d v="2026-03-02T00:00:00"/>
    <x v="5"/>
    <x v="0"/>
    <n v="1"/>
    <n v="0"/>
    <x v="1207"/>
    <s v="Elena Villalobos Pérez"/>
    <x v="1"/>
  </r>
  <r>
    <n v="1374"/>
    <n v="252"/>
    <n v="3"/>
    <n v="64.23"/>
    <n v="6.42"/>
    <n v="0"/>
    <n v="0.1"/>
    <s v="ACTIVE"/>
    <m/>
    <s v=""/>
    <m/>
    <d v="2026-03-02T11:13:42"/>
    <d v="2026-03-02T00:00:00"/>
    <x v="5"/>
    <x v="0"/>
    <n v="1"/>
    <n v="0"/>
    <x v="1208"/>
    <s v="Martha Delgado Mendoza"/>
    <x v="0"/>
  </r>
  <r>
    <n v="1375"/>
    <n v="217"/>
    <n v="3"/>
    <n v="41.46"/>
    <n v="4.1500000000000004"/>
    <n v="0"/>
    <n v="0.1"/>
    <s v="ACTIVE"/>
    <m/>
    <s v=""/>
    <m/>
    <d v="2026-03-02T11:43:44"/>
    <d v="2026-03-02T00:00:00"/>
    <x v="5"/>
    <x v="0"/>
    <n v="1"/>
    <n v="0"/>
    <x v="1209"/>
    <s v="Francisco Rangel Rodríguez"/>
    <x v="0"/>
  </r>
  <r>
    <n v="1376"/>
    <n v="85"/>
    <n v="4"/>
    <n v="211.61"/>
    <n v="21.16"/>
    <n v="0"/>
    <n v="0.1"/>
    <s v="ACTIVE"/>
    <m/>
    <s v=""/>
    <m/>
    <d v="2026-03-02T13:43:19"/>
    <d v="2026-03-02T00:00:00"/>
    <x v="5"/>
    <x v="0"/>
    <n v="1"/>
    <n v="0"/>
    <x v="1210"/>
    <s v="Guadalupe Ruiz Sánchez"/>
    <x v="3"/>
  </r>
  <r>
    <n v="1377"/>
    <n v="106"/>
    <n v="4"/>
    <n v="112.03"/>
    <n v="11.2"/>
    <n v="0"/>
    <n v="0.1"/>
    <s v="CANCELED"/>
    <n v="5"/>
    <s v="Error de captura"/>
    <d v="2026-03-03T17:12:49"/>
    <d v="2026-03-02T14:12:49"/>
    <d v="2026-03-02T00:00:00"/>
    <x v="5"/>
    <x v="0"/>
    <n v="1"/>
    <n v="1"/>
    <x v="32"/>
    <s v="Isabel García Santoyo"/>
    <x v="3"/>
  </r>
  <r>
    <n v="1378"/>
    <n v="44"/>
    <n v="4"/>
    <n v="27.15"/>
    <n v="2.72"/>
    <n v="0"/>
    <n v="0.1"/>
    <s v="ACTIVE"/>
    <m/>
    <s v=""/>
    <m/>
    <d v="2026-03-02T17:57:48"/>
    <d v="2026-03-02T00:00:00"/>
    <x v="5"/>
    <x v="0"/>
    <n v="1"/>
    <n v="0"/>
    <x v="1211"/>
    <s v="Pedro Herrera Castillo"/>
    <x v="3"/>
  </r>
  <r>
    <n v="1379"/>
    <n v="172"/>
    <n v="2"/>
    <n v="22.88"/>
    <n v="2.29"/>
    <n v="0"/>
    <n v="0.1"/>
    <s v="ACTIVE"/>
    <m/>
    <s v=""/>
    <m/>
    <d v="2026-03-02T19:49:27"/>
    <d v="2026-03-02T00:00:00"/>
    <x v="5"/>
    <x v="0"/>
    <n v="1"/>
    <n v="0"/>
    <x v="1212"/>
    <s v="Silvia Salazar Ortiz"/>
    <x v="1"/>
  </r>
  <r>
    <n v="1380"/>
    <n v="65"/>
    <n v="3"/>
    <n v="15.57"/>
    <n v="1.56"/>
    <n v="0"/>
    <n v="0.1"/>
    <s v="ACTIVE"/>
    <m/>
    <s v=""/>
    <m/>
    <d v="2026-03-03T09:38:29"/>
    <d v="2026-03-03T00:00:00"/>
    <x v="5"/>
    <x v="0"/>
    <n v="1"/>
    <n v="0"/>
    <x v="1213"/>
    <s v="Gabriela Flores Chávez"/>
    <x v="0"/>
  </r>
  <r>
    <n v="1381"/>
    <n v="46"/>
    <n v="2"/>
    <n v="27.95"/>
    <n v="2.8"/>
    <n v="0"/>
    <n v="0.1"/>
    <s v="ACTIVE"/>
    <m/>
    <s v=""/>
    <m/>
    <d v="2026-03-03T10:52:45"/>
    <d v="2026-03-03T00:00:00"/>
    <x v="5"/>
    <x v="0"/>
    <n v="1"/>
    <n v="0"/>
    <x v="922"/>
    <s v="Pedro Ortiz Reyes"/>
    <x v="1"/>
  </r>
  <r>
    <n v="1382"/>
    <n v="245"/>
    <n v="5"/>
    <n v="33.340000000000003"/>
    <n v="3.33"/>
    <n v="0"/>
    <n v="0.1"/>
    <s v="ACTIVE"/>
    <m/>
    <s v=""/>
    <m/>
    <d v="2026-03-03T12:37:00"/>
    <d v="2026-03-03T00:00:00"/>
    <x v="5"/>
    <x v="0"/>
    <n v="1"/>
    <n v="0"/>
    <x v="1214"/>
    <s v="Ana González Flores"/>
    <x v="2"/>
  </r>
  <r>
    <n v="1383"/>
    <n v="149"/>
    <n v="3"/>
    <n v="23.74"/>
    <n v="2.37"/>
    <n v="0"/>
    <n v="0.1"/>
    <s v="ACTIVE"/>
    <m/>
    <s v=""/>
    <m/>
    <d v="2026-03-03T15:16:15"/>
    <d v="2026-03-03T00:00:00"/>
    <x v="5"/>
    <x v="0"/>
    <n v="1"/>
    <n v="0"/>
    <x v="1215"/>
    <s v="Pedro Morales Morales"/>
    <x v="0"/>
  </r>
  <r>
    <n v="1384"/>
    <n v="297"/>
    <n v="5"/>
    <n v="98.95"/>
    <n v="9.9"/>
    <n v="0"/>
    <n v="0.1"/>
    <s v="ACTIVE"/>
    <m/>
    <s v=""/>
    <m/>
    <d v="2026-03-03T16:15:38"/>
    <d v="2026-03-03T00:00:00"/>
    <x v="5"/>
    <x v="0"/>
    <n v="1"/>
    <n v="0"/>
    <x v="1216"/>
    <s v="Patricia Ortiz Jiménez"/>
    <x v="2"/>
  </r>
  <r>
    <n v="1385"/>
    <n v="65"/>
    <n v="4"/>
    <n v="17.7"/>
    <n v="1.77"/>
    <n v="0"/>
    <n v="0.1"/>
    <s v="ACTIVE"/>
    <m/>
    <s v=""/>
    <m/>
    <d v="2026-03-03T19:50:22"/>
    <d v="2026-03-03T00:00:00"/>
    <x v="5"/>
    <x v="0"/>
    <n v="1"/>
    <n v="0"/>
    <x v="1217"/>
    <s v="Gabriela Flores Chávez"/>
    <x v="3"/>
  </r>
  <r>
    <n v="1386"/>
    <n v="156"/>
    <n v="4"/>
    <n v="31.8"/>
    <n v="3.18"/>
    <n v="0"/>
    <n v="0.1"/>
    <s v="ACTIVE"/>
    <m/>
    <s v=""/>
    <m/>
    <d v="2026-03-04T08:52:17"/>
    <d v="2026-03-04T00:00:00"/>
    <x v="5"/>
    <x v="0"/>
    <n v="1"/>
    <n v="0"/>
    <x v="513"/>
    <s v="Óscar Moreno Chávez"/>
    <x v="3"/>
  </r>
  <r>
    <n v="1387"/>
    <n v="34"/>
    <n v="4"/>
    <n v="136.02000000000001"/>
    <n v="13.6"/>
    <n v="0"/>
    <n v="0.1"/>
    <s v="CANCELED"/>
    <n v="5"/>
    <s v="Cliente canceló la operación"/>
    <d v="2026-03-04T14:55:20"/>
    <d v="2026-03-04T08:55:20"/>
    <d v="2026-03-04T00:00:00"/>
    <x v="5"/>
    <x v="0"/>
    <n v="1"/>
    <n v="1"/>
    <x v="32"/>
    <s v="Lucía Rodríguez Rodríguez"/>
    <x v="3"/>
  </r>
  <r>
    <n v="1388"/>
    <n v="137"/>
    <n v="4"/>
    <n v="21.15"/>
    <n v="2.12"/>
    <n v="0"/>
    <n v="0.1"/>
    <s v="ACTIVE"/>
    <m/>
    <s v=""/>
    <m/>
    <d v="2026-03-04T10:00:47"/>
    <d v="2026-03-04T00:00:00"/>
    <x v="5"/>
    <x v="0"/>
    <n v="1"/>
    <n v="0"/>
    <x v="1201"/>
    <s v="Francisco Reyes Ruiz"/>
    <x v="3"/>
  </r>
  <r>
    <n v="1389"/>
    <n v="17"/>
    <n v="2"/>
    <n v="75.27"/>
    <n v="7.53"/>
    <n v="0"/>
    <n v="0.1"/>
    <s v="ACTIVE"/>
    <m/>
    <s v=""/>
    <m/>
    <d v="2026-03-04T10:05:04"/>
    <d v="2026-03-04T00:00:00"/>
    <x v="5"/>
    <x v="0"/>
    <n v="1"/>
    <n v="0"/>
    <x v="1218"/>
    <s v="Patricia Castillo Morales"/>
    <x v="1"/>
  </r>
  <r>
    <n v="1390"/>
    <n v="65"/>
    <n v="2"/>
    <n v="19.73"/>
    <n v="1.97"/>
    <n v="0"/>
    <n v="0.1"/>
    <s v="ACTIVE"/>
    <m/>
    <s v=""/>
    <m/>
    <d v="2026-03-04T14:06:09"/>
    <d v="2026-03-04T00:00:00"/>
    <x v="5"/>
    <x v="0"/>
    <n v="1"/>
    <n v="0"/>
    <x v="584"/>
    <s v="Gabriela Flores Chávez"/>
    <x v="1"/>
  </r>
  <r>
    <n v="1391"/>
    <n v="149"/>
    <n v="3"/>
    <n v="24.28"/>
    <n v="2.4300000000000002"/>
    <n v="0"/>
    <n v="0.1"/>
    <s v="ACTIVE"/>
    <m/>
    <s v=""/>
    <m/>
    <d v="2026-03-04T15:49:52"/>
    <d v="2026-03-04T00:00:00"/>
    <x v="5"/>
    <x v="0"/>
    <n v="1"/>
    <n v="0"/>
    <x v="1219"/>
    <s v="Pedro Morales Morales"/>
    <x v="0"/>
  </r>
  <r>
    <n v="1392"/>
    <n v="95"/>
    <n v="3"/>
    <n v="148.06"/>
    <n v="14.81"/>
    <n v="0"/>
    <n v="0.1"/>
    <s v="ACTIVE"/>
    <m/>
    <s v=""/>
    <m/>
    <d v="2026-03-04T17:50:43"/>
    <d v="2026-03-04T00:00:00"/>
    <x v="5"/>
    <x v="0"/>
    <n v="1"/>
    <n v="0"/>
    <x v="1220"/>
    <s v="Fernando Jiménez Villalobos"/>
    <x v="0"/>
  </r>
  <r>
    <n v="1393"/>
    <n v="57"/>
    <n v="4"/>
    <n v="128.05000000000001"/>
    <n v="12.81"/>
    <n v="0"/>
    <n v="0.1"/>
    <s v="ACTIVE"/>
    <m/>
    <s v=""/>
    <m/>
    <d v="2026-03-04T18:01:02"/>
    <d v="2026-03-04T00:00:00"/>
    <x v="5"/>
    <x v="0"/>
    <n v="1"/>
    <n v="0"/>
    <x v="1221"/>
    <s v="Isabel Martínez Rodríguez"/>
    <x v="3"/>
  </r>
  <r>
    <n v="1394"/>
    <n v="137"/>
    <n v="5"/>
    <n v="23.88"/>
    <n v="2.39"/>
    <n v="0"/>
    <n v="0.1"/>
    <s v="ACTIVE"/>
    <m/>
    <s v=""/>
    <m/>
    <d v="2026-03-04T19:32:55"/>
    <d v="2026-03-04T00:00:00"/>
    <x v="5"/>
    <x v="0"/>
    <n v="1"/>
    <n v="0"/>
    <x v="1222"/>
    <s v="Francisco Reyes Ruiz"/>
    <x v="2"/>
  </r>
  <r>
    <n v="1395"/>
    <n v="18"/>
    <n v="5"/>
    <n v="41.4"/>
    <n v="4.1399999999999997"/>
    <n v="0"/>
    <n v="0.1"/>
    <s v="ACTIVE"/>
    <m/>
    <s v=""/>
    <m/>
    <d v="2026-03-05T15:02:05"/>
    <d v="2026-03-05T00:00:00"/>
    <x v="5"/>
    <x v="0"/>
    <n v="1"/>
    <n v="0"/>
    <x v="1223"/>
    <s v="Carlos Gómez Ávila"/>
    <x v="2"/>
  </r>
  <r>
    <n v="1396"/>
    <n v="17"/>
    <n v="5"/>
    <n v="57.04"/>
    <n v="5.7"/>
    <n v="0"/>
    <n v="0.1"/>
    <s v="ACTIVE"/>
    <m/>
    <s v=""/>
    <m/>
    <d v="2026-03-05T15:22:10"/>
    <d v="2026-03-05T00:00:00"/>
    <x v="5"/>
    <x v="0"/>
    <n v="1"/>
    <n v="0"/>
    <x v="1224"/>
    <s v="Patricia Castillo Morales"/>
    <x v="2"/>
  </r>
  <r>
    <n v="1397"/>
    <n v="51"/>
    <n v="3"/>
    <n v="133.55000000000001"/>
    <n v="13.36"/>
    <n v="0"/>
    <n v="0.1"/>
    <s v="ACTIVE"/>
    <m/>
    <s v=""/>
    <m/>
    <d v="2026-03-05T15:34:54"/>
    <d v="2026-03-05T00:00:00"/>
    <x v="5"/>
    <x v="0"/>
    <n v="1"/>
    <n v="0"/>
    <x v="1225"/>
    <s v="Sergio Rangel Ramos"/>
    <x v="0"/>
  </r>
  <r>
    <n v="1398"/>
    <n v="234"/>
    <n v="3"/>
    <n v="300"/>
    <n v="30"/>
    <n v="0"/>
    <n v="0.1"/>
    <s v="ACTIVE"/>
    <m/>
    <s v=""/>
    <m/>
    <d v="2026-03-05T15:51:38"/>
    <d v="2026-03-05T00:00:00"/>
    <x v="5"/>
    <x v="0"/>
    <n v="1"/>
    <n v="0"/>
    <x v="74"/>
    <s v="Carmen Ruiz Gutiérrez"/>
    <x v="0"/>
  </r>
  <r>
    <n v="1399"/>
    <n v="262"/>
    <n v="2"/>
    <n v="217.44"/>
    <n v="21.74"/>
    <n v="0"/>
    <n v="0.1"/>
    <s v="ACTIVE"/>
    <m/>
    <s v=""/>
    <m/>
    <d v="2026-03-05T17:35:59"/>
    <d v="2026-03-05T00:00:00"/>
    <x v="5"/>
    <x v="0"/>
    <n v="1"/>
    <n v="0"/>
    <x v="1226"/>
    <s v="Guadalupe Cruz Aguilar"/>
    <x v="1"/>
  </r>
  <r>
    <n v="1400"/>
    <n v="255"/>
    <n v="3"/>
    <n v="33.28"/>
    <n v="3.33"/>
    <n v="0"/>
    <n v="0.1"/>
    <s v="ACTIVE"/>
    <m/>
    <s v=""/>
    <m/>
    <d v="2026-03-05T17:36:32"/>
    <d v="2026-03-05T00:00:00"/>
    <x v="5"/>
    <x v="0"/>
    <n v="1"/>
    <n v="0"/>
    <x v="1227"/>
    <s v="Carmen Díaz Ramírez"/>
    <x v="0"/>
  </r>
  <r>
    <n v="1401"/>
    <n v="190"/>
    <n v="4"/>
    <n v="154.94999999999999"/>
    <n v="15.5"/>
    <n v="0"/>
    <n v="0.1"/>
    <s v="ACTIVE"/>
    <m/>
    <s v=""/>
    <m/>
    <d v="2026-03-06T08:05:11"/>
    <d v="2026-03-06T00:00:00"/>
    <x v="5"/>
    <x v="0"/>
    <n v="1"/>
    <n v="0"/>
    <x v="1228"/>
    <s v="Ricardo Díaz Rodríguez"/>
    <x v="3"/>
  </r>
  <r>
    <n v="1402"/>
    <n v="109"/>
    <n v="3"/>
    <n v="114.27"/>
    <n v="11.43"/>
    <n v="0"/>
    <n v="0.1"/>
    <s v="ACTIVE"/>
    <m/>
    <s v=""/>
    <m/>
    <d v="2026-03-06T11:30:01"/>
    <d v="2026-03-06T00:00:00"/>
    <x v="5"/>
    <x v="0"/>
    <n v="1"/>
    <n v="0"/>
    <x v="1229"/>
    <s v="Juan Jiménez Aguilar"/>
    <x v="0"/>
  </r>
  <r>
    <n v="1403"/>
    <n v="31"/>
    <n v="2"/>
    <n v="19.05"/>
    <n v="1.91"/>
    <n v="0"/>
    <n v="0.1"/>
    <s v="ACTIVE"/>
    <m/>
    <s v=""/>
    <m/>
    <d v="2026-03-06T11:39:39"/>
    <d v="2026-03-06T00:00:00"/>
    <x v="5"/>
    <x v="0"/>
    <n v="1"/>
    <n v="0"/>
    <x v="1230"/>
    <s v="Óscar Zacatecas Reyes"/>
    <x v="1"/>
  </r>
  <r>
    <n v="1404"/>
    <n v="178"/>
    <n v="3"/>
    <n v="135.02000000000001"/>
    <n v="13.5"/>
    <n v="0"/>
    <n v="0.1"/>
    <s v="ACTIVE"/>
    <m/>
    <s v=""/>
    <m/>
    <d v="2026-03-06T12:45:07"/>
    <d v="2026-03-06T00:00:00"/>
    <x v="5"/>
    <x v="0"/>
    <n v="1"/>
    <n v="0"/>
    <x v="1231"/>
    <s v="Miguel Ruiz Salazar"/>
    <x v="0"/>
  </r>
  <r>
    <n v="1405"/>
    <n v="80"/>
    <n v="5"/>
    <n v="24.1"/>
    <n v="2.41"/>
    <n v="0"/>
    <n v="0.1"/>
    <s v="ACTIVE"/>
    <m/>
    <s v=""/>
    <m/>
    <d v="2026-03-06T13:50:03"/>
    <d v="2026-03-06T00:00:00"/>
    <x v="5"/>
    <x v="0"/>
    <n v="1"/>
    <n v="0"/>
    <x v="1232"/>
    <s v="Juan Sánchez Gutiérrez"/>
    <x v="2"/>
  </r>
  <r>
    <n v="1406"/>
    <n v="252"/>
    <n v="3"/>
    <n v="23.85"/>
    <n v="2.39"/>
    <n v="0"/>
    <n v="0.1"/>
    <s v="ACTIVE"/>
    <m/>
    <s v=""/>
    <m/>
    <d v="2026-03-06T15:14:36"/>
    <d v="2026-03-06T00:00:00"/>
    <x v="5"/>
    <x v="0"/>
    <n v="1"/>
    <n v="0"/>
    <x v="1233"/>
    <s v="Martha Delgado Mendoza"/>
    <x v="0"/>
  </r>
  <r>
    <n v="1407"/>
    <n v="235"/>
    <n v="3"/>
    <n v="22.56"/>
    <n v="2.2599999999999998"/>
    <n v="0"/>
    <n v="0.1"/>
    <s v="ACTIVE"/>
    <m/>
    <s v=""/>
    <m/>
    <d v="2026-03-06T16:33:29"/>
    <d v="2026-03-06T00:00:00"/>
    <x v="5"/>
    <x v="0"/>
    <n v="1"/>
    <n v="0"/>
    <x v="540"/>
    <s v="Silvia González Rodríguez"/>
    <x v="0"/>
  </r>
  <r>
    <n v="1408"/>
    <n v="136"/>
    <n v="5"/>
    <n v="80.739999999999995"/>
    <n v="8.07"/>
    <n v="0"/>
    <n v="0.1"/>
    <s v="ACTIVE"/>
    <m/>
    <s v=""/>
    <m/>
    <d v="2026-03-07T08:57:59"/>
    <d v="2026-03-07T00:00:00"/>
    <x v="5"/>
    <x v="0"/>
    <n v="1"/>
    <n v="0"/>
    <x v="1234"/>
    <s v="Guadalupe Castillo Rangel"/>
    <x v="2"/>
  </r>
  <r>
    <n v="1409"/>
    <n v="132"/>
    <n v="5"/>
    <n v="111.97"/>
    <n v="11.2"/>
    <n v="0"/>
    <n v="0.1"/>
    <s v="ACTIVE"/>
    <m/>
    <s v=""/>
    <m/>
    <d v="2026-03-07T11:26:26"/>
    <d v="2026-03-07T00:00:00"/>
    <x v="5"/>
    <x v="0"/>
    <n v="1"/>
    <n v="0"/>
    <x v="1235"/>
    <s v="Daniel Romero Villalobos"/>
    <x v="2"/>
  </r>
  <r>
    <n v="1410"/>
    <n v="87"/>
    <n v="2"/>
    <n v="65.78"/>
    <n v="6.58"/>
    <n v="0"/>
    <n v="0.1"/>
    <s v="ACTIVE"/>
    <m/>
    <s v=""/>
    <m/>
    <d v="2026-03-07T11:31:06"/>
    <d v="2026-03-07T00:00:00"/>
    <x v="5"/>
    <x v="0"/>
    <n v="1"/>
    <n v="0"/>
    <x v="1236"/>
    <s v="Antonio Reyes Romero"/>
    <x v="1"/>
  </r>
  <r>
    <n v="1411"/>
    <n v="133"/>
    <n v="2"/>
    <n v="82.63"/>
    <n v="8.26"/>
    <n v="0"/>
    <n v="0.1"/>
    <s v="ACTIVE"/>
    <m/>
    <s v=""/>
    <m/>
    <d v="2026-03-07T12:56:13"/>
    <d v="2026-03-07T00:00:00"/>
    <x v="5"/>
    <x v="0"/>
    <n v="1"/>
    <n v="0"/>
    <x v="1237"/>
    <s v="Silvia Villalobos Medina"/>
    <x v="1"/>
  </r>
  <r>
    <n v="1412"/>
    <n v="152"/>
    <n v="3"/>
    <n v="236.03"/>
    <n v="23.6"/>
    <n v="0"/>
    <n v="0.1"/>
    <s v="ACTIVE"/>
    <m/>
    <s v=""/>
    <m/>
    <d v="2026-03-07T14:03:29"/>
    <d v="2026-03-07T00:00:00"/>
    <x v="5"/>
    <x v="0"/>
    <n v="1"/>
    <n v="0"/>
    <x v="1238"/>
    <s v="Héctor Rangel González"/>
    <x v="0"/>
  </r>
  <r>
    <n v="1413"/>
    <n v="207"/>
    <n v="2"/>
    <n v="36.75"/>
    <n v="0"/>
    <n v="1"/>
    <n v="0.1"/>
    <s v="ACTIVE"/>
    <m/>
    <s v=""/>
    <m/>
    <d v="2026-03-07T15:33:22"/>
    <d v="2026-03-07T00:00:00"/>
    <x v="5"/>
    <x v="1"/>
    <n v="1"/>
    <n v="0"/>
    <x v="234"/>
    <s v="Leticia Vázquez Gutiérrez"/>
    <x v="1"/>
  </r>
  <r>
    <n v="1414"/>
    <n v="145"/>
    <n v="4"/>
    <n v="177.37"/>
    <n v="17.739999999999998"/>
    <n v="0"/>
    <n v="0.1"/>
    <s v="ACTIVE"/>
    <m/>
    <s v=""/>
    <m/>
    <d v="2026-03-07T16:57:14"/>
    <d v="2026-03-07T00:00:00"/>
    <x v="5"/>
    <x v="0"/>
    <n v="1"/>
    <n v="0"/>
    <x v="1239"/>
    <s v="Luis Flores Flores"/>
    <x v="3"/>
  </r>
  <r>
    <n v="1415"/>
    <n v="136"/>
    <n v="2"/>
    <n v="65.8"/>
    <n v="6.58"/>
    <n v="0"/>
    <n v="0.1"/>
    <s v="ACTIVE"/>
    <m/>
    <s v=""/>
    <m/>
    <d v="2026-03-08T12:11:46"/>
    <d v="2026-03-08T00:00:00"/>
    <x v="5"/>
    <x v="0"/>
    <n v="1"/>
    <n v="0"/>
    <x v="1240"/>
    <s v="Guadalupe Castillo Rangel"/>
    <x v="1"/>
  </r>
  <r>
    <n v="1416"/>
    <n v="67"/>
    <n v="5"/>
    <n v="29.31"/>
    <n v="2.93"/>
    <n v="0"/>
    <n v="0.1"/>
    <s v="ACTIVE"/>
    <m/>
    <s v=""/>
    <m/>
    <d v="2026-03-08T17:26:46"/>
    <d v="2026-03-08T00:00:00"/>
    <x v="5"/>
    <x v="0"/>
    <n v="1"/>
    <n v="0"/>
    <x v="1241"/>
    <s v="Luis Rodríguez Herrera"/>
    <x v="2"/>
  </r>
  <r>
    <n v="1417"/>
    <n v="11"/>
    <n v="3"/>
    <n v="204.16"/>
    <n v="20.420000000000002"/>
    <n v="0"/>
    <n v="0.1"/>
    <s v="ACTIVE"/>
    <m/>
    <s v=""/>
    <m/>
    <d v="2026-03-09T11:10:15"/>
    <d v="2026-03-09T00:00:00"/>
    <x v="5"/>
    <x v="0"/>
    <n v="1"/>
    <n v="0"/>
    <x v="1242"/>
    <s v="Guadalupe Pérez Rodríguez"/>
    <x v="0"/>
  </r>
  <r>
    <n v="1418"/>
    <n v="117"/>
    <n v="3"/>
    <n v="71.59"/>
    <n v="7.16"/>
    <n v="0"/>
    <n v="0.1"/>
    <s v="ACTIVE"/>
    <m/>
    <s v=""/>
    <m/>
    <d v="2026-03-09T11:39:47"/>
    <d v="2026-03-09T00:00:00"/>
    <x v="5"/>
    <x v="0"/>
    <n v="1"/>
    <n v="0"/>
    <x v="1243"/>
    <s v="Manuel Ortiz Ramírez"/>
    <x v="0"/>
  </r>
  <r>
    <n v="1419"/>
    <n v="255"/>
    <n v="4"/>
    <n v="16.739999999999998"/>
    <n v="1.67"/>
    <n v="0"/>
    <n v="0.1"/>
    <s v="ACTIVE"/>
    <m/>
    <s v=""/>
    <m/>
    <d v="2026-03-09T13:52:34"/>
    <d v="2026-03-09T00:00:00"/>
    <x v="5"/>
    <x v="0"/>
    <n v="1"/>
    <n v="0"/>
    <x v="1244"/>
    <s v="Carmen Díaz Ramírez"/>
    <x v="3"/>
  </r>
  <r>
    <n v="1420"/>
    <n v="17"/>
    <n v="3"/>
    <n v="98.51"/>
    <n v="9.85"/>
    <n v="0"/>
    <n v="0.1"/>
    <s v="ACTIVE"/>
    <m/>
    <s v=""/>
    <m/>
    <d v="2026-03-09T15:06:24"/>
    <d v="2026-03-09T00:00:00"/>
    <x v="5"/>
    <x v="0"/>
    <n v="1"/>
    <n v="0"/>
    <x v="1245"/>
    <s v="Patricia Castillo Morales"/>
    <x v="0"/>
  </r>
  <r>
    <n v="1421"/>
    <n v="137"/>
    <n v="3"/>
    <n v="28.76"/>
    <n v="2.88"/>
    <n v="0"/>
    <n v="0.1"/>
    <s v="ACTIVE"/>
    <m/>
    <s v=""/>
    <m/>
    <d v="2026-03-09T16:02:27"/>
    <d v="2026-03-09T00:00:00"/>
    <x v="5"/>
    <x v="0"/>
    <n v="1"/>
    <n v="0"/>
    <x v="1246"/>
    <s v="Francisco Reyes Ruiz"/>
    <x v="0"/>
  </r>
  <r>
    <n v="1422"/>
    <n v="178"/>
    <n v="3"/>
    <n v="300"/>
    <n v="30"/>
    <n v="0"/>
    <n v="0.1"/>
    <s v="ACTIVE"/>
    <m/>
    <s v=""/>
    <m/>
    <d v="2026-03-09T19:00:19"/>
    <d v="2026-03-09T00:00:00"/>
    <x v="5"/>
    <x v="0"/>
    <n v="1"/>
    <n v="0"/>
    <x v="74"/>
    <s v="Miguel Ruiz Salazar"/>
    <x v="0"/>
  </r>
  <r>
    <n v="1423"/>
    <n v="76"/>
    <n v="5"/>
    <n v="65.849999999999994"/>
    <n v="6.59"/>
    <n v="0"/>
    <n v="0.1"/>
    <s v="ACTIVE"/>
    <m/>
    <s v=""/>
    <m/>
    <d v="2026-03-10T07:23:07"/>
    <d v="2026-03-10T00:00:00"/>
    <x v="5"/>
    <x v="0"/>
    <n v="1"/>
    <n v="0"/>
    <x v="1247"/>
    <s v="Pedro Jiménez Martínez"/>
    <x v="2"/>
  </r>
  <r>
    <n v="1424"/>
    <n v="261"/>
    <n v="3"/>
    <n v="55.07"/>
    <n v="5.51"/>
    <n v="0"/>
    <n v="0.1"/>
    <s v="ACTIVE"/>
    <m/>
    <s v=""/>
    <m/>
    <d v="2026-03-10T08:07:03"/>
    <d v="2026-03-10T00:00:00"/>
    <x v="5"/>
    <x v="0"/>
    <n v="1"/>
    <n v="0"/>
    <x v="1248"/>
    <s v="Carmen Moreno Delgado"/>
    <x v="0"/>
  </r>
  <r>
    <n v="1425"/>
    <n v="151"/>
    <n v="2"/>
    <n v="177.81"/>
    <n v="17.78"/>
    <n v="0"/>
    <n v="0.1"/>
    <s v="ACTIVE"/>
    <m/>
    <s v=""/>
    <m/>
    <d v="2026-03-10T09:46:23"/>
    <d v="2026-03-10T00:00:00"/>
    <x v="5"/>
    <x v="0"/>
    <n v="1"/>
    <n v="0"/>
    <x v="1249"/>
    <s v="Verónica Salazar Ramos"/>
    <x v="1"/>
  </r>
  <r>
    <n v="1426"/>
    <n v="149"/>
    <n v="4"/>
    <n v="42.91"/>
    <n v="4.29"/>
    <n v="0"/>
    <n v="0.1"/>
    <s v="ACTIVE"/>
    <m/>
    <s v=""/>
    <m/>
    <d v="2026-03-10T12:20:23"/>
    <d v="2026-03-10T00:00:00"/>
    <x v="5"/>
    <x v="0"/>
    <n v="1"/>
    <n v="0"/>
    <x v="1250"/>
    <s v="Pedro Morales Morales"/>
    <x v="3"/>
  </r>
  <r>
    <n v="1427"/>
    <n v="27"/>
    <n v="3"/>
    <n v="60.12"/>
    <n v="6.01"/>
    <n v="0"/>
    <n v="0.1"/>
    <s v="ACTIVE"/>
    <m/>
    <s v=""/>
    <m/>
    <d v="2026-03-10T14:23:49"/>
    <d v="2026-03-10T00:00:00"/>
    <x v="5"/>
    <x v="0"/>
    <n v="1"/>
    <n v="0"/>
    <x v="1251"/>
    <s v="Alicia Gutiérrez Quiñones"/>
    <x v="0"/>
  </r>
  <r>
    <n v="1428"/>
    <n v="35"/>
    <n v="3"/>
    <n v="42.72"/>
    <n v="4.2699999999999996"/>
    <n v="0"/>
    <n v="0.1"/>
    <s v="ACTIVE"/>
    <m/>
    <s v=""/>
    <m/>
    <d v="2026-03-10T15:45:28"/>
    <d v="2026-03-10T00:00:00"/>
    <x v="5"/>
    <x v="0"/>
    <n v="1"/>
    <n v="0"/>
    <x v="231"/>
    <s v="Teresa Ramírez Ramírez"/>
    <x v="0"/>
  </r>
  <r>
    <n v="1429"/>
    <n v="230"/>
    <n v="4"/>
    <n v="152.03"/>
    <n v="15.2"/>
    <n v="0"/>
    <n v="0.1"/>
    <s v="ACTIVE"/>
    <m/>
    <s v=""/>
    <m/>
    <d v="2026-03-10T17:48:34"/>
    <d v="2026-03-10T00:00:00"/>
    <x v="5"/>
    <x v="0"/>
    <n v="1"/>
    <n v="0"/>
    <x v="1252"/>
    <s v="Antonio Chávez Quiñones"/>
    <x v="3"/>
  </r>
  <r>
    <n v="1430"/>
    <n v="137"/>
    <n v="5"/>
    <n v="45.93"/>
    <n v="4.59"/>
    <n v="0"/>
    <n v="0.1"/>
    <s v="ACTIVE"/>
    <m/>
    <s v=""/>
    <m/>
    <d v="2026-03-11T08:00:43"/>
    <d v="2026-03-11T00:00:00"/>
    <x v="5"/>
    <x v="0"/>
    <n v="1"/>
    <n v="0"/>
    <x v="1253"/>
    <s v="Francisco Reyes Ruiz"/>
    <x v="2"/>
  </r>
  <r>
    <n v="1431"/>
    <n v="39"/>
    <n v="5"/>
    <n v="139.1"/>
    <n v="13.91"/>
    <n v="0"/>
    <n v="0.1"/>
    <s v="ACTIVE"/>
    <m/>
    <s v=""/>
    <m/>
    <d v="2026-03-11T08:19:21"/>
    <d v="2026-03-11T00:00:00"/>
    <x v="5"/>
    <x v="0"/>
    <n v="1"/>
    <n v="0"/>
    <x v="835"/>
    <s v="Guadalupe García Quiñones"/>
    <x v="2"/>
  </r>
  <r>
    <n v="1432"/>
    <n v="175"/>
    <n v="3"/>
    <n v="15.32"/>
    <n v="1.53"/>
    <n v="0"/>
    <n v="0.1"/>
    <s v="ACTIVE"/>
    <m/>
    <s v=""/>
    <m/>
    <d v="2026-03-11T10:30:35"/>
    <d v="2026-03-11T00:00:00"/>
    <x v="5"/>
    <x v="0"/>
    <n v="1"/>
    <n v="0"/>
    <x v="1254"/>
    <s v="Óscar Villalobos Flores"/>
    <x v="0"/>
  </r>
  <r>
    <n v="1433"/>
    <n v="40"/>
    <n v="2"/>
    <n v="51.75"/>
    <n v="0"/>
    <n v="1"/>
    <n v="0.1"/>
    <s v="CANCELED"/>
    <n v="3"/>
    <s v="Solicitud del cliente"/>
    <d v="2026-03-12T14:56:51"/>
    <d v="2026-03-11T11:56:51"/>
    <d v="2026-03-11T00:00:00"/>
    <x v="5"/>
    <x v="1"/>
    <n v="1"/>
    <n v="1"/>
    <x v="32"/>
    <s v="Carlos López Cruz"/>
    <x v="1"/>
  </r>
  <r>
    <n v="1434"/>
    <n v="144"/>
    <n v="4"/>
    <n v="29.16"/>
    <n v="2.92"/>
    <n v="0"/>
    <n v="0.1"/>
    <s v="ACTIVE"/>
    <m/>
    <s v=""/>
    <m/>
    <d v="2026-03-11T12:23:25"/>
    <d v="2026-03-11T00:00:00"/>
    <x v="5"/>
    <x v="0"/>
    <n v="1"/>
    <n v="0"/>
    <x v="1255"/>
    <s v="Silvia Sánchez González"/>
    <x v="3"/>
  </r>
  <r>
    <n v="1435"/>
    <n v="36"/>
    <n v="2"/>
    <n v="210.04"/>
    <n v="21"/>
    <n v="0"/>
    <n v="0.1"/>
    <s v="ACTIVE"/>
    <m/>
    <s v=""/>
    <m/>
    <d v="2026-03-11T13:22:16"/>
    <d v="2026-03-11T00:00:00"/>
    <x v="5"/>
    <x v="0"/>
    <n v="1"/>
    <n v="0"/>
    <x v="1256"/>
    <s v="Sergio Delgado Herrera"/>
    <x v="1"/>
  </r>
  <r>
    <n v="1436"/>
    <n v="175"/>
    <n v="2"/>
    <n v="35.36"/>
    <n v="3.54"/>
    <n v="0"/>
    <n v="0.1"/>
    <s v="ACTIVE"/>
    <m/>
    <s v=""/>
    <m/>
    <d v="2026-03-11T14:24:18"/>
    <d v="2026-03-11T00:00:00"/>
    <x v="5"/>
    <x v="0"/>
    <n v="1"/>
    <n v="0"/>
    <x v="827"/>
    <s v="Óscar Villalobos Flores"/>
    <x v="1"/>
  </r>
  <r>
    <n v="1437"/>
    <n v="300"/>
    <n v="4"/>
    <n v="96.93"/>
    <n v="9.69"/>
    <n v="0"/>
    <n v="0.1"/>
    <s v="ACTIVE"/>
    <m/>
    <s v=""/>
    <m/>
    <d v="2026-03-11T16:37:44"/>
    <d v="2026-03-11T00:00:00"/>
    <x v="5"/>
    <x v="0"/>
    <n v="1"/>
    <n v="0"/>
    <x v="1257"/>
    <s v="Antonio Salazar Medina"/>
    <x v="3"/>
  </r>
  <r>
    <n v="1438"/>
    <n v="39"/>
    <n v="2"/>
    <n v="140.79"/>
    <n v="14.08"/>
    <n v="0"/>
    <n v="0.1"/>
    <s v="ACTIVE"/>
    <m/>
    <s v=""/>
    <m/>
    <d v="2026-03-11T17:07:42"/>
    <d v="2026-03-11T00:00:00"/>
    <x v="5"/>
    <x v="0"/>
    <n v="1"/>
    <n v="0"/>
    <x v="1258"/>
    <s v="Guadalupe García Quiñones"/>
    <x v="1"/>
  </r>
  <r>
    <n v="1439"/>
    <n v="87"/>
    <n v="2"/>
    <n v="71.989999999999995"/>
    <n v="7.2"/>
    <n v="0"/>
    <n v="0.1"/>
    <s v="ACTIVE"/>
    <m/>
    <s v=""/>
    <m/>
    <d v="2026-03-11T17:16:08"/>
    <d v="2026-03-11T00:00:00"/>
    <x v="5"/>
    <x v="0"/>
    <n v="1"/>
    <n v="0"/>
    <x v="1259"/>
    <s v="Antonio Reyes Romero"/>
    <x v="1"/>
  </r>
  <r>
    <n v="1440"/>
    <n v="107"/>
    <n v="3"/>
    <n v="17.170000000000002"/>
    <n v="1.72"/>
    <n v="0"/>
    <n v="0.1"/>
    <s v="ACTIVE"/>
    <m/>
    <s v=""/>
    <m/>
    <d v="2026-03-11T17:32:03"/>
    <d v="2026-03-11T00:00:00"/>
    <x v="5"/>
    <x v="0"/>
    <n v="1"/>
    <n v="0"/>
    <x v="1260"/>
    <s v="Óscar Jiménez Romero"/>
    <x v="0"/>
  </r>
  <r>
    <n v="1441"/>
    <n v="65"/>
    <n v="5"/>
    <n v="32.4"/>
    <n v="3.24"/>
    <n v="0"/>
    <n v="0.1"/>
    <s v="ACTIVE"/>
    <m/>
    <s v=""/>
    <m/>
    <d v="2026-03-11T19:34:59"/>
    <d v="2026-03-11T00:00:00"/>
    <x v="5"/>
    <x v="0"/>
    <n v="1"/>
    <n v="0"/>
    <x v="1261"/>
    <s v="Gabriela Flores Chávez"/>
    <x v="2"/>
  </r>
  <r>
    <n v="1442"/>
    <n v="60"/>
    <n v="3"/>
    <n v="220.74"/>
    <n v="22.07"/>
    <n v="0"/>
    <n v="0.1"/>
    <s v="ACTIVE"/>
    <m/>
    <s v=""/>
    <m/>
    <d v="2026-03-12T07:44:45"/>
    <d v="2026-03-12T00:00:00"/>
    <x v="5"/>
    <x v="0"/>
    <n v="1"/>
    <n v="0"/>
    <x v="1262"/>
    <s v="Leticia Ruiz González"/>
    <x v="0"/>
  </r>
  <r>
    <n v="1443"/>
    <n v="59"/>
    <n v="2"/>
    <n v="25.88"/>
    <n v="2.59"/>
    <n v="0"/>
    <n v="0.1"/>
    <s v="ACTIVE"/>
    <m/>
    <s v=""/>
    <m/>
    <d v="2026-03-12T08:04:04"/>
    <d v="2026-03-12T00:00:00"/>
    <x v="5"/>
    <x v="0"/>
    <n v="1"/>
    <n v="0"/>
    <x v="1263"/>
    <s v="Daniel Gutiérrez Moreno"/>
    <x v="1"/>
  </r>
  <r>
    <n v="1444"/>
    <n v="192"/>
    <n v="5"/>
    <n v="38.04"/>
    <n v="3.8"/>
    <n v="0"/>
    <n v="0.1"/>
    <s v="ACTIVE"/>
    <m/>
    <s v=""/>
    <m/>
    <d v="2026-03-12T08:59:47"/>
    <d v="2026-03-12T00:00:00"/>
    <x v="5"/>
    <x v="0"/>
    <n v="1"/>
    <n v="0"/>
    <x v="1134"/>
    <s v="Leticia Gutiérrez Hernández"/>
    <x v="2"/>
  </r>
  <r>
    <n v="1445"/>
    <n v="27"/>
    <n v="5"/>
    <n v="71.39"/>
    <n v="7.14"/>
    <n v="0"/>
    <n v="0.1"/>
    <s v="ACTIVE"/>
    <m/>
    <s v=""/>
    <m/>
    <d v="2026-03-12T09:00:42"/>
    <d v="2026-03-12T00:00:00"/>
    <x v="5"/>
    <x v="0"/>
    <n v="1"/>
    <n v="0"/>
    <x v="1264"/>
    <s v="Alicia Gutiérrez Quiñones"/>
    <x v="2"/>
  </r>
  <r>
    <n v="1446"/>
    <n v="124"/>
    <n v="3"/>
    <n v="34.83"/>
    <n v="3.48"/>
    <n v="0"/>
    <n v="0.1"/>
    <s v="ACTIVE"/>
    <m/>
    <s v=""/>
    <m/>
    <d v="2026-03-12T10:05:48"/>
    <d v="2026-03-12T00:00:00"/>
    <x v="5"/>
    <x v="0"/>
    <n v="1"/>
    <n v="0"/>
    <x v="1265"/>
    <s v="Elena Villalobos Pérez"/>
    <x v="0"/>
  </r>
  <r>
    <n v="1447"/>
    <n v="175"/>
    <n v="4"/>
    <n v="35.57"/>
    <n v="3.56"/>
    <n v="0"/>
    <n v="0.1"/>
    <s v="ACTIVE"/>
    <m/>
    <s v=""/>
    <m/>
    <d v="2026-03-12T11:16:40"/>
    <d v="2026-03-12T00:00:00"/>
    <x v="5"/>
    <x v="0"/>
    <n v="1"/>
    <n v="0"/>
    <x v="1266"/>
    <s v="Óscar Villalobos Flores"/>
    <x v="3"/>
  </r>
  <r>
    <n v="1448"/>
    <n v="234"/>
    <n v="5"/>
    <n v="179.49"/>
    <n v="17.95"/>
    <n v="0"/>
    <n v="0.1"/>
    <s v="ACTIVE"/>
    <m/>
    <s v=""/>
    <m/>
    <d v="2026-03-12T12:29:11"/>
    <d v="2026-03-12T00:00:00"/>
    <x v="5"/>
    <x v="0"/>
    <n v="1"/>
    <n v="0"/>
    <x v="1267"/>
    <s v="Carmen Ruiz Gutiérrez"/>
    <x v="2"/>
  </r>
  <r>
    <n v="1449"/>
    <n v="39"/>
    <n v="2"/>
    <n v="300"/>
    <n v="30"/>
    <n v="0"/>
    <n v="0.1"/>
    <s v="ACTIVE"/>
    <m/>
    <s v=""/>
    <m/>
    <d v="2026-03-12T14:28:52"/>
    <d v="2026-03-12T00:00:00"/>
    <x v="5"/>
    <x v="0"/>
    <n v="1"/>
    <n v="0"/>
    <x v="74"/>
    <s v="Guadalupe García Quiñones"/>
    <x v="1"/>
  </r>
  <r>
    <n v="1450"/>
    <n v="150"/>
    <n v="5"/>
    <n v="171.59"/>
    <n v="17.16"/>
    <n v="0"/>
    <n v="0.1"/>
    <s v="ACTIVE"/>
    <m/>
    <s v=""/>
    <m/>
    <d v="2026-03-12T15:06:50"/>
    <d v="2026-03-12T00:00:00"/>
    <x v="5"/>
    <x v="0"/>
    <n v="1"/>
    <n v="0"/>
    <x v="1268"/>
    <s v="Daniel Díaz Quiñones"/>
    <x v="2"/>
  </r>
  <r>
    <n v="1451"/>
    <n v="156"/>
    <n v="5"/>
    <n v="18.86"/>
    <n v="0"/>
    <n v="1"/>
    <n v="0.1"/>
    <s v="ACTIVE"/>
    <m/>
    <s v=""/>
    <m/>
    <d v="2026-03-12T16:37:51"/>
    <d v="2026-03-12T00:00:00"/>
    <x v="5"/>
    <x v="1"/>
    <n v="1"/>
    <n v="0"/>
    <x v="1269"/>
    <s v="Óscar Moreno Chávez"/>
    <x v="2"/>
  </r>
  <r>
    <n v="1452"/>
    <n v="133"/>
    <n v="3"/>
    <n v="69.430000000000007"/>
    <n v="6.94"/>
    <n v="0"/>
    <n v="0.1"/>
    <s v="ACTIVE"/>
    <m/>
    <s v=""/>
    <m/>
    <d v="2026-03-12T16:52:06"/>
    <d v="2026-03-12T00:00:00"/>
    <x v="5"/>
    <x v="0"/>
    <n v="1"/>
    <n v="0"/>
    <x v="1270"/>
    <s v="Silvia Villalobos Medina"/>
    <x v="0"/>
  </r>
  <r>
    <n v="1453"/>
    <n v="243"/>
    <n v="3"/>
    <n v="19.489999999999998"/>
    <n v="1.95"/>
    <n v="0"/>
    <n v="0.1"/>
    <s v="ACTIVE"/>
    <m/>
    <s v=""/>
    <m/>
    <d v="2026-03-13T08:15:27"/>
    <d v="2026-03-13T00:00:00"/>
    <x v="5"/>
    <x v="0"/>
    <n v="1"/>
    <n v="0"/>
    <x v="1271"/>
    <s v="Raúl García Díaz"/>
    <x v="0"/>
  </r>
  <r>
    <n v="1454"/>
    <n v="241"/>
    <n v="2"/>
    <n v="21.1"/>
    <n v="2.11"/>
    <n v="0"/>
    <n v="0.1"/>
    <s v="ACTIVE"/>
    <m/>
    <s v=""/>
    <m/>
    <d v="2026-03-13T08:38:34"/>
    <d v="2026-03-13T00:00:00"/>
    <x v="5"/>
    <x v="0"/>
    <n v="1"/>
    <n v="0"/>
    <x v="1272"/>
    <s v="Lucía Cruz Herrera"/>
    <x v="1"/>
  </r>
  <r>
    <n v="1455"/>
    <n v="36"/>
    <n v="2"/>
    <n v="184.71"/>
    <n v="18.47"/>
    <n v="0"/>
    <n v="0.1"/>
    <s v="ACTIVE"/>
    <m/>
    <s v=""/>
    <m/>
    <d v="2026-03-13T10:58:05"/>
    <d v="2026-03-13T00:00:00"/>
    <x v="5"/>
    <x v="0"/>
    <n v="1"/>
    <n v="0"/>
    <x v="1273"/>
    <s v="Sergio Delgado Herrera"/>
    <x v="1"/>
  </r>
  <r>
    <n v="1456"/>
    <n v="247"/>
    <n v="2"/>
    <n v="21.03"/>
    <n v="2.1"/>
    <n v="0"/>
    <n v="0.1"/>
    <s v="ACTIVE"/>
    <m/>
    <s v=""/>
    <m/>
    <d v="2026-03-13T11:02:59"/>
    <d v="2026-03-13T00:00:00"/>
    <x v="5"/>
    <x v="0"/>
    <n v="1"/>
    <n v="0"/>
    <x v="1274"/>
    <s v="Patricia Mendoza Ruiz"/>
    <x v="1"/>
  </r>
  <r>
    <n v="1457"/>
    <n v="60"/>
    <n v="3"/>
    <n v="115.86"/>
    <n v="11.59"/>
    <n v="0"/>
    <n v="0.1"/>
    <s v="ACTIVE"/>
    <m/>
    <s v=""/>
    <m/>
    <d v="2026-03-13T11:35:30"/>
    <d v="2026-03-13T00:00:00"/>
    <x v="5"/>
    <x v="0"/>
    <n v="1"/>
    <n v="0"/>
    <x v="1275"/>
    <s v="Leticia Ruiz González"/>
    <x v="0"/>
  </r>
  <r>
    <n v="1458"/>
    <n v="288"/>
    <n v="3"/>
    <n v="38.43"/>
    <n v="3.84"/>
    <n v="0"/>
    <n v="0.1"/>
    <s v="ACTIVE"/>
    <m/>
    <s v=""/>
    <m/>
    <d v="2026-03-13T13:50:10"/>
    <d v="2026-03-13T00:00:00"/>
    <x v="5"/>
    <x v="0"/>
    <n v="1"/>
    <n v="0"/>
    <x v="755"/>
    <s v="Daniel Medina Ramos"/>
    <x v="0"/>
  </r>
  <r>
    <n v="1459"/>
    <n v="96"/>
    <n v="3"/>
    <n v="175.53"/>
    <n v="17.55"/>
    <n v="0"/>
    <n v="0.1"/>
    <s v="ACTIVE"/>
    <m/>
    <s v=""/>
    <m/>
    <d v="2026-03-13T14:50:05"/>
    <d v="2026-03-13T00:00:00"/>
    <x v="5"/>
    <x v="0"/>
    <n v="1"/>
    <n v="0"/>
    <x v="784"/>
    <s v="José Pérez Herrera"/>
    <x v="0"/>
  </r>
  <r>
    <n v="1460"/>
    <n v="141"/>
    <n v="2"/>
    <n v="98.13"/>
    <n v="9.81"/>
    <n v="0"/>
    <n v="0.1"/>
    <s v="ACTIVE"/>
    <m/>
    <s v=""/>
    <m/>
    <d v="2026-03-13T14:57:55"/>
    <d v="2026-03-13T00:00:00"/>
    <x v="5"/>
    <x v="0"/>
    <n v="1"/>
    <n v="0"/>
    <x v="1276"/>
    <s v="Antonio Chávez Martínez"/>
    <x v="1"/>
  </r>
  <r>
    <n v="1461"/>
    <n v="178"/>
    <n v="4"/>
    <n v="158.24"/>
    <n v="15.82"/>
    <n v="0"/>
    <n v="0.1"/>
    <s v="ACTIVE"/>
    <m/>
    <s v=""/>
    <m/>
    <d v="2026-03-13T15:09:44"/>
    <d v="2026-03-13T00:00:00"/>
    <x v="5"/>
    <x v="0"/>
    <n v="1"/>
    <n v="0"/>
    <x v="1277"/>
    <s v="Miguel Ruiz Salazar"/>
    <x v="3"/>
  </r>
  <r>
    <n v="1462"/>
    <n v="230"/>
    <n v="4"/>
    <n v="194.38"/>
    <n v="19.440000000000001"/>
    <n v="0"/>
    <n v="0.1"/>
    <s v="ACTIVE"/>
    <m/>
    <s v=""/>
    <m/>
    <d v="2026-03-13T17:13:13"/>
    <d v="2026-03-13T00:00:00"/>
    <x v="5"/>
    <x v="0"/>
    <n v="1"/>
    <n v="0"/>
    <x v="1096"/>
    <s v="Antonio Chávez Quiñones"/>
    <x v="3"/>
  </r>
  <r>
    <n v="1463"/>
    <n v="87"/>
    <n v="2"/>
    <n v="76.239999999999995"/>
    <n v="7.62"/>
    <n v="0"/>
    <n v="0.1"/>
    <s v="ACTIVE"/>
    <m/>
    <s v=""/>
    <m/>
    <d v="2026-03-13T17:19:49"/>
    <d v="2026-03-13T00:00:00"/>
    <x v="5"/>
    <x v="0"/>
    <n v="1"/>
    <n v="0"/>
    <x v="841"/>
    <s v="Antonio Reyes Romero"/>
    <x v="1"/>
  </r>
  <r>
    <n v="1464"/>
    <n v="81"/>
    <n v="3"/>
    <n v="29.68"/>
    <n v="2.97"/>
    <n v="0"/>
    <n v="0.1"/>
    <s v="ACTIVE"/>
    <m/>
    <s v=""/>
    <m/>
    <d v="2026-03-13T18:04:49"/>
    <d v="2026-03-13T00:00:00"/>
    <x v="5"/>
    <x v="0"/>
    <n v="1"/>
    <n v="0"/>
    <x v="1278"/>
    <s v="Pedro Herrera Castillo"/>
    <x v="0"/>
  </r>
  <r>
    <n v="1465"/>
    <n v="106"/>
    <n v="5"/>
    <n v="69.52"/>
    <n v="6.95"/>
    <n v="0"/>
    <n v="0.1"/>
    <s v="ACTIVE"/>
    <m/>
    <s v=""/>
    <m/>
    <d v="2026-03-13T18:23:25"/>
    <d v="2026-03-13T00:00:00"/>
    <x v="5"/>
    <x v="0"/>
    <n v="1"/>
    <n v="0"/>
    <x v="1279"/>
    <s v="Isabel García Santoyo"/>
    <x v="2"/>
  </r>
  <r>
    <n v="1466"/>
    <n v="156"/>
    <n v="5"/>
    <n v="41.28"/>
    <n v="4.13"/>
    <n v="0"/>
    <n v="0.1"/>
    <s v="ACTIVE"/>
    <m/>
    <s v=""/>
    <m/>
    <d v="2026-03-13T19:38:50"/>
    <d v="2026-03-13T00:00:00"/>
    <x v="5"/>
    <x v="0"/>
    <n v="1"/>
    <n v="0"/>
    <x v="819"/>
    <s v="Óscar Moreno Chávez"/>
    <x v="2"/>
  </r>
  <r>
    <n v="1467"/>
    <n v="25"/>
    <n v="3"/>
    <n v="102.9"/>
    <n v="10.29"/>
    <n v="0"/>
    <n v="0.1"/>
    <s v="ACTIVE"/>
    <m/>
    <s v=""/>
    <m/>
    <d v="2026-03-14T07:55:57"/>
    <d v="2026-03-14T00:00:00"/>
    <x v="5"/>
    <x v="0"/>
    <n v="1"/>
    <n v="0"/>
    <x v="1280"/>
    <s v="Martha Rodríguez López"/>
    <x v="0"/>
  </r>
  <r>
    <n v="1468"/>
    <n v="243"/>
    <n v="4"/>
    <n v="41.66"/>
    <n v="4.17"/>
    <n v="0"/>
    <n v="0.1"/>
    <s v="ACTIVE"/>
    <m/>
    <s v=""/>
    <m/>
    <d v="2026-03-14T08:36:41"/>
    <d v="2026-03-14T00:00:00"/>
    <x v="5"/>
    <x v="0"/>
    <n v="1"/>
    <n v="0"/>
    <x v="1281"/>
    <s v="Raúl García Díaz"/>
    <x v="3"/>
  </r>
  <r>
    <n v="1469"/>
    <n v="25"/>
    <n v="3"/>
    <n v="56.21"/>
    <n v="5.62"/>
    <n v="0"/>
    <n v="0.1"/>
    <s v="ACTIVE"/>
    <m/>
    <s v=""/>
    <m/>
    <d v="2026-03-14T08:41:38"/>
    <d v="2026-03-14T00:00:00"/>
    <x v="5"/>
    <x v="0"/>
    <n v="1"/>
    <n v="0"/>
    <x v="1282"/>
    <s v="Martha Rodríguez López"/>
    <x v="0"/>
  </r>
  <r>
    <n v="1470"/>
    <n v="156"/>
    <n v="4"/>
    <n v="28.75"/>
    <n v="2.88"/>
    <n v="0"/>
    <n v="0.1"/>
    <s v="ACTIVE"/>
    <m/>
    <s v=""/>
    <m/>
    <d v="2026-03-14T09:35:32"/>
    <d v="2026-03-14T00:00:00"/>
    <x v="5"/>
    <x v="0"/>
    <n v="1"/>
    <n v="0"/>
    <x v="13"/>
    <s v="Óscar Moreno Chávez"/>
    <x v="3"/>
  </r>
  <r>
    <n v="1471"/>
    <n v="96"/>
    <n v="3"/>
    <n v="227.55"/>
    <n v="22.76"/>
    <n v="0"/>
    <n v="0.1"/>
    <s v="ACTIVE"/>
    <m/>
    <s v=""/>
    <m/>
    <d v="2026-03-14T10:00:52"/>
    <d v="2026-03-14T00:00:00"/>
    <x v="5"/>
    <x v="0"/>
    <n v="1"/>
    <n v="0"/>
    <x v="1283"/>
    <s v="José Pérez Herrera"/>
    <x v="0"/>
  </r>
  <r>
    <n v="1472"/>
    <n v="178"/>
    <n v="5"/>
    <n v="200.07"/>
    <n v="20.010000000000002"/>
    <n v="0"/>
    <n v="0.1"/>
    <s v="ACTIVE"/>
    <m/>
    <s v=""/>
    <m/>
    <d v="2026-03-14T10:42:19"/>
    <d v="2026-03-14T00:00:00"/>
    <x v="5"/>
    <x v="0"/>
    <n v="1"/>
    <n v="0"/>
    <x v="1284"/>
    <s v="Miguel Ruiz Salazar"/>
    <x v="2"/>
  </r>
  <r>
    <n v="1473"/>
    <n v="32"/>
    <n v="4"/>
    <n v="31.17"/>
    <n v="3.12"/>
    <n v="0"/>
    <n v="0.1"/>
    <s v="ACTIVE"/>
    <m/>
    <s v=""/>
    <m/>
    <d v="2026-03-14T10:58:10"/>
    <d v="2026-03-14T00:00:00"/>
    <x v="5"/>
    <x v="0"/>
    <n v="1"/>
    <n v="0"/>
    <x v="1285"/>
    <s v="Teresa Delgado Hernández"/>
    <x v="3"/>
  </r>
  <r>
    <n v="1474"/>
    <n v="89"/>
    <n v="5"/>
    <n v="165.46"/>
    <n v="16.55"/>
    <n v="0"/>
    <n v="0.1"/>
    <s v="CANCELED"/>
    <n v="2"/>
    <s v="Cliente canceló la operación"/>
    <d v="2026-03-15T05:38:27"/>
    <d v="2026-03-14T16:38:27"/>
    <d v="2026-03-14T00:00:00"/>
    <x v="5"/>
    <x v="0"/>
    <n v="1"/>
    <n v="1"/>
    <x v="32"/>
    <s v="Héctor Morales Herrera"/>
    <x v="2"/>
  </r>
  <r>
    <n v="1475"/>
    <n v="16"/>
    <n v="4"/>
    <n v="172.29"/>
    <n v="17.23"/>
    <n v="0"/>
    <n v="0.1"/>
    <s v="ACTIVE"/>
    <m/>
    <s v=""/>
    <m/>
    <d v="2026-03-14T19:49:54"/>
    <d v="2026-03-14T00:00:00"/>
    <x v="5"/>
    <x v="0"/>
    <n v="1"/>
    <n v="0"/>
    <x v="1286"/>
    <s v="Laura Chávez Rangel"/>
    <x v="3"/>
  </r>
  <r>
    <n v="1476"/>
    <n v="150"/>
    <n v="3"/>
    <n v="75.12"/>
    <n v="7.51"/>
    <n v="0"/>
    <n v="0.1"/>
    <s v="ACTIVE"/>
    <m/>
    <s v=""/>
    <m/>
    <d v="2026-03-14T19:59:25"/>
    <d v="2026-03-14T00:00:00"/>
    <x v="5"/>
    <x v="0"/>
    <n v="1"/>
    <n v="0"/>
    <x v="1287"/>
    <s v="Daniel Díaz Quiñones"/>
    <x v="0"/>
  </r>
  <r>
    <n v="1477"/>
    <n v="87"/>
    <n v="2"/>
    <n v="69.17"/>
    <n v="6.92"/>
    <n v="0"/>
    <n v="0.1"/>
    <s v="ACTIVE"/>
    <m/>
    <s v=""/>
    <m/>
    <d v="2026-03-15T12:41:15"/>
    <d v="2026-03-15T00:00:00"/>
    <x v="5"/>
    <x v="0"/>
    <n v="1"/>
    <n v="0"/>
    <x v="1288"/>
    <s v="Antonio Reyes Romero"/>
    <x v="1"/>
  </r>
  <r>
    <n v="1478"/>
    <n v="106"/>
    <n v="5"/>
    <n v="63.13"/>
    <n v="6.31"/>
    <n v="0"/>
    <n v="0.1"/>
    <s v="ACTIVE"/>
    <m/>
    <s v=""/>
    <m/>
    <d v="2026-03-15T16:56:05"/>
    <d v="2026-03-15T00:00:00"/>
    <x v="5"/>
    <x v="0"/>
    <n v="1"/>
    <n v="0"/>
    <x v="1289"/>
    <s v="Isabel García Santoyo"/>
    <x v="2"/>
  </r>
  <r>
    <n v="1479"/>
    <n v="21"/>
    <n v="3"/>
    <n v="17.420000000000002"/>
    <n v="1.74"/>
    <n v="0"/>
    <n v="0.1"/>
    <s v="ACTIVE"/>
    <m/>
    <s v=""/>
    <m/>
    <d v="2026-03-15T17:28:02"/>
    <d v="2026-03-15T00:00:00"/>
    <x v="5"/>
    <x v="0"/>
    <n v="1"/>
    <n v="0"/>
    <x v="1290"/>
    <s v="Carlos Morales Santoyo"/>
    <x v="0"/>
  </r>
  <r>
    <n v="1480"/>
    <n v="235"/>
    <n v="3"/>
    <n v="23.81"/>
    <n v="2.38"/>
    <n v="0"/>
    <n v="0.1"/>
    <s v="ACTIVE"/>
    <m/>
    <s v=""/>
    <m/>
    <d v="2026-03-15T17:44:36"/>
    <d v="2026-03-15T00:00:00"/>
    <x v="5"/>
    <x v="0"/>
    <n v="1"/>
    <n v="0"/>
    <x v="297"/>
    <s v="Silvia González Rodríguez"/>
    <x v="0"/>
  </r>
  <r>
    <n v="1481"/>
    <n v="149"/>
    <n v="4"/>
    <n v="23.42"/>
    <n v="2.34"/>
    <n v="0"/>
    <n v="0.1"/>
    <s v="ACTIVE"/>
    <m/>
    <s v=""/>
    <m/>
    <d v="2026-03-15T18:30:16"/>
    <d v="2026-03-15T00:00:00"/>
    <x v="5"/>
    <x v="0"/>
    <n v="1"/>
    <n v="0"/>
    <x v="1291"/>
    <s v="Pedro Morales Morales"/>
    <x v="3"/>
  </r>
  <r>
    <n v="1482"/>
    <n v="135"/>
    <n v="5"/>
    <n v="80"/>
    <n v="0"/>
    <n v="1"/>
    <n v="0.1"/>
    <s v="ACTIVE"/>
    <m/>
    <s v=""/>
    <m/>
    <d v="2026-03-16T08:20:53"/>
    <d v="2026-03-16T00:00:00"/>
    <x v="5"/>
    <x v="1"/>
    <n v="1"/>
    <n v="0"/>
    <x v="78"/>
    <s v="Silvia Quiñones Delgado"/>
    <x v="2"/>
  </r>
  <r>
    <n v="1483"/>
    <n v="137"/>
    <n v="2"/>
    <n v="22.09"/>
    <n v="2.21"/>
    <n v="0"/>
    <n v="0.1"/>
    <s v="ACTIVE"/>
    <m/>
    <s v=""/>
    <m/>
    <d v="2026-03-16T12:20:35"/>
    <d v="2026-03-16T00:00:00"/>
    <x v="5"/>
    <x v="0"/>
    <n v="1"/>
    <n v="0"/>
    <x v="1292"/>
    <s v="Francisco Reyes Ruiz"/>
    <x v="1"/>
  </r>
  <r>
    <n v="1484"/>
    <n v="244"/>
    <n v="2"/>
    <n v="66.41"/>
    <n v="6.64"/>
    <n v="0"/>
    <n v="0.1"/>
    <s v="ACTIVE"/>
    <m/>
    <s v=""/>
    <m/>
    <d v="2026-03-16T13:44:36"/>
    <d v="2026-03-16T00:00:00"/>
    <x v="5"/>
    <x v="0"/>
    <n v="1"/>
    <n v="0"/>
    <x v="1293"/>
    <s v="Guadalupe Castillo Hernández"/>
    <x v="1"/>
  </r>
  <r>
    <n v="1485"/>
    <n v="117"/>
    <n v="5"/>
    <n v="220"/>
    <n v="22"/>
    <n v="0"/>
    <n v="0.1"/>
    <s v="ACTIVE"/>
    <m/>
    <s v=""/>
    <m/>
    <d v="2026-03-16T15:37:04"/>
    <d v="2026-03-16T00:00:00"/>
    <x v="5"/>
    <x v="0"/>
    <n v="1"/>
    <n v="0"/>
    <x v="200"/>
    <s v="Manuel Ortiz Ramírez"/>
    <x v="2"/>
  </r>
  <r>
    <n v="1486"/>
    <n v="264"/>
    <n v="2"/>
    <n v="232.47"/>
    <n v="23.25"/>
    <n v="0"/>
    <n v="0.1"/>
    <s v="ACTIVE"/>
    <m/>
    <s v=""/>
    <m/>
    <d v="2026-03-16T16:10:58"/>
    <d v="2026-03-16T00:00:00"/>
    <x v="5"/>
    <x v="0"/>
    <n v="1"/>
    <n v="0"/>
    <x v="1294"/>
    <s v="Rosa Flores Ortiz"/>
    <x v="1"/>
  </r>
  <r>
    <n v="1487"/>
    <n v="91"/>
    <n v="5"/>
    <n v="25.82"/>
    <n v="2.58"/>
    <n v="0"/>
    <n v="0.1"/>
    <s v="ACTIVE"/>
    <m/>
    <s v=""/>
    <m/>
    <d v="2026-03-16T18:40:10"/>
    <d v="2026-03-16T00:00:00"/>
    <x v="5"/>
    <x v="0"/>
    <n v="1"/>
    <n v="0"/>
    <x v="1295"/>
    <s v="Silvia Gómez Rodríguez"/>
    <x v="2"/>
  </r>
  <r>
    <n v="1488"/>
    <n v="108"/>
    <n v="2"/>
    <n v="117.44"/>
    <n v="11.74"/>
    <n v="0"/>
    <n v="0.1"/>
    <s v="ACTIVE"/>
    <m/>
    <s v=""/>
    <m/>
    <d v="2026-03-16T19:20:38"/>
    <d v="2026-03-16T00:00:00"/>
    <x v="5"/>
    <x v="0"/>
    <n v="1"/>
    <n v="0"/>
    <x v="1296"/>
    <s v="Norma Cruz Villalobos"/>
    <x v="1"/>
  </r>
  <r>
    <n v="1489"/>
    <n v="297"/>
    <n v="3"/>
    <n v="73.790000000000006"/>
    <n v="7.38"/>
    <n v="0"/>
    <n v="0.1"/>
    <s v="ACTIVE"/>
    <m/>
    <s v=""/>
    <m/>
    <d v="2026-03-17T07:19:44"/>
    <d v="2026-03-17T00:00:00"/>
    <x v="5"/>
    <x v="0"/>
    <n v="1"/>
    <n v="0"/>
    <x v="1297"/>
    <s v="Patricia Ortiz Jiménez"/>
    <x v="0"/>
  </r>
  <r>
    <n v="1490"/>
    <n v="144"/>
    <n v="3"/>
    <n v="75.63"/>
    <n v="7.56"/>
    <n v="0"/>
    <n v="0.1"/>
    <s v="ACTIVE"/>
    <m/>
    <s v=""/>
    <m/>
    <d v="2026-03-17T07:33:57"/>
    <d v="2026-03-17T00:00:00"/>
    <x v="5"/>
    <x v="0"/>
    <n v="1"/>
    <n v="0"/>
    <x v="1298"/>
    <s v="Silvia Sánchez González"/>
    <x v="0"/>
  </r>
  <r>
    <n v="1491"/>
    <n v="192"/>
    <n v="4"/>
    <n v="21.42"/>
    <n v="2.14"/>
    <n v="0"/>
    <n v="0.1"/>
    <s v="ACTIVE"/>
    <m/>
    <s v=""/>
    <m/>
    <d v="2026-03-17T08:08:17"/>
    <d v="2026-03-17T00:00:00"/>
    <x v="5"/>
    <x v="0"/>
    <n v="1"/>
    <n v="0"/>
    <x v="1299"/>
    <s v="Leticia Gutiérrez Hernández"/>
    <x v="3"/>
  </r>
  <r>
    <n v="1492"/>
    <n v="276"/>
    <n v="3"/>
    <n v="48.59"/>
    <n v="4.8600000000000003"/>
    <n v="0"/>
    <n v="0.1"/>
    <s v="ACTIVE"/>
    <m/>
    <s v=""/>
    <m/>
    <d v="2026-03-17T09:13:12"/>
    <d v="2026-03-17T00:00:00"/>
    <x v="5"/>
    <x v="0"/>
    <n v="1"/>
    <n v="0"/>
    <x v="1300"/>
    <s v="Norma López Aguilar"/>
    <x v="0"/>
  </r>
  <r>
    <n v="1493"/>
    <n v="190"/>
    <n v="2"/>
    <n v="173.13"/>
    <n v="17.309999999999999"/>
    <n v="0"/>
    <n v="0.1"/>
    <s v="ACTIVE"/>
    <m/>
    <s v=""/>
    <m/>
    <d v="2026-03-17T09:39:14"/>
    <d v="2026-03-17T00:00:00"/>
    <x v="5"/>
    <x v="0"/>
    <n v="1"/>
    <n v="0"/>
    <x v="1301"/>
    <s v="Ricardo Díaz Rodríguez"/>
    <x v="1"/>
  </r>
  <r>
    <n v="1494"/>
    <n v="195"/>
    <n v="5"/>
    <n v="177.86"/>
    <n v="17.79"/>
    <n v="0"/>
    <n v="0.1"/>
    <s v="ACTIVE"/>
    <m/>
    <s v=""/>
    <m/>
    <d v="2026-03-17T14:40:04"/>
    <d v="2026-03-17T00:00:00"/>
    <x v="5"/>
    <x v="0"/>
    <n v="1"/>
    <n v="0"/>
    <x v="1302"/>
    <s v="Laura Salazar Pérez"/>
    <x v="2"/>
  </r>
  <r>
    <n v="1495"/>
    <n v="243"/>
    <n v="4"/>
    <n v="19.05"/>
    <n v="1.91"/>
    <n v="0"/>
    <n v="0.1"/>
    <s v="ACTIVE"/>
    <m/>
    <s v=""/>
    <m/>
    <d v="2026-03-17T15:58:07"/>
    <d v="2026-03-17T00:00:00"/>
    <x v="5"/>
    <x v="0"/>
    <n v="1"/>
    <n v="0"/>
    <x v="1230"/>
    <s v="Raúl García Díaz"/>
    <x v="3"/>
  </r>
  <r>
    <n v="1496"/>
    <n v="38"/>
    <n v="2"/>
    <n v="26.22"/>
    <n v="2.62"/>
    <n v="0"/>
    <n v="0.1"/>
    <s v="ACTIVE"/>
    <m/>
    <s v=""/>
    <m/>
    <d v="2026-03-17T17:36:12"/>
    <d v="2026-03-17T00:00:00"/>
    <x v="5"/>
    <x v="0"/>
    <n v="1"/>
    <n v="0"/>
    <x v="1303"/>
    <s v="Verónica Delgado Medina"/>
    <x v="1"/>
  </r>
  <r>
    <n v="1497"/>
    <n v="105"/>
    <n v="5"/>
    <n v="181.09"/>
    <n v="18.11"/>
    <n v="0"/>
    <n v="0.1"/>
    <s v="ACTIVE"/>
    <m/>
    <s v=""/>
    <m/>
    <d v="2026-03-17T19:38:47"/>
    <d v="2026-03-17T00:00:00"/>
    <x v="5"/>
    <x v="0"/>
    <n v="1"/>
    <n v="0"/>
    <x v="1304"/>
    <s v="Leticia Romero López"/>
    <x v="2"/>
  </r>
  <r>
    <n v="1498"/>
    <n v="207"/>
    <n v="3"/>
    <n v="23.7"/>
    <n v="2.37"/>
    <n v="0"/>
    <n v="0.1"/>
    <s v="ACTIVE"/>
    <m/>
    <s v=""/>
    <m/>
    <d v="2026-03-18T08:38:07"/>
    <d v="2026-03-18T00:00:00"/>
    <x v="5"/>
    <x v="0"/>
    <n v="1"/>
    <n v="0"/>
    <x v="1305"/>
    <s v="Leticia Vázquez Gutiérrez"/>
    <x v="0"/>
  </r>
  <r>
    <n v="1499"/>
    <n v="243"/>
    <n v="5"/>
    <n v="54.24"/>
    <n v="5.42"/>
    <n v="0"/>
    <n v="0.1"/>
    <s v="ACTIVE"/>
    <m/>
    <s v=""/>
    <m/>
    <d v="2026-03-18T09:43:40"/>
    <d v="2026-03-18T00:00:00"/>
    <x v="5"/>
    <x v="0"/>
    <n v="1"/>
    <n v="0"/>
    <x v="1306"/>
    <s v="Raúl García Díaz"/>
    <x v="2"/>
  </r>
  <r>
    <n v="1500"/>
    <n v="235"/>
    <n v="5"/>
    <n v="37.82"/>
    <n v="3.78"/>
    <n v="0"/>
    <n v="0.1"/>
    <s v="ACTIVE"/>
    <m/>
    <s v=""/>
    <m/>
    <d v="2026-03-18T10:33:50"/>
    <d v="2026-03-18T00:00:00"/>
    <x v="5"/>
    <x v="0"/>
    <n v="1"/>
    <n v="0"/>
    <x v="1307"/>
    <s v="Silvia González Rodríguez"/>
    <x v="2"/>
  </r>
  <r>
    <n v="1501"/>
    <n v="47"/>
    <n v="5"/>
    <n v="48.25"/>
    <n v="4.83"/>
    <n v="0"/>
    <n v="0.1"/>
    <s v="ACTIVE"/>
    <m/>
    <s v=""/>
    <m/>
    <d v="2026-03-18T13:25:59"/>
    <d v="2026-03-18T00:00:00"/>
    <x v="5"/>
    <x v="0"/>
    <n v="1"/>
    <n v="0"/>
    <x v="1308"/>
    <s v="Carmen Díaz Chávez"/>
    <x v="2"/>
  </r>
  <r>
    <n v="1502"/>
    <n v="200"/>
    <n v="3"/>
    <n v="56.51"/>
    <n v="5.65"/>
    <n v="0"/>
    <n v="0.1"/>
    <s v="ACTIVE"/>
    <m/>
    <s v=""/>
    <m/>
    <d v="2026-03-18T15:08:20"/>
    <d v="2026-03-18T00:00:00"/>
    <x v="5"/>
    <x v="0"/>
    <n v="1"/>
    <n v="0"/>
    <x v="1309"/>
    <s v="Antonio Pérez Martínez"/>
    <x v="0"/>
  </r>
  <r>
    <n v="1503"/>
    <n v="102"/>
    <n v="3"/>
    <n v="23.44"/>
    <n v="2.34"/>
    <n v="0"/>
    <n v="0.1"/>
    <s v="ACTIVE"/>
    <m/>
    <s v=""/>
    <m/>
    <d v="2026-03-18T19:39:43"/>
    <d v="2026-03-18T00:00:00"/>
    <x v="5"/>
    <x v="0"/>
    <n v="1"/>
    <n v="0"/>
    <x v="1310"/>
    <s v="Carlos Ramos Ortiz"/>
    <x v="0"/>
  </r>
  <r>
    <n v="1504"/>
    <n v="65"/>
    <n v="3"/>
    <n v="54.69"/>
    <n v="5.47"/>
    <n v="0"/>
    <n v="0.1"/>
    <s v="ACTIVE"/>
    <m/>
    <s v=""/>
    <m/>
    <d v="2026-03-19T09:24:12"/>
    <d v="2026-03-19T00:00:00"/>
    <x v="5"/>
    <x v="0"/>
    <n v="1"/>
    <n v="0"/>
    <x v="1311"/>
    <s v="Gabriela Flores Chávez"/>
    <x v="0"/>
  </r>
  <r>
    <n v="1505"/>
    <n v="106"/>
    <n v="2"/>
    <n v="98.89"/>
    <n v="9.89"/>
    <n v="0"/>
    <n v="0.1"/>
    <s v="ACTIVE"/>
    <m/>
    <s v=""/>
    <m/>
    <d v="2026-03-19T09:44:48"/>
    <d v="2026-03-19T00:00:00"/>
    <x v="5"/>
    <x v="0"/>
    <n v="1"/>
    <n v="0"/>
    <x v="1312"/>
    <s v="Isabel García Santoyo"/>
    <x v="1"/>
  </r>
  <r>
    <n v="1506"/>
    <n v="149"/>
    <n v="5"/>
    <n v="38.75"/>
    <n v="3.88"/>
    <n v="0"/>
    <n v="0.1"/>
    <s v="ACTIVE"/>
    <m/>
    <s v=""/>
    <m/>
    <d v="2026-03-19T11:10:01"/>
    <d v="2026-03-19T00:00:00"/>
    <x v="5"/>
    <x v="0"/>
    <n v="1"/>
    <n v="0"/>
    <x v="1313"/>
    <s v="Pedro Morales Morales"/>
    <x v="2"/>
  </r>
  <r>
    <n v="1507"/>
    <n v="257"/>
    <n v="4"/>
    <n v="38.159999999999997"/>
    <n v="3.82"/>
    <n v="0"/>
    <n v="0.1"/>
    <s v="ACTIVE"/>
    <m/>
    <s v=""/>
    <m/>
    <d v="2026-03-19T11:16:51"/>
    <d v="2026-03-19T00:00:00"/>
    <x v="5"/>
    <x v="0"/>
    <n v="1"/>
    <n v="0"/>
    <x v="949"/>
    <s v="Carmen García Rangel"/>
    <x v="3"/>
  </r>
  <r>
    <n v="1508"/>
    <n v="16"/>
    <n v="3"/>
    <n v="208.47"/>
    <n v="20.85"/>
    <n v="0"/>
    <n v="0.1"/>
    <s v="ACTIVE"/>
    <m/>
    <s v=""/>
    <m/>
    <d v="2026-03-19T11:44:50"/>
    <d v="2026-03-19T00:00:00"/>
    <x v="5"/>
    <x v="0"/>
    <n v="1"/>
    <n v="0"/>
    <x v="1314"/>
    <s v="Laura Chávez Rangel"/>
    <x v="0"/>
  </r>
  <r>
    <n v="1509"/>
    <n v="113"/>
    <n v="3"/>
    <n v="23.41"/>
    <n v="2.34"/>
    <n v="0"/>
    <n v="0.1"/>
    <s v="ACTIVE"/>
    <m/>
    <s v=""/>
    <m/>
    <d v="2026-03-19T13:10:43"/>
    <d v="2026-03-19T00:00:00"/>
    <x v="5"/>
    <x v="0"/>
    <n v="1"/>
    <n v="0"/>
    <x v="1315"/>
    <s v="Leticia Ruiz Aguilar"/>
    <x v="0"/>
  </r>
  <r>
    <n v="1510"/>
    <n v="87"/>
    <n v="2"/>
    <n v="130.5"/>
    <n v="13.05"/>
    <n v="0"/>
    <n v="0.1"/>
    <s v="ACTIVE"/>
    <m/>
    <s v=""/>
    <m/>
    <d v="2026-03-19T13:39:18"/>
    <d v="2026-03-19T00:00:00"/>
    <x v="5"/>
    <x v="0"/>
    <n v="1"/>
    <n v="0"/>
    <x v="1316"/>
    <s v="Antonio Reyes Romero"/>
    <x v="1"/>
  </r>
  <r>
    <n v="1511"/>
    <n v="16"/>
    <n v="3"/>
    <n v="112.7"/>
    <n v="0"/>
    <n v="1"/>
    <n v="0.1"/>
    <s v="CANCELED"/>
    <n v="2"/>
    <s v="Cliente canceló la operación"/>
    <d v="2026-03-20T11:00:59"/>
    <d v="2026-03-19T15:00:59"/>
    <d v="2026-03-19T00:00:00"/>
    <x v="5"/>
    <x v="1"/>
    <n v="1"/>
    <n v="1"/>
    <x v="32"/>
    <s v="Laura Chávez Rangel"/>
    <x v="0"/>
  </r>
  <r>
    <n v="1512"/>
    <n v="117"/>
    <n v="3"/>
    <n v="46.75"/>
    <n v="4.68"/>
    <n v="0"/>
    <n v="0.1"/>
    <s v="ACTIVE"/>
    <m/>
    <s v=""/>
    <m/>
    <d v="2026-03-19T15:06:25"/>
    <d v="2026-03-19T00:00:00"/>
    <x v="5"/>
    <x v="0"/>
    <n v="1"/>
    <n v="0"/>
    <x v="1317"/>
    <s v="Manuel Ortiz Ramírez"/>
    <x v="0"/>
  </r>
  <r>
    <n v="1513"/>
    <n v="245"/>
    <n v="2"/>
    <n v="32.99"/>
    <n v="3.3"/>
    <n v="0"/>
    <n v="0.1"/>
    <s v="ACTIVE"/>
    <m/>
    <s v=""/>
    <m/>
    <d v="2026-03-19T16:09:49"/>
    <d v="2026-03-19T00:00:00"/>
    <x v="5"/>
    <x v="0"/>
    <n v="1"/>
    <n v="0"/>
    <x v="1318"/>
    <s v="Ana González Flores"/>
    <x v="1"/>
  </r>
  <r>
    <n v="1514"/>
    <n v="156"/>
    <n v="5"/>
    <n v="28.41"/>
    <n v="2.84"/>
    <n v="0"/>
    <n v="0.1"/>
    <s v="ACTIVE"/>
    <m/>
    <s v=""/>
    <m/>
    <d v="2026-03-19T16:49:37"/>
    <d v="2026-03-19T00:00:00"/>
    <x v="5"/>
    <x v="0"/>
    <n v="1"/>
    <n v="0"/>
    <x v="1319"/>
    <s v="Óscar Moreno Chávez"/>
    <x v="2"/>
  </r>
  <r>
    <n v="1515"/>
    <n v="38"/>
    <n v="2"/>
    <n v="31.15"/>
    <n v="0"/>
    <n v="1"/>
    <n v="0.1"/>
    <s v="ACTIVE"/>
    <m/>
    <s v=""/>
    <m/>
    <d v="2026-03-19T19:26:07"/>
    <d v="2026-03-19T00:00:00"/>
    <x v="5"/>
    <x v="1"/>
    <n v="1"/>
    <n v="0"/>
    <x v="1320"/>
    <s v="Verónica Delgado Medina"/>
    <x v="1"/>
  </r>
  <r>
    <n v="1516"/>
    <n v="288"/>
    <n v="5"/>
    <n v="30.56"/>
    <n v="3.06"/>
    <n v="0"/>
    <n v="0.1"/>
    <s v="ACTIVE"/>
    <m/>
    <s v=""/>
    <m/>
    <d v="2026-03-19T19:51:28"/>
    <d v="2026-03-19T00:00:00"/>
    <x v="5"/>
    <x v="0"/>
    <n v="1"/>
    <n v="0"/>
    <x v="1321"/>
    <s v="Daniel Medina Ramos"/>
    <x v="2"/>
  </r>
  <r>
    <n v="1517"/>
    <n v="138"/>
    <n v="4"/>
    <n v="41.18"/>
    <n v="4.12"/>
    <n v="0"/>
    <n v="0.1"/>
    <s v="ACTIVE"/>
    <m/>
    <s v=""/>
    <m/>
    <d v="2026-03-19T19:54:40"/>
    <d v="2026-03-19T00:00:00"/>
    <x v="5"/>
    <x v="0"/>
    <n v="1"/>
    <n v="0"/>
    <x v="1322"/>
    <s v="Alejandro Reyes Morales"/>
    <x v="3"/>
  </r>
  <r>
    <n v="1518"/>
    <n v="117"/>
    <n v="2"/>
    <n v="55.21"/>
    <n v="5.52"/>
    <n v="0"/>
    <n v="0.1"/>
    <s v="ACTIVE"/>
    <m/>
    <s v=""/>
    <m/>
    <d v="2026-03-20T07:38:48"/>
    <d v="2026-03-20T00:00:00"/>
    <x v="5"/>
    <x v="0"/>
    <n v="1"/>
    <n v="0"/>
    <x v="1323"/>
    <s v="Manuel Ortiz Ramírez"/>
    <x v="1"/>
  </r>
  <r>
    <n v="1519"/>
    <n v="103"/>
    <n v="3"/>
    <n v="29.94"/>
    <n v="2.99"/>
    <n v="0"/>
    <n v="0.1"/>
    <s v="ACTIVE"/>
    <m/>
    <s v=""/>
    <m/>
    <d v="2026-03-20T10:25:46"/>
    <d v="2026-03-20T00:00:00"/>
    <x v="5"/>
    <x v="0"/>
    <n v="1"/>
    <n v="0"/>
    <x v="993"/>
    <s v="Teresa Rodríguez Ramírez"/>
    <x v="0"/>
  </r>
  <r>
    <n v="1520"/>
    <n v="112"/>
    <n v="3"/>
    <n v="16.7"/>
    <n v="1.67"/>
    <n v="0"/>
    <n v="0.1"/>
    <s v="ACTIVE"/>
    <m/>
    <s v=""/>
    <m/>
    <d v="2026-03-20T12:44:36"/>
    <d v="2026-03-20T00:00:00"/>
    <x v="5"/>
    <x v="0"/>
    <n v="1"/>
    <n v="0"/>
    <x v="1324"/>
    <s v="Leticia Díaz López"/>
    <x v="0"/>
  </r>
  <r>
    <n v="1521"/>
    <n v="149"/>
    <n v="5"/>
    <n v="33.880000000000003"/>
    <n v="3.39"/>
    <n v="0"/>
    <n v="0.1"/>
    <s v="ACTIVE"/>
    <m/>
    <s v=""/>
    <m/>
    <d v="2026-03-20T15:15:32"/>
    <d v="2026-03-20T00:00:00"/>
    <x v="5"/>
    <x v="0"/>
    <n v="1"/>
    <n v="0"/>
    <x v="1325"/>
    <s v="Pedro Morales Morales"/>
    <x v="2"/>
  </r>
  <r>
    <n v="1522"/>
    <n v="39"/>
    <n v="2"/>
    <n v="213.89"/>
    <n v="21.39"/>
    <n v="0"/>
    <n v="0.1"/>
    <s v="ACTIVE"/>
    <m/>
    <s v=""/>
    <m/>
    <d v="2026-03-20T15:27:59"/>
    <d v="2026-03-20T00:00:00"/>
    <x v="5"/>
    <x v="0"/>
    <n v="1"/>
    <n v="0"/>
    <x v="1326"/>
    <s v="Guadalupe García Quiñones"/>
    <x v="1"/>
  </r>
  <r>
    <n v="1523"/>
    <n v="137"/>
    <n v="2"/>
    <n v="30.32"/>
    <n v="3.03"/>
    <n v="0"/>
    <n v="0.1"/>
    <s v="ACTIVE"/>
    <m/>
    <s v=""/>
    <m/>
    <d v="2026-03-20T17:34:29"/>
    <d v="2026-03-20T00:00:00"/>
    <x v="5"/>
    <x v="0"/>
    <n v="1"/>
    <n v="0"/>
    <x v="975"/>
    <s v="Francisco Reyes Ruiz"/>
    <x v="1"/>
  </r>
  <r>
    <n v="1524"/>
    <n v="178"/>
    <n v="3"/>
    <n v="167.6"/>
    <n v="16.760000000000002"/>
    <n v="0"/>
    <n v="0.1"/>
    <s v="ACTIVE"/>
    <m/>
    <s v=""/>
    <m/>
    <d v="2026-03-21T07:53:27"/>
    <d v="2026-03-21T00:00:00"/>
    <x v="5"/>
    <x v="0"/>
    <n v="1"/>
    <n v="0"/>
    <x v="1327"/>
    <s v="Miguel Ruiz Salazar"/>
    <x v="0"/>
  </r>
  <r>
    <n v="1525"/>
    <n v="187"/>
    <n v="4"/>
    <n v="22.73"/>
    <n v="2.27"/>
    <n v="0"/>
    <n v="0.1"/>
    <s v="ACTIVE"/>
    <m/>
    <s v=""/>
    <m/>
    <d v="2026-03-21T09:24:27"/>
    <d v="2026-03-21T00:00:00"/>
    <x v="5"/>
    <x v="0"/>
    <n v="1"/>
    <n v="0"/>
    <x v="1328"/>
    <s v="Pedro Medina Gómez"/>
    <x v="3"/>
  </r>
  <r>
    <n v="1526"/>
    <n v="13"/>
    <n v="5"/>
    <n v="23.74"/>
    <n v="2.37"/>
    <n v="0"/>
    <n v="0.1"/>
    <s v="ACTIVE"/>
    <m/>
    <s v=""/>
    <m/>
    <d v="2026-03-21T13:49:09"/>
    <d v="2026-03-21T00:00:00"/>
    <x v="5"/>
    <x v="0"/>
    <n v="1"/>
    <n v="0"/>
    <x v="1215"/>
    <s v="Laura Rodríguez Quiñones"/>
    <x v="2"/>
  </r>
  <r>
    <n v="1527"/>
    <n v="156"/>
    <n v="2"/>
    <n v="34.31"/>
    <n v="3.43"/>
    <n v="0"/>
    <n v="0.1"/>
    <s v="ACTIVE"/>
    <m/>
    <s v=""/>
    <m/>
    <d v="2026-03-21T15:25:04"/>
    <d v="2026-03-21T00:00:00"/>
    <x v="5"/>
    <x v="0"/>
    <n v="1"/>
    <n v="0"/>
    <x v="1329"/>
    <s v="Óscar Moreno Chávez"/>
    <x v="1"/>
  </r>
  <r>
    <n v="1528"/>
    <n v="235"/>
    <n v="5"/>
    <n v="46.37"/>
    <n v="4.6399999999999997"/>
    <n v="0"/>
    <n v="0.1"/>
    <s v="ACTIVE"/>
    <m/>
    <s v=""/>
    <m/>
    <d v="2026-03-21T19:09:59"/>
    <d v="2026-03-21T00:00:00"/>
    <x v="5"/>
    <x v="0"/>
    <n v="1"/>
    <n v="0"/>
    <x v="1330"/>
    <s v="Silvia González Rodríguez"/>
    <x v="2"/>
  </r>
  <r>
    <n v="1529"/>
    <n v="191"/>
    <n v="2"/>
    <n v="28.48"/>
    <n v="2.85"/>
    <n v="0"/>
    <n v="0.1"/>
    <s v="ACTIVE"/>
    <m/>
    <s v=""/>
    <m/>
    <d v="2026-03-21T19:49:13"/>
    <d v="2026-03-21T00:00:00"/>
    <x v="5"/>
    <x v="0"/>
    <n v="1"/>
    <n v="0"/>
    <x v="1331"/>
    <s v="Daniel Villalobos Flores"/>
    <x v="1"/>
  </r>
  <r>
    <n v="1530"/>
    <n v="200"/>
    <n v="2"/>
    <n v="21.52"/>
    <n v="2.15"/>
    <n v="0"/>
    <n v="0.1"/>
    <s v="ACTIVE"/>
    <m/>
    <s v=""/>
    <m/>
    <d v="2026-03-22T07:06:09"/>
    <d v="2026-03-22T00:00:00"/>
    <x v="5"/>
    <x v="0"/>
    <n v="1"/>
    <n v="0"/>
    <x v="374"/>
    <s v="Antonio Pérez Martínez"/>
    <x v="1"/>
  </r>
  <r>
    <n v="1531"/>
    <n v="48"/>
    <n v="5"/>
    <n v="66.23"/>
    <n v="6.62"/>
    <n v="0"/>
    <n v="0.1"/>
    <s v="ACTIVE"/>
    <m/>
    <s v=""/>
    <m/>
    <d v="2026-03-22T08:04:15"/>
    <d v="2026-03-22T00:00:00"/>
    <x v="5"/>
    <x v="0"/>
    <n v="1"/>
    <n v="0"/>
    <x v="1332"/>
    <s v="Carlos Medina Quiñones"/>
    <x v="2"/>
  </r>
  <r>
    <n v="1532"/>
    <n v="247"/>
    <n v="3"/>
    <n v="44.42"/>
    <n v="4.4400000000000004"/>
    <n v="0"/>
    <n v="0.1"/>
    <s v="CANCELED"/>
    <n v="2"/>
    <s v="Monto duplicado por error de sistema"/>
    <d v="2026-03-22T10:54:33"/>
    <d v="2026-03-22T08:54:33"/>
    <d v="2026-03-22T00:00:00"/>
    <x v="5"/>
    <x v="0"/>
    <n v="1"/>
    <n v="1"/>
    <x v="32"/>
    <s v="Patricia Mendoza Ruiz"/>
    <x v="0"/>
  </r>
  <r>
    <n v="1533"/>
    <n v="235"/>
    <n v="2"/>
    <n v="36.07"/>
    <n v="3.61"/>
    <n v="0"/>
    <n v="0.1"/>
    <s v="ACTIVE"/>
    <m/>
    <s v=""/>
    <m/>
    <d v="2026-03-22T10:27:16"/>
    <d v="2026-03-22T00:00:00"/>
    <x v="5"/>
    <x v="0"/>
    <n v="1"/>
    <n v="0"/>
    <x v="1333"/>
    <s v="Silvia González Rodríguez"/>
    <x v="1"/>
  </r>
  <r>
    <n v="1534"/>
    <n v="41"/>
    <n v="5"/>
    <n v="186.98"/>
    <n v="18.7"/>
    <n v="0"/>
    <n v="0.1"/>
    <s v="ACTIVE"/>
    <m/>
    <s v=""/>
    <m/>
    <d v="2026-03-22T11:29:19"/>
    <d v="2026-03-22T00:00:00"/>
    <x v="5"/>
    <x v="0"/>
    <n v="1"/>
    <n v="0"/>
    <x v="1334"/>
    <s v="Guadalupe González Zacatecas"/>
    <x v="2"/>
  </r>
  <r>
    <n v="1535"/>
    <n v="253"/>
    <n v="4"/>
    <n v="42.14"/>
    <n v="4.21"/>
    <n v="0"/>
    <n v="0.1"/>
    <s v="ACTIVE"/>
    <m/>
    <s v=""/>
    <m/>
    <d v="2026-03-22T15:18:30"/>
    <d v="2026-03-22T00:00:00"/>
    <x v="5"/>
    <x v="0"/>
    <n v="1"/>
    <n v="0"/>
    <x v="1335"/>
    <s v="Luis Hernández Morales"/>
    <x v="3"/>
  </r>
  <r>
    <n v="1536"/>
    <n v="81"/>
    <n v="2"/>
    <n v="52.61"/>
    <n v="5.26"/>
    <n v="0"/>
    <n v="0.1"/>
    <s v="ACTIVE"/>
    <m/>
    <s v=""/>
    <m/>
    <d v="2026-03-22T15:27:30"/>
    <d v="2026-03-22T00:00:00"/>
    <x v="5"/>
    <x v="0"/>
    <n v="1"/>
    <n v="0"/>
    <x v="1336"/>
    <s v="Pedro Herrera Castillo"/>
    <x v="1"/>
  </r>
  <r>
    <n v="1537"/>
    <n v="156"/>
    <n v="2"/>
    <n v="42.6"/>
    <n v="4.26"/>
    <n v="0"/>
    <n v="0.1"/>
    <s v="ACTIVE"/>
    <m/>
    <s v=""/>
    <m/>
    <d v="2026-03-23T08:00:37"/>
    <d v="2026-03-23T00:00:00"/>
    <x v="5"/>
    <x v="0"/>
    <n v="1"/>
    <n v="0"/>
    <x v="999"/>
    <s v="Óscar Moreno Chávez"/>
    <x v="1"/>
  </r>
  <r>
    <n v="1538"/>
    <n v="16"/>
    <n v="3"/>
    <n v="126.53"/>
    <n v="12.65"/>
    <n v="0"/>
    <n v="0.1"/>
    <s v="ACTIVE"/>
    <m/>
    <s v=""/>
    <m/>
    <d v="2026-03-23T09:38:57"/>
    <d v="2026-03-23T00:00:00"/>
    <x v="5"/>
    <x v="0"/>
    <n v="1"/>
    <n v="0"/>
    <x v="1337"/>
    <s v="Laura Chávez Rangel"/>
    <x v="0"/>
  </r>
  <r>
    <n v="1539"/>
    <n v="190"/>
    <n v="5"/>
    <n v="250.6"/>
    <n v="25.06"/>
    <n v="0"/>
    <n v="0.1"/>
    <s v="ACTIVE"/>
    <m/>
    <s v=""/>
    <m/>
    <d v="2026-03-23T10:01:42"/>
    <d v="2026-03-23T00:00:00"/>
    <x v="5"/>
    <x v="0"/>
    <n v="1"/>
    <n v="0"/>
    <x v="1338"/>
    <s v="Ricardo Díaz Rodríguez"/>
    <x v="2"/>
  </r>
  <r>
    <n v="1540"/>
    <n v="156"/>
    <n v="2"/>
    <n v="37.1"/>
    <n v="3.71"/>
    <n v="0"/>
    <n v="0.1"/>
    <s v="ACTIVE"/>
    <m/>
    <s v=""/>
    <m/>
    <d v="2026-03-23T10:30:46"/>
    <d v="2026-03-23T00:00:00"/>
    <x v="5"/>
    <x v="0"/>
    <n v="1"/>
    <n v="0"/>
    <x v="1339"/>
    <s v="Óscar Moreno Chávez"/>
    <x v="1"/>
  </r>
  <r>
    <n v="1541"/>
    <n v="172"/>
    <n v="2"/>
    <n v="16.899999999999999"/>
    <n v="1.69"/>
    <n v="0"/>
    <n v="0.1"/>
    <s v="ACTIVE"/>
    <m/>
    <s v=""/>
    <m/>
    <d v="2026-03-23T12:18:57"/>
    <d v="2026-03-23T00:00:00"/>
    <x v="5"/>
    <x v="0"/>
    <n v="1"/>
    <n v="0"/>
    <x v="1340"/>
    <s v="Silvia Salazar Ortiz"/>
    <x v="1"/>
  </r>
  <r>
    <n v="1542"/>
    <n v="156"/>
    <n v="2"/>
    <n v="29.86"/>
    <n v="2.99"/>
    <n v="0"/>
    <n v="0.1"/>
    <s v="CANCELED"/>
    <n v="4"/>
    <s v="Cliente canceló la operación"/>
    <d v="2026-03-25T09:24:25"/>
    <d v="2026-03-23T14:24:25"/>
    <d v="2026-03-23T00:00:00"/>
    <x v="5"/>
    <x v="0"/>
    <n v="1"/>
    <n v="1"/>
    <x v="32"/>
    <s v="Óscar Moreno Chávez"/>
    <x v="1"/>
  </r>
  <r>
    <n v="1543"/>
    <n v="65"/>
    <n v="3"/>
    <n v="27.97"/>
    <n v="0"/>
    <n v="1"/>
    <n v="0.1"/>
    <s v="ACTIVE"/>
    <m/>
    <s v=""/>
    <m/>
    <d v="2026-03-23T15:19:07"/>
    <d v="2026-03-23T00:00:00"/>
    <x v="5"/>
    <x v="1"/>
    <n v="1"/>
    <n v="0"/>
    <x v="235"/>
    <s v="Gabriela Flores Chávez"/>
    <x v="0"/>
  </r>
  <r>
    <n v="1544"/>
    <n v="112"/>
    <n v="5"/>
    <n v="42.07"/>
    <n v="4.21"/>
    <n v="0"/>
    <n v="0.1"/>
    <s v="ACTIVE"/>
    <m/>
    <s v=""/>
    <m/>
    <d v="2026-03-23T18:18:20"/>
    <d v="2026-03-23T00:00:00"/>
    <x v="5"/>
    <x v="0"/>
    <n v="1"/>
    <n v="0"/>
    <x v="1341"/>
    <s v="Leticia Díaz López"/>
    <x v="2"/>
  </r>
  <r>
    <n v="1545"/>
    <n v="156"/>
    <n v="4"/>
    <n v="35.119999999999997"/>
    <n v="3.51"/>
    <n v="0"/>
    <n v="0.1"/>
    <s v="ACTIVE"/>
    <m/>
    <s v=""/>
    <m/>
    <d v="2026-03-24T08:48:09"/>
    <d v="2026-03-24T00:00:00"/>
    <x v="5"/>
    <x v="0"/>
    <n v="1"/>
    <n v="0"/>
    <x v="1342"/>
    <s v="Óscar Moreno Chávez"/>
    <x v="3"/>
  </r>
  <r>
    <n v="1546"/>
    <n v="37"/>
    <n v="5"/>
    <n v="75.430000000000007"/>
    <n v="7.54"/>
    <n v="0"/>
    <n v="0.1"/>
    <s v="ACTIVE"/>
    <m/>
    <s v=""/>
    <m/>
    <d v="2026-03-24T08:55:23"/>
    <d v="2026-03-24T00:00:00"/>
    <x v="5"/>
    <x v="0"/>
    <n v="1"/>
    <n v="0"/>
    <x v="1343"/>
    <s v="Fernando Mendoza Moreno"/>
    <x v="2"/>
  </r>
  <r>
    <n v="1547"/>
    <n v="173"/>
    <n v="2"/>
    <n v="214.62"/>
    <n v="21.46"/>
    <n v="0"/>
    <n v="0.1"/>
    <s v="ACTIVE"/>
    <m/>
    <s v=""/>
    <m/>
    <d v="2026-03-24T09:09:22"/>
    <d v="2026-03-24T00:00:00"/>
    <x v="5"/>
    <x v="0"/>
    <n v="1"/>
    <n v="0"/>
    <x v="1344"/>
    <s v="Fernando Zacatecas Ramírez"/>
    <x v="1"/>
  </r>
  <r>
    <n v="1548"/>
    <n v="241"/>
    <n v="4"/>
    <n v="46.47"/>
    <n v="4.6500000000000004"/>
    <n v="0"/>
    <n v="0.1"/>
    <s v="ACTIVE"/>
    <m/>
    <s v=""/>
    <m/>
    <d v="2026-03-24T09:14:39"/>
    <d v="2026-03-24T00:00:00"/>
    <x v="5"/>
    <x v="0"/>
    <n v="1"/>
    <n v="0"/>
    <x v="1345"/>
    <s v="Lucía Cruz Herrera"/>
    <x v="3"/>
  </r>
  <r>
    <n v="1549"/>
    <n v="164"/>
    <n v="5"/>
    <n v="17.760000000000002"/>
    <n v="1.78"/>
    <n v="0"/>
    <n v="0.1"/>
    <s v="ACTIVE"/>
    <m/>
    <s v=""/>
    <m/>
    <d v="2026-03-24T10:21:48"/>
    <d v="2026-03-24T00:00:00"/>
    <x v="5"/>
    <x v="0"/>
    <n v="1"/>
    <n v="0"/>
    <x v="1346"/>
    <s v="Sergio Ruiz Sánchez"/>
    <x v="2"/>
  </r>
  <r>
    <n v="1550"/>
    <n v="297"/>
    <n v="3"/>
    <n v="78.540000000000006"/>
    <n v="7.85"/>
    <n v="0"/>
    <n v="0.1"/>
    <s v="ACTIVE"/>
    <m/>
    <s v=""/>
    <m/>
    <d v="2026-03-24T11:17:03"/>
    <d v="2026-03-24T00:00:00"/>
    <x v="5"/>
    <x v="0"/>
    <n v="1"/>
    <n v="0"/>
    <x v="1347"/>
    <s v="Patricia Ortiz Jiménez"/>
    <x v="0"/>
  </r>
  <r>
    <n v="1551"/>
    <n v="191"/>
    <n v="4"/>
    <n v="36.18"/>
    <n v="3.62"/>
    <n v="0"/>
    <n v="0.1"/>
    <s v="ACTIVE"/>
    <m/>
    <s v=""/>
    <m/>
    <d v="2026-03-24T11:29:42"/>
    <d v="2026-03-24T00:00:00"/>
    <x v="5"/>
    <x v="0"/>
    <n v="1"/>
    <n v="0"/>
    <x v="1348"/>
    <s v="Daniel Villalobos Flores"/>
    <x v="3"/>
  </r>
  <r>
    <n v="1552"/>
    <n v="239"/>
    <n v="5"/>
    <n v="40.619999999999997"/>
    <n v="4.0599999999999996"/>
    <n v="0"/>
    <n v="0.1"/>
    <s v="ACTIVE"/>
    <m/>
    <s v=""/>
    <m/>
    <d v="2026-03-24T14:18:38"/>
    <d v="2026-03-24T00:00:00"/>
    <x v="5"/>
    <x v="0"/>
    <n v="1"/>
    <n v="0"/>
    <x v="1349"/>
    <s v="Lucía Zacatecas Morales"/>
    <x v="2"/>
  </r>
  <r>
    <n v="1553"/>
    <n v="106"/>
    <n v="4"/>
    <n v="91.95"/>
    <n v="9.1999999999999993"/>
    <n v="0"/>
    <n v="0.1"/>
    <s v="ACTIVE"/>
    <m/>
    <s v=""/>
    <m/>
    <d v="2026-03-24T15:53:53"/>
    <d v="2026-03-24T00:00:00"/>
    <x v="5"/>
    <x v="0"/>
    <n v="1"/>
    <n v="0"/>
    <x v="1350"/>
    <s v="Isabel García Santoyo"/>
    <x v="3"/>
  </r>
  <r>
    <n v="1554"/>
    <n v="186"/>
    <n v="4"/>
    <n v="166.26"/>
    <n v="16.63"/>
    <n v="0"/>
    <n v="0.1"/>
    <s v="ACTIVE"/>
    <m/>
    <s v=""/>
    <m/>
    <d v="2026-03-24T16:44:18"/>
    <d v="2026-03-24T00:00:00"/>
    <x v="5"/>
    <x v="0"/>
    <n v="1"/>
    <n v="0"/>
    <x v="1351"/>
    <s v="Héctor Cruz Rodríguez"/>
    <x v="3"/>
  </r>
  <r>
    <n v="1555"/>
    <n v="21"/>
    <n v="5"/>
    <n v="45.23"/>
    <n v="4.5199999999999996"/>
    <n v="0"/>
    <n v="0.1"/>
    <s v="CANCELED"/>
    <n v="5"/>
    <s v="Solicitud del cliente"/>
    <d v="2026-03-26T12:54:18"/>
    <d v="2026-03-24T17:54:18"/>
    <d v="2026-03-24T00:00:00"/>
    <x v="5"/>
    <x v="0"/>
    <n v="1"/>
    <n v="1"/>
    <x v="32"/>
    <s v="Carlos Morales Santoyo"/>
    <x v="2"/>
  </r>
  <r>
    <n v="1556"/>
    <n v="288"/>
    <n v="4"/>
    <n v="30.45"/>
    <n v="3.05"/>
    <n v="0"/>
    <n v="0.1"/>
    <s v="ACTIVE"/>
    <m/>
    <s v=""/>
    <m/>
    <d v="2026-03-24T18:56:38"/>
    <d v="2026-03-24T00:00:00"/>
    <x v="5"/>
    <x v="0"/>
    <n v="1"/>
    <n v="0"/>
    <x v="1352"/>
    <s v="Daniel Medina Ramos"/>
    <x v="3"/>
  </r>
  <r>
    <n v="1557"/>
    <n v="38"/>
    <n v="3"/>
    <n v="22.66"/>
    <n v="2.27"/>
    <n v="0"/>
    <n v="0.1"/>
    <s v="ACTIVE"/>
    <m/>
    <s v=""/>
    <m/>
    <d v="2026-03-25T11:48:20"/>
    <d v="2026-03-25T00:00:00"/>
    <x v="5"/>
    <x v="0"/>
    <n v="1"/>
    <n v="0"/>
    <x v="1353"/>
    <s v="Verónica Delgado Medina"/>
    <x v="0"/>
  </r>
  <r>
    <n v="1558"/>
    <n v="251"/>
    <n v="4"/>
    <n v="31.12"/>
    <n v="3.11"/>
    <n v="0"/>
    <n v="0.1"/>
    <s v="ACTIVE"/>
    <m/>
    <s v=""/>
    <m/>
    <d v="2026-03-25T15:35:11"/>
    <d v="2026-03-25T00:00:00"/>
    <x v="5"/>
    <x v="0"/>
    <n v="1"/>
    <n v="0"/>
    <x v="1354"/>
    <s v="Rosa Herrera Sánchez"/>
    <x v="3"/>
  </r>
  <r>
    <n v="1559"/>
    <n v="202"/>
    <n v="4"/>
    <n v="16.75"/>
    <n v="1.68"/>
    <n v="0"/>
    <n v="0.1"/>
    <s v="ACTIVE"/>
    <m/>
    <s v=""/>
    <m/>
    <d v="2026-03-25T15:35:46"/>
    <d v="2026-03-25T00:00:00"/>
    <x v="5"/>
    <x v="0"/>
    <n v="1"/>
    <n v="0"/>
    <x v="1355"/>
    <s v="Elena Díaz Reyes"/>
    <x v="3"/>
  </r>
  <r>
    <n v="1560"/>
    <n v="261"/>
    <n v="3"/>
    <n v="93.36"/>
    <n v="9.34"/>
    <n v="0"/>
    <n v="0.1"/>
    <s v="ACTIVE"/>
    <m/>
    <s v=""/>
    <m/>
    <d v="2026-03-25T15:59:43"/>
    <d v="2026-03-25T00:00:00"/>
    <x v="5"/>
    <x v="0"/>
    <n v="1"/>
    <n v="0"/>
    <x v="1356"/>
    <s v="Carmen Moreno Delgado"/>
    <x v="0"/>
  </r>
  <r>
    <n v="1561"/>
    <n v="175"/>
    <n v="2"/>
    <n v="28.96"/>
    <n v="2.9"/>
    <n v="0"/>
    <n v="0.1"/>
    <s v="ACTIVE"/>
    <m/>
    <s v=""/>
    <m/>
    <d v="2026-03-25T16:09:14"/>
    <d v="2026-03-25T00:00:00"/>
    <x v="5"/>
    <x v="0"/>
    <n v="1"/>
    <n v="0"/>
    <x v="66"/>
    <s v="Óscar Villalobos Flores"/>
    <x v="1"/>
  </r>
  <r>
    <n v="1562"/>
    <n v="245"/>
    <n v="3"/>
    <n v="34.270000000000003"/>
    <n v="3.43"/>
    <n v="0"/>
    <n v="0.1"/>
    <s v="ACTIVE"/>
    <m/>
    <s v=""/>
    <m/>
    <d v="2026-03-25T18:19:16"/>
    <d v="2026-03-25T00:00:00"/>
    <x v="5"/>
    <x v="0"/>
    <n v="1"/>
    <n v="0"/>
    <x v="1357"/>
    <s v="Ana González Flores"/>
    <x v="0"/>
  </r>
  <r>
    <n v="1563"/>
    <n v="109"/>
    <n v="5"/>
    <n v="193.87"/>
    <n v="19.39"/>
    <n v="0"/>
    <n v="0.1"/>
    <s v="ACTIVE"/>
    <m/>
    <s v=""/>
    <m/>
    <d v="2026-03-25T18:27:31"/>
    <d v="2026-03-25T00:00:00"/>
    <x v="5"/>
    <x v="0"/>
    <n v="1"/>
    <n v="0"/>
    <x v="1358"/>
    <s v="Juan Jiménez Aguilar"/>
    <x v="2"/>
  </r>
  <r>
    <n v="1564"/>
    <n v="16"/>
    <n v="2"/>
    <n v="190.12"/>
    <n v="19.010000000000002"/>
    <n v="0"/>
    <n v="0.1"/>
    <s v="ACTIVE"/>
    <m/>
    <s v=""/>
    <m/>
    <d v="2026-03-26T07:46:14"/>
    <d v="2026-03-26T00:00:00"/>
    <x v="5"/>
    <x v="0"/>
    <n v="1"/>
    <n v="0"/>
    <x v="1359"/>
    <s v="Laura Chávez Rangel"/>
    <x v="1"/>
  </r>
  <r>
    <n v="1565"/>
    <n v="18"/>
    <n v="2"/>
    <n v="73.010000000000005"/>
    <n v="7.3"/>
    <n v="0"/>
    <n v="0.1"/>
    <s v="ACTIVE"/>
    <m/>
    <s v=""/>
    <m/>
    <d v="2026-03-26T08:31:14"/>
    <d v="2026-03-26T00:00:00"/>
    <x v="5"/>
    <x v="0"/>
    <n v="1"/>
    <n v="0"/>
    <x v="1360"/>
    <s v="Carlos Gómez Ávila"/>
    <x v="1"/>
  </r>
  <r>
    <n v="1566"/>
    <n v="101"/>
    <n v="2"/>
    <n v="25.25"/>
    <n v="2.5299999999999998"/>
    <n v="0"/>
    <n v="0.1"/>
    <s v="ACTIVE"/>
    <m/>
    <s v=""/>
    <m/>
    <d v="2026-03-26T08:51:05"/>
    <d v="2026-03-26T00:00:00"/>
    <x v="5"/>
    <x v="0"/>
    <n v="1"/>
    <n v="0"/>
    <x v="1361"/>
    <s v="Raúl Delgado Villalobos"/>
    <x v="1"/>
  </r>
  <r>
    <n v="1567"/>
    <n v="122"/>
    <n v="5"/>
    <n v="232.1"/>
    <n v="23.21"/>
    <n v="0"/>
    <n v="0.1"/>
    <s v="ACTIVE"/>
    <m/>
    <s v=""/>
    <m/>
    <d v="2026-03-26T09:55:58"/>
    <d v="2026-03-26T00:00:00"/>
    <x v="5"/>
    <x v="0"/>
    <n v="1"/>
    <n v="0"/>
    <x v="1362"/>
    <s v="Norma Sánchez Santoyo"/>
    <x v="2"/>
  </r>
  <r>
    <n v="1568"/>
    <n v="243"/>
    <n v="3"/>
    <n v="44.6"/>
    <n v="4.46"/>
    <n v="0"/>
    <n v="0.1"/>
    <s v="ACTIVE"/>
    <m/>
    <s v=""/>
    <m/>
    <d v="2026-03-26T18:25:26"/>
    <d v="2026-03-26T00:00:00"/>
    <x v="5"/>
    <x v="0"/>
    <n v="1"/>
    <n v="0"/>
    <x v="1363"/>
    <s v="Raúl García Díaz"/>
    <x v="0"/>
  </r>
  <r>
    <n v="1569"/>
    <n v="61"/>
    <n v="2"/>
    <n v="189.01"/>
    <n v="18.899999999999999"/>
    <n v="0"/>
    <n v="0.1"/>
    <s v="ACTIVE"/>
    <m/>
    <s v=""/>
    <m/>
    <d v="2026-03-27T08:03:41"/>
    <d v="2026-03-27T00:00:00"/>
    <x v="5"/>
    <x v="0"/>
    <n v="1"/>
    <n v="0"/>
    <x v="1364"/>
    <s v="Pedro González Ávila"/>
    <x v="1"/>
  </r>
  <r>
    <n v="1570"/>
    <n v="72"/>
    <n v="4"/>
    <n v="31.95"/>
    <n v="3.2"/>
    <n v="0"/>
    <n v="0.1"/>
    <s v="ACTIVE"/>
    <m/>
    <s v=""/>
    <m/>
    <d v="2026-03-27T08:46:56"/>
    <d v="2026-03-27T00:00:00"/>
    <x v="5"/>
    <x v="0"/>
    <n v="1"/>
    <n v="0"/>
    <x v="1365"/>
    <s v="Miguel Castillo Morales"/>
    <x v="3"/>
  </r>
  <r>
    <n v="1571"/>
    <n v="200"/>
    <n v="3"/>
    <n v="20.67"/>
    <n v="2.0699999999999998"/>
    <n v="0"/>
    <n v="0.1"/>
    <s v="ACTIVE"/>
    <m/>
    <s v=""/>
    <m/>
    <d v="2026-03-27T09:24:29"/>
    <d v="2026-03-27T00:00:00"/>
    <x v="5"/>
    <x v="0"/>
    <n v="1"/>
    <n v="0"/>
    <x v="972"/>
    <s v="Antonio Pérez Martínez"/>
    <x v="0"/>
  </r>
  <r>
    <n v="1572"/>
    <n v="132"/>
    <n v="4"/>
    <n v="161.97"/>
    <n v="16.2"/>
    <n v="0"/>
    <n v="0.1"/>
    <s v="ACTIVE"/>
    <m/>
    <s v=""/>
    <m/>
    <d v="2026-03-27T10:39:07"/>
    <d v="2026-03-27T00:00:00"/>
    <x v="5"/>
    <x v="0"/>
    <n v="1"/>
    <n v="0"/>
    <x v="1366"/>
    <s v="Daniel Romero Villalobos"/>
    <x v="3"/>
  </r>
  <r>
    <n v="1573"/>
    <n v="137"/>
    <n v="4"/>
    <n v="26.13"/>
    <n v="0"/>
    <n v="1"/>
    <n v="0.1"/>
    <s v="ACTIVE"/>
    <m/>
    <s v=""/>
    <m/>
    <d v="2026-03-27T11:16:37"/>
    <d v="2026-03-27T00:00:00"/>
    <x v="5"/>
    <x v="1"/>
    <n v="1"/>
    <n v="0"/>
    <x v="287"/>
    <s v="Francisco Reyes Ruiz"/>
    <x v="3"/>
  </r>
  <r>
    <n v="1574"/>
    <n v="98"/>
    <n v="5"/>
    <n v="162.97999999999999"/>
    <n v="16.3"/>
    <n v="0"/>
    <n v="0.1"/>
    <s v="ACTIVE"/>
    <m/>
    <s v=""/>
    <m/>
    <d v="2026-03-27T12:00:44"/>
    <d v="2026-03-27T00:00:00"/>
    <x v="5"/>
    <x v="0"/>
    <n v="1"/>
    <n v="0"/>
    <x v="1367"/>
    <s v="Antonio Rangel Delgado"/>
    <x v="2"/>
  </r>
  <r>
    <n v="1575"/>
    <n v="243"/>
    <n v="2"/>
    <n v="26"/>
    <n v="2.6"/>
    <n v="0"/>
    <n v="0.1"/>
    <s v="ACTIVE"/>
    <m/>
    <s v=""/>
    <m/>
    <d v="2026-03-27T12:10:11"/>
    <d v="2026-03-27T00:00:00"/>
    <x v="5"/>
    <x v="0"/>
    <n v="1"/>
    <n v="0"/>
    <x v="1368"/>
    <s v="Raúl García Díaz"/>
    <x v="1"/>
  </r>
  <r>
    <n v="1576"/>
    <n v="215"/>
    <n v="4"/>
    <n v="36.53"/>
    <n v="3.65"/>
    <n v="0"/>
    <n v="0.1"/>
    <s v="CANCELED"/>
    <n v="3"/>
    <s v="Solicitud del cliente"/>
    <d v="2026-03-28T15:24:04"/>
    <d v="2026-03-27T12:24:04"/>
    <d v="2026-03-27T00:00:00"/>
    <x v="5"/>
    <x v="0"/>
    <n v="1"/>
    <n v="1"/>
    <x v="32"/>
    <s v="Verónica Medina Ortiz"/>
    <x v="3"/>
  </r>
  <r>
    <n v="1577"/>
    <n v="156"/>
    <n v="3"/>
    <n v="30.9"/>
    <n v="3.09"/>
    <n v="0"/>
    <n v="0.1"/>
    <s v="ACTIVE"/>
    <m/>
    <s v=""/>
    <m/>
    <d v="2026-03-27T13:49:40"/>
    <d v="2026-03-27T00:00:00"/>
    <x v="5"/>
    <x v="0"/>
    <n v="1"/>
    <n v="0"/>
    <x v="1369"/>
    <s v="Óscar Moreno Chávez"/>
    <x v="0"/>
  </r>
  <r>
    <n v="1578"/>
    <n v="290"/>
    <n v="4"/>
    <n v="24.34"/>
    <n v="2.4300000000000002"/>
    <n v="0"/>
    <n v="0.1"/>
    <s v="ACTIVE"/>
    <m/>
    <s v=""/>
    <m/>
    <d v="2026-03-27T14:18:26"/>
    <d v="2026-03-27T00:00:00"/>
    <x v="5"/>
    <x v="0"/>
    <n v="1"/>
    <n v="0"/>
    <x v="1370"/>
    <s v="Silvia Reyes Vázquez"/>
    <x v="3"/>
  </r>
  <r>
    <n v="1579"/>
    <n v="125"/>
    <n v="3"/>
    <n v="37.049999999999997"/>
    <n v="3.71"/>
    <n v="0"/>
    <n v="0.1"/>
    <s v="ACTIVE"/>
    <m/>
    <s v=""/>
    <m/>
    <d v="2026-03-27T14:44:08"/>
    <d v="2026-03-27T00:00:00"/>
    <x v="5"/>
    <x v="0"/>
    <n v="1"/>
    <n v="0"/>
    <x v="1371"/>
    <s v="Leticia Flores Herrera"/>
    <x v="0"/>
  </r>
  <r>
    <n v="1580"/>
    <n v="132"/>
    <n v="2"/>
    <n v="183.15"/>
    <n v="18.32"/>
    <n v="0"/>
    <n v="0.1"/>
    <s v="ACTIVE"/>
    <m/>
    <s v=""/>
    <m/>
    <d v="2026-03-27T15:39:06"/>
    <d v="2026-03-27T00:00:00"/>
    <x v="5"/>
    <x v="0"/>
    <n v="1"/>
    <n v="0"/>
    <x v="1372"/>
    <s v="Daniel Romero Villalobos"/>
    <x v="1"/>
  </r>
  <r>
    <n v="1581"/>
    <n v="56"/>
    <n v="5"/>
    <n v="83.5"/>
    <n v="8.35"/>
    <n v="0"/>
    <n v="0.1"/>
    <s v="ACTIVE"/>
    <m/>
    <s v=""/>
    <m/>
    <d v="2026-03-27T15:59:52"/>
    <d v="2026-03-27T00:00:00"/>
    <x v="5"/>
    <x v="0"/>
    <n v="1"/>
    <n v="0"/>
    <x v="1373"/>
    <s v="Carlos Ortiz Moreno"/>
    <x v="2"/>
  </r>
  <r>
    <n v="1582"/>
    <n v="136"/>
    <n v="3"/>
    <n v="38.53"/>
    <n v="3.85"/>
    <n v="0"/>
    <n v="0.1"/>
    <s v="ACTIVE"/>
    <m/>
    <s v=""/>
    <m/>
    <d v="2026-03-27T16:42:34"/>
    <d v="2026-03-27T00:00:00"/>
    <x v="5"/>
    <x v="0"/>
    <n v="1"/>
    <n v="0"/>
    <x v="936"/>
    <s v="Guadalupe Castillo Rangel"/>
    <x v="0"/>
  </r>
  <r>
    <n v="1583"/>
    <n v="261"/>
    <n v="4"/>
    <n v="155.54"/>
    <n v="15.55"/>
    <n v="0"/>
    <n v="0.1"/>
    <s v="ACTIVE"/>
    <m/>
    <s v=""/>
    <m/>
    <d v="2026-03-27T18:31:20"/>
    <d v="2026-03-27T00:00:00"/>
    <x v="5"/>
    <x v="0"/>
    <n v="1"/>
    <n v="0"/>
    <x v="1374"/>
    <s v="Carmen Moreno Delgado"/>
    <x v="3"/>
  </r>
  <r>
    <n v="1584"/>
    <n v="70"/>
    <n v="4"/>
    <n v="118.4"/>
    <n v="11.84"/>
    <n v="0"/>
    <n v="0.1"/>
    <s v="ACTIVE"/>
    <m/>
    <s v=""/>
    <m/>
    <d v="2026-03-27T19:41:52"/>
    <d v="2026-03-27T00:00:00"/>
    <x v="5"/>
    <x v="0"/>
    <n v="1"/>
    <n v="0"/>
    <x v="1375"/>
    <s v="Manuel Ávila Martínez"/>
    <x v="3"/>
  </r>
  <r>
    <n v="1585"/>
    <n v="282"/>
    <n v="3"/>
    <n v="139.72"/>
    <n v="13.97"/>
    <n v="0"/>
    <n v="0.1"/>
    <s v="ACTIVE"/>
    <m/>
    <s v=""/>
    <m/>
    <d v="2026-03-28T08:46:38"/>
    <d v="2026-03-28T00:00:00"/>
    <x v="5"/>
    <x v="0"/>
    <n v="1"/>
    <n v="0"/>
    <x v="1376"/>
    <s v="Patricia García Vázquez"/>
    <x v="0"/>
  </r>
  <r>
    <n v="1586"/>
    <n v="243"/>
    <n v="2"/>
    <n v="13.71"/>
    <n v="1.37"/>
    <n v="0"/>
    <n v="0.1"/>
    <s v="ACTIVE"/>
    <m/>
    <s v=""/>
    <m/>
    <d v="2026-03-28T09:04:23"/>
    <d v="2026-03-28T00:00:00"/>
    <x v="5"/>
    <x v="0"/>
    <n v="1"/>
    <n v="0"/>
    <x v="1377"/>
    <s v="Raúl García Díaz"/>
    <x v="1"/>
  </r>
  <r>
    <n v="1587"/>
    <n v="176"/>
    <n v="2"/>
    <n v="151.06"/>
    <n v="15.11"/>
    <n v="0"/>
    <n v="0.1"/>
    <s v="ACTIVE"/>
    <m/>
    <s v=""/>
    <m/>
    <d v="2026-03-28T09:12:23"/>
    <d v="2026-03-28T00:00:00"/>
    <x v="5"/>
    <x v="0"/>
    <n v="1"/>
    <n v="0"/>
    <x v="1378"/>
    <s v="Guadalupe Quiñones Ávila"/>
    <x v="1"/>
  </r>
  <r>
    <n v="1588"/>
    <n v="131"/>
    <n v="3"/>
    <n v="118.08"/>
    <n v="11.81"/>
    <n v="0"/>
    <n v="0.1"/>
    <s v="ACTIVE"/>
    <m/>
    <s v=""/>
    <m/>
    <d v="2026-03-28T09:17:49"/>
    <d v="2026-03-28T00:00:00"/>
    <x v="5"/>
    <x v="0"/>
    <n v="1"/>
    <n v="0"/>
    <x v="1379"/>
    <s v="Raúl Quiñones Hernández"/>
    <x v="0"/>
  </r>
  <r>
    <n v="1589"/>
    <n v="137"/>
    <n v="4"/>
    <n v="34.79"/>
    <n v="3.48"/>
    <n v="0"/>
    <n v="0.1"/>
    <s v="ACTIVE"/>
    <m/>
    <s v=""/>
    <m/>
    <d v="2026-03-28T09:30:42"/>
    <d v="2026-03-28T00:00:00"/>
    <x v="5"/>
    <x v="0"/>
    <n v="1"/>
    <n v="0"/>
    <x v="1380"/>
    <s v="Francisco Reyes Ruiz"/>
    <x v="3"/>
  </r>
  <r>
    <n v="1590"/>
    <n v="106"/>
    <n v="3"/>
    <n v="82.72"/>
    <n v="8.27"/>
    <n v="0"/>
    <n v="0.1"/>
    <s v="ACTIVE"/>
    <m/>
    <s v=""/>
    <m/>
    <d v="2026-03-28T09:39:45"/>
    <d v="2026-03-28T00:00:00"/>
    <x v="5"/>
    <x v="0"/>
    <n v="1"/>
    <n v="0"/>
    <x v="1381"/>
    <s v="Isabel García Santoyo"/>
    <x v="0"/>
  </r>
  <r>
    <n v="1591"/>
    <n v="89"/>
    <n v="2"/>
    <n v="126.85"/>
    <n v="12.69"/>
    <n v="0"/>
    <n v="0.1"/>
    <s v="ACTIVE"/>
    <m/>
    <s v=""/>
    <m/>
    <d v="2026-03-28T11:30:29"/>
    <d v="2026-03-28T00:00:00"/>
    <x v="5"/>
    <x v="0"/>
    <n v="1"/>
    <n v="0"/>
    <x v="1382"/>
    <s v="Héctor Morales Herrera"/>
    <x v="1"/>
  </r>
  <r>
    <n v="1592"/>
    <n v="243"/>
    <n v="4"/>
    <n v="24.54"/>
    <n v="2.4500000000000002"/>
    <n v="0"/>
    <n v="0.1"/>
    <s v="ACTIVE"/>
    <m/>
    <s v=""/>
    <m/>
    <d v="2026-03-28T13:56:38"/>
    <d v="2026-03-28T00:00:00"/>
    <x v="5"/>
    <x v="0"/>
    <n v="1"/>
    <n v="0"/>
    <x v="1383"/>
    <s v="Raúl García Díaz"/>
    <x v="3"/>
  </r>
  <r>
    <n v="1593"/>
    <n v="162"/>
    <n v="4"/>
    <n v="32.020000000000003"/>
    <n v="3.2"/>
    <n v="0"/>
    <n v="0.1"/>
    <s v="ACTIVE"/>
    <m/>
    <s v=""/>
    <m/>
    <d v="2026-03-28T14:15:30"/>
    <d v="2026-03-28T00:00:00"/>
    <x v="5"/>
    <x v="0"/>
    <n v="1"/>
    <n v="0"/>
    <x v="1384"/>
    <s v="María Pérez Gómez"/>
    <x v="3"/>
  </r>
  <r>
    <n v="1594"/>
    <n v="101"/>
    <n v="3"/>
    <n v="38.07"/>
    <n v="3.81"/>
    <n v="0"/>
    <n v="0.1"/>
    <s v="ACTIVE"/>
    <m/>
    <s v=""/>
    <m/>
    <d v="2026-03-28T15:19:58"/>
    <d v="2026-03-28T00:00:00"/>
    <x v="5"/>
    <x v="0"/>
    <n v="1"/>
    <n v="0"/>
    <x v="1385"/>
    <s v="Raúl Delgado Villalobos"/>
    <x v="0"/>
  </r>
  <r>
    <n v="1595"/>
    <n v="150"/>
    <n v="2"/>
    <n v="73.11"/>
    <n v="7.31"/>
    <n v="0"/>
    <n v="0.1"/>
    <s v="ACTIVE"/>
    <m/>
    <s v=""/>
    <m/>
    <d v="2026-03-28T15:24:21"/>
    <d v="2026-03-28T00:00:00"/>
    <x v="5"/>
    <x v="0"/>
    <n v="1"/>
    <n v="0"/>
    <x v="1386"/>
    <s v="Daniel Díaz Quiñones"/>
    <x v="1"/>
  </r>
  <r>
    <n v="1596"/>
    <n v="35"/>
    <n v="5"/>
    <n v="33.26"/>
    <n v="3.33"/>
    <n v="0"/>
    <n v="0.1"/>
    <s v="ACTIVE"/>
    <m/>
    <s v=""/>
    <m/>
    <d v="2026-03-28T15:39:03"/>
    <d v="2026-03-28T00:00:00"/>
    <x v="5"/>
    <x v="0"/>
    <n v="1"/>
    <n v="0"/>
    <x v="1387"/>
    <s v="Teresa Ramírez Ramírez"/>
    <x v="2"/>
  </r>
  <r>
    <n v="1597"/>
    <n v="145"/>
    <n v="2"/>
    <n v="246.11"/>
    <n v="24.61"/>
    <n v="0"/>
    <n v="0.1"/>
    <s v="ACTIVE"/>
    <m/>
    <s v=""/>
    <m/>
    <d v="2026-03-28T17:49:59"/>
    <d v="2026-03-28T00:00:00"/>
    <x v="5"/>
    <x v="0"/>
    <n v="1"/>
    <n v="0"/>
    <x v="1388"/>
    <s v="Luis Flores Flores"/>
    <x v="1"/>
  </r>
  <r>
    <n v="1598"/>
    <n v="274"/>
    <n v="5"/>
    <n v="17.16"/>
    <n v="1.72"/>
    <n v="0"/>
    <n v="0.1"/>
    <s v="ACTIVE"/>
    <m/>
    <s v=""/>
    <m/>
    <d v="2026-03-28T19:43:55"/>
    <d v="2026-03-28T00:00:00"/>
    <x v="5"/>
    <x v="0"/>
    <n v="1"/>
    <n v="0"/>
    <x v="1389"/>
    <s v="Daniel Medina Medina"/>
    <x v="2"/>
  </r>
  <r>
    <n v="1599"/>
    <n v="65"/>
    <n v="5"/>
    <n v="19.57"/>
    <n v="1.96"/>
    <n v="0"/>
    <n v="0.1"/>
    <s v="ACTIVE"/>
    <m/>
    <s v=""/>
    <m/>
    <d v="2026-03-29T12:31:30"/>
    <d v="2026-03-29T00:00:00"/>
    <x v="5"/>
    <x v="0"/>
    <n v="1"/>
    <n v="0"/>
    <x v="1390"/>
    <s v="Gabriela Flores Chávez"/>
    <x v="2"/>
  </r>
  <r>
    <n v="1600"/>
    <n v="44"/>
    <n v="3"/>
    <n v="16.18"/>
    <n v="1.62"/>
    <n v="0"/>
    <n v="0.1"/>
    <s v="ACTIVE"/>
    <m/>
    <s v=""/>
    <m/>
    <d v="2026-03-29T15:46:27"/>
    <d v="2026-03-29T00:00:00"/>
    <x v="5"/>
    <x v="0"/>
    <n v="1"/>
    <n v="0"/>
    <x v="1391"/>
    <s v="Pedro Herrera Castillo"/>
    <x v="0"/>
  </r>
  <r>
    <n v="1601"/>
    <n v="241"/>
    <n v="5"/>
    <n v="27.82"/>
    <n v="2.78"/>
    <n v="0"/>
    <n v="0.1"/>
    <s v="ACTIVE"/>
    <m/>
    <s v=""/>
    <m/>
    <d v="2026-03-29T16:59:29"/>
    <d v="2026-03-29T00:00:00"/>
    <x v="5"/>
    <x v="0"/>
    <n v="1"/>
    <n v="0"/>
    <x v="556"/>
    <s v="Lucía Cruz Herrera"/>
    <x v="2"/>
  </r>
  <r>
    <n v="1602"/>
    <n v="51"/>
    <n v="5"/>
    <n v="177.56"/>
    <n v="17.760000000000002"/>
    <n v="0"/>
    <n v="0.1"/>
    <s v="ACTIVE"/>
    <m/>
    <s v=""/>
    <m/>
    <d v="2026-03-30T11:41:17"/>
    <d v="2026-03-30T00:00:00"/>
    <x v="5"/>
    <x v="0"/>
    <n v="1"/>
    <n v="0"/>
    <x v="1392"/>
    <s v="Sergio Rangel Ramos"/>
    <x v="2"/>
  </r>
  <r>
    <n v="1603"/>
    <n v="137"/>
    <n v="2"/>
    <n v="27.29"/>
    <n v="2.73"/>
    <n v="0"/>
    <n v="0.1"/>
    <s v="ACTIVE"/>
    <m/>
    <s v=""/>
    <m/>
    <d v="2026-03-30T15:05:18"/>
    <d v="2026-03-30T00:00:00"/>
    <x v="5"/>
    <x v="0"/>
    <n v="1"/>
    <n v="0"/>
    <x v="611"/>
    <s v="Francisco Reyes Ruiz"/>
    <x v="1"/>
  </r>
  <r>
    <n v="1604"/>
    <n v="16"/>
    <n v="2"/>
    <n v="225.53"/>
    <n v="0"/>
    <n v="1"/>
    <n v="0.1"/>
    <s v="ACTIVE"/>
    <m/>
    <s v=""/>
    <m/>
    <d v="2026-03-31T08:07:20"/>
    <d v="2026-03-31T00:00:00"/>
    <x v="5"/>
    <x v="1"/>
    <n v="1"/>
    <n v="0"/>
    <x v="1393"/>
    <s v="Laura Chávez Rangel"/>
    <x v="1"/>
  </r>
  <r>
    <n v="1605"/>
    <n v="61"/>
    <n v="3"/>
    <n v="98.79"/>
    <n v="0"/>
    <n v="1"/>
    <n v="0.1"/>
    <s v="ACTIVE"/>
    <m/>
    <s v=""/>
    <m/>
    <d v="2026-03-31T09:33:42"/>
    <d v="2026-03-31T00:00:00"/>
    <x v="5"/>
    <x v="1"/>
    <n v="1"/>
    <n v="0"/>
    <x v="1394"/>
    <s v="Pedro González Ávila"/>
    <x v="0"/>
  </r>
  <r>
    <n v="1606"/>
    <n v="185"/>
    <n v="4"/>
    <n v="198.73"/>
    <n v="19.87"/>
    <n v="0"/>
    <n v="0.1"/>
    <s v="ACTIVE"/>
    <m/>
    <s v=""/>
    <m/>
    <d v="2026-03-31T10:23:51"/>
    <d v="2026-03-31T00:00:00"/>
    <x v="5"/>
    <x v="0"/>
    <n v="1"/>
    <n v="0"/>
    <x v="1395"/>
    <s v="Teresa Martínez González"/>
    <x v="3"/>
  </r>
  <r>
    <n v="1607"/>
    <n v="39"/>
    <n v="5"/>
    <n v="171.71"/>
    <n v="17.170000000000002"/>
    <n v="0"/>
    <n v="0.1"/>
    <s v="ACTIVE"/>
    <m/>
    <s v=""/>
    <m/>
    <d v="2026-03-31T10:25:47"/>
    <d v="2026-03-31T00:00:00"/>
    <x v="5"/>
    <x v="0"/>
    <n v="1"/>
    <n v="0"/>
    <x v="1396"/>
    <s v="Guadalupe García Quiñones"/>
    <x v="2"/>
  </r>
  <r>
    <n v="1608"/>
    <n v="42"/>
    <n v="4"/>
    <n v="38.08"/>
    <n v="3.81"/>
    <n v="0"/>
    <n v="0.1"/>
    <s v="ACTIVE"/>
    <m/>
    <s v=""/>
    <m/>
    <d v="2026-03-31T11:06:43"/>
    <d v="2026-03-31T00:00:00"/>
    <x v="5"/>
    <x v="0"/>
    <n v="1"/>
    <n v="0"/>
    <x v="1397"/>
    <s v="Roberto Ávila Ramírez"/>
    <x v="3"/>
  </r>
  <r>
    <n v="1609"/>
    <n v="156"/>
    <n v="4"/>
    <n v="26.33"/>
    <n v="2.63"/>
    <n v="0"/>
    <n v="0.1"/>
    <s v="ACTIVE"/>
    <m/>
    <s v=""/>
    <m/>
    <d v="2026-03-31T18:06:58"/>
    <d v="2026-03-31T00:00:00"/>
    <x v="5"/>
    <x v="0"/>
    <n v="1"/>
    <n v="0"/>
    <x v="1398"/>
    <s v="Óscar Moreno Chávez"/>
    <x v="3"/>
  </r>
  <r>
    <n v="1610"/>
    <n v="243"/>
    <n v="5"/>
    <n v="30.84"/>
    <n v="3.08"/>
    <n v="0"/>
    <n v="0.1"/>
    <s v="ACTIVE"/>
    <m/>
    <s v=""/>
    <m/>
    <d v="2026-03-31T18:32:12"/>
    <d v="2026-03-31T00:00:00"/>
    <x v="5"/>
    <x v="0"/>
    <n v="1"/>
    <n v="0"/>
    <x v="464"/>
    <s v="Raúl García Díaz"/>
    <x v="2"/>
  </r>
  <r>
    <n v="1611"/>
    <n v="210"/>
    <n v="3"/>
    <n v="28.98"/>
    <n v="2.9"/>
    <n v="0"/>
    <n v="0.1"/>
    <s v="ACTIVE"/>
    <m/>
    <s v=""/>
    <m/>
    <d v="2026-04-01T08:05:25"/>
    <d v="2026-04-01T00:00:00"/>
    <x v="6"/>
    <x v="0"/>
    <n v="1"/>
    <n v="0"/>
    <x v="1399"/>
    <s v="Óscar Romero Sánchez"/>
    <x v="0"/>
  </r>
  <r>
    <n v="1612"/>
    <n v="230"/>
    <n v="3"/>
    <n v="140.82"/>
    <n v="14.08"/>
    <n v="0"/>
    <n v="0.1"/>
    <s v="ACTIVE"/>
    <m/>
    <s v=""/>
    <m/>
    <d v="2026-04-01T09:01:31"/>
    <d v="2026-04-01T00:00:00"/>
    <x v="6"/>
    <x v="0"/>
    <n v="1"/>
    <n v="0"/>
    <x v="1400"/>
    <s v="Antonio Chávez Quiñones"/>
    <x v="0"/>
  </r>
  <r>
    <n v="1613"/>
    <n v="279"/>
    <n v="3"/>
    <n v="201.7"/>
    <n v="20.170000000000002"/>
    <n v="0"/>
    <n v="0.1"/>
    <s v="ACTIVE"/>
    <m/>
    <s v=""/>
    <m/>
    <d v="2026-04-01T10:47:42"/>
    <d v="2026-04-01T00:00:00"/>
    <x v="6"/>
    <x v="0"/>
    <n v="1"/>
    <n v="0"/>
    <x v="1401"/>
    <s v="Rosa Mendoza Moreno"/>
    <x v="0"/>
  </r>
  <r>
    <n v="1614"/>
    <n v="185"/>
    <n v="3"/>
    <n v="103.28"/>
    <n v="10.33"/>
    <n v="0"/>
    <n v="0.1"/>
    <s v="ACTIVE"/>
    <m/>
    <s v=""/>
    <m/>
    <d v="2026-04-01T11:26:15"/>
    <d v="2026-04-01T00:00:00"/>
    <x v="6"/>
    <x v="0"/>
    <n v="1"/>
    <n v="0"/>
    <x v="1402"/>
    <s v="Teresa Martínez González"/>
    <x v="0"/>
  </r>
  <r>
    <n v="1615"/>
    <n v="137"/>
    <n v="2"/>
    <n v="43.44"/>
    <n v="4.34"/>
    <n v="0"/>
    <n v="0.1"/>
    <s v="ACTIVE"/>
    <m/>
    <s v=""/>
    <m/>
    <d v="2026-04-01T13:04:10"/>
    <d v="2026-04-01T00:00:00"/>
    <x v="6"/>
    <x v="0"/>
    <n v="1"/>
    <n v="0"/>
    <x v="1403"/>
    <s v="Francisco Reyes Ruiz"/>
    <x v="1"/>
  </r>
  <r>
    <n v="1616"/>
    <n v="11"/>
    <n v="3"/>
    <n v="192.97"/>
    <n v="19.3"/>
    <n v="0"/>
    <n v="0.1"/>
    <s v="ACTIVE"/>
    <m/>
    <s v=""/>
    <m/>
    <d v="2026-04-01T13:21:41"/>
    <d v="2026-04-01T00:00:00"/>
    <x v="6"/>
    <x v="0"/>
    <n v="1"/>
    <n v="0"/>
    <x v="1404"/>
    <s v="Guadalupe Pérez Rodríguez"/>
    <x v="0"/>
  </r>
  <r>
    <n v="1617"/>
    <n v="137"/>
    <n v="5"/>
    <n v="33.58"/>
    <n v="3.36"/>
    <n v="0"/>
    <n v="0.1"/>
    <s v="ACTIVE"/>
    <m/>
    <s v=""/>
    <m/>
    <d v="2026-04-01T14:49:58"/>
    <d v="2026-04-01T00:00:00"/>
    <x v="6"/>
    <x v="0"/>
    <n v="1"/>
    <n v="0"/>
    <x v="1405"/>
    <s v="Francisco Reyes Ruiz"/>
    <x v="2"/>
  </r>
  <r>
    <n v="1618"/>
    <n v="81"/>
    <n v="5"/>
    <n v="28.46"/>
    <n v="2.85"/>
    <n v="0"/>
    <n v="0.1"/>
    <s v="ACTIVE"/>
    <m/>
    <s v=""/>
    <m/>
    <d v="2026-04-01T16:42:07"/>
    <d v="2026-04-01T00:00:00"/>
    <x v="6"/>
    <x v="0"/>
    <n v="1"/>
    <n v="0"/>
    <x v="1406"/>
    <s v="Pedro Herrera Castillo"/>
    <x v="2"/>
  </r>
  <r>
    <n v="1619"/>
    <n v="237"/>
    <n v="2"/>
    <n v="107.43"/>
    <n v="10.74"/>
    <n v="0"/>
    <n v="0.1"/>
    <s v="ACTIVE"/>
    <m/>
    <s v=""/>
    <m/>
    <d v="2026-04-02T08:06:59"/>
    <d v="2026-04-02T00:00:00"/>
    <x v="6"/>
    <x v="0"/>
    <n v="1"/>
    <n v="0"/>
    <x v="1407"/>
    <s v="Gabriela Aguilar Sánchez"/>
    <x v="1"/>
  </r>
  <r>
    <n v="1620"/>
    <n v="250"/>
    <n v="2"/>
    <n v="85.4"/>
    <n v="8.5399999999999991"/>
    <n v="0"/>
    <n v="0.1"/>
    <s v="ACTIVE"/>
    <m/>
    <s v=""/>
    <m/>
    <d v="2026-04-02T09:43:21"/>
    <d v="2026-04-02T00:00:00"/>
    <x v="6"/>
    <x v="0"/>
    <n v="1"/>
    <n v="0"/>
    <x v="1408"/>
    <s v="Verónica Romero Chávez"/>
    <x v="1"/>
  </r>
  <r>
    <n v="1621"/>
    <n v="245"/>
    <n v="2"/>
    <n v="51.37"/>
    <n v="5.14"/>
    <n v="0"/>
    <n v="0.1"/>
    <s v="ACTIVE"/>
    <m/>
    <s v=""/>
    <m/>
    <d v="2026-04-02T09:49:51"/>
    <d v="2026-04-02T00:00:00"/>
    <x v="6"/>
    <x v="0"/>
    <n v="1"/>
    <n v="0"/>
    <x v="206"/>
    <s v="Ana González Flores"/>
    <x v="1"/>
  </r>
  <r>
    <n v="1622"/>
    <n v="210"/>
    <n v="3"/>
    <n v="21.6"/>
    <n v="2.16"/>
    <n v="0"/>
    <n v="0.1"/>
    <s v="ACTIVE"/>
    <m/>
    <s v=""/>
    <m/>
    <d v="2026-04-02T15:05:50"/>
    <d v="2026-04-02T00:00:00"/>
    <x v="6"/>
    <x v="0"/>
    <n v="1"/>
    <n v="0"/>
    <x v="366"/>
    <s v="Óscar Romero Sánchez"/>
    <x v="0"/>
  </r>
  <r>
    <n v="1623"/>
    <n v="149"/>
    <n v="2"/>
    <n v="43.18"/>
    <n v="4.32"/>
    <n v="0"/>
    <n v="0.1"/>
    <s v="ACTIVE"/>
    <m/>
    <s v=""/>
    <m/>
    <d v="2026-04-02T17:26:01"/>
    <d v="2026-04-02T00:00:00"/>
    <x v="6"/>
    <x v="0"/>
    <n v="1"/>
    <n v="0"/>
    <x v="1409"/>
    <s v="Pedro Morales Morales"/>
    <x v="1"/>
  </r>
  <r>
    <n v="1624"/>
    <n v="202"/>
    <n v="4"/>
    <n v="27.4"/>
    <n v="2.74"/>
    <n v="0"/>
    <n v="0.1"/>
    <s v="ACTIVE"/>
    <m/>
    <s v=""/>
    <m/>
    <d v="2026-04-02T19:06:55"/>
    <d v="2026-04-02T00:00:00"/>
    <x v="6"/>
    <x v="0"/>
    <n v="1"/>
    <n v="0"/>
    <x v="1410"/>
    <s v="Elena Díaz Reyes"/>
    <x v="3"/>
  </r>
  <r>
    <n v="1625"/>
    <n v="70"/>
    <n v="5"/>
    <n v="292.19"/>
    <n v="29.22"/>
    <n v="0"/>
    <n v="0.1"/>
    <s v="ACTIVE"/>
    <m/>
    <s v=""/>
    <m/>
    <d v="2026-04-03T09:33:48"/>
    <d v="2026-04-03T00:00:00"/>
    <x v="6"/>
    <x v="0"/>
    <n v="1"/>
    <n v="0"/>
    <x v="523"/>
    <s v="Manuel Ávila Martínez"/>
    <x v="2"/>
  </r>
  <r>
    <n v="1626"/>
    <n v="133"/>
    <n v="3"/>
    <n v="76.92"/>
    <n v="7.69"/>
    <n v="0"/>
    <n v="0.1"/>
    <s v="ACTIVE"/>
    <m/>
    <s v=""/>
    <m/>
    <d v="2026-04-03T11:44:01"/>
    <d v="2026-04-03T00:00:00"/>
    <x v="6"/>
    <x v="0"/>
    <n v="1"/>
    <n v="0"/>
    <x v="1411"/>
    <s v="Silvia Villalobos Medina"/>
    <x v="0"/>
  </r>
  <r>
    <n v="1627"/>
    <n v="293"/>
    <n v="5"/>
    <n v="23.57"/>
    <n v="0"/>
    <n v="1"/>
    <n v="0.1"/>
    <s v="ACTIVE"/>
    <m/>
    <s v=""/>
    <m/>
    <d v="2026-04-03T12:42:05"/>
    <d v="2026-04-03T00:00:00"/>
    <x v="6"/>
    <x v="1"/>
    <n v="1"/>
    <n v="0"/>
    <x v="1412"/>
    <s v="Patricia Quiñones Pérez"/>
    <x v="2"/>
  </r>
  <r>
    <n v="1628"/>
    <n v="125"/>
    <n v="5"/>
    <n v="47.27"/>
    <n v="4.7300000000000004"/>
    <n v="0"/>
    <n v="0.1"/>
    <s v="CANCELED"/>
    <n v="5"/>
    <s v="Cliente canceló la operación"/>
    <d v="2026-04-04T13:11:16"/>
    <d v="2026-04-03T13:11:16"/>
    <d v="2026-04-03T00:00:00"/>
    <x v="6"/>
    <x v="0"/>
    <n v="1"/>
    <n v="1"/>
    <x v="32"/>
    <s v="Leticia Flores Herrera"/>
    <x v="2"/>
  </r>
  <r>
    <n v="1629"/>
    <n v="91"/>
    <n v="5"/>
    <n v="17.670000000000002"/>
    <n v="1.77"/>
    <n v="0"/>
    <n v="0.1"/>
    <s v="ACTIVE"/>
    <m/>
    <s v=""/>
    <m/>
    <d v="2026-04-03T16:07:18"/>
    <d v="2026-04-03T00:00:00"/>
    <x v="6"/>
    <x v="0"/>
    <n v="1"/>
    <n v="0"/>
    <x v="1008"/>
    <s v="Silvia Gómez Rodríguez"/>
    <x v="2"/>
  </r>
  <r>
    <n v="1630"/>
    <n v="28"/>
    <n v="4"/>
    <n v="35.770000000000003"/>
    <n v="3.58"/>
    <n v="0"/>
    <n v="0.1"/>
    <s v="ACTIVE"/>
    <m/>
    <s v=""/>
    <m/>
    <d v="2026-04-03T16:41:41"/>
    <d v="2026-04-03T00:00:00"/>
    <x v="6"/>
    <x v="0"/>
    <n v="1"/>
    <n v="0"/>
    <x v="1148"/>
    <s v="Francisco Ávila Chávez"/>
    <x v="3"/>
  </r>
  <r>
    <n v="1631"/>
    <n v="241"/>
    <n v="4"/>
    <n v="17.14"/>
    <n v="1.71"/>
    <n v="0"/>
    <n v="0.1"/>
    <s v="ACTIVE"/>
    <m/>
    <s v=""/>
    <m/>
    <d v="2026-04-03T18:19:13"/>
    <d v="2026-04-03T00:00:00"/>
    <x v="6"/>
    <x v="0"/>
    <n v="1"/>
    <n v="0"/>
    <x v="1413"/>
    <s v="Lucía Cruz Herrera"/>
    <x v="3"/>
  </r>
  <r>
    <n v="1632"/>
    <n v="250"/>
    <n v="5"/>
    <n v="69.45"/>
    <n v="6.95"/>
    <n v="0"/>
    <n v="0.1"/>
    <s v="ACTIVE"/>
    <m/>
    <s v=""/>
    <m/>
    <d v="2026-04-03T18:42:15"/>
    <d v="2026-04-03T00:00:00"/>
    <x v="6"/>
    <x v="0"/>
    <n v="1"/>
    <n v="0"/>
    <x v="1414"/>
    <s v="Verónica Romero Chávez"/>
    <x v="2"/>
  </r>
  <r>
    <n v="1633"/>
    <n v="156"/>
    <n v="2"/>
    <n v="41.07"/>
    <n v="0"/>
    <n v="1"/>
    <n v="0.1"/>
    <s v="ACTIVE"/>
    <m/>
    <s v=""/>
    <m/>
    <d v="2026-04-03T18:59:11"/>
    <d v="2026-04-03T00:00:00"/>
    <x v="6"/>
    <x v="1"/>
    <n v="1"/>
    <n v="0"/>
    <x v="1415"/>
    <s v="Óscar Moreno Chávez"/>
    <x v="1"/>
  </r>
  <r>
    <n v="1634"/>
    <n v="38"/>
    <n v="2"/>
    <n v="26.96"/>
    <n v="2.7"/>
    <n v="0"/>
    <n v="0.1"/>
    <s v="ACTIVE"/>
    <m/>
    <s v=""/>
    <m/>
    <d v="2026-04-04T07:15:22"/>
    <d v="2026-04-04T00:00:00"/>
    <x v="6"/>
    <x v="0"/>
    <n v="1"/>
    <n v="0"/>
    <x v="1416"/>
    <s v="Verónica Delgado Medina"/>
    <x v="1"/>
  </r>
  <r>
    <n v="1635"/>
    <n v="262"/>
    <n v="5"/>
    <n v="70.12"/>
    <n v="7.01"/>
    <n v="0"/>
    <n v="0.1"/>
    <s v="ACTIVE"/>
    <m/>
    <s v=""/>
    <m/>
    <d v="2026-04-04T07:52:18"/>
    <d v="2026-04-04T00:00:00"/>
    <x v="6"/>
    <x v="0"/>
    <n v="1"/>
    <n v="0"/>
    <x v="1417"/>
    <s v="Guadalupe Cruz Aguilar"/>
    <x v="2"/>
  </r>
  <r>
    <n v="1636"/>
    <n v="137"/>
    <n v="5"/>
    <n v="41.61"/>
    <n v="4.16"/>
    <n v="0"/>
    <n v="0.1"/>
    <s v="ACTIVE"/>
    <m/>
    <s v=""/>
    <m/>
    <d v="2026-04-04T08:22:26"/>
    <d v="2026-04-04T00:00:00"/>
    <x v="6"/>
    <x v="0"/>
    <n v="1"/>
    <n v="0"/>
    <x v="1418"/>
    <s v="Francisco Reyes Ruiz"/>
    <x v="2"/>
  </r>
  <r>
    <n v="1637"/>
    <n v="104"/>
    <n v="3"/>
    <n v="105.91"/>
    <n v="10.59"/>
    <n v="0"/>
    <n v="0.1"/>
    <s v="ACTIVE"/>
    <m/>
    <s v=""/>
    <m/>
    <d v="2026-04-04T08:44:08"/>
    <d v="2026-04-04T00:00:00"/>
    <x v="6"/>
    <x v="0"/>
    <n v="1"/>
    <n v="0"/>
    <x v="1419"/>
    <s v="Manuel Morales González"/>
    <x v="0"/>
  </r>
  <r>
    <n v="1638"/>
    <n v="21"/>
    <n v="3"/>
    <n v="33.96"/>
    <n v="3.4"/>
    <n v="0"/>
    <n v="0.1"/>
    <s v="ACTIVE"/>
    <m/>
    <s v=""/>
    <m/>
    <d v="2026-04-04T09:02:05"/>
    <d v="2026-04-04T00:00:00"/>
    <x v="6"/>
    <x v="0"/>
    <n v="1"/>
    <n v="0"/>
    <x v="1420"/>
    <s v="Carlos Morales Santoyo"/>
    <x v="0"/>
  </r>
  <r>
    <n v="1639"/>
    <n v="136"/>
    <n v="3"/>
    <n v="173.16"/>
    <n v="17.32"/>
    <n v="0"/>
    <n v="0.1"/>
    <s v="ACTIVE"/>
    <m/>
    <s v=""/>
    <m/>
    <d v="2026-04-04T10:40:22"/>
    <d v="2026-04-04T00:00:00"/>
    <x v="6"/>
    <x v="0"/>
    <n v="1"/>
    <n v="0"/>
    <x v="1421"/>
    <s v="Guadalupe Castillo Rangel"/>
    <x v="0"/>
  </r>
  <r>
    <n v="1640"/>
    <n v="288"/>
    <n v="3"/>
    <n v="29.67"/>
    <n v="2.97"/>
    <n v="0"/>
    <n v="0.1"/>
    <s v="ACTIVE"/>
    <m/>
    <s v=""/>
    <m/>
    <d v="2026-04-04T12:05:59"/>
    <d v="2026-04-04T00:00:00"/>
    <x v="6"/>
    <x v="0"/>
    <n v="1"/>
    <n v="0"/>
    <x v="1422"/>
    <s v="Daniel Medina Ramos"/>
    <x v="0"/>
  </r>
  <r>
    <n v="1641"/>
    <n v="108"/>
    <n v="2"/>
    <n v="58.81"/>
    <n v="5.88"/>
    <n v="0"/>
    <n v="0.1"/>
    <s v="ACTIVE"/>
    <m/>
    <s v=""/>
    <m/>
    <d v="2026-04-04T12:35:00"/>
    <d v="2026-04-04T00:00:00"/>
    <x v="6"/>
    <x v="0"/>
    <n v="1"/>
    <n v="0"/>
    <x v="1423"/>
    <s v="Norma Cruz Villalobos"/>
    <x v="1"/>
  </r>
  <r>
    <n v="1642"/>
    <n v="117"/>
    <n v="3"/>
    <n v="95.48"/>
    <n v="9.5500000000000007"/>
    <n v="0"/>
    <n v="0.1"/>
    <s v="ACTIVE"/>
    <m/>
    <s v=""/>
    <m/>
    <d v="2026-04-04T16:28:19"/>
    <d v="2026-04-04T00:00:00"/>
    <x v="6"/>
    <x v="0"/>
    <n v="1"/>
    <n v="0"/>
    <x v="1424"/>
    <s v="Manuel Ortiz Ramírez"/>
    <x v="0"/>
  </r>
  <r>
    <n v="1643"/>
    <n v="156"/>
    <n v="3"/>
    <n v="25.81"/>
    <n v="2.58"/>
    <n v="0"/>
    <n v="0.1"/>
    <s v="ACTIVE"/>
    <m/>
    <s v=""/>
    <m/>
    <d v="2026-04-04T17:51:45"/>
    <d v="2026-04-04T00:00:00"/>
    <x v="6"/>
    <x v="0"/>
    <n v="1"/>
    <n v="0"/>
    <x v="1425"/>
    <s v="Óscar Moreno Chávez"/>
    <x v="0"/>
  </r>
  <r>
    <n v="1644"/>
    <n v="34"/>
    <n v="2"/>
    <n v="166.61"/>
    <n v="16.66"/>
    <n v="0"/>
    <n v="0.1"/>
    <s v="ACTIVE"/>
    <m/>
    <s v=""/>
    <m/>
    <d v="2026-04-04T18:42:45"/>
    <d v="2026-04-04T00:00:00"/>
    <x v="6"/>
    <x v="0"/>
    <n v="1"/>
    <n v="0"/>
    <x v="1426"/>
    <s v="Lucía Rodríguez Rodríguez"/>
    <x v="1"/>
  </r>
  <r>
    <n v="1645"/>
    <n v="215"/>
    <n v="2"/>
    <n v="44.85"/>
    <n v="4.49"/>
    <n v="0"/>
    <n v="0.1"/>
    <s v="ACTIVE"/>
    <m/>
    <s v=""/>
    <m/>
    <d v="2026-04-04T19:44:07"/>
    <d v="2026-04-04T00:00:00"/>
    <x v="6"/>
    <x v="0"/>
    <n v="1"/>
    <n v="0"/>
    <x v="1427"/>
    <s v="Verónica Medina Ortiz"/>
    <x v="1"/>
  </r>
  <r>
    <n v="1646"/>
    <n v="117"/>
    <n v="4"/>
    <n v="139.25"/>
    <n v="13.93"/>
    <n v="0"/>
    <n v="0.1"/>
    <s v="ACTIVE"/>
    <m/>
    <s v=""/>
    <m/>
    <d v="2026-04-05T12:47:52"/>
    <d v="2026-04-05T00:00:00"/>
    <x v="6"/>
    <x v="0"/>
    <n v="1"/>
    <n v="0"/>
    <x v="1428"/>
    <s v="Manuel Ortiz Ramírez"/>
    <x v="3"/>
  </r>
  <r>
    <n v="1647"/>
    <n v="227"/>
    <n v="2"/>
    <n v="19.510000000000002"/>
    <n v="0"/>
    <n v="1"/>
    <n v="0.1"/>
    <s v="ACTIVE"/>
    <m/>
    <s v=""/>
    <m/>
    <d v="2026-04-06T11:57:23"/>
    <d v="2026-04-06T00:00:00"/>
    <x v="6"/>
    <x v="1"/>
    <n v="1"/>
    <n v="0"/>
    <x v="1429"/>
    <s v="Alicia Mendoza Rangel"/>
    <x v="1"/>
  </r>
  <r>
    <n v="1648"/>
    <n v="250"/>
    <n v="5"/>
    <n v="61.73"/>
    <n v="6.17"/>
    <n v="0"/>
    <n v="0.1"/>
    <s v="ACTIVE"/>
    <m/>
    <s v=""/>
    <m/>
    <d v="2026-04-06T14:32:37"/>
    <d v="2026-04-06T00:00:00"/>
    <x v="6"/>
    <x v="0"/>
    <n v="1"/>
    <n v="0"/>
    <x v="1430"/>
    <s v="Verónica Romero Chávez"/>
    <x v="2"/>
  </r>
  <r>
    <n v="1649"/>
    <n v="213"/>
    <n v="2"/>
    <n v="80"/>
    <n v="8"/>
    <n v="0"/>
    <n v="0.1"/>
    <s v="ACTIVE"/>
    <m/>
    <s v=""/>
    <m/>
    <d v="2026-04-06T16:41:28"/>
    <d v="2026-04-06T00:00:00"/>
    <x v="6"/>
    <x v="0"/>
    <n v="1"/>
    <n v="0"/>
    <x v="78"/>
    <s v="Teresa Romero Flores"/>
    <x v="1"/>
  </r>
  <r>
    <n v="1650"/>
    <n v="137"/>
    <n v="4"/>
    <n v="27.85"/>
    <n v="2.79"/>
    <n v="0"/>
    <n v="0.1"/>
    <s v="ACTIVE"/>
    <m/>
    <s v=""/>
    <m/>
    <d v="2026-04-07T09:25:32"/>
    <d v="2026-04-07T00:00:00"/>
    <x v="6"/>
    <x v="0"/>
    <n v="1"/>
    <n v="0"/>
    <x v="1431"/>
    <s v="Francisco Reyes Ruiz"/>
    <x v="3"/>
  </r>
  <r>
    <n v="1651"/>
    <n v="300"/>
    <n v="2"/>
    <n v="58.99"/>
    <n v="5.9"/>
    <n v="0"/>
    <n v="0.1"/>
    <s v="ACTIVE"/>
    <m/>
    <s v=""/>
    <m/>
    <d v="2026-04-07T10:46:30"/>
    <d v="2026-04-07T00:00:00"/>
    <x v="6"/>
    <x v="0"/>
    <n v="1"/>
    <n v="0"/>
    <x v="373"/>
    <s v="Antonio Salazar Medina"/>
    <x v="1"/>
  </r>
  <r>
    <n v="1652"/>
    <n v="156"/>
    <n v="5"/>
    <n v="63.4"/>
    <n v="6.34"/>
    <n v="0"/>
    <n v="0.1"/>
    <s v="ACTIVE"/>
    <m/>
    <s v=""/>
    <m/>
    <d v="2026-04-07T10:47:59"/>
    <d v="2026-04-07T00:00:00"/>
    <x v="6"/>
    <x v="0"/>
    <n v="1"/>
    <n v="0"/>
    <x v="1432"/>
    <s v="Óscar Moreno Chávez"/>
    <x v="2"/>
  </r>
  <r>
    <n v="1653"/>
    <n v="137"/>
    <n v="4"/>
    <n v="32.61"/>
    <n v="3.26"/>
    <n v="0"/>
    <n v="0.1"/>
    <s v="ACTIVE"/>
    <m/>
    <s v=""/>
    <m/>
    <d v="2026-04-07T11:18:07"/>
    <d v="2026-04-07T00:00:00"/>
    <x v="6"/>
    <x v="0"/>
    <n v="1"/>
    <n v="0"/>
    <x v="1433"/>
    <s v="Francisco Reyes Ruiz"/>
    <x v="3"/>
  </r>
  <r>
    <n v="1654"/>
    <n v="70"/>
    <n v="2"/>
    <n v="271.17"/>
    <n v="27.12"/>
    <n v="0"/>
    <n v="0.1"/>
    <s v="ACTIVE"/>
    <m/>
    <s v=""/>
    <m/>
    <d v="2026-04-07T14:05:25"/>
    <d v="2026-04-07T00:00:00"/>
    <x v="6"/>
    <x v="0"/>
    <n v="1"/>
    <n v="0"/>
    <x v="1434"/>
    <s v="Manuel Ávila Martínez"/>
    <x v="1"/>
  </r>
  <r>
    <n v="1655"/>
    <n v="282"/>
    <n v="2"/>
    <n v="149.38"/>
    <n v="14.94"/>
    <n v="0"/>
    <n v="0.1"/>
    <s v="ACTIVE"/>
    <m/>
    <s v=""/>
    <m/>
    <d v="2026-04-07T14:49:46"/>
    <d v="2026-04-07T00:00:00"/>
    <x v="6"/>
    <x v="0"/>
    <n v="1"/>
    <n v="0"/>
    <x v="1435"/>
    <s v="Patricia García Vázquez"/>
    <x v="1"/>
  </r>
  <r>
    <n v="1656"/>
    <n v="149"/>
    <n v="5"/>
    <n v="19.21"/>
    <n v="1.92"/>
    <n v="0"/>
    <n v="0.1"/>
    <s v="ACTIVE"/>
    <m/>
    <s v=""/>
    <m/>
    <d v="2026-04-07T15:17:01"/>
    <d v="2026-04-07T00:00:00"/>
    <x v="6"/>
    <x v="0"/>
    <n v="1"/>
    <n v="0"/>
    <x v="1436"/>
    <s v="Pedro Morales Morales"/>
    <x v="2"/>
  </r>
  <r>
    <n v="1657"/>
    <n v="110"/>
    <n v="3"/>
    <n v="54"/>
    <n v="5.4"/>
    <n v="0"/>
    <n v="0.1"/>
    <s v="ACTIVE"/>
    <m/>
    <s v=""/>
    <m/>
    <d v="2026-04-07T19:24:04"/>
    <d v="2026-04-07T00:00:00"/>
    <x v="6"/>
    <x v="0"/>
    <n v="1"/>
    <n v="0"/>
    <x v="1437"/>
    <s v="Ricardo Rangel Ramírez"/>
    <x v="0"/>
  </r>
  <r>
    <n v="1658"/>
    <n v="32"/>
    <n v="3"/>
    <n v="15.54"/>
    <n v="1.55"/>
    <n v="0"/>
    <n v="0.1"/>
    <s v="ACTIVE"/>
    <m/>
    <s v=""/>
    <m/>
    <d v="2026-04-07T19:50:57"/>
    <d v="2026-04-07T00:00:00"/>
    <x v="6"/>
    <x v="0"/>
    <n v="1"/>
    <n v="0"/>
    <x v="1438"/>
    <s v="Teresa Delgado Hernández"/>
    <x v="0"/>
  </r>
  <r>
    <n v="1659"/>
    <n v="250"/>
    <n v="2"/>
    <n v="197.53"/>
    <n v="19.75"/>
    <n v="0"/>
    <n v="0.1"/>
    <s v="ACTIVE"/>
    <m/>
    <s v=""/>
    <m/>
    <d v="2026-04-08T09:56:48"/>
    <d v="2026-04-08T00:00:00"/>
    <x v="6"/>
    <x v="0"/>
    <n v="1"/>
    <n v="0"/>
    <x v="1439"/>
    <s v="Verónica Romero Chávez"/>
    <x v="1"/>
  </r>
  <r>
    <n v="1660"/>
    <n v="132"/>
    <n v="4"/>
    <n v="228.51"/>
    <n v="22.85"/>
    <n v="0"/>
    <n v="0.1"/>
    <s v="ACTIVE"/>
    <m/>
    <s v=""/>
    <m/>
    <d v="2026-04-08T10:13:09"/>
    <d v="2026-04-08T00:00:00"/>
    <x v="6"/>
    <x v="0"/>
    <n v="1"/>
    <n v="0"/>
    <x v="1440"/>
    <s v="Daniel Romero Villalobos"/>
    <x v="3"/>
  </r>
  <r>
    <n v="1661"/>
    <n v="156"/>
    <n v="4"/>
    <n v="38.57"/>
    <n v="3.86"/>
    <n v="0"/>
    <n v="0.1"/>
    <s v="ACTIVE"/>
    <m/>
    <s v=""/>
    <m/>
    <d v="2026-04-08T13:31:34"/>
    <d v="2026-04-08T00:00:00"/>
    <x v="6"/>
    <x v="0"/>
    <n v="1"/>
    <n v="0"/>
    <x v="1441"/>
    <s v="Óscar Moreno Chávez"/>
    <x v="3"/>
  </r>
  <r>
    <n v="1662"/>
    <n v="250"/>
    <n v="2"/>
    <n v="100.07"/>
    <n v="10.01"/>
    <n v="0"/>
    <n v="0.1"/>
    <s v="ACTIVE"/>
    <m/>
    <s v=""/>
    <m/>
    <d v="2026-04-08T14:26:11"/>
    <d v="2026-04-08T00:00:00"/>
    <x v="6"/>
    <x v="0"/>
    <n v="1"/>
    <n v="0"/>
    <x v="1442"/>
    <s v="Verónica Romero Chávez"/>
    <x v="1"/>
  </r>
  <r>
    <n v="1663"/>
    <n v="137"/>
    <n v="4"/>
    <n v="15.72"/>
    <n v="1.57"/>
    <n v="0"/>
    <n v="0.1"/>
    <s v="ACTIVE"/>
    <m/>
    <s v=""/>
    <m/>
    <d v="2026-04-08T16:07:26"/>
    <d v="2026-04-08T00:00:00"/>
    <x v="6"/>
    <x v="0"/>
    <n v="1"/>
    <n v="0"/>
    <x v="1443"/>
    <s v="Francisco Reyes Ruiz"/>
    <x v="3"/>
  </r>
  <r>
    <n v="1664"/>
    <n v="58"/>
    <n v="2"/>
    <n v="158.43"/>
    <n v="15.84"/>
    <n v="0"/>
    <n v="0.1"/>
    <s v="ACTIVE"/>
    <m/>
    <s v=""/>
    <m/>
    <d v="2026-04-08T18:29:45"/>
    <d v="2026-04-08T00:00:00"/>
    <x v="6"/>
    <x v="0"/>
    <n v="1"/>
    <n v="0"/>
    <x v="1444"/>
    <s v="Alicia Ruiz Gutiérrez"/>
    <x v="1"/>
  </r>
  <r>
    <n v="1665"/>
    <n v="245"/>
    <n v="5"/>
    <n v="34.83"/>
    <n v="3.48"/>
    <n v="0"/>
    <n v="0.1"/>
    <s v="ACTIVE"/>
    <m/>
    <s v=""/>
    <m/>
    <d v="2026-04-09T08:46:52"/>
    <d v="2026-04-09T00:00:00"/>
    <x v="6"/>
    <x v="0"/>
    <n v="1"/>
    <n v="0"/>
    <x v="1265"/>
    <s v="Ana González Flores"/>
    <x v="2"/>
  </r>
  <r>
    <n v="1666"/>
    <n v="279"/>
    <n v="2"/>
    <n v="218.71"/>
    <n v="21.87"/>
    <n v="0"/>
    <n v="0.1"/>
    <s v="ACTIVE"/>
    <m/>
    <s v=""/>
    <m/>
    <d v="2026-04-09T08:54:30"/>
    <d v="2026-04-09T00:00:00"/>
    <x v="6"/>
    <x v="0"/>
    <n v="1"/>
    <n v="0"/>
    <x v="1445"/>
    <s v="Rosa Mendoza Moreno"/>
    <x v="1"/>
  </r>
  <r>
    <n v="1667"/>
    <n v="154"/>
    <n v="4"/>
    <n v="22.11"/>
    <n v="2.21"/>
    <n v="0"/>
    <n v="0.1"/>
    <s v="ACTIVE"/>
    <m/>
    <s v=""/>
    <m/>
    <d v="2026-04-09T09:26:54"/>
    <d v="2026-04-09T00:00:00"/>
    <x v="6"/>
    <x v="0"/>
    <n v="1"/>
    <n v="0"/>
    <x v="1446"/>
    <s v="Manuel Chávez Flores"/>
    <x v="3"/>
  </r>
  <r>
    <n v="1668"/>
    <n v="70"/>
    <n v="3"/>
    <n v="120.71"/>
    <n v="12.07"/>
    <n v="0"/>
    <n v="0.1"/>
    <s v="ACTIVE"/>
    <m/>
    <s v=""/>
    <m/>
    <d v="2026-04-09T09:33:59"/>
    <d v="2026-04-09T00:00:00"/>
    <x v="6"/>
    <x v="0"/>
    <n v="1"/>
    <n v="0"/>
    <x v="1447"/>
    <s v="Manuel Ávila Martínez"/>
    <x v="0"/>
  </r>
  <r>
    <n v="1669"/>
    <n v="156"/>
    <n v="2"/>
    <n v="33.92"/>
    <n v="3.39"/>
    <n v="0"/>
    <n v="0.1"/>
    <s v="ACTIVE"/>
    <m/>
    <s v=""/>
    <m/>
    <d v="2026-04-09T11:11:09"/>
    <d v="2026-04-09T00:00:00"/>
    <x v="6"/>
    <x v="0"/>
    <n v="1"/>
    <n v="0"/>
    <x v="1448"/>
    <s v="Óscar Moreno Chávez"/>
    <x v="1"/>
  </r>
  <r>
    <n v="1670"/>
    <n v="250"/>
    <n v="2"/>
    <n v="107.85"/>
    <n v="10.79"/>
    <n v="0"/>
    <n v="0.1"/>
    <s v="ACTIVE"/>
    <m/>
    <s v=""/>
    <m/>
    <d v="2026-04-09T13:47:34"/>
    <d v="2026-04-09T00:00:00"/>
    <x v="6"/>
    <x v="0"/>
    <n v="1"/>
    <n v="0"/>
    <x v="1449"/>
    <s v="Verónica Romero Chávez"/>
    <x v="1"/>
  </r>
  <r>
    <n v="1671"/>
    <n v="47"/>
    <n v="5"/>
    <n v="22.16"/>
    <n v="2.2200000000000002"/>
    <n v="0"/>
    <n v="0.1"/>
    <s v="ACTIVE"/>
    <m/>
    <s v=""/>
    <m/>
    <d v="2026-04-09T14:57:03"/>
    <d v="2026-04-09T00:00:00"/>
    <x v="6"/>
    <x v="0"/>
    <n v="1"/>
    <n v="0"/>
    <x v="1450"/>
    <s v="Carmen Díaz Chávez"/>
    <x v="2"/>
  </r>
  <r>
    <n v="1672"/>
    <n v="265"/>
    <n v="3"/>
    <n v="116.48"/>
    <n v="11.65"/>
    <n v="0"/>
    <n v="0.1"/>
    <s v="ACTIVE"/>
    <m/>
    <s v=""/>
    <m/>
    <d v="2026-04-09T16:54:15"/>
    <d v="2026-04-09T00:00:00"/>
    <x v="6"/>
    <x v="0"/>
    <n v="1"/>
    <n v="0"/>
    <x v="1451"/>
    <s v="Alejandro Flores González"/>
    <x v="0"/>
  </r>
  <r>
    <n v="1673"/>
    <n v="262"/>
    <n v="4"/>
    <n v="138.63999999999999"/>
    <n v="0"/>
    <n v="1"/>
    <n v="0.1"/>
    <s v="ACTIVE"/>
    <m/>
    <s v=""/>
    <m/>
    <d v="2026-04-09T17:33:29"/>
    <d v="2026-04-09T00:00:00"/>
    <x v="6"/>
    <x v="1"/>
    <n v="1"/>
    <n v="0"/>
    <x v="1452"/>
    <s v="Guadalupe Cruz Aguilar"/>
    <x v="3"/>
  </r>
  <r>
    <n v="1674"/>
    <n v="250"/>
    <n v="2"/>
    <n v="61.87"/>
    <n v="6.19"/>
    <n v="0"/>
    <n v="0.1"/>
    <s v="ACTIVE"/>
    <m/>
    <s v=""/>
    <m/>
    <d v="2026-04-10T07:52:19"/>
    <d v="2026-04-10T00:00:00"/>
    <x v="6"/>
    <x v="0"/>
    <n v="1"/>
    <n v="0"/>
    <x v="1453"/>
    <s v="Verónica Romero Chávez"/>
    <x v="1"/>
  </r>
  <r>
    <n v="1675"/>
    <n v="176"/>
    <n v="5"/>
    <n v="170.49"/>
    <n v="17.05"/>
    <n v="0"/>
    <n v="0.1"/>
    <s v="ACTIVE"/>
    <m/>
    <s v=""/>
    <m/>
    <d v="2026-04-10T08:00:36"/>
    <d v="2026-04-10T00:00:00"/>
    <x v="6"/>
    <x v="0"/>
    <n v="1"/>
    <n v="0"/>
    <x v="1454"/>
    <s v="Guadalupe Quiñones Ávila"/>
    <x v="2"/>
  </r>
  <r>
    <n v="1676"/>
    <n v="250"/>
    <n v="3"/>
    <n v="106.97"/>
    <n v="10.7"/>
    <n v="0"/>
    <n v="0.1"/>
    <s v="ACTIVE"/>
    <m/>
    <s v=""/>
    <m/>
    <d v="2026-04-10T14:50:20"/>
    <d v="2026-04-10T00:00:00"/>
    <x v="6"/>
    <x v="0"/>
    <n v="1"/>
    <n v="0"/>
    <x v="323"/>
    <s v="Verónica Romero Chávez"/>
    <x v="0"/>
  </r>
  <r>
    <n v="1677"/>
    <n v="178"/>
    <n v="3"/>
    <n v="95.3"/>
    <n v="9.5299999999999994"/>
    <n v="0"/>
    <n v="0.1"/>
    <s v="ACTIVE"/>
    <m/>
    <s v=""/>
    <m/>
    <d v="2026-04-11T07:05:50"/>
    <d v="2026-04-11T00:00:00"/>
    <x v="6"/>
    <x v="0"/>
    <n v="1"/>
    <n v="0"/>
    <x v="1455"/>
    <s v="Miguel Ruiz Salazar"/>
    <x v="0"/>
  </r>
  <r>
    <n v="1678"/>
    <n v="39"/>
    <n v="3"/>
    <n v="206.69"/>
    <n v="20.67"/>
    <n v="0"/>
    <n v="0.1"/>
    <s v="ACTIVE"/>
    <m/>
    <s v=""/>
    <m/>
    <d v="2026-04-11T07:20:31"/>
    <d v="2026-04-11T00:00:00"/>
    <x v="6"/>
    <x v="0"/>
    <n v="1"/>
    <n v="0"/>
    <x v="1456"/>
    <s v="Guadalupe García Quiñones"/>
    <x v="0"/>
  </r>
  <r>
    <n v="1679"/>
    <n v="250"/>
    <n v="4"/>
    <n v="98.13"/>
    <n v="9.81"/>
    <n v="0"/>
    <n v="0.1"/>
    <s v="ACTIVE"/>
    <m/>
    <s v=""/>
    <m/>
    <d v="2026-04-11T07:22:30"/>
    <d v="2026-04-11T00:00:00"/>
    <x v="6"/>
    <x v="0"/>
    <n v="1"/>
    <n v="0"/>
    <x v="1276"/>
    <s v="Verónica Romero Chávez"/>
    <x v="3"/>
  </r>
  <r>
    <n v="1680"/>
    <n v="39"/>
    <n v="4"/>
    <n v="255.46"/>
    <n v="25.55"/>
    <n v="0"/>
    <n v="0.1"/>
    <s v="ACTIVE"/>
    <m/>
    <s v=""/>
    <m/>
    <d v="2026-04-11T08:20:03"/>
    <d v="2026-04-11T00:00:00"/>
    <x v="6"/>
    <x v="0"/>
    <n v="1"/>
    <n v="0"/>
    <x v="1457"/>
    <s v="Guadalupe García Quiñones"/>
    <x v="3"/>
  </r>
  <r>
    <n v="1681"/>
    <n v="70"/>
    <n v="2"/>
    <n v="135.29"/>
    <n v="13.53"/>
    <n v="0"/>
    <n v="0.1"/>
    <s v="ACTIVE"/>
    <m/>
    <s v=""/>
    <m/>
    <d v="2026-04-11T08:37:54"/>
    <d v="2026-04-11T00:00:00"/>
    <x v="6"/>
    <x v="0"/>
    <n v="1"/>
    <n v="0"/>
    <x v="1458"/>
    <s v="Manuel Ávila Martínez"/>
    <x v="1"/>
  </r>
  <r>
    <n v="1682"/>
    <n v="262"/>
    <n v="2"/>
    <n v="109.48"/>
    <n v="10.95"/>
    <n v="0"/>
    <n v="0.1"/>
    <s v="ACTIVE"/>
    <m/>
    <s v=""/>
    <m/>
    <d v="2026-04-11T12:15:24"/>
    <d v="2026-04-11T00:00:00"/>
    <x v="6"/>
    <x v="0"/>
    <n v="1"/>
    <n v="0"/>
    <x v="1459"/>
    <s v="Guadalupe Cruz Aguilar"/>
    <x v="1"/>
  </r>
  <r>
    <n v="1683"/>
    <n v="87"/>
    <n v="2"/>
    <n v="85.23"/>
    <n v="8.52"/>
    <n v="0"/>
    <n v="0.1"/>
    <s v="ACTIVE"/>
    <m/>
    <s v=""/>
    <m/>
    <d v="2026-04-11T14:22:52"/>
    <d v="2026-04-11T00:00:00"/>
    <x v="6"/>
    <x v="0"/>
    <n v="1"/>
    <n v="0"/>
    <x v="577"/>
    <s v="Antonio Reyes Romero"/>
    <x v="1"/>
  </r>
  <r>
    <n v="1684"/>
    <n v="149"/>
    <n v="2"/>
    <n v="35.19"/>
    <n v="0"/>
    <n v="1"/>
    <n v="0.1"/>
    <s v="ACTIVE"/>
    <m/>
    <s v=""/>
    <m/>
    <d v="2026-04-11T17:52:44"/>
    <d v="2026-04-11T00:00:00"/>
    <x v="6"/>
    <x v="1"/>
    <n v="1"/>
    <n v="0"/>
    <x v="1460"/>
    <s v="Pedro Morales Morales"/>
    <x v="1"/>
  </r>
  <r>
    <n v="1685"/>
    <n v="250"/>
    <n v="3"/>
    <n v="111.98"/>
    <n v="11.2"/>
    <n v="0"/>
    <n v="0.1"/>
    <s v="ACTIVE"/>
    <m/>
    <s v=""/>
    <m/>
    <d v="2026-04-11T18:07:38"/>
    <d v="2026-04-11T00:00:00"/>
    <x v="6"/>
    <x v="0"/>
    <n v="1"/>
    <n v="0"/>
    <x v="1461"/>
    <s v="Verónica Romero Chávez"/>
    <x v="0"/>
  </r>
  <r>
    <n v="1686"/>
    <n v="16"/>
    <n v="2"/>
    <n v="95"/>
    <n v="0"/>
    <n v="1"/>
    <n v="0.1"/>
    <s v="ACTIVE"/>
    <m/>
    <s v=""/>
    <m/>
    <d v="2026-04-12T11:41:57"/>
    <d v="2026-04-12T00:00:00"/>
    <x v="6"/>
    <x v="1"/>
    <n v="1"/>
    <n v="0"/>
    <x v="1462"/>
    <s v="Laura Chávez Rangel"/>
    <x v="1"/>
  </r>
  <r>
    <n v="1687"/>
    <n v="154"/>
    <n v="2"/>
    <n v="40.26"/>
    <n v="4.03"/>
    <n v="0"/>
    <n v="0.1"/>
    <s v="ACTIVE"/>
    <m/>
    <s v=""/>
    <m/>
    <d v="2026-04-12T14:16:10"/>
    <d v="2026-04-12T00:00:00"/>
    <x v="6"/>
    <x v="0"/>
    <n v="1"/>
    <n v="0"/>
    <x v="1463"/>
    <s v="Manuel Chávez Flores"/>
    <x v="1"/>
  </r>
  <r>
    <n v="1688"/>
    <n v="156"/>
    <n v="5"/>
    <n v="57.47"/>
    <n v="5.75"/>
    <n v="0"/>
    <n v="0.1"/>
    <s v="ACTIVE"/>
    <m/>
    <s v=""/>
    <m/>
    <d v="2026-04-12T19:15:36"/>
    <d v="2026-04-12T00:00:00"/>
    <x v="6"/>
    <x v="0"/>
    <n v="1"/>
    <n v="0"/>
    <x v="1464"/>
    <s v="Óscar Moreno Chávez"/>
    <x v="2"/>
  </r>
  <r>
    <n v="1689"/>
    <n v="150"/>
    <n v="3"/>
    <n v="74.930000000000007"/>
    <n v="7.49"/>
    <n v="0"/>
    <n v="0.1"/>
    <s v="ACTIVE"/>
    <m/>
    <s v=""/>
    <m/>
    <d v="2026-04-13T08:08:30"/>
    <d v="2026-04-13T00:00:00"/>
    <x v="6"/>
    <x v="0"/>
    <n v="1"/>
    <n v="0"/>
    <x v="1465"/>
    <s v="Daniel Díaz Quiñones"/>
    <x v="0"/>
  </r>
  <r>
    <n v="1690"/>
    <n v="196"/>
    <n v="3"/>
    <n v="23.34"/>
    <n v="2.33"/>
    <n v="0"/>
    <n v="0.1"/>
    <s v="ACTIVE"/>
    <m/>
    <s v=""/>
    <m/>
    <d v="2026-04-13T08:32:13"/>
    <d v="2026-04-13T00:00:00"/>
    <x v="6"/>
    <x v="0"/>
    <n v="1"/>
    <n v="0"/>
    <x v="1466"/>
    <s v="Lucía Ramos Ramos"/>
    <x v="0"/>
  </r>
  <r>
    <n v="1691"/>
    <n v="160"/>
    <n v="5"/>
    <n v="39.19"/>
    <n v="3.92"/>
    <n v="0"/>
    <n v="0.1"/>
    <s v="ACTIVE"/>
    <m/>
    <s v=""/>
    <m/>
    <d v="2026-04-13T09:13:59"/>
    <d v="2026-04-13T00:00:00"/>
    <x v="6"/>
    <x v="0"/>
    <n v="1"/>
    <n v="0"/>
    <x v="1467"/>
    <s v="Silvia Delgado Medina"/>
    <x v="2"/>
  </r>
  <r>
    <n v="1692"/>
    <n v="136"/>
    <n v="5"/>
    <n v="62.03"/>
    <n v="6.2"/>
    <n v="0"/>
    <n v="0.1"/>
    <s v="ACTIVE"/>
    <m/>
    <s v=""/>
    <m/>
    <d v="2026-04-13T09:41:35"/>
    <d v="2026-04-13T00:00:00"/>
    <x v="6"/>
    <x v="0"/>
    <n v="1"/>
    <n v="0"/>
    <x v="1468"/>
    <s v="Guadalupe Castillo Rangel"/>
    <x v="2"/>
  </r>
  <r>
    <n v="1693"/>
    <n v="297"/>
    <n v="3"/>
    <n v="97.1"/>
    <n v="9.7100000000000009"/>
    <n v="0"/>
    <n v="0.1"/>
    <s v="ACTIVE"/>
    <m/>
    <s v=""/>
    <m/>
    <d v="2026-04-13T10:13:47"/>
    <d v="2026-04-13T00:00:00"/>
    <x v="6"/>
    <x v="0"/>
    <n v="1"/>
    <n v="0"/>
    <x v="1469"/>
    <s v="Patricia Ortiz Jiménez"/>
    <x v="0"/>
  </r>
  <r>
    <n v="1694"/>
    <n v="163"/>
    <n v="4"/>
    <n v="15.71"/>
    <n v="1.57"/>
    <n v="0"/>
    <n v="0.1"/>
    <s v="ACTIVE"/>
    <m/>
    <s v=""/>
    <m/>
    <d v="2026-04-13T11:20:36"/>
    <d v="2026-04-13T00:00:00"/>
    <x v="6"/>
    <x v="0"/>
    <n v="1"/>
    <n v="0"/>
    <x v="1470"/>
    <s v="Héctor Moreno Quiñones"/>
    <x v="3"/>
  </r>
  <r>
    <n v="1695"/>
    <n v="43"/>
    <n v="5"/>
    <n v="84.51"/>
    <n v="8.4499999999999993"/>
    <n v="0"/>
    <n v="0.1"/>
    <s v="ACTIVE"/>
    <m/>
    <s v=""/>
    <m/>
    <d v="2026-04-13T12:54:50"/>
    <d v="2026-04-13T00:00:00"/>
    <x v="6"/>
    <x v="0"/>
    <n v="1"/>
    <n v="0"/>
    <x v="1471"/>
    <s v="Silvia Ortiz Salazar"/>
    <x v="2"/>
  </r>
  <r>
    <n v="1696"/>
    <n v="221"/>
    <n v="3"/>
    <n v="139.35"/>
    <n v="13.94"/>
    <n v="0"/>
    <n v="0.1"/>
    <s v="ACTIVE"/>
    <m/>
    <s v=""/>
    <m/>
    <d v="2026-04-13T14:44:17"/>
    <d v="2026-04-13T00:00:00"/>
    <x v="6"/>
    <x v="0"/>
    <n v="1"/>
    <n v="0"/>
    <x v="1472"/>
    <s v="Norma Hernández Chávez"/>
    <x v="0"/>
  </r>
  <r>
    <n v="1697"/>
    <n v="235"/>
    <n v="3"/>
    <n v="22.76"/>
    <n v="0"/>
    <n v="1"/>
    <n v="0.1"/>
    <s v="ACTIVE"/>
    <m/>
    <s v=""/>
    <m/>
    <d v="2026-04-13T15:33:25"/>
    <d v="2026-04-13T00:00:00"/>
    <x v="6"/>
    <x v="1"/>
    <n v="1"/>
    <n v="0"/>
    <x v="1473"/>
    <s v="Silvia González Rodríguez"/>
    <x v="0"/>
  </r>
  <r>
    <n v="1698"/>
    <n v="39"/>
    <n v="5"/>
    <n v="163.06"/>
    <n v="16.309999999999999"/>
    <n v="0"/>
    <n v="0.1"/>
    <s v="ACTIVE"/>
    <m/>
    <s v=""/>
    <m/>
    <d v="2026-04-13T16:41:00"/>
    <d v="2026-04-13T00:00:00"/>
    <x v="6"/>
    <x v="0"/>
    <n v="1"/>
    <n v="0"/>
    <x v="1474"/>
    <s v="Guadalupe García Quiñones"/>
    <x v="2"/>
  </r>
  <r>
    <n v="1699"/>
    <n v="229"/>
    <n v="4"/>
    <n v="116.69"/>
    <n v="11.67"/>
    <n v="0"/>
    <n v="0.1"/>
    <s v="ACTIVE"/>
    <m/>
    <s v=""/>
    <m/>
    <d v="2026-04-13T17:12:04"/>
    <d v="2026-04-13T00:00:00"/>
    <x v="6"/>
    <x v="0"/>
    <n v="1"/>
    <n v="0"/>
    <x v="1475"/>
    <s v="Verónica González Rodríguez"/>
    <x v="3"/>
  </r>
  <r>
    <n v="1700"/>
    <n v="210"/>
    <n v="5"/>
    <n v="31.53"/>
    <n v="3.15"/>
    <n v="0"/>
    <n v="0.1"/>
    <s v="ACTIVE"/>
    <m/>
    <s v=""/>
    <m/>
    <d v="2026-04-14T07:46:46"/>
    <d v="2026-04-14T00:00:00"/>
    <x v="6"/>
    <x v="0"/>
    <n v="1"/>
    <n v="0"/>
    <x v="1476"/>
    <s v="Óscar Romero Sánchez"/>
    <x v="2"/>
  </r>
  <r>
    <n v="1701"/>
    <n v="48"/>
    <n v="2"/>
    <n v="97.65"/>
    <n v="9.77"/>
    <n v="0"/>
    <n v="0.1"/>
    <s v="ACTIVE"/>
    <m/>
    <s v=""/>
    <m/>
    <d v="2026-04-14T08:30:37"/>
    <d v="2026-04-14T00:00:00"/>
    <x v="6"/>
    <x v="0"/>
    <n v="1"/>
    <n v="0"/>
    <x v="1477"/>
    <s v="Carlos Medina Quiñones"/>
    <x v="1"/>
  </r>
  <r>
    <n v="1702"/>
    <n v="156"/>
    <n v="4"/>
    <n v="51.5"/>
    <n v="5.15"/>
    <n v="0"/>
    <n v="0.1"/>
    <s v="ACTIVE"/>
    <m/>
    <s v=""/>
    <m/>
    <d v="2026-04-14T09:04:35"/>
    <d v="2026-04-14T00:00:00"/>
    <x v="6"/>
    <x v="0"/>
    <n v="1"/>
    <n v="0"/>
    <x v="1478"/>
    <s v="Óscar Moreno Chávez"/>
    <x v="3"/>
  </r>
  <r>
    <n v="1703"/>
    <n v="149"/>
    <n v="2"/>
    <n v="23.06"/>
    <n v="2.31"/>
    <n v="0"/>
    <n v="0.1"/>
    <s v="ACTIVE"/>
    <m/>
    <s v=""/>
    <m/>
    <d v="2026-04-14T10:39:15"/>
    <d v="2026-04-14T00:00:00"/>
    <x v="6"/>
    <x v="0"/>
    <n v="1"/>
    <n v="0"/>
    <x v="1479"/>
    <s v="Pedro Morales Morales"/>
    <x v="1"/>
  </r>
  <r>
    <n v="1704"/>
    <n v="118"/>
    <n v="5"/>
    <n v="25.45"/>
    <n v="2.5499999999999998"/>
    <n v="0"/>
    <n v="0.1"/>
    <s v="ACTIVE"/>
    <m/>
    <s v=""/>
    <m/>
    <d v="2026-04-14T14:10:28"/>
    <d v="2026-04-14T00:00:00"/>
    <x v="6"/>
    <x v="0"/>
    <n v="1"/>
    <n v="0"/>
    <x v="1480"/>
    <s v="Roberto Rangel Gutiérrez"/>
    <x v="2"/>
  </r>
  <r>
    <n v="1705"/>
    <n v="218"/>
    <n v="5"/>
    <n v="28.26"/>
    <n v="2.83"/>
    <n v="0"/>
    <n v="0.1"/>
    <s v="ACTIVE"/>
    <m/>
    <s v=""/>
    <m/>
    <d v="2026-04-14T14:34:11"/>
    <d v="2026-04-14T00:00:00"/>
    <x v="6"/>
    <x v="0"/>
    <n v="1"/>
    <n v="0"/>
    <x v="1481"/>
    <s v="Norma García López"/>
    <x v="2"/>
  </r>
  <r>
    <n v="1706"/>
    <n v="212"/>
    <n v="3"/>
    <n v="122.72"/>
    <n v="12.27"/>
    <n v="0"/>
    <n v="0.1"/>
    <s v="ACTIVE"/>
    <m/>
    <s v=""/>
    <m/>
    <d v="2026-04-14T14:55:59"/>
    <d v="2026-04-14T00:00:00"/>
    <x v="6"/>
    <x v="0"/>
    <n v="1"/>
    <n v="0"/>
    <x v="113"/>
    <s v="Laura Rangel Vázquez"/>
    <x v="0"/>
  </r>
  <r>
    <n v="1707"/>
    <n v="229"/>
    <n v="5"/>
    <n v="68.55"/>
    <n v="6.86"/>
    <n v="0"/>
    <n v="0.1"/>
    <s v="ACTIVE"/>
    <m/>
    <s v=""/>
    <m/>
    <d v="2026-04-14T15:04:28"/>
    <d v="2026-04-14T00:00:00"/>
    <x v="6"/>
    <x v="0"/>
    <n v="1"/>
    <n v="0"/>
    <x v="1482"/>
    <s v="Verónica González Rodríguez"/>
    <x v="2"/>
  </r>
  <r>
    <n v="1708"/>
    <n v="47"/>
    <n v="5"/>
    <n v="36.909999999999997"/>
    <n v="3.69"/>
    <n v="0"/>
    <n v="0.1"/>
    <s v="ACTIVE"/>
    <m/>
    <s v=""/>
    <m/>
    <d v="2026-04-14T15:19:45"/>
    <d v="2026-04-14T00:00:00"/>
    <x v="6"/>
    <x v="0"/>
    <n v="1"/>
    <n v="0"/>
    <x v="1483"/>
    <s v="Carmen Díaz Chávez"/>
    <x v="2"/>
  </r>
  <r>
    <n v="1709"/>
    <n v="272"/>
    <n v="4"/>
    <n v="172.31"/>
    <n v="17.23"/>
    <n v="0"/>
    <n v="0.1"/>
    <s v="ACTIVE"/>
    <m/>
    <s v=""/>
    <m/>
    <d v="2026-04-14T16:00:48"/>
    <d v="2026-04-14T00:00:00"/>
    <x v="6"/>
    <x v="0"/>
    <n v="1"/>
    <n v="0"/>
    <x v="1484"/>
    <s v="Fernando Ruiz Salazar"/>
    <x v="3"/>
  </r>
  <r>
    <n v="1710"/>
    <n v="221"/>
    <n v="2"/>
    <n v="172.55"/>
    <n v="17.260000000000002"/>
    <n v="0"/>
    <n v="0.1"/>
    <s v="ACTIVE"/>
    <m/>
    <s v=""/>
    <m/>
    <d v="2026-04-14T18:28:21"/>
    <d v="2026-04-14T00:00:00"/>
    <x v="6"/>
    <x v="0"/>
    <n v="1"/>
    <n v="0"/>
    <x v="808"/>
    <s v="Norma Hernández Chávez"/>
    <x v="1"/>
  </r>
  <r>
    <n v="1711"/>
    <n v="156"/>
    <n v="2"/>
    <n v="20.94"/>
    <n v="2.09"/>
    <n v="0"/>
    <n v="0.1"/>
    <s v="ACTIVE"/>
    <m/>
    <s v=""/>
    <m/>
    <d v="2026-04-14T19:49:07"/>
    <d v="2026-04-14T00:00:00"/>
    <x v="6"/>
    <x v="0"/>
    <n v="1"/>
    <n v="0"/>
    <x v="1485"/>
    <s v="Óscar Moreno Chávez"/>
    <x v="1"/>
  </r>
  <r>
    <n v="1712"/>
    <n v="293"/>
    <n v="5"/>
    <n v="20.260000000000002"/>
    <n v="2.0299999999999998"/>
    <n v="0"/>
    <n v="0.1"/>
    <s v="ACTIVE"/>
    <m/>
    <s v=""/>
    <m/>
    <d v="2026-04-15T07:08:09"/>
    <d v="2026-04-15T00:00:00"/>
    <x v="6"/>
    <x v="0"/>
    <n v="1"/>
    <n v="0"/>
    <x v="1486"/>
    <s v="Patricia Quiñones Pérez"/>
    <x v="2"/>
  </r>
  <r>
    <n v="1713"/>
    <n v="112"/>
    <n v="4"/>
    <n v="31.6"/>
    <n v="3.16"/>
    <n v="0"/>
    <n v="0.1"/>
    <s v="ACTIVE"/>
    <m/>
    <s v=""/>
    <m/>
    <d v="2026-04-15T10:19:26"/>
    <d v="2026-04-15T00:00:00"/>
    <x v="6"/>
    <x v="0"/>
    <n v="1"/>
    <n v="0"/>
    <x v="661"/>
    <s v="Leticia Díaz López"/>
    <x v="3"/>
  </r>
  <r>
    <n v="1714"/>
    <n v="23"/>
    <n v="5"/>
    <n v="178.69"/>
    <n v="17.87"/>
    <n v="0"/>
    <n v="0.1"/>
    <s v="ACTIVE"/>
    <m/>
    <s v=""/>
    <m/>
    <d v="2026-04-15T11:44:10"/>
    <d v="2026-04-15T00:00:00"/>
    <x v="6"/>
    <x v="0"/>
    <n v="1"/>
    <n v="0"/>
    <x v="1487"/>
    <s v="Gabriela Ávila Gutiérrez"/>
    <x v="2"/>
  </r>
  <r>
    <n v="1715"/>
    <n v="117"/>
    <n v="3"/>
    <n v="46.35"/>
    <n v="4.6399999999999997"/>
    <n v="0"/>
    <n v="0.1"/>
    <s v="ACTIVE"/>
    <m/>
    <s v=""/>
    <m/>
    <d v="2026-04-15T13:27:13"/>
    <d v="2026-04-15T00:00:00"/>
    <x v="6"/>
    <x v="0"/>
    <n v="1"/>
    <n v="0"/>
    <x v="1488"/>
    <s v="Manuel Ortiz Ramírez"/>
    <x v="0"/>
  </r>
  <r>
    <n v="1716"/>
    <n v="124"/>
    <n v="5"/>
    <n v="32.090000000000003"/>
    <n v="3.21"/>
    <n v="0"/>
    <n v="0.1"/>
    <s v="ACTIVE"/>
    <m/>
    <s v=""/>
    <m/>
    <d v="2026-04-15T14:33:12"/>
    <d v="2026-04-15T00:00:00"/>
    <x v="6"/>
    <x v="0"/>
    <n v="1"/>
    <n v="0"/>
    <x v="163"/>
    <s v="Elena Villalobos Pérez"/>
    <x v="2"/>
  </r>
  <r>
    <n v="1717"/>
    <n v="229"/>
    <n v="4"/>
    <n v="142.24"/>
    <n v="14.22"/>
    <n v="0"/>
    <n v="0.1"/>
    <s v="ACTIVE"/>
    <m/>
    <s v=""/>
    <m/>
    <d v="2026-04-15T17:09:47"/>
    <d v="2026-04-15T00:00:00"/>
    <x v="6"/>
    <x v="0"/>
    <n v="1"/>
    <n v="0"/>
    <x v="1489"/>
    <s v="Verónica González Rodríguez"/>
    <x v="3"/>
  </r>
  <r>
    <n v="1718"/>
    <n v="185"/>
    <n v="3"/>
    <n v="88.62"/>
    <n v="8.86"/>
    <n v="0"/>
    <n v="0.1"/>
    <s v="ACTIVE"/>
    <m/>
    <s v=""/>
    <m/>
    <d v="2026-04-16T11:24:23"/>
    <d v="2026-04-16T00:00:00"/>
    <x v="6"/>
    <x v="0"/>
    <n v="1"/>
    <n v="0"/>
    <x v="1490"/>
    <s v="Teresa Martínez González"/>
    <x v="0"/>
  </r>
  <r>
    <n v="1719"/>
    <n v="17"/>
    <n v="4"/>
    <n v="82.67"/>
    <n v="8.27"/>
    <n v="0"/>
    <n v="0.1"/>
    <s v="ACTIVE"/>
    <m/>
    <s v=""/>
    <m/>
    <d v="2026-04-16T12:29:36"/>
    <d v="2026-04-16T00:00:00"/>
    <x v="6"/>
    <x v="0"/>
    <n v="1"/>
    <n v="0"/>
    <x v="1491"/>
    <s v="Patricia Castillo Morales"/>
    <x v="3"/>
  </r>
  <r>
    <n v="1720"/>
    <n v="156"/>
    <n v="4"/>
    <n v="36.89"/>
    <n v="3.69"/>
    <n v="0"/>
    <n v="0.1"/>
    <s v="ACTIVE"/>
    <m/>
    <s v=""/>
    <m/>
    <d v="2026-04-16T13:58:02"/>
    <d v="2026-04-16T00:00:00"/>
    <x v="6"/>
    <x v="0"/>
    <n v="1"/>
    <n v="0"/>
    <x v="1492"/>
    <s v="Óscar Moreno Chávez"/>
    <x v="3"/>
  </r>
  <r>
    <n v="1721"/>
    <n v="39"/>
    <n v="4"/>
    <n v="287.38"/>
    <n v="28.74"/>
    <n v="0"/>
    <n v="0.1"/>
    <s v="ACTIVE"/>
    <m/>
    <s v=""/>
    <m/>
    <d v="2026-04-16T14:55:57"/>
    <d v="2026-04-16T00:00:00"/>
    <x v="6"/>
    <x v="0"/>
    <n v="1"/>
    <n v="0"/>
    <x v="1493"/>
    <s v="Guadalupe García Quiñones"/>
    <x v="3"/>
  </r>
  <r>
    <n v="1722"/>
    <n v="218"/>
    <n v="5"/>
    <n v="54.71"/>
    <n v="5.47"/>
    <n v="0"/>
    <n v="0.1"/>
    <s v="ACTIVE"/>
    <m/>
    <s v=""/>
    <m/>
    <d v="2026-04-16T17:21:11"/>
    <d v="2026-04-16T00:00:00"/>
    <x v="6"/>
    <x v="0"/>
    <n v="1"/>
    <n v="0"/>
    <x v="1494"/>
    <s v="Norma García López"/>
    <x v="2"/>
  </r>
  <r>
    <n v="1723"/>
    <n v="241"/>
    <n v="2"/>
    <n v="41.48"/>
    <n v="4.1500000000000004"/>
    <n v="0"/>
    <n v="0.1"/>
    <s v="ACTIVE"/>
    <m/>
    <s v=""/>
    <m/>
    <d v="2026-04-16T17:26:09"/>
    <d v="2026-04-16T00:00:00"/>
    <x v="6"/>
    <x v="0"/>
    <n v="1"/>
    <n v="0"/>
    <x v="984"/>
    <s v="Lucía Cruz Herrera"/>
    <x v="1"/>
  </r>
  <r>
    <n v="1724"/>
    <n v="28"/>
    <n v="3"/>
    <n v="38.99"/>
    <n v="3.9"/>
    <n v="0"/>
    <n v="0.1"/>
    <s v="ACTIVE"/>
    <m/>
    <s v=""/>
    <m/>
    <d v="2026-04-16T17:43:26"/>
    <d v="2026-04-16T00:00:00"/>
    <x v="6"/>
    <x v="0"/>
    <n v="1"/>
    <n v="0"/>
    <x v="1495"/>
    <s v="Francisco Ávila Chávez"/>
    <x v="0"/>
  </r>
  <r>
    <n v="1725"/>
    <n v="106"/>
    <n v="5"/>
    <n v="58.67"/>
    <n v="5.87"/>
    <n v="0"/>
    <n v="0.1"/>
    <s v="ACTIVE"/>
    <m/>
    <s v=""/>
    <m/>
    <d v="2026-04-16T18:29:09"/>
    <d v="2026-04-16T00:00:00"/>
    <x v="6"/>
    <x v="0"/>
    <n v="1"/>
    <n v="0"/>
    <x v="1496"/>
    <s v="Isabel García Santoyo"/>
    <x v="2"/>
  </r>
  <r>
    <n v="1726"/>
    <n v="178"/>
    <n v="2"/>
    <n v="238.84"/>
    <n v="23.88"/>
    <n v="0"/>
    <n v="0.1"/>
    <s v="ACTIVE"/>
    <m/>
    <s v=""/>
    <m/>
    <d v="2026-04-17T08:20:24"/>
    <d v="2026-04-17T00:00:00"/>
    <x v="6"/>
    <x v="0"/>
    <n v="1"/>
    <n v="0"/>
    <x v="1497"/>
    <s v="Miguel Ruiz Salazar"/>
    <x v="1"/>
  </r>
  <r>
    <n v="1727"/>
    <n v="195"/>
    <n v="2"/>
    <n v="87.02"/>
    <n v="8.6999999999999993"/>
    <n v="0"/>
    <n v="0.1"/>
    <s v="ACTIVE"/>
    <m/>
    <s v=""/>
    <m/>
    <d v="2026-04-17T09:13:49"/>
    <d v="2026-04-17T00:00:00"/>
    <x v="6"/>
    <x v="0"/>
    <n v="1"/>
    <n v="0"/>
    <x v="1498"/>
    <s v="Laura Salazar Pérez"/>
    <x v="1"/>
  </r>
  <r>
    <n v="1728"/>
    <n v="136"/>
    <n v="4"/>
    <n v="117.23"/>
    <n v="11.72"/>
    <n v="0"/>
    <n v="0.1"/>
    <s v="ACTIVE"/>
    <m/>
    <s v=""/>
    <m/>
    <d v="2026-04-17T09:19:05"/>
    <d v="2026-04-17T00:00:00"/>
    <x v="6"/>
    <x v="0"/>
    <n v="1"/>
    <n v="0"/>
    <x v="1499"/>
    <s v="Guadalupe Castillo Rangel"/>
    <x v="3"/>
  </r>
  <r>
    <n v="1729"/>
    <n v="229"/>
    <n v="2"/>
    <n v="139.53"/>
    <n v="13.95"/>
    <n v="0"/>
    <n v="0.1"/>
    <s v="ACTIVE"/>
    <m/>
    <s v=""/>
    <m/>
    <d v="2026-04-17T13:41:56"/>
    <d v="2026-04-17T00:00:00"/>
    <x v="6"/>
    <x v="0"/>
    <n v="1"/>
    <n v="0"/>
    <x v="1500"/>
    <s v="Verónica González Rodríguez"/>
    <x v="1"/>
  </r>
  <r>
    <n v="1730"/>
    <n v="149"/>
    <n v="3"/>
    <n v="36.25"/>
    <n v="3.63"/>
    <n v="0"/>
    <n v="0.1"/>
    <s v="ACTIVE"/>
    <m/>
    <s v=""/>
    <m/>
    <d v="2026-04-17T14:06:02"/>
    <d v="2026-04-17T00:00:00"/>
    <x v="6"/>
    <x v="0"/>
    <n v="1"/>
    <n v="0"/>
    <x v="649"/>
    <s v="Pedro Morales Morales"/>
    <x v="0"/>
  </r>
  <r>
    <n v="1731"/>
    <n v="276"/>
    <n v="4"/>
    <n v="23"/>
    <n v="2.2999999999999998"/>
    <n v="0"/>
    <n v="0.1"/>
    <s v="ACTIVE"/>
    <m/>
    <s v=""/>
    <m/>
    <d v="2026-04-17T19:09:07"/>
    <d v="2026-04-17T00:00:00"/>
    <x v="6"/>
    <x v="0"/>
    <n v="1"/>
    <n v="0"/>
    <x v="1501"/>
    <s v="Norma López Aguilar"/>
    <x v="3"/>
  </r>
  <r>
    <n v="1732"/>
    <n v="160"/>
    <n v="3"/>
    <n v="21.21"/>
    <n v="2.12"/>
    <n v="0"/>
    <n v="0.1"/>
    <s v="ACTIVE"/>
    <m/>
    <s v=""/>
    <m/>
    <d v="2026-04-17T19:39:32"/>
    <d v="2026-04-17T00:00:00"/>
    <x v="6"/>
    <x v="0"/>
    <n v="1"/>
    <n v="0"/>
    <x v="1502"/>
    <s v="Silvia Delgado Medina"/>
    <x v="0"/>
  </r>
  <r>
    <n v="1733"/>
    <n v="243"/>
    <n v="3"/>
    <n v="23.55"/>
    <n v="0"/>
    <n v="1"/>
    <n v="0.1"/>
    <s v="ACTIVE"/>
    <m/>
    <s v=""/>
    <m/>
    <d v="2026-04-18T08:27:18"/>
    <d v="2026-04-18T00:00:00"/>
    <x v="6"/>
    <x v="1"/>
    <n v="1"/>
    <n v="0"/>
    <x v="1503"/>
    <s v="Raúl García Díaz"/>
    <x v="0"/>
  </r>
  <r>
    <n v="1734"/>
    <n v="87"/>
    <n v="2"/>
    <n v="86.01"/>
    <n v="0"/>
    <n v="1"/>
    <n v="0.1"/>
    <s v="ACTIVE"/>
    <m/>
    <s v=""/>
    <m/>
    <d v="2026-04-18T09:06:46"/>
    <d v="2026-04-18T00:00:00"/>
    <x v="6"/>
    <x v="1"/>
    <n v="1"/>
    <n v="0"/>
    <x v="1504"/>
    <s v="Antonio Reyes Romero"/>
    <x v="1"/>
  </r>
  <r>
    <n v="1735"/>
    <n v="276"/>
    <n v="4"/>
    <n v="45.12"/>
    <n v="4.51"/>
    <n v="0"/>
    <n v="0.1"/>
    <s v="ACTIVE"/>
    <m/>
    <s v=""/>
    <m/>
    <d v="2026-04-18T11:24:13"/>
    <d v="2026-04-18T00:00:00"/>
    <x v="6"/>
    <x v="0"/>
    <n v="1"/>
    <n v="0"/>
    <x v="1505"/>
    <s v="Norma López Aguilar"/>
    <x v="3"/>
  </r>
  <r>
    <n v="1736"/>
    <n v="249"/>
    <n v="5"/>
    <n v="139.41"/>
    <n v="13.94"/>
    <n v="0"/>
    <n v="0.1"/>
    <s v="ACTIVE"/>
    <m/>
    <s v=""/>
    <m/>
    <d v="2026-04-18T13:25:52"/>
    <d v="2026-04-18T00:00:00"/>
    <x v="6"/>
    <x v="0"/>
    <n v="1"/>
    <n v="0"/>
    <x v="1506"/>
    <s v="Jorge Chávez Medina"/>
    <x v="2"/>
  </r>
  <r>
    <n v="1737"/>
    <n v="106"/>
    <n v="4"/>
    <n v="118.49"/>
    <n v="11.85"/>
    <n v="0"/>
    <n v="0.1"/>
    <s v="ACTIVE"/>
    <m/>
    <s v=""/>
    <m/>
    <d v="2026-04-18T16:09:26"/>
    <d v="2026-04-18T00:00:00"/>
    <x v="6"/>
    <x v="0"/>
    <n v="1"/>
    <n v="0"/>
    <x v="1507"/>
    <s v="Isabel García Santoyo"/>
    <x v="3"/>
  </r>
  <r>
    <n v="1738"/>
    <n v="16"/>
    <n v="5"/>
    <n v="232.58"/>
    <n v="23.26"/>
    <n v="0"/>
    <n v="0.1"/>
    <s v="ACTIVE"/>
    <m/>
    <s v=""/>
    <m/>
    <d v="2026-04-18T16:25:31"/>
    <d v="2026-04-18T00:00:00"/>
    <x v="6"/>
    <x v="0"/>
    <n v="1"/>
    <n v="0"/>
    <x v="1508"/>
    <s v="Laura Chávez Rangel"/>
    <x v="2"/>
  </r>
  <r>
    <n v="1739"/>
    <n v="280"/>
    <n v="4"/>
    <n v="37.21"/>
    <n v="3.72"/>
    <n v="0"/>
    <n v="0.1"/>
    <s v="ACTIVE"/>
    <m/>
    <s v=""/>
    <m/>
    <d v="2026-04-18T16:39:47"/>
    <d v="2026-04-18T00:00:00"/>
    <x v="6"/>
    <x v="0"/>
    <n v="1"/>
    <n v="0"/>
    <x v="1509"/>
    <s v="Óscar Quiñones Jiménez"/>
    <x v="3"/>
  </r>
  <r>
    <n v="1740"/>
    <n v="245"/>
    <n v="4"/>
    <n v="21.43"/>
    <n v="2.14"/>
    <n v="0"/>
    <n v="0.1"/>
    <s v="ACTIVE"/>
    <m/>
    <s v=""/>
    <m/>
    <d v="2026-04-18T18:21:15"/>
    <d v="2026-04-18T00:00:00"/>
    <x v="6"/>
    <x v="0"/>
    <n v="1"/>
    <n v="0"/>
    <x v="1510"/>
    <s v="Ana González Flores"/>
    <x v="3"/>
  </r>
  <r>
    <n v="1741"/>
    <n v="156"/>
    <n v="4"/>
    <n v="29.21"/>
    <n v="2.92"/>
    <n v="0"/>
    <n v="0.1"/>
    <s v="ACTIVE"/>
    <m/>
    <s v=""/>
    <m/>
    <d v="2026-04-18T18:49:42"/>
    <d v="2026-04-18T00:00:00"/>
    <x v="6"/>
    <x v="0"/>
    <n v="1"/>
    <n v="0"/>
    <x v="1511"/>
    <s v="Óscar Moreno Chávez"/>
    <x v="3"/>
  </r>
  <r>
    <n v="1742"/>
    <n v="39"/>
    <n v="4"/>
    <n v="263.29000000000002"/>
    <n v="26.33"/>
    <n v="0"/>
    <n v="0.1"/>
    <s v="ACTIVE"/>
    <m/>
    <s v=""/>
    <m/>
    <d v="2026-04-19T08:29:56"/>
    <d v="2026-04-19T00:00:00"/>
    <x v="6"/>
    <x v="0"/>
    <n v="1"/>
    <n v="0"/>
    <x v="1512"/>
    <s v="Guadalupe García Quiñones"/>
    <x v="3"/>
  </r>
  <r>
    <n v="1743"/>
    <n v="257"/>
    <n v="5"/>
    <n v="77.78"/>
    <n v="7.78"/>
    <n v="0"/>
    <n v="0.1"/>
    <s v="ACTIVE"/>
    <m/>
    <s v=""/>
    <m/>
    <d v="2026-04-19T11:48:40"/>
    <d v="2026-04-19T00:00:00"/>
    <x v="6"/>
    <x v="0"/>
    <n v="1"/>
    <n v="0"/>
    <x v="1513"/>
    <s v="Carmen García Rangel"/>
    <x v="2"/>
  </r>
  <r>
    <n v="1744"/>
    <n v="202"/>
    <n v="3"/>
    <n v="33.659999999999997"/>
    <n v="3.37"/>
    <n v="0"/>
    <n v="0.1"/>
    <s v="ACTIVE"/>
    <m/>
    <s v=""/>
    <m/>
    <d v="2026-04-19T13:17:57"/>
    <d v="2026-04-19T00:00:00"/>
    <x v="6"/>
    <x v="0"/>
    <n v="1"/>
    <n v="0"/>
    <x v="1514"/>
    <s v="Elena Díaz Reyes"/>
    <x v="0"/>
  </r>
  <r>
    <n v="1745"/>
    <n v="168"/>
    <n v="2"/>
    <n v="32.83"/>
    <n v="3.28"/>
    <n v="0"/>
    <n v="0.1"/>
    <s v="ACTIVE"/>
    <m/>
    <s v=""/>
    <m/>
    <d v="2026-04-19T15:19:58"/>
    <d v="2026-04-19T00:00:00"/>
    <x v="6"/>
    <x v="0"/>
    <n v="1"/>
    <n v="0"/>
    <x v="1515"/>
    <s v="Martha Sánchez García"/>
    <x v="1"/>
  </r>
  <r>
    <n v="1746"/>
    <n v="297"/>
    <n v="5"/>
    <n v="78.56"/>
    <n v="7.86"/>
    <n v="0"/>
    <n v="0.1"/>
    <s v="ACTIVE"/>
    <m/>
    <s v=""/>
    <m/>
    <d v="2026-04-19T15:33:58"/>
    <d v="2026-04-19T00:00:00"/>
    <x v="6"/>
    <x v="0"/>
    <n v="1"/>
    <n v="0"/>
    <x v="1516"/>
    <s v="Patricia Ortiz Jiménez"/>
    <x v="2"/>
  </r>
  <r>
    <n v="1747"/>
    <n v="150"/>
    <n v="4"/>
    <n v="113.54"/>
    <n v="11.35"/>
    <n v="0"/>
    <n v="0.1"/>
    <s v="ACTIVE"/>
    <m/>
    <s v=""/>
    <m/>
    <d v="2026-04-19T15:53:12"/>
    <d v="2026-04-19T00:00:00"/>
    <x v="6"/>
    <x v="0"/>
    <n v="1"/>
    <n v="0"/>
    <x v="1517"/>
    <s v="Daniel Díaz Quiñones"/>
    <x v="3"/>
  </r>
  <r>
    <n v="1748"/>
    <n v="80"/>
    <n v="4"/>
    <n v="35.24"/>
    <n v="3.52"/>
    <n v="0"/>
    <n v="0.1"/>
    <s v="ACTIVE"/>
    <m/>
    <s v=""/>
    <m/>
    <d v="2026-04-19T17:25:48"/>
    <d v="2026-04-19T00:00:00"/>
    <x v="6"/>
    <x v="0"/>
    <n v="1"/>
    <n v="0"/>
    <x v="192"/>
    <s v="Juan Sánchez Gutiérrez"/>
    <x v="3"/>
  </r>
  <r>
    <n v="1749"/>
    <n v="250"/>
    <n v="3"/>
    <n v="120.02"/>
    <n v="12"/>
    <n v="0"/>
    <n v="0.1"/>
    <s v="ACTIVE"/>
    <m/>
    <s v=""/>
    <m/>
    <d v="2026-04-19T19:12:17"/>
    <d v="2026-04-19T00:00:00"/>
    <x v="6"/>
    <x v="0"/>
    <n v="1"/>
    <n v="0"/>
    <x v="1518"/>
    <s v="Verónica Romero Chávez"/>
    <x v="0"/>
  </r>
  <r>
    <n v="1750"/>
    <n v="144"/>
    <n v="2"/>
    <n v="76.73"/>
    <n v="7.67"/>
    <n v="0"/>
    <n v="0.1"/>
    <s v="ACTIVE"/>
    <m/>
    <s v=""/>
    <m/>
    <d v="2026-04-20T07:49:14"/>
    <d v="2026-04-20T00:00:00"/>
    <x v="6"/>
    <x v="0"/>
    <n v="1"/>
    <n v="0"/>
    <x v="1519"/>
    <s v="Silvia Sánchez González"/>
    <x v="1"/>
  </r>
  <r>
    <n v="1751"/>
    <n v="272"/>
    <n v="2"/>
    <n v="300"/>
    <n v="30"/>
    <n v="0"/>
    <n v="0.1"/>
    <s v="ACTIVE"/>
    <m/>
    <s v=""/>
    <m/>
    <d v="2026-04-20T08:42:52"/>
    <d v="2026-04-20T00:00:00"/>
    <x v="6"/>
    <x v="0"/>
    <n v="1"/>
    <n v="0"/>
    <x v="74"/>
    <s v="Fernando Ruiz Salazar"/>
    <x v="1"/>
  </r>
  <r>
    <n v="1752"/>
    <n v="156"/>
    <n v="4"/>
    <n v="38.75"/>
    <n v="3.88"/>
    <n v="0"/>
    <n v="0.1"/>
    <s v="ACTIVE"/>
    <m/>
    <s v=""/>
    <m/>
    <d v="2026-04-20T14:57:21"/>
    <d v="2026-04-20T00:00:00"/>
    <x v="6"/>
    <x v="0"/>
    <n v="1"/>
    <n v="0"/>
    <x v="1313"/>
    <s v="Óscar Moreno Chávez"/>
    <x v="3"/>
  </r>
  <r>
    <n v="1753"/>
    <n v="207"/>
    <n v="5"/>
    <n v="47.84"/>
    <n v="4.78"/>
    <n v="0"/>
    <n v="0.1"/>
    <s v="ACTIVE"/>
    <m/>
    <s v=""/>
    <m/>
    <d v="2026-04-21T07:41:57"/>
    <d v="2026-04-21T00:00:00"/>
    <x v="6"/>
    <x v="0"/>
    <n v="1"/>
    <n v="0"/>
    <x v="1520"/>
    <s v="Leticia Vázquez Gutiérrez"/>
    <x v="2"/>
  </r>
  <r>
    <n v="1754"/>
    <n v="98"/>
    <n v="4"/>
    <n v="83.67"/>
    <n v="8.3699999999999992"/>
    <n v="0"/>
    <n v="0.1"/>
    <s v="ACTIVE"/>
    <m/>
    <s v=""/>
    <m/>
    <d v="2026-04-21T11:22:49"/>
    <d v="2026-04-21T00:00:00"/>
    <x v="6"/>
    <x v="0"/>
    <n v="1"/>
    <n v="0"/>
    <x v="1521"/>
    <s v="Antonio Rangel Delgado"/>
    <x v="3"/>
  </r>
  <r>
    <n v="1755"/>
    <n v="293"/>
    <n v="5"/>
    <n v="50.44"/>
    <n v="5.04"/>
    <n v="0"/>
    <n v="0.1"/>
    <s v="ACTIVE"/>
    <m/>
    <s v=""/>
    <m/>
    <d v="2026-04-21T14:56:57"/>
    <d v="2026-04-21T00:00:00"/>
    <x v="6"/>
    <x v="0"/>
    <n v="1"/>
    <n v="0"/>
    <x v="1522"/>
    <s v="Patricia Quiñones Pérez"/>
    <x v="2"/>
  </r>
  <r>
    <n v="1756"/>
    <n v="156"/>
    <n v="5"/>
    <n v="34.54"/>
    <n v="3.45"/>
    <n v="0"/>
    <n v="0.1"/>
    <s v="ACTIVE"/>
    <m/>
    <s v=""/>
    <m/>
    <d v="2026-04-21T15:40:42"/>
    <d v="2026-04-21T00:00:00"/>
    <x v="6"/>
    <x v="0"/>
    <n v="1"/>
    <n v="0"/>
    <x v="1523"/>
    <s v="Óscar Moreno Chávez"/>
    <x v="2"/>
  </r>
  <r>
    <n v="1757"/>
    <n v="213"/>
    <n v="5"/>
    <n v="300"/>
    <n v="30"/>
    <n v="0"/>
    <n v="0.1"/>
    <s v="ACTIVE"/>
    <m/>
    <s v=""/>
    <m/>
    <d v="2026-04-21T18:22:08"/>
    <d v="2026-04-21T00:00:00"/>
    <x v="6"/>
    <x v="0"/>
    <n v="1"/>
    <n v="0"/>
    <x v="74"/>
    <s v="Teresa Romero Flores"/>
    <x v="2"/>
  </r>
  <r>
    <n v="1758"/>
    <n v="173"/>
    <n v="3"/>
    <n v="164.83"/>
    <n v="16.48"/>
    <n v="0"/>
    <n v="0.1"/>
    <s v="ACTIVE"/>
    <m/>
    <s v=""/>
    <m/>
    <d v="2026-04-21T18:44:41"/>
    <d v="2026-04-21T00:00:00"/>
    <x v="6"/>
    <x v="0"/>
    <n v="1"/>
    <n v="0"/>
    <x v="1524"/>
    <s v="Fernando Zacatecas Ramírez"/>
    <x v="0"/>
  </r>
  <r>
    <n v="1759"/>
    <n v="72"/>
    <n v="4"/>
    <n v="44.4"/>
    <n v="4.4400000000000004"/>
    <n v="0"/>
    <n v="0.1"/>
    <s v="ACTIVE"/>
    <m/>
    <s v=""/>
    <m/>
    <d v="2026-04-22T12:43:47"/>
    <d v="2026-04-22T00:00:00"/>
    <x v="6"/>
    <x v="0"/>
    <n v="1"/>
    <n v="0"/>
    <x v="1525"/>
    <s v="Miguel Castillo Morales"/>
    <x v="3"/>
  </r>
  <r>
    <n v="1760"/>
    <n v="149"/>
    <n v="3"/>
    <n v="29.3"/>
    <n v="2.93"/>
    <n v="0"/>
    <n v="0.1"/>
    <s v="ACTIVE"/>
    <m/>
    <s v=""/>
    <m/>
    <d v="2026-04-22T13:09:09"/>
    <d v="2026-04-22T00:00:00"/>
    <x v="6"/>
    <x v="0"/>
    <n v="1"/>
    <n v="0"/>
    <x v="1526"/>
    <s v="Pedro Morales Morales"/>
    <x v="0"/>
  </r>
  <r>
    <n v="1761"/>
    <n v="121"/>
    <n v="5"/>
    <n v="39.99"/>
    <n v="4"/>
    <n v="0"/>
    <n v="0.1"/>
    <s v="ACTIVE"/>
    <m/>
    <s v=""/>
    <m/>
    <d v="2026-04-22T13:41:48"/>
    <d v="2026-04-22T00:00:00"/>
    <x v="6"/>
    <x v="0"/>
    <n v="1"/>
    <n v="0"/>
    <x v="1527"/>
    <s v="Fernando González Ortiz"/>
    <x v="2"/>
  </r>
  <r>
    <n v="1762"/>
    <n v="283"/>
    <n v="2"/>
    <n v="23.85"/>
    <n v="2.39"/>
    <n v="0"/>
    <n v="0.1"/>
    <s v="ACTIVE"/>
    <m/>
    <s v=""/>
    <m/>
    <d v="2026-04-22T16:10:51"/>
    <d v="2026-04-22T00:00:00"/>
    <x v="6"/>
    <x v="0"/>
    <n v="1"/>
    <n v="0"/>
    <x v="1233"/>
    <s v="Martha Reyes Cruz"/>
    <x v="1"/>
  </r>
  <r>
    <n v="1763"/>
    <n v="87"/>
    <n v="5"/>
    <n v="79.59"/>
    <n v="7.96"/>
    <n v="0"/>
    <n v="0.1"/>
    <s v="ACTIVE"/>
    <m/>
    <s v=""/>
    <m/>
    <d v="2026-04-23T09:27:42"/>
    <d v="2026-04-23T00:00:00"/>
    <x v="6"/>
    <x v="0"/>
    <n v="1"/>
    <n v="0"/>
    <x v="1528"/>
    <s v="Antonio Reyes Romero"/>
    <x v="2"/>
  </r>
  <r>
    <n v="1764"/>
    <n v="301"/>
    <n v="3"/>
    <n v="112.07"/>
    <n v="11.21"/>
    <n v="0"/>
    <n v="0.1"/>
    <s v="ACTIVE"/>
    <m/>
    <s v=""/>
    <m/>
    <d v="2026-04-23T09:36:13"/>
    <d v="2026-04-23T00:00:00"/>
    <x v="6"/>
    <x v="0"/>
    <n v="1"/>
    <n v="0"/>
    <x v="1529"/>
    <s v="Sergio Morales Flores"/>
    <x v="0"/>
  </r>
  <r>
    <n v="1765"/>
    <n v="21"/>
    <n v="4"/>
    <n v="20.8"/>
    <n v="2.08"/>
    <n v="0"/>
    <n v="0.1"/>
    <s v="ACTIVE"/>
    <m/>
    <s v=""/>
    <m/>
    <d v="2026-04-23T10:01:07"/>
    <d v="2026-04-23T00:00:00"/>
    <x v="6"/>
    <x v="0"/>
    <n v="1"/>
    <n v="0"/>
    <x v="1530"/>
    <s v="Carlos Morales Santoyo"/>
    <x v="3"/>
  </r>
  <r>
    <n v="1766"/>
    <n v="250"/>
    <n v="2"/>
    <n v="52.29"/>
    <n v="5.23"/>
    <n v="0"/>
    <n v="0.1"/>
    <s v="CANCELED"/>
    <n v="3"/>
    <s v="Cliente canceló la operación"/>
    <d v="2026-04-25T15:47:14"/>
    <d v="2026-04-23T15:47:14"/>
    <d v="2026-04-23T00:00:00"/>
    <x v="6"/>
    <x v="0"/>
    <n v="1"/>
    <n v="1"/>
    <x v="32"/>
    <s v="Verónica Romero Chávez"/>
    <x v="1"/>
  </r>
  <r>
    <n v="1767"/>
    <n v="137"/>
    <n v="5"/>
    <n v="51.43"/>
    <n v="5.14"/>
    <n v="0"/>
    <n v="0.1"/>
    <s v="ACTIVE"/>
    <m/>
    <s v=""/>
    <m/>
    <d v="2026-04-23T17:48:31"/>
    <d v="2026-04-23T00:00:00"/>
    <x v="6"/>
    <x v="0"/>
    <n v="1"/>
    <n v="0"/>
    <x v="1531"/>
    <s v="Francisco Reyes Ruiz"/>
    <x v="2"/>
  </r>
  <r>
    <n v="1768"/>
    <n v="229"/>
    <n v="5"/>
    <n v="40.54"/>
    <n v="4.05"/>
    <n v="0"/>
    <n v="0.1"/>
    <s v="ACTIVE"/>
    <m/>
    <s v=""/>
    <m/>
    <d v="2026-04-24T08:00:38"/>
    <d v="2026-04-24T00:00:00"/>
    <x v="6"/>
    <x v="0"/>
    <n v="1"/>
    <n v="0"/>
    <x v="631"/>
    <s v="Verónica González Rodríguez"/>
    <x v="2"/>
  </r>
  <r>
    <n v="1769"/>
    <n v="94"/>
    <n v="2"/>
    <n v="156.68"/>
    <n v="15.67"/>
    <n v="0"/>
    <n v="0.1"/>
    <s v="ACTIVE"/>
    <m/>
    <s v=""/>
    <m/>
    <d v="2026-04-24T10:05:03"/>
    <d v="2026-04-24T00:00:00"/>
    <x v="6"/>
    <x v="0"/>
    <n v="1"/>
    <n v="0"/>
    <x v="1532"/>
    <s v="Silvia González Rangel"/>
    <x v="1"/>
  </r>
  <r>
    <n v="1770"/>
    <n v="39"/>
    <n v="5"/>
    <n v="255.8"/>
    <n v="0"/>
    <n v="1"/>
    <n v="0.1"/>
    <s v="ACTIVE"/>
    <m/>
    <s v=""/>
    <m/>
    <d v="2026-04-25T09:24:08"/>
    <d v="2026-04-25T00:00:00"/>
    <x v="6"/>
    <x v="1"/>
    <n v="1"/>
    <n v="0"/>
    <x v="1533"/>
    <s v="Guadalupe García Quiñones"/>
    <x v="2"/>
  </r>
  <r>
    <n v="1771"/>
    <n v="58"/>
    <n v="4"/>
    <n v="122.53"/>
    <n v="12.25"/>
    <n v="0"/>
    <n v="0.1"/>
    <s v="ACTIVE"/>
    <m/>
    <s v=""/>
    <m/>
    <d v="2026-04-25T12:49:49"/>
    <d v="2026-04-25T00:00:00"/>
    <x v="6"/>
    <x v="0"/>
    <n v="1"/>
    <n v="0"/>
    <x v="1534"/>
    <s v="Alicia Ruiz Gutiérrez"/>
    <x v="3"/>
  </r>
  <r>
    <n v="1772"/>
    <n v="29"/>
    <n v="4"/>
    <n v="16.010000000000002"/>
    <n v="1.6"/>
    <n v="0"/>
    <n v="0.1"/>
    <s v="ACTIVE"/>
    <m/>
    <s v=""/>
    <m/>
    <d v="2026-04-25T14:46:02"/>
    <d v="2026-04-25T00:00:00"/>
    <x v="6"/>
    <x v="0"/>
    <n v="1"/>
    <n v="0"/>
    <x v="1535"/>
    <s v="Héctor Herrera Gómez"/>
    <x v="3"/>
  </r>
  <r>
    <n v="1773"/>
    <n v="70"/>
    <n v="2"/>
    <n v="189.59"/>
    <n v="18.96"/>
    <n v="0"/>
    <n v="0.1"/>
    <s v="ACTIVE"/>
    <m/>
    <s v=""/>
    <m/>
    <d v="2026-04-25T15:20:07"/>
    <d v="2026-04-25T00:00:00"/>
    <x v="6"/>
    <x v="0"/>
    <n v="1"/>
    <n v="0"/>
    <x v="1536"/>
    <s v="Manuel Ávila Martínez"/>
    <x v="1"/>
  </r>
  <r>
    <n v="1774"/>
    <n v="261"/>
    <n v="2"/>
    <n v="79.099999999999994"/>
    <n v="7.91"/>
    <n v="0"/>
    <n v="0.1"/>
    <s v="ACTIVE"/>
    <m/>
    <s v=""/>
    <m/>
    <d v="2026-04-25T16:44:22"/>
    <d v="2026-04-25T00:00:00"/>
    <x v="6"/>
    <x v="0"/>
    <n v="1"/>
    <n v="0"/>
    <x v="873"/>
    <s v="Carmen Moreno Delgado"/>
    <x v="1"/>
  </r>
  <r>
    <n v="1775"/>
    <n v="39"/>
    <n v="3"/>
    <n v="125.69"/>
    <n v="12.57"/>
    <n v="0"/>
    <n v="0.1"/>
    <s v="ACTIVE"/>
    <m/>
    <s v=""/>
    <m/>
    <d v="2026-04-25T17:57:36"/>
    <d v="2026-04-25T00:00:00"/>
    <x v="6"/>
    <x v="0"/>
    <n v="1"/>
    <n v="0"/>
    <x v="1537"/>
    <s v="Guadalupe García Quiñones"/>
    <x v="0"/>
  </r>
  <r>
    <n v="1776"/>
    <n v="210"/>
    <n v="2"/>
    <n v="23.69"/>
    <n v="2.37"/>
    <n v="0"/>
    <n v="0.1"/>
    <s v="ACTIVE"/>
    <m/>
    <s v=""/>
    <m/>
    <d v="2026-04-25T18:02:49"/>
    <d v="2026-04-25T00:00:00"/>
    <x v="6"/>
    <x v="0"/>
    <n v="1"/>
    <n v="0"/>
    <x v="1021"/>
    <s v="Óscar Romero Sánchez"/>
    <x v="1"/>
  </r>
  <r>
    <n v="1777"/>
    <n v="46"/>
    <n v="3"/>
    <n v="26.24"/>
    <n v="2.62"/>
    <n v="0"/>
    <n v="0.1"/>
    <s v="ACTIVE"/>
    <m/>
    <s v=""/>
    <m/>
    <d v="2026-04-25T18:53:20"/>
    <d v="2026-04-25T00:00:00"/>
    <x v="6"/>
    <x v="0"/>
    <n v="1"/>
    <n v="0"/>
    <x v="1538"/>
    <s v="Pedro Ortiz Reyes"/>
    <x v="0"/>
  </r>
  <r>
    <n v="1778"/>
    <n v="106"/>
    <n v="5"/>
    <n v="112.31"/>
    <n v="11.23"/>
    <n v="0"/>
    <n v="0.1"/>
    <s v="ACTIVE"/>
    <m/>
    <s v=""/>
    <m/>
    <d v="2026-04-26T09:06:08"/>
    <d v="2026-04-26T00:00:00"/>
    <x v="6"/>
    <x v="0"/>
    <n v="1"/>
    <n v="0"/>
    <x v="1539"/>
    <s v="Isabel García Santoyo"/>
    <x v="2"/>
  </r>
  <r>
    <n v="1779"/>
    <n v="149"/>
    <n v="2"/>
    <n v="20.02"/>
    <n v="2"/>
    <n v="0"/>
    <n v="0.1"/>
    <s v="ACTIVE"/>
    <m/>
    <s v=""/>
    <m/>
    <d v="2026-04-26T11:20:28"/>
    <d v="2026-04-26T00:00:00"/>
    <x v="6"/>
    <x v="0"/>
    <n v="1"/>
    <n v="0"/>
    <x v="1540"/>
    <s v="Pedro Morales Morales"/>
    <x v="1"/>
  </r>
  <r>
    <n v="1780"/>
    <n v="250"/>
    <n v="4"/>
    <n v="106.5"/>
    <n v="10.65"/>
    <n v="0"/>
    <n v="0.1"/>
    <s v="ACTIVE"/>
    <m/>
    <s v=""/>
    <m/>
    <d v="2026-04-26T14:33:04"/>
    <d v="2026-04-26T00:00:00"/>
    <x v="6"/>
    <x v="0"/>
    <n v="1"/>
    <n v="0"/>
    <x v="1541"/>
    <s v="Verónica Romero Chávez"/>
    <x v="3"/>
  </r>
  <r>
    <n v="1781"/>
    <n v="32"/>
    <n v="4"/>
    <n v="17.36"/>
    <n v="1.74"/>
    <n v="0"/>
    <n v="0.1"/>
    <s v="ACTIVE"/>
    <m/>
    <s v=""/>
    <m/>
    <d v="2026-04-27T09:01:22"/>
    <d v="2026-04-27T00:00:00"/>
    <x v="6"/>
    <x v="0"/>
    <n v="1"/>
    <n v="0"/>
    <x v="1542"/>
    <s v="Teresa Delgado Hernández"/>
    <x v="3"/>
  </r>
  <r>
    <n v="1782"/>
    <n v="98"/>
    <n v="2"/>
    <n v="69.86"/>
    <n v="6.99"/>
    <n v="0"/>
    <n v="0.1"/>
    <s v="ACTIVE"/>
    <m/>
    <s v=""/>
    <m/>
    <d v="2026-04-27T09:45:18"/>
    <d v="2026-04-27T00:00:00"/>
    <x v="6"/>
    <x v="0"/>
    <n v="1"/>
    <n v="0"/>
    <x v="1543"/>
    <s v="Antonio Rangel Delgado"/>
    <x v="1"/>
  </r>
  <r>
    <n v="1783"/>
    <n v="243"/>
    <n v="2"/>
    <n v="55.58"/>
    <n v="5.56"/>
    <n v="0"/>
    <n v="0.1"/>
    <s v="ACTIVE"/>
    <m/>
    <s v=""/>
    <m/>
    <d v="2026-04-27T09:47:24"/>
    <d v="2026-04-27T00:00:00"/>
    <x v="6"/>
    <x v="0"/>
    <n v="1"/>
    <n v="0"/>
    <x v="1544"/>
    <s v="Raúl García Díaz"/>
    <x v="1"/>
  </r>
  <r>
    <n v="1784"/>
    <n v="145"/>
    <n v="4"/>
    <n v="207.67"/>
    <n v="20.77"/>
    <n v="0"/>
    <n v="0.1"/>
    <s v="ACTIVE"/>
    <m/>
    <s v=""/>
    <m/>
    <d v="2026-04-27T10:06:52"/>
    <d v="2026-04-27T00:00:00"/>
    <x v="6"/>
    <x v="0"/>
    <n v="1"/>
    <n v="0"/>
    <x v="1545"/>
    <s v="Luis Flores Flores"/>
    <x v="3"/>
  </r>
  <r>
    <n v="1785"/>
    <n v="243"/>
    <n v="5"/>
    <n v="13.62"/>
    <n v="1.36"/>
    <n v="0"/>
    <n v="0.1"/>
    <s v="ACTIVE"/>
    <m/>
    <s v=""/>
    <m/>
    <d v="2026-04-27T10:18:42"/>
    <d v="2026-04-27T00:00:00"/>
    <x v="6"/>
    <x v="0"/>
    <n v="1"/>
    <n v="0"/>
    <x v="1546"/>
    <s v="Raúl García Díaz"/>
    <x v="2"/>
  </r>
  <r>
    <n v="1786"/>
    <n v="7"/>
    <n v="2"/>
    <n v="191.08"/>
    <n v="19.11"/>
    <n v="0"/>
    <n v="0.1"/>
    <s v="ACTIVE"/>
    <m/>
    <s v=""/>
    <m/>
    <d v="2026-04-27T13:56:19"/>
    <d v="2026-04-27T00:00:00"/>
    <x v="6"/>
    <x v="0"/>
    <n v="1"/>
    <n v="0"/>
    <x v="1547"/>
    <s v="Teresa Rodríguez Herrera"/>
    <x v="1"/>
  </r>
  <r>
    <n v="1787"/>
    <n v="150"/>
    <n v="3"/>
    <n v="76.239999999999995"/>
    <n v="7.62"/>
    <n v="0"/>
    <n v="0.1"/>
    <s v="ACTIVE"/>
    <m/>
    <s v=""/>
    <m/>
    <d v="2026-04-27T14:27:11"/>
    <d v="2026-04-27T00:00:00"/>
    <x v="6"/>
    <x v="0"/>
    <n v="1"/>
    <n v="0"/>
    <x v="841"/>
    <s v="Daniel Díaz Quiñones"/>
    <x v="0"/>
  </r>
  <r>
    <n v="1788"/>
    <n v="202"/>
    <n v="3"/>
    <n v="20.41"/>
    <n v="0"/>
    <n v="1"/>
    <n v="0.1"/>
    <s v="ACTIVE"/>
    <m/>
    <s v=""/>
    <m/>
    <d v="2026-04-27T16:20:31"/>
    <d v="2026-04-27T00:00:00"/>
    <x v="6"/>
    <x v="1"/>
    <n v="1"/>
    <n v="0"/>
    <x v="1548"/>
    <s v="Elena Díaz Reyes"/>
    <x v="0"/>
  </r>
  <r>
    <n v="1789"/>
    <n v="202"/>
    <n v="2"/>
    <n v="47.87"/>
    <n v="4.79"/>
    <n v="0"/>
    <n v="0.1"/>
    <s v="CANCELED"/>
    <n v="3"/>
    <s v="Cliente canceló la operación"/>
    <d v="2026-04-30T04:44:08"/>
    <d v="2026-04-28T07:44:08"/>
    <d v="2026-04-28T00:00:00"/>
    <x v="6"/>
    <x v="0"/>
    <n v="1"/>
    <n v="1"/>
    <x v="32"/>
    <s v="Elena Díaz Reyes"/>
    <x v="1"/>
  </r>
  <r>
    <n v="1790"/>
    <n v="105"/>
    <n v="4"/>
    <n v="83.39"/>
    <n v="8.34"/>
    <n v="0"/>
    <n v="0.1"/>
    <s v="ACTIVE"/>
    <m/>
    <s v=""/>
    <m/>
    <d v="2026-04-28T10:23:13"/>
    <d v="2026-04-28T00:00:00"/>
    <x v="6"/>
    <x v="0"/>
    <n v="1"/>
    <n v="0"/>
    <x v="1549"/>
    <s v="Leticia Romero López"/>
    <x v="3"/>
  </r>
  <r>
    <n v="1791"/>
    <n v="172"/>
    <n v="3"/>
    <n v="40.729999999999997"/>
    <n v="4.07"/>
    <n v="0"/>
    <n v="0.1"/>
    <s v="ACTIVE"/>
    <m/>
    <s v=""/>
    <m/>
    <d v="2026-04-28T14:05:56"/>
    <d v="2026-04-28T00:00:00"/>
    <x v="6"/>
    <x v="0"/>
    <n v="1"/>
    <n v="0"/>
    <x v="1550"/>
    <s v="Silvia Salazar Ortiz"/>
    <x v="0"/>
  </r>
  <r>
    <n v="1792"/>
    <n v="176"/>
    <n v="5"/>
    <n v="287.14999999999998"/>
    <n v="28.72"/>
    <n v="0"/>
    <n v="0.1"/>
    <s v="ACTIVE"/>
    <m/>
    <s v=""/>
    <m/>
    <d v="2026-04-28T14:40:56"/>
    <d v="2026-04-28T00:00:00"/>
    <x v="6"/>
    <x v="0"/>
    <n v="1"/>
    <n v="0"/>
    <x v="1551"/>
    <s v="Guadalupe Quiñones Ávila"/>
    <x v="2"/>
  </r>
  <r>
    <n v="1793"/>
    <n v="229"/>
    <n v="3"/>
    <n v="107.66"/>
    <n v="10.77"/>
    <n v="0"/>
    <n v="0.1"/>
    <s v="ACTIVE"/>
    <m/>
    <s v=""/>
    <m/>
    <d v="2026-04-28T16:21:11"/>
    <d v="2026-04-28T00:00:00"/>
    <x v="6"/>
    <x v="0"/>
    <n v="1"/>
    <n v="0"/>
    <x v="1552"/>
    <s v="Verónica González Rodríguez"/>
    <x v="0"/>
  </r>
  <r>
    <n v="1794"/>
    <n v="250"/>
    <n v="2"/>
    <n v="107.8"/>
    <n v="10.78"/>
    <n v="0"/>
    <n v="0.1"/>
    <s v="ACTIVE"/>
    <m/>
    <s v=""/>
    <m/>
    <d v="2026-04-28T17:24:22"/>
    <d v="2026-04-28T00:00:00"/>
    <x v="6"/>
    <x v="0"/>
    <n v="1"/>
    <n v="0"/>
    <x v="1553"/>
    <s v="Verónica Romero Chávez"/>
    <x v="1"/>
  </r>
  <r>
    <n v="1795"/>
    <n v="201"/>
    <n v="5"/>
    <n v="35.299999999999997"/>
    <n v="3.53"/>
    <n v="0"/>
    <n v="0.1"/>
    <s v="ACTIVE"/>
    <m/>
    <s v=""/>
    <m/>
    <d v="2026-04-28T18:52:11"/>
    <d v="2026-04-28T00:00:00"/>
    <x v="6"/>
    <x v="0"/>
    <n v="1"/>
    <n v="0"/>
    <x v="1554"/>
    <s v="Isabel Vázquez Ramírez"/>
    <x v="2"/>
  </r>
  <r>
    <n v="1796"/>
    <n v="163"/>
    <n v="5"/>
    <n v="36.25"/>
    <n v="3.63"/>
    <n v="0"/>
    <n v="0.1"/>
    <s v="ACTIVE"/>
    <m/>
    <s v=""/>
    <m/>
    <d v="2026-04-28T19:06:45"/>
    <d v="2026-04-28T00:00:00"/>
    <x v="6"/>
    <x v="0"/>
    <n v="1"/>
    <n v="0"/>
    <x v="649"/>
    <s v="Héctor Moreno Quiñones"/>
    <x v="2"/>
  </r>
  <r>
    <n v="1797"/>
    <n v="250"/>
    <n v="2"/>
    <n v="61.87"/>
    <n v="6.19"/>
    <n v="0"/>
    <n v="0.1"/>
    <s v="ACTIVE"/>
    <m/>
    <s v=""/>
    <m/>
    <d v="2026-04-29T07:16:38"/>
    <d v="2026-04-29T00:00:00"/>
    <x v="6"/>
    <x v="0"/>
    <n v="1"/>
    <n v="0"/>
    <x v="1453"/>
    <s v="Verónica Romero Chávez"/>
    <x v="1"/>
  </r>
  <r>
    <n v="1798"/>
    <n v="117"/>
    <n v="2"/>
    <n v="63.06"/>
    <n v="0"/>
    <n v="1"/>
    <n v="0.1"/>
    <s v="ACTIVE"/>
    <m/>
    <s v=""/>
    <m/>
    <d v="2026-04-29T07:30:00"/>
    <d v="2026-04-29T00:00:00"/>
    <x v="6"/>
    <x v="1"/>
    <n v="1"/>
    <n v="0"/>
    <x v="1555"/>
    <s v="Manuel Ortiz Ramírez"/>
    <x v="1"/>
  </r>
  <r>
    <n v="1799"/>
    <n v="162"/>
    <n v="3"/>
    <n v="67.97"/>
    <n v="6.8"/>
    <n v="0"/>
    <n v="0.1"/>
    <s v="ACTIVE"/>
    <m/>
    <s v=""/>
    <m/>
    <d v="2026-04-29T07:37:13"/>
    <d v="2026-04-29T00:00:00"/>
    <x v="6"/>
    <x v="0"/>
    <n v="1"/>
    <n v="0"/>
    <x v="1556"/>
    <s v="María Pérez Gómez"/>
    <x v="0"/>
  </r>
  <r>
    <n v="1800"/>
    <n v="249"/>
    <n v="5"/>
    <n v="96.86"/>
    <n v="9.69"/>
    <n v="0"/>
    <n v="0.1"/>
    <s v="ACTIVE"/>
    <m/>
    <s v=""/>
    <m/>
    <d v="2026-04-29T08:42:54"/>
    <d v="2026-04-29T00:00:00"/>
    <x v="6"/>
    <x v="0"/>
    <n v="1"/>
    <n v="0"/>
    <x v="1557"/>
    <s v="Jorge Chávez Medina"/>
    <x v="2"/>
  </r>
  <r>
    <n v="1801"/>
    <n v="156"/>
    <n v="4"/>
    <n v="10.58"/>
    <n v="1.06"/>
    <n v="0"/>
    <n v="0.1"/>
    <s v="ACTIVE"/>
    <m/>
    <s v=""/>
    <m/>
    <d v="2026-04-29T08:55:33"/>
    <d v="2026-04-29T00:00:00"/>
    <x v="6"/>
    <x v="0"/>
    <n v="1"/>
    <n v="0"/>
    <x v="1558"/>
    <s v="Óscar Moreno Chávez"/>
    <x v="3"/>
  </r>
  <r>
    <n v="1802"/>
    <n v="156"/>
    <n v="5"/>
    <n v="15.74"/>
    <n v="1.57"/>
    <n v="0"/>
    <n v="0.1"/>
    <s v="ACTIVE"/>
    <m/>
    <s v=""/>
    <m/>
    <d v="2026-04-29T12:11:21"/>
    <d v="2026-04-29T00:00:00"/>
    <x v="6"/>
    <x v="0"/>
    <n v="1"/>
    <n v="0"/>
    <x v="36"/>
    <s v="Óscar Moreno Chávez"/>
    <x v="2"/>
  </r>
  <r>
    <n v="1803"/>
    <n v="16"/>
    <n v="5"/>
    <n v="231.77"/>
    <n v="23.18"/>
    <n v="0"/>
    <n v="0.1"/>
    <s v="ACTIVE"/>
    <m/>
    <s v=""/>
    <m/>
    <d v="2026-04-29T14:49:44"/>
    <d v="2026-04-29T00:00:00"/>
    <x v="6"/>
    <x v="0"/>
    <n v="1"/>
    <n v="0"/>
    <x v="1559"/>
    <s v="Laura Chávez Rangel"/>
    <x v="2"/>
  </r>
  <r>
    <n v="1804"/>
    <n v="166"/>
    <n v="4"/>
    <n v="71.739999999999995"/>
    <n v="7.17"/>
    <n v="0"/>
    <n v="0.1"/>
    <s v="ACTIVE"/>
    <m/>
    <s v=""/>
    <m/>
    <d v="2026-04-29T17:49:08"/>
    <d v="2026-04-29T00:00:00"/>
    <x v="6"/>
    <x v="0"/>
    <n v="1"/>
    <n v="0"/>
    <x v="1560"/>
    <s v="Alicia Vázquez Villalobos"/>
    <x v="3"/>
  </r>
  <r>
    <n v="1805"/>
    <n v="252"/>
    <n v="3"/>
    <n v="39.229999999999997"/>
    <n v="3.92"/>
    <n v="0"/>
    <n v="0.1"/>
    <s v="ACTIVE"/>
    <m/>
    <s v=""/>
    <m/>
    <d v="2026-04-29T17:57:26"/>
    <d v="2026-04-29T00:00:00"/>
    <x v="6"/>
    <x v="0"/>
    <n v="1"/>
    <n v="0"/>
    <x v="150"/>
    <s v="Martha Delgado Mendoza"/>
    <x v="0"/>
  </r>
  <r>
    <n v="1806"/>
    <n v="217"/>
    <n v="2"/>
    <n v="31.04"/>
    <n v="3.1"/>
    <n v="0"/>
    <n v="0.1"/>
    <s v="ACTIVE"/>
    <m/>
    <s v=""/>
    <m/>
    <d v="2026-04-29T19:44:24"/>
    <d v="2026-04-29T00:00:00"/>
    <x v="6"/>
    <x v="0"/>
    <n v="1"/>
    <n v="0"/>
    <x v="1561"/>
    <s v="Francisco Rangel Rodríguez"/>
    <x v="1"/>
  </r>
  <r>
    <n v="1807"/>
    <n v="110"/>
    <n v="4"/>
    <n v="35.9"/>
    <n v="3.59"/>
    <n v="0"/>
    <n v="0.1"/>
    <s v="ACTIVE"/>
    <m/>
    <s v=""/>
    <m/>
    <d v="2026-04-30T09:28:14"/>
    <d v="2026-04-30T00:00:00"/>
    <x v="6"/>
    <x v="0"/>
    <n v="1"/>
    <n v="0"/>
    <x v="1562"/>
    <s v="Ricardo Rangel Ramírez"/>
    <x v="3"/>
  </r>
  <r>
    <n v="1808"/>
    <n v="232"/>
    <n v="2"/>
    <n v="19.57"/>
    <n v="1.96"/>
    <n v="0"/>
    <n v="0.1"/>
    <s v="ACTIVE"/>
    <m/>
    <s v=""/>
    <m/>
    <d v="2026-04-30T09:37:08"/>
    <d v="2026-04-30T00:00:00"/>
    <x v="6"/>
    <x v="0"/>
    <n v="1"/>
    <n v="0"/>
    <x v="1390"/>
    <s v="Francisco Quiñones Morales"/>
    <x v="1"/>
  </r>
  <r>
    <n v="1809"/>
    <n v="44"/>
    <n v="4"/>
    <n v="41.06"/>
    <n v="4.1100000000000003"/>
    <n v="0"/>
    <n v="0.1"/>
    <s v="ACTIVE"/>
    <m/>
    <s v=""/>
    <m/>
    <d v="2026-04-30T09:54:20"/>
    <d v="2026-04-30T00:00:00"/>
    <x v="6"/>
    <x v="0"/>
    <n v="1"/>
    <n v="0"/>
    <x v="1563"/>
    <s v="Pedro Herrera Castillo"/>
    <x v="3"/>
  </r>
  <r>
    <n v="1810"/>
    <n v="185"/>
    <n v="4"/>
    <n v="55.69"/>
    <n v="5.57"/>
    <n v="0"/>
    <n v="0.1"/>
    <s v="ACTIVE"/>
    <m/>
    <s v=""/>
    <m/>
    <d v="2026-04-30T10:00:33"/>
    <d v="2026-04-30T00:00:00"/>
    <x v="6"/>
    <x v="0"/>
    <n v="1"/>
    <n v="0"/>
    <x v="1564"/>
    <s v="Teresa Martínez González"/>
    <x v="3"/>
  </r>
  <r>
    <n v="1811"/>
    <n v="91"/>
    <n v="4"/>
    <n v="22.53"/>
    <n v="2.25"/>
    <n v="0"/>
    <n v="0.1"/>
    <s v="ACTIVE"/>
    <m/>
    <s v=""/>
    <m/>
    <d v="2026-04-30T11:31:32"/>
    <d v="2026-04-30T00:00:00"/>
    <x v="6"/>
    <x v="0"/>
    <n v="1"/>
    <n v="0"/>
    <x v="1565"/>
    <s v="Silvia Gómez Rodríguez"/>
    <x v="3"/>
  </r>
  <r>
    <n v="1812"/>
    <n v="250"/>
    <n v="2"/>
    <n v="153.03"/>
    <n v="15.3"/>
    <n v="0"/>
    <n v="0.1"/>
    <s v="ACTIVE"/>
    <m/>
    <s v=""/>
    <m/>
    <d v="2026-04-30T17:32:19"/>
    <d v="2026-04-30T00:00:00"/>
    <x v="6"/>
    <x v="0"/>
    <n v="1"/>
    <n v="0"/>
    <x v="1566"/>
    <s v="Verónica Romero Chávez"/>
    <x v="1"/>
  </r>
  <r>
    <n v="1813"/>
    <n v="156"/>
    <n v="4"/>
    <n v="35.1"/>
    <n v="3.51"/>
    <n v="0"/>
    <n v="0.1"/>
    <s v="ACTIVE"/>
    <m/>
    <s v=""/>
    <m/>
    <d v="2026-04-30T18:37:12"/>
    <d v="2026-04-30T00:00:00"/>
    <x v="6"/>
    <x v="0"/>
    <n v="1"/>
    <n v="0"/>
    <x v="1567"/>
    <s v="Óscar Moreno Chávez"/>
    <x v="3"/>
  </r>
  <r>
    <n v="1814"/>
    <n v="229"/>
    <n v="4"/>
    <n v="75.44"/>
    <n v="7.54"/>
    <n v="0"/>
    <n v="0.1"/>
    <s v="ACTIVE"/>
    <m/>
    <s v=""/>
    <m/>
    <d v="2026-04-30T18:58:12"/>
    <d v="2026-04-30T00:00:00"/>
    <x v="6"/>
    <x v="0"/>
    <n v="1"/>
    <n v="0"/>
    <x v="1568"/>
    <s v="Verónica González Rodríguez"/>
    <x v="3"/>
  </r>
  <r>
    <n v="1815"/>
    <n v="149"/>
    <n v="4"/>
    <n v="24.26"/>
    <n v="2.4300000000000002"/>
    <n v="0"/>
    <n v="0.1"/>
    <s v="ACTIVE"/>
    <m/>
    <s v=""/>
    <m/>
    <d v="2026-05-01T07:21:22"/>
    <d v="2026-05-01T00:00:00"/>
    <x v="7"/>
    <x v="0"/>
    <n v="1"/>
    <n v="0"/>
    <x v="381"/>
    <s v="Pedro Morales Morales"/>
    <x v="3"/>
  </r>
  <r>
    <n v="1816"/>
    <n v="250"/>
    <n v="3"/>
    <n v="121.97"/>
    <n v="12.2"/>
    <n v="0"/>
    <n v="0.1"/>
    <s v="ACTIVE"/>
    <m/>
    <s v=""/>
    <m/>
    <d v="2026-05-01T08:06:25"/>
    <d v="2026-05-01T00:00:00"/>
    <x v="7"/>
    <x v="0"/>
    <n v="1"/>
    <n v="0"/>
    <x v="1569"/>
    <s v="Verónica Romero Chávez"/>
    <x v="0"/>
  </r>
  <r>
    <n v="1817"/>
    <n v="105"/>
    <n v="2"/>
    <n v="110.01"/>
    <n v="11"/>
    <n v="0"/>
    <n v="0.1"/>
    <s v="ACTIVE"/>
    <m/>
    <s v=""/>
    <m/>
    <d v="2026-05-01T08:26:31"/>
    <d v="2026-05-01T00:00:00"/>
    <x v="7"/>
    <x v="0"/>
    <n v="1"/>
    <n v="0"/>
    <x v="1570"/>
    <s v="Leticia Romero López"/>
    <x v="1"/>
  </r>
  <r>
    <n v="1818"/>
    <n v="243"/>
    <n v="3"/>
    <n v="30.45"/>
    <n v="3.05"/>
    <n v="0"/>
    <n v="0.1"/>
    <s v="ACTIVE"/>
    <m/>
    <s v=""/>
    <m/>
    <d v="2026-05-01T09:07:55"/>
    <d v="2026-05-01T00:00:00"/>
    <x v="7"/>
    <x v="0"/>
    <n v="1"/>
    <n v="0"/>
    <x v="1352"/>
    <s v="Raúl García Díaz"/>
    <x v="0"/>
  </r>
  <r>
    <n v="1819"/>
    <n v="179"/>
    <n v="5"/>
    <n v="177.27"/>
    <n v="17.73"/>
    <n v="0"/>
    <n v="0.1"/>
    <s v="CANCELED"/>
    <n v="4"/>
    <s v="Monto duplicado por error de sistema"/>
    <d v="2026-05-02T11:59:25"/>
    <d v="2026-05-01T09:59:25"/>
    <d v="2026-05-01T00:00:00"/>
    <x v="7"/>
    <x v="0"/>
    <n v="1"/>
    <n v="1"/>
    <x v="32"/>
    <s v="Laura Flores Villalobos"/>
    <x v="2"/>
  </r>
  <r>
    <n v="1820"/>
    <n v="156"/>
    <n v="3"/>
    <n v="29.5"/>
    <n v="2.95"/>
    <n v="0"/>
    <n v="0.1"/>
    <s v="ACTIVE"/>
    <m/>
    <s v=""/>
    <m/>
    <d v="2026-05-01T10:20:27"/>
    <d v="2026-05-01T00:00:00"/>
    <x v="7"/>
    <x v="0"/>
    <n v="1"/>
    <n v="0"/>
    <x v="1571"/>
    <s v="Óscar Moreno Chávez"/>
    <x v="0"/>
  </r>
  <r>
    <n v="1821"/>
    <n v="137"/>
    <n v="5"/>
    <n v="26.93"/>
    <n v="2.69"/>
    <n v="0"/>
    <n v="0.1"/>
    <s v="ACTIVE"/>
    <m/>
    <s v=""/>
    <m/>
    <d v="2026-05-01T10:56:24"/>
    <d v="2026-05-01T00:00:00"/>
    <x v="7"/>
    <x v="0"/>
    <n v="1"/>
    <n v="0"/>
    <x v="1572"/>
    <s v="Francisco Reyes Ruiz"/>
    <x v="2"/>
  </r>
  <r>
    <n v="1822"/>
    <n v="200"/>
    <n v="5"/>
    <n v="25.49"/>
    <n v="2.5499999999999998"/>
    <n v="0"/>
    <n v="0.1"/>
    <s v="ACTIVE"/>
    <m/>
    <s v=""/>
    <m/>
    <d v="2026-05-01T11:06:03"/>
    <d v="2026-05-01T00:00:00"/>
    <x v="7"/>
    <x v="0"/>
    <n v="1"/>
    <n v="0"/>
    <x v="518"/>
    <s v="Antonio Pérez Martínez"/>
    <x v="2"/>
  </r>
  <r>
    <n v="1823"/>
    <n v="301"/>
    <n v="3"/>
    <n v="88.48"/>
    <n v="8.85"/>
    <n v="0"/>
    <n v="0.1"/>
    <s v="ACTIVE"/>
    <m/>
    <s v=""/>
    <m/>
    <d v="2026-05-01T11:09:20"/>
    <d v="2026-05-01T00:00:00"/>
    <x v="7"/>
    <x v="0"/>
    <n v="1"/>
    <n v="0"/>
    <x v="1573"/>
    <s v="Sergio Morales Flores"/>
    <x v="0"/>
  </r>
  <r>
    <n v="1824"/>
    <n v="131"/>
    <n v="2"/>
    <n v="214.27"/>
    <n v="21.43"/>
    <n v="0"/>
    <n v="0.1"/>
    <s v="ACTIVE"/>
    <m/>
    <s v=""/>
    <m/>
    <d v="2026-05-01T11:24:19"/>
    <d v="2026-05-01T00:00:00"/>
    <x v="7"/>
    <x v="0"/>
    <n v="1"/>
    <n v="0"/>
    <x v="442"/>
    <s v="Raúl Quiñones Hernández"/>
    <x v="1"/>
  </r>
  <r>
    <n v="1825"/>
    <n v="190"/>
    <n v="3"/>
    <n v="168.94"/>
    <n v="16.89"/>
    <n v="0"/>
    <n v="0.1"/>
    <s v="ACTIVE"/>
    <m/>
    <s v=""/>
    <m/>
    <d v="2026-05-01T11:45:04"/>
    <d v="2026-05-01T00:00:00"/>
    <x v="7"/>
    <x v="0"/>
    <n v="1"/>
    <n v="0"/>
    <x v="1574"/>
    <s v="Ricardo Díaz Rodríguez"/>
    <x v="0"/>
  </r>
  <r>
    <n v="1826"/>
    <n v="116"/>
    <n v="2"/>
    <n v="47.36"/>
    <n v="4.74"/>
    <n v="0"/>
    <n v="0.1"/>
    <s v="ACTIVE"/>
    <m/>
    <s v=""/>
    <m/>
    <d v="2026-05-01T12:13:59"/>
    <d v="2026-05-01T00:00:00"/>
    <x v="7"/>
    <x v="0"/>
    <n v="1"/>
    <n v="0"/>
    <x v="1575"/>
    <s v="Miguel García Ortiz"/>
    <x v="1"/>
  </r>
  <r>
    <n v="1827"/>
    <n v="178"/>
    <n v="4"/>
    <n v="200.01"/>
    <n v="20"/>
    <n v="0"/>
    <n v="0.1"/>
    <s v="ACTIVE"/>
    <m/>
    <s v=""/>
    <m/>
    <d v="2026-05-01T12:26:14"/>
    <d v="2026-05-01T00:00:00"/>
    <x v="7"/>
    <x v="0"/>
    <n v="1"/>
    <n v="0"/>
    <x v="1576"/>
    <s v="Miguel Ruiz Salazar"/>
    <x v="3"/>
  </r>
  <r>
    <n v="1828"/>
    <n v="137"/>
    <n v="5"/>
    <n v="26.4"/>
    <n v="2.64"/>
    <n v="0"/>
    <n v="0.1"/>
    <s v="ACTIVE"/>
    <m/>
    <s v=""/>
    <m/>
    <d v="2026-05-01T16:45:18"/>
    <d v="2026-05-01T00:00:00"/>
    <x v="7"/>
    <x v="0"/>
    <n v="1"/>
    <n v="0"/>
    <x v="1097"/>
    <s v="Francisco Reyes Ruiz"/>
    <x v="2"/>
  </r>
  <r>
    <n v="1829"/>
    <n v="80"/>
    <n v="5"/>
    <n v="17"/>
    <n v="1.7"/>
    <n v="0"/>
    <n v="0.1"/>
    <s v="ACTIVE"/>
    <m/>
    <s v=""/>
    <m/>
    <d v="2026-05-02T08:04:27"/>
    <d v="2026-05-02T00:00:00"/>
    <x v="7"/>
    <x v="0"/>
    <n v="1"/>
    <n v="0"/>
    <x v="1577"/>
    <s v="Juan Sánchez Gutiérrez"/>
    <x v="2"/>
  </r>
  <r>
    <n v="1830"/>
    <n v="127"/>
    <n v="3"/>
    <n v="73.22"/>
    <n v="7.32"/>
    <n v="0"/>
    <n v="0.1"/>
    <s v="ACTIVE"/>
    <m/>
    <s v=""/>
    <m/>
    <d v="2026-05-02T11:36:22"/>
    <d v="2026-05-02T00:00:00"/>
    <x v="7"/>
    <x v="0"/>
    <n v="1"/>
    <n v="0"/>
    <x v="1578"/>
    <s v="Raúl Ruiz Ortiz"/>
    <x v="0"/>
  </r>
  <r>
    <n v="1831"/>
    <n v="186"/>
    <n v="5"/>
    <n v="104.48"/>
    <n v="10.45"/>
    <n v="0"/>
    <n v="0.1"/>
    <s v="ACTIVE"/>
    <m/>
    <s v=""/>
    <m/>
    <d v="2026-05-02T12:26:40"/>
    <d v="2026-05-02T00:00:00"/>
    <x v="7"/>
    <x v="0"/>
    <n v="1"/>
    <n v="0"/>
    <x v="1579"/>
    <s v="Héctor Cruz Rodríguez"/>
    <x v="2"/>
  </r>
  <r>
    <n v="1832"/>
    <n v="178"/>
    <n v="3"/>
    <n v="131.75"/>
    <n v="13.18"/>
    <n v="0"/>
    <n v="0.1"/>
    <s v="ACTIVE"/>
    <m/>
    <s v=""/>
    <m/>
    <d v="2026-05-02T13:05:38"/>
    <d v="2026-05-02T00:00:00"/>
    <x v="7"/>
    <x v="0"/>
    <n v="1"/>
    <n v="0"/>
    <x v="1580"/>
    <s v="Miguel Ruiz Salazar"/>
    <x v="0"/>
  </r>
  <r>
    <n v="1833"/>
    <n v="57"/>
    <n v="4"/>
    <n v="143.62"/>
    <n v="14.36"/>
    <n v="0"/>
    <n v="0.1"/>
    <s v="ACTIVE"/>
    <m/>
    <s v=""/>
    <m/>
    <d v="2026-05-02T13:05:47"/>
    <d v="2026-05-02T00:00:00"/>
    <x v="7"/>
    <x v="0"/>
    <n v="1"/>
    <n v="0"/>
    <x v="1581"/>
    <s v="Isabel Martínez Rodríguez"/>
    <x v="3"/>
  </r>
  <r>
    <n v="1834"/>
    <n v="145"/>
    <n v="2"/>
    <n v="195.91"/>
    <n v="19.59"/>
    <n v="0"/>
    <n v="0.1"/>
    <s v="ACTIVE"/>
    <m/>
    <s v=""/>
    <m/>
    <d v="2026-05-02T13:49:21"/>
    <d v="2026-05-02T00:00:00"/>
    <x v="7"/>
    <x v="0"/>
    <n v="1"/>
    <n v="0"/>
    <x v="1582"/>
    <s v="Luis Flores Flores"/>
    <x v="1"/>
  </r>
  <r>
    <n v="1835"/>
    <n v="136"/>
    <n v="2"/>
    <n v="42.53"/>
    <n v="4.25"/>
    <n v="0"/>
    <n v="0.1"/>
    <s v="ACTIVE"/>
    <m/>
    <s v=""/>
    <m/>
    <d v="2026-05-02T15:15:17"/>
    <d v="2026-05-02T00:00:00"/>
    <x v="7"/>
    <x v="0"/>
    <n v="1"/>
    <n v="0"/>
    <x v="1583"/>
    <s v="Guadalupe Castillo Rangel"/>
    <x v="1"/>
  </r>
  <r>
    <n v="1836"/>
    <n v="250"/>
    <n v="2"/>
    <n v="141.55000000000001"/>
    <n v="14.16"/>
    <n v="0"/>
    <n v="0.1"/>
    <s v="ACTIVE"/>
    <m/>
    <s v=""/>
    <m/>
    <d v="2026-05-02T15:55:33"/>
    <d v="2026-05-02T00:00:00"/>
    <x v="7"/>
    <x v="0"/>
    <n v="1"/>
    <n v="0"/>
    <x v="1584"/>
    <s v="Verónica Romero Chávez"/>
    <x v="1"/>
  </r>
  <r>
    <n v="1837"/>
    <n v="250"/>
    <n v="5"/>
    <n v="68.67"/>
    <n v="0"/>
    <n v="1"/>
    <n v="0.1"/>
    <s v="ACTIVE"/>
    <m/>
    <s v=""/>
    <m/>
    <d v="2026-05-02T19:43:59"/>
    <d v="2026-05-02T00:00:00"/>
    <x v="7"/>
    <x v="1"/>
    <n v="1"/>
    <n v="0"/>
    <x v="1585"/>
    <s v="Verónica Romero Chávez"/>
    <x v="2"/>
  </r>
  <r>
    <n v="1838"/>
    <n v="138"/>
    <n v="4"/>
    <n v="23.96"/>
    <n v="2.4"/>
    <n v="0"/>
    <n v="0.1"/>
    <s v="ACTIVE"/>
    <m/>
    <s v=""/>
    <m/>
    <d v="2026-05-02T19:45:01"/>
    <d v="2026-05-02T00:00:00"/>
    <x v="7"/>
    <x v="0"/>
    <n v="1"/>
    <n v="0"/>
    <x v="1586"/>
    <s v="Alejandro Reyes Morales"/>
    <x v="3"/>
  </r>
  <r>
    <n v="1839"/>
    <n v="259"/>
    <n v="5"/>
    <n v="29.62"/>
    <n v="2.96"/>
    <n v="0"/>
    <n v="0.1"/>
    <s v="ACTIVE"/>
    <m/>
    <s v=""/>
    <m/>
    <d v="2026-05-03T08:56:48"/>
    <d v="2026-05-03T00:00:00"/>
    <x v="7"/>
    <x v="0"/>
    <n v="1"/>
    <n v="0"/>
    <x v="1587"/>
    <s v="Francisco Moreno García"/>
    <x v="2"/>
  </r>
  <r>
    <n v="1840"/>
    <n v="244"/>
    <n v="3"/>
    <n v="89.73"/>
    <n v="8.9700000000000006"/>
    <n v="0"/>
    <n v="0.1"/>
    <s v="ACTIVE"/>
    <m/>
    <s v=""/>
    <m/>
    <d v="2026-05-03T11:39:08"/>
    <d v="2026-05-03T00:00:00"/>
    <x v="7"/>
    <x v="0"/>
    <n v="1"/>
    <n v="0"/>
    <x v="1588"/>
    <s v="Guadalupe Castillo Hernández"/>
    <x v="0"/>
  </r>
  <r>
    <n v="1841"/>
    <n v="136"/>
    <n v="4"/>
    <n v="98.56"/>
    <n v="9.86"/>
    <n v="0"/>
    <n v="0.1"/>
    <s v="ACTIVE"/>
    <m/>
    <s v=""/>
    <m/>
    <d v="2026-05-03T12:55:24"/>
    <d v="2026-05-03T00:00:00"/>
    <x v="7"/>
    <x v="0"/>
    <n v="1"/>
    <n v="0"/>
    <x v="1589"/>
    <s v="Guadalupe Castillo Rangel"/>
    <x v="3"/>
  </r>
  <r>
    <n v="1842"/>
    <n v="196"/>
    <n v="4"/>
    <n v="24.32"/>
    <n v="2.4300000000000002"/>
    <n v="0"/>
    <n v="0.1"/>
    <s v="ACTIVE"/>
    <m/>
    <s v=""/>
    <m/>
    <d v="2026-05-03T16:33:47"/>
    <d v="2026-05-03T00:00:00"/>
    <x v="7"/>
    <x v="0"/>
    <n v="1"/>
    <n v="0"/>
    <x v="1590"/>
    <s v="Lucía Ramos Ramos"/>
    <x v="3"/>
  </r>
  <r>
    <n v="1843"/>
    <n v="218"/>
    <n v="4"/>
    <n v="35.64"/>
    <n v="3.56"/>
    <n v="0"/>
    <n v="0.1"/>
    <s v="ACTIVE"/>
    <m/>
    <s v=""/>
    <m/>
    <d v="2026-05-03T18:20:56"/>
    <d v="2026-05-03T00:00:00"/>
    <x v="7"/>
    <x v="0"/>
    <n v="1"/>
    <n v="0"/>
    <x v="1591"/>
    <s v="Norma García López"/>
    <x v="3"/>
  </r>
  <r>
    <n v="1844"/>
    <n v="241"/>
    <n v="4"/>
    <n v="54.58"/>
    <n v="5.46"/>
    <n v="0"/>
    <n v="0.1"/>
    <s v="ACTIVE"/>
    <m/>
    <s v=""/>
    <m/>
    <d v="2026-05-03T19:48:04"/>
    <d v="2026-05-03T00:00:00"/>
    <x v="7"/>
    <x v="0"/>
    <n v="1"/>
    <n v="0"/>
    <x v="1592"/>
    <s v="Lucía Cruz Herrera"/>
    <x v="3"/>
  </r>
  <r>
    <n v="1845"/>
    <n v="262"/>
    <n v="2"/>
    <n v="111.94"/>
    <n v="11.19"/>
    <n v="0"/>
    <n v="0.1"/>
    <s v="ACTIVE"/>
    <m/>
    <s v=""/>
    <m/>
    <d v="2026-05-04T07:08:12"/>
    <d v="2026-05-04T00:00:00"/>
    <x v="7"/>
    <x v="0"/>
    <n v="1"/>
    <n v="0"/>
    <x v="1593"/>
    <s v="Guadalupe Cruz Aguilar"/>
    <x v="1"/>
  </r>
  <r>
    <n v="1846"/>
    <n v="208"/>
    <n v="2"/>
    <n v="44.99"/>
    <n v="4.5"/>
    <n v="0"/>
    <n v="0.1"/>
    <s v="ACTIVE"/>
    <m/>
    <s v=""/>
    <m/>
    <d v="2026-05-04T07:42:47"/>
    <d v="2026-05-04T00:00:00"/>
    <x v="7"/>
    <x v="0"/>
    <n v="1"/>
    <n v="0"/>
    <x v="1594"/>
    <s v="Pedro Cruz Salazar"/>
    <x v="1"/>
  </r>
  <r>
    <n v="1847"/>
    <n v="40"/>
    <n v="4"/>
    <n v="74"/>
    <n v="7.4"/>
    <n v="0"/>
    <n v="0.1"/>
    <s v="ACTIVE"/>
    <m/>
    <s v=""/>
    <m/>
    <d v="2026-05-04T10:28:03"/>
    <d v="2026-05-04T00:00:00"/>
    <x v="7"/>
    <x v="0"/>
    <n v="1"/>
    <n v="0"/>
    <x v="1595"/>
    <s v="Carlos López Cruz"/>
    <x v="3"/>
  </r>
  <r>
    <n v="1848"/>
    <n v="244"/>
    <n v="2"/>
    <n v="81.83"/>
    <n v="8.18"/>
    <n v="0"/>
    <n v="0.1"/>
    <s v="ACTIVE"/>
    <m/>
    <s v=""/>
    <m/>
    <d v="2026-05-04T15:38:36"/>
    <d v="2026-05-04T00:00:00"/>
    <x v="7"/>
    <x v="0"/>
    <n v="1"/>
    <n v="0"/>
    <x v="1596"/>
    <s v="Guadalupe Castillo Hernández"/>
    <x v="1"/>
  </r>
  <r>
    <n v="1849"/>
    <n v="250"/>
    <n v="4"/>
    <n v="99.44"/>
    <n v="0"/>
    <n v="1"/>
    <n v="0.1"/>
    <s v="ACTIVE"/>
    <m/>
    <s v=""/>
    <m/>
    <d v="2026-05-04T16:39:01"/>
    <d v="2026-05-04T00:00:00"/>
    <x v="7"/>
    <x v="1"/>
    <n v="1"/>
    <n v="0"/>
    <x v="1597"/>
    <s v="Verónica Romero Chávez"/>
    <x v="3"/>
  </r>
  <r>
    <n v="1850"/>
    <n v="117"/>
    <n v="5"/>
    <n v="88.37"/>
    <n v="8.84"/>
    <n v="0"/>
    <n v="0.1"/>
    <s v="ACTIVE"/>
    <m/>
    <s v=""/>
    <m/>
    <d v="2026-05-05T08:12:27"/>
    <d v="2026-05-05T00:00:00"/>
    <x v="7"/>
    <x v="0"/>
    <n v="1"/>
    <n v="0"/>
    <x v="1598"/>
    <s v="Manuel Ortiz Ramírez"/>
    <x v="2"/>
  </r>
  <r>
    <n v="1851"/>
    <n v="88"/>
    <n v="4"/>
    <n v="46.14"/>
    <n v="4.6100000000000003"/>
    <n v="0"/>
    <n v="0.1"/>
    <s v="ACTIVE"/>
    <m/>
    <s v=""/>
    <m/>
    <d v="2026-05-05T11:34:48"/>
    <d v="2026-05-05T00:00:00"/>
    <x v="7"/>
    <x v="0"/>
    <n v="1"/>
    <n v="0"/>
    <x v="1599"/>
    <s v="Alejandro Santoyo Mendoza"/>
    <x v="3"/>
  </r>
  <r>
    <n v="1852"/>
    <n v="44"/>
    <n v="3"/>
    <n v="35.96"/>
    <n v="3.6"/>
    <n v="0"/>
    <n v="0.1"/>
    <s v="ACTIVE"/>
    <m/>
    <s v=""/>
    <m/>
    <d v="2026-05-05T11:41:10"/>
    <d v="2026-05-05T00:00:00"/>
    <x v="7"/>
    <x v="0"/>
    <n v="1"/>
    <n v="0"/>
    <x v="1600"/>
    <s v="Pedro Herrera Castillo"/>
    <x v="0"/>
  </r>
  <r>
    <n v="1853"/>
    <n v="234"/>
    <n v="3"/>
    <n v="185.35"/>
    <n v="18.54"/>
    <n v="0"/>
    <n v="0.1"/>
    <s v="ACTIVE"/>
    <m/>
    <s v=""/>
    <m/>
    <d v="2026-05-05T12:00:16"/>
    <d v="2026-05-05T00:00:00"/>
    <x v="7"/>
    <x v="0"/>
    <n v="1"/>
    <n v="0"/>
    <x v="1601"/>
    <s v="Carmen Ruiz Gutiérrez"/>
    <x v="0"/>
  </r>
  <r>
    <n v="1854"/>
    <n v="229"/>
    <n v="5"/>
    <n v="84.91"/>
    <n v="8.49"/>
    <n v="0"/>
    <n v="0.1"/>
    <s v="ACTIVE"/>
    <m/>
    <s v=""/>
    <m/>
    <d v="2026-05-05T13:10:33"/>
    <d v="2026-05-05T00:00:00"/>
    <x v="7"/>
    <x v="0"/>
    <n v="1"/>
    <n v="0"/>
    <x v="1602"/>
    <s v="Verónica González Rodríguez"/>
    <x v="2"/>
  </r>
  <r>
    <n v="1855"/>
    <n v="53"/>
    <n v="2"/>
    <n v="29.48"/>
    <n v="2.95"/>
    <n v="0"/>
    <n v="0.1"/>
    <s v="ACTIVE"/>
    <m/>
    <s v=""/>
    <m/>
    <d v="2026-05-05T16:21:45"/>
    <d v="2026-05-05T00:00:00"/>
    <x v="7"/>
    <x v="0"/>
    <n v="1"/>
    <n v="0"/>
    <x v="1603"/>
    <s v="Isabel Ávila López"/>
    <x v="1"/>
  </r>
  <r>
    <n v="1856"/>
    <n v="158"/>
    <n v="3"/>
    <n v="33.82"/>
    <n v="3.38"/>
    <n v="0"/>
    <n v="0.1"/>
    <s v="ACTIVE"/>
    <m/>
    <s v=""/>
    <m/>
    <d v="2026-05-05T17:33:54"/>
    <d v="2026-05-05T00:00:00"/>
    <x v="7"/>
    <x v="0"/>
    <n v="1"/>
    <n v="0"/>
    <x v="1604"/>
    <s v="Juan Rodríguez Cruz"/>
    <x v="0"/>
  </r>
  <r>
    <n v="1857"/>
    <n v="229"/>
    <n v="5"/>
    <n v="101.49"/>
    <n v="10.15"/>
    <n v="0"/>
    <n v="0.1"/>
    <s v="ACTIVE"/>
    <m/>
    <s v=""/>
    <m/>
    <d v="2026-05-06T14:44:27"/>
    <d v="2026-05-06T00:00:00"/>
    <x v="7"/>
    <x v="0"/>
    <n v="1"/>
    <n v="0"/>
    <x v="1605"/>
    <s v="Verónica González Rodríguez"/>
    <x v="2"/>
  </r>
  <r>
    <n v="1858"/>
    <n v="94"/>
    <n v="3"/>
    <n v="235.76"/>
    <n v="23.58"/>
    <n v="0"/>
    <n v="0.1"/>
    <s v="ACTIVE"/>
    <m/>
    <s v=""/>
    <m/>
    <d v="2026-05-06T15:11:15"/>
    <d v="2026-05-06T00:00:00"/>
    <x v="7"/>
    <x v="0"/>
    <n v="1"/>
    <n v="0"/>
    <x v="1606"/>
    <s v="Silvia González Rangel"/>
    <x v="0"/>
  </r>
  <r>
    <n v="1859"/>
    <n v="250"/>
    <n v="5"/>
    <n v="25"/>
    <n v="2.5"/>
    <n v="0"/>
    <n v="0.1"/>
    <s v="ACTIVE"/>
    <m/>
    <s v=""/>
    <m/>
    <d v="2026-05-07T07:38:42"/>
    <d v="2026-05-07T00:00:00"/>
    <x v="7"/>
    <x v="0"/>
    <n v="1"/>
    <n v="0"/>
    <x v="1607"/>
    <s v="Verónica Romero Chávez"/>
    <x v="2"/>
  </r>
  <r>
    <n v="1860"/>
    <n v="234"/>
    <n v="4"/>
    <n v="117.34"/>
    <n v="11.73"/>
    <n v="0"/>
    <n v="0.1"/>
    <s v="ACTIVE"/>
    <m/>
    <s v=""/>
    <m/>
    <d v="2026-05-07T09:11:52"/>
    <d v="2026-05-07T00:00:00"/>
    <x v="7"/>
    <x v="0"/>
    <n v="1"/>
    <n v="0"/>
    <x v="1608"/>
    <s v="Carmen Ruiz Gutiérrez"/>
    <x v="3"/>
  </r>
  <r>
    <n v="1861"/>
    <n v="64"/>
    <n v="2"/>
    <n v="35.21"/>
    <n v="3.52"/>
    <n v="0"/>
    <n v="0.1"/>
    <s v="ACTIVE"/>
    <m/>
    <s v=""/>
    <m/>
    <d v="2026-05-07T10:32:35"/>
    <d v="2026-05-07T00:00:00"/>
    <x v="7"/>
    <x v="0"/>
    <n v="1"/>
    <n v="0"/>
    <x v="528"/>
    <s v="Óscar Pérez Ramírez"/>
    <x v="1"/>
  </r>
  <r>
    <n v="1862"/>
    <n v="136"/>
    <n v="4"/>
    <n v="74.28"/>
    <n v="7.43"/>
    <n v="0"/>
    <n v="0.1"/>
    <s v="ACTIVE"/>
    <m/>
    <s v=""/>
    <m/>
    <d v="2026-05-07T13:05:36"/>
    <d v="2026-05-07T00:00:00"/>
    <x v="7"/>
    <x v="0"/>
    <n v="1"/>
    <n v="0"/>
    <x v="1609"/>
    <s v="Guadalupe Castillo Rangel"/>
    <x v="3"/>
  </r>
  <r>
    <n v="1863"/>
    <n v="21"/>
    <n v="5"/>
    <n v="21.36"/>
    <n v="2.14"/>
    <n v="0"/>
    <n v="0.1"/>
    <s v="ACTIVE"/>
    <m/>
    <s v=""/>
    <m/>
    <d v="2026-05-07T13:52:13"/>
    <d v="2026-05-07T00:00:00"/>
    <x v="7"/>
    <x v="0"/>
    <n v="1"/>
    <n v="0"/>
    <x v="1610"/>
    <s v="Carlos Morales Santoyo"/>
    <x v="2"/>
  </r>
  <r>
    <n v="1864"/>
    <n v="229"/>
    <n v="4"/>
    <n v="83.45"/>
    <n v="8.35"/>
    <n v="0"/>
    <n v="0.1"/>
    <s v="ACTIVE"/>
    <m/>
    <s v=""/>
    <m/>
    <d v="2026-05-07T16:37:02"/>
    <d v="2026-05-07T00:00:00"/>
    <x v="7"/>
    <x v="0"/>
    <n v="1"/>
    <n v="0"/>
    <x v="1611"/>
    <s v="Verónica González Rodríguez"/>
    <x v="3"/>
  </r>
  <r>
    <n v="1865"/>
    <n v="187"/>
    <n v="5"/>
    <n v="24.83"/>
    <n v="2.48"/>
    <n v="0"/>
    <n v="0.1"/>
    <s v="ACTIVE"/>
    <m/>
    <s v=""/>
    <m/>
    <d v="2026-05-07T18:40:39"/>
    <d v="2026-05-07T00:00:00"/>
    <x v="7"/>
    <x v="0"/>
    <n v="1"/>
    <n v="0"/>
    <x v="1612"/>
    <s v="Pedro Medina Gómez"/>
    <x v="2"/>
  </r>
  <r>
    <n v="1866"/>
    <n v="221"/>
    <n v="5"/>
    <n v="107.78"/>
    <n v="10.78"/>
    <n v="0"/>
    <n v="0.1"/>
    <s v="ACTIVE"/>
    <m/>
    <s v=""/>
    <m/>
    <d v="2026-05-08T09:59:27"/>
    <d v="2026-05-08T00:00:00"/>
    <x v="7"/>
    <x v="0"/>
    <n v="1"/>
    <n v="0"/>
    <x v="1613"/>
    <s v="Norma Hernández Chávez"/>
    <x v="2"/>
  </r>
  <r>
    <n v="1867"/>
    <n v="137"/>
    <n v="4"/>
    <n v="46.16"/>
    <n v="0"/>
    <n v="1"/>
    <n v="0.1"/>
    <s v="ACTIVE"/>
    <m/>
    <s v=""/>
    <m/>
    <d v="2026-05-08T11:29:27"/>
    <d v="2026-05-08T00:00:00"/>
    <x v="7"/>
    <x v="1"/>
    <n v="1"/>
    <n v="0"/>
    <x v="1614"/>
    <s v="Francisco Reyes Ruiz"/>
    <x v="3"/>
  </r>
  <r>
    <n v="1868"/>
    <n v="250"/>
    <n v="4"/>
    <n v="87.87"/>
    <n v="8.7899999999999991"/>
    <n v="0"/>
    <n v="0.1"/>
    <s v="ACTIVE"/>
    <m/>
    <s v=""/>
    <m/>
    <d v="2026-05-08T16:55:28"/>
    <d v="2026-05-08T00:00:00"/>
    <x v="7"/>
    <x v="0"/>
    <n v="1"/>
    <n v="0"/>
    <x v="1009"/>
    <s v="Verónica Romero Chávez"/>
    <x v="3"/>
  </r>
  <r>
    <n v="1869"/>
    <n v="47"/>
    <n v="2"/>
    <n v="35.01"/>
    <n v="3.5"/>
    <n v="0"/>
    <n v="0.1"/>
    <s v="ACTIVE"/>
    <m/>
    <s v=""/>
    <m/>
    <d v="2026-05-09T09:04:00"/>
    <d v="2026-05-09T00:00:00"/>
    <x v="7"/>
    <x v="0"/>
    <n v="1"/>
    <n v="0"/>
    <x v="1615"/>
    <s v="Carmen Díaz Chávez"/>
    <x v="1"/>
  </r>
  <r>
    <n v="1870"/>
    <n v="47"/>
    <n v="4"/>
    <n v="32.729999999999997"/>
    <n v="3.27"/>
    <n v="0"/>
    <n v="0.1"/>
    <s v="ACTIVE"/>
    <m/>
    <s v=""/>
    <m/>
    <d v="2026-05-09T09:15:36"/>
    <d v="2026-05-09T00:00:00"/>
    <x v="7"/>
    <x v="0"/>
    <n v="1"/>
    <n v="0"/>
    <x v="1616"/>
    <s v="Carmen Díaz Chávez"/>
    <x v="3"/>
  </r>
  <r>
    <n v="1871"/>
    <n v="137"/>
    <n v="3"/>
    <n v="45.7"/>
    <n v="4.57"/>
    <n v="0"/>
    <n v="0.1"/>
    <s v="ACTIVE"/>
    <m/>
    <s v=""/>
    <m/>
    <d v="2026-05-09T09:47:35"/>
    <d v="2026-05-09T00:00:00"/>
    <x v="7"/>
    <x v="0"/>
    <n v="1"/>
    <n v="0"/>
    <x v="1617"/>
    <s v="Francisco Reyes Ruiz"/>
    <x v="0"/>
  </r>
  <r>
    <n v="1872"/>
    <n v="89"/>
    <n v="2"/>
    <n v="143.9"/>
    <n v="14.39"/>
    <n v="0"/>
    <n v="0.1"/>
    <s v="ACTIVE"/>
    <m/>
    <s v=""/>
    <m/>
    <d v="2026-05-09T10:56:06"/>
    <d v="2026-05-09T00:00:00"/>
    <x v="7"/>
    <x v="0"/>
    <n v="1"/>
    <n v="0"/>
    <x v="1618"/>
    <s v="Héctor Morales Herrera"/>
    <x v="1"/>
  </r>
  <r>
    <n v="1873"/>
    <n v="65"/>
    <n v="5"/>
    <n v="32.78"/>
    <n v="3.28"/>
    <n v="0"/>
    <n v="0.1"/>
    <s v="ACTIVE"/>
    <m/>
    <s v=""/>
    <m/>
    <d v="2026-05-09T12:06:01"/>
    <d v="2026-05-09T00:00:00"/>
    <x v="7"/>
    <x v="0"/>
    <n v="1"/>
    <n v="0"/>
    <x v="1619"/>
    <s v="Gabriela Flores Chávez"/>
    <x v="2"/>
  </r>
  <r>
    <n v="1874"/>
    <n v="39"/>
    <n v="5"/>
    <n v="300"/>
    <n v="30"/>
    <n v="0"/>
    <n v="0.1"/>
    <s v="ACTIVE"/>
    <m/>
    <s v=""/>
    <m/>
    <d v="2026-05-09T14:03:42"/>
    <d v="2026-05-09T00:00:00"/>
    <x v="7"/>
    <x v="0"/>
    <n v="1"/>
    <n v="0"/>
    <x v="74"/>
    <s v="Guadalupe García Quiñones"/>
    <x v="2"/>
  </r>
  <r>
    <n v="1875"/>
    <n v="201"/>
    <n v="2"/>
    <n v="33.74"/>
    <n v="3.37"/>
    <n v="0"/>
    <n v="0.1"/>
    <s v="ACTIVE"/>
    <m/>
    <s v=""/>
    <m/>
    <d v="2026-05-09T14:04:22"/>
    <d v="2026-05-09T00:00:00"/>
    <x v="7"/>
    <x v="0"/>
    <n v="1"/>
    <n v="0"/>
    <x v="1620"/>
    <s v="Isabel Vázquez Ramírez"/>
    <x v="1"/>
  </r>
  <r>
    <n v="1876"/>
    <n v="262"/>
    <n v="3"/>
    <n v="89.94"/>
    <n v="8.99"/>
    <n v="0"/>
    <n v="0.1"/>
    <s v="ACTIVE"/>
    <m/>
    <s v=""/>
    <m/>
    <d v="2026-05-09T14:05:03"/>
    <d v="2026-05-09T00:00:00"/>
    <x v="7"/>
    <x v="0"/>
    <n v="1"/>
    <n v="0"/>
    <x v="1621"/>
    <s v="Guadalupe Cruz Aguilar"/>
    <x v="0"/>
  </r>
  <r>
    <n v="1877"/>
    <n v="252"/>
    <n v="2"/>
    <n v="29.15"/>
    <n v="2.92"/>
    <n v="0"/>
    <n v="0.1"/>
    <s v="ACTIVE"/>
    <m/>
    <s v=""/>
    <m/>
    <d v="2026-05-09T14:24:14"/>
    <d v="2026-05-09T00:00:00"/>
    <x v="7"/>
    <x v="0"/>
    <n v="1"/>
    <n v="0"/>
    <x v="1622"/>
    <s v="Martha Delgado Mendoza"/>
    <x v="1"/>
  </r>
  <r>
    <n v="1878"/>
    <n v="232"/>
    <n v="2"/>
    <n v="28.19"/>
    <n v="2.82"/>
    <n v="0"/>
    <n v="0.1"/>
    <s v="ACTIVE"/>
    <m/>
    <s v=""/>
    <m/>
    <d v="2026-05-09T15:23:01"/>
    <d v="2026-05-09T00:00:00"/>
    <x v="7"/>
    <x v="0"/>
    <n v="1"/>
    <n v="0"/>
    <x v="736"/>
    <s v="Francisco Quiñones Morales"/>
    <x v="1"/>
  </r>
  <r>
    <n v="1879"/>
    <n v="39"/>
    <n v="2"/>
    <n v="173.22"/>
    <n v="17.32"/>
    <n v="0"/>
    <n v="0.1"/>
    <s v="ACTIVE"/>
    <m/>
    <s v=""/>
    <m/>
    <d v="2026-05-09T15:58:09"/>
    <d v="2026-05-09T00:00:00"/>
    <x v="7"/>
    <x v="0"/>
    <n v="1"/>
    <n v="0"/>
    <x v="1623"/>
    <s v="Guadalupe García Quiñones"/>
    <x v="1"/>
  </r>
  <r>
    <n v="1880"/>
    <n v="40"/>
    <n v="4"/>
    <n v="99.48"/>
    <n v="9.9499999999999993"/>
    <n v="0"/>
    <n v="0.1"/>
    <s v="ACTIVE"/>
    <m/>
    <s v=""/>
    <m/>
    <d v="2026-05-09T17:36:05"/>
    <d v="2026-05-09T00:00:00"/>
    <x v="7"/>
    <x v="0"/>
    <n v="1"/>
    <n v="0"/>
    <x v="1624"/>
    <s v="Carlos López Cruz"/>
    <x v="3"/>
  </r>
  <r>
    <n v="1881"/>
    <n v="250"/>
    <n v="4"/>
    <n v="78.12"/>
    <n v="7.81"/>
    <n v="0"/>
    <n v="0.1"/>
    <s v="ACTIVE"/>
    <m/>
    <s v=""/>
    <m/>
    <d v="2026-05-09T19:52:01"/>
    <d v="2026-05-09T00:00:00"/>
    <x v="7"/>
    <x v="0"/>
    <n v="1"/>
    <n v="0"/>
    <x v="1625"/>
    <s v="Verónica Romero Chávez"/>
    <x v="3"/>
  </r>
  <r>
    <n v="1882"/>
    <n v="39"/>
    <n v="4"/>
    <n v="223.01"/>
    <n v="22.3"/>
    <n v="0"/>
    <n v="0.1"/>
    <s v="ACTIVE"/>
    <m/>
    <s v=""/>
    <m/>
    <d v="2026-05-10T09:03:12"/>
    <d v="2026-05-10T00:00:00"/>
    <x v="7"/>
    <x v="0"/>
    <n v="1"/>
    <n v="0"/>
    <x v="1626"/>
    <s v="Guadalupe García Quiñones"/>
    <x v="3"/>
  </r>
  <r>
    <n v="1883"/>
    <n v="273"/>
    <n v="5"/>
    <n v="27.09"/>
    <n v="2.71"/>
    <n v="0"/>
    <n v="0.1"/>
    <s v="ACTIVE"/>
    <m/>
    <s v=""/>
    <m/>
    <d v="2026-05-10T11:40:23"/>
    <d v="2026-05-10T00:00:00"/>
    <x v="7"/>
    <x v="0"/>
    <n v="1"/>
    <n v="0"/>
    <x v="1627"/>
    <s v="Pedro Aguilar Rodríguez"/>
    <x v="2"/>
  </r>
  <r>
    <n v="1884"/>
    <n v="197"/>
    <n v="5"/>
    <n v="88.93"/>
    <n v="8.89"/>
    <n v="0"/>
    <n v="0.1"/>
    <s v="ACTIVE"/>
    <m/>
    <s v=""/>
    <m/>
    <d v="2026-05-10T15:00:55"/>
    <d v="2026-05-10T00:00:00"/>
    <x v="7"/>
    <x v="0"/>
    <n v="1"/>
    <n v="0"/>
    <x v="1628"/>
    <s v="Raúl Hernández Santoyo"/>
    <x v="2"/>
  </r>
  <r>
    <n v="1885"/>
    <n v="39"/>
    <n v="5"/>
    <n v="111.47"/>
    <n v="11.15"/>
    <n v="0"/>
    <n v="0.1"/>
    <s v="ACTIVE"/>
    <m/>
    <s v=""/>
    <m/>
    <d v="2026-05-11T07:00:50"/>
    <d v="2026-05-11T00:00:00"/>
    <x v="7"/>
    <x v="0"/>
    <n v="1"/>
    <n v="0"/>
    <x v="1629"/>
    <s v="Guadalupe García Quiñones"/>
    <x v="2"/>
  </r>
  <r>
    <n v="1886"/>
    <n v="21"/>
    <n v="3"/>
    <n v="23.43"/>
    <n v="0"/>
    <n v="1"/>
    <n v="0.1"/>
    <s v="ACTIVE"/>
    <m/>
    <s v=""/>
    <m/>
    <d v="2026-05-11T08:06:47"/>
    <d v="2026-05-11T00:00:00"/>
    <x v="7"/>
    <x v="1"/>
    <n v="1"/>
    <n v="0"/>
    <x v="1630"/>
    <s v="Carlos Morales Santoyo"/>
    <x v="0"/>
  </r>
  <r>
    <n v="1887"/>
    <n v="39"/>
    <n v="2"/>
    <n v="131.32"/>
    <n v="13.13"/>
    <n v="0"/>
    <n v="0.1"/>
    <s v="ACTIVE"/>
    <m/>
    <s v=""/>
    <m/>
    <d v="2026-05-11T08:52:02"/>
    <d v="2026-05-11T00:00:00"/>
    <x v="7"/>
    <x v="0"/>
    <n v="1"/>
    <n v="0"/>
    <x v="1631"/>
    <s v="Guadalupe García Quiñones"/>
    <x v="1"/>
  </r>
  <r>
    <n v="1888"/>
    <n v="39"/>
    <n v="4"/>
    <n v="103.69"/>
    <n v="10.37"/>
    <n v="0"/>
    <n v="0.1"/>
    <s v="ACTIVE"/>
    <m/>
    <s v=""/>
    <m/>
    <d v="2026-05-11T11:50:07"/>
    <d v="2026-05-11T00:00:00"/>
    <x v="7"/>
    <x v="0"/>
    <n v="1"/>
    <n v="0"/>
    <x v="1632"/>
    <s v="Guadalupe García Quiñones"/>
    <x v="3"/>
  </r>
  <r>
    <n v="1889"/>
    <n v="144"/>
    <n v="5"/>
    <n v="57.71"/>
    <n v="5.77"/>
    <n v="0"/>
    <n v="0.1"/>
    <s v="ACTIVE"/>
    <m/>
    <s v=""/>
    <m/>
    <d v="2026-05-11T12:06:30"/>
    <d v="2026-05-11T00:00:00"/>
    <x v="7"/>
    <x v="0"/>
    <n v="1"/>
    <n v="0"/>
    <x v="1633"/>
    <s v="Silvia Sánchez González"/>
    <x v="2"/>
  </r>
  <r>
    <n v="1890"/>
    <n v="22"/>
    <n v="2"/>
    <n v="137.32"/>
    <n v="13.73"/>
    <n v="0"/>
    <n v="0.1"/>
    <s v="ACTIVE"/>
    <m/>
    <s v=""/>
    <m/>
    <d v="2026-05-11T12:32:23"/>
    <d v="2026-05-11T00:00:00"/>
    <x v="7"/>
    <x v="0"/>
    <n v="1"/>
    <n v="0"/>
    <x v="1634"/>
    <s v="Martha Moreno Rangel"/>
    <x v="1"/>
  </r>
  <r>
    <n v="1891"/>
    <n v="156"/>
    <n v="2"/>
    <n v="34.340000000000003"/>
    <n v="3.43"/>
    <n v="0"/>
    <n v="0.1"/>
    <s v="ACTIVE"/>
    <m/>
    <s v=""/>
    <m/>
    <d v="2026-05-11T13:11:36"/>
    <d v="2026-05-11T00:00:00"/>
    <x v="7"/>
    <x v="0"/>
    <n v="1"/>
    <n v="0"/>
    <x v="1207"/>
    <s v="Óscar Moreno Chávez"/>
    <x v="1"/>
  </r>
  <r>
    <n v="1892"/>
    <n v="229"/>
    <n v="4"/>
    <n v="94.54"/>
    <n v="9.4499999999999993"/>
    <n v="0"/>
    <n v="0.1"/>
    <s v="ACTIVE"/>
    <m/>
    <s v=""/>
    <m/>
    <d v="2026-05-11T13:26:27"/>
    <d v="2026-05-11T00:00:00"/>
    <x v="7"/>
    <x v="0"/>
    <n v="1"/>
    <n v="0"/>
    <x v="1635"/>
    <s v="Verónica González Rodríguez"/>
    <x v="3"/>
  </r>
  <r>
    <n v="1893"/>
    <n v="39"/>
    <n v="4"/>
    <n v="109.76"/>
    <n v="10.98"/>
    <n v="0"/>
    <n v="0.1"/>
    <s v="ACTIVE"/>
    <m/>
    <s v=""/>
    <m/>
    <d v="2026-05-11T15:37:55"/>
    <d v="2026-05-11T00:00:00"/>
    <x v="7"/>
    <x v="0"/>
    <n v="1"/>
    <n v="0"/>
    <x v="1636"/>
    <s v="Guadalupe García Quiñones"/>
    <x v="3"/>
  </r>
  <r>
    <n v="1894"/>
    <n v="178"/>
    <n v="4"/>
    <n v="300"/>
    <n v="30"/>
    <n v="0"/>
    <n v="0.1"/>
    <s v="ACTIVE"/>
    <m/>
    <s v=""/>
    <m/>
    <d v="2026-05-11T15:38:36"/>
    <d v="2026-05-11T00:00:00"/>
    <x v="7"/>
    <x v="0"/>
    <n v="1"/>
    <n v="0"/>
    <x v="74"/>
    <s v="Miguel Ruiz Salazar"/>
    <x v="3"/>
  </r>
  <r>
    <n v="1895"/>
    <n v="7"/>
    <n v="5"/>
    <n v="80.09"/>
    <n v="0"/>
    <n v="1"/>
    <n v="0.1"/>
    <s v="ACTIVE"/>
    <m/>
    <s v=""/>
    <m/>
    <d v="2026-05-11T16:22:26"/>
    <d v="2026-05-11T00:00:00"/>
    <x v="7"/>
    <x v="1"/>
    <n v="1"/>
    <n v="0"/>
    <x v="1637"/>
    <s v="Teresa Rodríguez Herrera"/>
    <x v="2"/>
  </r>
  <r>
    <n v="1896"/>
    <n v="281"/>
    <n v="3"/>
    <n v="137.1"/>
    <n v="13.71"/>
    <n v="0"/>
    <n v="0.1"/>
    <s v="ACTIVE"/>
    <m/>
    <s v=""/>
    <m/>
    <d v="2026-05-11T19:00:09"/>
    <d v="2026-05-11T00:00:00"/>
    <x v="7"/>
    <x v="0"/>
    <n v="1"/>
    <n v="0"/>
    <x v="1638"/>
    <s v="Antonio Delgado Rodríguez"/>
    <x v="0"/>
  </r>
  <r>
    <n v="1897"/>
    <n v="293"/>
    <n v="3"/>
    <n v="36.630000000000003"/>
    <n v="3.66"/>
    <n v="0"/>
    <n v="0.1"/>
    <s v="ACTIVE"/>
    <m/>
    <s v=""/>
    <m/>
    <d v="2026-05-12T08:32:21"/>
    <d v="2026-05-12T00:00:00"/>
    <x v="7"/>
    <x v="0"/>
    <n v="1"/>
    <n v="0"/>
    <x v="1639"/>
    <s v="Patricia Quiñones Pérez"/>
    <x v="0"/>
  </r>
  <r>
    <n v="1898"/>
    <n v="65"/>
    <n v="3"/>
    <n v="43.09"/>
    <n v="4.3099999999999996"/>
    <n v="0"/>
    <n v="0.1"/>
    <s v="ACTIVE"/>
    <m/>
    <s v=""/>
    <m/>
    <d v="2026-05-12T08:35:10"/>
    <d v="2026-05-12T00:00:00"/>
    <x v="7"/>
    <x v="0"/>
    <n v="1"/>
    <n v="0"/>
    <x v="1640"/>
    <s v="Gabriela Flores Chávez"/>
    <x v="0"/>
  </r>
  <r>
    <n v="1899"/>
    <n v="91"/>
    <n v="4"/>
    <n v="33.380000000000003"/>
    <n v="3.34"/>
    <n v="0"/>
    <n v="0.1"/>
    <s v="ACTIVE"/>
    <m/>
    <s v=""/>
    <m/>
    <d v="2026-05-12T09:17:59"/>
    <d v="2026-05-12T00:00:00"/>
    <x v="7"/>
    <x v="0"/>
    <n v="1"/>
    <n v="0"/>
    <x v="1641"/>
    <s v="Silvia Gómez Rodríguez"/>
    <x v="3"/>
  </r>
  <r>
    <n v="1900"/>
    <n v="137"/>
    <n v="3"/>
    <n v="19.8"/>
    <n v="1.98"/>
    <n v="0"/>
    <n v="0.1"/>
    <s v="ACTIVE"/>
    <m/>
    <s v=""/>
    <m/>
    <d v="2026-05-12T09:42:27"/>
    <d v="2026-05-12T00:00:00"/>
    <x v="7"/>
    <x v="0"/>
    <n v="1"/>
    <n v="0"/>
    <x v="1642"/>
    <s v="Francisco Reyes Ruiz"/>
    <x v="0"/>
  </r>
  <r>
    <n v="1901"/>
    <n v="250"/>
    <n v="2"/>
    <n v="96.56"/>
    <n v="9.66"/>
    <n v="0"/>
    <n v="0.1"/>
    <s v="ACTIVE"/>
    <m/>
    <s v=""/>
    <m/>
    <d v="2026-05-12T09:43:27"/>
    <d v="2026-05-12T00:00:00"/>
    <x v="7"/>
    <x v="0"/>
    <n v="1"/>
    <n v="0"/>
    <x v="1643"/>
    <s v="Verónica Romero Chávez"/>
    <x v="1"/>
  </r>
  <r>
    <n v="1902"/>
    <n v="229"/>
    <n v="4"/>
    <n v="56.79"/>
    <n v="5.68"/>
    <n v="0"/>
    <n v="0.1"/>
    <s v="ACTIVE"/>
    <m/>
    <s v=""/>
    <m/>
    <d v="2026-05-12T13:49:04"/>
    <d v="2026-05-12T00:00:00"/>
    <x v="7"/>
    <x v="0"/>
    <n v="1"/>
    <n v="0"/>
    <x v="1644"/>
    <s v="Verónica González Rodríguez"/>
    <x v="3"/>
  </r>
  <r>
    <n v="1903"/>
    <n v="202"/>
    <n v="2"/>
    <n v="34.21"/>
    <n v="3.42"/>
    <n v="0"/>
    <n v="0.1"/>
    <s v="ACTIVE"/>
    <m/>
    <s v=""/>
    <m/>
    <d v="2026-05-12T16:19:35"/>
    <d v="2026-05-12T00:00:00"/>
    <x v="7"/>
    <x v="0"/>
    <n v="1"/>
    <n v="0"/>
    <x v="704"/>
    <s v="Elena Díaz Reyes"/>
    <x v="1"/>
  </r>
  <r>
    <n v="1904"/>
    <n v="16"/>
    <n v="2"/>
    <n v="208.21"/>
    <n v="20.82"/>
    <n v="0"/>
    <n v="0.1"/>
    <s v="ACTIVE"/>
    <m/>
    <s v=""/>
    <m/>
    <d v="2026-05-13T08:10:56"/>
    <d v="2026-05-13T00:00:00"/>
    <x v="7"/>
    <x v="0"/>
    <n v="1"/>
    <n v="0"/>
    <x v="1645"/>
    <s v="Laura Chávez Rangel"/>
    <x v="1"/>
  </r>
  <r>
    <n v="1905"/>
    <n v="34"/>
    <n v="4"/>
    <n v="258.92"/>
    <n v="25.89"/>
    <n v="0"/>
    <n v="0.1"/>
    <s v="ACTIVE"/>
    <m/>
    <s v=""/>
    <m/>
    <d v="2026-05-13T09:07:28"/>
    <d v="2026-05-13T00:00:00"/>
    <x v="7"/>
    <x v="0"/>
    <n v="1"/>
    <n v="0"/>
    <x v="1646"/>
    <s v="Lucía Rodríguez Rodríguez"/>
    <x v="3"/>
  </r>
  <r>
    <n v="1906"/>
    <n v="150"/>
    <n v="2"/>
    <n v="54.6"/>
    <n v="5.46"/>
    <n v="0"/>
    <n v="0.1"/>
    <s v="ACTIVE"/>
    <m/>
    <s v=""/>
    <m/>
    <d v="2026-05-13T09:21:27"/>
    <d v="2026-05-13T00:00:00"/>
    <x v="7"/>
    <x v="0"/>
    <n v="1"/>
    <n v="0"/>
    <x v="1647"/>
    <s v="Daniel Díaz Quiñones"/>
    <x v="1"/>
  </r>
  <r>
    <n v="1907"/>
    <n v="185"/>
    <n v="4"/>
    <n v="104.24"/>
    <n v="10.42"/>
    <n v="0"/>
    <n v="0.1"/>
    <s v="ACTIVE"/>
    <m/>
    <s v=""/>
    <m/>
    <d v="2026-05-13T10:47:16"/>
    <d v="2026-05-13T00:00:00"/>
    <x v="7"/>
    <x v="0"/>
    <n v="1"/>
    <n v="0"/>
    <x v="1648"/>
    <s v="Teresa Martínez González"/>
    <x v="3"/>
  </r>
  <r>
    <n v="1908"/>
    <n v="104"/>
    <n v="2"/>
    <n v="167.03"/>
    <n v="16.7"/>
    <n v="0"/>
    <n v="0.1"/>
    <s v="CANCELED"/>
    <n v="5"/>
    <s v="Solicitud del cliente"/>
    <d v="2026-05-13T13:28:43"/>
    <d v="2026-05-13T12:28:43"/>
    <d v="2026-05-13T00:00:00"/>
    <x v="7"/>
    <x v="0"/>
    <n v="1"/>
    <n v="1"/>
    <x v="32"/>
    <s v="Manuel Morales González"/>
    <x v="1"/>
  </r>
  <r>
    <n v="1909"/>
    <n v="158"/>
    <n v="4"/>
    <n v="28.93"/>
    <n v="2.89"/>
    <n v="0"/>
    <n v="0.1"/>
    <s v="CANCELED"/>
    <n v="5"/>
    <s v="Solicitud del cliente"/>
    <d v="2026-05-14T17:03:19"/>
    <d v="2026-05-13T14:03:19"/>
    <d v="2026-05-13T00:00:00"/>
    <x v="7"/>
    <x v="0"/>
    <n v="1"/>
    <n v="1"/>
    <x v="32"/>
    <s v="Juan Rodríguez Cruz"/>
    <x v="3"/>
  </r>
  <r>
    <n v="1910"/>
    <n v="162"/>
    <n v="2"/>
    <n v="87.51"/>
    <n v="8.75"/>
    <n v="0"/>
    <n v="0.1"/>
    <s v="CANCELED"/>
    <n v="5"/>
    <s v="Error de captura"/>
    <d v="2026-05-14T18:32:34"/>
    <d v="2026-05-13T15:32:34"/>
    <d v="2026-05-13T00:00:00"/>
    <x v="7"/>
    <x v="0"/>
    <n v="1"/>
    <n v="1"/>
    <x v="32"/>
    <s v="María Pérez Gómez"/>
    <x v="1"/>
  </r>
  <r>
    <n v="1911"/>
    <n v="117"/>
    <n v="5"/>
    <n v="70.930000000000007"/>
    <n v="0"/>
    <n v="1"/>
    <n v="0.1"/>
    <s v="ACTIVE"/>
    <m/>
    <s v=""/>
    <m/>
    <d v="2026-05-13T17:51:47"/>
    <d v="2026-05-13T00:00:00"/>
    <x v="7"/>
    <x v="1"/>
    <n v="1"/>
    <n v="0"/>
    <x v="1649"/>
    <s v="Manuel Ortiz Ramírez"/>
    <x v="2"/>
  </r>
  <r>
    <n v="1912"/>
    <n v="243"/>
    <n v="5"/>
    <n v="33.369999999999997"/>
    <n v="3.34"/>
    <n v="0"/>
    <n v="0.1"/>
    <s v="ACTIVE"/>
    <m/>
    <s v=""/>
    <m/>
    <d v="2026-05-14T08:19:26"/>
    <d v="2026-05-14T00:00:00"/>
    <x v="7"/>
    <x v="0"/>
    <n v="1"/>
    <n v="0"/>
    <x v="1650"/>
    <s v="Raúl García Díaz"/>
    <x v="2"/>
  </r>
  <r>
    <n v="1913"/>
    <n v="17"/>
    <n v="3"/>
    <n v="109.03"/>
    <n v="10.9"/>
    <n v="0"/>
    <n v="0.1"/>
    <s v="ACTIVE"/>
    <m/>
    <s v=""/>
    <m/>
    <d v="2026-05-14T09:08:25"/>
    <d v="2026-05-14T00:00:00"/>
    <x v="7"/>
    <x v="0"/>
    <n v="1"/>
    <n v="0"/>
    <x v="1651"/>
    <s v="Patricia Castillo Morales"/>
    <x v="0"/>
  </r>
  <r>
    <n v="1914"/>
    <n v="17"/>
    <n v="5"/>
    <n v="67.17"/>
    <n v="6.72"/>
    <n v="0"/>
    <n v="0.1"/>
    <s v="ACTIVE"/>
    <m/>
    <s v=""/>
    <m/>
    <d v="2026-05-14T14:22:46"/>
    <d v="2026-05-14T00:00:00"/>
    <x v="7"/>
    <x v="0"/>
    <n v="1"/>
    <n v="0"/>
    <x v="1652"/>
    <s v="Patricia Castillo Morales"/>
    <x v="2"/>
  </r>
  <r>
    <n v="1915"/>
    <n v="235"/>
    <n v="2"/>
    <n v="27.49"/>
    <n v="2.75"/>
    <n v="0"/>
    <n v="0.1"/>
    <s v="ACTIVE"/>
    <m/>
    <s v=""/>
    <m/>
    <d v="2026-05-14T14:53:59"/>
    <d v="2026-05-14T00:00:00"/>
    <x v="7"/>
    <x v="0"/>
    <n v="1"/>
    <n v="0"/>
    <x v="1653"/>
    <s v="Silvia González Rodríguez"/>
    <x v="1"/>
  </r>
  <r>
    <n v="1916"/>
    <n v="156"/>
    <n v="2"/>
    <n v="13.9"/>
    <n v="1.39"/>
    <n v="0"/>
    <n v="0.1"/>
    <s v="ACTIVE"/>
    <m/>
    <s v=""/>
    <m/>
    <d v="2026-05-15T08:17:36"/>
    <d v="2026-05-15T00:00:00"/>
    <x v="7"/>
    <x v="0"/>
    <n v="1"/>
    <n v="0"/>
    <x v="1654"/>
    <s v="Óscar Moreno Chávez"/>
    <x v="1"/>
  </r>
  <r>
    <n v="1917"/>
    <n v="245"/>
    <n v="5"/>
    <n v="33.590000000000003"/>
    <n v="0"/>
    <n v="1"/>
    <n v="0.1"/>
    <s v="ACTIVE"/>
    <m/>
    <s v=""/>
    <m/>
    <d v="2026-05-15T08:55:37"/>
    <d v="2026-05-15T00:00:00"/>
    <x v="7"/>
    <x v="1"/>
    <n v="1"/>
    <n v="0"/>
    <x v="599"/>
    <s v="Ana González Flores"/>
    <x v="2"/>
  </r>
  <r>
    <n v="1918"/>
    <n v="297"/>
    <n v="2"/>
    <n v="127.54"/>
    <n v="12.75"/>
    <n v="0"/>
    <n v="0.1"/>
    <s v="ACTIVE"/>
    <m/>
    <s v=""/>
    <m/>
    <d v="2026-05-15T08:56:00"/>
    <d v="2026-05-15T00:00:00"/>
    <x v="7"/>
    <x v="0"/>
    <n v="1"/>
    <n v="0"/>
    <x v="1655"/>
    <s v="Patricia Ortiz Jiménez"/>
    <x v="1"/>
  </r>
  <r>
    <n v="1919"/>
    <n v="14"/>
    <n v="2"/>
    <n v="37.67"/>
    <n v="3.77"/>
    <n v="0"/>
    <n v="0.1"/>
    <s v="ACTIVE"/>
    <m/>
    <s v=""/>
    <m/>
    <d v="2026-05-15T11:11:56"/>
    <d v="2026-05-15T00:00:00"/>
    <x v="7"/>
    <x v="0"/>
    <n v="1"/>
    <n v="0"/>
    <x v="1656"/>
    <s v="Patricia Santoyo Reyes"/>
    <x v="1"/>
  </r>
  <r>
    <n v="1920"/>
    <n v="156"/>
    <n v="3"/>
    <n v="32.799999999999997"/>
    <n v="0"/>
    <n v="1"/>
    <n v="0.1"/>
    <s v="ACTIVE"/>
    <m/>
    <s v=""/>
    <m/>
    <d v="2026-05-15T12:42:22"/>
    <d v="2026-05-15T00:00:00"/>
    <x v="7"/>
    <x v="1"/>
    <n v="1"/>
    <n v="0"/>
    <x v="1657"/>
    <s v="Óscar Moreno Chávez"/>
    <x v="0"/>
  </r>
  <r>
    <n v="1921"/>
    <n v="294"/>
    <n v="2"/>
    <n v="21.22"/>
    <n v="2.12"/>
    <n v="0"/>
    <n v="0.1"/>
    <s v="ACTIVE"/>
    <m/>
    <s v=""/>
    <m/>
    <d v="2026-05-15T17:24:32"/>
    <d v="2026-05-15T00:00:00"/>
    <x v="7"/>
    <x v="0"/>
    <n v="1"/>
    <n v="0"/>
    <x v="1658"/>
    <s v="Francisco Ramos Rodríguez"/>
    <x v="1"/>
  </r>
  <r>
    <n v="1922"/>
    <n v="39"/>
    <n v="4"/>
    <n v="283.45"/>
    <n v="0"/>
    <n v="1"/>
    <n v="0.1"/>
    <s v="ACTIVE"/>
    <m/>
    <s v=""/>
    <m/>
    <d v="2026-05-15T19:30:54"/>
    <d v="2026-05-15T00:00:00"/>
    <x v="7"/>
    <x v="1"/>
    <n v="1"/>
    <n v="0"/>
    <x v="1659"/>
    <s v="Guadalupe García Quiñones"/>
    <x v="3"/>
  </r>
  <r>
    <n v="1923"/>
    <n v="27"/>
    <n v="5"/>
    <n v="179.81"/>
    <n v="17.98"/>
    <n v="0"/>
    <n v="0.1"/>
    <s v="ACTIVE"/>
    <m/>
    <s v=""/>
    <m/>
    <d v="2026-05-16T08:33:42"/>
    <d v="2026-05-16T00:00:00"/>
    <x v="7"/>
    <x v="0"/>
    <n v="1"/>
    <n v="0"/>
    <x v="1660"/>
    <s v="Alicia Gutiérrez Quiñones"/>
    <x v="2"/>
  </r>
  <r>
    <n v="1924"/>
    <n v="96"/>
    <n v="5"/>
    <n v="161.16999999999999"/>
    <n v="16.12"/>
    <n v="0"/>
    <n v="0.1"/>
    <s v="ACTIVE"/>
    <m/>
    <s v=""/>
    <m/>
    <d v="2026-05-16T09:12:12"/>
    <d v="2026-05-16T00:00:00"/>
    <x v="7"/>
    <x v="0"/>
    <n v="1"/>
    <n v="0"/>
    <x v="1661"/>
    <s v="José Pérez Herrera"/>
    <x v="2"/>
  </r>
  <r>
    <n v="1925"/>
    <n v="39"/>
    <n v="3"/>
    <n v="201.2"/>
    <n v="20.12"/>
    <n v="0"/>
    <n v="0.1"/>
    <s v="ACTIVE"/>
    <m/>
    <s v=""/>
    <m/>
    <d v="2026-05-16T09:37:09"/>
    <d v="2026-05-16T00:00:00"/>
    <x v="7"/>
    <x v="0"/>
    <n v="1"/>
    <n v="0"/>
    <x v="1662"/>
    <s v="Guadalupe García Quiñones"/>
    <x v="0"/>
  </r>
  <r>
    <n v="1926"/>
    <n v="297"/>
    <n v="2"/>
    <n v="52.8"/>
    <n v="5.28"/>
    <n v="0"/>
    <n v="0.1"/>
    <s v="ACTIVE"/>
    <m/>
    <s v=""/>
    <m/>
    <d v="2026-05-16T09:37:45"/>
    <d v="2026-05-16T00:00:00"/>
    <x v="7"/>
    <x v="0"/>
    <n v="1"/>
    <n v="0"/>
    <x v="1663"/>
    <s v="Patricia Ortiz Jiménez"/>
    <x v="1"/>
  </r>
  <r>
    <n v="1927"/>
    <n v="91"/>
    <n v="2"/>
    <n v="29.46"/>
    <n v="2.95"/>
    <n v="0"/>
    <n v="0.1"/>
    <s v="ACTIVE"/>
    <m/>
    <s v=""/>
    <m/>
    <d v="2026-05-16T10:21:49"/>
    <d v="2026-05-16T00:00:00"/>
    <x v="7"/>
    <x v="0"/>
    <n v="1"/>
    <n v="0"/>
    <x v="1664"/>
    <s v="Silvia Gómez Rodríguez"/>
    <x v="1"/>
  </r>
  <r>
    <n v="1928"/>
    <n v="218"/>
    <n v="4"/>
    <n v="36.729999999999997"/>
    <n v="3.67"/>
    <n v="0"/>
    <n v="0.1"/>
    <s v="ACTIVE"/>
    <m/>
    <s v=""/>
    <m/>
    <d v="2026-05-16T10:23:08"/>
    <d v="2026-05-16T00:00:00"/>
    <x v="7"/>
    <x v="0"/>
    <n v="1"/>
    <n v="0"/>
    <x v="1665"/>
    <s v="Norma García López"/>
    <x v="3"/>
  </r>
  <r>
    <n v="1929"/>
    <n v="84"/>
    <n v="3"/>
    <n v="130.72"/>
    <n v="13.07"/>
    <n v="0"/>
    <n v="0.1"/>
    <s v="ACTIVE"/>
    <m/>
    <s v=""/>
    <m/>
    <d v="2026-05-16T10:42:53"/>
    <d v="2026-05-16T00:00:00"/>
    <x v="7"/>
    <x v="0"/>
    <n v="1"/>
    <n v="0"/>
    <x v="1666"/>
    <s v="Fernando Vázquez Herrera"/>
    <x v="0"/>
  </r>
  <r>
    <n v="1930"/>
    <n v="149"/>
    <n v="5"/>
    <n v="31.23"/>
    <n v="3.12"/>
    <n v="0"/>
    <n v="0.1"/>
    <s v="ACTIVE"/>
    <m/>
    <s v=""/>
    <m/>
    <d v="2026-05-16T11:25:17"/>
    <d v="2026-05-16T00:00:00"/>
    <x v="7"/>
    <x v="0"/>
    <n v="1"/>
    <n v="0"/>
    <x v="1000"/>
    <s v="Pedro Morales Morales"/>
    <x v="2"/>
  </r>
  <r>
    <n v="1931"/>
    <n v="294"/>
    <n v="5"/>
    <n v="18.399999999999999"/>
    <n v="1.84"/>
    <n v="0"/>
    <n v="0.1"/>
    <s v="CANCELED"/>
    <n v="5"/>
    <s v="Error de captura"/>
    <d v="2026-05-17T20:03:40"/>
    <d v="2026-05-16T17:03:40"/>
    <d v="2026-05-16T00:00:00"/>
    <x v="7"/>
    <x v="0"/>
    <n v="1"/>
    <n v="1"/>
    <x v="32"/>
    <s v="Francisco Ramos Rodríguez"/>
    <x v="2"/>
  </r>
  <r>
    <n v="1932"/>
    <n v="250"/>
    <n v="4"/>
    <n v="60.82"/>
    <n v="6.08"/>
    <n v="0"/>
    <n v="0.1"/>
    <s v="ACTIVE"/>
    <m/>
    <s v=""/>
    <m/>
    <d v="2026-05-17T11:09:35"/>
    <d v="2026-05-17T00:00:00"/>
    <x v="7"/>
    <x v="0"/>
    <n v="1"/>
    <n v="0"/>
    <x v="1667"/>
    <s v="Verónica Romero Chávez"/>
    <x v="3"/>
  </r>
  <r>
    <n v="1933"/>
    <n v="136"/>
    <n v="4"/>
    <n v="56.86"/>
    <n v="5.69"/>
    <n v="0"/>
    <n v="0.1"/>
    <s v="ACTIVE"/>
    <m/>
    <s v=""/>
    <m/>
    <d v="2026-05-17T11:23:56"/>
    <d v="2026-05-17T00:00:00"/>
    <x v="7"/>
    <x v="0"/>
    <n v="1"/>
    <n v="0"/>
    <x v="1668"/>
    <s v="Guadalupe Castillo Rangel"/>
    <x v="3"/>
  </r>
  <r>
    <n v="1934"/>
    <n v="182"/>
    <n v="4"/>
    <n v="62.66"/>
    <n v="6.27"/>
    <n v="0"/>
    <n v="0.1"/>
    <s v="ACTIVE"/>
    <m/>
    <s v=""/>
    <m/>
    <d v="2026-05-18T08:39:34"/>
    <d v="2026-05-18T00:00:00"/>
    <x v="7"/>
    <x v="0"/>
    <n v="1"/>
    <n v="0"/>
    <x v="1669"/>
    <s v="Manuel González Salazar"/>
    <x v="3"/>
  </r>
  <r>
    <n v="1935"/>
    <n v="39"/>
    <n v="5"/>
    <n v="234.81"/>
    <n v="23.48"/>
    <n v="0"/>
    <n v="0.1"/>
    <s v="ACTIVE"/>
    <m/>
    <s v=""/>
    <m/>
    <d v="2026-05-18T09:09:30"/>
    <d v="2026-05-18T00:00:00"/>
    <x v="7"/>
    <x v="0"/>
    <n v="1"/>
    <n v="0"/>
    <x v="1670"/>
    <s v="Guadalupe García Quiñones"/>
    <x v="2"/>
  </r>
  <r>
    <n v="1936"/>
    <n v="250"/>
    <n v="2"/>
    <n v="130.94"/>
    <n v="13.09"/>
    <n v="0"/>
    <n v="0.1"/>
    <s v="ACTIVE"/>
    <m/>
    <s v=""/>
    <m/>
    <d v="2026-05-18T09:54:30"/>
    <d v="2026-05-18T00:00:00"/>
    <x v="7"/>
    <x v="0"/>
    <n v="1"/>
    <n v="0"/>
    <x v="1671"/>
    <s v="Verónica Romero Chávez"/>
    <x v="1"/>
  </r>
  <r>
    <n v="1937"/>
    <n v="250"/>
    <n v="3"/>
    <n v="172.68"/>
    <n v="17.27"/>
    <n v="0"/>
    <n v="0.1"/>
    <s v="ACTIVE"/>
    <m/>
    <s v=""/>
    <m/>
    <d v="2026-05-18T10:04:01"/>
    <d v="2026-05-18T00:00:00"/>
    <x v="7"/>
    <x v="0"/>
    <n v="1"/>
    <n v="0"/>
    <x v="1672"/>
    <s v="Verónica Romero Chávez"/>
    <x v="0"/>
  </r>
  <r>
    <n v="1938"/>
    <n v="243"/>
    <n v="3"/>
    <n v="23.99"/>
    <n v="2.4"/>
    <n v="0"/>
    <n v="0.1"/>
    <s v="ACTIVE"/>
    <m/>
    <s v=""/>
    <m/>
    <d v="2026-05-18T10:08:28"/>
    <d v="2026-05-18T00:00:00"/>
    <x v="7"/>
    <x v="0"/>
    <n v="1"/>
    <n v="0"/>
    <x v="1673"/>
    <s v="Raúl García Díaz"/>
    <x v="0"/>
  </r>
  <r>
    <n v="1939"/>
    <n v="281"/>
    <n v="5"/>
    <n v="119.65"/>
    <n v="11.97"/>
    <n v="0"/>
    <n v="0.1"/>
    <s v="ACTIVE"/>
    <m/>
    <s v=""/>
    <m/>
    <d v="2026-05-18T10:27:46"/>
    <d v="2026-05-18T00:00:00"/>
    <x v="7"/>
    <x v="0"/>
    <n v="1"/>
    <n v="0"/>
    <x v="1196"/>
    <s v="Antonio Delgado Rodríguez"/>
    <x v="2"/>
  </r>
  <r>
    <n v="1940"/>
    <n v="230"/>
    <n v="4"/>
    <n v="231.02"/>
    <n v="23.1"/>
    <n v="0"/>
    <n v="0.1"/>
    <s v="ACTIVE"/>
    <m/>
    <s v=""/>
    <m/>
    <d v="2026-05-18T11:45:47"/>
    <d v="2026-05-18T00:00:00"/>
    <x v="7"/>
    <x v="0"/>
    <n v="1"/>
    <n v="0"/>
    <x v="1674"/>
    <s v="Antonio Chávez Quiñones"/>
    <x v="3"/>
  </r>
  <r>
    <n v="1941"/>
    <n v="149"/>
    <n v="5"/>
    <n v="35.659999999999997"/>
    <n v="3.57"/>
    <n v="0"/>
    <n v="0.1"/>
    <s v="ACTIVE"/>
    <m/>
    <s v=""/>
    <m/>
    <d v="2026-05-18T12:18:16"/>
    <d v="2026-05-18T00:00:00"/>
    <x v="7"/>
    <x v="0"/>
    <n v="1"/>
    <n v="0"/>
    <x v="1675"/>
    <s v="Pedro Morales Morales"/>
    <x v="2"/>
  </r>
  <r>
    <n v="1942"/>
    <n v="190"/>
    <n v="4"/>
    <n v="112.21"/>
    <n v="11.22"/>
    <n v="0"/>
    <n v="0.1"/>
    <s v="ACTIVE"/>
    <m/>
    <s v=""/>
    <m/>
    <d v="2026-05-18T15:06:31"/>
    <d v="2026-05-18T00:00:00"/>
    <x v="7"/>
    <x v="0"/>
    <n v="1"/>
    <n v="0"/>
    <x v="1676"/>
    <s v="Ricardo Díaz Rodríguez"/>
    <x v="3"/>
  </r>
  <r>
    <n v="1943"/>
    <n v="277"/>
    <n v="2"/>
    <n v="78.239999999999995"/>
    <n v="7.82"/>
    <n v="0"/>
    <n v="0.1"/>
    <s v="ACTIVE"/>
    <m/>
    <s v=""/>
    <m/>
    <d v="2026-05-18T16:25:00"/>
    <d v="2026-05-18T00:00:00"/>
    <x v="7"/>
    <x v="0"/>
    <n v="1"/>
    <n v="0"/>
    <x v="1677"/>
    <s v="Laura Ramos Gutiérrez"/>
    <x v="1"/>
  </r>
  <r>
    <n v="1944"/>
    <n v="185"/>
    <n v="4"/>
    <n v="128.26"/>
    <n v="12.83"/>
    <n v="0"/>
    <n v="0.1"/>
    <s v="ACTIVE"/>
    <m/>
    <s v=""/>
    <m/>
    <d v="2026-05-18T18:25:45"/>
    <d v="2026-05-18T00:00:00"/>
    <x v="7"/>
    <x v="0"/>
    <n v="1"/>
    <n v="0"/>
    <x v="1678"/>
    <s v="Teresa Martínez González"/>
    <x v="3"/>
  </r>
  <r>
    <n v="1945"/>
    <n v="16"/>
    <n v="5"/>
    <n v="300"/>
    <n v="30"/>
    <n v="0"/>
    <n v="0.1"/>
    <s v="ACTIVE"/>
    <m/>
    <s v=""/>
    <m/>
    <d v="2026-05-18T19:22:25"/>
    <d v="2026-05-18T00:00:00"/>
    <x v="7"/>
    <x v="0"/>
    <n v="1"/>
    <n v="0"/>
    <x v="74"/>
    <s v="Laura Chávez Rangel"/>
    <x v="2"/>
  </r>
  <r>
    <n v="1946"/>
    <n v="250"/>
    <n v="4"/>
    <n v="51.34"/>
    <n v="5.13"/>
    <n v="0"/>
    <n v="0.1"/>
    <s v="ACTIVE"/>
    <m/>
    <s v=""/>
    <m/>
    <d v="2026-05-19T11:12:15"/>
    <d v="2026-05-19T00:00:00"/>
    <x v="7"/>
    <x v="0"/>
    <n v="1"/>
    <n v="0"/>
    <x v="1679"/>
    <s v="Verónica Romero Chávez"/>
    <x v="3"/>
  </r>
  <r>
    <n v="1947"/>
    <n v="39"/>
    <n v="5"/>
    <n v="127.94"/>
    <n v="12.79"/>
    <n v="0"/>
    <n v="0.1"/>
    <s v="ACTIVE"/>
    <m/>
    <s v=""/>
    <m/>
    <d v="2026-05-19T14:19:43"/>
    <d v="2026-05-19T00:00:00"/>
    <x v="7"/>
    <x v="0"/>
    <n v="1"/>
    <n v="0"/>
    <x v="1680"/>
    <s v="Guadalupe García Quiñones"/>
    <x v="2"/>
  </r>
  <r>
    <n v="1948"/>
    <n v="189"/>
    <n v="4"/>
    <n v="46.69"/>
    <n v="4.67"/>
    <n v="0"/>
    <n v="0.1"/>
    <s v="ACTIVE"/>
    <m/>
    <s v=""/>
    <m/>
    <d v="2026-05-19T16:10:15"/>
    <d v="2026-05-19T00:00:00"/>
    <x v="7"/>
    <x v="0"/>
    <n v="1"/>
    <n v="0"/>
    <x v="1681"/>
    <s v="Daniel Delgado Romero"/>
    <x v="3"/>
  </r>
  <r>
    <n v="1949"/>
    <n v="231"/>
    <n v="2"/>
    <n v="131.44999999999999"/>
    <n v="13.15"/>
    <n v="0"/>
    <n v="0.1"/>
    <s v="ACTIVE"/>
    <m/>
    <s v=""/>
    <m/>
    <d v="2026-05-19T18:02:53"/>
    <d v="2026-05-19T00:00:00"/>
    <x v="7"/>
    <x v="0"/>
    <n v="1"/>
    <n v="0"/>
    <x v="1682"/>
    <s v="Alicia Ramos Rangel"/>
    <x v="1"/>
  </r>
  <r>
    <n v="1950"/>
    <n v="47"/>
    <n v="5"/>
    <n v="17.48"/>
    <n v="1.75"/>
    <n v="0"/>
    <n v="0.1"/>
    <s v="ACTIVE"/>
    <m/>
    <s v=""/>
    <m/>
    <d v="2026-05-19T18:47:43"/>
    <d v="2026-05-19T00:00:00"/>
    <x v="7"/>
    <x v="0"/>
    <n v="1"/>
    <n v="0"/>
    <x v="1683"/>
    <s v="Carmen Díaz Chávez"/>
    <x v="2"/>
  </r>
  <r>
    <n v="1951"/>
    <n v="253"/>
    <n v="5"/>
    <n v="28.21"/>
    <n v="2.82"/>
    <n v="0"/>
    <n v="0.1"/>
    <s v="ACTIVE"/>
    <m/>
    <s v=""/>
    <m/>
    <d v="2026-05-20T07:40:03"/>
    <d v="2026-05-20T00:00:00"/>
    <x v="7"/>
    <x v="0"/>
    <n v="1"/>
    <n v="0"/>
    <x v="1684"/>
    <s v="Luis Hernández Morales"/>
    <x v="2"/>
  </r>
  <r>
    <n v="1952"/>
    <n v="82"/>
    <n v="5"/>
    <n v="44.32"/>
    <n v="4.43"/>
    <n v="0"/>
    <n v="0.1"/>
    <s v="ACTIVE"/>
    <m/>
    <s v=""/>
    <m/>
    <d v="2026-05-20T09:00:18"/>
    <d v="2026-05-20T00:00:00"/>
    <x v="7"/>
    <x v="0"/>
    <n v="1"/>
    <n v="0"/>
    <x v="1685"/>
    <s v="Norma Zacatecas Sánchez"/>
    <x v="2"/>
  </r>
  <r>
    <n v="1953"/>
    <n v="149"/>
    <n v="5"/>
    <n v="29.31"/>
    <n v="2.93"/>
    <n v="0"/>
    <n v="0.1"/>
    <s v="ACTIVE"/>
    <m/>
    <s v=""/>
    <m/>
    <d v="2026-05-20T09:24:31"/>
    <d v="2026-05-20T00:00:00"/>
    <x v="7"/>
    <x v="0"/>
    <n v="1"/>
    <n v="0"/>
    <x v="1241"/>
    <s v="Pedro Morales Morales"/>
    <x v="2"/>
  </r>
  <r>
    <n v="1954"/>
    <n v="292"/>
    <n v="5"/>
    <n v="18.66"/>
    <n v="1.87"/>
    <n v="0"/>
    <n v="0.1"/>
    <s v="ACTIVE"/>
    <m/>
    <s v=""/>
    <m/>
    <d v="2026-05-20T11:53:00"/>
    <d v="2026-05-20T00:00:00"/>
    <x v="7"/>
    <x v="0"/>
    <n v="1"/>
    <n v="0"/>
    <x v="1686"/>
    <s v="Fernando Ramírez Gutiérrez"/>
    <x v="2"/>
  </r>
  <r>
    <n v="1955"/>
    <n v="27"/>
    <n v="3"/>
    <n v="95.92"/>
    <n v="9.59"/>
    <n v="0"/>
    <n v="0.1"/>
    <s v="ACTIVE"/>
    <m/>
    <s v=""/>
    <m/>
    <d v="2026-05-20T14:58:44"/>
    <d v="2026-05-20T00:00:00"/>
    <x v="7"/>
    <x v="0"/>
    <n v="1"/>
    <n v="0"/>
    <x v="1687"/>
    <s v="Alicia Gutiérrez Quiñones"/>
    <x v="0"/>
  </r>
  <r>
    <n v="1956"/>
    <n v="39"/>
    <n v="5"/>
    <n v="228.92"/>
    <n v="22.89"/>
    <n v="0"/>
    <n v="0.1"/>
    <s v="ACTIVE"/>
    <m/>
    <s v=""/>
    <m/>
    <d v="2026-05-20T16:11:57"/>
    <d v="2026-05-20T00:00:00"/>
    <x v="7"/>
    <x v="0"/>
    <n v="1"/>
    <n v="0"/>
    <x v="1688"/>
    <s v="Guadalupe García Quiñones"/>
    <x v="2"/>
  </r>
  <r>
    <n v="1957"/>
    <n v="250"/>
    <n v="3"/>
    <n v="50.23"/>
    <n v="5.0199999999999996"/>
    <n v="0"/>
    <n v="0.1"/>
    <s v="ACTIVE"/>
    <m/>
    <s v=""/>
    <m/>
    <d v="2026-05-20T16:48:37"/>
    <d v="2026-05-20T00:00:00"/>
    <x v="7"/>
    <x v="0"/>
    <n v="1"/>
    <n v="0"/>
    <x v="1689"/>
    <s v="Verónica Romero Chávez"/>
    <x v="0"/>
  </r>
  <r>
    <n v="1958"/>
    <n v="261"/>
    <n v="3"/>
    <n v="55.96"/>
    <n v="5.6"/>
    <n v="0"/>
    <n v="0.1"/>
    <s v="ACTIVE"/>
    <m/>
    <s v=""/>
    <m/>
    <d v="2026-05-21T10:29:36"/>
    <d v="2026-05-21T00:00:00"/>
    <x v="7"/>
    <x v="0"/>
    <n v="1"/>
    <n v="0"/>
    <x v="1690"/>
    <s v="Carmen Moreno Delgado"/>
    <x v="0"/>
  </r>
  <r>
    <n v="1959"/>
    <n v="229"/>
    <n v="2"/>
    <n v="148.16"/>
    <n v="14.82"/>
    <n v="0"/>
    <n v="0.1"/>
    <s v="ACTIVE"/>
    <m/>
    <s v=""/>
    <m/>
    <d v="2026-05-21T14:09:40"/>
    <d v="2026-05-21T00:00:00"/>
    <x v="7"/>
    <x v="0"/>
    <n v="1"/>
    <n v="0"/>
    <x v="1052"/>
    <s v="Verónica González Rodríguez"/>
    <x v="1"/>
  </r>
  <r>
    <n v="1960"/>
    <n v="156"/>
    <n v="3"/>
    <n v="36.44"/>
    <n v="3.64"/>
    <n v="0"/>
    <n v="0.1"/>
    <s v="ACTIVE"/>
    <m/>
    <s v=""/>
    <m/>
    <d v="2026-05-21T15:01:29"/>
    <d v="2026-05-21T00:00:00"/>
    <x v="7"/>
    <x v="0"/>
    <n v="1"/>
    <n v="0"/>
    <x v="1691"/>
    <s v="Óscar Moreno Chávez"/>
    <x v="0"/>
  </r>
  <r>
    <n v="1961"/>
    <n v="250"/>
    <n v="5"/>
    <n v="78.150000000000006"/>
    <n v="7.82"/>
    <n v="0"/>
    <n v="0.1"/>
    <s v="ACTIVE"/>
    <m/>
    <s v=""/>
    <m/>
    <d v="2026-05-21T17:20:27"/>
    <d v="2026-05-21T00:00:00"/>
    <x v="7"/>
    <x v="0"/>
    <n v="1"/>
    <n v="0"/>
    <x v="1692"/>
    <s v="Verónica Romero Chávez"/>
    <x v="2"/>
  </r>
  <r>
    <n v="1962"/>
    <n v="41"/>
    <n v="4"/>
    <n v="104.54"/>
    <n v="10.45"/>
    <n v="0"/>
    <n v="0.1"/>
    <s v="ACTIVE"/>
    <m/>
    <s v=""/>
    <m/>
    <d v="2026-05-22T10:02:57"/>
    <d v="2026-05-22T00:00:00"/>
    <x v="7"/>
    <x v="0"/>
    <n v="1"/>
    <n v="0"/>
    <x v="1693"/>
    <s v="Guadalupe González Zacatecas"/>
    <x v="3"/>
  </r>
  <r>
    <n v="1963"/>
    <n v="252"/>
    <n v="4"/>
    <n v="31.44"/>
    <n v="3.14"/>
    <n v="0"/>
    <n v="0.1"/>
    <s v="ACTIVE"/>
    <m/>
    <s v=""/>
    <m/>
    <d v="2026-05-22T10:53:49"/>
    <d v="2026-05-22T00:00:00"/>
    <x v="7"/>
    <x v="0"/>
    <n v="1"/>
    <n v="0"/>
    <x v="1198"/>
    <s v="Martha Delgado Mendoza"/>
    <x v="3"/>
  </r>
  <r>
    <n v="1964"/>
    <n v="25"/>
    <n v="3"/>
    <n v="132.16"/>
    <n v="13.22"/>
    <n v="0"/>
    <n v="0.1"/>
    <s v="CANCELED"/>
    <n v="4"/>
    <s v="Monto duplicado por error de sistema"/>
    <d v="2026-05-23T01:27:10"/>
    <d v="2026-05-22T14:27:10"/>
    <d v="2026-05-22T00:00:00"/>
    <x v="7"/>
    <x v="0"/>
    <n v="1"/>
    <n v="1"/>
    <x v="32"/>
    <s v="Martha Rodríguez López"/>
    <x v="0"/>
  </r>
  <r>
    <n v="1965"/>
    <n v="285"/>
    <n v="4"/>
    <n v="50.27"/>
    <n v="5.03"/>
    <n v="0"/>
    <n v="0.1"/>
    <s v="ACTIVE"/>
    <m/>
    <s v=""/>
    <m/>
    <d v="2026-05-22T16:26:51"/>
    <d v="2026-05-22T00:00:00"/>
    <x v="7"/>
    <x v="0"/>
    <n v="1"/>
    <n v="0"/>
    <x v="1694"/>
    <s v="Alicia Martínez Aguilar"/>
    <x v="3"/>
  </r>
  <r>
    <n v="1966"/>
    <n v="11"/>
    <n v="5"/>
    <n v="280.92"/>
    <n v="28.09"/>
    <n v="0"/>
    <n v="0.1"/>
    <s v="ACTIVE"/>
    <m/>
    <s v=""/>
    <m/>
    <d v="2026-05-22T18:26:44"/>
    <d v="2026-05-22T00:00:00"/>
    <x v="7"/>
    <x v="0"/>
    <n v="1"/>
    <n v="0"/>
    <x v="1695"/>
    <s v="Guadalupe Pérez Rodríguez"/>
    <x v="2"/>
  </r>
  <r>
    <n v="1967"/>
    <n v="170"/>
    <n v="5"/>
    <n v="99.06"/>
    <n v="9.91"/>
    <n v="0"/>
    <n v="0.1"/>
    <s v="ACTIVE"/>
    <m/>
    <s v=""/>
    <m/>
    <d v="2026-05-23T07:55:43"/>
    <d v="2026-05-23T00:00:00"/>
    <x v="7"/>
    <x v="0"/>
    <n v="1"/>
    <n v="0"/>
    <x v="1696"/>
    <s v="Jorge Cruz Sánchez"/>
    <x v="2"/>
  </r>
  <r>
    <n v="1968"/>
    <n v="96"/>
    <n v="3"/>
    <n v="152.94"/>
    <n v="15.29"/>
    <n v="0"/>
    <n v="0.1"/>
    <s v="ACTIVE"/>
    <m/>
    <s v=""/>
    <m/>
    <d v="2026-05-23T08:47:56"/>
    <d v="2026-05-23T00:00:00"/>
    <x v="7"/>
    <x v="0"/>
    <n v="1"/>
    <n v="0"/>
    <x v="1697"/>
    <s v="José Pérez Herrera"/>
    <x v="0"/>
  </r>
  <r>
    <n v="1969"/>
    <n v="200"/>
    <n v="2"/>
    <n v="38.82"/>
    <n v="3.88"/>
    <n v="0"/>
    <n v="0.1"/>
    <s v="ACTIVE"/>
    <m/>
    <s v=""/>
    <m/>
    <d v="2026-05-23T09:18:08"/>
    <d v="2026-05-23T00:00:00"/>
    <x v="7"/>
    <x v="0"/>
    <n v="1"/>
    <n v="0"/>
    <x v="1698"/>
    <s v="Antonio Pérez Martínez"/>
    <x v="1"/>
  </r>
  <r>
    <n v="1970"/>
    <n v="82"/>
    <n v="5"/>
    <n v="48.94"/>
    <n v="4.8899999999999997"/>
    <n v="0"/>
    <n v="0.1"/>
    <s v="ACTIVE"/>
    <m/>
    <s v=""/>
    <m/>
    <d v="2026-05-23T09:19:53"/>
    <d v="2026-05-23T00:00:00"/>
    <x v="7"/>
    <x v="0"/>
    <n v="1"/>
    <n v="0"/>
    <x v="1699"/>
    <s v="Norma Zacatecas Sánchez"/>
    <x v="2"/>
  </r>
  <r>
    <n v="1971"/>
    <n v="137"/>
    <n v="5"/>
    <n v="29.7"/>
    <n v="2.97"/>
    <n v="0"/>
    <n v="0.1"/>
    <s v="ACTIVE"/>
    <m/>
    <s v=""/>
    <m/>
    <d v="2026-05-23T09:56:43"/>
    <d v="2026-05-23T00:00:00"/>
    <x v="7"/>
    <x v="0"/>
    <n v="1"/>
    <n v="0"/>
    <x v="1700"/>
    <s v="Francisco Reyes Ruiz"/>
    <x v="2"/>
  </r>
  <r>
    <n v="1972"/>
    <n v="39"/>
    <n v="3"/>
    <n v="275.08"/>
    <n v="27.51"/>
    <n v="0"/>
    <n v="0.1"/>
    <s v="ACTIVE"/>
    <m/>
    <s v=""/>
    <m/>
    <d v="2026-05-23T12:18:27"/>
    <d v="2026-05-23T00:00:00"/>
    <x v="7"/>
    <x v="0"/>
    <n v="1"/>
    <n v="0"/>
    <x v="1701"/>
    <s v="Guadalupe García Quiñones"/>
    <x v="0"/>
  </r>
  <r>
    <n v="1973"/>
    <n v="285"/>
    <n v="2"/>
    <n v="28.62"/>
    <n v="2.86"/>
    <n v="0"/>
    <n v="0.1"/>
    <s v="ACTIVE"/>
    <m/>
    <s v=""/>
    <m/>
    <d v="2026-05-23T12:32:48"/>
    <d v="2026-05-23T00:00:00"/>
    <x v="7"/>
    <x v="0"/>
    <n v="1"/>
    <n v="0"/>
    <x v="321"/>
    <s v="Alicia Martínez Aguilar"/>
    <x v="1"/>
  </r>
  <r>
    <n v="1974"/>
    <n v="65"/>
    <n v="5"/>
    <n v="19.52"/>
    <n v="0"/>
    <n v="1"/>
    <n v="0.1"/>
    <s v="CANCELED"/>
    <n v="2"/>
    <s v="Error de captura"/>
    <d v="2026-05-24T10:23:34"/>
    <d v="2026-05-23T13:23:34"/>
    <d v="2026-05-23T00:00:00"/>
    <x v="7"/>
    <x v="1"/>
    <n v="1"/>
    <n v="1"/>
    <x v="32"/>
    <s v="Gabriela Flores Chávez"/>
    <x v="2"/>
  </r>
  <r>
    <n v="1975"/>
    <n v="87"/>
    <n v="3"/>
    <n v="92.46"/>
    <n v="9.25"/>
    <n v="0"/>
    <n v="0.1"/>
    <s v="ACTIVE"/>
    <m/>
    <s v=""/>
    <m/>
    <d v="2026-05-23T17:19:14"/>
    <d v="2026-05-23T00:00:00"/>
    <x v="7"/>
    <x v="0"/>
    <n v="1"/>
    <n v="0"/>
    <x v="1702"/>
    <s v="Antonio Reyes Romero"/>
    <x v="0"/>
  </r>
  <r>
    <n v="1976"/>
    <n v="304"/>
    <n v="2"/>
    <n v="23.32"/>
    <n v="2.33"/>
    <n v="0"/>
    <n v="0.1"/>
    <s v="ACTIVE"/>
    <m/>
    <s v=""/>
    <m/>
    <d v="2026-05-23T18:20:46"/>
    <d v="2026-05-23T00:00:00"/>
    <x v="7"/>
    <x v="0"/>
    <n v="1"/>
    <n v="0"/>
    <x v="552"/>
    <s v="Leticia González Sánchez"/>
    <x v="1"/>
  </r>
  <r>
    <n v="1977"/>
    <n v="16"/>
    <n v="2"/>
    <n v="233.98"/>
    <n v="23.4"/>
    <n v="0"/>
    <n v="0.1"/>
    <s v="ACTIVE"/>
    <m/>
    <s v=""/>
    <m/>
    <d v="2026-05-24T08:09:40"/>
    <d v="2026-05-24T00:00:00"/>
    <x v="7"/>
    <x v="0"/>
    <n v="1"/>
    <n v="0"/>
    <x v="1703"/>
    <s v="Laura Chávez Rangel"/>
    <x v="1"/>
  </r>
  <r>
    <n v="1978"/>
    <n v="289"/>
    <n v="2"/>
    <n v="77.59"/>
    <n v="7.76"/>
    <n v="0"/>
    <n v="0.1"/>
    <s v="ACTIVE"/>
    <m/>
    <s v=""/>
    <m/>
    <d v="2026-05-24T09:54:02"/>
    <d v="2026-05-24T00:00:00"/>
    <x v="7"/>
    <x v="0"/>
    <n v="1"/>
    <n v="0"/>
    <x v="1051"/>
    <s v="Javier Ávila Ortiz"/>
    <x v="1"/>
  </r>
  <r>
    <n v="1979"/>
    <n v="139"/>
    <n v="2"/>
    <n v="83.54"/>
    <n v="8.35"/>
    <n v="0"/>
    <n v="0.1"/>
    <s v="ACTIVE"/>
    <m/>
    <s v=""/>
    <m/>
    <d v="2026-05-24T11:19:46"/>
    <d v="2026-05-24T00:00:00"/>
    <x v="7"/>
    <x v="0"/>
    <n v="1"/>
    <n v="0"/>
    <x v="1704"/>
    <s v="Isabel Delgado Ramos"/>
    <x v="1"/>
  </r>
  <r>
    <n v="1980"/>
    <n v="172"/>
    <n v="2"/>
    <n v="38.94"/>
    <n v="3.89"/>
    <n v="0"/>
    <n v="0.1"/>
    <s v="ACTIVE"/>
    <m/>
    <s v=""/>
    <m/>
    <d v="2026-05-24T13:24:12"/>
    <d v="2026-05-24T00:00:00"/>
    <x v="7"/>
    <x v="0"/>
    <n v="1"/>
    <n v="0"/>
    <x v="1705"/>
    <s v="Silvia Salazar Ortiz"/>
    <x v="1"/>
  </r>
  <r>
    <n v="1981"/>
    <n v="91"/>
    <n v="5"/>
    <n v="25.08"/>
    <n v="0"/>
    <n v="1"/>
    <n v="0.1"/>
    <s v="ACTIVE"/>
    <m/>
    <s v=""/>
    <m/>
    <d v="2026-05-24T13:44:37"/>
    <d v="2026-05-24T00:00:00"/>
    <x v="7"/>
    <x v="1"/>
    <n v="1"/>
    <n v="0"/>
    <x v="1706"/>
    <s v="Silvia Gómez Rodríguez"/>
    <x v="2"/>
  </r>
  <r>
    <n v="1982"/>
    <n v="137"/>
    <n v="5"/>
    <n v="16.91"/>
    <n v="1.69"/>
    <n v="0"/>
    <n v="0.1"/>
    <s v="ACTIVE"/>
    <m/>
    <s v=""/>
    <m/>
    <d v="2026-05-24T15:06:46"/>
    <d v="2026-05-24T00:00:00"/>
    <x v="7"/>
    <x v="0"/>
    <n v="1"/>
    <n v="0"/>
    <x v="1707"/>
    <s v="Francisco Reyes Ruiz"/>
    <x v="2"/>
  </r>
  <r>
    <n v="1983"/>
    <n v="173"/>
    <n v="3"/>
    <n v="118.34"/>
    <n v="11.83"/>
    <n v="0"/>
    <n v="0.1"/>
    <s v="ACTIVE"/>
    <m/>
    <s v=""/>
    <m/>
    <d v="2026-05-24T16:32:17"/>
    <d v="2026-05-24T00:00:00"/>
    <x v="7"/>
    <x v="0"/>
    <n v="1"/>
    <n v="0"/>
    <x v="1708"/>
    <s v="Fernando Zacatecas Ramírez"/>
    <x v="0"/>
  </r>
  <r>
    <n v="1984"/>
    <n v="39"/>
    <n v="3"/>
    <n v="124.78"/>
    <n v="12.48"/>
    <n v="0"/>
    <n v="0.1"/>
    <s v="ACTIVE"/>
    <m/>
    <s v=""/>
    <m/>
    <d v="2026-05-24T17:20:44"/>
    <d v="2026-05-24T00:00:00"/>
    <x v="7"/>
    <x v="0"/>
    <n v="1"/>
    <n v="0"/>
    <x v="1709"/>
    <s v="Guadalupe García Quiñones"/>
    <x v="0"/>
  </r>
  <r>
    <n v="1985"/>
    <n v="7"/>
    <n v="2"/>
    <n v="131.13"/>
    <n v="13.11"/>
    <n v="0"/>
    <n v="0.1"/>
    <s v="ACTIVE"/>
    <m/>
    <s v=""/>
    <m/>
    <d v="2026-05-24T18:08:31"/>
    <d v="2026-05-24T00:00:00"/>
    <x v="7"/>
    <x v="0"/>
    <n v="1"/>
    <n v="0"/>
    <x v="1710"/>
    <s v="Teresa Rodríguez Herrera"/>
    <x v="1"/>
  </r>
  <r>
    <n v="1986"/>
    <n v="45"/>
    <n v="3"/>
    <n v="83.64"/>
    <n v="8.36"/>
    <n v="0"/>
    <n v="0.1"/>
    <s v="ACTIVE"/>
    <m/>
    <s v=""/>
    <m/>
    <d v="2026-05-24T19:08:05"/>
    <d v="2026-05-24T00:00:00"/>
    <x v="7"/>
    <x v="0"/>
    <n v="1"/>
    <n v="0"/>
    <x v="1711"/>
    <s v="Luis Pérez López"/>
    <x v="0"/>
  </r>
  <r>
    <n v="1987"/>
    <n v="59"/>
    <n v="2"/>
    <n v="34.32"/>
    <n v="3.43"/>
    <n v="0"/>
    <n v="0.1"/>
    <s v="ACTIVE"/>
    <m/>
    <s v=""/>
    <m/>
    <d v="2026-05-25T08:55:09"/>
    <d v="2026-05-25T00:00:00"/>
    <x v="7"/>
    <x v="0"/>
    <n v="1"/>
    <n v="0"/>
    <x v="1712"/>
    <s v="Daniel Gutiérrez Moreno"/>
    <x v="1"/>
  </r>
  <r>
    <n v="1988"/>
    <n v="259"/>
    <n v="2"/>
    <n v="32.44"/>
    <n v="3.24"/>
    <n v="0"/>
    <n v="0.1"/>
    <s v="ACTIVE"/>
    <m/>
    <s v=""/>
    <m/>
    <d v="2026-05-25T10:02:08"/>
    <d v="2026-05-25T00:00:00"/>
    <x v="7"/>
    <x v="0"/>
    <n v="1"/>
    <n v="0"/>
    <x v="107"/>
    <s v="Francisco Moreno García"/>
    <x v="1"/>
  </r>
  <r>
    <n v="1989"/>
    <n v="39"/>
    <n v="3"/>
    <n v="106.75"/>
    <n v="10.68"/>
    <n v="0"/>
    <n v="0.1"/>
    <s v="ACTIVE"/>
    <m/>
    <s v=""/>
    <m/>
    <d v="2026-05-25T10:24:57"/>
    <d v="2026-05-25T00:00:00"/>
    <x v="7"/>
    <x v="0"/>
    <n v="1"/>
    <n v="0"/>
    <x v="1713"/>
    <s v="Guadalupe García Quiñones"/>
    <x v="0"/>
  </r>
  <r>
    <n v="1990"/>
    <n v="39"/>
    <n v="3"/>
    <n v="105.66"/>
    <n v="10.57"/>
    <n v="0"/>
    <n v="0.1"/>
    <s v="ACTIVE"/>
    <m/>
    <s v=""/>
    <m/>
    <d v="2026-05-25T11:21:46"/>
    <d v="2026-05-25T00:00:00"/>
    <x v="7"/>
    <x v="0"/>
    <n v="1"/>
    <n v="0"/>
    <x v="1714"/>
    <s v="Guadalupe García Quiñones"/>
    <x v="0"/>
  </r>
  <r>
    <n v="1991"/>
    <n v="65"/>
    <n v="2"/>
    <n v="47.93"/>
    <n v="4.79"/>
    <n v="0"/>
    <n v="0.1"/>
    <s v="ACTIVE"/>
    <m/>
    <s v=""/>
    <m/>
    <d v="2026-05-25T13:20:17"/>
    <d v="2026-05-25T00:00:00"/>
    <x v="7"/>
    <x v="0"/>
    <n v="1"/>
    <n v="0"/>
    <x v="1080"/>
    <s v="Gabriela Flores Chávez"/>
    <x v="1"/>
  </r>
  <r>
    <n v="1992"/>
    <n v="155"/>
    <n v="4"/>
    <n v="30.25"/>
    <n v="0"/>
    <n v="1"/>
    <n v="0.1"/>
    <s v="ACTIVE"/>
    <m/>
    <s v=""/>
    <m/>
    <d v="2026-05-25T13:31:50"/>
    <d v="2026-05-25T00:00:00"/>
    <x v="7"/>
    <x v="1"/>
    <n v="1"/>
    <n v="0"/>
    <x v="1715"/>
    <s v="Óscar Santoyo Ramos"/>
    <x v="3"/>
  </r>
  <r>
    <n v="1993"/>
    <n v="229"/>
    <n v="4"/>
    <n v="161.62"/>
    <n v="16.16"/>
    <n v="0"/>
    <n v="0.1"/>
    <s v="ACTIVE"/>
    <m/>
    <s v=""/>
    <m/>
    <d v="2026-05-25T13:52:18"/>
    <d v="2026-05-25T00:00:00"/>
    <x v="7"/>
    <x v="0"/>
    <n v="1"/>
    <n v="0"/>
    <x v="1716"/>
    <s v="Verónica González Rodríguez"/>
    <x v="3"/>
  </r>
  <r>
    <n v="1994"/>
    <n v="190"/>
    <n v="2"/>
    <n v="283.67"/>
    <n v="28.37"/>
    <n v="0"/>
    <n v="0.1"/>
    <s v="ACTIVE"/>
    <m/>
    <s v=""/>
    <m/>
    <d v="2026-05-25T15:10:13"/>
    <d v="2026-05-25T00:00:00"/>
    <x v="7"/>
    <x v="0"/>
    <n v="1"/>
    <n v="0"/>
    <x v="1717"/>
    <s v="Ricardo Díaz Rodríguez"/>
    <x v="1"/>
  </r>
  <r>
    <n v="1995"/>
    <n v="285"/>
    <n v="2"/>
    <n v="42.8"/>
    <n v="4.28"/>
    <n v="0"/>
    <n v="0.1"/>
    <s v="ACTIVE"/>
    <m/>
    <s v=""/>
    <m/>
    <d v="2026-05-25T16:29:17"/>
    <d v="2026-05-25T00:00:00"/>
    <x v="7"/>
    <x v="0"/>
    <n v="1"/>
    <n v="0"/>
    <x v="1718"/>
    <s v="Alicia Martínez Aguilar"/>
    <x v="1"/>
  </r>
  <r>
    <n v="1996"/>
    <n v="201"/>
    <n v="5"/>
    <n v="23.7"/>
    <n v="2.37"/>
    <n v="0"/>
    <n v="0.1"/>
    <s v="ACTIVE"/>
    <m/>
    <s v=""/>
    <m/>
    <d v="2026-05-25T16:51:49"/>
    <d v="2026-05-25T00:00:00"/>
    <x v="7"/>
    <x v="0"/>
    <n v="1"/>
    <n v="0"/>
    <x v="1305"/>
    <s v="Isabel Vázquez Ramírez"/>
    <x v="2"/>
  </r>
  <r>
    <n v="1997"/>
    <n v="285"/>
    <n v="3"/>
    <n v="34.54"/>
    <n v="3.45"/>
    <n v="0"/>
    <n v="0.1"/>
    <s v="ACTIVE"/>
    <m/>
    <s v=""/>
    <m/>
    <d v="2026-05-25T18:27:11"/>
    <d v="2026-05-25T00:00:00"/>
    <x v="7"/>
    <x v="0"/>
    <n v="1"/>
    <n v="0"/>
    <x v="1523"/>
    <s v="Alicia Martínez Aguilar"/>
    <x v="0"/>
  </r>
  <r>
    <n v="1998"/>
    <n v="16"/>
    <n v="5"/>
    <n v="215.24"/>
    <n v="21.52"/>
    <n v="0"/>
    <n v="0.1"/>
    <s v="ACTIVE"/>
    <m/>
    <s v=""/>
    <m/>
    <d v="2026-05-26T09:53:23"/>
    <d v="2026-05-26T00:00:00"/>
    <x v="7"/>
    <x v="0"/>
    <n v="1"/>
    <n v="0"/>
    <x v="1719"/>
    <s v="Laura Chávez Rangel"/>
    <x v="2"/>
  </r>
  <r>
    <n v="1999"/>
    <n v="89"/>
    <n v="5"/>
    <n v="162.61000000000001"/>
    <n v="16.260000000000002"/>
    <n v="0"/>
    <n v="0.1"/>
    <s v="ACTIVE"/>
    <m/>
    <s v=""/>
    <m/>
    <d v="2026-05-26T10:26:25"/>
    <d v="2026-05-26T00:00:00"/>
    <x v="7"/>
    <x v="0"/>
    <n v="1"/>
    <n v="0"/>
    <x v="1720"/>
    <s v="Héctor Morales Herrera"/>
    <x v="2"/>
  </r>
  <r>
    <n v="2000"/>
    <n v="22"/>
    <n v="4"/>
    <n v="173.18"/>
    <n v="17.32"/>
    <n v="0"/>
    <n v="0.1"/>
    <s v="ACTIVE"/>
    <m/>
    <s v=""/>
    <m/>
    <d v="2026-05-26T12:17:27"/>
    <d v="2026-05-26T00:00:00"/>
    <x v="7"/>
    <x v="0"/>
    <n v="1"/>
    <n v="0"/>
    <x v="1721"/>
    <s v="Martha Moreno Rangel"/>
    <x v="3"/>
  </r>
  <r>
    <n v="2001"/>
    <n v="136"/>
    <n v="5"/>
    <n v="80.91"/>
    <n v="8.09"/>
    <n v="0"/>
    <n v="0.1"/>
    <s v="ACTIVE"/>
    <m/>
    <s v=""/>
    <m/>
    <d v="2026-05-26T12:36:35"/>
    <d v="2026-05-26T00:00:00"/>
    <x v="7"/>
    <x v="0"/>
    <n v="1"/>
    <n v="0"/>
    <x v="1722"/>
    <s v="Guadalupe Castillo Rangel"/>
    <x v="2"/>
  </r>
  <r>
    <n v="2002"/>
    <n v="117"/>
    <n v="4"/>
    <n v="60.63"/>
    <n v="6.06"/>
    <n v="0"/>
    <n v="0.1"/>
    <s v="ACTIVE"/>
    <m/>
    <s v=""/>
    <m/>
    <d v="2026-05-26T16:03:05"/>
    <d v="2026-05-26T00:00:00"/>
    <x v="7"/>
    <x v="0"/>
    <n v="1"/>
    <n v="0"/>
    <x v="1723"/>
    <s v="Manuel Ortiz Ramírez"/>
    <x v="3"/>
  </r>
  <r>
    <n v="2003"/>
    <n v="139"/>
    <n v="3"/>
    <n v="107.91"/>
    <n v="10.79"/>
    <n v="0"/>
    <n v="0.1"/>
    <s v="ACTIVE"/>
    <m/>
    <s v=""/>
    <m/>
    <d v="2026-05-27T08:48:33"/>
    <d v="2026-05-27T00:00:00"/>
    <x v="7"/>
    <x v="0"/>
    <n v="1"/>
    <n v="0"/>
    <x v="1724"/>
    <s v="Isabel Delgado Ramos"/>
    <x v="0"/>
  </r>
  <r>
    <n v="2004"/>
    <n v="213"/>
    <n v="2"/>
    <n v="198.25"/>
    <n v="19.829999999999998"/>
    <n v="0"/>
    <n v="0.1"/>
    <s v="ACTIVE"/>
    <m/>
    <s v=""/>
    <m/>
    <d v="2026-05-27T15:03:25"/>
    <d v="2026-05-27T00:00:00"/>
    <x v="7"/>
    <x v="0"/>
    <n v="1"/>
    <n v="0"/>
    <x v="1725"/>
    <s v="Teresa Romero Flores"/>
    <x v="1"/>
  </r>
  <r>
    <n v="2005"/>
    <n v="183"/>
    <n v="2"/>
    <n v="122.84"/>
    <n v="12.28"/>
    <n v="0"/>
    <n v="0.1"/>
    <s v="CANCELED"/>
    <n v="5"/>
    <s v="Monto duplicado por error de sistema"/>
    <d v="2026-05-27T20:43:40"/>
    <d v="2026-05-27T15:43:40"/>
    <d v="2026-05-27T00:00:00"/>
    <x v="7"/>
    <x v="0"/>
    <n v="1"/>
    <n v="1"/>
    <x v="32"/>
    <s v="Irma Moreno Rodríguez"/>
    <x v="1"/>
  </r>
  <r>
    <n v="2006"/>
    <n v="237"/>
    <n v="5"/>
    <n v="136.15"/>
    <n v="13.62"/>
    <n v="0"/>
    <n v="0.1"/>
    <s v="ACTIVE"/>
    <m/>
    <s v=""/>
    <m/>
    <d v="2026-05-27T16:09:05"/>
    <d v="2026-05-27T00:00:00"/>
    <x v="7"/>
    <x v="0"/>
    <n v="1"/>
    <n v="0"/>
    <x v="1726"/>
    <s v="Gabriela Aguilar Sánchez"/>
    <x v="2"/>
  </r>
  <r>
    <n v="2007"/>
    <n v="59"/>
    <n v="5"/>
    <n v="37.72"/>
    <n v="3.77"/>
    <n v="0"/>
    <n v="0.1"/>
    <s v="ACTIVE"/>
    <m/>
    <s v=""/>
    <m/>
    <d v="2026-05-27T17:10:50"/>
    <d v="2026-05-27T00:00:00"/>
    <x v="7"/>
    <x v="0"/>
    <n v="1"/>
    <n v="0"/>
    <x v="1136"/>
    <s v="Daniel Gutiérrez Moreno"/>
    <x v="2"/>
  </r>
  <r>
    <n v="2008"/>
    <n v="38"/>
    <n v="2"/>
    <n v="13.91"/>
    <n v="1.39"/>
    <n v="0"/>
    <n v="0.1"/>
    <s v="ACTIVE"/>
    <m/>
    <s v=""/>
    <m/>
    <d v="2026-05-28T08:46:20"/>
    <d v="2026-05-28T00:00:00"/>
    <x v="7"/>
    <x v="0"/>
    <n v="1"/>
    <n v="0"/>
    <x v="1727"/>
    <s v="Verónica Delgado Medina"/>
    <x v="1"/>
  </r>
  <r>
    <n v="2009"/>
    <n v="200"/>
    <n v="2"/>
    <n v="35.869999999999997"/>
    <n v="3.59"/>
    <n v="0"/>
    <n v="0.1"/>
    <s v="ACTIVE"/>
    <m/>
    <s v=""/>
    <m/>
    <d v="2026-05-28T09:46:39"/>
    <d v="2026-05-28T00:00:00"/>
    <x v="7"/>
    <x v="0"/>
    <n v="1"/>
    <n v="0"/>
    <x v="1728"/>
    <s v="Antonio Pérez Martínez"/>
    <x v="1"/>
  </r>
  <r>
    <n v="2010"/>
    <n v="265"/>
    <n v="2"/>
    <n v="103.94"/>
    <n v="10.39"/>
    <n v="0"/>
    <n v="0.1"/>
    <s v="ACTIVE"/>
    <m/>
    <s v=""/>
    <m/>
    <d v="2026-05-28T14:00:19"/>
    <d v="2026-05-28T00:00:00"/>
    <x v="7"/>
    <x v="0"/>
    <n v="1"/>
    <n v="0"/>
    <x v="1729"/>
    <s v="Alejandro Flores González"/>
    <x v="1"/>
  </r>
  <r>
    <n v="2011"/>
    <n v="250"/>
    <n v="2"/>
    <n v="111.27"/>
    <n v="11.13"/>
    <n v="0"/>
    <n v="0.1"/>
    <s v="ACTIVE"/>
    <m/>
    <s v=""/>
    <m/>
    <d v="2026-05-28T16:16:10"/>
    <d v="2026-05-28T00:00:00"/>
    <x v="7"/>
    <x v="0"/>
    <n v="1"/>
    <n v="0"/>
    <x v="1730"/>
    <s v="Verónica Romero Chávez"/>
    <x v="1"/>
  </r>
  <r>
    <n v="2012"/>
    <n v="250"/>
    <n v="2"/>
    <n v="68.36"/>
    <n v="6.84"/>
    <n v="0"/>
    <n v="0.1"/>
    <s v="ACTIVE"/>
    <m/>
    <s v=""/>
    <m/>
    <d v="2026-05-28T17:13:14"/>
    <d v="2026-05-28T00:00:00"/>
    <x v="7"/>
    <x v="0"/>
    <n v="1"/>
    <n v="0"/>
    <x v="1731"/>
    <s v="Verónica Romero Chávez"/>
    <x v="1"/>
  </r>
  <r>
    <n v="2013"/>
    <n v="285"/>
    <n v="2"/>
    <n v="30.45"/>
    <n v="3.05"/>
    <n v="0"/>
    <n v="0.1"/>
    <s v="ACTIVE"/>
    <m/>
    <s v=""/>
    <m/>
    <d v="2026-05-28T17:19:21"/>
    <d v="2026-05-28T00:00:00"/>
    <x v="7"/>
    <x v="0"/>
    <n v="1"/>
    <n v="0"/>
    <x v="1352"/>
    <s v="Alicia Martínez Aguilar"/>
    <x v="1"/>
  </r>
  <r>
    <n v="2014"/>
    <n v="229"/>
    <n v="4"/>
    <n v="41.11"/>
    <n v="4.1100000000000003"/>
    <n v="0"/>
    <n v="0.1"/>
    <s v="ACTIVE"/>
    <m/>
    <s v=""/>
    <m/>
    <d v="2026-05-28T17:37:33"/>
    <d v="2026-05-28T00:00:00"/>
    <x v="7"/>
    <x v="0"/>
    <n v="1"/>
    <n v="0"/>
    <x v="1732"/>
    <s v="Verónica González Rodríguez"/>
    <x v="3"/>
  </r>
  <r>
    <n v="2015"/>
    <n v="39"/>
    <n v="3"/>
    <n v="205.14"/>
    <n v="20.51"/>
    <n v="0"/>
    <n v="0.1"/>
    <s v="ACTIVE"/>
    <m/>
    <s v=""/>
    <m/>
    <d v="2026-05-28T18:04:39"/>
    <d v="2026-05-28T00:00:00"/>
    <x v="7"/>
    <x v="0"/>
    <n v="1"/>
    <n v="0"/>
    <x v="1733"/>
    <s v="Guadalupe García Quiñones"/>
    <x v="0"/>
  </r>
  <r>
    <n v="2016"/>
    <n v="171"/>
    <n v="5"/>
    <n v="220"/>
    <n v="22"/>
    <n v="0"/>
    <n v="0.1"/>
    <s v="ACTIVE"/>
    <m/>
    <s v=""/>
    <m/>
    <d v="2026-05-29T08:52:48"/>
    <d v="2026-05-29T00:00:00"/>
    <x v="7"/>
    <x v="0"/>
    <n v="1"/>
    <n v="0"/>
    <x v="200"/>
    <s v="Manuel Villalobos Ramos"/>
    <x v="2"/>
  </r>
  <r>
    <n v="2017"/>
    <n v="250"/>
    <n v="2"/>
    <n v="114.23"/>
    <n v="11.42"/>
    <n v="0"/>
    <n v="0.1"/>
    <s v="ACTIVE"/>
    <m/>
    <s v=""/>
    <m/>
    <d v="2026-05-29T09:39:56"/>
    <d v="2026-05-29T00:00:00"/>
    <x v="7"/>
    <x v="0"/>
    <n v="1"/>
    <n v="0"/>
    <x v="1734"/>
    <s v="Verónica Romero Chávez"/>
    <x v="1"/>
  </r>
  <r>
    <n v="2018"/>
    <n v="13"/>
    <n v="4"/>
    <n v="27.27"/>
    <n v="2.73"/>
    <n v="0"/>
    <n v="0.1"/>
    <s v="CANCELED"/>
    <n v="3"/>
    <s v="Cliente canceló la operación"/>
    <d v="2026-05-31T10:12:33"/>
    <d v="2026-05-29T11:12:33"/>
    <d v="2026-05-29T00:00:00"/>
    <x v="7"/>
    <x v="0"/>
    <n v="1"/>
    <n v="1"/>
    <x v="32"/>
    <s v="Laura Rodríguez Quiñones"/>
    <x v="3"/>
  </r>
  <r>
    <n v="2019"/>
    <n v="250"/>
    <n v="2"/>
    <n v="106.95"/>
    <n v="10.7"/>
    <n v="0"/>
    <n v="0.1"/>
    <s v="ACTIVE"/>
    <m/>
    <s v=""/>
    <m/>
    <d v="2026-05-29T12:10:00"/>
    <d v="2026-05-29T00:00:00"/>
    <x v="7"/>
    <x v="0"/>
    <n v="1"/>
    <n v="0"/>
    <x v="1735"/>
    <s v="Verónica Romero Chávez"/>
    <x v="1"/>
  </r>
  <r>
    <n v="2020"/>
    <n v="245"/>
    <n v="5"/>
    <n v="19.82"/>
    <n v="1.98"/>
    <n v="0"/>
    <n v="0.1"/>
    <s v="ACTIVE"/>
    <m/>
    <s v=""/>
    <m/>
    <d v="2026-05-30T08:03:17"/>
    <d v="2026-05-30T00:00:00"/>
    <x v="7"/>
    <x v="0"/>
    <n v="1"/>
    <n v="0"/>
    <x v="1736"/>
    <s v="Ana González Flores"/>
    <x v="2"/>
  </r>
  <r>
    <n v="2021"/>
    <n v="229"/>
    <n v="5"/>
    <n v="90.27"/>
    <n v="9.0299999999999994"/>
    <n v="0"/>
    <n v="0.1"/>
    <s v="ACTIVE"/>
    <m/>
    <s v=""/>
    <m/>
    <d v="2026-05-30T16:33:21"/>
    <d v="2026-05-30T00:00:00"/>
    <x v="7"/>
    <x v="0"/>
    <n v="1"/>
    <n v="0"/>
    <x v="772"/>
    <s v="Verónica González Rodríguez"/>
    <x v="2"/>
  </r>
  <r>
    <n v="2022"/>
    <n v="241"/>
    <n v="4"/>
    <n v="33.17"/>
    <n v="3.32"/>
    <n v="0"/>
    <n v="0.1"/>
    <s v="ACTIVE"/>
    <m/>
    <s v=""/>
    <m/>
    <d v="2026-05-30T17:25:53"/>
    <d v="2026-05-30T00:00:00"/>
    <x v="7"/>
    <x v="0"/>
    <n v="1"/>
    <n v="0"/>
    <x v="1737"/>
    <s v="Lucía Cruz Herrera"/>
    <x v="3"/>
  </r>
  <r>
    <n v="2023"/>
    <n v="137"/>
    <n v="3"/>
    <n v="16.61"/>
    <n v="1.66"/>
    <n v="0"/>
    <n v="0.1"/>
    <s v="ACTIVE"/>
    <m/>
    <s v=""/>
    <m/>
    <d v="2026-05-30T17:26:52"/>
    <d v="2026-05-30T00:00:00"/>
    <x v="7"/>
    <x v="0"/>
    <n v="1"/>
    <n v="0"/>
    <x v="1738"/>
    <s v="Francisco Reyes Ruiz"/>
    <x v="0"/>
  </r>
  <r>
    <n v="2024"/>
    <n v="25"/>
    <n v="2"/>
    <n v="120.17"/>
    <n v="12.02"/>
    <n v="0"/>
    <n v="0.1"/>
    <s v="ACTIVE"/>
    <m/>
    <s v=""/>
    <m/>
    <d v="2026-05-30T18:23:52"/>
    <d v="2026-05-30T00:00:00"/>
    <x v="7"/>
    <x v="0"/>
    <n v="1"/>
    <n v="0"/>
    <x v="1739"/>
    <s v="Martha Rodríguez López"/>
    <x v="1"/>
  </r>
  <r>
    <n v="2025"/>
    <n v="221"/>
    <n v="3"/>
    <n v="200.03"/>
    <n v="20"/>
    <n v="0"/>
    <n v="0.1"/>
    <s v="ACTIVE"/>
    <m/>
    <s v=""/>
    <m/>
    <d v="2026-05-30T18:51:02"/>
    <d v="2026-05-30T00:00:00"/>
    <x v="7"/>
    <x v="0"/>
    <n v="1"/>
    <n v="0"/>
    <x v="1740"/>
    <s v="Norma Hernández Chávez"/>
    <x v="0"/>
  </r>
  <r>
    <n v="2026"/>
    <n v="58"/>
    <n v="2"/>
    <n v="31.65"/>
    <n v="3.17"/>
    <n v="0"/>
    <n v="0.1"/>
    <s v="ACTIVE"/>
    <m/>
    <s v=""/>
    <m/>
    <d v="2026-05-31T12:20:28"/>
    <d v="2026-05-31T00:00:00"/>
    <x v="7"/>
    <x v="0"/>
    <n v="1"/>
    <n v="0"/>
    <x v="1741"/>
    <s v="Alicia Ruiz Gutiérrez"/>
    <x v="1"/>
  </r>
  <r>
    <n v="2027"/>
    <n v="246"/>
    <n v="3"/>
    <n v="52.62"/>
    <n v="5.26"/>
    <n v="0"/>
    <n v="0.1"/>
    <s v="ACTIVE"/>
    <m/>
    <s v=""/>
    <m/>
    <d v="2026-06-01T09:35:41"/>
    <d v="2026-06-01T00:00:00"/>
    <x v="8"/>
    <x v="0"/>
    <n v="1"/>
    <n v="0"/>
    <x v="1742"/>
    <s v="Alicia Morales Jiménez"/>
    <x v="0"/>
  </r>
  <r>
    <n v="2028"/>
    <n v="250"/>
    <n v="3"/>
    <n v="78.11"/>
    <n v="7.81"/>
    <n v="0"/>
    <n v="0.1"/>
    <s v="ACTIVE"/>
    <m/>
    <s v=""/>
    <m/>
    <d v="2026-06-01T09:44:03"/>
    <d v="2026-06-01T00:00:00"/>
    <x v="8"/>
    <x v="0"/>
    <n v="1"/>
    <n v="0"/>
    <x v="1743"/>
    <s v="Verónica Romero Chávez"/>
    <x v="0"/>
  </r>
  <r>
    <n v="2029"/>
    <n v="188"/>
    <n v="2"/>
    <n v="245.96"/>
    <n v="24.6"/>
    <n v="0"/>
    <n v="0.1"/>
    <s v="ACTIVE"/>
    <m/>
    <s v=""/>
    <m/>
    <d v="2026-06-01T09:52:44"/>
    <d v="2026-06-01T00:00:00"/>
    <x v="8"/>
    <x v="0"/>
    <n v="1"/>
    <n v="0"/>
    <x v="1744"/>
    <s v="María López Ramos"/>
    <x v="1"/>
  </r>
  <r>
    <n v="2030"/>
    <n v="202"/>
    <n v="4"/>
    <n v="33.6"/>
    <n v="3.36"/>
    <n v="0"/>
    <n v="0.1"/>
    <s v="ACTIVE"/>
    <m/>
    <s v=""/>
    <m/>
    <d v="2026-06-01T12:37:10"/>
    <d v="2026-06-01T00:00:00"/>
    <x v="8"/>
    <x v="0"/>
    <n v="1"/>
    <n v="0"/>
    <x v="1745"/>
    <s v="Elena Díaz Reyes"/>
    <x v="3"/>
  </r>
  <r>
    <n v="2031"/>
    <n v="13"/>
    <n v="2"/>
    <n v="38.31"/>
    <n v="3.83"/>
    <n v="0"/>
    <n v="0.1"/>
    <s v="ACTIVE"/>
    <m/>
    <s v=""/>
    <m/>
    <d v="2026-06-01T13:07:25"/>
    <d v="2026-06-01T00:00:00"/>
    <x v="8"/>
    <x v="0"/>
    <n v="1"/>
    <n v="0"/>
    <x v="1746"/>
    <s v="Laura Rodríguez Quiñones"/>
    <x v="1"/>
  </r>
  <r>
    <n v="2032"/>
    <n v="106"/>
    <n v="2"/>
    <n v="109.78"/>
    <n v="10.98"/>
    <n v="0"/>
    <n v="0.1"/>
    <s v="ACTIVE"/>
    <m/>
    <s v=""/>
    <m/>
    <d v="2026-06-01T15:41:09"/>
    <d v="2026-06-01T00:00:00"/>
    <x v="8"/>
    <x v="0"/>
    <n v="1"/>
    <n v="0"/>
    <x v="1747"/>
    <s v="Isabel García Santoyo"/>
    <x v="1"/>
  </r>
  <r>
    <n v="2033"/>
    <n v="179"/>
    <n v="3"/>
    <n v="127.21"/>
    <n v="12.72"/>
    <n v="0"/>
    <n v="0.1"/>
    <s v="ACTIVE"/>
    <m/>
    <s v=""/>
    <m/>
    <d v="2026-06-01T15:43:34"/>
    <d v="2026-06-01T00:00:00"/>
    <x v="8"/>
    <x v="0"/>
    <n v="1"/>
    <n v="0"/>
    <x v="1748"/>
    <s v="Laura Flores Villalobos"/>
    <x v="0"/>
  </r>
  <r>
    <n v="2034"/>
    <n v="285"/>
    <n v="5"/>
    <n v="20.91"/>
    <n v="2.09"/>
    <n v="0"/>
    <n v="0.1"/>
    <s v="ACTIVE"/>
    <m/>
    <s v=""/>
    <m/>
    <d v="2026-06-01T15:45:09"/>
    <d v="2026-06-01T00:00:00"/>
    <x v="8"/>
    <x v="0"/>
    <n v="1"/>
    <n v="0"/>
    <x v="1749"/>
    <s v="Alicia Martínez Aguilar"/>
    <x v="2"/>
  </r>
  <r>
    <n v="2035"/>
    <n v="65"/>
    <n v="2"/>
    <n v="29.75"/>
    <n v="2.98"/>
    <n v="0"/>
    <n v="0.1"/>
    <s v="ACTIVE"/>
    <m/>
    <s v=""/>
    <m/>
    <d v="2026-06-01T17:03:28"/>
    <d v="2026-06-01T00:00:00"/>
    <x v="8"/>
    <x v="0"/>
    <n v="1"/>
    <n v="0"/>
    <x v="1750"/>
    <s v="Gabriela Flores Chávez"/>
    <x v="1"/>
  </r>
  <r>
    <n v="2036"/>
    <n v="250"/>
    <n v="5"/>
    <n v="42.85"/>
    <n v="4.29"/>
    <n v="0"/>
    <n v="0.1"/>
    <s v="ACTIVE"/>
    <m/>
    <s v=""/>
    <m/>
    <d v="2026-06-02T07:32:52"/>
    <d v="2026-06-02T00:00:00"/>
    <x v="8"/>
    <x v="0"/>
    <n v="1"/>
    <n v="0"/>
    <x v="1751"/>
    <s v="Verónica Romero Chávez"/>
    <x v="2"/>
  </r>
  <r>
    <n v="2037"/>
    <n v="223"/>
    <n v="2"/>
    <n v="25.55"/>
    <n v="2.56"/>
    <n v="0"/>
    <n v="0.1"/>
    <s v="ACTIVE"/>
    <m/>
    <s v=""/>
    <m/>
    <d v="2026-06-02T10:37:08"/>
    <d v="2026-06-02T00:00:00"/>
    <x v="8"/>
    <x v="0"/>
    <n v="1"/>
    <n v="0"/>
    <x v="1752"/>
    <s v="José Castillo Ortiz"/>
    <x v="1"/>
  </r>
  <r>
    <n v="2038"/>
    <n v="9"/>
    <n v="4"/>
    <n v="46.66"/>
    <n v="4.67"/>
    <n v="0"/>
    <n v="0.1"/>
    <s v="ACTIVE"/>
    <m/>
    <s v=""/>
    <m/>
    <d v="2026-06-02T10:38:47"/>
    <d v="2026-06-02T00:00:00"/>
    <x v="8"/>
    <x v="0"/>
    <n v="1"/>
    <n v="0"/>
    <x v="1753"/>
    <s v="Teresa Romero Cruz"/>
    <x v="3"/>
  </r>
  <r>
    <n v="2039"/>
    <n v="39"/>
    <n v="3"/>
    <n v="159.16"/>
    <n v="0"/>
    <n v="1"/>
    <n v="0.1"/>
    <s v="ACTIVE"/>
    <m/>
    <s v=""/>
    <m/>
    <d v="2026-06-02T11:25:57"/>
    <d v="2026-06-02T00:00:00"/>
    <x v="8"/>
    <x v="1"/>
    <n v="1"/>
    <n v="0"/>
    <x v="1754"/>
    <s v="Guadalupe García Quiñones"/>
    <x v="0"/>
  </r>
  <r>
    <n v="2040"/>
    <n v="52"/>
    <n v="2"/>
    <n v="46.32"/>
    <n v="0"/>
    <n v="1"/>
    <n v="0.1"/>
    <s v="ACTIVE"/>
    <m/>
    <s v=""/>
    <m/>
    <d v="2026-06-02T11:26:50"/>
    <d v="2026-06-02T00:00:00"/>
    <x v="8"/>
    <x v="1"/>
    <n v="1"/>
    <n v="0"/>
    <x v="1755"/>
    <s v="Gabriela Villalobos Flores"/>
    <x v="1"/>
  </r>
  <r>
    <n v="2041"/>
    <n v="136"/>
    <n v="3"/>
    <n v="113.05"/>
    <n v="11.31"/>
    <n v="0"/>
    <n v="0.1"/>
    <s v="ACTIVE"/>
    <m/>
    <s v=""/>
    <m/>
    <d v="2026-06-02T11:29:11"/>
    <d v="2026-06-02T00:00:00"/>
    <x v="8"/>
    <x v="0"/>
    <n v="1"/>
    <n v="0"/>
    <x v="1756"/>
    <s v="Guadalupe Castillo Rangel"/>
    <x v="0"/>
  </r>
  <r>
    <n v="2042"/>
    <n v="39"/>
    <n v="2"/>
    <n v="300"/>
    <n v="30"/>
    <n v="0"/>
    <n v="0.1"/>
    <s v="ACTIVE"/>
    <m/>
    <s v=""/>
    <m/>
    <d v="2026-06-02T16:25:37"/>
    <d v="2026-06-02T00:00:00"/>
    <x v="8"/>
    <x v="0"/>
    <n v="1"/>
    <n v="0"/>
    <x v="74"/>
    <s v="Guadalupe García Quiñones"/>
    <x v="1"/>
  </r>
  <r>
    <n v="2043"/>
    <n v="156"/>
    <n v="4"/>
    <n v="44.28"/>
    <n v="4.43"/>
    <n v="0"/>
    <n v="0.1"/>
    <s v="ACTIVE"/>
    <m/>
    <s v=""/>
    <m/>
    <d v="2026-06-02T17:28:56"/>
    <d v="2026-06-02T00:00:00"/>
    <x v="8"/>
    <x v="0"/>
    <n v="1"/>
    <n v="0"/>
    <x v="934"/>
    <s v="Óscar Moreno Chávez"/>
    <x v="3"/>
  </r>
  <r>
    <n v="2044"/>
    <n v="134"/>
    <n v="3"/>
    <n v="157.35"/>
    <n v="15.74"/>
    <n v="0"/>
    <n v="0.1"/>
    <s v="ACTIVE"/>
    <m/>
    <s v=""/>
    <m/>
    <d v="2026-06-02T19:31:20"/>
    <d v="2026-06-02T00:00:00"/>
    <x v="8"/>
    <x v="0"/>
    <n v="1"/>
    <n v="0"/>
    <x v="1757"/>
    <s v="Javier Moreno Ortiz"/>
    <x v="0"/>
  </r>
  <r>
    <n v="2045"/>
    <n v="156"/>
    <n v="2"/>
    <n v="35.549999999999997"/>
    <n v="3.56"/>
    <n v="0"/>
    <n v="0.1"/>
    <s v="ACTIVE"/>
    <m/>
    <s v=""/>
    <m/>
    <d v="2026-06-03T10:14:33"/>
    <d v="2026-06-03T00:00:00"/>
    <x v="8"/>
    <x v="0"/>
    <n v="1"/>
    <n v="0"/>
    <x v="1758"/>
    <s v="Óscar Moreno Chávez"/>
    <x v="1"/>
  </r>
  <r>
    <n v="2046"/>
    <n v="195"/>
    <n v="4"/>
    <n v="150.12"/>
    <n v="15.01"/>
    <n v="0"/>
    <n v="0.1"/>
    <s v="CANCELED"/>
    <n v="2"/>
    <s v="Monto duplicado por error de sistema"/>
    <d v="2026-06-04T15:32:54"/>
    <d v="2026-06-03T11:32:54"/>
    <d v="2026-06-03T00:00:00"/>
    <x v="8"/>
    <x v="0"/>
    <n v="1"/>
    <n v="1"/>
    <x v="32"/>
    <s v="Laura Salazar Pérez"/>
    <x v="3"/>
  </r>
  <r>
    <n v="2047"/>
    <n v="200"/>
    <n v="2"/>
    <n v="26.24"/>
    <n v="2.62"/>
    <n v="0"/>
    <n v="0.1"/>
    <s v="ACTIVE"/>
    <m/>
    <s v=""/>
    <m/>
    <d v="2026-06-03T12:12:54"/>
    <d v="2026-06-03T00:00:00"/>
    <x v="8"/>
    <x v="0"/>
    <n v="1"/>
    <n v="0"/>
    <x v="1538"/>
    <s v="Antonio Pérez Martínez"/>
    <x v="1"/>
  </r>
  <r>
    <n v="2048"/>
    <n v="237"/>
    <n v="4"/>
    <n v="214.12"/>
    <n v="21.41"/>
    <n v="0"/>
    <n v="0.1"/>
    <s v="ACTIVE"/>
    <m/>
    <s v=""/>
    <m/>
    <d v="2026-06-03T13:19:46"/>
    <d v="2026-06-03T00:00:00"/>
    <x v="8"/>
    <x v="0"/>
    <n v="1"/>
    <n v="0"/>
    <x v="1759"/>
    <s v="Gabriela Aguilar Sánchez"/>
    <x v="3"/>
  </r>
  <r>
    <n v="2049"/>
    <n v="304"/>
    <n v="4"/>
    <n v="23.66"/>
    <n v="2.37"/>
    <n v="0"/>
    <n v="0.1"/>
    <s v="CANCELED"/>
    <n v="2"/>
    <s v="Error de captura"/>
    <d v="2026-06-05T00:09:22"/>
    <d v="2026-06-03T15:09:22"/>
    <d v="2026-06-03T00:00:00"/>
    <x v="8"/>
    <x v="0"/>
    <n v="1"/>
    <n v="1"/>
    <x v="32"/>
    <s v="Leticia González Sánchez"/>
    <x v="3"/>
  </r>
  <r>
    <n v="2050"/>
    <n v="246"/>
    <n v="2"/>
    <n v="39.44"/>
    <n v="3.94"/>
    <n v="0"/>
    <n v="0.1"/>
    <s v="ACTIVE"/>
    <m/>
    <s v=""/>
    <m/>
    <d v="2026-06-03T16:26:35"/>
    <d v="2026-06-03T00:00:00"/>
    <x v="8"/>
    <x v="0"/>
    <n v="1"/>
    <n v="0"/>
    <x v="1760"/>
    <s v="Alicia Morales Jiménez"/>
    <x v="1"/>
  </r>
  <r>
    <n v="2051"/>
    <n v="158"/>
    <n v="3"/>
    <n v="33.71"/>
    <n v="3.37"/>
    <n v="0"/>
    <n v="0.1"/>
    <s v="ACTIVE"/>
    <m/>
    <s v=""/>
    <m/>
    <d v="2026-06-03T18:25:18"/>
    <d v="2026-06-03T00:00:00"/>
    <x v="8"/>
    <x v="0"/>
    <n v="1"/>
    <n v="0"/>
    <x v="1761"/>
    <s v="Juan Rodríguez Cruz"/>
    <x v="0"/>
  </r>
  <r>
    <n v="2052"/>
    <n v="229"/>
    <n v="2"/>
    <n v="93"/>
    <n v="9.3000000000000007"/>
    <n v="0"/>
    <n v="0.1"/>
    <s v="ACTIVE"/>
    <m/>
    <s v=""/>
    <m/>
    <d v="2026-06-03T18:59:27"/>
    <d v="2026-06-03T00:00:00"/>
    <x v="8"/>
    <x v="0"/>
    <n v="1"/>
    <n v="0"/>
    <x v="1762"/>
    <s v="Verónica González Rodríguez"/>
    <x v="1"/>
  </r>
  <r>
    <n v="2053"/>
    <n v="134"/>
    <n v="5"/>
    <n v="107.19"/>
    <n v="10.72"/>
    <n v="0"/>
    <n v="0.1"/>
    <s v="ACTIVE"/>
    <m/>
    <s v=""/>
    <m/>
    <d v="2026-06-04T08:37:41"/>
    <d v="2026-06-04T00:00:00"/>
    <x v="8"/>
    <x v="0"/>
    <n v="1"/>
    <n v="0"/>
    <x v="1763"/>
    <s v="Javier Moreno Ortiz"/>
    <x v="2"/>
  </r>
  <r>
    <n v="2054"/>
    <n v="65"/>
    <n v="5"/>
    <n v="51.07"/>
    <n v="5.1100000000000003"/>
    <n v="0"/>
    <n v="0.1"/>
    <s v="ACTIVE"/>
    <m/>
    <s v=""/>
    <m/>
    <d v="2026-06-04T09:13:58"/>
    <d v="2026-06-04T00:00:00"/>
    <x v="8"/>
    <x v="0"/>
    <n v="1"/>
    <n v="0"/>
    <x v="1764"/>
    <s v="Gabriela Flores Chávez"/>
    <x v="2"/>
  </r>
  <r>
    <n v="2055"/>
    <n v="137"/>
    <n v="4"/>
    <n v="19.71"/>
    <n v="0"/>
    <n v="1"/>
    <n v="0.1"/>
    <s v="ACTIVE"/>
    <m/>
    <s v=""/>
    <m/>
    <d v="2026-06-04T09:21:57"/>
    <d v="2026-06-04T00:00:00"/>
    <x v="8"/>
    <x v="1"/>
    <n v="1"/>
    <n v="0"/>
    <x v="1765"/>
    <s v="Francisco Reyes Ruiz"/>
    <x v="3"/>
  </r>
  <r>
    <n v="2056"/>
    <n v="94"/>
    <n v="4"/>
    <n v="184.73"/>
    <n v="18.47"/>
    <n v="0"/>
    <n v="0.1"/>
    <s v="ACTIVE"/>
    <m/>
    <s v=""/>
    <m/>
    <d v="2026-06-04T10:20:52"/>
    <d v="2026-06-04T00:00:00"/>
    <x v="8"/>
    <x v="0"/>
    <n v="1"/>
    <n v="0"/>
    <x v="1766"/>
    <s v="Silvia González Rangel"/>
    <x v="3"/>
  </r>
  <r>
    <n v="2057"/>
    <n v="49"/>
    <n v="2"/>
    <n v="88.49"/>
    <n v="8.85"/>
    <n v="0"/>
    <n v="0.1"/>
    <s v="ACTIVE"/>
    <m/>
    <s v=""/>
    <m/>
    <d v="2026-06-04T14:50:36"/>
    <d v="2026-06-04T00:00:00"/>
    <x v="8"/>
    <x v="0"/>
    <n v="1"/>
    <n v="0"/>
    <x v="1767"/>
    <s v="José Rodríguez Ortiz"/>
    <x v="1"/>
  </r>
  <r>
    <n v="2058"/>
    <n v="26"/>
    <n v="2"/>
    <n v="25.85"/>
    <n v="2.59"/>
    <n v="0"/>
    <n v="0.1"/>
    <s v="ACTIVE"/>
    <m/>
    <s v=""/>
    <m/>
    <d v="2026-06-04T16:35:30"/>
    <d v="2026-06-04T00:00:00"/>
    <x v="8"/>
    <x v="0"/>
    <n v="1"/>
    <n v="0"/>
    <x v="1768"/>
    <s v="Ricardo Herrera González"/>
    <x v="1"/>
  </r>
  <r>
    <n v="2059"/>
    <n v="137"/>
    <n v="5"/>
    <n v="23.5"/>
    <n v="2.35"/>
    <n v="0"/>
    <n v="0.1"/>
    <s v="ACTIVE"/>
    <m/>
    <s v=""/>
    <m/>
    <d v="2026-06-04T17:14:45"/>
    <d v="2026-06-04T00:00:00"/>
    <x v="8"/>
    <x v="0"/>
    <n v="1"/>
    <n v="0"/>
    <x v="1769"/>
    <s v="Francisco Reyes Ruiz"/>
    <x v="2"/>
  </r>
  <r>
    <n v="2060"/>
    <n v="29"/>
    <n v="2"/>
    <n v="45.07"/>
    <n v="4.51"/>
    <n v="0"/>
    <n v="0.1"/>
    <s v="ACTIVE"/>
    <m/>
    <s v=""/>
    <m/>
    <d v="2026-06-05T07:00:36"/>
    <d v="2026-06-05T00:00:00"/>
    <x v="8"/>
    <x v="0"/>
    <n v="1"/>
    <n v="0"/>
    <x v="1770"/>
    <s v="Héctor Herrera Gómez"/>
    <x v="1"/>
  </r>
  <r>
    <n v="2061"/>
    <n v="39"/>
    <n v="4"/>
    <n v="130.72"/>
    <n v="13.07"/>
    <n v="0"/>
    <n v="0.1"/>
    <s v="ACTIVE"/>
    <m/>
    <s v=""/>
    <m/>
    <d v="2026-06-05T07:26:42"/>
    <d v="2026-06-05T00:00:00"/>
    <x v="8"/>
    <x v="0"/>
    <n v="1"/>
    <n v="0"/>
    <x v="1666"/>
    <s v="Guadalupe García Quiñones"/>
    <x v="3"/>
  </r>
  <r>
    <n v="2062"/>
    <n v="66"/>
    <n v="3"/>
    <n v="51.42"/>
    <n v="5.14"/>
    <n v="0"/>
    <n v="0.1"/>
    <s v="ACTIVE"/>
    <m/>
    <s v=""/>
    <m/>
    <d v="2026-06-05T07:53:02"/>
    <d v="2026-06-05T00:00:00"/>
    <x v="8"/>
    <x v="0"/>
    <n v="1"/>
    <n v="0"/>
    <x v="1771"/>
    <s v="Guadalupe Morales Gutiérrez"/>
    <x v="0"/>
  </r>
  <r>
    <n v="2063"/>
    <n v="107"/>
    <n v="2"/>
    <n v="46.07"/>
    <n v="4.6100000000000003"/>
    <n v="0"/>
    <n v="0.1"/>
    <s v="ACTIVE"/>
    <m/>
    <s v=""/>
    <m/>
    <d v="2026-06-05T09:17:19"/>
    <d v="2026-06-05T00:00:00"/>
    <x v="8"/>
    <x v="0"/>
    <n v="1"/>
    <n v="0"/>
    <x v="1772"/>
    <s v="Óscar Jiménez Romero"/>
    <x v="1"/>
  </r>
  <r>
    <n v="2064"/>
    <n v="137"/>
    <n v="4"/>
    <n v="16.62"/>
    <n v="1.66"/>
    <n v="0"/>
    <n v="0.1"/>
    <s v="ACTIVE"/>
    <m/>
    <s v=""/>
    <m/>
    <d v="2026-06-05T10:00:09"/>
    <d v="2026-06-05T00:00:00"/>
    <x v="8"/>
    <x v="0"/>
    <n v="1"/>
    <n v="0"/>
    <x v="1773"/>
    <s v="Francisco Reyes Ruiz"/>
    <x v="3"/>
  </r>
  <r>
    <n v="2065"/>
    <n v="136"/>
    <n v="2"/>
    <n v="83.1"/>
    <n v="0"/>
    <n v="1"/>
    <n v="0.1"/>
    <s v="ACTIVE"/>
    <m/>
    <s v=""/>
    <m/>
    <d v="2026-06-05T10:15:33"/>
    <d v="2026-06-05T00:00:00"/>
    <x v="8"/>
    <x v="1"/>
    <n v="1"/>
    <n v="0"/>
    <x v="1774"/>
    <s v="Guadalupe Castillo Rangel"/>
    <x v="1"/>
  </r>
  <r>
    <n v="2066"/>
    <n v="190"/>
    <n v="4"/>
    <n v="229.54"/>
    <n v="22.95"/>
    <n v="0"/>
    <n v="0.1"/>
    <s v="ACTIVE"/>
    <m/>
    <s v=""/>
    <m/>
    <d v="2026-06-05T10:46:36"/>
    <d v="2026-06-05T00:00:00"/>
    <x v="8"/>
    <x v="0"/>
    <n v="1"/>
    <n v="0"/>
    <x v="1775"/>
    <s v="Ricardo Díaz Rodríguez"/>
    <x v="3"/>
  </r>
  <r>
    <n v="2067"/>
    <n v="147"/>
    <n v="2"/>
    <n v="92.83"/>
    <n v="9.2799999999999994"/>
    <n v="0"/>
    <n v="0.1"/>
    <s v="ACTIVE"/>
    <m/>
    <s v=""/>
    <m/>
    <d v="2026-06-05T11:53:28"/>
    <d v="2026-06-05T00:00:00"/>
    <x v="8"/>
    <x v="0"/>
    <n v="1"/>
    <n v="0"/>
    <x v="1776"/>
    <s v="Irma Cruz Delgado"/>
    <x v="1"/>
  </r>
  <r>
    <n v="2068"/>
    <n v="290"/>
    <n v="3"/>
    <n v="17.350000000000001"/>
    <n v="1.74"/>
    <n v="0"/>
    <n v="0.1"/>
    <s v="ACTIVE"/>
    <m/>
    <s v=""/>
    <m/>
    <d v="2026-06-05T13:20:53"/>
    <d v="2026-06-05T00:00:00"/>
    <x v="8"/>
    <x v="0"/>
    <n v="1"/>
    <n v="0"/>
    <x v="1777"/>
    <s v="Silvia Reyes Vázquez"/>
    <x v="0"/>
  </r>
  <r>
    <n v="2069"/>
    <n v="134"/>
    <n v="3"/>
    <n v="64.31"/>
    <n v="6.43"/>
    <n v="0"/>
    <n v="0.1"/>
    <s v="ACTIVE"/>
    <m/>
    <s v=""/>
    <m/>
    <d v="2026-06-05T14:07:42"/>
    <d v="2026-06-05T00:00:00"/>
    <x v="8"/>
    <x v="0"/>
    <n v="1"/>
    <n v="0"/>
    <x v="1778"/>
    <s v="Javier Moreno Ortiz"/>
    <x v="0"/>
  </r>
  <r>
    <n v="2070"/>
    <n v="134"/>
    <n v="2"/>
    <n v="103"/>
    <n v="10.3"/>
    <n v="0"/>
    <n v="0.1"/>
    <s v="ACTIVE"/>
    <m/>
    <s v=""/>
    <m/>
    <d v="2026-06-05T14:27:41"/>
    <d v="2026-06-05T00:00:00"/>
    <x v="8"/>
    <x v="0"/>
    <n v="1"/>
    <n v="0"/>
    <x v="1779"/>
    <s v="Javier Moreno Ortiz"/>
    <x v="1"/>
  </r>
  <r>
    <n v="2071"/>
    <n v="183"/>
    <n v="2"/>
    <n v="97.02"/>
    <n v="9.6999999999999993"/>
    <n v="0"/>
    <n v="0.1"/>
    <s v="ACTIVE"/>
    <m/>
    <s v=""/>
    <m/>
    <d v="2026-06-05T15:06:34"/>
    <d v="2026-06-05T00:00:00"/>
    <x v="8"/>
    <x v="0"/>
    <n v="1"/>
    <n v="0"/>
    <x v="1780"/>
    <s v="Irma Moreno Rodríguez"/>
    <x v="1"/>
  </r>
  <r>
    <n v="2072"/>
    <n v="90"/>
    <n v="5"/>
    <n v="130.33000000000001"/>
    <n v="13.03"/>
    <n v="0"/>
    <n v="0.1"/>
    <s v="ACTIVE"/>
    <m/>
    <s v=""/>
    <m/>
    <d v="2026-06-05T15:29:30"/>
    <d v="2026-06-05T00:00:00"/>
    <x v="8"/>
    <x v="0"/>
    <n v="1"/>
    <n v="0"/>
    <x v="1781"/>
    <s v="María Rangel Medina"/>
    <x v="2"/>
  </r>
  <r>
    <n v="2073"/>
    <n v="138"/>
    <n v="4"/>
    <n v="27.14"/>
    <n v="0"/>
    <n v="1"/>
    <n v="0.1"/>
    <s v="ACTIVE"/>
    <m/>
    <s v=""/>
    <m/>
    <d v="2026-06-05T16:24:44"/>
    <d v="2026-06-05T00:00:00"/>
    <x v="8"/>
    <x v="1"/>
    <n v="1"/>
    <n v="0"/>
    <x v="1782"/>
    <s v="Alejandro Reyes Morales"/>
    <x v="3"/>
  </r>
  <r>
    <n v="2074"/>
    <n v="137"/>
    <n v="2"/>
    <n v="30.52"/>
    <n v="3.05"/>
    <n v="0"/>
    <n v="0.1"/>
    <s v="ACTIVE"/>
    <m/>
    <s v=""/>
    <m/>
    <d v="2026-06-06T09:23:25"/>
    <d v="2026-06-06T00:00:00"/>
    <x v="8"/>
    <x v="0"/>
    <n v="1"/>
    <n v="0"/>
    <x v="1783"/>
    <s v="Francisco Reyes Ruiz"/>
    <x v="1"/>
  </r>
  <r>
    <n v="2075"/>
    <n v="183"/>
    <n v="3"/>
    <n v="98.73"/>
    <n v="9.8699999999999992"/>
    <n v="0"/>
    <n v="0.1"/>
    <s v="ACTIVE"/>
    <m/>
    <s v=""/>
    <m/>
    <d v="2026-06-06T18:05:37"/>
    <d v="2026-06-06T00:00:00"/>
    <x v="8"/>
    <x v="0"/>
    <n v="1"/>
    <n v="0"/>
    <x v="1784"/>
    <s v="Irma Moreno Rodríguez"/>
    <x v="0"/>
  </r>
  <r>
    <n v="2076"/>
    <n v="196"/>
    <n v="5"/>
    <n v="21.1"/>
    <n v="2.11"/>
    <n v="0"/>
    <n v="0.1"/>
    <s v="CANCELED"/>
    <n v="3"/>
    <s v="Cliente canceló la operación"/>
    <d v="2026-06-07T13:16:55"/>
    <d v="2026-06-06T18:16:55"/>
    <d v="2026-06-06T00:00:00"/>
    <x v="8"/>
    <x v="0"/>
    <n v="1"/>
    <n v="1"/>
    <x v="32"/>
    <s v="Lucía Ramos Ramos"/>
    <x v="2"/>
  </r>
  <r>
    <n v="2077"/>
    <n v="117"/>
    <n v="2"/>
    <n v="73.05"/>
    <n v="7.31"/>
    <n v="0"/>
    <n v="0.1"/>
    <s v="ACTIVE"/>
    <m/>
    <s v=""/>
    <m/>
    <d v="2026-06-06T18:31:15"/>
    <d v="2026-06-06T00:00:00"/>
    <x v="8"/>
    <x v="0"/>
    <n v="1"/>
    <n v="0"/>
    <x v="1785"/>
    <s v="Manuel Ortiz Ramírez"/>
    <x v="1"/>
  </r>
  <r>
    <n v="2078"/>
    <n v="213"/>
    <n v="3"/>
    <n v="300"/>
    <n v="30"/>
    <n v="0"/>
    <n v="0.1"/>
    <s v="ACTIVE"/>
    <m/>
    <s v=""/>
    <m/>
    <d v="2026-06-07T07:54:21"/>
    <d v="2026-06-07T00:00:00"/>
    <x v="8"/>
    <x v="0"/>
    <n v="1"/>
    <n v="0"/>
    <x v="74"/>
    <s v="Teresa Romero Flores"/>
    <x v="0"/>
  </r>
  <r>
    <n v="2079"/>
    <n v="121"/>
    <n v="5"/>
    <n v="34.020000000000003"/>
    <n v="3.4"/>
    <n v="0"/>
    <n v="0.1"/>
    <s v="ACTIVE"/>
    <m/>
    <s v=""/>
    <m/>
    <d v="2026-06-07T09:37:52"/>
    <d v="2026-06-07T00:00:00"/>
    <x v="8"/>
    <x v="0"/>
    <n v="1"/>
    <n v="0"/>
    <x v="497"/>
    <s v="Fernando González Ortiz"/>
    <x v="2"/>
  </r>
  <r>
    <n v="2080"/>
    <n v="136"/>
    <n v="3"/>
    <n v="91.48"/>
    <n v="9.15"/>
    <n v="0"/>
    <n v="0.1"/>
    <s v="ACTIVE"/>
    <m/>
    <s v=""/>
    <m/>
    <d v="2026-06-07T12:56:40"/>
    <d v="2026-06-07T00:00:00"/>
    <x v="8"/>
    <x v="0"/>
    <n v="1"/>
    <n v="0"/>
    <x v="1786"/>
    <s v="Guadalupe Castillo Rangel"/>
    <x v="0"/>
  </r>
  <r>
    <n v="2081"/>
    <n v="250"/>
    <n v="5"/>
    <n v="63.1"/>
    <n v="6.31"/>
    <n v="0"/>
    <n v="0.1"/>
    <s v="ACTIVE"/>
    <m/>
    <s v=""/>
    <m/>
    <d v="2026-06-08T12:44:21"/>
    <d v="2026-06-08T00:00:00"/>
    <x v="8"/>
    <x v="0"/>
    <n v="1"/>
    <n v="0"/>
    <x v="1787"/>
    <s v="Verónica Romero Chávez"/>
    <x v="2"/>
  </r>
  <r>
    <n v="2082"/>
    <n v="183"/>
    <n v="5"/>
    <n v="73.89"/>
    <n v="7.39"/>
    <n v="0"/>
    <n v="0.1"/>
    <s v="ACTIVE"/>
    <m/>
    <s v=""/>
    <m/>
    <d v="2026-06-08T14:52:41"/>
    <d v="2026-06-08T00:00:00"/>
    <x v="8"/>
    <x v="0"/>
    <n v="1"/>
    <n v="0"/>
    <x v="1788"/>
    <s v="Irma Moreno Rodríguez"/>
    <x v="2"/>
  </r>
  <r>
    <n v="2083"/>
    <n v="202"/>
    <n v="4"/>
    <n v="26.27"/>
    <n v="2.63"/>
    <n v="0"/>
    <n v="0.1"/>
    <s v="ACTIVE"/>
    <m/>
    <s v=""/>
    <m/>
    <d v="2026-06-08T17:29:53"/>
    <d v="2026-06-08T00:00:00"/>
    <x v="8"/>
    <x v="0"/>
    <n v="1"/>
    <n v="0"/>
    <x v="1789"/>
    <s v="Elena Díaz Reyes"/>
    <x v="3"/>
  </r>
  <r>
    <n v="2084"/>
    <n v="134"/>
    <n v="2"/>
    <n v="73.23"/>
    <n v="7.32"/>
    <n v="0"/>
    <n v="0.1"/>
    <s v="ACTIVE"/>
    <m/>
    <s v=""/>
    <m/>
    <d v="2026-06-09T08:27:39"/>
    <d v="2026-06-09T00:00:00"/>
    <x v="8"/>
    <x v="0"/>
    <n v="1"/>
    <n v="0"/>
    <x v="1790"/>
    <s v="Javier Moreno Ortiz"/>
    <x v="1"/>
  </r>
  <r>
    <n v="2085"/>
    <n v="241"/>
    <n v="3"/>
    <n v="41.79"/>
    <n v="4.18"/>
    <n v="0"/>
    <n v="0.1"/>
    <s v="ACTIVE"/>
    <m/>
    <s v=""/>
    <m/>
    <d v="2026-06-09T12:45:31"/>
    <d v="2026-06-09T00:00:00"/>
    <x v="8"/>
    <x v="0"/>
    <n v="1"/>
    <n v="0"/>
    <x v="1791"/>
    <s v="Lucía Cruz Herrera"/>
    <x v="0"/>
  </r>
  <r>
    <n v="2086"/>
    <n v="134"/>
    <n v="5"/>
    <n v="83.92"/>
    <n v="8.39"/>
    <n v="0"/>
    <n v="0.1"/>
    <s v="ACTIVE"/>
    <m/>
    <s v=""/>
    <m/>
    <d v="2026-06-09T12:56:26"/>
    <d v="2026-06-09T00:00:00"/>
    <x v="8"/>
    <x v="0"/>
    <n v="1"/>
    <n v="0"/>
    <x v="1792"/>
    <s v="Javier Moreno Ortiz"/>
    <x v="2"/>
  </r>
  <r>
    <n v="2087"/>
    <n v="138"/>
    <n v="3"/>
    <n v="24.7"/>
    <n v="2.4700000000000002"/>
    <n v="0"/>
    <n v="0.1"/>
    <s v="ACTIVE"/>
    <m/>
    <s v=""/>
    <m/>
    <d v="2026-06-09T15:06:26"/>
    <d v="2026-06-09T00:00:00"/>
    <x v="8"/>
    <x v="0"/>
    <n v="1"/>
    <n v="0"/>
    <x v="1793"/>
    <s v="Alejandro Reyes Morales"/>
    <x v="0"/>
  </r>
  <r>
    <n v="2088"/>
    <n v="156"/>
    <n v="4"/>
    <n v="29.35"/>
    <n v="2.94"/>
    <n v="0"/>
    <n v="0.1"/>
    <s v="ACTIVE"/>
    <m/>
    <s v=""/>
    <m/>
    <d v="2026-06-10T09:55:24"/>
    <d v="2026-06-10T00:00:00"/>
    <x v="8"/>
    <x v="0"/>
    <n v="1"/>
    <n v="0"/>
    <x v="1794"/>
    <s v="Óscar Moreno Chávez"/>
    <x v="3"/>
  </r>
  <r>
    <n v="2089"/>
    <n v="177"/>
    <n v="3"/>
    <n v="27.84"/>
    <n v="2.78"/>
    <n v="0"/>
    <n v="0.1"/>
    <s v="ACTIVE"/>
    <m/>
    <s v=""/>
    <m/>
    <d v="2026-06-10T10:01:44"/>
    <d v="2026-06-10T00:00:00"/>
    <x v="8"/>
    <x v="0"/>
    <n v="1"/>
    <n v="0"/>
    <x v="1795"/>
    <s v="Fernando Ortiz Santoyo"/>
    <x v="0"/>
  </r>
  <r>
    <n v="2090"/>
    <n v="39"/>
    <n v="4"/>
    <n v="156.44999999999999"/>
    <n v="0"/>
    <n v="1"/>
    <n v="0.1"/>
    <s v="ACTIVE"/>
    <m/>
    <s v=""/>
    <m/>
    <d v="2026-06-10T11:13:47"/>
    <d v="2026-06-10T00:00:00"/>
    <x v="8"/>
    <x v="1"/>
    <n v="1"/>
    <n v="0"/>
    <x v="1796"/>
    <s v="Guadalupe García Quiñones"/>
    <x v="3"/>
  </r>
  <r>
    <n v="2091"/>
    <n v="57"/>
    <n v="4"/>
    <n v="105.25"/>
    <n v="10.53"/>
    <n v="0"/>
    <n v="0.1"/>
    <s v="ACTIVE"/>
    <m/>
    <s v=""/>
    <m/>
    <d v="2026-06-10T12:02:47"/>
    <d v="2026-06-10T00:00:00"/>
    <x v="8"/>
    <x v="0"/>
    <n v="1"/>
    <n v="0"/>
    <x v="1797"/>
    <s v="Isabel Martínez Rodríguez"/>
    <x v="3"/>
  </r>
  <r>
    <n v="2092"/>
    <n v="96"/>
    <n v="3"/>
    <n v="215.1"/>
    <n v="21.51"/>
    <n v="0"/>
    <n v="0.1"/>
    <s v="ACTIVE"/>
    <m/>
    <s v=""/>
    <m/>
    <d v="2026-06-10T12:36:50"/>
    <d v="2026-06-10T00:00:00"/>
    <x v="8"/>
    <x v="0"/>
    <n v="1"/>
    <n v="0"/>
    <x v="1798"/>
    <s v="José Pérez Herrera"/>
    <x v="0"/>
  </r>
  <r>
    <n v="2093"/>
    <n v="123"/>
    <n v="4"/>
    <n v="27.06"/>
    <n v="2.71"/>
    <n v="0"/>
    <n v="0.1"/>
    <s v="ACTIVE"/>
    <m/>
    <s v=""/>
    <m/>
    <d v="2026-06-10T16:22:32"/>
    <d v="2026-06-10T00:00:00"/>
    <x v="8"/>
    <x v="0"/>
    <n v="1"/>
    <n v="0"/>
    <x v="1799"/>
    <s v="Carmen Vázquez González"/>
    <x v="3"/>
  </r>
  <r>
    <n v="2094"/>
    <n v="238"/>
    <n v="2"/>
    <n v="15.66"/>
    <n v="1.57"/>
    <n v="0"/>
    <n v="0.1"/>
    <s v="ACTIVE"/>
    <m/>
    <s v=""/>
    <m/>
    <d v="2026-06-10T16:24:21"/>
    <d v="2026-06-10T00:00:00"/>
    <x v="8"/>
    <x v="0"/>
    <n v="1"/>
    <n v="0"/>
    <x v="1800"/>
    <s v="Carmen López Ramos"/>
    <x v="1"/>
  </r>
  <r>
    <n v="2095"/>
    <n v="65"/>
    <n v="4"/>
    <n v="46.44"/>
    <n v="4.6399999999999997"/>
    <n v="0"/>
    <n v="0.1"/>
    <s v="ACTIVE"/>
    <m/>
    <s v=""/>
    <m/>
    <d v="2026-06-10T16:41:41"/>
    <d v="2026-06-10T00:00:00"/>
    <x v="8"/>
    <x v="0"/>
    <n v="1"/>
    <n v="0"/>
    <x v="1801"/>
    <s v="Gabriela Flores Chávez"/>
    <x v="3"/>
  </r>
  <r>
    <n v="2096"/>
    <n v="69"/>
    <n v="2"/>
    <n v="27.92"/>
    <n v="2.79"/>
    <n v="0"/>
    <n v="0.1"/>
    <s v="ACTIVE"/>
    <m/>
    <s v=""/>
    <m/>
    <d v="2026-06-11T07:18:46"/>
    <d v="2026-06-11T00:00:00"/>
    <x v="8"/>
    <x v="0"/>
    <n v="1"/>
    <n v="0"/>
    <x v="1802"/>
    <s v="Carmen Quiñones Hernández"/>
    <x v="1"/>
  </r>
  <r>
    <n v="2097"/>
    <n v="31"/>
    <n v="2"/>
    <n v="50.4"/>
    <n v="5.04"/>
    <n v="0"/>
    <n v="0.1"/>
    <s v="ACTIVE"/>
    <m/>
    <s v=""/>
    <m/>
    <d v="2026-06-11T08:02:36"/>
    <d v="2026-06-11T00:00:00"/>
    <x v="8"/>
    <x v="0"/>
    <n v="1"/>
    <n v="0"/>
    <x v="1803"/>
    <s v="Óscar Zacatecas Reyes"/>
    <x v="1"/>
  </r>
  <r>
    <n v="2098"/>
    <n v="279"/>
    <n v="3"/>
    <n v="300"/>
    <n v="30"/>
    <n v="0"/>
    <n v="0.1"/>
    <s v="ACTIVE"/>
    <m/>
    <s v=""/>
    <m/>
    <d v="2026-06-11T08:30:59"/>
    <d v="2026-06-11T00:00:00"/>
    <x v="8"/>
    <x v="0"/>
    <n v="1"/>
    <n v="0"/>
    <x v="74"/>
    <s v="Rosa Mendoza Moreno"/>
    <x v="0"/>
  </r>
  <r>
    <n v="2099"/>
    <n v="250"/>
    <n v="3"/>
    <n v="78.31"/>
    <n v="7.83"/>
    <n v="0"/>
    <n v="0.1"/>
    <s v="ACTIVE"/>
    <m/>
    <s v=""/>
    <m/>
    <d v="2026-06-11T10:19:02"/>
    <d v="2026-06-11T00:00:00"/>
    <x v="8"/>
    <x v="0"/>
    <n v="1"/>
    <n v="0"/>
    <x v="1804"/>
    <s v="Verónica Romero Chávez"/>
    <x v="0"/>
  </r>
  <r>
    <n v="2100"/>
    <n v="118"/>
    <n v="2"/>
    <n v="25"/>
    <n v="2.5"/>
    <n v="0"/>
    <n v="0.1"/>
    <s v="ACTIVE"/>
    <m/>
    <s v=""/>
    <m/>
    <d v="2026-06-11T12:57:28"/>
    <d v="2026-06-11T00:00:00"/>
    <x v="8"/>
    <x v="0"/>
    <n v="1"/>
    <n v="0"/>
    <x v="1607"/>
    <s v="Roberto Rangel Gutiérrez"/>
    <x v="1"/>
  </r>
  <r>
    <n v="2101"/>
    <n v="232"/>
    <n v="2"/>
    <n v="53.66"/>
    <n v="5.37"/>
    <n v="0"/>
    <n v="0.1"/>
    <s v="ACTIVE"/>
    <m/>
    <s v=""/>
    <m/>
    <d v="2026-06-11T15:59:27"/>
    <d v="2026-06-11T00:00:00"/>
    <x v="8"/>
    <x v="0"/>
    <n v="1"/>
    <n v="0"/>
    <x v="1805"/>
    <s v="Francisco Quiñones Morales"/>
    <x v="1"/>
  </r>
  <r>
    <n v="2102"/>
    <n v="73"/>
    <n v="4"/>
    <n v="23.71"/>
    <n v="2.37"/>
    <n v="0"/>
    <n v="0.1"/>
    <s v="ACTIVE"/>
    <m/>
    <s v=""/>
    <m/>
    <d v="2026-06-11T16:30:35"/>
    <d v="2026-06-11T00:00:00"/>
    <x v="8"/>
    <x v="0"/>
    <n v="1"/>
    <n v="0"/>
    <x v="1806"/>
    <s v="Rosa Quiñones Romero"/>
    <x v="3"/>
  </r>
  <r>
    <n v="2103"/>
    <n v="122"/>
    <n v="2"/>
    <n v="146.21"/>
    <n v="14.62"/>
    <n v="0"/>
    <n v="0.1"/>
    <s v="ACTIVE"/>
    <m/>
    <s v=""/>
    <m/>
    <d v="2026-06-11T17:28:29"/>
    <d v="2026-06-11T00:00:00"/>
    <x v="8"/>
    <x v="0"/>
    <n v="1"/>
    <n v="0"/>
    <x v="1807"/>
    <s v="Norma Sánchez Santoyo"/>
    <x v="1"/>
  </r>
  <r>
    <n v="2104"/>
    <n v="134"/>
    <n v="4"/>
    <n v="149.19999999999999"/>
    <n v="14.92"/>
    <n v="0"/>
    <n v="0.1"/>
    <s v="ACTIVE"/>
    <m/>
    <s v=""/>
    <m/>
    <d v="2026-06-12T09:13:32"/>
    <d v="2026-06-12T00:00:00"/>
    <x v="8"/>
    <x v="0"/>
    <n v="1"/>
    <n v="0"/>
    <x v="1808"/>
    <s v="Javier Moreno Ortiz"/>
    <x v="3"/>
  </r>
  <r>
    <n v="2105"/>
    <n v="117"/>
    <n v="5"/>
    <n v="91.78"/>
    <n v="9.18"/>
    <n v="0"/>
    <n v="0.1"/>
    <s v="ACTIVE"/>
    <m/>
    <s v=""/>
    <m/>
    <d v="2026-06-12T09:30:18"/>
    <d v="2026-06-12T00:00:00"/>
    <x v="8"/>
    <x v="0"/>
    <n v="1"/>
    <n v="0"/>
    <x v="1809"/>
    <s v="Manuel Ortiz Ramírez"/>
    <x v="2"/>
  </r>
  <r>
    <n v="2106"/>
    <n v="87"/>
    <n v="4"/>
    <n v="120.96"/>
    <n v="12.1"/>
    <n v="0"/>
    <n v="0.1"/>
    <s v="ACTIVE"/>
    <m/>
    <s v=""/>
    <m/>
    <d v="2026-06-12T11:25:06"/>
    <d v="2026-06-12T00:00:00"/>
    <x v="8"/>
    <x v="0"/>
    <n v="1"/>
    <n v="0"/>
    <x v="1810"/>
    <s v="Antonio Reyes Romero"/>
    <x v="3"/>
  </r>
  <r>
    <n v="2107"/>
    <n v="183"/>
    <n v="3"/>
    <n v="82.61"/>
    <n v="8.26"/>
    <n v="0"/>
    <n v="0.1"/>
    <s v="ACTIVE"/>
    <m/>
    <s v=""/>
    <m/>
    <d v="2026-06-12T11:47:05"/>
    <d v="2026-06-12T00:00:00"/>
    <x v="8"/>
    <x v="0"/>
    <n v="1"/>
    <n v="0"/>
    <x v="1811"/>
    <s v="Irma Moreno Rodríguez"/>
    <x v="0"/>
  </r>
  <r>
    <n v="2108"/>
    <n v="82"/>
    <n v="2"/>
    <n v="28.91"/>
    <n v="2.89"/>
    <n v="0"/>
    <n v="0.1"/>
    <s v="ACTIVE"/>
    <m/>
    <s v=""/>
    <m/>
    <d v="2026-06-12T11:50:25"/>
    <d v="2026-06-12T00:00:00"/>
    <x v="8"/>
    <x v="0"/>
    <n v="1"/>
    <n v="0"/>
    <x v="1812"/>
    <s v="Norma Zacatecas Sánchez"/>
    <x v="1"/>
  </r>
  <r>
    <n v="2109"/>
    <n v="250"/>
    <n v="5"/>
    <n v="59.05"/>
    <n v="5.91"/>
    <n v="0"/>
    <n v="0.1"/>
    <s v="ACTIVE"/>
    <m/>
    <s v=""/>
    <m/>
    <d v="2026-06-12T12:51:33"/>
    <d v="2026-06-12T00:00:00"/>
    <x v="8"/>
    <x v="0"/>
    <n v="1"/>
    <n v="0"/>
    <x v="1813"/>
    <s v="Verónica Romero Chávez"/>
    <x v="2"/>
  </r>
  <r>
    <n v="2110"/>
    <n v="50"/>
    <n v="5"/>
    <n v="74.099999999999994"/>
    <n v="7.41"/>
    <n v="0"/>
    <n v="0.1"/>
    <s v="ACTIVE"/>
    <m/>
    <s v=""/>
    <m/>
    <d v="2026-06-12T18:06:10"/>
    <d v="2026-06-12T00:00:00"/>
    <x v="8"/>
    <x v="0"/>
    <n v="1"/>
    <n v="0"/>
    <x v="1814"/>
    <s v="Roberto Moreno López"/>
    <x v="2"/>
  </r>
  <r>
    <n v="2111"/>
    <n v="250"/>
    <n v="4"/>
    <n v="81.95"/>
    <n v="0"/>
    <n v="1"/>
    <n v="0.1"/>
    <s v="ACTIVE"/>
    <m/>
    <s v=""/>
    <m/>
    <d v="2026-06-12T18:42:24"/>
    <d v="2026-06-12T00:00:00"/>
    <x v="8"/>
    <x v="1"/>
    <n v="1"/>
    <n v="0"/>
    <x v="1815"/>
    <s v="Verónica Romero Chávez"/>
    <x v="3"/>
  </r>
  <r>
    <n v="2112"/>
    <n v="40"/>
    <n v="3"/>
    <n v="34.94"/>
    <n v="3.49"/>
    <n v="0"/>
    <n v="0.1"/>
    <s v="ACTIVE"/>
    <m/>
    <s v=""/>
    <m/>
    <d v="2026-06-13T11:03:40"/>
    <d v="2026-06-13T00:00:00"/>
    <x v="8"/>
    <x v="0"/>
    <n v="1"/>
    <n v="0"/>
    <x v="1816"/>
    <s v="Carlos López Cruz"/>
    <x v="0"/>
  </r>
  <r>
    <n v="2113"/>
    <n v="133"/>
    <n v="2"/>
    <n v="123.18"/>
    <n v="12.32"/>
    <n v="0"/>
    <n v="0.1"/>
    <s v="ACTIVE"/>
    <m/>
    <s v=""/>
    <m/>
    <d v="2026-06-13T13:06:08"/>
    <d v="2026-06-13T00:00:00"/>
    <x v="8"/>
    <x v="0"/>
    <n v="1"/>
    <n v="0"/>
    <x v="1817"/>
    <s v="Silvia Villalobos Medina"/>
    <x v="1"/>
  </r>
  <r>
    <n v="2114"/>
    <n v="302"/>
    <n v="5"/>
    <n v="18.309999999999999"/>
    <n v="1.83"/>
    <n v="0"/>
    <n v="0.1"/>
    <s v="CANCELED"/>
    <n v="5"/>
    <s v="Monto duplicado por error de sistema"/>
    <d v="2026-06-15T01:19:32"/>
    <d v="2026-06-13T14:19:32"/>
    <d v="2026-06-13T00:00:00"/>
    <x v="8"/>
    <x v="0"/>
    <n v="1"/>
    <n v="1"/>
    <x v="32"/>
    <s v="Alicia Herrera Sánchez"/>
    <x v="2"/>
  </r>
  <r>
    <n v="2115"/>
    <n v="290"/>
    <n v="4"/>
    <n v="28.21"/>
    <n v="2.82"/>
    <n v="0"/>
    <n v="0.1"/>
    <s v="ACTIVE"/>
    <m/>
    <s v=""/>
    <m/>
    <d v="2026-06-13T14:54:49"/>
    <d v="2026-06-13T00:00:00"/>
    <x v="8"/>
    <x v="0"/>
    <n v="1"/>
    <n v="0"/>
    <x v="1684"/>
    <s v="Silvia Reyes Vázquez"/>
    <x v="3"/>
  </r>
  <r>
    <n v="2116"/>
    <n v="90"/>
    <n v="5"/>
    <n v="149.53"/>
    <n v="14.95"/>
    <n v="0"/>
    <n v="0.1"/>
    <s v="ACTIVE"/>
    <m/>
    <s v=""/>
    <m/>
    <d v="2026-06-13T16:08:31"/>
    <d v="2026-06-13T00:00:00"/>
    <x v="8"/>
    <x v="0"/>
    <n v="1"/>
    <n v="0"/>
    <x v="1818"/>
    <s v="María Rangel Medina"/>
    <x v="2"/>
  </r>
  <r>
    <n v="2117"/>
    <n v="235"/>
    <n v="4"/>
    <n v="43.18"/>
    <n v="4.32"/>
    <n v="0"/>
    <n v="0.1"/>
    <s v="ACTIVE"/>
    <m/>
    <s v=""/>
    <m/>
    <d v="2026-06-13T16:45:54"/>
    <d v="2026-06-13T00:00:00"/>
    <x v="8"/>
    <x v="0"/>
    <n v="1"/>
    <n v="0"/>
    <x v="1409"/>
    <s v="Silvia González Rodríguez"/>
    <x v="3"/>
  </r>
  <r>
    <n v="2118"/>
    <n v="131"/>
    <n v="4"/>
    <n v="181.97"/>
    <n v="18.2"/>
    <n v="0"/>
    <n v="0.1"/>
    <s v="ACTIVE"/>
    <m/>
    <s v=""/>
    <m/>
    <d v="2026-06-13T16:48:14"/>
    <d v="2026-06-13T00:00:00"/>
    <x v="8"/>
    <x v="0"/>
    <n v="1"/>
    <n v="0"/>
    <x v="1819"/>
    <s v="Raúl Quiñones Hernández"/>
    <x v="3"/>
  </r>
  <r>
    <n v="2119"/>
    <n v="229"/>
    <n v="3"/>
    <n v="83.69"/>
    <n v="8.3699999999999992"/>
    <n v="0"/>
    <n v="0.1"/>
    <s v="ACTIVE"/>
    <m/>
    <s v=""/>
    <m/>
    <d v="2026-06-13T18:35:18"/>
    <d v="2026-06-13T00:00:00"/>
    <x v="8"/>
    <x v="0"/>
    <n v="1"/>
    <n v="0"/>
    <x v="1820"/>
    <s v="Verónica González Rodríguez"/>
    <x v="0"/>
  </r>
  <r>
    <n v="2120"/>
    <n v="39"/>
    <n v="5"/>
    <n v="109.12"/>
    <n v="10.91"/>
    <n v="0"/>
    <n v="0.1"/>
    <s v="ACTIVE"/>
    <m/>
    <s v=""/>
    <m/>
    <d v="2026-06-13T18:57:54"/>
    <d v="2026-06-13T00:00:00"/>
    <x v="8"/>
    <x v="0"/>
    <n v="1"/>
    <n v="0"/>
    <x v="1821"/>
    <s v="Guadalupe García Quiñones"/>
    <x v="2"/>
  </r>
  <r>
    <n v="2121"/>
    <n v="156"/>
    <n v="5"/>
    <n v="40.5"/>
    <n v="4.05"/>
    <n v="0"/>
    <n v="0.1"/>
    <s v="ACTIVE"/>
    <m/>
    <s v=""/>
    <m/>
    <d v="2026-06-14T08:07:54"/>
    <d v="2026-06-14T00:00:00"/>
    <x v="8"/>
    <x v="0"/>
    <n v="1"/>
    <n v="0"/>
    <x v="1822"/>
    <s v="Óscar Moreno Chávez"/>
    <x v="2"/>
  </r>
  <r>
    <n v="2122"/>
    <n v="36"/>
    <n v="5"/>
    <n v="183.41"/>
    <n v="18.34"/>
    <n v="0"/>
    <n v="0.1"/>
    <s v="ACTIVE"/>
    <m/>
    <s v=""/>
    <m/>
    <d v="2026-06-14T10:15:10"/>
    <d v="2026-06-14T00:00:00"/>
    <x v="8"/>
    <x v="0"/>
    <n v="1"/>
    <n v="0"/>
    <x v="1823"/>
    <s v="Sergio Delgado Herrera"/>
    <x v="2"/>
  </r>
  <r>
    <n v="2123"/>
    <n v="297"/>
    <n v="5"/>
    <n v="133.66999999999999"/>
    <n v="13.37"/>
    <n v="0"/>
    <n v="0.1"/>
    <s v="ACTIVE"/>
    <m/>
    <s v=""/>
    <m/>
    <d v="2026-06-14T14:00:12"/>
    <d v="2026-06-14T00:00:00"/>
    <x v="8"/>
    <x v="0"/>
    <n v="1"/>
    <n v="0"/>
    <x v="1824"/>
    <s v="Patricia Ortiz Jiménez"/>
    <x v="2"/>
  </r>
  <r>
    <n v="2124"/>
    <n v="172"/>
    <n v="4"/>
    <n v="23.51"/>
    <n v="2.35"/>
    <n v="0"/>
    <n v="0.1"/>
    <s v="ACTIVE"/>
    <m/>
    <s v=""/>
    <m/>
    <d v="2026-06-14T18:49:49"/>
    <d v="2026-06-14T00:00:00"/>
    <x v="8"/>
    <x v="0"/>
    <n v="1"/>
    <n v="0"/>
    <x v="236"/>
    <s v="Silvia Salazar Ortiz"/>
    <x v="3"/>
  </r>
  <r>
    <n v="2125"/>
    <n v="229"/>
    <n v="3"/>
    <n v="113.98"/>
    <n v="11.4"/>
    <n v="0"/>
    <n v="0.1"/>
    <s v="ACTIVE"/>
    <m/>
    <s v=""/>
    <m/>
    <d v="2026-06-15T14:05:33"/>
    <d v="2026-06-15T00:00:00"/>
    <x v="8"/>
    <x v="0"/>
    <n v="1"/>
    <n v="0"/>
    <x v="1825"/>
    <s v="Verónica González Rodríguez"/>
    <x v="0"/>
  </r>
  <r>
    <n v="2126"/>
    <n v="227"/>
    <n v="4"/>
    <n v="27.41"/>
    <n v="2.74"/>
    <n v="0"/>
    <n v="0.1"/>
    <s v="ACTIVE"/>
    <m/>
    <s v=""/>
    <m/>
    <d v="2026-06-15T14:18:26"/>
    <d v="2026-06-15T00:00:00"/>
    <x v="8"/>
    <x v="0"/>
    <n v="1"/>
    <n v="0"/>
    <x v="426"/>
    <s v="Alicia Mendoza Rangel"/>
    <x v="3"/>
  </r>
  <r>
    <n v="2127"/>
    <n v="47"/>
    <n v="2"/>
    <n v="60.43"/>
    <n v="6.04"/>
    <n v="0"/>
    <n v="0.1"/>
    <s v="ACTIVE"/>
    <m/>
    <s v=""/>
    <m/>
    <d v="2026-06-15T16:06:24"/>
    <d v="2026-06-15T00:00:00"/>
    <x v="8"/>
    <x v="0"/>
    <n v="1"/>
    <n v="0"/>
    <x v="1826"/>
    <s v="Carmen Díaz Chávez"/>
    <x v="1"/>
  </r>
  <r>
    <n v="2128"/>
    <n v="229"/>
    <n v="2"/>
    <n v="58.86"/>
    <n v="5.89"/>
    <n v="0"/>
    <n v="0.1"/>
    <s v="ACTIVE"/>
    <m/>
    <s v=""/>
    <m/>
    <d v="2026-06-16T09:39:18"/>
    <d v="2026-06-16T00:00:00"/>
    <x v="8"/>
    <x v="0"/>
    <n v="1"/>
    <n v="0"/>
    <x v="1827"/>
    <s v="Verónica González Rodríguez"/>
    <x v="1"/>
  </r>
  <r>
    <n v="2129"/>
    <n v="221"/>
    <n v="5"/>
    <n v="166.64"/>
    <n v="16.66"/>
    <n v="0"/>
    <n v="0.1"/>
    <s v="ACTIVE"/>
    <m/>
    <s v=""/>
    <m/>
    <d v="2026-06-16T09:52:55"/>
    <d v="2026-06-16T00:00:00"/>
    <x v="8"/>
    <x v="0"/>
    <n v="1"/>
    <n v="0"/>
    <x v="1828"/>
    <s v="Norma Hernández Chávez"/>
    <x v="2"/>
  </r>
  <r>
    <n v="2130"/>
    <n v="267"/>
    <n v="5"/>
    <n v="57.37"/>
    <n v="5.74"/>
    <n v="0"/>
    <n v="0.1"/>
    <s v="ACTIVE"/>
    <m/>
    <s v=""/>
    <m/>
    <d v="2026-06-16T10:51:28"/>
    <d v="2026-06-16T00:00:00"/>
    <x v="8"/>
    <x v="0"/>
    <n v="1"/>
    <n v="0"/>
    <x v="1829"/>
    <s v="Lucía Ruiz Ruiz"/>
    <x v="2"/>
  </r>
  <r>
    <n v="2131"/>
    <n v="136"/>
    <n v="3"/>
    <n v="66.099999999999994"/>
    <n v="6.61"/>
    <n v="0"/>
    <n v="0.1"/>
    <s v="ACTIVE"/>
    <m/>
    <s v=""/>
    <m/>
    <d v="2026-06-16T11:37:11"/>
    <d v="2026-06-16T00:00:00"/>
    <x v="8"/>
    <x v="0"/>
    <n v="1"/>
    <n v="0"/>
    <x v="1830"/>
    <s v="Guadalupe Castillo Rangel"/>
    <x v="0"/>
  </r>
  <r>
    <n v="2132"/>
    <n v="303"/>
    <n v="3"/>
    <n v="26.85"/>
    <n v="2.69"/>
    <n v="0"/>
    <n v="0.1"/>
    <s v="ACTIVE"/>
    <m/>
    <s v=""/>
    <m/>
    <d v="2026-06-16T13:54:47"/>
    <d v="2026-06-16T00:00:00"/>
    <x v="8"/>
    <x v="0"/>
    <n v="1"/>
    <n v="0"/>
    <x v="582"/>
    <s v="Francisco López Ortiz"/>
    <x v="0"/>
  </r>
  <r>
    <n v="2133"/>
    <n v="190"/>
    <n v="3"/>
    <n v="300"/>
    <n v="30"/>
    <n v="0"/>
    <n v="0.1"/>
    <s v="ACTIVE"/>
    <m/>
    <s v=""/>
    <m/>
    <d v="2026-06-16T14:56:59"/>
    <d v="2026-06-16T00:00:00"/>
    <x v="8"/>
    <x v="0"/>
    <n v="1"/>
    <n v="0"/>
    <x v="74"/>
    <s v="Ricardo Díaz Rodríguez"/>
    <x v="0"/>
  </r>
  <r>
    <n v="2134"/>
    <n v="44"/>
    <n v="2"/>
    <n v="25.67"/>
    <n v="2.57"/>
    <n v="0"/>
    <n v="0.1"/>
    <s v="ACTIVE"/>
    <m/>
    <s v=""/>
    <m/>
    <d v="2026-06-16T16:36:33"/>
    <d v="2026-06-16T00:00:00"/>
    <x v="8"/>
    <x v="0"/>
    <n v="1"/>
    <n v="0"/>
    <x v="1831"/>
    <s v="Pedro Herrera Castillo"/>
    <x v="1"/>
  </r>
  <r>
    <n v="2135"/>
    <n v="156"/>
    <n v="3"/>
    <n v="29.16"/>
    <n v="2.92"/>
    <n v="0"/>
    <n v="0.1"/>
    <s v="CANCELED"/>
    <n v="4"/>
    <s v="Monto duplicado por error de sistema"/>
    <d v="2026-06-17T13:37:33"/>
    <d v="2026-06-17T12:37:33"/>
    <d v="2026-06-17T00:00:00"/>
    <x v="8"/>
    <x v="0"/>
    <n v="1"/>
    <n v="1"/>
    <x v="32"/>
    <s v="Óscar Moreno Chávez"/>
    <x v="0"/>
  </r>
  <r>
    <n v="2136"/>
    <n v="158"/>
    <n v="2"/>
    <n v="29.48"/>
    <n v="2.95"/>
    <n v="0"/>
    <n v="0.1"/>
    <s v="ACTIVE"/>
    <m/>
    <s v=""/>
    <m/>
    <d v="2026-06-17T15:57:53"/>
    <d v="2026-06-17T00:00:00"/>
    <x v="8"/>
    <x v="0"/>
    <n v="1"/>
    <n v="0"/>
    <x v="1603"/>
    <s v="Juan Rodríguez Cruz"/>
    <x v="1"/>
  </r>
  <r>
    <n v="2137"/>
    <n v="285"/>
    <n v="2"/>
    <n v="39.99"/>
    <n v="4"/>
    <n v="0"/>
    <n v="0.1"/>
    <s v="ACTIVE"/>
    <m/>
    <s v=""/>
    <m/>
    <d v="2026-06-17T17:19:13"/>
    <d v="2026-06-17T00:00:00"/>
    <x v="8"/>
    <x v="0"/>
    <n v="1"/>
    <n v="0"/>
    <x v="1527"/>
    <s v="Alicia Martínez Aguilar"/>
    <x v="1"/>
  </r>
  <r>
    <n v="2138"/>
    <n v="117"/>
    <n v="4"/>
    <n v="119.42"/>
    <n v="11.94"/>
    <n v="0"/>
    <n v="0.1"/>
    <s v="ACTIVE"/>
    <m/>
    <s v=""/>
    <m/>
    <d v="2026-06-17T17:31:48"/>
    <d v="2026-06-17T00:00:00"/>
    <x v="8"/>
    <x v="0"/>
    <n v="1"/>
    <n v="0"/>
    <x v="1832"/>
    <s v="Manuel Ortiz Ramírez"/>
    <x v="3"/>
  </r>
  <r>
    <n v="2139"/>
    <n v="250"/>
    <n v="5"/>
    <n v="121.52"/>
    <n v="12.15"/>
    <n v="0"/>
    <n v="0.1"/>
    <s v="ACTIVE"/>
    <m/>
    <s v=""/>
    <m/>
    <d v="2026-06-17T17:49:42"/>
    <d v="2026-06-17T00:00:00"/>
    <x v="8"/>
    <x v="0"/>
    <n v="1"/>
    <n v="0"/>
    <x v="1833"/>
    <s v="Verónica Romero Chávez"/>
    <x v="2"/>
  </r>
  <r>
    <n v="2140"/>
    <n v="187"/>
    <n v="3"/>
    <n v="32.44"/>
    <n v="3.24"/>
    <n v="0"/>
    <n v="0.1"/>
    <s v="ACTIVE"/>
    <m/>
    <s v=""/>
    <m/>
    <d v="2026-06-17T18:05:22"/>
    <d v="2026-06-17T00:00:00"/>
    <x v="8"/>
    <x v="0"/>
    <n v="1"/>
    <n v="0"/>
    <x v="107"/>
    <s v="Pedro Medina Gómez"/>
    <x v="0"/>
  </r>
  <r>
    <n v="2141"/>
    <n v="25"/>
    <n v="2"/>
    <n v="68.13"/>
    <n v="6.81"/>
    <n v="0"/>
    <n v="0.1"/>
    <s v="ACTIVE"/>
    <m/>
    <s v=""/>
    <m/>
    <d v="2026-06-17T19:25:32"/>
    <d v="2026-06-17T00:00:00"/>
    <x v="8"/>
    <x v="0"/>
    <n v="1"/>
    <n v="0"/>
    <x v="1834"/>
    <s v="Martha Rodríguez López"/>
    <x v="1"/>
  </r>
  <r>
    <n v="2142"/>
    <n v="269"/>
    <n v="3"/>
    <n v="146.11000000000001"/>
    <n v="14.61"/>
    <n v="0"/>
    <n v="0.1"/>
    <s v="CANCELED"/>
    <n v="5"/>
    <s v="Error de captura"/>
    <d v="2026-06-18T20:57:52"/>
    <d v="2026-06-18T08:57:52"/>
    <d v="2026-06-18T00:00:00"/>
    <x v="8"/>
    <x v="0"/>
    <n v="1"/>
    <n v="1"/>
    <x v="32"/>
    <s v="Carlos Mendoza Rangel"/>
    <x v="0"/>
  </r>
  <r>
    <n v="2143"/>
    <n v="39"/>
    <n v="2"/>
    <n v="268.89999999999998"/>
    <n v="26.89"/>
    <n v="0"/>
    <n v="0.1"/>
    <s v="ACTIVE"/>
    <m/>
    <s v=""/>
    <m/>
    <d v="2026-06-18T09:46:07"/>
    <d v="2026-06-18T00:00:00"/>
    <x v="8"/>
    <x v="0"/>
    <n v="1"/>
    <n v="0"/>
    <x v="1835"/>
    <s v="Guadalupe García Quiñones"/>
    <x v="1"/>
  </r>
  <r>
    <n v="2144"/>
    <n v="52"/>
    <n v="2"/>
    <n v="21.56"/>
    <n v="2.16"/>
    <n v="0"/>
    <n v="0.1"/>
    <s v="ACTIVE"/>
    <m/>
    <s v=""/>
    <m/>
    <d v="2026-06-18T10:06:20"/>
    <d v="2026-06-18T00:00:00"/>
    <x v="8"/>
    <x v="0"/>
    <n v="1"/>
    <n v="0"/>
    <x v="1836"/>
    <s v="Gabriela Villalobos Flores"/>
    <x v="1"/>
  </r>
  <r>
    <n v="2145"/>
    <n v="229"/>
    <n v="4"/>
    <n v="98.95"/>
    <n v="9.9"/>
    <n v="0"/>
    <n v="0.1"/>
    <s v="ACTIVE"/>
    <m/>
    <s v=""/>
    <m/>
    <d v="2026-06-18T10:11:53"/>
    <d v="2026-06-18T00:00:00"/>
    <x v="8"/>
    <x v="0"/>
    <n v="1"/>
    <n v="0"/>
    <x v="1216"/>
    <s v="Verónica González Rodríguez"/>
    <x v="3"/>
  </r>
  <r>
    <n v="2146"/>
    <n v="243"/>
    <n v="2"/>
    <n v="30.63"/>
    <n v="3.06"/>
    <n v="0"/>
    <n v="0.1"/>
    <s v="ACTIVE"/>
    <m/>
    <s v=""/>
    <m/>
    <d v="2026-06-18T11:19:46"/>
    <d v="2026-06-18T00:00:00"/>
    <x v="8"/>
    <x v="0"/>
    <n v="1"/>
    <n v="0"/>
    <x v="1837"/>
    <s v="Raúl García Díaz"/>
    <x v="1"/>
  </r>
  <r>
    <n v="2147"/>
    <n v="134"/>
    <n v="5"/>
    <n v="165.16"/>
    <n v="16.52"/>
    <n v="0"/>
    <n v="0.1"/>
    <s v="ACTIVE"/>
    <m/>
    <s v=""/>
    <m/>
    <d v="2026-06-18T12:47:56"/>
    <d v="2026-06-18T00:00:00"/>
    <x v="8"/>
    <x v="0"/>
    <n v="1"/>
    <n v="0"/>
    <x v="1838"/>
    <s v="Javier Moreno Ortiz"/>
    <x v="2"/>
  </r>
  <r>
    <n v="2148"/>
    <n v="137"/>
    <n v="5"/>
    <n v="29.51"/>
    <n v="2.95"/>
    <n v="0"/>
    <n v="0.1"/>
    <s v="ACTIVE"/>
    <m/>
    <s v=""/>
    <m/>
    <d v="2026-06-18T13:13:51"/>
    <d v="2026-06-18T00:00:00"/>
    <x v="8"/>
    <x v="0"/>
    <n v="1"/>
    <n v="0"/>
    <x v="1839"/>
    <s v="Francisco Reyes Ruiz"/>
    <x v="2"/>
  </r>
  <r>
    <n v="2149"/>
    <n v="104"/>
    <n v="4"/>
    <n v="222.25"/>
    <n v="22.23"/>
    <n v="0"/>
    <n v="0.1"/>
    <s v="ACTIVE"/>
    <m/>
    <s v=""/>
    <m/>
    <d v="2026-06-18T15:47:38"/>
    <d v="2026-06-18T00:00:00"/>
    <x v="8"/>
    <x v="0"/>
    <n v="1"/>
    <n v="0"/>
    <x v="1840"/>
    <s v="Manuel Morales González"/>
    <x v="3"/>
  </r>
  <r>
    <n v="2150"/>
    <n v="48"/>
    <n v="5"/>
    <n v="135.32"/>
    <n v="13.53"/>
    <n v="0"/>
    <n v="0.1"/>
    <s v="ACTIVE"/>
    <m/>
    <s v=""/>
    <m/>
    <d v="2026-06-18T16:41:48"/>
    <d v="2026-06-18T00:00:00"/>
    <x v="8"/>
    <x v="0"/>
    <n v="1"/>
    <n v="0"/>
    <x v="1841"/>
    <s v="Carlos Medina Quiñones"/>
    <x v="2"/>
  </r>
  <r>
    <n v="2151"/>
    <n v="246"/>
    <n v="4"/>
    <n v="30.64"/>
    <n v="3.06"/>
    <n v="0"/>
    <n v="0.1"/>
    <s v="ACTIVE"/>
    <m/>
    <s v=""/>
    <m/>
    <d v="2026-06-18T17:23:07"/>
    <d v="2026-06-18T00:00:00"/>
    <x v="8"/>
    <x v="0"/>
    <n v="1"/>
    <n v="0"/>
    <x v="1842"/>
    <s v="Alicia Morales Jiménez"/>
    <x v="3"/>
  </r>
  <r>
    <n v="2152"/>
    <n v="232"/>
    <n v="2"/>
    <n v="80"/>
    <n v="8"/>
    <n v="0"/>
    <n v="0.1"/>
    <s v="ACTIVE"/>
    <m/>
    <s v=""/>
    <m/>
    <d v="2026-06-19T11:28:15"/>
    <d v="2026-06-19T00:00:00"/>
    <x v="8"/>
    <x v="0"/>
    <n v="1"/>
    <n v="0"/>
    <x v="78"/>
    <s v="Francisco Quiñones Morales"/>
    <x v="1"/>
  </r>
  <r>
    <n v="2153"/>
    <n v="65"/>
    <n v="5"/>
    <n v="25.52"/>
    <n v="2.5499999999999998"/>
    <n v="0"/>
    <n v="0.1"/>
    <s v="ACTIVE"/>
    <m/>
    <s v=""/>
    <m/>
    <d v="2026-06-19T12:20:26"/>
    <d v="2026-06-19T00:00:00"/>
    <x v="8"/>
    <x v="0"/>
    <n v="1"/>
    <n v="0"/>
    <x v="1843"/>
    <s v="Gabriela Flores Chávez"/>
    <x v="2"/>
  </r>
  <r>
    <n v="2154"/>
    <n v="156"/>
    <n v="5"/>
    <n v="30.18"/>
    <n v="3.02"/>
    <n v="0"/>
    <n v="0.1"/>
    <s v="ACTIVE"/>
    <m/>
    <s v=""/>
    <m/>
    <d v="2026-06-19T15:45:24"/>
    <d v="2026-06-19T00:00:00"/>
    <x v="8"/>
    <x v="0"/>
    <n v="1"/>
    <n v="0"/>
    <x v="780"/>
    <s v="Óscar Moreno Chávez"/>
    <x v="2"/>
  </r>
  <r>
    <n v="2155"/>
    <n v="197"/>
    <n v="5"/>
    <n v="137.22999999999999"/>
    <n v="13.72"/>
    <n v="0"/>
    <n v="0.1"/>
    <s v="ACTIVE"/>
    <m/>
    <s v=""/>
    <m/>
    <d v="2026-06-19T16:31:21"/>
    <d v="2026-06-19T00:00:00"/>
    <x v="8"/>
    <x v="0"/>
    <n v="1"/>
    <n v="0"/>
    <x v="1844"/>
    <s v="Raúl Hernández Santoyo"/>
    <x v="2"/>
  </r>
  <r>
    <n v="2156"/>
    <n v="282"/>
    <n v="3"/>
    <n v="160.61000000000001"/>
    <n v="16.059999999999999"/>
    <n v="0"/>
    <n v="0.1"/>
    <s v="ACTIVE"/>
    <m/>
    <s v=""/>
    <m/>
    <d v="2026-06-20T08:26:02"/>
    <d v="2026-06-20T00:00:00"/>
    <x v="8"/>
    <x v="0"/>
    <n v="1"/>
    <n v="0"/>
    <x v="1845"/>
    <s v="Patricia García Vázquez"/>
    <x v="0"/>
  </r>
  <r>
    <n v="2157"/>
    <n v="201"/>
    <n v="3"/>
    <n v="20.64"/>
    <n v="2.06"/>
    <n v="0"/>
    <n v="0.1"/>
    <s v="ACTIVE"/>
    <m/>
    <s v=""/>
    <m/>
    <d v="2026-06-20T11:07:59"/>
    <d v="2026-06-20T00:00:00"/>
    <x v="8"/>
    <x v="0"/>
    <n v="1"/>
    <n v="0"/>
    <x v="1846"/>
    <s v="Isabel Vázquez Ramírez"/>
    <x v="0"/>
  </r>
  <r>
    <n v="2158"/>
    <n v="107"/>
    <n v="4"/>
    <n v="38.47"/>
    <n v="3.85"/>
    <n v="0"/>
    <n v="0.1"/>
    <s v="ACTIVE"/>
    <m/>
    <s v=""/>
    <m/>
    <d v="2026-06-20T14:37:21"/>
    <d v="2026-06-20T00:00:00"/>
    <x v="8"/>
    <x v="0"/>
    <n v="1"/>
    <n v="0"/>
    <x v="812"/>
    <s v="Óscar Jiménez Romero"/>
    <x v="3"/>
  </r>
  <r>
    <n v="2159"/>
    <n v="297"/>
    <n v="5"/>
    <n v="114.64"/>
    <n v="11.46"/>
    <n v="0"/>
    <n v="0.1"/>
    <s v="ACTIVE"/>
    <m/>
    <s v=""/>
    <m/>
    <d v="2026-06-20T15:35:52"/>
    <d v="2026-06-20T00:00:00"/>
    <x v="8"/>
    <x v="0"/>
    <n v="1"/>
    <n v="0"/>
    <x v="1847"/>
    <s v="Patricia Ortiz Jiménez"/>
    <x v="2"/>
  </r>
  <r>
    <n v="2160"/>
    <n v="134"/>
    <n v="3"/>
    <n v="203.85"/>
    <n v="20.39"/>
    <n v="0"/>
    <n v="0.1"/>
    <s v="ACTIVE"/>
    <m/>
    <s v=""/>
    <m/>
    <d v="2026-06-20T18:04:30"/>
    <d v="2026-06-20T00:00:00"/>
    <x v="8"/>
    <x v="0"/>
    <n v="1"/>
    <n v="0"/>
    <x v="1848"/>
    <s v="Javier Moreno Ortiz"/>
    <x v="0"/>
  </r>
  <r>
    <n v="2161"/>
    <n v="261"/>
    <n v="5"/>
    <n v="93.59"/>
    <n v="9.36"/>
    <n v="0"/>
    <n v="0.1"/>
    <s v="ACTIVE"/>
    <m/>
    <s v=""/>
    <m/>
    <d v="2026-06-20T18:07:28"/>
    <d v="2026-06-20T00:00:00"/>
    <x v="8"/>
    <x v="0"/>
    <n v="1"/>
    <n v="0"/>
    <x v="1849"/>
    <s v="Carmen Moreno Delgado"/>
    <x v="2"/>
  </r>
  <r>
    <n v="2162"/>
    <n v="134"/>
    <n v="3"/>
    <n v="64.45"/>
    <n v="0"/>
    <n v="1"/>
    <n v="0.1"/>
    <s v="ACTIVE"/>
    <m/>
    <s v=""/>
    <m/>
    <d v="2026-06-20T18:29:34"/>
    <d v="2026-06-20T00:00:00"/>
    <x v="8"/>
    <x v="1"/>
    <n v="1"/>
    <n v="0"/>
    <x v="1850"/>
    <s v="Javier Moreno Ortiz"/>
    <x v="0"/>
  </r>
  <r>
    <n v="2163"/>
    <n v="62"/>
    <n v="2"/>
    <n v="24.19"/>
    <n v="2.42"/>
    <n v="0"/>
    <n v="0.1"/>
    <s v="ACTIVE"/>
    <m/>
    <s v=""/>
    <m/>
    <d v="2026-06-21T09:53:56"/>
    <d v="2026-06-21T00:00:00"/>
    <x v="8"/>
    <x v="0"/>
    <n v="1"/>
    <n v="0"/>
    <x v="1851"/>
    <s v="Rosa González Ortiz"/>
    <x v="1"/>
  </r>
  <r>
    <n v="2164"/>
    <n v="134"/>
    <n v="4"/>
    <n v="108.76"/>
    <n v="10.88"/>
    <n v="0"/>
    <n v="0.1"/>
    <s v="ACTIVE"/>
    <m/>
    <s v=""/>
    <m/>
    <d v="2026-06-21T13:34:48"/>
    <d v="2026-06-21T00:00:00"/>
    <x v="8"/>
    <x v="0"/>
    <n v="1"/>
    <n v="0"/>
    <x v="1852"/>
    <s v="Javier Moreno Ortiz"/>
    <x v="3"/>
  </r>
  <r>
    <n v="2165"/>
    <n v="86"/>
    <n v="5"/>
    <n v="34.619999999999997"/>
    <n v="3.46"/>
    <n v="0"/>
    <n v="0.1"/>
    <s v="ACTIVE"/>
    <m/>
    <s v=""/>
    <m/>
    <d v="2026-06-22T08:39:12"/>
    <d v="2026-06-22T00:00:00"/>
    <x v="8"/>
    <x v="0"/>
    <n v="1"/>
    <n v="0"/>
    <x v="1853"/>
    <s v="Óscar Romero Ruiz"/>
    <x v="2"/>
  </r>
  <r>
    <n v="2166"/>
    <n v="128"/>
    <n v="2"/>
    <n v="22.09"/>
    <n v="2.21"/>
    <n v="0"/>
    <n v="0.1"/>
    <s v="ACTIVE"/>
    <m/>
    <s v=""/>
    <m/>
    <d v="2026-06-22T09:54:14"/>
    <d v="2026-06-22T00:00:00"/>
    <x v="8"/>
    <x v="0"/>
    <n v="1"/>
    <n v="0"/>
    <x v="1292"/>
    <s v="Verónica Ortiz Rangel"/>
    <x v="1"/>
  </r>
  <r>
    <n v="2167"/>
    <n v="210"/>
    <n v="4"/>
    <n v="29.35"/>
    <n v="2.94"/>
    <n v="0"/>
    <n v="0.1"/>
    <s v="ACTIVE"/>
    <m/>
    <s v=""/>
    <m/>
    <d v="2026-06-22T10:04:16"/>
    <d v="2026-06-22T00:00:00"/>
    <x v="8"/>
    <x v="0"/>
    <n v="1"/>
    <n v="0"/>
    <x v="1794"/>
    <s v="Óscar Romero Sánchez"/>
    <x v="3"/>
  </r>
  <r>
    <n v="2168"/>
    <n v="61"/>
    <n v="5"/>
    <n v="83.62"/>
    <n v="8.36"/>
    <n v="0"/>
    <n v="0.1"/>
    <s v="ACTIVE"/>
    <m/>
    <s v=""/>
    <m/>
    <d v="2026-06-22T11:42:21"/>
    <d v="2026-06-22T00:00:00"/>
    <x v="8"/>
    <x v="0"/>
    <n v="1"/>
    <n v="0"/>
    <x v="1854"/>
    <s v="Pedro González Ávila"/>
    <x v="2"/>
  </r>
  <r>
    <n v="2169"/>
    <n v="263"/>
    <n v="4"/>
    <n v="22.53"/>
    <n v="2.25"/>
    <n v="0"/>
    <n v="0.1"/>
    <s v="ACTIVE"/>
    <m/>
    <s v=""/>
    <m/>
    <d v="2026-06-22T15:18:16"/>
    <d v="2026-06-22T00:00:00"/>
    <x v="8"/>
    <x v="0"/>
    <n v="1"/>
    <n v="0"/>
    <x v="1565"/>
    <s v="Francisco Delgado Zacatecas"/>
    <x v="3"/>
  </r>
  <r>
    <n v="2170"/>
    <n v="146"/>
    <n v="5"/>
    <n v="29.27"/>
    <n v="2.93"/>
    <n v="0"/>
    <n v="0.1"/>
    <s v="ACTIVE"/>
    <m/>
    <s v=""/>
    <m/>
    <d v="2026-06-22T16:19:16"/>
    <d v="2026-06-22T00:00:00"/>
    <x v="8"/>
    <x v="0"/>
    <n v="1"/>
    <n v="0"/>
    <x v="1039"/>
    <s v="Daniel Sánchez Quiñones"/>
    <x v="2"/>
  </r>
  <r>
    <n v="2171"/>
    <n v="87"/>
    <n v="3"/>
    <n v="100.35"/>
    <n v="10.039999999999999"/>
    <n v="0"/>
    <n v="0.1"/>
    <s v="ACTIVE"/>
    <m/>
    <s v=""/>
    <m/>
    <d v="2026-06-23T09:13:45"/>
    <d v="2026-06-23T00:00:00"/>
    <x v="8"/>
    <x v="0"/>
    <n v="1"/>
    <n v="0"/>
    <x v="1855"/>
    <s v="Antonio Reyes Romero"/>
    <x v="0"/>
  </r>
  <r>
    <n v="2172"/>
    <n v="255"/>
    <n v="4"/>
    <n v="38.700000000000003"/>
    <n v="3.87"/>
    <n v="0"/>
    <n v="0.1"/>
    <s v="ACTIVE"/>
    <m/>
    <s v=""/>
    <m/>
    <d v="2026-06-23T10:02:09"/>
    <d v="2026-06-23T00:00:00"/>
    <x v="8"/>
    <x v="0"/>
    <n v="1"/>
    <n v="0"/>
    <x v="1856"/>
    <s v="Carmen Díaz Ramírez"/>
    <x v="3"/>
  </r>
  <r>
    <n v="2173"/>
    <n v="134"/>
    <n v="2"/>
    <n v="86.59"/>
    <n v="8.66"/>
    <n v="0"/>
    <n v="0.1"/>
    <s v="ACTIVE"/>
    <m/>
    <s v=""/>
    <m/>
    <d v="2026-06-23T10:10:22"/>
    <d v="2026-06-23T00:00:00"/>
    <x v="8"/>
    <x v="0"/>
    <n v="1"/>
    <n v="0"/>
    <x v="1857"/>
    <s v="Javier Moreno Ortiz"/>
    <x v="1"/>
  </r>
  <r>
    <n v="2174"/>
    <n v="106"/>
    <n v="4"/>
    <n v="72.83"/>
    <n v="7.28"/>
    <n v="0"/>
    <n v="0.1"/>
    <s v="ACTIVE"/>
    <m/>
    <s v=""/>
    <m/>
    <d v="2026-06-23T10:49:06"/>
    <d v="2026-06-23T00:00:00"/>
    <x v="8"/>
    <x v="0"/>
    <n v="1"/>
    <n v="0"/>
    <x v="1858"/>
    <s v="Isabel García Santoyo"/>
    <x v="3"/>
  </r>
  <r>
    <n v="2175"/>
    <n v="243"/>
    <n v="3"/>
    <n v="24.99"/>
    <n v="2.5"/>
    <n v="0"/>
    <n v="0.1"/>
    <s v="ACTIVE"/>
    <m/>
    <s v=""/>
    <m/>
    <d v="2026-06-23T11:37:19"/>
    <d v="2026-06-23T00:00:00"/>
    <x v="8"/>
    <x v="0"/>
    <n v="1"/>
    <n v="0"/>
    <x v="246"/>
    <s v="Raúl García Díaz"/>
    <x v="0"/>
  </r>
  <r>
    <n v="2176"/>
    <n v="128"/>
    <n v="3"/>
    <n v="19.02"/>
    <n v="1.9"/>
    <n v="0"/>
    <n v="0.1"/>
    <s v="ACTIVE"/>
    <m/>
    <s v=""/>
    <m/>
    <d v="2026-06-23T11:39:18"/>
    <d v="2026-06-23T00:00:00"/>
    <x v="8"/>
    <x v="0"/>
    <n v="1"/>
    <n v="0"/>
    <x v="232"/>
    <s v="Verónica Ortiz Rangel"/>
    <x v="0"/>
  </r>
  <r>
    <n v="2177"/>
    <n v="200"/>
    <n v="3"/>
    <n v="31.73"/>
    <n v="3.17"/>
    <n v="0"/>
    <n v="0.1"/>
    <s v="ACTIVE"/>
    <m/>
    <s v=""/>
    <m/>
    <d v="2026-06-23T13:31:40"/>
    <d v="2026-06-23T00:00:00"/>
    <x v="8"/>
    <x v="0"/>
    <n v="1"/>
    <n v="0"/>
    <x v="692"/>
    <s v="Antonio Pérez Martínez"/>
    <x v="0"/>
  </r>
  <r>
    <n v="2178"/>
    <n v="278"/>
    <n v="3"/>
    <n v="181.58"/>
    <n v="18.16"/>
    <n v="0"/>
    <n v="0.1"/>
    <s v="ACTIVE"/>
    <m/>
    <s v=""/>
    <m/>
    <d v="2026-06-23T15:31:04"/>
    <d v="2026-06-23T00:00:00"/>
    <x v="8"/>
    <x v="0"/>
    <n v="1"/>
    <n v="0"/>
    <x v="1859"/>
    <s v="Norma Flores Aguilar"/>
    <x v="0"/>
  </r>
  <r>
    <n v="2179"/>
    <n v="278"/>
    <n v="2"/>
    <n v="106.63"/>
    <n v="10.66"/>
    <n v="0"/>
    <n v="0.1"/>
    <s v="ACTIVE"/>
    <m/>
    <s v=""/>
    <m/>
    <d v="2026-06-24T07:25:45"/>
    <d v="2026-06-24T00:00:00"/>
    <x v="8"/>
    <x v="0"/>
    <n v="1"/>
    <n v="0"/>
    <x v="1860"/>
    <s v="Norma Flores Aguilar"/>
    <x v="1"/>
  </r>
  <r>
    <n v="2180"/>
    <n v="96"/>
    <n v="2"/>
    <n v="126.49"/>
    <n v="12.65"/>
    <n v="0"/>
    <n v="0.1"/>
    <s v="ACTIVE"/>
    <m/>
    <s v=""/>
    <m/>
    <d v="2026-06-24T14:36:34"/>
    <d v="2026-06-24T00:00:00"/>
    <x v="8"/>
    <x v="0"/>
    <n v="1"/>
    <n v="0"/>
    <x v="1861"/>
    <s v="José Pérez Herrera"/>
    <x v="1"/>
  </r>
  <r>
    <n v="2181"/>
    <n v="41"/>
    <n v="4"/>
    <n v="185.78"/>
    <n v="18.579999999999998"/>
    <n v="0"/>
    <n v="0.1"/>
    <s v="ACTIVE"/>
    <m/>
    <s v=""/>
    <m/>
    <d v="2026-06-24T16:27:41"/>
    <d v="2026-06-24T00:00:00"/>
    <x v="8"/>
    <x v="0"/>
    <n v="1"/>
    <n v="0"/>
    <x v="1862"/>
    <s v="Guadalupe González Zacatecas"/>
    <x v="3"/>
  </r>
  <r>
    <n v="2182"/>
    <n v="101"/>
    <n v="2"/>
    <n v="47.23"/>
    <n v="4.72"/>
    <n v="0"/>
    <n v="0.1"/>
    <s v="ACTIVE"/>
    <m/>
    <s v=""/>
    <m/>
    <d v="2026-06-25T07:26:54"/>
    <d v="2026-06-25T00:00:00"/>
    <x v="8"/>
    <x v="0"/>
    <n v="1"/>
    <n v="0"/>
    <x v="1863"/>
    <s v="Raúl Delgado Villalobos"/>
    <x v="1"/>
  </r>
  <r>
    <n v="2183"/>
    <n v="304"/>
    <n v="5"/>
    <n v="19.059999999999999"/>
    <n v="1.91"/>
    <n v="0"/>
    <n v="0.1"/>
    <s v="ACTIVE"/>
    <m/>
    <s v=""/>
    <m/>
    <d v="2026-06-25T09:35:56"/>
    <d v="2026-06-25T00:00:00"/>
    <x v="8"/>
    <x v="0"/>
    <n v="1"/>
    <n v="0"/>
    <x v="1864"/>
    <s v="Leticia González Sánchez"/>
    <x v="2"/>
  </r>
  <r>
    <n v="2184"/>
    <n v="245"/>
    <n v="5"/>
    <n v="33.79"/>
    <n v="3.38"/>
    <n v="0"/>
    <n v="0.1"/>
    <s v="ACTIVE"/>
    <m/>
    <s v=""/>
    <m/>
    <d v="2026-06-25T10:22:47"/>
    <d v="2026-06-25T00:00:00"/>
    <x v="8"/>
    <x v="0"/>
    <n v="1"/>
    <n v="0"/>
    <x v="1865"/>
    <s v="Ana González Flores"/>
    <x v="2"/>
  </r>
  <r>
    <n v="2185"/>
    <n v="126"/>
    <n v="4"/>
    <n v="114.97"/>
    <n v="11.5"/>
    <n v="0"/>
    <n v="0.1"/>
    <s v="ACTIVE"/>
    <m/>
    <s v=""/>
    <m/>
    <d v="2026-06-25T10:32:21"/>
    <d v="2026-06-25T00:00:00"/>
    <x v="8"/>
    <x v="0"/>
    <n v="1"/>
    <n v="0"/>
    <x v="1866"/>
    <s v="Raúl Ávila Salazar"/>
    <x v="3"/>
  </r>
  <r>
    <n v="2186"/>
    <n v="65"/>
    <n v="2"/>
    <n v="23.24"/>
    <n v="2.3199999999999998"/>
    <n v="0"/>
    <n v="0.1"/>
    <s v="ACTIVE"/>
    <m/>
    <s v=""/>
    <m/>
    <d v="2026-06-25T11:20:33"/>
    <d v="2026-06-25T00:00:00"/>
    <x v="8"/>
    <x v="0"/>
    <n v="1"/>
    <n v="0"/>
    <x v="1867"/>
    <s v="Gabriela Flores Chávez"/>
    <x v="1"/>
  </r>
  <r>
    <n v="2187"/>
    <n v="183"/>
    <n v="5"/>
    <n v="124.78"/>
    <n v="12.48"/>
    <n v="0"/>
    <n v="0.1"/>
    <s v="ACTIVE"/>
    <m/>
    <s v=""/>
    <m/>
    <d v="2026-06-25T12:42:43"/>
    <d v="2026-06-25T00:00:00"/>
    <x v="8"/>
    <x v="0"/>
    <n v="1"/>
    <n v="0"/>
    <x v="1709"/>
    <s v="Irma Moreno Rodríguez"/>
    <x v="2"/>
  </r>
  <r>
    <n v="2188"/>
    <n v="125"/>
    <n v="2"/>
    <n v="41.04"/>
    <n v="4.0999999999999996"/>
    <n v="0"/>
    <n v="0.1"/>
    <s v="ACTIVE"/>
    <m/>
    <s v=""/>
    <m/>
    <d v="2026-06-25T14:27:57"/>
    <d v="2026-06-25T00:00:00"/>
    <x v="8"/>
    <x v="0"/>
    <n v="1"/>
    <n v="0"/>
    <x v="1868"/>
    <s v="Leticia Flores Herrera"/>
    <x v="1"/>
  </r>
  <r>
    <n v="2189"/>
    <n v="134"/>
    <n v="4"/>
    <n v="220"/>
    <n v="22"/>
    <n v="0"/>
    <n v="0.1"/>
    <s v="ACTIVE"/>
    <m/>
    <s v=""/>
    <m/>
    <d v="2026-06-25T15:48:32"/>
    <d v="2026-06-25T00:00:00"/>
    <x v="8"/>
    <x v="0"/>
    <n v="1"/>
    <n v="0"/>
    <x v="200"/>
    <s v="Javier Moreno Ortiz"/>
    <x v="3"/>
  </r>
  <r>
    <n v="2190"/>
    <n v="141"/>
    <n v="5"/>
    <n v="77.78"/>
    <n v="0"/>
    <n v="1"/>
    <n v="0.1"/>
    <s v="ACTIVE"/>
    <m/>
    <s v=""/>
    <m/>
    <d v="2026-06-25T16:05:24"/>
    <d v="2026-06-25T00:00:00"/>
    <x v="8"/>
    <x v="1"/>
    <n v="1"/>
    <n v="0"/>
    <x v="1513"/>
    <s v="Antonio Chávez Martínez"/>
    <x v="2"/>
  </r>
  <r>
    <n v="2191"/>
    <n v="271"/>
    <n v="3"/>
    <n v="48.34"/>
    <n v="4.83"/>
    <n v="0"/>
    <n v="0.1"/>
    <s v="ACTIVE"/>
    <m/>
    <s v=""/>
    <m/>
    <d v="2026-06-25T16:14:29"/>
    <d v="2026-06-25T00:00:00"/>
    <x v="8"/>
    <x v="0"/>
    <n v="1"/>
    <n v="0"/>
    <x v="1869"/>
    <s v="Leticia Quiñones Martínez"/>
    <x v="0"/>
  </r>
  <r>
    <n v="2192"/>
    <n v="128"/>
    <n v="5"/>
    <n v="35.26"/>
    <n v="3.53"/>
    <n v="0"/>
    <n v="0.1"/>
    <s v="ACTIVE"/>
    <m/>
    <s v=""/>
    <m/>
    <d v="2026-06-25T16:38:06"/>
    <d v="2026-06-25T00:00:00"/>
    <x v="8"/>
    <x v="0"/>
    <n v="1"/>
    <n v="0"/>
    <x v="1870"/>
    <s v="Verónica Ortiz Rangel"/>
    <x v="2"/>
  </r>
  <r>
    <n v="2193"/>
    <n v="170"/>
    <n v="5"/>
    <n v="143.99"/>
    <n v="14.4"/>
    <n v="0"/>
    <n v="0.1"/>
    <s v="ACTIVE"/>
    <m/>
    <s v=""/>
    <m/>
    <d v="2026-06-25T16:50:42"/>
    <d v="2026-06-25T00:00:00"/>
    <x v="8"/>
    <x v="0"/>
    <n v="1"/>
    <n v="0"/>
    <x v="1871"/>
    <s v="Jorge Cruz Sánchez"/>
    <x v="2"/>
  </r>
  <r>
    <n v="2194"/>
    <n v="128"/>
    <n v="2"/>
    <n v="24.45"/>
    <n v="2.4500000000000002"/>
    <n v="0"/>
    <n v="0.1"/>
    <s v="ACTIVE"/>
    <m/>
    <s v=""/>
    <m/>
    <d v="2026-06-25T17:20:28"/>
    <d v="2026-06-25T00:00:00"/>
    <x v="8"/>
    <x v="0"/>
    <n v="1"/>
    <n v="0"/>
    <x v="481"/>
    <s v="Verónica Ortiz Rangel"/>
    <x v="1"/>
  </r>
  <r>
    <n v="2195"/>
    <n v="128"/>
    <n v="5"/>
    <n v="20.22"/>
    <n v="2.02"/>
    <n v="0"/>
    <n v="0.1"/>
    <s v="CANCELED"/>
    <n v="4"/>
    <s v="Monto duplicado por error de sistema"/>
    <d v="2026-06-27T15:39:10"/>
    <d v="2026-06-25T19:39:10"/>
    <d v="2026-06-25T00:00:00"/>
    <x v="8"/>
    <x v="0"/>
    <n v="1"/>
    <n v="1"/>
    <x v="32"/>
    <s v="Verónica Ortiz Rangel"/>
    <x v="2"/>
  </r>
  <r>
    <n v="2196"/>
    <n v="127"/>
    <n v="4"/>
    <n v="93.66"/>
    <n v="9.3699999999999992"/>
    <n v="0"/>
    <n v="0.1"/>
    <s v="ACTIVE"/>
    <m/>
    <s v=""/>
    <m/>
    <d v="2026-06-26T08:28:02"/>
    <d v="2026-06-26T00:00:00"/>
    <x v="8"/>
    <x v="0"/>
    <n v="1"/>
    <n v="0"/>
    <x v="1872"/>
    <s v="Raúl Ruiz Ortiz"/>
    <x v="3"/>
  </r>
  <r>
    <n v="2197"/>
    <n v="16"/>
    <n v="5"/>
    <n v="135.1"/>
    <n v="13.51"/>
    <n v="0"/>
    <n v="0.1"/>
    <s v="ACTIVE"/>
    <m/>
    <s v=""/>
    <m/>
    <d v="2026-06-26T10:54:43"/>
    <d v="2026-06-26T00:00:00"/>
    <x v="8"/>
    <x v="0"/>
    <n v="1"/>
    <n v="0"/>
    <x v="1873"/>
    <s v="Laura Chávez Rangel"/>
    <x v="2"/>
  </r>
  <r>
    <n v="2198"/>
    <n v="221"/>
    <n v="2"/>
    <n v="193.75"/>
    <n v="0"/>
    <n v="1"/>
    <n v="0.1"/>
    <s v="CANCELED"/>
    <n v="5"/>
    <s v="Solicitud del cliente"/>
    <d v="2026-06-26T16:05:30"/>
    <d v="2026-06-26T14:05:30"/>
    <d v="2026-06-26T00:00:00"/>
    <x v="8"/>
    <x v="1"/>
    <n v="1"/>
    <n v="1"/>
    <x v="32"/>
    <s v="Norma Hernández Chávez"/>
    <x v="1"/>
  </r>
  <r>
    <n v="2199"/>
    <n v="156"/>
    <n v="2"/>
    <n v="55.22"/>
    <n v="0"/>
    <n v="1"/>
    <n v="0.1"/>
    <s v="ACTIVE"/>
    <m/>
    <s v=""/>
    <m/>
    <d v="2026-06-26T14:12:54"/>
    <d v="2026-06-26T00:00:00"/>
    <x v="8"/>
    <x v="1"/>
    <n v="1"/>
    <n v="0"/>
    <x v="1874"/>
    <s v="Óscar Moreno Chávez"/>
    <x v="1"/>
  </r>
  <r>
    <n v="2200"/>
    <n v="47"/>
    <n v="4"/>
    <n v="23.28"/>
    <n v="2.33"/>
    <n v="0"/>
    <n v="0.1"/>
    <s v="ACTIVE"/>
    <m/>
    <s v=""/>
    <m/>
    <d v="2026-06-26T16:03:51"/>
    <d v="2026-06-26T00:00:00"/>
    <x v="8"/>
    <x v="0"/>
    <n v="1"/>
    <n v="0"/>
    <x v="1875"/>
    <s v="Carmen Díaz Chávez"/>
    <x v="3"/>
  </r>
  <r>
    <n v="2201"/>
    <n v="128"/>
    <n v="2"/>
    <n v="15.68"/>
    <n v="1.57"/>
    <n v="0"/>
    <n v="0.1"/>
    <s v="ACTIVE"/>
    <m/>
    <s v=""/>
    <m/>
    <d v="2026-06-27T08:57:01"/>
    <d v="2026-06-27T00:00:00"/>
    <x v="8"/>
    <x v="0"/>
    <n v="1"/>
    <n v="0"/>
    <x v="1876"/>
    <s v="Verónica Ortiz Rangel"/>
    <x v="1"/>
  </r>
  <r>
    <n v="2202"/>
    <n v="48"/>
    <n v="5"/>
    <n v="101.67"/>
    <n v="10.17"/>
    <n v="0"/>
    <n v="0.1"/>
    <s v="ACTIVE"/>
    <m/>
    <s v=""/>
    <m/>
    <d v="2026-06-27T11:21:11"/>
    <d v="2026-06-27T00:00:00"/>
    <x v="8"/>
    <x v="0"/>
    <n v="1"/>
    <n v="0"/>
    <x v="1877"/>
    <s v="Carlos Medina Quiñones"/>
    <x v="2"/>
  </r>
  <r>
    <n v="2203"/>
    <n v="254"/>
    <n v="4"/>
    <n v="179.45"/>
    <n v="17.95"/>
    <n v="0"/>
    <n v="0.1"/>
    <s v="ACTIVE"/>
    <m/>
    <s v=""/>
    <m/>
    <d v="2026-06-27T14:46:04"/>
    <d v="2026-06-27T00:00:00"/>
    <x v="8"/>
    <x v="0"/>
    <n v="1"/>
    <n v="0"/>
    <x v="1878"/>
    <s v="Antonio Gutiérrez Ramos"/>
    <x v="3"/>
  </r>
  <r>
    <n v="2204"/>
    <n v="246"/>
    <n v="3"/>
    <n v="31.87"/>
    <n v="3.19"/>
    <n v="0"/>
    <n v="0.1"/>
    <s v="ACTIVE"/>
    <m/>
    <s v=""/>
    <m/>
    <d v="2026-06-27T15:25:51"/>
    <d v="2026-06-27T00:00:00"/>
    <x v="8"/>
    <x v="0"/>
    <n v="1"/>
    <n v="0"/>
    <x v="964"/>
    <s v="Alicia Morales Jiménez"/>
    <x v="0"/>
  </r>
  <r>
    <n v="2205"/>
    <n v="250"/>
    <n v="4"/>
    <n v="220"/>
    <n v="22"/>
    <n v="0"/>
    <n v="0.1"/>
    <s v="ACTIVE"/>
    <m/>
    <s v=""/>
    <m/>
    <d v="2026-06-27T15:37:58"/>
    <d v="2026-06-27T00:00:00"/>
    <x v="8"/>
    <x v="0"/>
    <n v="1"/>
    <n v="0"/>
    <x v="200"/>
    <s v="Verónica Romero Chávez"/>
    <x v="3"/>
  </r>
  <r>
    <n v="2206"/>
    <n v="139"/>
    <n v="3"/>
    <n v="82.6"/>
    <n v="8.26"/>
    <n v="0"/>
    <n v="0.1"/>
    <s v="ACTIVE"/>
    <m/>
    <s v=""/>
    <m/>
    <d v="2026-06-27T17:08:43"/>
    <d v="2026-06-27T00:00:00"/>
    <x v="8"/>
    <x v="0"/>
    <n v="1"/>
    <n v="0"/>
    <x v="1879"/>
    <s v="Isabel Delgado Ramos"/>
    <x v="0"/>
  </r>
  <r>
    <n v="2207"/>
    <n v="16"/>
    <n v="2"/>
    <n v="129.97999999999999"/>
    <n v="13"/>
    <n v="0"/>
    <n v="0.1"/>
    <s v="CANCELED"/>
    <n v="2"/>
    <s v="Solicitud del cliente"/>
    <d v="2026-06-28T17:02:54"/>
    <d v="2026-06-27T18:02:54"/>
    <d v="2026-06-27T00:00:00"/>
    <x v="8"/>
    <x v="0"/>
    <n v="1"/>
    <n v="1"/>
    <x v="32"/>
    <s v="Laura Chávez Rangel"/>
    <x v="1"/>
  </r>
  <r>
    <n v="2208"/>
    <n v="128"/>
    <n v="2"/>
    <n v="42.82"/>
    <n v="4.28"/>
    <n v="0"/>
    <n v="0.1"/>
    <s v="ACTIVE"/>
    <m/>
    <s v=""/>
    <m/>
    <d v="2026-06-27T19:02:31"/>
    <d v="2026-06-27T00:00:00"/>
    <x v="8"/>
    <x v="0"/>
    <n v="1"/>
    <n v="0"/>
    <x v="1880"/>
    <s v="Verónica Ortiz Rangel"/>
    <x v="1"/>
  </r>
  <r>
    <n v="2209"/>
    <n v="6"/>
    <n v="4"/>
    <n v="37.6"/>
    <n v="3.76"/>
    <n v="0"/>
    <n v="0.1"/>
    <s v="ACTIVE"/>
    <m/>
    <s v=""/>
    <m/>
    <d v="2026-06-28T10:11:46"/>
    <d v="2026-06-28T00:00:00"/>
    <x v="8"/>
    <x v="0"/>
    <n v="1"/>
    <n v="0"/>
    <x v="510"/>
    <s v="Raúl Ortiz Cruz"/>
    <x v="3"/>
  </r>
  <r>
    <n v="2210"/>
    <n v="250"/>
    <n v="4"/>
    <n v="143.61000000000001"/>
    <n v="14.36"/>
    <n v="0"/>
    <n v="0.1"/>
    <s v="ACTIVE"/>
    <m/>
    <s v=""/>
    <m/>
    <d v="2026-06-28T18:42:58"/>
    <d v="2026-06-28T00:00:00"/>
    <x v="8"/>
    <x v="0"/>
    <n v="1"/>
    <n v="0"/>
    <x v="1881"/>
    <s v="Verónica Romero Chávez"/>
    <x v="3"/>
  </r>
  <r>
    <n v="2211"/>
    <n v="250"/>
    <n v="4"/>
    <n v="97.56"/>
    <n v="9.76"/>
    <n v="0"/>
    <n v="0.1"/>
    <s v="ACTIVE"/>
    <m/>
    <s v=""/>
    <m/>
    <d v="2026-06-29T09:43:37"/>
    <d v="2026-06-29T00:00:00"/>
    <x v="8"/>
    <x v="0"/>
    <n v="1"/>
    <n v="0"/>
    <x v="1882"/>
    <s v="Verónica Romero Chávez"/>
    <x v="3"/>
  </r>
  <r>
    <n v="2212"/>
    <n v="91"/>
    <n v="5"/>
    <n v="28.2"/>
    <n v="2.82"/>
    <n v="0"/>
    <n v="0.1"/>
    <s v="ACTIVE"/>
    <m/>
    <s v=""/>
    <m/>
    <d v="2026-06-29T10:45:05"/>
    <d v="2026-06-29T00:00:00"/>
    <x v="8"/>
    <x v="0"/>
    <n v="1"/>
    <n v="0"/>
    <x v="1883"/>
    <s v="Silvia Gómez Rodríguez"/>
    <x v="2"/>
  </r>
  <r>
    <n v="2213"/>
    <n v="229"/>
    <n v="2"/>
    <n v="64.56"/>
    <n v="6.46"/>
    <n v="0"/>
    <n v="0.1"/>
    <s v="ACTIVE"/>
    <m/>
    <s v=""/>
    <m/>
    <d v="2026-06-29T12:15:51"/>
    <d v="2026-06-29T00:00:00"/>
    <x v="8"/>
    <x v="0"/>
    <n v="1"/>
    <n v="0"/>
    <x v="1884"/>
    <s v="Verónica González Rodríguez"/>
    <x v="1"/>
  </r>
  <r>
    <n v="2214"/>
    <n v="156"/>
    <n v="3"/>
    <n v="19.78"/>
    <n v="1.98"/>
    <n v="0"/>
    <n v="0.1"/>
    <s v="ACTIVE"/>
    <m/>
    <s v=""/>
    <m/>
    <d v="2026-06-29T13:27:53"/>
    <d v="2026-06-29T00:00:00"/>
    <x v="8"/>
    <x v="0"/>
    <n v="1"/>
    <n v="0"/>
    <x v="1885"/>
    <s v="Óscar Moreno Chávez"/>
    <x v="0"/>
  </r>
  <r>
    <n v="2215"/>
    <n v="294"/>
    <n v="3"/>
    <n v="28.64"/>
    <n v="2.86"/>
    <n v="0"/>
    <n v="0.1"/>
    <s v="ACTIVE"/>
    <m/>
    <s v=""/>
    <m/>
    <d v="2026-06-29T13:41:56"/>
    <d v="2026-06-29T00:00:00"/>
    <x v="8"/>
    <x v="0"/>
    <n v="1"/>
    <n v="0"/>
    <x v="1886"/>
    <s v="Francisco Ramos Rodríguez"/>
    <x v="0"/>
  </r>
  <r>
    <n v="2216"/>
    <n v="132"/>
    <n v="2"/>
    <n v="265.81"/>
    <n v="26.58"/>
    <n v="0"/>
    <n v="0.1"/>
    <s v="ACTIVE"/>
    <m/>
    <s v=""/>
    <m/>
    <d v="2026-06-29T17:08:05"/>
    <d v="2026-06-29T00:00:00"/>
    <x v="8"/>
    <x v="0"/>
    <n v="1"/>
    <n v="0"/>
    <x v="1887"/>
    <s v="Daniel Romero Villalobos"/>
    <x v="1"/>
  </r>
  <r>
    <n v="2217"/>
    <n v="163"/>
    <n v="5"/>
    <n v="12.75"/>
    <n v="1.28"/>
    <n v="0"/>
    <n v="0.1"/>
    <s v="ACTIVE"/>
    <m/>
    <s v=""/>
    <m/>
    <d v="2026-06-29T18:57:43"/>
    <d v="2026-06-29T00:00:00"/>
    <x v="8"/>
    <x v="0"/>
    <n v="1"/>
    <n v="0"/>
    <x v="1888"/>
    <s v="Héctor Moreno Quiñones"/>
    <x v="2"/>
  </r>
  <r>
    <n v="2218"/>
    <n v="44"/>
    <n v="5"/>
    <n v="21.41"/>
    <n v="2.14"/>
    <n v="0"/>
    <n v="0.1"/>
    <s v="ACTIVE"/>
    <m/>
    <s v=""/>
    <m/>
    <d v="2026-06-30T09:05:34"/>
    <d v="2026-06-30T00:00:00"/>
    <x v="8"/>
    <x v="0"/>
    <n v="1"/>
    <n v="0"/>
    <x v="992"/>
    <s v="Pedro Herrera Castillo"/>
    <x v="2"/>
  </r>
  <r>
    <n v="2219"/>
    <n v="264"/>
    <n v="3"/>
    <n v="179.26"/>
    <n v="17.93"/>
    <n v="0"/>
    <n v="0.1"/>
    <s v="ACTIVE"/>
    <m/>
    <s v=""/>
    <m/>
    <d v="2026-06-30T10:43:54"/>
    <d v="2026-06-30T00:00:00"/>
    <x v="8"/>
    <x v="0"/>
    <n v="1"/>
    <n v="0"/>
    <x v="1889"/>
    <s v="Rosa Flores Ortiz"/>
    <x v="0"/>
  </r>
  <r>
    <n v="2220"/>
    <n v="190"/>
    <n v="3"/>
    <n v="248.77"/>
    <n v="24.88"/>
    <n v="0"/>
    <n v="0.1"/>
    <s v="ACTIVE"/>
    <m/>
    <s v=""/>
    <m/>
    <d v="2026-06-30T11:49:02"/>
    <d v="2026-06-30T00:00:00"/>
    <x v="8"/>
    <x v="0"/>
    <n v="1"/>
    <n v="0"/>
    <x v="1890"/>
    <s v="Ricardo Díaz Rodríguez"/>
    <x v="0"/>
  </r>
  <r>
    <n v="2221"/>
    <n v="16"/>
    <n v="3"/>
    <n v="170.4"/>
    <n v="17.04"/>
    <n v="0"/>
    <n v="0.1"/>
    <s v="ACTIVE"/>
    <m/>
    <s v=""/>
    <m/>
    <d v="2026-06-30T12:31:30"/>
    <d v="2026-06-30T00:00:00"/>
    <x v="8"/>
    <x v="0"/>
    <n v="1"/>
    <n v="0"/>
    <x v="1891"/>
    <s v="Laura Chávez Rangel"/>
    <x v="0"/>
  </r>
  <r>
    <n v="2222"/>
    <n v="185"/>
    <n v="2"/>
    <n v="60.3"/>
    <n v="6.03"/>
    <n v="0"/>
    <n v="0.1"/>
    <s v="ACTIVE"/>
    <m/>
    <s v=""/>
    <m/>
    <d v="2026-06-30T15:04:11"/>
    <d v="2026-06-30T00:00:00"/>
    <x v="8"/>
    <x v="0"/>
    <n v="1"/>
    <n v="0"/>
    <x v="1892"/>
    <s v="Teresa Martínez González"/>
    <x v="1"/>
  </r>
  <r>
    <n v="2223"/>
    <n v="36"/>
    <n v="4"/>
    <n v="235.51"/>
    <n v="23.55"/>
    <n v="0"/>
    <n v="0.1"/>
    <s v="ACTIVE"/>
    <m/>
    <s v=""/>
    <m/>
    <d v="2026-06-30T16:39:05"/>
    <d v="2026-06-30T00:00:00"/>
    <x v="8"/>
    <x v="0"/>
    <n v="1"/>
    <n v="0"/>
    <x v="76"/>
    <s v="Sergio Delgado Herrera"/>
    <x v="3"/>
  </r>
  <r>
    <n v="2224"/>
    <n v="134"/>
    <n v="5"/>
    <n v="90.87"/>
    <n v="9.09"/>
    <n v="0"/>
    <n v="0.1"/>
    <s v="ACTIVE"/>
    <m/>
    <s v=""/>
    <m/>
    <d v="2026-06-30T17:28:37"/>
    <d v="2026-06-30T00:00:00"/>
    <x v="8"/>
    <x v="0"/>
    <n v="1"/>
    <n v="0"/>
    <x v="1893"/>
    <s v="Javier Moreno Ortiz"/>
    <x v="2"/>
  </r>
  <r>
    <n v="2225"/>
    <n v="73"/>
    <n v="3"/>
    <n v="50.91"/>
    <n v="5.09"/>
    <n v="0"/>
    <n v="0.1"/>
    <s v="ACTIVE"/>
    <m/>
    <s v=""/>
    <m/>
    <d v="2026-06-30T17:44:15"/>
    <d v="2026-06-30T00:00:00"/>
    <x v="8"/>
    <x v="0"/>
    <n v="1"/>
    <n v="0"/>
    <x v="493"/>
    <s v="Rosa Quiñones Romero"/>
    <x v="0"/>
  </r>
  <r>
    <n v="2226"/>
    <n v="235"/>
    <n v="2"/>
    <n v="35.36"/>
    <n v="3.54"/>
    <n v="0"/>
    <n v="0.1"/>
    <s v="ACTIVE"/>
    <m/>
    <s v=""/>
    <m/>
    <d v="2026-06-30T18:23:57"/>
    <d v="2026-06-30T00:00:00"/>
    <x v="8"/>
    <x v="0"/>
    <n v="1"/>
    <n v="0"/>
    <x v="827"/>
    <s v="Silvia González Rodríguez"/>
    <x v="1"/>
  </r>
  <r>
    <n v="2227"/>
    <n v="38"/>
    <n v="4"/>
    <n v="38.369999999999997"/>
    <n v="3.84"/>
    <n v="0"/>
    <n v="0.1"/>
    <s v="ACTIVE"/>
    <m/>
    <s v=""/>
    <m/>
    <d v="2026-07-01T07:35:22"/>
    <d v="2026-07-01T00:00:00"/>
    <x v="9"/>
    <x v="0"/>
    <n v="1"/>
    <n v="0"/>
    <x v="1894"/>
    <s v="Verónica Delgado Medina"/>
    <x v="3"/>
  </r>
  <r>
    <n v="2228"/>
    <n v="100"/>
    <n v="4"/>
    <n v="248.24"/>
    <n v="24.82"/>
    <n v="0"/>
    <n v="0.1"/>
    <s v="ACTIVE"/>
    <m/>
    <s v=""/>
    <m/>
    <d v="2026-07-01T08:34:18"/>
    <d v="2026-07-01T00:00:00"/>
    <x v="9"/>
    <x v="0"/>
    <n v="1"/>
    <n v="0"/>
    <x v="1895"/>
    <s v="Ricardo Salazar Medina"/>
    <x v="3"/>
  </r>
  <r>
    <n v="2229"/>
    <n v="302"/>
    <n v="5"/>
    <n v="16.18"/>
    <n v="1.62"/>
    <n v="0"/>
    <n v="0.1"/>
    <s v="ACTIVE"/>
    <m/>
    <s v=""/>
    <m/>
    <d v="2026-07-01T09:11:52"/>
    <d v="2026-07-01T00:00:00"/>
    <x v="9"/>
    <x v="0"/>
    <n v="1"/>
    <n v="0"/>
    <x v="1391"/>
    <s v="Alicia Herrera Sánchez"/>
    <x v="2"/>
  </r>
  <r>
    <n v="2230"/>
    <n v="210"/>
    <n v="5"/>
    <n v="25.35"/>
    <n v="2.54"/>
    <n v="0"/>
    <n v="0.1"/>
    <s v="ACTIVE"/>
    <m/>
    <s v=""/>
    <m/>
    <d v="2026-07-01T11:48:30"/>
    <d v="2026-07-01T00:00:00"/>
    <x v="9"/>
    <x v="0"/>
    <n v="1"/>
    <n v="0"/>
    <x v="1896"/>
    <s v="Óscar Romero Sánchez"/>
    <x v="2"/>
  </r>
  <r>
    <n v="2231"/>
    <n v="48"/>
    <n v="2"/>
    <n v="102.92"/>
    <n v="10.29"/>
    <n v="0"/>
    <n v="0.1"/>
    <s v="ACTIVE"/>
    <m/>
    <s v=""/>
    <m/>
    <d v="2026-07-01T15:53:31"/>
    <d v="2026-07-01T00:00:00"/>
    <x v="9"/>
    <x v="0"/>
    <n v="1"/>
    <n v="0"/>
    <x v="1897"/>
    <s v="Carlos Medina Quiñones"/>
    <x v="1"/>
  </r>
  <r>
    <n v="2232"/>
    <n v="44"/>
    <n v="4"/>
    <n v="54.42"/>
    <n v="5.44"/>
    <n v="0"/>
    <n v="0.1"/>
    <s v="ACTIVE"/>
    <m/>
    <s v=""/>
    <m/>
    <d v="2026-07-01T16:44:36"/>
    <d v="2026-07-01T00:00:00"/>
    <x v="9"/>
    <x v="0"/>
    <n v="1"/>
    <n v="0"/>
    <x v="1898"/>
    <s v="Pedro Herrera Castillo"/>
    <x v="3"/>
  </r>
  <r>
    <n v="2233"/>
    <n v="250"/>
    <n v="4"/>
    <n v="84.25"/>
    <n v="8.43"/>
    <n v="0"/>
    <n v="0.1"/>
    <s v="ACTIVE"/>
    <m/>
    <s v=""/>
    <m/>
    <d v="2026-07-01T17:14:20"/>
    <d v="2026-07-01T00:00:00"/>
    <x v="9"/>
    <x v="0"/>
    <n v="1"/>
    <n v="0"/>
    <x v="1899"/>
    <s v="Verónica Romero Chávez"/>
    <x v="3"/>
  </r>
  <r>
    <n v="2234"/>
    <n v="134"/>
    <n v="4"/>
    <n v="90.57"/>
    <n v="9.06"/>
    <n v="0"/>
    <n v="0.1"/>
    <s v="ACTIVE"/>
    <m/>
    <s v=""/>
    <m/>
    <d v="2026-07-01T18:36:01"/>
    <d v="2026-07-01T00:00:00"/>
    <x v="9"/>
    <x v="0"/>
    <n v="1"/>
    <n v="0"/>
    <x v="1900"/>
    <s v="Javier Moreno Ortiz"/>
    <x v="3"/>
  </r>
  <r>
    <n v="2235"/>
    <n v="134"/>
    <n v="5"/>
    <n v="63.45"/>
    <n v="6.35"/>
    <n v="0"/>
    <n v="0.1"/>
    <s v="ACTIVE"/>
    <m/>
    <s v=""/>
    <m/>
    <d v="2026-07-01T19:17:51"/>
    <d v="2026-07-01T00:00:00"/>
    <x v="9"/>
    <x v="0"/>
    <n v="1"/>
    <n v="0"/>
    <x v="1901"/>
    <s v="Javier Moreno Ortiz"/>
    <x v="2"/>
  </r>
  <r>
    <n v="2236"/>
    <n v="179"/>
    <n v="5"/>
    <n v="141.01"/>
    <n v="14.1"/>
    <n v="0"/>
    <n v="0.1"/>
    <s v="ACTIVE"/>
    <m/>
    <s v=""/>
    <m/>
    <d v="2026-07-02T08:29:40"/>
    <d v="2026-07-02T00:00:00"/>
    <x v="9"/>
    <x v="0"/>
    <n v="1"/>
    <n v="0"/>
    <x v="1902"/>
    <s v="Laura Flores Villalobos"/>
    <x v="2"/>
  </r>
  <r>
    <n v="2237"/>
    <n v="250"/>
    <n v="3"/>
    <n v="52.14"/>
    <n v="5.21"/>
    <n v="0"/>
    <n v="0.1"/>
    <s v="ACTIVE"/>
    <m/>
    <s v=""/>
    <m/>
    <d v="2026-07-02T15:14:42"/>
    <d v="2026-07-02T00:00:00"/>
    <x v="9"/>
    <x v="0"/>
    <n v="1"/>
    <n v="0"/>
    <x v="1903"/>
    <s v="Verónica Romero Chávez"/>
    <x v="0"/>
  </r>
  <r>
    <n v="2238"/>
    <n v="172"/>
    <n v="5"/>
    <n v="29.01"/>
    <n v="2.9"/>
    <n v="0"/>
    <n v="0.1"/>
    <s v="ACTIVE"/>
    <m/>
    <s v=""/>
    <m/>
    <d v="2026-07-02T15:18:56"/>
    <d v="2026-07-02T00:00:00"/>
    <x v="9"/>
    <x v="0"/>
    <n v="1"/>
    <n v="0"/>
    <x v="797"/>
    <s v="Silvia Salazar Ortiz"/>
    <x v="2"/>
  </r>
  <r>
    <n v="2239"/>
    <n v="65"/>
    <n v="3"/>
    <n v="34.83"/>
    <n v="3.48"/>
    <n v="0"/>
    <n v="0.1"/>
    <s v="ACTIVE"/>
    <m/>
    <s v=""/>
    <m/>
    <d v="2026-07-02T16:20:00"/>
    <d v="2026-07-02T00:00:00"/>
    <x v="9"/>
    <x v="0"/>
    <n v="1"/>
    <n v="0"/>
    <x v="1265"/>
    <s v="Gabriela Flores Chávez"/>
    <x v="0"/>
  </r>
  <r>
    <n v="2240"/>
    <n v="250"/>
    <n v="3"/>
    <n v="66.650000000000006"/>
    <n v="6.67"/>
    <n v="0"/>
    <n v="0.1"/>
    <s v="ACTIVE"/>
    <m/>
    <s v=""/>
    <m/>
    <d v="2026-07-02T16:26:12"/>
    <d v="2026-07-02T00:00:00"/>
    <x v="9"/>
    <x v="0"/>
    <n v="1"/>
    <n v="0"/>
    <x v="1904"/>
    <s v="Verónica Romero Chávez"/>
    <x v="0"/>
  </r>
  <r>
    <n v="2241"/>
    <n v="48"/>
    <n v="2"/>
    <n v="72"/>
    <n v="7.2"/>
    <n v="0"/>
    <n v="0.1"/>
    <s v="ACTIVE"/>
    <m/>
    <s v=""/>
    <m/>
    <d v="2026-07-02T16:35:32"/>
    <d v="2026-07-02T00:00:00"/>
    <x v="9"/>
    <x v="0"/>
    <n v="1"/>
    <n v="0"/>
    <x v="1905"/>
    <s v="Carlos Medina Quiñones"/>
    <x v="1"/>
  </r>
  <r>
    <n v="2242"/>
    <n v="277"/>
    <n v="3"/>
    <n v="143.57"/>
    <n v="14.36"/>
    <n v="0"/>
    <n v="0.1"/>
    <s v="ACTIVE"/>
    <m/>
    <s v=""/>
    <m/>
    <d v="2026-07-03T08:37:49"/>
    <d v="2026-07-03T00:00:00"/>
    <x v="9"/>
    <x v="0"/>
    <n v="1"/>
    <n v="0"/>
    <x v="1906"/>
    <s v="Laura Ramos Gutiérrez"/>
    <x v="0"/>
  </r>
  <r>
    <n v="2243"/>
    <n v="202"/>
    <n v="3"/>
    <n v="39.06"/>
    <n v="3.91"/>
    <n v="0"/>
    <n v="0.1"/>
    <s v="ACTIVE"/>
    <m/>
    <s v=""/>
    <m/>
    <d v="2026-07-03T09:10:02"/>
    <d v="2026-07-03T00:00:00"/>
    <x v="9"/>
    <x v="0"/>
    <n v="1"/>
    <n v="0"/>
    <x v="509"/>
    <s v="Elena Díaz Reyes"/>
    <x v="0"/>
  </r>
  <r>
    <n v="2244"/>
    <n v="183"/>
    <n v="4"/>
    <n v="121.04"/>
    <n v="12.1"/>
    <n v="0"/>
    <n v="0.1"/>
    <s v="ACTIVE"/>
    <m/>
    <s v=""/>
    <m/>
    <d v="2026-07-03T09:20:10"/>
    <d v="2026-07-03T00:00:00"/>
    <x v="9"/>
    <x v="0"/>
    <n v="1"/>
    <n v="0"/>
    <x v="1907"/>
    <s v="Irma Moreno Rodríguez"/>
    <x v="3"/>
  </r>
  <r>
    <n v="2245"/>
    <n v="250"/>
    <n v="2"/>
    <n v="64.25"/>
    <n v="0"/>
    <n v="1"/>
    <n v="0.1"/>
    <s v="ACTIVE"/>
    <m/>
    <s v=""/>
    <m/>
    <d v="2026-07-03T10:50:28"/>
    <d v="2026-07-03T00:00:00"/>
    <x v="9"/>
    <x v="1"/>
    <n v="1"/>
    <n v="0"/>
    <x v="1908"/>
    <s v="Verónica Romero Chávez"/>
    <x v="1"/>
  </r>
  <r>
    <n v="2246"/>
    <n v="101"/>
    <n v="4"/>
    <n v="52.47"/>
    <n v="5.25"/>
    <n v="0"/>
    <n v="0.1"/>
    <s v="ACTIVE"/>
    <m/>
    <s v=""/>
    <m/>
    <d v="2026-07-03T11:58:01"/>
    <d v="2026-07-03T00:00:00"/>
    <x v="9"/>
    <x v="0"/>
    <n v="1"/>
    <n v="0"/>
    <x v="1909"/>
    <s v="Raúl Delgado Villalobos"/>
    <x v="3"/>
  </r>
  <r>
    <n v="2247"/>
    <n v="128"/>
    <n v="4"/>
    <n v="18.71"/>
    <n v="1.87"/>
    <n v="0"/>
    <n v="0.1"/>
    <s v="ACTIVE"/>
    <m/>
    <s v=""/>
    <m/>
    <d v="2026-07-03T15:09:38"/>
    <d v="2026-07-03T00:00:00"/>
    <x v="9"/>
    <x v="0"/>
    <n v="1"/>
    <n v="0"/>
    <x v="1910"/>
    <s v="Verónica Ortiz Rangel"/>
    <x v="3"/>
  </r>
  <r>
    <n v="2248"/>
    <n v="134"/>
    <n v="5"/>
    <n v="140.19"/>
    <n v="14.02"/>
    <n v="0"/>
    <n v="0.1"/>
    <s v="ACTIVE"/>
    <m/>
    <s v=""/>
    <m/>
    <d v="2026-07-03T16:24:03"/>
    <d v="2026-07-03T00:00:00"/>
    <x v="9"/>
    <x v="0"/>
    <n v="1"/>
    <n v="0"/>
    <x v="1911"/>
    <s v="Javier Moreno Ortiz"/>
    <x v="2"/>
  </r>
  <r>
    <n v="2249"/>
    <n v="229"/>
    <n v="4"/>
    <n v="65.5"/>
    <n v="6.55"/>
    <n v="0"/>
    <n v="0.1"/>
    <s v="ACTIVE"/>
    <m/>
    <s v=""/>
    <m/>
    <d v="2026-07-03T16:40:59"/>
    <d v="2026-07-03T00:00:00"/>
    <x v="9"/>
    <x v="0"/>
    <n v="1"/>
    <n v="0"/>
    <x v="1912"/>
    <s v="Verónica González Rodríguez"/>
    <x v="3"/>
  </r>
  <r>
    <n v="2250"/>
    <n v="47"/>
    <n v="2"/>
    <n v="46.36"/>
    <n v="0"/>
    <n v="1"/>
    <n v="0.1"/>
    <s v="ACTIVE"/>
    <m/>
    <s v=""/>
    <m/>
    <d v="2026-07-03T18:13:09"/>
    <d v="2026-07-03T00:00:00"/>
    <x v="9"/>
    <x v="1"/>
    <n v="1"/>
    <n v="0"/>
    <x v="1913"/>
    <s v="Carmen Díaz Chávez"/>
    <x v="1"/>
  </r>
  <r>
    <n v="2251"/>
    <n v="175"/>
    <n v="2"/>
    <n v="28.17"/>
    <n v="2.82"/>
    <n v="0"/>
    <n v="0.1"/>
    <s v="ACTIVE"/>
    <m/>
    <s v=""/>
    <m/>
    <d v="2026-07-03T19:25:30"/>
    <d v="2026-07-03T00:00:00"/>
    <x v="9"/>
    <x v="0"/>
    <n v="1"/>
    <n v="0"/>
    <x v="1914"/>
    <s v="Óscar Villalobos Flores"/>
    <x v="1"/>
  </r>
  <r>
    <n v="2252"/>
    <n v="128"/>
    <n v="3"/>
    <n v="51.05"/>
    <n v="5.1100000000000003"/>
    <n v="0"/>
    <n v="0.1"/>
    <s v="ACTIVE"/>
    <m/>
    <s v=""/>
    <m/>
    <d v="2026-07-04T07:07:41"/>
    <d v="2026-07-04T00:00:00"/>
    <x v="9"/>
    <x v="0"/>
    <n v="1"/>
    <n v="0"/>
    <x v="1915"/>
    <s v="Verónica Ortiz Rangel"/>
    <x v="0"/>
  </r>
  <r>
    <n v="2253"/>
    <n v="175"/>
    <n v="2"/>
    <n v="26.73"/>
    <n v="2.67"/>
    <n v="0"/>
    <n v="0.1"/>
    <s v="ACTIVE"/>
    <m/>
    <s v=""/>
    <m/>
    <d v="2026-07-04T07:16:32"/>
    <d v="2026-07-04T00:00:00"/>
    <x v="9"/>
    <x v="0"/>
    <n v="1"/>
    <n v="0"/>
    <x v="1916"/>
    <s v="Óscar Villalobos Flores"/>
    <x v="1"/>
  </r>
  <r>
    <n v="2254"/>
    <n v="213"/>
    <n v="3"/>
    <n v="160.51"/>
    <n v="16.05"/>
    <n v="0"/>
    <n v="0.1"/>
    <s v="ACTIVE"/>
    <m/>
    <s v=""/>
    <m/>
    <d v="2026-07-04T07:56:55"/>
    <d v="2026-07-04T00:00:00"/>
    <x v="9"/>
    <x v="0"/>
    <n v="1"/>
    <n v="0"/>
    <x v="1917"/>
    <s v="Teresa Romero Flores"/>
    <x v="0"/>
  </r>
  <r>
    <n v="2255"/>
    <n v="106"/>
    <n v="2"/>
    <n v="58.35"/>
    <n v="5.84"/>
    <n v="0"/>
    <n v="0.1"/>
    <s v="ACTIVE"/>
    <m/>
    <s v=""/>
    <m/>
    <d v="2026-07-04T09:20:29"/>
    <d v="2026-07-04T00:00:00"/>
    <x v="9"/>
    <x v="0"/>
    <n v="1"/>
    <n v="0"/>
    <x v="1918"/>
    <s v="Isabel García Santoyo"/>
    <x v="1"/>
  </r>
  <r>
    <n v="2256"/>
    <n v="128"/>
    <n v="5"/>
    <n v="29.88"/>
    <n v="2.99"/>
    <n v="0"/>
    <n v="0.1"/>
    <s v="ACTIVE"/>
    <m/>
    <s v=""/>
    <m/>
    <d v="2026-07-04T15:19:30"/>
    <d v="2026-07-04T00:00:00"/>
    <x v="9"/>
    <x v="0"/>
    <n v="1"/>
    <n v="0"/>
    <x v="1919"/>
    <s v="Verónica Ortiz Rangel"/>
    <x v="2"/>
  </r>
  <r>
    <n v="2257"/>
    <n v="244"/>
    <n v="3"/>
    <n v="72.73"/>
    <n v="7.27"/>
    <n v="0"/>
    <n v="0.1"/>
    <s v="ACTIVE"/>
    <m/>
    <s v=""/>
    <m/>
    <d v="2026-07-04T15:23:51"/>
    <d v="2026-07-04T00:00:00"/>
    <x v="9"/>
    <x v="0"/>
    <n v="1"/>
    <n v="0"/>
    <x v="1920"/>
    <s v="Guadalupe Castillo Hernández"/>
    <x v="0"/>
  </r>
  <r>
    <n v="2258"/>
    <n v="243"/>
    <n v="2"/>
    <n v="13.39"/>
    <n v="0"/>
    <n v="1"/>
    <n v="0.1"/>
    <s v="ACTIVE"/>
    <m/>
    <s v=""/>
    <m/>
    <d v="2026-07-04T16:40:03"/>
    <d v="2026-07-04T00:00:00"/>
    <x v="9"/>
    <x v="1"/>
    <n v="1"/>
    <n v="0"/>
    <x v="1921"/>
    <s v="Raúl García Díaz"/>
    <x v="1"/>
  </r>
  <r>
    <n v="2259"/>
    <n v="48"/>
    <n v="3"/>
    <n v="80.64"/>
    <n v="8.06"/>
    <n v="0"/>
    <n v="0.1"/>
    <s v="ACTIVE"/>
    <m/>
    <s v=""/>
    <m/>
    <d v="2026-07-04T17:14:49"/>
    <d v="2026-07-04T00:00:00"/>
    <x v="9"/>
    <x v="0"/>
    <n v="1"/>
    <n v="0"/>
    <x v="1922"/>
    <s v="Carlos Medina Quiñones"/>
    <x v="0"/>
  </r>
  <r>
    <n v="2260"/>
    <n v="70"/>
    <n v="3"/>
    <n v="287.17"/>
    <n v="28.72"/>
    <n v="0"/>
    <n v="0.1"/>
    <s v="CANCELED"/>
    <n v="3"/>
    <s v="Cliente canceló la operación"/>
    <d v="2026-07-06T15:59:08"/>
    <d v="2026-07-04T19:59:08"/>
    <d v="2026-07-04T00:00:00"/>
    <x v="9"/>
    <x v="0"/>
    <n v="1"/>
    <n v="1"/>
    <x v="32"/>
    <s v="Manuel Ávila Martínez"/>
    <x v="0"/>
  </r>
  <r>
    <n v="2261"/>
    <n v="147"/>
    <n v="2"/>
    <n v="96.57"/>
    <n v="9.66"/>
    <n v="0"/>
    <n v="0.1"/>
    <s v="CANCELED"/>
    <n v="5"/>
    <s v="Error de captura"/>
    <d v="2026-07-05T14:04:31"/>
    <d v="2026-07-05T07:04:31"/>
    <d v="2026-07-05T00:00:00"/>
    <x v="9"/>
    <x v="0"/>
    <n v="1"/>
    <n v="1"/>
    <x v="32"/>
    <s v="Irma Cruz Delgado"/>
    <x v="1"/>
  </r>
  <r>
    <n v="2262"/>
    <n v="184"/>
    <n v="5"/>
    <n v="220"/>
    <n v="22"/>
    <n v="0"/>
    <n v="0.1"/>
    <s v="ACTIVE"/>
    <m/>
    <s v=""/>
    <m/>
    <d v="2026-07-05T15:06:14"/>
    <d v="2026-07-05T00:00:00"/>
    <x v="9"/>
    <x v="0"/>
    <n v="1"/>
    <n v="0"/>
    <x v="200"/>
    <s v="Teresa Jiménez Ruiz"/>
    <x v="2"/>
  </r>
  <r>
    <n v="2263"/>
    <n v="90"/>
    <n v="4"/>
    <n v="204.85"/>
    <n v="20.49"/>
    <n v="0"/>
    <n v="0.1"/>
    <s v="ACTIVE"/>
    <m/>
    <s v=""/>
    <m/>
    <d v="2026-07-05T15:08:11"/>
    <d v="2026-07-05T00:00:00"/>
    <x v="9"/>
    <x v="0"/>
    <n v="1"/>
    <n v="0"/>
    <x v="1923"/>
    <s v="María Rangel Medina"/>
    <x v="3"/>
  </r>
  <r>
    <n v="2264"/>
    <n v="117"/>
    <n v="3"/>
    <n v="58.16"/>
    <n v="5.82"/>
    <n v="0"/>
    <n v="0.1"/>
    <s v="ACTIVE"/>
    <m/>
    <s v=""/>
    <m/>
    <d v="2026-07-05T15:19:25"/>
    <d v="2026-07-05T00:00:00"/>
    <x v="9"/>
    <x v="0"/>
    <n v="1"/>
    <n v="0"/>
    <x v="1924"/>
    <s v="Manuel Ortiz Ramírez"/>
    <x v="0"/>
  </r>
  <r>
    <n v="2265"/>
    <n v="134"/>
    <n v="3"/>
    <n v="142.31"/>
    <n v="14.23"/>
    <n v="0"/>
    <n v="0.1"/>
    <s v="ACTIVE"/>
    <m/>
    <s v=""/>
    <m/>
    <d v="2026-07-06T08:33:51"/>
    <d v="2026-07-06T00:00:00"/>
    <x v="9"/>
    <x v="0"/>
    <n v="1"/>
    <n v="0"/>
    <x v="1925"/>
    <s v="Javier Moreno Ortiz"/>
    <x v="0"/>
  </r>
  <r>
    <n v="2266"/>
    <n v="137"/>
    <n v="3"/>
    <n v="47.3"/>
    <n v="4.7300000000000004"/>
    <n v="0"/>
    <n v="0.1"/>
    <s v="ACTIVE"/>
    <m/>
    <s v=""/>
    <m/>
    <d v="2026-07-06T12:34:03"/>
    <d v="2026-07-06T00:00:00"/>
    <x v="9"/>
    <x v="0"/>
    <n v="1"/>
    <n v="0"/>
    <x v="1926"/>
    <s v="Francisco Reyes Ruiz"/>
    <x v="0"/>
  </r>
  <r>
    <n v="2267"/>
    <n v="263"/>
    <n v="2"/>
    <n v="35.61"/>
    <n v="3.56"/>
    <n v="0"/>
    <n v="0.1"/>
    <s v="ACTIVE"/>
    <m/>
    <s v=""/>
    <m/>
    <d v="2026-07-07T09:12:20"/>
    <d v="2026-07-07T00:00:00"/>
    <x v="9"/>
    <x v="0"/>
    <n v="1"/>
    <n v="0"/>
    <x v="1033"/>
    <s v="Francisco Delgado Zacatecas"/>
    <x v="1"/>
  </r>
  <r>
    <n v="2268"/>
    <n v="51"/>
    <n v="3"/>
    <n v="130.9"/>
    <n v="13.09"/>
    <n v="0"/>
    <n v="0.1"/>
    <s v="ACTIVE"/>
    <m/>
    <s v=""/>
    <m/>
    <d v="2026-07-07T09:42:57"/>
    <d v="2026-07-07T00:00:00"/>
    <x v="9"/>
    <x v="0"/>
    <n v="1"/>
    <n v="0"/>
    <x v="1927"/>
    <s v="Sergio Rangel Ramos"/>
    <x v="0"/>
  </r>
  <r>
    <n v="2269"/>
    <n v="36"/>
    <n v="2"/>
    <n v="138.4"/>
    <n v="13.84"/>
    <n v="0"/>
    <n v="0.1"/>
    <s v="ACTIVE"/>
    <m/>
    <s v=""/>
    <m/>
    <d v="2026-07-07T11:07:17"/>
    <d v="2026-07-07T00:00:00"/>
    <x v="9"/>
    <x v="0"/>
    <n v="1"/>
    <n v="0"/>
    <x v="1928"/>
    <s v="Sergio Delgado Herrera"/>
    <x v="1"/>
  </r>
  <r>
    <n v="2270"/>
    <n v="252"/>
    <n v="4"/>
    <n v="22.41"/>
    <n v="2.2400000000000002"/>
    <n v="0"/>
    <n v="0.1"/>
    <s v="ACTIVE"/>
    <m/>
    <s v=""/>
    <m/>
    <d v="2026-07-07T13:46:25"/>
    <d v="2026-07-07T00:00:00"/>
    <x v="9"/>
    <x v="0"/>
    <n v="1"/>
    <n v="0"/>
    <x v="1929"/>
    <s v="Martha Delgado Mendoza"/>
    <x v="3"/>
  </r>
  <r>
    <n v="2271"/>
    <n v="156"/>
    <n v="5"/>
    <n v="24.11"/>
    <n v="2.41"/>
    <n v="0"/>
    <n v="0.1"/>
    <s v="ACTIVE"/>
    <m/>
    <s v=""/>
    <m/>
    <d v="2026-07-07T15:39:34"/>
    <d v="2026-07-07T00:00:00"/>
    <x v="9"/>
    <x v="0"/>
    <n v="1"/>
    <n v="0"/>
    <x v="1930"/>
    <s v="Óscar Moreno Chávez"/>
    <x v="2"/>
  </r>
  <r>
    <n v="2272"/>
    <n v="128"/>
    <n v="2"/>
    <n v="41.55"/>
    <n v="4.16"/>
    <n v="0"/>
    <n v="0.1"/>
    <s v="ACTIVE"/>
    <m/>
    <s v=""/>
    <m/>
    <d v="2026-07-08T08:11:53"/>
    <d v="2026-07-08T00:00:00"/>
    <x v="9"/>
    <x v="0"/>
    <n v="1"/>
    <n v="0"/>
    <x v="1931"/>
    <s v="Verónica Ortiz Rangel"/>
    <x v="1"/>
  </r>
  <r>
    <n v="2273"/>
    <n v="128"/>
    <n v="4"/>
    <n v="30.09"/>
    <n v="3.01"/>
    <n v="0"/>
    <n v="0.1"/>
    <s v="ACTIVE"/>
    <m/>
    <s v=""/>
    <m/>
    <d v="2026-07-08T09:03:53"/>
    <d v="2026-07-08T00:00:00"/>
    <x v="9"/>
    <x v="0"/>
    <n v="1"/>
    <n v="0"/>
    <x v="722"/>
    <s v="Verónica Ortiz Rangel"/>
    <x v="3"/>
  </r>
  <r>
    <n v="2274"/>
    <n v="244"/>
    <n v="5"/>
    <n v="217.88"/>
    <n v="21.79"/>
    <n v="0"/>
    <n v="0.1"/>
    <s v="ACTIVE"/>
    <m/>
    <s v=""/>
    <m/>
    <d v="2026-07-08T16:06:19"/>
    <d v="2026-07-08T00:00:00"/>
    <x v="9"/>
    <x v="0"/>
    <n v="1"/>
    <n v="0"/>
    <x v="1932"/>
    <s v="Guadalupe Castillo Hernández"/>
    <x v="2"/>
  </r>
  <r>
    <n v="2275"/>
    <n v="134"/>
    <n v="4"/>
    <n v="59.65"/>
    <n v="5.97"/>
    <n v="0"/>
    <n v="0.1"/>
    <s v="ACTIVE"/>
    <m/>
    <s v=""/>
    <m/>
    <d v="2026-07-08T16:25:22"/>
    <d v="2026-07-08T00:00:00"/>
    <x v="9"/>
    <x v="0"/>
    <n v="1"/>
    <n v="0"/>
    <x v="1933"/>
    <s v="Javier Moreno Ortiz"/>
    <x v="3"/>
  </r>
  <r>
    <n v="2276"/>
    <n v="190"/>
    <n v="4"/>
    <n v="172.81"/>
    <n v="17.28"/>
    <n v="0"/>
    <n v="0.1"/>
    <s v="CANCELED"/>
    <n v="4"/>
    <s v="Solicitud del cliente"/>
    <d v="2026-07-08T17:48:09"/>
    <d v="2026-07-08T16:48:09"/>
    <d v="2026-07-08T00:00:00"/>
    <x v="9"/>
    <x v="0"/>
    <n v="1"/>
    <n v="1"/>
    <x v="32"/>
    <s v="Ricardo Díaz Rodríguez"/>
    <x v="3"/>
  </r>
  <r>
    <n v="2277"/>
    <n v="48"/>
    <n v="4"/>
    <n v="87.59"/>
    <n v="8.76"/>
    <n v="0"/>
    <n v="0.1"/>
    <s v="ACTIVE"/>
    <m/>
    <s v=""/>
    <m/>
    <d v="2026-07-08T18:20:01"/>
    <d v="2026-07-08T00:00:00"/>
    <x v="9"/>
    <x v="0"/>
    <n v="1"/>
    <n v="0"/>
    <x v="1934"/>
    <s v="Carlos Medina Quiñones"/>
    <x v="3"/>
  </r>
  <r>
    <n v="2278"/>
    <n v="128"/>
    <n v="2"/>
    <n v="17.18"/>
    <n v="1.72"/>
    <n v="0"/>
    <n v="0.1"/>
    <s v="ACTIVE"/>
    <m/>
    <s v=""/>
    <m/>
    <d v="2026-07-08T19:21:05"/>
    <d v="2026-07-08T00:00:00"/>
    <x v="9"/>
    <x v="0"/>
    <n v="1"/>
    <n v="0"/>
    <x v="1935"/>
    <s v="Verónica Ortiz Rangel"/>
    <x v="1"/>
  </r>
  <r>
    <n v="2279"/>
    <n v="171"/>
    <n v="3"/>
    <n v="93.41"/>
    <n v="9.34"/>
    <n v="0"/>
    <n v="0.1"/>
    <s v="ACTIVE"/>
    <m/>
    <s v=""/>
    <m/>
    <d v="2026-07-08T19:50:39"/>
    <d v="2026-07-08T00:00:00"/>
    <x v="9"/>
    <x v="0"/>
    <n v="1"/>
    <n v="0"/>
    <x v="1936"/>
    <s v="Manuel Villalobos Ramos"/>
    <x v="0"/>
  </r>
  <r>
    <n v="2280"/>
    <n v="190"/>
    <n v="3"/>
    <n v="300"/>
    <n v="30"/>
    <n v="0"/>
    <n v="0.1"/>
    <s v="ACTIVE"/>
    <m/>
    <s v=""/>
    <m/>
    <d v="2026-07-09T07:54:08"/>
    <d v="2026-07-09T00:00:00"/>
    <x v="9"/>
    <x v="0"/>
    <n v="1"/>
    <n v="0"/>
    <x v="74"/>
    <s v="Ricardo Díaz Rodríguez"/>
    <x v="0"/>
  </r>
  <r>
    <n v="2281"/>
    <n v="154"/>
    <n v="2"/>
    <n v="49.97"/>
    <n v="5"/>
    <n v="0"/>
    <n v="0.1"/>
    <s v="ACTIVE"/>
    <m/>
    <s v=""/>
    <m/>
    <d v="2026-07-09T08:10:11"/>
    <d v="2026-07-09T00:00:00"/>
    <x v="9"/>
    <x v="0"/>
    <n v="1"/>
    <n v="0"/>
    <x v="1937"/>
    <s v="Manuel Chávez Flores"/>
    <x v="1"/>
  </r>
  <r>
    <n v="2282"/>
    <n v="70"/>
    <n v="2"/>
    <n v="88.66"/>
    <n v="0"/>
    <n v="1"/>
    <n v="0.1"/>
    <s v="ACTIVE"/>
    <m/>
    <s v=""/>
    <m/>
    <d v="2026-07-09T09:47:07"/>
    <d v="2026-07-09T00:00:00"/>
    <x v="9"/>
    <x v="1"/>
    <n v="1"/>
    <n v="0"/>
    <x v="1938"/>
    <s v="Manuel Ávila Martínez"/>
    <x v="1"/>
  </r>
  <r>
    <n v="2283"/>
    <n v="183"/>
    <n v="5"/>
    <n v="53.37"/>
    <n v="5.34"/>
    <n v="0"/>
    <n v="0.1"/>
    <s v="ACTIVE"/>
    <m/>
    <s v=""/>
    <m/>
    <d v="2026-07-09T10:35:12"/>
    <d v="2026-07-09T00:00:00"/>
    <x v="9"/>
    <x v="0"/>
    <n v="1"/>
    <n v="0"/>
    <x v="1939"/>
    <s v="Irma Moreno Rodríguez"/>
    <x v="2"/>
  </r>
  <r>
    <n v="2284"/>
    <n v="128"/>
    <n v="2"/>
    <n v="36.32"/>
    <n v="3.63"/>
    <n v="0"/>
    <n v="0.1"/>
    <s v="ACTIVE"/>
    <m/>
    <s v=""/>
    <m/>
    <d v="2026-07-09T10:44:28"/>
    <d v="2026-07-09T00:00:00"/>
    <x v="9"/>
    <x v="0"/>
    <n v="1"/>
    <n v="0"/>
    <x v="259"/>
    <s v="Verónica Ortiz Rangel"/>
    <x v="1"/>
  </r>
  <r>
    <n v="2285"/>
    <n v="80"/>
    <n v="5"/>
    <n v="24.05"/>
    <n v="2.41"/>
    <n v="0"/>
    <n v="0.1"/>
    <s v="ACTIVE"/>
    <m/>
    <s v=""/>
    <m/>
    <d v="2026-07-09T11:16:40"/>
    <d v="2026-07-09T00:00:00"/>
    <x v="9"/>
    <x v="0"/>
    <n v="1"/>
    <n v="0"/>
    <x v="1940"/>
    <s v="Juan Sánchez Gutiérrez"/>
    <x v="2"/>
  </r>
  <r>
    <n v="2286"/>
    <n v="205"/>
    <n v="2"/>
    <n v="50.15"/>
    <n v="5.0199999999999996"/>
    <n v="0"/>
    <n v="0.1"/>
    <s v="ACTIVE"/>
    <m/>
    <s v=""/>
    <m/>
    <d v="2026-07-09T13:25:39"/>
    <d v="2026-07-09T00:00:00"/>
    <x v="9"/>
    <x v="0"/>
    <n v="1"/>
    <n v="0"/>
    <x v="1941"/>
    <s v="Manuel Cruz Moreno"/>
    <x v="1"/>
  </r>
  <r>
    <n v="2287"/>
    <n v="87"/>
    <n v="3"/>
    <n v="40.54"/>
    <n v="4.05"/>
    <n v="0"/>
    <n v="0.1"/>
    <s v="ACTIVE"/>
    <m/>
    <s v=""/>
    <m/>
    <d v="2026-07-09T15:45:22"/>
    <d v="2026-07-09T00:00:00"/>
    <x v="9"/>
    <x v="0"/>
    <n v="1"/>
    <n v="0"/>
    <x v="631"/>
    <s v="Antonio Reyes Romero"/>
    <x v="0"/>
  </r>
  <r>
    <n v="2288"/>
    <n v="103"/>
    <n v="4"/>
    <n v="19.78"/>
    <n v="1.98"/>
    <n v="0"/>
    <n v="0.1"/>
    <s v="ACTIVE"/>
    <m/>
    <s v=""/>
    <m/>
    <d v="2026-07-09T16:28:34"/>
    <d v="2026-07-09T00:00:00"/>
    <x v="9"/>
    <x v="0"/>
    <n v="1"/>
    <n v="0"/>
    <x v="1885"/>
    <s v="Teresa Rodríguez Ramírez"/>
    <x v="3"/>
  </r>
  <r>
    <n v="2289"/>
    <n v="150"/>
    <n v="2"/>
    <n v="49.57"/>
    <n v="0"/>
    <n v="1"/>
    <n v="0.1"/>
    <s v="CANCELED"/>
    <n v="5"/>
    <s v="Solicitud del cliente"/>
    <d v="2026-07-11T02:37:44"/>
    <d v="2026-07-09T17:37:44"/>
    <d v="2026-07-09T00:00:00"/>
    <x v="9"/>
    <x v="1"/>
    <n v="1"/>
    <n v="1"/>
    <x v="32"/>
    <s v="Daniel Díaz Quiñones"/>
    <x v="1"/>
  </r>
  <r>
    <n v="2290"/>
    <n v="285"/>
    <n v="2"/>
    <n v="27.61"/>
    <n v="2.76"/>
    <n v="0"/>
    <n v="0.1"/>
    <s v="ACTIVE"/>
    <m/>
    <s v=""/>
    <m/>
    <d v="2026-07-09T18:02:52"/>
    <d v="2026-07-09T00:00:00"/>
    <x v="9"/>
    <x v="0"/>
    <n v="1"/>
    <n v="0"/>
    <x v="1942"/>
    <s v="Alicia Martínez Aguilar"/>
    <x v="1"/>
  </r>
  <r>
    <n v="2291"/>
    <n v="66"/>
    <n v="2"/>
    <n v="87.55"/>
    <n v="8.76"/>
    <n v="0"/>
    <n v="0.1"/>
    <s v="ACTIVE"/>
    <m/>
    <s v=""/>
    <m/>
    <d v="2026-07-10T09:18:38"/>
    <d v="2026-07-10T00:00:00"/>
    <x v="9"/>
    <x v="0"/>
    <n v="1"/>
    <n v="0"/>
    <x v="1943"/>
    <s v="Guadalupe Morales Gutiérrez"/>
    <x v="1"/>
  </r>
  <r>
    <n v="2292"/>
    <n v="250"/>
    <n v="4"/>
    <n v="133.62"/>
    <n v="13.36"/>
    <n v="0"/>
    <n v="0.1"/>
    <s v="ACTIVE"/>
    <m/>
    <s v=""/>
    <m/>
    <d v="2026-07-10T09:21:22"/>
    <d v="2026-07-10T00:00:00"/>
    <x v="9"/>
    <x v="0"/>
    <n v="1"/>
    <n v="0"/>
    <x v="401"/>
    <s v="Verónica Romero Chávez"/>
    <x v="3"/>
  </r>
  <r>
    <n v="2293"/>
    <n v="285"/>
    <n v="4"/>
    <n v="25.58"/>
    <n v="2.56"/>
    <n v="0"/>
    <n v="0.1"/>
    <s v="ACTIVE"/>
    <m/>
    <s v=""/>
    <m/>
    <d v="2026-07-10T14:37:36"/>
    <d v="2026-07-10T00:00:00"/>
    <x v="9"/>
    <x v="0"/>
    <n v="1"/>
    <n v="0"/>
    <x v="1944"/>
    <s v="Alicia Martínez Aguilar"/>
    <x v="3"/>
  </r>
  <r>
    <n v="2294"/>
    <n v="250"/>
    <n v="2"/>
    <n v="177.91"/>
    <n v="17.79"/>
    <n v="0"/>
    <n v="0.1"/>
    <s v="ACTIVE"/>
    <m/>
    <s v=""/>
    <m/>
    <d v="2026-07-10T15:06:59"/>
    <d v="2026-07-10T00:00:00"/>
    <x v="9"/>
    <x v="0"/>
    <n v="1"/>
    <n v="0"/>
    <x v="1945"/>
    <s v="Verónica Romero Chávez"/>
    <x v="1"/>
  </r>
  <r>
    <n v="2295"/>
    <n v="183"/>
    <n v="2"/>
    <n v="138.29"/>
    <n v="13.83"/>
    <n v="0"/>
    <n v="0.1"/>
    <s v="CANCELED"/>
    <n v="2"/>
    <s v="Monto duplicado por error de sistema"/>
    <d v="2026-07-11T20:39:27"/>
    <d v="2026-07-11T08:39:27"/>
    <d v="2026-07-11T00:00:00"/>
    <x v="9"/>
    <x v="0"/>
    <n v="1"/>
    <n v="1"/>
    <x v="32"/>
    <s v="Irma Moreno Rodríguez"/>
    <x v="1"/>
  </r>
  <r>
    <n v="2296"/>
    <n v="261"/>
    <n v="2"/>
    <n v="43.8"/>
    <n v="4.38"/>
    <n v="0"/>
    <n v="0.1"/>
    <s v="ACTIVE"/>
    <m/>
    <s v=""/>
    <m/>
    <d v="2026-07-11T08:49:20"/>
    <d v="2026-07-11T00:00:00"/>
    <x v="9"/>
    <x v="0"/>
    <n v="1"/>
    <n v="0"/>
    <x v="1946"/>
    <s v="Carmen Moreno Delgado"/>
    <x v="1"/>
  </r>
  <r>
    <n v="2297"/>
    <n v="253"/>
    <n v="3"/>
    <n v="41.29"/>
    <n v="4.13"/>
    <n v="0"/>
    <n v="0.1"/>
    <s v="CANCELED"/>
    <n v="3"/>
    <s v="Solicitud del cliente"/>
    <d v="2026-07-13T05:20:27"/>
    <d v="2026-07-11T09:20:27"/>
    <d v="2026-07-11T00:00:00"/>
    <x v="9"/>
    <x v="0"/>
    <n v="1"/>
    <n v="1"/>
    <x v="32"/>
    <s v="Luis Hernández Morales"/>
    <x v="0"/>
  </r>
  <r>
    <n v="2298"/>
    <n v="128"/>
    <n v="4"/>
    <n v="28.67"/>
    <n v="2.87"/>
    <n v="0"/>
    <n v="0.1"/>
    <s v="ACTIVE"/>
    <m/>
    <s v=""/>
    <m/>
    <d v="2026-07-11T09:43:57"/>
    <d v="2026-07-11T00:00:00"/>
    <x v="9"/>
    <x v="0"/>
    <n v="1"/>
    <n v="0"/>
    <x v="1947"/>
    <s v="Verónica Ortiz Rangel"/>
    <x v="3"/>
  </r>
  <r>
    <n v="2299"/>
    <n v="134"/>
    <n v="4"/>
    <n v="186.51"/>
    <n v="18.649999999999999"/>
    <n v="0"/>
    <n v="0.1"/>
    <s v="ACTIVE"/>
    <m/>
    <s v=""/>
    <m/>
    <d v="2026-07-11T09:48:10"/>
    <d v="2026-07-11T00:00:00"/>
    <x v="9"/>
    <x v="0"/>
    <n v="1"/>
    <n v="0"/>
    <x v="1948"/>
    <s v="Javier Moreno Ortiz"/>
    <x v="3"/>
  </r>
  <r>
    <n v="2300"/>
    <n v="128"/>
    <n v="5"/>
    <n v="36.64"/>
    <n v="3.66"/>
    <n v="0"/>
    <n v="0.1"/>
    <s v="ACTIVE"/>
    <m/>
    <s v=""/>
    <m/>
    <d v="2026-07-11T14:54:34"/>
    <d v="2026-07-11T00:00:00"/>
    <x v="9"/>
    <x v="0"/>
    <n v="1"/>
    <n v="0"/>
    <x v="1949"/>
    <s v="Verónica Ortiz Rangel"/>
    <x v="2"/>
  </r>
  <r>
    <n v="2301"/>
    <n v="156"/>
    <n v="5"/>
    <n v="40.76"/>
    <n v="4.08"/>
    <n v="0"/>
    <n v="0.1"/>
    <s v="ACTIVE"/>
    <m/>
    <s v=""/>
    <m/>
    <d v="2026-07-11T15:19:20"/>
    <d v="2026-07-11T00:00:00"/>
    <x v="9"/>
    <x v="0"/>
    <n v="1"/>
    <n v="0"/>
    <x v="1950"/>
    <s v="Óscar Moreno Chávez"/>
    <x v="2"/>
  </r>
  <r>
    <n v="2302"/>
    <n v="134"/>
    <n v="3"/>
    <n v="71.680000000000007"/>
    <n v="7.17"/>
    <n v="0"/>
    <n v="0.1"/>
    <s v="ACTIVE"/>
    <m/>
    <s v=""/>
    <m/>
    <d v="2026-07-11T17:32:06"/>
    <d v="2026-07-11T00:00:00"/>
    <x v="9"/>
    <x v="0"/>
    <n v="1"/>
    <n v="0"/>
    <x v="1951"/>
    <s v="Javier Moreno Ortiz"/>
    <x v="0"/>
  </r>
  <r>
    <n v="2303"/>
    <n v="156"/>
    <n v="2"/>
    <n v="40.26"/>
    <n v="4.03"/>
    <n v="0"/>
    <n v="0.1"/>
    <s v="ACTIVE"/>
    <m/>
    <s v=""/>
    <m/>
    <d v="2026-07-12T09:51:17"/>
    <d v="2026-07-12T00:00:00"/>
    <x v="9"/>
    <x v="0"/>
    <n v="1"/>
    <n v="0"/>
    <x v="1463"/>
    <s v="Óscar Moreno Chávez"/>
    <x v="1"/>
  </r>
  <r>
    <n v="2304"/>
    <n v="128"/>
    <n v="3"/>
    <n v="40.26"/>
    <n v="4.03"/>
    <n v="0"/>
    <n v="0.1"/>
    <s v="ACTIVE"/>
    <m/>
    <s v=""/>
    <m/>
    <d v="2026-07-12T10:39:19"/>
    <d v="2026-07-12T00:00:00"/>
    <x v="9"/>
    <x v="0"/>
    <n v="1"/>
    <n v="0"/>
    <x v="1463"/>
    <s v="Verónica Ortiz Rangel"/>
    <x v="0"/>
  </r>
  <r>
    <n v="2305"/>
    <n v="299"/>
    <n v="5"/>
    <n v="81.96"/>
    <n v="8.1999999999999993"/>
    <n v="0"/>
    <n v="0.1"/>
    <s v="ACTIVE"/>
    <m/>
    <s v=""/>
    <m/>
    <d v="2026-07-12T18:36:54"/>
    <d v="2026-07-12T00:00:00"/>
    <x v="9"/>
    <x v="0"/>
    <n v="1"/>
    <n v="0"/>
    <x v="1952"/>
    <s v="Manuel Ramírez Martínez"/>
    <x v="2"/>
  </r>
  <r>
    <n v="2306"/>
    <n v="66"/>
    <n v="2"/>
    <n v="126.53"/>
    <n v="12.65"/>
    <n v="0"/>
    <n v="0.1"/>
    <s v="ACTIVE"/>
    <m/>
    <s v=""/>
    <m/>
    <d v="2026-07-13T08:16:39"/>
    <d v="2026-07-13T00:00:00"/>
    <x v="9"/>
    <x v="0"/>
    <n v="1"/>
    <n v="0"/>
    <x v="1337"/>
    <s v="Guadalupe Morales Gutiérrez"/>
    <x v="1"/>
  </r>
  <r>
    <n v="2307"/>
    <n v="281"/>
    <n v="5"/>
    <n v="127.05"/>
    <n v="12.71"/>
    <n v="0"/>
    <n v="0.1"/>
    <s v="ACTIVE"/>
    <m/>
    <s v=""/>
    <m/>
    <d v="2026-07-13T12:43:19"/>
    <d v="2026-07-13T00:00:00"/>
    <x v="9"/>
    <x v="0"/>
    <n v="1"/>
    <n v="0"/>
    <x v="1953"/>
    <s v="Antonio Delgado Rodríguez"/>
    <x v="2"/>
  </r>
  <r>
    <n v="2308"/>
    <n v="250"/>
    <n v="5"/>
    <n v="91.09"/>
    <n v="9.11"/>
    <n v="0"/>
    <n v="0.1"/>
    <s v="ACTIVE"/>
    <m/>
    <s v=""/>
    <m/>
    <d v="2026-07-13T15:22:35"/>
    <d v="2026-07-13T00:00:00"/>
    <x v="9"/>
    <x v="0"/>
    <n v="1"/>
    <n v="0"/>
    <x v="1954"/>
    <s v="Verónica Romero Chávez"/>
    <x v="2"/>
  </r>
  <r>
    <n v="2309"/>
    <n v="134"/>
    <n v="2"/>
    <n v="74.709999999999994"/>
    <n v="7.47"/>
    <n v="0"/>
    <n v="0.1"/>
    <s v="ACTIVE"/>
    <m/>
    <s v=""/>
    <m/>
    <d v="2026-07-13T15:27:44"/>
    <d v="2026-07-13T00:00:00"/>
    <x v="9"/>
    <x v="0"/>
    <n v="1"/>
    <n v="0"/>
    <x v="1955"/>
    <s v="Javier Moreno Ortiz"/>
    <x v="1"/>
  </r>
  <r>
    <n v="2310"/>
    <n v="229"/>
    <n v="4"/>
    <n v="85.43"/>
    <n v="0"/>
    <n v="1"/>
    <n v="0.1"/>
    <s v="ACTIVE"/>
    <m/>
    <s v=""/>
    <m/>
    <d v="2026-07-13T16:01:36"/>
    <d v="2026-07-13T00:00:00"/>
    <x v="9"/>
    <x v="1"/>
    <n v="1"/>
    <n v="0"/>
    <x v="1956"/>
    <s v="Verónica González Rodríguez"/>
    <x v="3"/>
  </r>
  <r>
    <n v="2311"/>
    <n v="71"/>
    <n v="5"/>
    <n v="23.7"/>
    <n v="2.37"/>
    <n v="0"/>
    <n v="0.1"/>
    <s v="ACTIVE"/>
    <m/>
    <s v=""/>
    <m/>
    <d v="2026-07-13T16:29:25"/>
    <d v="2026-07-13T00:00:00"/>
    <x v="9"/>
    <x v="0"/>
    <n v="1"/>
    <n v="0"/>
    <x v="1305"/>
    <s v="Manuel Herrera Ramírez"/>
    <x v="2"/>
  </r>
  <r>
    <n v="2312"/>
    <n v="289"/>
    <n v="5"/>
    <n v="108"/>
    <n v="10.8"/>
    <n v="0"/>
    <n v="0.1"/>
    <s v="ACTIVE"/>
    <m/>
    <s v=""/>
    <m/>
    <d v="2026-07-13T18:16:23"/>
    <d v="2026-07-13T00:00:00"/>
    <x v="9"/>
    <x v="0"/>
    <n v="1"/>
    <n v="0"/>
    <x v="1957"/>
    <s v="Javier Ávila Ortiz"/>
    <x v="2"/>
  </r>
  <r>
    <n v="2313"/>
    <n v="117"/>
    <n v="2"/>
    <n v="161.6"/>
    <n v="16.16"/>
    <n v="0"/>
    <n v="0.1"/>
    <s v="ACTIVE"/>
    <m/>
    <s v=""/>
    <m/>
    <d v="2026-07-13T19:10:06"/>
    <d v="2026-07-13T00:00:00"/>
    <x v="9"/>
    <x v="0"/>
    <n v="1"/>
    <n v="0"/>
    <x v="1958"/>
    <s v="Manuel Ortiz Ramírez"/>
    <x v="1"/>
  </r>
  <r>
    <n v="2314"/>
    <n v="185"/>
    <n v="4"/>
    <n v="80.88"/>
    <n v="8.09"/>
    <n v="0"/>
    <n v="0.1"/>
    <s v="ACTIVE"/>
    <m/>
    <s v=""/>
    <m/>
    <d v="2026-07-14T07:58:08"/>
    <d v="2026-07-14T00:00:00"/>
    <x v="9"/>
    <x v="0"/>
    <n v="1"/>
    <n v="0"/>
    <x v="1959"/>
    <s v="Teresa Martínez González"/>
    <x v="3"/>
  </r>
  <r>
    <n v="2315"/>
    <n v="134"/>
    <n v="4"/>
    <n v="129.61000000000001"/>
    <n v="0"/>
    <n v="1"/>
    <n v="0.1"/>
    <s v="ACTIVE"/>
    <m/>
    <s v=""/>
    <m/>
    <d v="2026-07-14T08:16:31"/>
    <d v="2026-07-14T00:00:00"/>
    <x v="9"/>
    <x v="1"/>
    <n v="1"/>
    <n v="0"/>
    <x v="1960"/>
    <s v="Javier Moreno Ortiz"/>
    <x v="3"/>
  </r>
  <r>
    <n v="2316"/>
    <n v="121"/>
    <n v="5"/>
    <n v="15.09"/>
    <n v="1.51"/>
    <n v="0"/>
    <n v="0.1"/>
    <s v="ACTIVE"/>
    <m/>
    <s v=""/>
    <m/>
    <d v="2026-07-14T09:02:35"/>
    <d v="2026-07-14T00:00:00"/>
    <x v="9"/>
    <x v="0"/>
    <n v="1"/>
    <n v="0"/>
    <x v="1961"/>
    <s v="Fernando González Ortiz"/>
    <x v="2"/>
  </r>
  <r>
    <n v="2317"/>
    <n v="123"/>
    <n v="3"/>
    <n v="40.299999999999997"/>
    <n v="4.03"/>
    <n v="0"/>
    <n v="0.1"/>
    <s v="CANCELED"/>
    <n v="3"/>
    <s v="Cliente canceló la operación"/>
    <d v="2026-07-15T10:04:00"/>
    <d v="2026-07-15T07:04:00"/>
    <d v="2026-07-15T00:00:00"/>
    <x v="9"/>
    <x v="0"/>
    <n v="1"/>
    <n v="1"/>
    <x v="32"/>
    <s v="Carmen Vázquez González"/>
    <x v="0"/>
  </r>
  <r>
    <n v="2318"/>
    <n v="303"/>
    <n v="5"/>
    <n v="24.17"/>
    <n v="2.42"/>
    <n v="0"/>
    <n v="0.1"/>
    <s v="ACTIVE"/>
    <m/>
    <s v=""/>
    <m/>
    <d v="2026-07-15T08:33:43"/>
    <d v="2026-07-15T00:00:00"/>
    <x v="9"/>
    <x v="0"/>
    <n v="1"/>
    <n v="0"/>
    <x v="1962"/>
    <s v="Francisco López Ortiz"/>
    <x v="2"/>
  </r>
  <r>
    <n v="2319"/>
    <n v="249"/>
    <n v="3"/>
    <n v="40.29"/>
    <n v="4.03"/>
    <n v="0"/>
    <n v="0.1"/>
    <s v="ACTIVE"/>
    <m/>
    <s v=""/>
    <m/>
    <d v="2026-07-15T09:22:39"/>
    <d v="2026-07-15T00:00:00"/>
    <x v="9"/>
    <x v="0"/>
    <n v="1"/>
    <n v="0"/>
    <x v="1963"/>
    <s v="Jorge Chávez Medina"/>
    <x v="0"/>
  </r>
  <r>
    <n v="2320"/>
    <n v="128"/>
    <n v="5"/>
    <n v="52.51"/>
    <n v="5.25"/>
    <n v="0"/>
    <n v="0.1"/>
    <s v="ACTIVE"/>
    <m/>
    <s v=""/>
    <m/>
    <d v="2026-07-15T09:30:25"/>
    <d v="2026-07-15T00:00:00"/>
    <x v="9"/>
    <x v="0"/>
    <n v="1"/>
    <n v="0"/>
    <x v="1964"/>
    <s v="Verónica Ortiz Rangel"/>
    <x v="2"/>
  </r>
  <r>
    <n v="2321"/>
    <n v="250"/>
    <n v="2"/>
    <n v="84.43"/>
    <n v="8.44"/>
    <n v="0"/>
    <n v="0.1"/>
    <s v="ACTIVE"/>
    <m/>
    <s v=""/>
    <m/>
    <d v="2026-07-15T11:37:39"/>
    <d v="2026-07-15T00:00:00"/>
    <x v="9"/>
    <x v="0"/>
    <n v="1"/>
    <n v="0"/>
    <x v="1965"/>
    <s v="Verónica Romero Chávez"/>
    <x v="1"/>
  </r>
  <r>
    <n v="2322"/>
    <n v="250"/>
    <n v="5"/>
    <n v="66.88"/>
    <n v="6.69"/>
    <n v="0"/>
    <n v="0.1"/>
    <s v="ACTIVE"/>
    <m/>
    <s v=""/>
    <m/>
    <d v="2026-07-15T12:29:16"/>
    <d v="2026-07-15T00:00:00"/>
    <x v="9"/>
    <x v="0"/>
    <n v="1"/>
    <n v="0"/>
    <x v="1966"/>
    <s v="Verónica Romero Chávez"/>
    <x v="2"/>
  </r>
  <r>
    <n v="2323"/>
    <n v="200"/>
    <n v="4"/>
    <n v="27.75"/>
    <n v="2.78"/>
    <n v="0"/>
    <n v="0.1"/>
    <s v="ACTIVE"/>
    <m/>
    <s v=""/>
    <m/>
    <d v="2026-07-15T14:42:56"/>
    <d v="2026-07-15T00:00:00"/>
    <x v="9"/>
    <x v="0"/>
    <n v="1"/>
    <n v="0"/>
    <x v="1967"/>
    <s v="Antonio Pérez Martínez"/>
    <x v="3"/>
  </r>
  <r>
    <n v="2324"/>
    <n v="285"/>
    <n v="4"/>
    <n v="26.89"/>
    <n v="2.69"/>
    <n v="0"/>
    <n v="0.1"/>
    <s v="ACTIVE"/>
    <m/>
    <s v=""/>
    <m/>
    <d v="2026-07-15T15:17:05"/>
    <d v="2026-07-15T00:00:00"/>
    <x v="9"/>
    <x v="0"/>
    <n v="1"/>
    <n v="0"/>
    <x v="898"/>
    <s v="Alicia Martínez Aguilar"/>
    <x v="3"/>
  </r>
  <r>
    <n v="2325"/>
    <n v="259"/>
    <n v="5"/>
    <n v="34.67"/>
    <n v="3.47"/>
    <n v="0"/>
    <n v="0.1"/>
    <s v="ACTIVE"/>
    <m/>
    <s v=""/>
    <m/>
    <d v="2026-07-15T16:35:17"/>
    <d v="2026-07-15T00:00:00"/>
    <x v="9"/>
    <x v="0"/>
    <n v="1"/>
    <n v="0"/>
    <x v="1968"/>
    <s v="Francisco Moreno García"/>
    <x v="2"/>
  </r>
  <r>
    <n v="2326"/>
    <n v="281"/>
    <n v="5"/>
    <n v="267.27999999999997"/>
    <n v="26.73"/>
    <n v="0"/>
    <n v="0.1"/>
    <s v="ACTIVE"/>
    <m/>
    <s v=""/>
    <m/>
    <d v="2026-07-15T16:54:38"/>
    <d v="2026-07-15T00:00:00"/>
    <x v="9"/>
    <x v="0"/>
    <n v="1"/>
    <n v="0"/>
    <x v="1969"/>
    <s v="Antonio Delgado Rodríguez"/>
    <x v="2"/>
  </r>
  <r>
    <n v="2327"/>
    <n v="267"/>
    <n v="5"/>
    <n v="53.14"/>
    <n v="5.31"/>
    <n v="0"/>
    <n v="0.1"/>
    <s v="ACTIVE"/>
    <m/>
    <s v=""/>
    <m/>
    <d v="2026-07-15T17:46:17"/>
    <d v="2026-07-15T00:00:00"/>
    <x v="9"/>
    <x v="0"/>
    <n v="1"/>
    <n v="0"/>
    <x v="1970"/>
    <s v="Lucía Ruiz Ruiz"/>
    <x v="2"/>
  </r>
  <r>
    <n v="2328"/>
    <n v="128"/>
    <n v="5"/>
    <n v="21.15"/>
    <n v="2.12"/>
    <n v="0"/>
    <n v="0.1"/>
    <s v="ACTIVE"/>
    <m/>
    <s v=""/>
    <m/>
    <d v="2026-07-16T07:11:14"/>
    <d v="2026-07-16T00:00:00"/>
    <x v="9"/>
    <x v="0"/>
    <n v="1"/>
    <n v="0"/>
    <x v="1201"/>
    <s v="Verónica Ortiz Rangel"/>
    <x v="2"/>
  </r>
  <r>
    <n v="2329"/>
    <n v="137"/>
    <n v="3"/>
    <n v="30.3"/>
    <n v="3.03"/>
    <n v="0"/>
    <n v="0.1"/>
    <s v="ACTIVE"/>
    <m/>
    <s v=""/>
    <m/>
    <d v="2026-07-16T08:21:15"/>
    <d v="2026-07-16T00:00:00"/>
    <x v="9"/>
    <x v="0"/>
    <n v="1"/>
    <n v="0"/>
    <x v="1044"/>
    <s v="Francisco Reyes Ruiz"/>
    <x v="0"/>
  </r>
  <r>
    <n v="2330"/>
    <n v="18"/>
    <n v="4"/>
    <n v="131.41"/>
    <n v="13.14"/>
    <n v="0"/>
    <n v="0.1"/>
    <s v="ACTIVE"/>
    <m/>
    <s v=""/>
    <m/>
    <d v="2026-07-16T09:11:06"/>
    <d v="2026-07-16T00:00:00"/>
    <x v="9"/>
    <x v="0"/>
    <n v="1"/>
    <n v="0"/>
    <x v="1971"/>
    <s v="Carlos Gómez Ávila"/>
    <x v="3"/>
  </r>
  <r>
    <n v="2331"/>
    <n v="229"/>
    <n v="4"/>
    <n v="40.119999999999997"/>
    <n v="0"/>
    <n v="1"/>
    <n v="0.1"/>
    <s v="ACTIVE"/>
    <m/>
    <s v=""/>
    <m/>
    <d v="2026-07-16T09:30:16"/>
    <d v="2026-07-16T00:00:00"/>
    <x v="9"/>
    <x v="1"/>
    <n v="1"/>
    <n v="0"/>
    <x v="1972"/>
    <s v="Verónica González Rodríguez"/>
    <x v="3"/>
  </r>
  <r>
    <n v="2332"/>
    <n v="98"/>
    <n v="5"/>
    <n v="67.489999999999995"/>
    <n v="6.75"/>
    <n v="0"/>
    <n v="0.1"/>
    <s v="ACTIVE"/>
    <m/>
    <s v=""/>
    <m/>
    <d v="2026-07-16T13:40:04"/>
    <d v="2026-07-16T00:00:00"/>
    <x v="9"/>
    <x v="0"/>
    <n v="1"/>
    <n v="0"/>
    <x v="1973"/>
    <s v="Antonio Rangel Delgado"/>
    <x v="2"/>
  </r>
  <r>
    <n v="2333"/>
    <n v="250"/>
    <n v="2"/>
    <n v="51.56"/>
    <n v="5.16"/>
    <n v="0"/>
    <n v="0.1"/>
    <s v="ACTIVE"/>
    <m/>
    <s v=""/>
    <m/>
    <d v="2026-07-16T16:34:38"/>
    <d v="2026-07-16T00:00:00"/>
    <x v="9"/>
    <x v="0"/>
    <n v="1"/>
    <n v="0"/>
    <x v="1974"/>
    <s v="Verónica Romero Chávez"/>
    <x v="1"/>
  </r>
  <r>
    <n v="2334"/>
    <n v="128"/>
    <n v="4"/>
    <n v="20.149999999999999"/>
    <n v="2.02"/>
    <n v="0"/>
    <n v="0.1"/>
    <s v="ACTIVE"/>
    <m/>
    <s v=""/>
    <m/>
    <d v="2026-07-16T16:59:15"/>
    <d v="2026-07-16T00:00:00"/>
    <x v="9"/>
    <x v="0"/>
    <n v="1"/>
    <n v="0"/>
    <x v="1975"/>
    <s v="Verónica Ortiz Rangel"/>
    <x v="3"/>
  </r>
  <r>
    <n v="2335"/>
    <n v="243"/>
    <n v="5"/>
    <n v="58.13"/>
    <n v="5.81"/>
    <n v="0"/>
    <n v="0.1"/>
    <s v="ACTIVE"/>
    <m/>
    <s v=""/>
    <m/>
    <d v="2026-07-17T08:51:23"/>
    <d v="2026-07-17T00:00:00"/>
    <x v="9"/>
    <x v="0"/>
    <n v="1"/>
    <n v="0"/>
    <x v="1976"/>
    <s v="Raúl García Díaz"/>
    <x v="2"/>
  </r>
  <r>
    <n v="2336"/>
    <n v="137"/>
    <n v="5"/>
    <n v="33.06"/>
    <n v="3.31"/>
    <n v="0"/>
    <n v="0.1"/>
    <s v="ACTIVE"/>
    <m/>
    <s v=""/>
    <m/>
    <d v="2026-07-17T12:07:44"/>
    <d v="2026-07-17T00:00:00"/>
    <x v="9"/>
    <x v="0"/>
    <n v="1"/>
    <n v="0"/>
    <x v="1977"/>
    <s v="Francisco Reyes Ruiz"/>
    <x v="2"/>
  </r>
  <r>
    <n v="2337"/>
    <n v="134"/>
    <n v="4"/>
    <n v="60.05"/>
    <n v="6.01"/>
    <n v="0"/>
    <n v="0.1"/>
    <s v="ACTIVE"/>
    <m/>
    <s v=""/>
    <m/>
    <d v="2026-07-17T12:51:55"/>
    <d v="2026-07-17T00:00:00"/>
    <x v="9"/>
    <x v="0"/>
    <n v="1"/>
    <n v="0"/>
    <x v="1978"/>
    <s v="Javier Moreno Ortiz"/>
    <x v="3"/>
  </r>
  <r>
    <n v="2338"/>
    <n v="48"/>
    <n v="2"/>
    <n v="46.48"/>
    <n v="4.6500000000000004"/>
    <n v="0"/>
    <n v="0.1"/>
    <s v="ACTIVE"/>
    <m/>
    <s v=""/>
    <m/>
    <d v="2026-07-17T16:02:12"/>
    <d v="2026-07-17T00:00:00"/>
    <x v="9"/>
    <x v="0"/>
    <n v="1"/>
    <n v="0"/>
    <x v="1979"/>
    <s v="Carlos Medina Quiñones"/>
    <x v="1"/>
  </r>
  <r>
    <n v="2339"/>
    <n v="18"/>
    <n v="5"/>
    <n v="102.95"/>
    <n v="10.3"/>
    <n v="0"/>
    <n v="0.1"/>
    <s v="ACTIVE"/>
    <m/>
    <s v=""/>
    <m/>
    <d v="2026-07-17T18:25:37"/>
    <d v="2026-07-17T00:00:00"/>
    <x v="9"/>
    <x v="0"/>
    <n v="1"/>
    <n v="0"/>
    <x v="1980"/>
    <s v="Carlos Gómez Ávila"/>
    <x v="2"/>
  </r>
  <r>
    <n v="2340"/>
    <n v="128"/>
    <n v="4"/>
    <n v="35.51"/>
    <n v="3.55"/>
    <n v="0"/>
    <n v="0.1"/>
    <s v="ACTIVE"/>
    <m/>
    <s v=""/>
    <m/>
    <d v="2026-07-17T19:28:40"/>
    <d v="2026-07-17T00:00:00"/>
    <x v="9"/>
    <x v="0"/>
    <n v="1"/>
    <n v="0"/>
    <x v="1981"/>
    <s v="Verónica Ortiz Rangel"/>
    <x v="3"/>
  </r>
  <r>
    <n v="2341"/>
    <n v="133"/>
    <n v="5"/>
    <n v="78.959999999999994"/>
    <n v="7.9"/>
    <n v="0"/>
    <n v="0.1"/>
    <s v="ACTIVE"/>
    <m/>
    <s v=""/>
    <m/>
    <d v="2026-07-18T08:09:24"/>
    <d v="2026-07-18T00:00:00"/>
    <x v="9"/>
    <x v="0"/>
    <n v="1"/>
    <n v="0"/>
    <x v="1982"/>
    <s v="Silvia Villalobos Medina"/>
    <x v="2"/>
  </r>
  <r>
    <n v="2342"/>
    <n v="227"/>
    <n v="2"/>
    <n v="30.43"/>
    <n v="3.04"/>
    <n v="0"/>
    <n v="0.1"/>
    <s v="ACTIVE"/>
    <m/>
    <s v=""/>
    <m/>
    <d v="2026-07-18T10:09:17"/>
    <d v="2026-07-18T00:00:00"/>
    <x v="9"/>
    <x v="0"/>
    <n v="1"/>
    <n v="0"/>
    <x v="1983"/>
    <s v="Alicia Mendoza Rangel"/>
    <x v="1"/>
  </r>
  <r>
    <n v="2343"/>
    <n v="43"/>
    <n v="3"/>
    <n v="79.83"/>
    <n v="7.98"/>
    <n v="0"/>
    <n v="0.1"/>
    <s v="ACTIVE"/>
    <m/>
    <s v=""/>
    <m/>
    <d v="2026-07-18T16:14:44"/>
    <d v="2026-07-18T00:00:00"/>
    <x v="9"/>
    <x v="0"/>
    <n v="1"/>
    <n v="0"/>
    <x v="1984"/>
    <s v="Silvia Ortiz Salazar"/>
    <x v="0"/>
  </r>
  <r>
    <n v="2344"/>
    <n v="123"/>
    <n v="5"/>
    <n v="28.76"/>
    <n v="2.88"/>
    <n v="0"/>
    <n v="0.1"/>
    <s v="ACTIVE"/>
    <m/>
    <s v=""/>
    <m/>
    <d v="2026-07-18T17:46:25"/>
    <d v="2026-07-18T00:00:00"/>
    <x v="9"/>
    <x v="0"/>
    <n v="1"/>
    <n v="0"/>
    <x v="1246"/>
    <s v="Carmen Vázquez González"/>
    <x v="2"/>
  </r>
  <r>
    <n v="2345"/>
    <n v="263"/>
    <n v="4"/>
    <n v="12.83"/>
    <n v="1.28"/>
    <n v="0"/>
    <n v="0.1"/>
    <s v="ACTIVE"/>
    <m/>
    <s v=""/>
    <m/>
    <d v="2026-07-19T08:46:06"/>
    <d v="2026-07-19T00:00:00"/>
    <x v="9"/>
    <x v="0"/>
    <n v="1"/>
    <n v="0"/>
    <x v="1985"/>
    <s v="Francisco Delgado Zacatecas"/>
    <x v="3"/>
  </r>
  <r>
    <n v="2346"/>
    <n v="134"/>
    <n v="3"/>
    <n v="113.4"/>
    <n v="11.34"/>
    <n v="0"/>
    <n v="0.1"/>
    <s v="ACTIVE"/>
    <m/>
    <s v=""/>
    <m/>
    <d v="2026-07-19T08:54:38"/>
    <d v="2026-07-19T00:00:00"/>
    <x v="9"/>
    <x v="0"/>
    <n v="1"/>
    <n v="0"/>
    <x v="1986"/>
    <s v="Javier Moreno Ortiz"/>
    <x v="0"/>
  </r>
  <r>
    <n v="2347"/>
    <n v="197"/>
    <n v="4"/>
    <n v="86.79"/>
    <n v="8.68"/>
    <n v="0"/>
    <n v="0.1"/>
    <s v="ACTIVE"/>
    <m/>
    <s v=""/>
    <m/>
    <d v="2026-07-19T09:00:40"/>
    <d v="2026-07-19T00:00:00"/>
    <x v="9"/>
    <x v="0"/>
    <n v="1"/>
    <n v="0"/>
    <x v="1987"/>
    <s v="Raúl Hernández Santoyo"/>
    <x v="3"/>
  </r>
  <r>
    <n v="2348"/>
    <n v="128"/>
    <n v="3"/>
    <n v="38.33"/>
    <n v="3.83"/>
    <n v="0"/>
    <n v="0.1"/>
    <s v="ACTIVE"/>
    <m/>
    <s v=""/>
    <m/>
    <d v="2026-07-20T09:12:52"/>
    <d v="2026-07-20T00:00:00"/>
    <x v="9"/>
    <x v="0"/>
    <n v="1"/>
    <n v="0"/>
    <x v="1192"/>
    <s v="Verónica Ortiz Rangel"/>
    <x v="0"/>
  </r>
  <r>
    <n v="2349"/>
    <n v="128"/>
    <n v="5"/>
    <n v="39.58"/>
    <n v="3.96"/>
    <n v="0"/>
    <n v="0.1"/>
    <s v="CANCELED"/>
    <n v="5"/>
    <s v="Solicitud del cliente"/>
    <d v="2026-07-21T14:36:32"/>
    <d v="2026-07-20T10:36:32"/>
    <d v="2026-07-20T00:00:00"/>
    <x v="9"/>
    <x v="0"/>
    <n v="1"/>
    <n v="1"/>
    <x v="32"/>
    <s v="Verónica Ortiz Rangel"/>
    <x v="2"/>
  </r>
  <r>
    <n v="2350"/>
    <n v="136"/>
    <n v="4"/>
    <n v="56.85"/>
    <n v="5.69"/>
    <n v="0"/>
    <n v="0.1"/>
    <s v="ACTIVE"/>
    <m/>
    <s v=""/>
    <m/>
    <d v="2026-07-20T10:41:15"/>
    <d v="2026-07-20T00:00:00"/>
    <x v="9"/>
    <x v="0"/>
    <n v="1"/>
    <n v="0"/>
    <x v="1988"/>
    <s v="Guadalupe Castillo Rangel"/>
    <x v="3"/>
  </r>
  <r>
    <n v="2351"/>
    <n v="224"/>
    <n v="5"/>
    <n v="51.84"/>
    <n v="5.18"/>
    <n v="0"/>
    <n v="0.1"/>
    <s v="ACTIVE"/>
    <m/>
    <s v=""/>
    <m/>
    <d v="2026-07-20T11:46:59"/>
    <d v="2026-07-20T00:00:00"/>
    <x v="9"/>
    <x v="0"/>
    <n v="1"/>
    <n v="0"/>
    <x v="1989"/>
    <s v="Sergio López Ramírez"/>
    <x v="2"/>
  </r>
  <r>
    <n v="2352"/>
    <n v="137"/>
    <n v="5"/>
    <n v="35.1"/>
    <n v="3.51"/>
    <n v="0"/>
    <n v="0.1"/>
    <s v="ACTIVE"/>
    <m/>
    <s v=""/>
    <m/>
    <d v="2026-07-20T13:27:58"/>
    <d v="2026-07-20T00:00:00"/>
    <x v="9"/>
    <x v="0"/>
    <n v="1"/>
    <n v="0"/>
    <x v="1567"/>
    <s v="Francisco Reyes Ruiz"/>
    <x v="2"/>
  </r>
  <r>
    <n v="2353"/>
    <n v="134"/>
    <n v="5"/>
    <n v="115.34"/>
    <n v="11.53"/>
    <n v="0"/>
    <n v="0.1"/>
    <s v="ACTIVE"/>
    <m/>
    <s v=""/>
    <m/>
    <d v="2026-07-20T15:17:17"/>
    <d v="2026-07-20T00:00:00"/>
    <x v="9"/>
    <x v="0"/>
    <n v="1"/>
    <n v="0"/>
    <x v="1990"/>
    <s v="Javier Moreno Ortiz"/>
    <x v="2"/>
  </r>
  <r>
    <n v="2354"/>
    <n v="134"/>
    <n v="2"/>
    <n v="74.31"/>
    <n v="7.43"/>
    <n v="0"/>
    <n v="0.1"/>
    <s v="ACTIVE"/>
    <m/>
    <s v=""/>
    <m/>
    <d v="2026-07-21T10:14:11"/>
    <d v="2026-07-21T00:00:00"/>
    <x v="9"/>
    <x v="0"/>
    <n v="1"/>
    <n v="0"/>
    <x v="332"/>
    <s v="Javier Moreno Ortiz"/>
    <x v="1"/>
  </r>
  <r>
    <n v="2355"/>
    <n v="170"/>
    <n v="4"/>
    <n v="215.95"/>
    <n v="21.6"/>
    <n v="0"/>
    <n v="0.1"/>
    <s v="ACTIVE"/>
    <m/>
    <s v=""/>
    <m/>
    <d v="2026-07-21T10:15:46"/>
    <d v="2026-07-21T00:00:00"/>
    <x v="9"/>
    <x v="0"/>
    <n v="1"/>
    <n v="0"/>
    <x v="1991"/>
    <s v="Jorge Cruz Sánchez"/>
    <x v="3"/>
  </r>
  <r>
    <n v="2356"/>
    <n v="106"/>
    <n v="4"/>
    <n v="88.17"/>
    <n v="8.82"/>
    <n v="0"/>
    <n v="0.1"/>
    <s v="ACTIVE"/>
    <m/>
    <s v=""/>
    <m/>
    <d v="2026-07-21T10:44:40"/>
    <d v="2026-07-21T00:00:00"/>
    <x v="9"/>
    <x v="0"/>
    <n v="1"/>
    <n v="0"/>
    <x v="1992"/>
    <s v="Isabel García Santoyo"/>
    <x v="3"/>
  </r>
  <r>
    <n v="2357"/>
    <n v="150"/>
    <n v="3"/>
    <n v="82.18"/>
    <n v="8.2200000000000006"/>
    <n v="0"/>
    <n v="0.1"/>
    <s v="ACTIVE"/>
    <m/>
    <s v=""/>
    <m/>
    <d v="2026-07-21T11:25:52"/>
    <d v="2026-07-21T00:00:00"/>
    <x v="9"/>
    <x v="0"/>
    <n v="1"/>
    <n v="0"/>
    <x v="1993"/>
    <s v="Daniel Díaz Quiñones"/>
    <x v="0"/>
  </r>
  <r>
    <n v="2358"/>
    <n v="250"/>
    <n v="4"/>
    <n v="59.15"/>
    <n v="5.92"/>
    <n v="0"/>
    <n v="0.1"/>
    <s v="ACTIVE"/>
    <m/>
    <s v=""/>
    <m/>
    <d v="2026-07-21T12:07:59"/>
    <d v="2026-07-21T00:00:00"/>
    <x v="9"/>
    <x v="0"/>
    <n v="1"/>
    <n v="0"/>
    <x v="1994"/>
    <s v="Verónica Romero Chávez"/>
    <x v="3"/>
  </r>
  <r>
    <n v="2359"/>
    <n v="184"/>
    <n v="2"/>
    <n v="53.15"/>
    <n v="5.32"/>
    <n v="0"/>
    <n v="0.1"/>
    <s v="ACTIVE"/>
    <m/>
    <s v=""/>
    <m/>
    <d v="2026-07-21T13:17:56"/>
    <d v="2026-07-21T00:00:00"/>
    <x v="9"/>
    <x v="0"/>
    <n v="1"/>
    <n v="0"/>
    <x v="1995"/>
    <s v="Teresa Jiménez Ruiz"/>
    <x v="1"/>
  </r>
  <r>
    <n v="2360"/>
    <n v="250"/>
    <n v="4"/>
    <n v="177.51"/>
    <n v="17.75"/>
    <n v="0"/>
    <n v="0.1"/>
    <s v="ACTIVE"/>
    <m/>
    <s v=""/>
    <m/>
    <d v="2026-07-21T15:13:24"/>
    <d v="2026-07-21T00:00:00"/>
    <x v="9"/>
    <x v="0"/>
    <n v="1"/>
    <n v="0"/>
    <x v="1996"/>
    <s v="Verónica Romero Chávez"/>
    <x v="3"/>
  </r>
  <r>
    <n v="2361"/>
    <n v="261"/>
    <n v="3"/>
    <n v="75.55"/>
    <n v="7.56"/>
    <n v="0"/>
    <n v="0.1"/>
    <s v="ACTIVE"/>
    <m/>
    <s v=""/>
    <m/>
    <d v="2026-07-21T18:13:37"/>
    <d v="2026-07-21T00:00:00"/>
    <x v="9"/>
    <x v="0"/>
    <n v="1"/>
    <n v="0"/>
    <x v="1997"/>
    <s v="Carmen Moreno Delgado"/>
    <x v="0"/>
  </r>
  <r>
    <n v="2362"/>
    <n v="134"/>
    <n v="3"/>
    <n v="104.03"/>
    <n v="10.4"/>
    <n v="0"/>
    <n v="0.1"/>
    <s v="ACTIVE"/>
    <m/>
    <s v=""/>
    <m/>
    <d v="2026-07-21T18:26:05"/>
    <d v="2026-07-21T00:00:00"/>
    <x v="9"/>
    <x v="0"/>
    <n v="1"/>
    <n v="0"/>
    <x v="1998"/>
    <s v="Javier Moreno Ortiz"/>
    <x v="0"/>
  </r>
  <r>
    <n v="2363"/>
    <n v="128"/>
    <n v="2"/>
    <n v="24.5"/>
    <n v="2.4500000000000002"/>
    <n v="0"/>
    <n v="0.1"/>
    <s v="ACTIVE"/>
    <m/>
    <s v=""/>
    <m/>
    <d v="2026-07-22T09:34:34"/>
    <d v="2026-07-22T00:00:00"/>
    <x v="9"/>
    <x v="0"/>
    <n v="1"/>
    <n v="0"/>
    <x v="1999"/>
    <s v="Verónica Ortiz Rangel"/>
    <x v="1"/>
  </r>
  <r>
    <n v="2364"/>
    <n v="230"/>
    <n v="5"/>
    <n v="271.49"/>
    <n v="27.15"/>
    <n v="0"/>
    <n v="0.1"/>
    <s v="ACTIVE"/>
    <m/>
    <s v=""/>
    <m/>
    <d v="2026-07-22T12:38:12"/>
    <d v="2026-07-22T00:00:00"/>
    <x v="9"/>
    <x v="0"/>
    <n v="1"/>
    <n v="0"/>
    <x v="2000"/>
    <s v="Antonio Chávez Quiñones"/>
    <x v="2"/>
  </r>
  <r>
    <n v="2365"/>
    <n v="106"/>
    <n v="4"/>
    <n v="139.91999999999999"/>
    <n v="13.99"/>
    <n v="0"/>
    <n v="0.1"/>
    <s v="ACTIVE"/>
    <m/>
    <s v=""/>
    <m/>
    <d v="2026-07-22T12:57:42"/>
    <d v="2026-07-22T00:00:00"/>
    <x v="9"/>
    <x v="0"/>
    <n v="1"/>
    <n v="0"/>
    <x v="2001"/>
    <s v="Isabel García Santoyo"/>
    <x v="3"/>
  </r>
  <r>
    <n v="2366"/>
    <n v="134"/>
    <n v="5"/>
    <n v="89.96"/>
    <n v="9"/>
    <n v="0"/>
    <n v="0.1"/>
    <s v="ACTIVE"/>
    <m/>
    <s v=""/>
    <m/>
    <d v="2026-07-22T15:02:08"/>
    <d v="2026-07-22T00:00:00"/>
    <x v="9"/>
    <x v="0"/>
    <n v="1"/>
    <n v="0"/>
    <x v="2002"/>
    <s v="Javier Moreno Ortiz"/>
    <x v="2"/>
  </r>
  <r>
    <n v="2367"/>
    <n v="39"/>
    <n v="2"/>
    <n v="187.3"/>
    <n v="18.73"/>
    <n v="0"/>
    <n v="0.1"/>
    <s v="ACTIVE"/>
    <m/>
    <s v=""/>
    <m/>
    <d v="2026-07-22T15:59:25"/>
    <d v="2026-07-22T00:00:00"/>
    <x v="9"/>
    <x v="0"/>
    <n v="1"/>
    <n v="0"/>
    <x v="2003"/>
    <s v="Guadalupe García Quiñones"/>
    <x v="1"/>
  </r>
  <r>
    <n v="2368"/>
    <n v="250"/>
    <n v="5"/>
    <n v="84.52"/>
    <n v="8.4499999999999993"/>
    <n v="0"/>
    <n v="0.1"/>
    <s v="ACTIVE"/>
    <m/>
    <s v=""/>
    <m/>
    <d v="2026-07-22T17:56:22"/>
    <d v="2026-07-22T00:00:00"/>
    <x v="9"/>
    <x v="0"/>
    <n v="1"/>
    <n v="0"/>
    <x v="2004"/>
    <s v="Verónica Romero Chávez"/>
    <x v="2"/>
  </r>
  <r>
    <n v="2369"/>
    <n v="66"/>
    <n v="4"/>
    <n v="103.46"/>
    <n v="10.35"/>
    <n v="0"/>
    <n v="0.1"/>
    <s v="ACTIVE"/>
    <m/>
    <s v=""/>
    <m/>
    <d v="2026-07-22T19:43:16"/>
    <d v="2026-07-22T00:00:00"/>
    <x v="9"/>
    <x v="0"/>
    <n v="1"/>
    <n v="0"/>
    <x v="2005"/>
    <s v="Guadalupe Morales Gutiérrez"/>
    <x v="3"/>
  </r>
  <r>
    <n v="2370"/>
    <n v="121"/>
    <n v="5"/>
    <n v="23.03"/>
    <n v="2.2999999999999998"/>
    <n v="0"/>
    <n v="0.1"/>
    <s v="ACTIVE"/>
    <m/>
    <s v=""/>
    <m/>
    <d v="2026-07-23T10:16:37"/>
    <d v="2026-07-23T00:00:00"/>
    <x v="9"/>
    <x v="0"/>
    <n v="1"/>
    <n v="0"/>
    <x v="899"/>
    <s v="Fernando González Ortiz"/>
    <x v="2"/>
  </r>
  <r>
    <n v="2371"/>
    <n v="128"/>
    <n v="4"/>
    <n v="24.74"/>
    <n v="2.4700000000000002"/>
    <n v="0"/>
    <n v="0.1"/>
    <s v="ACTIVE"/>
    <m/>
    <s v=""/>
    <m/>
    <d v="2026-07-23T13:36:50"/>
    <d v="2026-07-23T00:00:00"/>
    <x v="9"/>
    <x v="0"/>
    <n v="1"/>
    <n v="0"/>
    <x v="2006"/>
    <s v="Verónica Ortiz Rangel"/>
    <x v="3"/>
  </r>
  <r>
    <n v="2372"/>
    <n v="233"/>
    <n v="3"/>
    <n v="94.96"/>
    <n v="9.5"/>
    <n v="0"/>
    <n v="0.1"/>
    <s v="ACTIVE"/>
    <m/>
    <s v=""/>
    <m/>
    <d v="2026-07-24T07:02:37"/>
    <d v="2026-07-24T00:00:00"/>
    <x v="9"/>
    <x v="0"/>
    <n v="1"/>
    <n v="0"/>
    <x v="2007"/>
    <s v="Guadalupe Rangel Moreno"/>
    <x v="0"/>
  </r>
  <r>
    <n v="2373"/>
    <n v="137"/>
    <n v="5"/>
    <n v="22.77"/>
    <n v="2.2799999999999998"/>
    <n v="0"/>
    <n v="0.1"/>
    <s v="ACTIVE"/>
    <m/>
    <s v=""/>
    <m/>
    <d v="2026-07-24T09:26:07"/>
    <d v="2026-07-24T00:00:00"/>
    <x v="9"/>
    <x v="0"/>
    <n v="1"/>
    <n v="0"/>
    <x v="340"/>
    <s v="Francisco Reyes Ruiz"/>
    <x v="2"/>
  </r>
  <r>
    <n v="2374"/>
    <n v="86"/>
    <n v="2"/>
    <n v="11.5"/>
    <n v="1.1499999999999999"/>
    <n v="0"/>
    <n v="0.1"/>
    <s v="ACTIVE"/>
    <m/>
    <s v=""/>
    <m/>
    <d v="2026-07-24T14:48:43"/>
    <d v="2026-07-24T00:00:00"/>
    <x v="9"/>
    <x v="0"/>
    <n v="1"/>
    <n v="0"/>
    <x v="2008"/>
    <s v="Óscar Romero Ruiz"/>
    <x v="1"/>
  </r>
  <r>
    <n v="2375"/>
    <n v="86"/>
    <n v="2"/>
    <n v="45.8"/>
    <n v="4.58"/>
    <n v="0"/>
    <n v="0.1"/>
    <s v="ACTIVE"/>
    <m/>
    <s v=""/>
    <m/>
    <d v="2026-07-24T15:06:14"/>
    <d v="2026-07-24T00:00:00"/>
    <x v="9"/>
    <x v="0"/>
    <n v="1"/>
    <n v="0"/>
    <x v="2009"/>
    <s v="Óscar Romero Ruiz"/>
    <x v="1"/>
  </r>
  <r>
    <n v="2376"/>
    <n v="223"/>
    <n v="3"/>
    <n v="24.74"/>
    <n v="2.4700000000000002"/>
    <n v="0"/>
    <n v="0.1"/>
    <s v="ACTIVE"/>
    <m/>
    <s v=""/>
    <m/>
    <d v="2026-07-24T17:33:52"/>
    <d v="2026-07-24T00:00:00"/>
    <x v="9"/>
    <x v="0"/>
    <n v="1"/>
    <n v="0"/>
    <x v="2006"/>
    <s v="José Castillo Ortiz"/>
    <x v="0"/>
  </r>
  <r>
    <n v="2377"/>
    <n v="50"/>
    <n v="5"/>
    <n v="58.41"/>
    <n v="5.84"/>
    <n v="0"/>
    <n v="0.1"/>
    <s v="ACTIVE"/>
    <m/>
    <s v=""/>
    <m/>
    <d v="2026-07-24T17:52:31"/>
    <d v="2026-07-24T00:00:00"/>
    <x v="9"/>
    <x v="0"/>
    <n v="1"/>
    <n v="0"/>
    <x v="2010"/>
    <s v="Roberto Moreno López"/>
    <x v="2"/>
  </r>
  <r>
    <n v="2378"/>
    <n v="65"/>
    <n v="4"/>
    <n v="22.94"/>
    <n v="2.29"/>
    <n v="0"/>
    <n v="0.1"/>
    <s v="ACTIVE"/>
    <m/>
    <s v=""/>
    <m/>
    <d v="2026-07-25T08:04:10"/>
    <d v="2026-07-25T00:00:00"/>
    <x v="9"/>
    <x v="0"/>
    <n v="1"/>
    <n v="0"/>
    <x v="2011"/>
    <s v="Gabriela Flores Chávez"/>
    <x v="3"/>
  </r>
  <r>
    <n v="2379"/>
    <n v="285"/>
    <n v="5"/>
    <n v="25.93"/>
    <n v="2.59"/>
    <n v="0"/>
    <n v="0.1"/>
    <s v="ACTIVE"/>
    <m/>
    <s v=""/>
    <m/>
    <d v="2026-07-25T08:59:19"/>
    <d v="2026-07-25T00:00:00"/>
    <x v="9"/>
    <x v="0"/>
    <n v="1"/>
    <n v="0"/>
    <x v="2012"/>
    <s v="Alicia Martínez Aguilar"/>
    <x v="2"/>
  </r>
  <r>
    <n v="2380"/>
    <n v="39"/>
    <n v="2"/>
    <n v="254.78"/>
    <n v="25.48"/>
    <n v="0"/>
    <n v="0.1"/>
    <s v="ACTIVE"/>
    <m/>
    <s v=""/>
    <m/>
    <d v="2026-07-25T09:03:45"/>
    <d v="2026-07-25T00:00:00"/>
    <x v="9"/>
    <x v="0"/>
    <n v="1"/>
    <n v="0"/>
    <x v="2013"/>
    <s v="Guadalupe García Quiñones"/>
    <x v="1"/>
  </r>
  <r>
    <n v="2381"/>
    <n v="137"/>
    <n v="5"/>
    <n v="14.06"/>
    <n v="0"/>
    <n v="1"/>
    <n v="0.1"/>
    <s v="ACTIVE"/>
    <m/>
    <s v=""/>
    <m/>
    <d v="2026-07-25T09:49:55"/>
    <d v="2026-07-25T00:00:00"/>
    <x v="9"/>
    <x v="1"/>
    <n v="1"/>
    <n v="0"/>
    <x v="2014"/>
    <s v="Francisco Reyes Ruiz"/>
    <x v="2"/>
  </r>
  <r>
    <n v="2382"/>
    <n v="250"/>
    <n v="4"/>
    <n v="76.81"/>
    <n v="7.68"/>
    <n v="0"/>
    <n v="0.1"/>
    <s v="ACTIVE"/>
    <m/>
    <s v=""/>
    <m/>
    <d v="2026-07-25T10:09:23"/>
    <d v="2026-07-25T00:00:00"/>
    <x v="9"/>
    <x v="0"/>
    <n v="1"/>
    <n v="0"/>
    <x v="2015"/>
    <s v="Verónica Romero Chávez"/>
    <x v="3"/>
  </r>
  <r>
    <n v="2383"/>
    <n v="106"/>
    <n v="3"/>
    <n v="104.54"/>
    <n v="10.45"/>
    <n v="0"/>
    <n v="0.1"/>
    <s v="ACTIVE"/>
    <m/>
    <s v=""/>
    <m/>
    <d v="2026-07-25T11:33:48"/>
    <d v="2026-07-25T00:00:00"/>
    <x v="9"/>
    <x v="0"/>
    <n v="1"/>
    <n v="0"/>
    <x v="1693"/>
    <s v="Isabel García Santoyo"/>
    <x v="0"/>
  </r>
  <r>
    <n v="2384"/>
    <n v="229"/>
    <n v="3"/>
    <n v="81.67"/>
    <n v="8.17"/>
    <n v="0"/>
    <n v="0.1"/>
    <s v="ACTIVE"/>
    <m/>
    <s v=""/>
    <m/>
    <d v="2026-07-25T11:40:16"/>
    <d v="2026-07-25T00:00:00"/>
    <x v="9"/>
    <x v="0"/>
    <n v="1"/>
    <n v="0"/>
    <x v="2016"/>
    <s v="Verónica González Rodríguez"/>
    <x v="0"/>
  </r>
  <r>
    <n v="2385"/>
    <n v="229"/>
    <n v="3"/>
    <n v="110.34"/>
    <n v="11.03"/>
    <n v="0"/>
    <n v="0.1"/>
    <s v="ACTIVE"/>
    <m/>
    <s v=""/>
    <m/>
    <d v="2026-07-25T11:51:32"/>
    <d v="2026-07-25T00:00:00"/>
    <x v="9"/>
    <x v="0"/>
    <n v="1"/>
    <n v="0"/>
    <x v="2017"/>
    <s v="Verónica González Rodríguez"/>
    <x v="0"/>
  </r>
  <r>
    <n v="2386"/>
    <n v="250"/>
    <n v="2"/>
    <n v="116.8"/>
    <n v="0"/>
    <n v="1"/>
    <n v="0.1"/>
    <s v="ACTIVE"/>
    <m/>
    <s v=""/>
    <m/>
    <d v="2026-07-25T11:58:29"/>
    <d v="2026-07-25T00:00:00"/>
    <x v="9"/>
    <x v="1"/>
    <n v="1"/>
    <n v="0"/>
    <x v="2018"/>
    <s v="Verónica Romero Chávez"/>
    <x v="1"/>
  </r>
  <r>
    <n v="2387"/>
    <n v="65"/>
    <n v="4"/>
    <n v="29.47"/>
    <n v="2.95"/>
    <n v="0"/>
    <n v="0.1"/>
    <s v="ACTIVE"/>
    <m/>
    <s v=""/>
    <m/>
    <d v="2026-07-25T12:08:13"/>
    <d v="2026-07-25T00:00:00"/>
    <x v="9"/>
    <x v="0"/>
    <n v="1"/>
    <n v="0"/>
    <x v="2019"/>
    <s v="Gabriela Flores Chávez"/>
    <x v="3"/>
  </r>
  <r>
    <n v="2388"/>
    <n v="56"/>
    <n v="3"/>
    <n v="45.72"/>
    <n v="4.57"/>
    <n v="0"/>
    <n v="0.1"/>
    <s v="ACTIVE"/>
    <m/>
    <s v=""/>
    <m/>
    <d v="2026-07-25T13:03:30"/>
    <d v="2026-07-25T00:00:00"/>
    <x v="9"/>
    <x v="0"/>
    <n v="1"/>
    <n v="0"/>
    <x v="2020"/>
    <s v="Carlos Ortiz Moreno"/>
    <x v="0"/>
  </r>
  <r>
    <n v="2389"/>
    <n v="72"/>
    <n v="5"/>
    <n v="20.79"/>
    <n v="2.08"/>
    <n v="0"/>
    <n v="0.1"/>
    <s v="ACTIVE"/>
    <m/>
    <s v=""/>
    <m/>
    <d v="2026-07-25T14:24:49"/>
    <d v="2026-07-25T00:00:00"/>
    <x v="9"/>
    <x v="0"/>
    <n v="1"/>
    <n v="0"/>
    <x v="2021"/>
    <s v="Miguel Castillo Morales"/>
    <x v="2"/>
  </r>
  <r>
    <n v="2390"/>
    <n v="250"/>
    <n v="2"/>
    <n v="40.93"/>
    <n v="4.09"/>
    <n v="0"/>
    <n v="0.1"/>
    <s v="ACTIVE"/>
    <m/>
    <s v=""/>
    <m/>
    <d v="2026-07-25T17:00:32"/>
    <d v="2026-07-25T00:00:00"/>
    <x v="9"/>
    <x v="0"/>
    <n v="1"/>
    <n v="0"/>
    <x v="2022"/>
    <s v="Verónica Romero Chávez"/>
    <x v="1"/>
  </r>
  <r>
    <n v="2391"/>
    <n v="285"/>
    <n v="2"/>
    <n v="57.72"/>
    <n v="5.77"/>
    <n v="0"/>
    <n v="0.1"/>
    <s v="ACTIVE"/>
    <m/>
    <s v=""/>
    <m/>
    <d v="2026-07-25T17:03:54"/>
    <d v="2026-07-25T00:00:00"/>
    <x v="9"/>
    <x v="0"/>
    <n v="1"/>
    <n v="0"/>
    <x v="2023"/>
    <s v="Alicia Martínez Aguilar"/>
    <x v="1"/>
  </r>
  <r>
    <n v="2392"/>
    <n v="75"/>
    <n v="2"/>
    <n v="109.54"/>
    <n v="10.95"/>
    <n v="0"/>
    <n v="0.1"/>
    <s v="ACTIVE"/>
    <m/>
    <s v=""/>
    <m/>
    <d v="2026-07-25T17:59:30"/>
    <d v="2026-07-25T00:00:00"/>
    <x v="9"/>
    <x v="0"/>
    <n v="1"/>
    <n v="0"/>
    <x v="2024"/>
    <s v="Guadalupe Romero Ortiz"/>
    <x v="1"/>
  </r>
  <r>
    <n v="2393"/>
    <n v="91"/>
    <n v="3"/>
    <n v="13.92"/>
    <n v="1.39"/>
    <n v="0"/>
    <n v="0.1"/>
    <s v="ACTIVE"/>
    <m/>
    <s v=""/>
    <m/>
    <d v="2026-07-26T09:24:07"/>
    <d v="2026-07-26T00:00:00"/>
    <x v="9"/>
    <x v="0"/>
    <n v="1"/>
    <n v="0"/>
    <x v="2025"/>
    <s v="Silvia Gómez Rodríguez"/>
    <x v="0"/>
  </r>
  <r>
    <n v="2394"/>
    <n v="185"/>
    <n v="2"/>
    <n v="41.08"/>
    <n v="4.1100000000000003"/>
    <n v="0"/>
    <n v="0.1"/>
    <s v="ACTIVE"/>
    <m/>
    <s v=""/>
    <m/>
    <d v="2026-07-26T10:53:35"/>
    <d v="2026-07-26T00:00:00"/>
    <x v="9"/>
    <x v="0"/>
    <n v="1"/>
    <n v="0"/>
    <x v="2026"/>
    <s v="Teresa Martínez González"/>
    <x v="1"/>
  </r>
  <r>
    <n v="2395"/>
    <n v="87"/>
    <n v="4"/>
    <n v="139.87"/>
    <n v="13.99"/>
    <n v="0"/>
    <n v="0.1"/>
    <s v="ACTIVE"/>
    <m/>
    <s v=""/>
    <m/>
    <d v="2026-07-26T14:36:52"/>
    <d v="2026-07-26T00:00:00"/>
    <x v="9"/>
    <x v="0"/>
    <n v="1"/>
    <n v="0"/>
    <x v="2027"/>
    <s v="Antonio Reyes Romero"/>
    <x v="3"/>
  </r>
  <r>
    <n v="2396"/>
    <n v="145"/>
    <n v="2"/>
    <n v="214.11"/>
    <n v="21.41"/>
    <n v="0"/>
    <n v="0.1"/>
    <s v="ACTIVE"/>
    <m/>
    <s v=""/>
    <m/>
    <d v="2026-07-26T15:03:23"/>
    <d v="2026-07-26T00:00:00"/>
    <x v="9"/>
    <x v="0"/>
    <n v="1"/>
    <n v="0"/>
    <x v="2028"/>
    <s v="Luis Flores Flores"/>
    <x v="1"/>
  </r>
  <r>
    <n v="2397"/>
    <n v="185"/>
    <n v="4"/>
    <n v="220"/>
    <n v="22"/>
    <n v="0"/>
    <n v="0.1"/>
    <s v="ACTIVE"/>
    <m/>
    <s v=""/>
    <m/>
    <d v="2026-07-26T16:11:39"/>
    <d v="2026-07-26T00:00:00"/>
    <x v="9"/>
    <x v="0"/>
    <n v="1"/>
    <n v="0"/>
    <x v="200"/>
    <s v="Teresa Martínez González"/>
    <x v="3"/>
  </r>
  <r>
    <n v="2398"/>
    <n v="76"/>
    <n v="2"/>
    <n v="98.56"/>
    <n v="9.86"/>
    <n v="0"/>
    <n v="0.1"/>
    <s v="ACTIVE"/>
    <m/>
    <s v=""/>
    <m/>
    <d v="2026-07-26T17:42:20"/>
    <d v="2026-07-26T00:00:00"/>
    <x v="9"/>
    <x v="0"/>
    <n v="1"/>
    <n v="0"/>
    <x v="1589"/>
    <s v="Pedro Jiménez Martínez"/>
    <x v="1"/>
  </r>
  <r>
    <n v="2399"/>
    <n v="250"/>
    <n v="3"/>
    <n v="199.23"/>
    <n v="19.920000000000002"/>
    <n v="0"/>
    <n v="0.1"/>
    <s v="ACTIVE"/>
    <m/>
    <s v=""/>
    <m/>
    <d v="2026-07-26T18:31:27"/>
    <d v="2026-07-26T00:00:00"/>
    <x v="9"/>
    <x v="0"/>
    <n v="1"/>
    <n v="0"/>
    <x v="2029"/>
    <s v="Verónica Romero Chávez"/>
    <x v="0"/>
  </r>
  <r>
    <n v="2400"/>
    <n v="150"/>
    <n v="4"/>
    <n v="87.93"/>
    <n v="8.7899999999999991"/>
    <n v="0"/>
    <n v="0.1"/>
    <s v="ACTIVE"/>
    <m/>
    <s v=""/>
    <m/>
    <d v="2026-07-26T18:57:10"/>
    <d v="2026-07-26T00:00:00"/>
    <x v="9"/>
    <x v="0"/>
    <n v="1"/>
    <n v="0"/>
    <x v="463"/>
    <s v="Daniel Díaz Quiñones"/>
    <x v="3"/>
  </r>
  <r>
    <n v="2401"/>
    <n v="214"/>
    <n v="5"/>
    <n v="27.85"/>
    <n v="2.79"/>
    <n v="0"/>
    <n v="0.1"/>
    <s v="ACTIVE"/>
    <m/>
    <s v=""/>
    <m/>
    <d v="2026-07-27T08:16:34"/>
    <d v="2026-07-27T00:00:00"/>
    <x v="9"/>
    <x v="0"/>
    <n v="1"/>
    <n v="0"/>
    <x v="1431"/>
    <s v="Martha Romero Chávez"/>
    <x v="2"/>
  </r>
  <r>
    <n v="2402"/>
    <n v="216"/>
    <n v="3"/>
    <n v="24.71"/>
    <n v="2.4700000000000002"/>
    <n v="0"/>
    <n v="0.1"/>
    <s v="ACTIVE"/>
    <m/>
    <s v=""/>
    <m/>
    <d v="2026-07-27T08:56:11"/>
    <d v="2026-07-27T00:00:00"/>
    <x v="9"/>
    <x v="0"/>
    <n v="1"/>
    <n v="0"/>
    <x v="47"/>
    <s v="Patricia Ávila Castillo"/>
    <x v="0"/>
  </r>
  <r>
    <n v="2403"/>
    <n v="241"/>
    <n v="4"/>
    <n v="31.33"/>
    <n v="3.13"/>
    <n v="0"/>
    <n v="0.1"/>
    <s v="ACTIVE"/>
    <m/>
    <s v=""/>
    <m/>
    <d v="2026-07-27T10:41:04"/>
    <d v="2026-07-27T00:00:00"/>
    <x v="9"/>
    <x v="0"/>
    <n v="1"/>
    <n v="0"/>
    <x v="2030"/>
    <s v="Lucía Cruz Herrera"/>
    <x v="3"/>
  </r>
  <r>
    <n v="2404"/>
    <n v="24"/>
    <n v="2"/>
    <n v="208.28"/>
    <n v="20.83"/>
    <n v="0"/>
    <n v="0.1"/>
    <s v="ACTIVE"/>
    <m/>
    <s v=""/>
    <m/>
    <d v="2026-07-27T12:55:54"/>
    <d v="2026-07-27T00:00:00"/>
    <x v="9"/>
    <x v="0"/>
    <n v="1"/>
    <n v="0"/>
    <x v="2031"/>
    <s v="Isabel Moreno Vázquez"/>
    <x v="1"/>
  </r>
  <r>
    <n v="2405"/>
    <n v="84"/>
    <n v="3"/>
    <n v="48.69"/>
    <n v="4.87"/>
    <n v="0"/>
    <n v="0.1"/>
    <s v="ACTIVE"/>
    <m/>
    <s v=""/>
    <m/>
    <d v="2026-07-27T13:38:37"/>
    <d v="2026-07-27T00:00:00"/>
    <x v="9"/>
    <x v="0"/>
    <n v="1"/>
    <n v="0"/>
    <x v="2032"/>
    <s v="Fernando Vázquez Herrera"/>
    <x v="0"/>
  </r>
  <r>
    <n v="2406"/>
    <n v="136"/>
    <n v="2"/>
    <n v="90.88"/>
    <n v="9.09"/>
    <n v="0"/>
    <n v="0.1"/>
    <s v="ACTIVE"/>
    <m/>
    <s v=""/>
    <m/>
    <d v="2026-07-27T14:51:55"/>
    <d v="2026-07-27T00:00:00"/>
    <x v="9"/>
    <x v="0"/>
    <n v="1"/>
    <n v="0"/>
    <x v="2033"/>
    <s v="Guadalupe Castillo Rangel"/>
    <x v="1"/>
  </r>
  <r>
    <n v="2407"/>
    <n v="124"/>
    <n v="3"/>
    <n v="22.65"/>
    <n v="2.27"/>
    <n v="0"/>
    <n v="0.1"/>
    <s v="ACTIVE"/>
    <m/>
    <s v=""/>
    <m/>
    <d v="2026-07-27T15:08:40"/>
    <d v="2026-07-27T00:00:00"/>
    <x v="9"/>
    <x v="0"/>
    <n v="1"/>
    <n v="0"/>
    <x v="2034"/>
    <s v="Elena Villalobos Pérez"/>
    <x v="0"/>
  </r>
  <r>
    <n v="2408"/>
    <n v="137"/>
    <n v="2"/>
    <n v="45.54"/>
    <n v="4.55"/>
    <n v="0"/>
    <n v="0.1"/>
    <s v="ACTIVE"/>
    <m/>
    <s v=""/>
    <m/>
    <d v="2026-07-27T15:23:00"/>
    <d v="2026-07-27T00:00:00"/>
    <x v="9"/>
    <x v="0"/>
    <n v="1"/>
    <n v="0"/>
    <x v="2035"/>
    <s v="Francisco Reyes Ruiz"/>
    <x v="1"/>
  </r>
  <r>
    <n v="2409"/>
    <n v="52"/>
    <n v="2"/>
    <n v="39.49"/>
    <n v="3.95"/>
    <n v="0"/>
    <n v="0.1"/>
    <s v="ACTIVE"/>
    <m/>
    <s v=""/>
    <m/>
    <d v="2026-07-27T19:52:04"/>
    <d v="2026-07-27T00:00:00"/>
    <x v="9"/>
    <x v="0"/>
    <n v="1"/>
    <n v="0"/>
    <x v="2036"/>
    <s v="Gabriela Villalobos Flores"/>
    <x v="1"/>
  </r>
  <r>
    <n v="2410"/>
    <n v="128"/>
    <n v="2"/>
    <n v="29.61"/>
    <n v="2.96"/>
    <n v="0"/>
    <n v="0.1"/>
    <s v="CANCELED"/>
    <n v="3"/>
    <s v="Cliente canceló la operación"/>
    <d v="2026-07-28T23:57:37"/>
    <d v="2026-07-28T07:57:37"/>
    <d v="2026-07-28T00:00:00"/>
    <x v="9"/>
    <x v="0"/>
    <n v="1"/>
    <n v="1"/>
    <x v="32"/>
    <s v="Verónica Ortiz Rangel"/>
    <x v="1"/>
  </r>
  <r>
    <n v="2411"/>
    <n v="190"/>
    <n v="2"/>
    <n v="91.21"/>
    <n v="9.1199999999999992"/>
    <n v="0"/>
    <n v="0.1"/>
    <s v="ACTIVE"/>
    <m/>
    <s v=""/>
    <m/>
    <d v="2026-07-28T07:58:50"/>
    <d v="2026-07-28T00:00:00"/>
    <x v="9"/>
    <x v="0"/>
    <n v="1"/>
    <n v="0"/>
    <x v="2037"/>
    <s v="Ricardo Díaz Rodríguez"/>
    <x v="1"/>
  </r>
  <r>
    <n v="2412"/>
    <n v="114"/>
    <n v="5"/>
    <n v="175.58"/>
    <n v="17.559999999999999"/>
    <n v="0"/>
    <n v="0.1"/>
    <s v="ACTIVE"/>
    <m/>
    <s v=""/>
    <m/>
    <d v="2026-07-28T14:28:54"/>
    <d v="2026-07-28T00:00:00"/>
    <x v="9"/>
    <x v="0"/>
    <n v="1"/>
    <n v="0"/>
    <x v="2038"/>
    <s v="Elena Gutiérrez Rodríguez"/>
    <x v="2"/>
  </r>
  <r>
    <n v="2413"/>
    <n v="297"/>
    <n v="5"/>
    <n v="63.14"/>
    <n v="6.31"/>
    <n v="0"/>
    <n v="0.1"/>
    <s v="ACTIVE"/>
    <m/>
    <s v=""/>
    <m/>
    <d v="2026-07-28T16:55:59"/>
    <d v="2026-07-28T00:00:00"/>
    <x v="9"/>
    <x v="0"/>
    <n v="1"/>
    <n v="0"/>
    <x v="2039"/>
    <s v="Patricia Ortiz Jiménez"/>
    <x v="2"/>
  </r>
  <r>
    <n v="2414"/>
    <n v="250"/>
    <n v="5"/>
    <n v="64.58"/>
    <n v="0"/>
    <n v="1"/>
    <n v="0.1"/>
    <s v="CANCELED"/>
    <n v="5"/>
    <s v="Error de captura"/>
    <d v="2026-07-29T06:04:52"/>
    <d v="2026-07-28T17:04:52"/>
    <d v="2026-07-28T00:00:00"/>
    <x v="9"/>
    <x v="1"/>
    <n v="1"/>
    <n v="1"/>
    <x v="32"/>
    <s v="Verónica Romero Chávez"/>
    <x v="2"/>
  </r>
  <r>
    <n v="2415"/>
    <n v="278"/>
    <n v="2"/>
    <n v="300"/>
    <n v="30"/>
    <n v="0"/>
    <n v="0.1"/>
    <s v="ACTIVE"/>
    <m/>
    <s v=""/>
    <m/>
    <d v="2026-07-28T17:05:36"/>
    <d v="2026-07-28T00:00:00"/>
    <x v="9"/>
    <x v="0"/>
    <n v="1"/>
    <n v="0"/>
    <x v="74"/>
    <s v="Norma Flores Aguilar"/>
    <x v="1"/>
  </r>
  <r>
    <n v="2416"/>
    <n v="128"/>
    <n v="4"/>
    <n v="50.67"/>
    <n v="5.07"/>
    <n v="0"/>
    <n v="0.1"/>
    <s v="ACTIVE"/>
    <m/>
    <s v=""/>
    <m/>
    <d v="2026-07-28T17:18:26"/>
    <d v="2026-07-28T00:00:00"/>
    <x v="9"/>
    <x v="0"/>
    <n v="1"/>
    <n v="0"/>
    <x v="2040"/>
    <s v="Verónica Ortiz Rangel"/>
    <x v="3"/>
  </r>
  <r>
    <n v="2417"/>
    <n v="128"/>
    <n v="2"/>
    <n v="32.200000000000003"/>
    <n v="3.22"/>
    <n v="0"/>
    <n v="0.1"/>
    <s v="ACTIVE"/>
    <m/>
    <s v=""/>
    <m/>
    <d v="2026-07-28T18:09:12"/>
    <d v="2026-07-28T00:00:00"/>
    <x v="9"/>
    <x v="0"/>
    <n v="1"/>
    <n v="0"/>
    <x v="2041"/>
    <s v="Verónica Ortiz Rangel"/>
    <x v="1"/>
  </r>
  <r>
    <n v="2418"/>
    <n v="285"/>
    <n v="5"/>
    <n v="23.68"/>
    <n v="2.37"/>
    <n v="0"/>
    <n v="0.1"/>
    <s v="ACTIVE"/>
    <m/>
    <s v=""/>
    <m/>
    <d v="2026-07-29T08:35:47"/>
    <d v="2026-07-29T00:00:00"/>
    <x v="9"/>
    <x v="0"/>
    <n v="1"/>
    <n v="0"/>
    <x v="839"/>
    <s v="Alicia Martínez Aguilar"/>
    <x v="2"/>
  </r>
  <r>
    <n v="2419"/>
    <n v="75"/>
    <n v="5"/>
    <n v="75.3"/>
    <n v="7.53"/>
    <n v="0"/>
    <n v="0.1"/>
    <s v="ACTIVE"/>
    <m/>
    <s v=""/>
    <m/>
    <d v="2026-07-29T09:26:23"/>
    <d v="2026-07-29T00:00:00"/>
    <x v="9"/>
    <x v="0"/>
    <n v="1"/>
    <n v="0"/>
    <x v="2042"/>
    <s v="Guadalupe Romero Ortiz"/>
    <x v="2"/>
  </r>
  <r>
    <n v="2420"/>
    <n v="285"/>
    <n v="3"/>
    <n v="21.91"/>
    <n v="0"/>
    <n v="1"/>
    <n v="0.1"/>
    <s v="ACTIVE"/>
    <m/>
    <s v=""/>
    <m/>
    <d v="2026-07-29T10:14:44"/>
    <d v="2026-07-29T00:00:00"/>
    <x v="9"/>
    <x v="1"/>
    <n v="1"/>
    <n v="0"/>
    <x v="2043"/>
    <s v="Alicia Martínez Aguilar"/>
    <x v="0"/>
  </r>
  <r>
    <n v="2421"/>
    <n v="134"/>
    <n v="4"/>
    <n v="91.44"/>
    <n v="0"/>
    <n v="1"/>
    <n v="0.1"/>
    <s v="ACTIVE"/>
    <m/>
    <s v=""/>
    <m/>
    <d v="2026-07-29T11:00:06"/>
    <d v="2026-07-29T00:00:00"/>
    <x v="9"/>
    <x v="1"/>
    <n v="1"/>
    <n v="0"/>
    <x v="2044"/>
    <s v="Javier Moreno Ortiz"/>
    <x v="3"/>
  </r>
  <r>
    <n v="2422"/>
    <n v="128"/>
    <n v="2"/>
    <n v="26.02"/>
    <n v="2.6"/>
    <n v="0"/>
    <n v="0.1"/>
    <s v="ACTIVE"/>
    <m/>
    <s v=""/>
    <m/>
    <d v="2026-07-29T14:08:40"/>
    <d v="2026-07-29T00:00:00"/>
    <x v="9"/>
    <x v="0"/>
    <n v="1"/>
    <n v="0"/>
    <x v="2045"/>
    <s v="Verónica Ortiz Rangel"/>
    <x v="1"/>
  </r>
  <r>
    <n v="2423"/>
    <n v="117"/>
    <n v="3"/>
    <n v="36.97"/>
    <n v="3.7"/>
    <n v="0"/>
    <n v="0.1"/>
    <s v="ACTIVE"/>
    <m/>
    <s v=""/>
    <m/>
    <d v="2026-07-29T17:39:13"/>
    <d v="2026-07-29T00:00:00"/>
    <x v="9"/>
    <x v="0"/>
    <n v="1"/>
    <n v="0"/>
    <x v="2046"/>
    <s v="Manuel Ortiz Ramírez"/>
    <x v="0"/>
  </r>
  <r>
    <n v="2424"/>
    <n v="80"/>
    <n v="5"/>
    <n v="31.63"/>
    <n v="3.16"/>
    <n v="0"/>
    <n v="0.1"/>
    <s v="ACTIVE"/>
    <m/>
    <s v=""/>
    <m/>
    <d v="2026-07-29T18:21:26"/>
    <d v="2026-07-29T00:00:00"/>
    <x v="9"/>
    <x v="0"/>
    <n v="1"/>
    <n v="0"/>
    <x v="2047"/>
    <s v="Juan Sánchez Gutiérrez"/>
    <x v="2"/>
  </r>
  <r>
    <n v="2425"/>
    <n v="44"/>
    <n v="3"/>
    <n v="23.8"/>
    <n v="2.38"/>
    <n v="0"/>
    <n v="0.1"/>
    <s v="ACTIVE"/>
    <m/>
    <s v=""/>
    <m/>
    <d v="2026-07-30T10:47:07"/>
    <d v="2026-07-30T00:00:00"/>
    <x v="9"/>
    <x v="0"/>
    <n v="1"/>
    <n v="0"/>
    <x v="2048"/>
    <s v="Pedro Herrera Castillo"/>
    <x v="0"/>
  </r>
  <r>
    <n v="2426"/>
    <n v="225"/>
    <n v="5"/>
    <n v="20.190000000000001"/>
    <n v="2.02"/>
    <n v="0"/>
    <n v="0.1"/>
    <s v="ACTIVE"/>
    <m/>
    <s v=""/>
    <m/>
    <d v="2026-07-30T10:51:03"/>
    <d v="2026-07-30T00:00:00"/>
    <x v="9"/>
    <x v="0"/>
    <n v="1"/>
    <n v="0"/>
    <x v="2049"/>
    <s v="Carlos Salazar Medina"/>
    <x v="2"/>
  </r>
  <r>
    <n v="2427"/>
    <n v="279"/>
    <n v="3"/>
    <n v="230.72"/>
    <n v="23.07"/>
    <n v="0"/>
    <n v="0.1"/>
    <s v="ACTIVE"/>
    <m/>
    <s v=""/>
    <m/>
    <d v="2026-07-30T14:28:02"/>
    <d v="2026-07-30T00:00:00"/>
    <x v="9"/>
    <x v="0"/>
    <n v="1"/>
    <n v="0"/>
    <x v="2050"/>
    <s v="Rosa Mendoza Moreno"/>
    <x v="0"/>
  </r>
  <r>
    <n v="2428"/>
    <n v="192"/>
    <n v="4"/>
    <n v="32.549999999999997"/>
    <n v="3.26"/>
    <n v="0"/>
    <n v="0.1"/>
    <s v="ACTIVE"/>
    <m/>
    <s v=""/>
    <m/>
    <d v="2026-07-30T14:42:20"/>
    <d v="2026-07-30T00:00:00"/>
    <x v="9"/>
    <x v="0"/>
    <n v="1"/>
    <n v="0"/>
    <x v="2051"/>
    <s v="Leticia Gutiérrez Hernández"/>
    <x v="3"/>
  </r>
  <r>
    <n v="2429"/>
    <n v="50"/>
    <n v="2"/>
    <n v="91.45"/>
    <n v="9.15"/>
    <n v="0"/>
    <n v="0.1"/>
    <s v="ACTIVE"/>
    <m/>
    <s v=""/>
    <m/>
    <d v="2026-07-30T15:12:17"/>
    <d v="2026-07-30T00:00:00"/>
    <x v="9"/>
    <x v="0"/>
    <n v="1"/>
    <n v="0"/>
    <x v="2052"/>
    <s v="Roberto Moreno López"/>
    <x v="1"/>
  </r>
  <r>
    <n v="2430"/>
    <n v="195"/>
    <n v="3"/>
    <n v="190.4"/>
    <n v="19.04"/>
    <n v="0"/>
    <n v="0.1"/>
    <s v="ACTIVE"/>
    <m/>
    <s v=""/>
    <m/>
    <d v="2026-07-30T15:12:43"/>
    <d v="2026-07-30T00:00:00"/>
    <x v="9"/>
    <x v="0"/>
    <n v="1"/>
    <n v="0"/>
    <x v="2053"/>
    <s v="Laura Salazar Pérez"/>
    <x v="0"/>
  </r>
  <r>
    <n v="2431"/>
    <n v="156"/>
    <n v="3"/>
    <n v="22.67"/>
    <n v="2.27"/>
    <n v="0"/>
    <n v="0.1"/>
    <s v="ACTIVE"/>
    <m/>
    <s v=""/>
    <m/>
    <d v="2026-07-30T16:24:22"/>
    <d v="2026-07-30T00:00:00"/>
    <x v="9"/>
    <x v="0"/>
    <n v="1"/>
    <n v="0"/>
    <x v="2054"/>
    <s v="Óscar Moreno Chávez"/>
    <x v="0"/>
  </r>
  <r>
    <n v="2432"/>
    <n v="67"/>
    <n v="3"/>
    <n v="27.28"/>
    <n v="2.73"/>
    <n v="0"/>
    <n v="0.1"/>
    <s v="ACTIVE"/>
    <m/>
    <s v=""/>
    <m/>
    <d v="2026-07-30T17:03:01"/>
    <d v="2026-07-30T00:00:00"/>
    <x v="9"/>
    <x v="0"/>
    <n v="1"/>
    <n v="0"/>
    <x v="119"/>
    <s v="Luis Rodríguez Herrera"/>
    <x v="0"/>
  </r>
  <r>
    <n v="2433"/>
    <n v="128"/>
    <n v="4"/>
    <n v="31.21"/>
    <n v="3.12"/>
    <n v="0"/>
    <n v="0.1"/>
    <s v="ACTIVE"/>
    <m/>
    <s v=""/>
    <m/>
    <d v="2026-07-30T17:42:18"/>
    <d v="2026-07-30T00:00:00"/>
    <x v="9"/>
    <x v="0"/>
    <n v="1"/>
    <n v="0"/>
    <x v="2055"/>
    <s v="Verónica Ortiz Rangel"/>
    <x v="3"/>
  </r>
  <r>
    <n v="2434"/>
    <n v="75"/>
    <n v="5"/>
    <n v="40.78"/>
    <n v="4.08"/>
    <n v="0"/>
    <n v="0.1"/>
    <s v="ACTIVE"/>
    <m/>
    <s v=""/>
    <m/>
    <d v="2026-07-31T08:08:00"/>
    <d v="2026-07-31T00:00:00"/>
    <x v="9"/>
    <x v="0"/>
    <n v="1"/>
    <n v="0"/>
    <x v="2056"/>
    <s v="Guadalupe Romero Ortiz"/>
    <x v="2"/>
  </r>
  <r>
    <n v="2435"/>
    <n v="75"/>
    <n v="2"/>
    <n v="86.07"/>
    <n v="8.61"/>
    <n v="0"/>
    <n v="0.1"/>
    <s v="ACTIVE"/>
    <m/>
    <s v=""/>
    <m/>
    <d v="2026-07-31T10:24:01"/>
    <d v="2026-07-31T00:00:00"/>
    <x v="9"/>
    <x v="0"/>
    <n v="1"/>
    <n v="0"/>
    <x v="2057"/>
    <s v="Guadalupe Romero Ortiz"/>
    <x v="1"/>
  </r>
  <r>
    <n v="2436"/>
    <n v="198"/>
    <n v="5"/>
    <n v="20.61"/>
    <n v="2.06"/>
    <n v="0"/>
    <n v="0.1"/>
    <s v="CANCELED"/>
    <n v="2"/>
    <s v="Monto duplicado por error de sistema"/>
    <d v="2026-08-01T00:57:50"/>
    <d v="2026-07-31T17:57:50"/>
    <d v="2026-07-31T00:00:00"/>
    <x v="9"/>
    <x v="0"/>
    <n v="1"/>
    <n v="1"/>
    <x v="32"/>
    <s v="Luis Villalobos Ramos"/>
    <x v="2"/>
  </r>
  <r>
    <n v="2437"/>
    <n v="145"/>
    <n v="4"/>
    <n v="239.39"/>
    <n v="23.94"/>
    <n v="0"/>
    <n v="0.1"/>
    <s v="ACTIVE"/>
    <m/>
    <s v=""/>
    <m/>
    <d v="2026-08-01T10:40:39"/>
    <d v="2026-08-01T00:00:00"/>
    <x v="10"/>
    <x v="0"/>
    <n v="1"/>
    <n v="0"/>
    <x v="2058"/>
    <s v="Luis Flores Flores"/>
    <x v="3"/>
  </r>
  <r>
    <n v="2438"/>
    <n v="243"/>
    <n v="4"/>
    <n v="45.99"/>
    <n v="4.5999999999999996"/>
    <n v="0"/>
    <n v="0.1"/>
    <s v="ACTIVE"/>
    <m/>
    <s v=""/>
    <m/>
    <d v="2026-08-01T10:58:55"/>
    <d v="2026-08-01T00:00:00"/>
    <x v="10"/>
    <x v="0"/>
    <n v="1"/>
    <n v="0"/>
    <x v="2059"/>
    <s v="Raúl García Díaz"/>
    <x v="3"/>
  </r>
  <r>
    <n v="2439"/>
    <n v="134"/>
    <n v="5"/>
    <n v="61.67"/>
    <n v="6.17"/>
    <n v="0"/>
    <n v="0.1"/>
    <s v="ACTIVE"/>
    <m/>
    <s v=""/>
    <m/>
    <d v="2026-08-01T15:03:00"/>
    <d v="2026-08-01T00:00:00"/>
    <x v="10"/>
    <x v="0"/>
    <n v="1"/>
    <n v="0"/>
    <x v="2060"/>
    <s v="Javier Moreno Ortiz"/>
    <x v="2"/>
  </r>
  <r>
    <n v="2440"/>
    <n v="244"/>
    <n v="5"/>
    <n v="49.32"/>
    <n v="4.93"/>
    <n v="0"/>
    <n v="0.1"/>
    <s v="ACTIVE"/>
    <m/>
    <s v=""/>
    <m/>
    <d v="2026-08-01T16:15:14"/>
    <d v="2026-08-01T00:00:00"/>
    <x v="10"/>
    <x v="0"/>
    <n v="1"/>
    <n v="0"/>
    <x v="2061"/>
    <s v="Guadalupe Castillo Hernández"/>
    <x v="2"/>
  </r>
  <r>
    <n v="2441"/>
    <n v="136"/>
    <n v="2"/>
    <n v="120.84"/>
    <n v="12.08"/>
    <n v="0"/>
    <n v="0.1"/>
    <s v="ACTIVE"/>
    <m/>
    <s v=""/>
    <m/>
    <d v="2026-08-01T18:19:53"/>
    <d v="2026-08-01T00:00:00"/>
    <x v="10"/>
    <x v="0"/>
    <n v="1"/>
    <n v="0"/>
    <x v="2062"/>
    <s v="Guadalupe Castillo Rangel"/>
    <x v="1"/>
  </r>
  <r>
    <n v="2442"/>
    <n v="230"/>
    <n v="4"/>
    <n v="242.58"/>
    <n v="24.26"/>
    <n v="0"/>
    <n v="0.1"/>
    <s v="ACTIVE"/>
    <m/>
    <s v=""/>
    <m/>
    <d v="2026-08-01T18:32:23"/>
    <d v="2026-08-01T00:00:00"/>
    <x v="10"/>
    <x v="0"/>
    <n v="1"/>
    <n v="0"/>
    <x v="2063"/>
    <s v="Antonio Chávez Quiñones"/>
    <x v="3"/>
  </r>
  <r>
    <n v="2443"/>
    <n v="21"/>
    <n v="5"/>
    <n v="30.16"/>
    <n v="3.02"/>
    <n v="0"/>
    <n v="0.1"/>
    <s v="ACTIVE"/>
    <m/>
    <s v=""/>
    <m/>
    <d v="2026-08-02T13:01:48"/>
    <d v="2026-08-02T00:00:00"/>
    <x v="10"/>
    <x v="0"/>
    <n v="1"/>
    <n v="0"/>
    <x v="2064"/>
    <s v="Carlos Morales Santoyo"/>
    <x v="2"/>
  </r>
  <r>
    <n v="2444"/>
    <n v="304"/>
    <n v="3"/>
    <n v="30"/>
    <n v="3"/>
    <n v="0"/>
    <n v="0.1"/>
    <s v="CANCELED"/>
    <n v="4"/>
    <s v="Monto duplicado por error de sistema"/>
    <d v="2026-08-03T10:33:51"/>
    <d v="2026-08-02T15:33:51"/>
    <d v="2026-08-02T00:00:00"/>
    <x v="10"/>
    <x v="0"/>
    <n v="1"/>
    <n v="1"/>
    <x v="32"/>
    <s v="Leticia González Sánchez"/>
    <x v="0"/>
  </r>
  <r>
    <n v="2445"/>
    <n v="250"/>
    <n v="4"/>
    <n v="75.95"/>
    <n v="7.6"/>
    <n v="0"/>
    <n v="0.1"/>
    <s v="CANCELED"/>
    <n v="2"/>
    <s v="Error de captura"/>
    <d v="2026-08-03T09:45:13"/>
    <d v="2026-08-03T08:45:13"/>
    <d v="2026-08-03T00:00:00"/>
    <x v="10"/>
    <x v="0"/>
    <n v="1"/>
    <n v="1"/>
    <x v="32"/>
    <s v="Verónica Romero Chávez"/>
    <x v="3"/>
  </r>
  <r>
    <n v="2446"/>
    <n v="250"/>
    <n v="5"/>
    <n v="100.89"/>
    <n v="10.09"/>
    <n v="0"/>
    <n v="0.1"/>
    <s v="ACTIVE"/>
    <m/>
    <s v=""/>
    <m/>
    <d v="2026-08-03T08:55:15"/>
    <d v="2026-08-03T00:00:00"/>
    <x v="10"/>
    <x v="0"/>
    <n v="1"/>
    <n v="0"/>
    <x v="2065"/>
    <s v="Verónica Romero Chávez"/>
    <x v="2"/>
  </r>
  <r>
    <n v="2447"/>
    <n v="250"/>
    <n v="3"/>
    <n v="150.74"/>
    <n v="15.07"/>
    <n v="0"/>
    <n v="0.1"/>
    <s v="ACTIVE"/>
    <m/>
    <s v=""/>
    <m/>
    <d v="2026-08-03T10:46:23"/>
    <d v="2026-08-03T00:00:00"/>
    <x v="10"/>
    <x v="0"/>
    <n v="1"/>
    <n v="0"/>
    <x v="2066"/>
    <s v="Verónica Romero Chávez"/>
    <x v="0"/>
  </r>
  <r>
    <n v="2448"/>
    <n v="136"/>
    <n v="3"/>
    <n v="130.97"/>
    <n v="13.1"/>
    <n v="0"/>
    <n v="0.1"/>
    <s v="ACTIVE"/>
    <m/>
    <s v=""/>
    <m/>
    <d v="2026-08-03T10:51:30"/>
    <d v="2026-08-03T00:00:00"/>
    <x v="10"/>
    <x v="0"/>
    <n v="1"/>
    <n v="0"/>
    <x v="2067"/>
    <s v="Guadalupe Castillo Rangel"/>
    <x v="0"/>
  </r>
  <r>
    <n v="2449"/>
    <n v="252"/>
    <n v="3"/>
    <n v="26.08"/>
    <n v="2.61"/>
    <n v="0"/>
    <n v="0.1"/>
    <s v="ACTIVE"/>
    <m/>
    <s v=""/>
    <m/>
    <d v="2026-08-03T15:45:42"/>
    <d v="2026-08-03T00:00:00"/>
    <x v="10"/>
    <x v="0"/>
    <n v="1"/>
    <n v="0"/>
    <x v="924"/>
    <s v="Martha Delgado Mendoza"/>
    <x v="0"/>
  </r>
  <r>
    <n v="2450"/>
    <n v="32"/>
    <n v="2"/>
    <n v="44.46"/>
    <n v="4.45"/>
    <n v="0"/>
    <n v="0.1"/>
    <s v="ACTIVE"/>
    <m/>
    <s v=""/>
    <m/>
    <d v="2026-08-03T17:24:23"/>
    <d v="2026-08-03T00:00:00"/>
    <x v="10"/>
    <x v="0"/>
    <n v="1"/>
    <n v="0"/>
    <x v="2068"/>
    <s v="Teresa Delgado Hernández"/>
    <x v="1"/>
  </r>
  <r>
    <n v="2451"/>
    <n v="221"/>
    <n v="3"/>
    <n v="92.9"/>
    <n v="9.2899999999999991"/>
    <n v="0"/>
    <n v="0.1"/>
    <s v="ACTIVE"/>
    <m/>
    <s v=""/>
    <m/>
    <d v="2026-08-04T08:11:30"/>
    <d v="2026-08-04T00:00:00"/>
    <x v="10"/>
    <x v="0"/>
    <n v="1"/>
    <n v="0"/>
    <x v="2069"/>
    <s v="Norma Hernández Chávez"/>
    <x v="0"/>
  </r>
  <r>
    <n v="2452"/>
    <n v="128"/>
    <n v="4"/>
    <n v="12.85"/>
    <n v="1.29"/>
    <n v="0"/>
    <n v="0.1"/>
    <s v="ACTIVE"/>
    <m/>
    <s v=""/>
    <m/>
    <d v="2026-08-04T09:47:31"/>
    <d v="2026-08-04T00:00:00"/>
    <x v="10"/>
    <x v="0"/>
    <n v="1"/>
    <n v="0"/>
    <x v="2070"/>
    <s v="Verónica Ortiz Rangel"/>
    <x v="3"/>
  </r>
  <r>
    <n v="2453"/>
    <n v="250"/>
    <n v="3"/>
    <n v="105.45"/>
    <n v="10.55"/>
    <n v="0"/>
    <n v="0.1"/>
    <s v="ACTIVE"/>
    <m/>
    <s v=""/>
    <m/>
    <d v="2026-08-04T10:05:20"/>
    <d v="2026-08-04T00:00:00"/>
    <x v="10"/>
    <x v="0"/>
    <n v="1"/>
    <n v="0"/>
    <x v="2071"/>
    <s v="Verónica Romero Chávez"/>
    <x v="0"/>
  </r>
  <r>
    <n v="2454"/>
    <n v="229"/>
    <n v="4"/>
    <n v="152.30000000000001"/>
    <n v="15.23"/>
    <n v="0"/>
    <n v="0.1"/>
    <s v="ACTIVE"/>
    <m/>
    <s v=""/>
    <m/>
    <d v="2026-08-04T10:37:05"/>
    <d v="2026-08-04T00:00:00"/>
    <x v="10"/>
    <x v="0"/>
    <n v="1"/>
    <n v="0"/>
    <x v="2072"/>
    <s v="Verónica González Rodríguez"/>
    <x v="3"/>
  </r>
  <r>
    <n v="2455"/>
    <n v="134"/>
    <n v="5"/>
    <n v="83.59"/>
    <n v="8.36"/>
    <n v="0"/>
    <n v="0.1"/>
    <s v="ACTIVE"/>
    <m/>
    <s v=""/>
    <m/>
    <d v="2026-08-04T10:42:20"/>
    <d v="2026-08-04T00:00:00"/>
    <x v="10"/>
    <x v="0"/>
    <n v="1"/>
    <n v="0"/>
    <x v="110"/>
    <s v="Javier Moreno Ortiz"/>
    <x v="2"/>
  </r>
  <r>
    <n v="2456"/>
    <n v="268"/>
    <n v="5"/>
    <n v="59.3"/>
    <n v="5.93"/>
    <n v="0"/>
    <n v="0.1"/>
    <s v="ACTIVE"/>
    <m/>
    <s v=""/>
    <m/>
    <d v="2026-08-04T12:07:48"/>
    <d v="2026-08-04T00:00:00"/>
    <x v="10"/>
    <x v="0"/>
    <n v="1"/>
    <n v="0"/>
    <x v="2073"/>
    <s v="Verónica Mendoza Chávez"/>
    <x v="2"/>
  </r>
  <r>
    <n v="2457"/>
    <n v="133"/>
    <n v="5"/>
    <n v="72.52"/>
    <n v="7.25"/>
    <n v="0"/>
    <n v="0.1"/>
    <s v="ACTIVE"/>
    <m/>
    <s v=""/>
    <m/>
    <d v="2026-08-04T12:40:06"/>
    <d v="2026-08-04T00:00:00"/>
    <x v="10"/>
    <x v="0"/>
    <n v="1"/>
    <n v="0"/>
    <x v="2074"/>
    <s v="Silvia Villalobos Medina"/>
    <x v="2"/>
  </r>
  <r>
    <n v="2458"/>
    <n v="138"/>
    <n v="2"/>
    <n v="35.24"/>
    <n v="3.52"/>
    <n v="0"/>
    <n v="0.1"/>
    <s v="ACTIVE"/>
    <m/>
    <s v=""/>
    <m/>
    <d v="2026-08-04T14:50:27"/>
    <d v="2026-08-04T00:00:00"/>
    <x v="10"/>
    <x v="0"/>
    <n v="1"/>
    <n v="0"/>
    <x v="192"/>
    <s v="Alejandro Reyes Morales"/>
    <x v="1"/>
  </r>
  <r>
    <n v="2459"/>
    <n v="136"/>
    <n v="4"/>
    <n v="109.77"/>
    <n v="10.98"/>
    <n v="0"/>
    <n v="0.1"/>
    <s v="ACTIVE"/>
    <m/>
    <s v=""/>
    <m/>
    <d v="2026-08-04T16:31:43"/>
    <d v="2026-08-04T00:00:00"/>
    <x v="10"/>
    <x v="0"/>
    <n v="1"/>
    <n v="0"/>
    <x v="2075"/>
    <s v="Guadalupe Castillo Rangel"/>
    <x v="3"/>
  </r>
  <r>
    <n v="2460"/>
    <n v="128"/>
    <n v="2"/>
    <n v="57.94"/>
    <n v="5.79"/>
    <n v="0"/>
    <n v="0.1"/>
    <s v="ACTIVE"/>
    <m/>
    <s v=""/>
    <m/>
    <d v="2026-08-04T16:32:54"/>
    <d v="2026-08-04T00:00:00"/>
    <x v="10"/>
    <x v="0"/>
    <n v="1"/>
    <n v="0"/>
    <x v="2076"/>
    <s v="Verónica Ortiz Rangel"/>
    <x v="1"/>
  </r>
  <r>
    <n v="2461"/>
    <n v="136"/>
    <n v="5"/>
    <n v="51.01"/>
    <n v="5.0999999999999996"/>
    <n v="0"/>
    <n v="0.1"/>
    <s v="ACTIVE"/>
    <m/>
    <s v=""/>
    <m/>
    <d v="2026-08-04T16:36:22"/>
    <d v="2026-08-04T00:00:00"/>
    <x v="10"/>
    <x v="0"/>
    <n v="1"/>
    <n v="0"/>
    <x v="2077"/>
    <s v="Guadalupe Castillo Rangel"/>
    <x v="2"/>
  </r>
  <r>
    <n v="2462"/>
    <n v="141"/>
    <n v="2"/>
    <n v="51.79"/>
    <n v="5.18"/>
    <n v="0"/>
    <n v="0.1"/>
    <s v="ACTIVE"/>
    <m/>
    <s v=""/>
    <m/>
    <d v="2026-08-04T17:18:39"/>
    <d v="2026-08-04T00:00:00"/>
    <x v="10"/>
    <x v="0"/>
    <n v="1"/>
    <n v="0"/>
    <x v="2078"/>
    <s v="Antonio Chávez Martínez"/>
    <x v="1"/>
  </r>
  <r>
    <n v="2463"/>
    <n v="134"/>
    <n v="2"/>
    <n v="58.47"/>
    <n v="5.85"/>
    <n v="0"/>
    <n v="0.1"/>
    <s v="ACTIVE"/>
    <m/>
    <s v=""/>
    <m/>
    <d v="2026-08-04T18:29:06"/>
    <d v="2026-08-04T00:00:00"/>
    <x v="10"/>
    <x v="0"/>
    <n v="1"/>
    <n v="0"/>
    <x v="2079"/>
    <s v="Javier Moreno Ortiz"/>
    <x v="1"/>
  </r>
  <r>
    <n v="2464"/>
    <n v="197"/>
    <n v="3"/>
    <n v="58.44"/>
    <n v="5.84"/>
    <n v="0"/>
    <n v="0.1"/>
    <s v="ACTIVE"/>
    <m/>
    <s v=""/>
    <m/>
    <d v="2026-08-05T07:04:49"/>
    <d v="2026-08-05T00:00:00"/>
    <x v="10"/>
    <x v="0"/>
    <n v="1"/>
    <n v="0"/>
    <x v="2080"/>
    <s v="Raúl Hernández Santoyo"/>
    <x v="0"/>
  </r>
  <r>
    <n v="2465"/>
    <n v="40"/>
    <n v="4"/>
    <n v="94.12"/>
    <n v="9.41"/>
    <n v="0"/>
    <n v="0.1"/>
    <s v="ACTIVE"/>
    <m/>
    <s v=""/>
    <m/>
    <d v="2026-08-05T09:44:25"/>
    <d v="2026-08-05T00:00:00"/>
    <x v="10"/>
    <x v="0"/>
    <n v="1"/>
    <n v="0"/>
    <x v="2081"/>
    <s v="Carlos López Cruz"/>
    <x v="3"/>
  </r>
  <r>
    <n v="2466"/>
    <n v="192"/>
    <n v="3"/>
    <n v="25.25"/>
    <n v="0"/>
    <n v="1"/>
    <n v="0.1"/>
    <s v="ACTIVE"/>
    <m/>
    <s v=""/>
    <m/>
    <d v="2026-08-05T10:45:14"/>
    <d v="2026-08-05T00:00:00"/>
    <x v="10"/>
    <x v="1"/>
    <n v="1"/>
    <n v="0"/>
    <x v="1361"/>
    <s v="Leticia Gutiérrez Hernández"/>
    <x v="0"/>
  </r>
  <r>
    <n v="2467"/>
    <n v="193"/>
    <n v="3"/>
    <n v="108.38"/>
    <n v="10.84"/>
    <n v="0"/>
    <n v="0.1"/>
    <s v="ACTIVE"/>
    <m/>
    <s v=""/>
    <m/>
    <d v="2026-08-05T13:00:59"/>
    <d v="2026-08-05T00:00:00"/>
    <x v="10"/>
    <x v="0"/>
    <n v="1"/>
    <n v="0"/>
    <x v="2082"/>
    <s v="Héctor Ávila Gómez"/>
    <x v="0"/>
  </r>
  <r>
    <n v="2468"/>
    <n v="82"/>
    <n v="4"/>
    <n v="56.43"/>
    <n v="5.64"/>
    <n v="0"/>
    <n v="0.1"/>
    <s v="ACTIVE"/>
    <m/>
    <s v=""/>
    <m/>
    <d v="2026-08-05T14:51:45"/>
    <d v="2026-08-05T00:00:00"/>
    <x v="10"/>
    <x v="0"/>
    <n v="1"/>
    <n v="0"/>
    <x v="2083"/>
    <s v="Norma Zacatecas Sánchez"/>
    <x v="3"/>
  </r>
  <r>
    <n v="2469"/>
    <n v="18"/>
    <n v="3"/>
    <n v="137.69999999999999"/>
    <n v="13.77"/>
    <n v="0"/>
    <n v="0.1"/>
    <s v="ACTIVE"/>
    <m/>
    <s v=""/>
    <m/>
    <d v="2026-08-05T15:12:54"/>
    <d v="2026-08-05T00:00:00"/>
    <x v="10"/>
    <x v="0"/>
    <n v="1"/>
    <n v="0"/>
    <x v="2084"/>
    <s v="Carlos Gómez Ávila"/>
    <x v="0"/>
  </r>
  <r>
    <n v="2470"/>
    <n v="201"/>
    <n v="5"/>
    <n v="30.37"/>
    <n v="3.04"/>
    <n v="0"/>
    <n v="0.1"/>
    <s v="ACTIVE"/>
    <m/>
    <s v=""/>
    <m/>
    <d v="2026-08-05T15:17:12"/>
    <d v="2026-08-05T00:00:00"/>
    <x v="10"/>
    <x v="0"/>
    <n v="1"/>
    <n v="0"/>
    <x v="2085"/>
    <s v="Isabel Vázquez Ramírez"/>
    <x v="2"/>
  </r>
  <r>
    <n v="2471"/>
    <n v="128"/>
    <n v="5"/>
    <n v="30.98"/>
    <n v="0"/>
    <n v="1"/>
    <n v="0.1"/>
    <s v="ACTIVE"/>
    <m/>
    <s v=""/>
    <m/>
    <d v="2026-08-05T15:37:16"/>
    <d v="2026-08-05T00:00:00"/>
    <x v="10"/>
    <x v="1"/>
    <n v="1"/>
    <n v="0"/>
    <x v="2086"/>
    <s v="Verónica Ortiz Rangel"/>
    <x v="2"/>
  </r>
  <r>
    <n v="2472"/>
    <n v="137"/>
    <n v="2"/>
    <n v="29.48"/>
    <n v="2.95"/>
    <n v="0"/>
    <n v="0.1"/>
    <s v="ACTIVE"/>
    <m/>
    <s v=""/>
    <m/>
    <d v="2026-08-05T18:10:01"/>
    <d v="2026-08-05T00:00:00"/>
    <x v="10"/>
    <x v="0"/>
    <n v="1"/>
    <n v="0"/>
    <x v="1603"/>
    <s v="Francisco Reyes Ruiz"/>
    <x v="1"/>
  </r>
  <r>
    <n v="2473"/>
    <n v="134"/>
    <n v="2"/>
    <n v="71.62"/>
    <n v="7.16"/>
    <n v="0"/>
    <n v="0.1"/>
    <s v="ACTIVE"/>
    <m/>
    <s v=""/>
    <m/>
    <d v="2026-08-05T19:32:41"/>
    <d v="2026-08-05T00:00:00"/>
    <x v="10"/>
    <x v="0"/>
    <n v="1"/>
    <n v="0"/>
    <x v="2087"/>
    <s v="Javier Moreno Ortiz"/>
    <x v="1"/>
  </r>
  <r>
    <n v="2474"/>
    <n v="131"/>
    <n v="2"/>
    <n v="238.61"/>
    <n v="23.86"/>
    <n v="0"/>
    <n v="0.1"/>
    <s v="ACTIVE"/>
    <m/>
    <s v=""/>
    <m/>
    <d v="2026-08-06T11:40:41"/>
    <d v="2026-08-06T00:00:00"/>
    <x v="10"/>
    <x v="0"/>
    <n v="1"/>
    <n v="0"/>
    <x v="2088"/>
    <s v="Raúl Quiñones Hernández"/>
    <x v="1"/>
  </r>
  <r>
    <n v="2475"/>
    <n v="136"/>
    <n v="4"/>
    <n v="148.62"/>
    <n v="14.86"/>
    <n v="0"/>
    <n v="0.1"/>
    <s v="ACTIVE"/>
    <m/>
    <s v=""/>
    <m/>
    <d v="2026-08-06T15:42:51"/>
    <d v="2026-08-06T00:00:00"/>
    <x v="10"/>
    <x v="0"/>
    <n v="1"/>
    <n v="0"/>
    <x v="2089"/>
    <s v="Guadalupe Castillo Rangel"/>
    <x v="3"/>
  </r>
  <r>
    <n v="2476"/>
    <n v="39"/>
    <n v="4"/>
    <n v="178.86"/>
    <n v="17.89"/>
    <n v="0"/>
    <n v="0.1"/>
    <s v="ACTIVE"/>
    <m/>
    <s v=""/>
    <m/>
    <d v="2026-08-06T16:33:31"/>
    <d v="2026-08-06T00:00:00"/>
    <x v="10"/>
    <x v="0"/>
    <n v="1"/>
    <n v="0"/>
    <x v="2090"/>
    <s v="Guadalupe García Quiñones"/>
    <x v="3"/>
  </r>
  <r>
    <n v="2477"/>
    <n v="305"/>
    <n v="5"/>
    <n v="29.22"/>
    <n v="2.92"/>
    <n v="0"/>
    <n v="0.1"/>
    <s v="ACTIVE"/>
    <m/>
    <s v=""/>
    <m/>
    <d v="2026-08-07T08:31:41"/>
    <d v="2026-08-07T00:00:00"/>
    <x v="10"/>
    <x v="0"/>
    <n v="1"/>
    <n v="0"/>
    <x v="2091"/>
    <s v="Teresa García Zacatecas"/>
    <x v="2"/>
  </r>
  <r>
    <n v="2478"/>
    <n v="247"/>
    <n v="3"/>
    <n v="26.72"/>
    <n v="2.67"/>
    <n v="0"/>
    <n v="0.1"/>
    <s v="ACTIVE"/>
    <m/>
    <s v=""/>
    <m/>
    <d v="2026-08-07T08:39:10"/>
    <d v="2026-08-07T00:00:00"/>
    <x v="10"/>
    <x v="0"/>
    <n v="1"/>
    <n v="0"/>
    <x v="2092"/>
    <s v="Patricia Mendoza Ruiz"/>
    <x v="0"/>
  </r>
  <r>
    <n v="2479"/>
    <n v="122"/>
    <n v="2"/>
    <n v="186.66"/>
    <n v="18.670000000000002"/>
    <n v="0"/>
    <n v="0.1"/>
    <s v="ACTIVE"/>
    <m/>
    <s v=""/>
    <m/>
    <d v="2026-08-07T09:12:09"/>
    <d v="2026-08-07T00:00:00"/>
    <x v="10"/>
    <x v="0"/>
    <n v="1"/>
    <n v="0"/>
    <x v="2093"/>
    <s v="Norma Sánchez Santoyo"/>
    <x v="1"/>
  </r>
  <r>
    <n v="2480"/>
    <n v="128"/>
    <n v="2"/>
    <n v="36.85"/>
    <n v="3.69"/>
    <n v="0"/>
    <n v="0.1"/>
    <s v="CANCELED"/>
    <n v="5"/>
    <s v="Monto duplicado por error de sistema"/>
    <d v="2026-08-08T22:14:11"/>
    <d v="2026-08-07T11:14:11"/>
    <d v="2026-08-07T00:00:00"/>
    <x v="10"/>
    <x v="0"/>
    <n v="1"/>
    <n v="1"/>
    <x v="32"/>
    <s v="Verónica Ortiz Rangel"/>
    <x v="1"/>
  </r>
  <r>
    <n v="2481"/>
    <n v="16"/>
    <n v="3"/>
    <n v="186.92"/>
    <n v="18.690000000000001"/>
    <n v="0"/>
    <n v="0.1"/>
    <s v="ACTIVE"/>
    <m/>
    <s v=""/>
    <m/>
    <d v="2026-08-07T12:30:56"/>
    <d v="2026-08-07T00:00:00"/>
    <x v="10"/>
    <x v="0"/>
    <n v="1"/>
    <n v="0"/>
    <x v="2094"/>
    <s v="Laura Chávez Rangel"/>
    <x v="0"/>
  </r>
  <r>
    <n v="2482"/>
    <n v="297"/>
    <n v="5"/>
    <n v="58.38"/>
    <n v="5.84"/>
    <n v="0"/>
    <n v="0.1"/>
    <s v="ACTIVE"/>
    <m/>
    <s v=""/>
    <m/>
    <d v="2026-08-07T13:02:59"/>
    <d v="2026-08-07T00:00:00"/>
    <x v="10"/>
    <x v="0"/>
    <n v="1"/>
    <n v="0"/>
    <x v="2095"/>
    <s v="Patricia Ortiz Jiménez"/>
    <x v="2"/>
  </r>
  <r>
    <n v="2483"/>
    <n v="128"/>
    <n v="3"/>
    <n v="46.15"/>
    <n v="0"/>
    <n v="1"/>
    <n v="0.1"/>
    <s v="ACTIVE"/>
    <m/>
    <s v=""/>
    <m/>
    <d v="2026-08-07T13:10:04"/>
    <d v="2026-08-07T00:00:00"/>
    <x v="10"/>
    <x v="1"/>
    <n v="1"/>
    <n v="0"/>
    <x v="2096"/>
    <s v="Verónica Ortiz Rangel"/>
    <x v="0"/>
  </r>
  <r>
    <n v="2484"/>
    <n v="128"/>
    <n v="2"/>
    <n v="25.36"/>
    <n v="2.54"/>
    <n v="0"/>
    <n v="0.1"/>
    <s v="ACTIVE"/>
    <m/>
    <s v=""/>
    <m/>
    <d v="2026-08-07T15:27:38"/>
    <d v="2026-08-07T00:00:00"/>
    <x v="10"/>
    <x v="0"/>
    <n v="1"/>
    <n v="0"/>
    <x v="2097"/>
    <s v="Verónica Ortiz Rangel"/>
    <x v="1"/>
  </r>
  <r>
    <n v="2485"/>
    <n v="128"/>
    <n v="5"/>
    <n v="24.47"/>
    <n v="2.4500000000000002"/>
    <n v="0"/>
    <n v="0.1"/>
    <s v="ACTIVE"/>
    <m/>
    <s v=""/>
    <m/>
    <d v="2026-08-08T07:33:18"/>
    <d v="2026-08-08T00:00:00"/>
    <x v="10"/>
    <x v="0"/>
    <n v="1"/>
    <n v="0"/>
    <x v="2098"/>
    <s v="Verónica Ortiz Rangel"/>
    <x v="2"/>
  </r>
  <r>
    <n v="2486"/>
    <n v="128"/>
    <n v="5"/>
    <n v="72.19"/>
    <n v="7.22"/>
    <n v="0"/>
    <n v="0.1"/>
    <s v="ACTIVE"/>
    <m/>
    <s v=""/>
    <m/>
    <d v="2026-08-08T08:38:16"/>
    <d v="2026-08-08T00:00:00"/>
    <x v="10"/>
    <x v="0"/>
    <n v="1"/>
    <n v="0"/>
    <x v="2099"/>
    <s v="Verónica Ortiz Rangel"/>
    <x v="2"/>
  </r>
  <r>
    <n v="2487"/>
    <n v="36"/>
    <n v="3"/>
    <n v="149.29"/>
    <n v="14.93"/>
    <n v="0"/>
    <n v="0.1"/>
    <s v="ACTIVE"/>
    <m/>
    <s v=""/>
    <m/>
    <d v="2026-08-08T10:54:06"/>
    <d v="2026-08-08T00:00:00"/>
    <x v="10"/>
    <x v="0"/>
    <n v="1"/>
    <n v="0"/>
    <x v="2100"/>
    <s v="Sergio Delgado Herrera"/>
    <x v="0"/>
  </r>
  <r>
    <n v="2488"/>
    <n v="128"/>
    <n v="5"/>
    <n v="29.79"/>
    <n v="2.98"/>
    <n v="0"/>
    <n v="0.1"/>
    <s v="ACTIVE"/>
    <m/>
    <s v=""/>
    <m/>
    <d v="2026-08-08T11:18:36"/>
    <d v="2026-08-08T00:00:00"/>
    <x v="10"/>
    <x v="0"/>
    <n v="1"/>
    <n v="0"/>
    <x v="2101"/>
    <s v="Verónica Ortiz Rangel"/>
    <x v="2"/>
  </r>
  <r>
    <n v="2489"/>
    <n v="75"/>
    <n v="3"/>
    <n v="101.65"/>
    <n v="10.17"/>
    <n v="0"/>
    <n v="0.1"/>
    <s v="ACTIVE"/>
    <m/>
    <s v=""/>
    <m/>
    <d v="2026-08-08T11:53:57"/>
    <d v="2026-08-08T00:00:00"/>
    <x v="10"/>
    <x v="0"/>
    <n v="1"/>
    <n v="0"/>
    <x v="2102"/>
    <s v="Guadalupe Romero Ortiz"/>
    <x v="0"/>
  </r>
  <r>
    <n v="2490"/>
    <n v="76"/>
    <n v="4"/>
    <n v="128.22"/>
    <n v="12.82"/>
    <n v="0"/>
    <n v="0.1"/>
    <s v="ACTIVE"/>
    <m/>
    <s v=""/>
    <m/>
    <d v="2026-08-08T14:42:37"/>
    <d v="2026-08-08T00:00:00"/>
    <x v="10"/>
    <x v="0"/>
    <n v="1"/>
    <n v="0"/>
    <x v="2103"/>
    <s v="Pedro Jiménez Martínez"/>
    <x v="3"/>
  </r>
  <r>
    <n v="2491"/>
    <n v="75"/>
    <n v="5"/>
    <n v="78.849999999999994"/>
    <n v="7.89"/>
    <n v="0"/>
    <n v="0.1"/>
    <s v="ACTIVE"/>
    <m/>
    <s v=""/>
    <m/>
    <d v="2026-08-08T15:31:13"/>
    <d v="2026-08-08T00:00:00"/>
    <x v="10"/>
    <x v="0"/>
    <n v="1"/>
    <n v="0"/>
    <x v="2104"/>
    <s v="Guadalupe Romero Ortiz"/>
    <x v="2"/>
  </r>
  <r>
    <n v="2492"/>
    <n v="156"/>
    <n v="2"/>
    <n v="27.77"/>
    <n v="2.78"/>
    <n v="0"/>
    <n v="0.1"/>
    <s v="ACTIVE"/>
    <m/>
    <s v=""/>
    <m/>
    <d v="2026-08-08T15:59:38"/>
    <d v="2026-08-08T00:00:00"/>
    <x v="10"/>
    <x v="0"/>
    <n v="1"/>
    <n v="0"/>
    <x v="760"/>
    <s v="Óscar Moreno Chávez"/>
    <x v="1"/>
  </r>
  <r>
    <n v="2493"/>
    <n v="250"/>
    <n v="2"/>
    <n v="65.66"/>
    <n v="0"/>
    <n v="1"/>
    <n v="0.1"/>
    <s v="ACTIVE"/>
    <m/>
    <s v=""/>
    <m/>
    <d v="2026-08-08T16:48:33"/>
    <d v="2026-08-08T00:00:00"/>
    <x v="10"/>
    <x v="1"/>
    <n v="1"/>
    <n v="0"/>
    <x v="2105"/>
    <s v="Verónica Romero Chávez"/>
    <x v="1"/>
  </r>
  <r>
    <n v="2494"/>
    <n v="250"/>
    <n v="3"/>
    <n v="85.41"/>
    <n v="8.5399999999999991"/>
    <n v="0"/>
    <n v="0.1"/>
    <s v="ACTIVE"/>
    <m/>
    <s v=""/>
    <m/>
    <d v="2026-08-08T17:05:35"/>
    <d v="2026-08-08T00:00:00"/>
    <x v="10"/>
    <x v="0"/>
    <n v="1"/>
    <n v="0"/>
    <x v="2106"/>
    <s v="Verónica Romero Chávez"/>
    <x v="0"/>
  </r>
  <r>
    <n v="2495"/>
    <n v="158"/>
    <n v="2"/>
    <n v="25.13"/>
    <n v="2.5099999999999998"/>
    <n v="0"/>
    <n v="0.1"/>
    <s v="ACTIVE"/>
    <m/>
    <s v=""/>
    <m/>
    <d v="2026-08-08T17:33:43"/>
    <d v="2026-08-08T00:00:00"/>
    <x v="10"/>
    <x v="0"/>
    <n v="1"/>
    <n v="0"/>
    <x v="2107"/>
    <s v="Juan Rodríguez Cruz"/>
    <x v="1"/>
  </r>
  <r>
    <n v="2496"/>
    <n v="294"/>
    <n v="3"/>
    <n v="20.11"/>
    <n v="2.0099999999999998"/>
    <n v="0"/>
    <n v="0.1"/>
    <s v="CANCELED"/>
    <n v="4"/>
    <s v="Error de captura"/>
    <d v="2026-08-10T16:08:25"/>
    <d v="2026-08-09T10:08:25"/>
    <d v="2026-08-09T00:00:00"/>
    <x v="10"/>
    <x v="0"/>
    <n v="1"/>
    <n v="1"/>
    <x v="32"/>
    <s v="Francisco Ramos Rodríguez"/>
    <x v="0"/>
  </r>
  <r>
    <n v="2497"/>
    <n v="110"/>
    <n v="5"/>
    <n v="25.07"/>
    <n v="2.5099999999999998"/>
    <n v="0"/>
    <n v="0.1"/>
    <s v="ACTIVE"/>
    <m/>
    <s v=""/>
    <m/>
    <d v="2026-08-09T12:09:50"/>
    <d v="2026-08-09T00:00:00"/>
    <x v="10"/>
    <x v="0"/>
    <n v="1"/>
    <n v="0"/>
    <x v="2108"/>
    <s v="Ricardo Rangel Ramírez"/>
    <x v="2"/>
  </r>
  <r>
    <n v="2498"/>
    <n v="128"/>
    <n v="3"/>
    <n v="23.88"/>
    <n v="2.39"/>
    <n v="0"/>
    <n v="0.1"/>
    <s v="ACTIVE"/>
    <m/>
    <s v=""/>
    <m/>
    <d v="2026-08-09T13:13:09"/>
    <d v="2026-08-09T00:00:00"/>
    <x v="10"/>
    <x v="0"/>
    <n v="1"/>
    <n v="0"/>
    <x v="1222"/>
    <s v="Verónica Ortiz Rangel"/>
    <x v="0"/>
  </r>
  <r>
    <n v="2499"/>
    <n v="128"/>
    <n v="4"/>
    <n v="35.07"/>
    <n v="3.51"/>
    <n v="0"/>
    <n v="0.1"/>
    <s v="ACTIVE"/>
    <m/>
    <s v=""/>
    <m/>
    <d v="2026-08-09T14:15:33"/>
    <d v="2026-08-09T00:00:00"/>
    <x v="10"/>
    <x v="0"/>
    <n v="1"/>
    <n v="0"/>
    <x v="2109"/>
    <s v="Verónica Ortiz Rangel"/>
    <x v="3"/>
  </r>
  <r>
    <n v="2500"/>
    <n v="285"/>
    <n v="2"/>
    <n v="13.53"/>
    <n v="1.35"/>
    <n v="0"/>
    <n v="0.1"/>
    <s v="ACTIVE"/>
    <m/>
    <s v=""/>
    <m/>
    <d v="2026-08-09T15:25:39"/>
    <d v="2026-08-09T00:00:00"/>
    <x v="10"/>
    <x v="0"/>
    <n v="1"/>
    <n v="0"/>
    <x v="2110"/>
    <s v="Alicia Martínez Aguilar"/>
    <x v="1"/>
  </r>
  <r>
    <n v="2501"/>
    <n v="145"/>
    <n v="3"/>
    <n v="122.3"/>
    <n v="12.23"/>
    <n v="0"/>
    <n v="0.1"/>
    <s v="ACTIVE"/>
    <m/>
    <s v=""/>
    <m/>
    <d v="2026-08-09T17:37:19"/>
    <d v="2026-08-09T00:00:00"/>
    <x v="10"/>
    <x v="0"/>
    <n v="1"/>
    <n v="0"/>
    <x v="2111"/>
    <s v="Luis Flores Flores"/>
    <x v="0"/>
  </r>
  <r>
    <n v="2502"/>
    <n v="134"/>
    <n v="3"/>
    <n v="93.19"/>
    <n v="9.32"/>
    <n v="0"/>
    <n v="0.1"/>
    <s v="ACTIVE"/>
    <m/>
    <s v=""/>
    <m/>
    <d v="2026-08-09T17:47:32"/>
    <d v="2026-08-09T00:00:00"/>
    <x v="10"/>
    <x v="0"/>
    <n v="1"/>
    <n v="0"/>
    <x v="2112"/>
    <s v="Javier Moreno Ortiz"/>
    <x v="0"/>
  </r>
  <r>
    <n v="2503"/>
    <n v="16"/>
    <n v="3"/>
    <n v="147.59"/>
    <n v="14.76"/>
    <n v="0"/>
    <n v="0.1"/>
    <s v="ACTIVE"/>
    <m/>
    <s v=""/>
    <m/>
    <d v="2026-08-10T08:06:50"/>
    <d v="2026-08-10T00:00:00"/>
    <x v="10"/>
    <x v="0"/>
    <n v="1"/>
    <n v="0"/>
    <x v="2113"/>
    <s v="Laura Chávez Rangel"/>
    <x v="0"/>
  </r>
  <r>
    <n v="2504"/>
    <n v="229"/>
    <n v="5"/>
    <n v="104.24"/>
    <n v="10.42"/>
    <n v="0"/>
    <n v="0.1"/>
    <s v="ACTIVE"/>
    <m/>
    <s v=""/>
    <m/>
    <d v="2026-08-10T08:34:15"/>
    <d v="2026-08-10T00:00:00"/>
    <x v="10"/>
    <x v="0"/>
    <n v="1"/>
    <n v="0"/>
    <x v="1648"/>
    <s v="Verónica González Rodríguez"/>
    <x v="2"/>
  </r>
  <r>
    <n v="2505"/>
    <n v="189"/>
    <n v="2"/>
    <n v="24.37"/>
    <n v="2.44"/>
    <n v="0"/>
    <n v="0.1"/>
    <s v="ACTIVE"/>
    <m/>
    <s v=""/>
    <m/>
    <d v="2026-08-10T14:07:32"/>
    <d v="2026-08-10T00:00:00"/>
    <x v="10"/>
    <x v="0"/>
    <n v="1"/>
    <n v="0"/>
    <x v="2114"/>
    <s v="Daniel Delgado Romero"/>
    <x v="1"/>
  </r>
  <r>
    <n v="2506"/>
    <n v="134"/>
    <n v="2"/>
    <n v="61.95"/>
    <n v="6.2"/>
    <n v="0"/>
    <n v="0.1"/>
    <s v="ACTIVE"/>
    <m/>
    <s v=""/>
    <m/>
    <d v="2026-08-10T15:04:16"/>
    <d v="2026-08-10T00:00:00"/>
    <x v="10"/>
    <x v="0"/>
    <n v="1"/>
    <n v="0"/>
    <x v="2115"/>
    <s v="Javier Moreno Ortiz"/>
    <x v="1"/>
  </r>
  <r>
    <n v="2507"/>
    <n v="150"/>
    <n v="3"/>
    <n v="68.66"/>
    <n v="6.87"/>
    <n v="0"/>
    <n v="0.1"/>
    <s v="ACTIVE"/>
    <m/>
    <s v=""/>
    <m/>
    <d v="2026-08-10T15:50:34"/>
    <d v="2026-08-10T00:00:00"/>
    <x v="10"/>
    <x v="0"/>
    <n v="1"/>
    <n v="0"/>
    <x v="2116"/>
    <s v="Daniel Díaz Quiñones"/>
    <x v="0"/>
  </r>
  <r>
    <n v="2508"/>
    <n v="128"/>
    <n v="3"/>
    <n v="30.97"/>
    <n v="3.1"/>
    <n v="0"/>
    <n v="0.1"/>
    <s v="ACTIVE"/>
    <m/>
    <s v=""/>
    <m/>
    <d v="2026-08-11T07:14:20"/>
    <d v="2026-08-11T00:00:00"/>
    <x v="10"/>
    <x v="0"/>
    <n v="1"/>
    <n v="0"/>
    <x v="2117"/>
    <s v="Verónica Ortiz Rangel"/>
    <x v="0"/>
  </r>
  <r>
    <n v="2509"/>
    <n v="213"/>
    <n v="3"/>
    <n v="152.81"/>
    <n v="15.28"/>
    <n v="0"/>
    <n v="0.1"/>
    <s v="ACTIVE"/>
    <m/>
    <s v=""/>
    <m/>
    <d v="2026-08-11T08:01:54"/>
    <d v="2026-08-11T00:00:00"/>
    <x v="10"/>
    <x v="0"/>
    <n v="1"/>
    <n v="0"/>
    <x v="2118"/>
    <s v="Teresa Romero Flores"/>
    <x v="0"/>
  </r>
  <r>
    <n v="2510"/>
    <n v="246"/>
    <n v="4"/>
    <n v="28.89"/>
    <n v="2.89"/>
    <n v="0"/>
    <n v="0.1"/>
    <s v="ACTIVE"/>
    <m/>
    <s v=""/>
    <m/>
    <d v="2026-08-11T08:51:25"/>
    <d v="2026-08-11T00:00:00"/>
    <x v="10"/>
    <x v="0"/>
    <n v="1"/>
    <n v="0"/>
    <x v="2119"/>
    <s v="Alicia Morales Jiménez"/>
    <x v="3"/>
  </r>
  <r>
    <n v="2511"/>
    <n v="289"/>
    <n v="4"/>
    <n v="156.66"/>
    <n v="15.67"/>
    <n v="0"/>
    <n v="0.1"/>
    <s v="ACTIVE"/>
    <m/>
    <s v=""/>
    <m/>
    <d v="2026-08-11T09:19:32"/>
    <d v="2026-08-11T00:00:00"/>
    <x v="10"/>
    <x v="0"/>
    <n v="1"/>
    <n v="0"/>
    <x v="2120"/>
    <s v="Javier Ávila Ortiz"/>
    <x v="3"/>
  </r>
  <r>
    <n v="2512"/>
    <n v="29"/>
    <n v="5"/>
    <n v="37.68"/>
    <n v="3.77"/>
    <n v="0"/>
    <n v="0.1"/>
    <s v="ACTIVE"/>
    <m/>
    <s v=""/>
    <m/>
    <d v="2026-08-11T11:48:27"/>
    <d v="2026-08-11T00:00:00"/>
    <x v="10"/>
    <x v="0"/>
    <n v="1"/>
    <n v="0"/>
    <x v="2121"/>
    <s v="Héctor Herrera Gómez"/>
    <x v="2"/>
  </r>
  <r>
    <n v="2513"/>
    <n v="37"/>
    <n v="4"/>
    <n v="129.91"/>
    <n v="12.99"/>
    <n v="0"/>
    <n v="0.1"/>
    <s v="ACTIVE"/>
    <m/>
    <s v=""/>
    <m/>
    <d v="2026-08-11T12:45:24"/>
    <d v="2026-08-11T00:00:00"/>
    <x v="10"/>
    <x v="0"/>
    <n v="1"/>
    <n v="0"/>
    <x v="2122"/>
    <s v="Fernando Mendoza Moreno"/>
    <x v="3"/>
  </r>
  <r>
    <n v="2514"/>
    <n v="285"/>
    <n v="3"/>
    <n v="18.649999999999999"/>
    <n v="1.87"/>
    <n v="0"/>
    <n v="0.1"/>
    <s v="ACTIVE"/>
    <m/>
    <s v=""/>
    <m/>
    <d v="2026-08-11T15:10:02"/>
    <d v="2026-08-11T00:00:00"/>
    <x v="10"/>
    <x v="0"/>
    <n v="1"/>
    <n v="0"/>
    <x v="2123"/>
    <s v="Alicia Martínez Aguilar"/>
    <x v="0"/>
  </r>
  <r>
    <n v="2515"/>
    <n v="285"/>
    <n v="5"/>
    <n v="32.69"/>
    <n v="3.27"/>
    <n v="0"/>
    <n v="0.1"/>
    <s v="ACTIVE"/>
    <m/>
    <s v=""/>
    <m/>
    <d v="2026-08-11T17:13:31"/>
    <d v="2026-08-11T00:00:00"/>
    <x v="10"/>
    <x v="0"/>
    <n v="1"/>
    <n v="0"/>
    <x v="2124"/>
    <s v="Alicia Martínez Aguilar"/>
    <x v="2"/>
  </r>
  <r>
    <n v="2516"/>
    <n v="134"/>
    <n v="3"/>
    <n v="105.76"/>
    <n v="10.58"/>
    <n v="0"/>
    <n v="0.1"/>
    <s v="ACTIVE"/>
    <m/>
    <s v=""/>
    <m/>
    <d v="2026-08-12T08:57:08"/>
    <d v="2026-08-12T00:00:00"/>
    <x v="10"/>
    <x v="0"/>
    <n v="1"/>
    <n v="0"/>
    <x v="2125"/>
    <s v="Javier Moreno Ortiz"/>
    <x v="0"/>
  </r>
  <r>
    <n v="2517"/>
    <n v="65"/>
    <n v="5"/>
    <n v="30.64"/>
    <n v="3.06"/>
    <n v="0"/>
    <n v="0.1"/>
    <s v="ACTIVE"/>
    <m/>
    <s v=""/>
    <m/>
    <d v="2026-08-12T09:51:36"/>
    <d v="2026-08-12T00:00:00"/>
    <x v="10"/>
    <x v="0"/>
    <n v="1"/>
    <n v="0"/>
    <x v="1842"/>
    <s v="Gabriela Flores Chávez"/>
    <x v="2"/>
  </r>
  <r>
    <n v="2518"/>
    <n v="128"/>
    <n v="3"/>
    <n v="31.08"/>
    <n v="3.11"/>
    <n v="0"/>
    <n v="0.1"/>
    <s v="ACTIVE"/>
    <m/>
    <s v=""/>
    <m/>
    <d v="2026-08-12T15:17:56"/>
    <d v="2026-08-12T00:00:00"/>
    <x v="10"/>
    <x v="0"/>
    <n v="1"/>
    <n v="0"/>
    <x v="864"/>
    <s v="Verónica Ortiz Rangel"/>
    <x v="0"/>
  </r>
  <r>
    <n v="2519"/>
    <n v="128"/>
    <n v="3"/>
    <n v="35.22"/>
    <n v="3.52"/>
    <n v="0"/>
    <n v="0.1"/>
    <s v="ACTIVE"/>
    <m/>
    <s v=""/>
    <m/>
    <d v="2026-08-12T19:22:45"/>
    <d v="2026-08-12T00:00:00"/>
    <x v="10"/>
    <x v="0"/>
    <n v="1"/>
    <n v="0"/>
    <x v="2126"/>
    <s v="Verónica Ortiz Rangel"/>
    <x v="0"/>
  </r>
  <r>
    <n v="2520"/>
    <n v="87"/>
    <n v="3"/>
    <n v="102.76"/>
    <n v="10.28"/>
    <n v="0"/>
    <n v="0.1"/>
    <s v="ACTIVE"/>
    <m/>
    <s v=""/>
    <m/>
    <d v="2026-08-12T19:24:52"/>
    <d v="2026-08-12T00:00:00"/>
    <x v="10"/>
    <x v="0"/>
    <n v="1"/>
    <n v="0"/>
    <x v="2127"/>
    <s v="Antonio Reyes Romero"/>
    <x v="0"/>
  </r>
  <r>
    <n v="2521"/>
    <n v="156"/>
    <n v="2"/>
    <n v="32.83"/>
    <n v="3.28"/>
    <n v="0"/>
    <n v="0.1"/>
    <s v="ACTIVE"/>
    <m/>
    <s v=""/>
    <m/>
    <d v="2026-08-13T07:44:36"/>
    <d v="2026-08-13T00:00:00"/>
    <x v="10"/>
    <x v="0"/>
    <n v="1"/>
    <n v="0"/>
    <x v="1515"/>
    <s v="Óscar Moreno Chávez"/>
    <x v="1"/>
  </r>
  <r>
    <n v="2522"/>
    <n v="171"/>
    <n v="4"/>
    <n v="220"/>
    <n v="22"/>
    <n v="0"/>
    <n v="0.1"/>
    <s v="ACTIVE"/>
    <m/>
    <s v=""/>
    <m/>
    <d v="2026-08-13T09:43:00"/>
    <d v="2026-08-13T00:00:00"/>
    <x v="10"/>
    <x v="0"/>
    <n v="1"/>
    <n v="0"/>
    <x v="200"/>
    <s v="Manuel Villalobos Ramos"/>
    <x v="3"/>
  </r>
  <r>
    <n v="2523"/>
    <n v="51"/>
    <n v="3"/>
    <n v="152.25"/>
    <n v="15.23"/>
    <n v="0"/>
    <n v="0.1"/>
    <s v="ACTIVE"/>
    <m/>
    <s v=""/>
    <m/>
    <d v="2026-08-13T10:27:32"/>
    <d v="2026-08-13T00:00:00"/>
    <x v="10"/>
    <x v="0"/>
    <n v="1"/>
    <n v="0"/>
    <x v="2128"/>
    <s v="Sergio Rangel Ramos"/>
    <x v="0"/>
  </r>
  <r>
    <n v="2524"/>
    <n v="238"/>
    <n v="5"/>
    <n v="42.83"/>
    <n v="4.28"/>
    <n v="0"/>
    <n v="0.1"/>
    <s v="ACTIVE"/>
    <m/>
    <s v=""/>
    <m/>
    <d v="2026-08-13T15:47:23"/>
    <d v="2026-08-13T00:00:00"/>
    <x v="10"/>
    <x v="0"/>
    <n v="1"/>
    <n v="0"/>
    <x v="2129"/>
    <s v="Carmen López Ramos"/>
    <x v="2"/>
  </r>
  <r>
    <n v="2525"/>
    <n v="80"/>
    <n v="4"/>
    <n v="29.8"/>
    <n v="2.98"/>
    <n v="0"/>
    <n v="0.1"/>
    <s v="ACTIVE"/>
    <m/>
    <s v=""/>
    <m/>
    <d v="2026-08-13T18:38:35"/>
    <d v="2026-08-13T00:00:00"/>
    <x v="10"/>
    <x v="0"/>
    <n v="1"/>
    <n v="0"/>
    <x v="2130"/>
    <s v="Juan Sánchez Gutiérrez"/>
    <x v="3"/>
  </r>
  <r>
    <n v="2526"/>
    <n v="86"/>
    <n v="5"/>
    <n v="21.24"/>
    <n v="2.12"/>
    <n v="0"/>
    <n v="0.1"/>
    <s v="ACTIVE"/>
    <m/>
    <s v=""/>
    <m/>
    <d v="2026-08-13T19:15:56"/>
    <d v="2026-08-13T00:00:00"/>
    <x v="10"/>
    <x v="0"/>
    <n v="1"/>
    <n v="0"/>
    <x v="2131"/>
    <s v="Óscar Romero Ruiz"/>
    <x v="2"/>
  </r>
  <r>
    <n v="2527"/>
    <n v="131"/>
    <n v="2"/>
    <n v="141.19999999999999"/>
    <n v="14.12"/>
    <n v="0"/>
    <n v="0.1"/>
    <s v="ACTIVE"/>
    <m/>
    <s v=""/>
    <m/>
    <d v="2026-08-14T07:07:26"/>
    <d v="2026-08-14T00:00:00"/>
    <x v="10"/>
    <x v="0"/>
    <n v="1"/>
    <n v="0"/>
    <x v="2132"/>
    <s v="Raúl Quiñones Hernández"/>
    <x v="1"/>
  </r>
  <r>
    <n v="2528"/>
    <n v="213"/>
    <n v="5"/>
    <n v="144.21"/>
    <n v="14.42"/>
    <n v="0"/>
    <n v="0.1"/>
    <s v="ACTIVE"/>
    <m/>
    <s v=""/>
    <m/>
    <d v="2026-08-14T07:59:31"/>
    <d v="2026-08-14T00:00:00"/>
    <x v="10"/>
    <x v="0"/>
    <n v="1"/>
    <n v="0"/>
    <x v="2133"/>
    <s v="Teresa Romero Flores"/>
    <x v="2"/>
  </r>
  <r>
    <n v="2529"/>
    <n v="75"/>
    <n v="3"/>
    <n v="148.53"/>
    <n v="14.85"/>
    <n v="0"/>
    <n v="0.1"/>
    <s v="ACTIVE"/>
    <m/>
    <s v=""/>
    <m/>
    <d v="2026-08-14T08:55:02"/>
    <d v="2026-08-14T00:00:00"/>
    <x v="10"/>
    <x v="0"/>
    <n v="1"/>
    <n v="0"/>
    <x v="2134"/>
    <s v="Guadalupe Romero Ortiz"/>
    <x v="0"/>
  </r>
  <r>
    <n v="2530"/>
    <n v="128"/>
    <n v="5"/>
    <n v="19.86"/>
    <n v="1.99"/>
    <n v="0"/>
    <n v="0.1"/>
    <s v="ACTIVE"/>
    <m/>
    <s v=""/>
    <m/>
    <d v="2026-08-14T10:46:43"/>
    <d v="2026-08-14T00:00:00"/>
    <x v="10"/>
    <x v="0"/>
    <n v="1"/>
    <n v="0"/>
    <x v="2135"/>
    <s v="Verónica Ortiz Rangel"/>
    <x v="2"/>
  </r>
  <r>
    <n v="2531"/>
    <n v="128"/>
    <n v="4"/>
    <n v="19.5"/>
    <n v="1.95"/>
    <n v="0"/>
    <n v="0.1"/>
    <s v="ACTIVE"/>
    <m/>
    <s v=""/>
    <m/>
    <d v="2026-08-14T15:39:22"/>
    <d v="2026-08-14T00:00:00"/>
    <x v="10"/>
    <x v="0"/>
    <n v="1"/>
    <n v="0"/>
    <x v="2136"/>
    <s v="Verónica Ortiz Rangel"/>
    <x v="3"/>
  </r>
  <r>
    <n v="2532"/>
    <n v="285"/>
    <n v="4"/>
    <n v="21.32"/>
    <n v="2.13"/>
    <n v="0"/>
    <n v="0.1"/>
    <s v="ACTIVE"/>
    <m/>
    <s v=""/>
    <m/>
    <d v="2026-08-14T16:22:04"/>
    <d v="2026-08-14T00:00:00"/>
    <x v="10"/>
    <x v="0"/>
    <n v="1"/>
    <n v="0"/>
    <x v="2137"/>
    <s v="Alicia Martínez Aguilar"/>
    <x v="3"/>
  </r>
  <r>
    <n v="2533"/>
    <n v="57"/>
    <n v="2"/>
    <n v="133.63999999999999"/>
    <n v="13.36"/>
    <n v="0"/>
    <n v="0.1"/>
    <s v="ACTIVE"/>
    <m/>
    <s v=""/>
    <m/>
    <d v="2026-08-14T16:25:20"/>
    <d v="2026-08-14T00:00:00"/>
    <x v="10"/>
    <x v="0"/>
    <n v="1"/>
    <n v="0"/>
    <x v="2138"/>
    <s v="Isabel Martínez Rodríguez"/>
    <x v="1"/>
  </r>
  <r>
    <n v="2534"/>
    <n v="134"/>
    <n v="3"/>
    <n v="76.09"/>
    <n v="7.61"/>
    <n v="0"/>
    <n v="0.1"/>
    <s v="ACTIVE"/>
    <m/>
    <s v=""/>
    <m/>
    <d v="2026-08-14T16:33:36"/>
    <d v="2026-08-14T00:00:00"/>
    <x v="10"/>
    <x v="0"/>
    <n v="1"/>
    <n v="0"/>
    <x v="2139"/>
    <s v="Javier Moreno Ortiz"/>
    <x v="0"/>
  </r>
  <r>
    <n v="2535"/>
    <n v="128"/>
    <n v="3"/>
    <n v="14.41"/>
    <n v="1.44"/>
    <n v="0"/>
    <n v="0.1"/>
    <s v="ACTIVE"/>
    <m/>
    <s v=""/>
    <m/>
    <d v="2026-08-15T07:17:35"/>
    <d v="2026-08-15T00:00:00"/>
    <x v="10"/>
    <x v="0"/>
    <n v="1"/>
    <n v="0"/>
    <x v="2140"/>
    <s v="Verónica Ortiz Rangel"/>
    <x v="0"/>
  </r>
  <r>
    <n v="2536"/>
    <n v="44"/>
    <n v="4"/>
    <n v="33.03"/>
    <n v="0"/>
    <n v="1"/>
    <n v="0.1"/>
    <s v="ACTIVE"/>
    <m/>
    <s v=""/>
    <m/>
    <d v="2026-08-15T09:20:13"/>
    <d v="2026-08-15T00:00:00"/>
    <x v="10"/>
    <x v="1"/>
    <n v="1"/>
    <n v="0"/>
    <x v="2141"/>
    <s v="Pedro Herrera Castillo"/>
    <x v="3"/>
  </r>
  <r>
    <n v="2537"/>
    <n v="18"/>
    <n v="2"/>
    <n v="146.24"/>
    <n v="0"/>
    <n v="1"/>
    <n v="0.1"/>
    <s v="CANCELED"/>
    <n v="5"/>
    <s v="Solicitud del cliente"/>
    <d v="2026-08-16T22:47:37"/>
    <d v="2026-08-15T10:47:37"/>
    <d v="2026-08-15T00:00:00"/>
    <x v="10"/>
    <x v="1"/>
    <n v="1"/>
    <n v="1"/>
    <x v="32"/>
    <s v="Carlos Gómez Ávila"/>
    <x v="1"/>
  </r>
  <r>
    <n v="2538"/>
    <n v="16"/>
    <n v="2"/>
    <n v="217.19"/>
    <n v="21.72"/>
    <n v="0"/>
    <n v="0.1"/>
    <s v="ACTIVE"/>
    <m/>
    <s v=""/>
    <m/>
    <d v="2026-08-15T11:31:50"/>
    <d v="2026-08-15T00:00:00"/>
    <x v="10"/>
    <x v="0"/>
    <n v="1"/>
    <n v="0"/>
    <x v="2142"/>
    <s v="Laura Chávez Rangel"/>
    <x v="1"/>
  </r>
  <r>
    <n v="2539"/>
    <n v="184"/>
    <n v="4"/>
    <n v="51.96"/>
    <n v="5.2"/>
    <n v="0"/>
    <n v="0.1"/>
    <s v="ACTIVE"/>
    <m/>
    <s v=""/>
    <m/>
    <d v="2026-08-15T12:30:38"/>
    <d v="2026-08-15T00:00:00"/>
    <x v="10"/>
    <x v="0"/>
    <n v="1"/>
    <n v="0"/>
    <x v="2143"/>
    <s v="Teresa Jiménez Ruiz"/>
    <x v="3"/>
  </r>
  <r>
    <n v="2540"/>
    <n v="183"/>
    <n v="3"/>
    <n v="113.53"/>
    <n v="11.35"/>
    <n v="0"/>
    <n v="0.1"/>
    <s v="ACTIVE"/>
    <m/>
    <s v=""/>
    <m/>
    <d v="2026-08-15T13:52:50"/>
    <d v="2026-08-15T00:00:00"/>
    <x v="10"/>
    <x v="0"/>
    <n v="1"/>
    <n v="0"/>
    <x v="2144"/>
    <s v="Irma Moreno Rodríguez"/>
    <x v="0"/>
  </r>
  <r>
    <n v="2541"/>
    <n v="229"/>
    <n v="4"/>
    <n v="220"/>
    <n v="22"/>
    <n v="0"/>
    <n v="0.1"/>
    <s v="CANCELED"/>
    <n v="5"/>
    <s v="Error de captura"/>
    <d v="2026-08-16T02:53:36"/>
    <d v="2026-08-15T13:53:36"/>
    <d v="2026-08-15T00:00:00"/>
    <x v="10"/>
    <x v="0"/>
    <n v="1"/>
    <n v="1"/>
    <x v="32"/>
    <s v="Verónica González Rodríguez"/>
    <x v="3"/>
  </r>
  <r>
    <n v="2542"/>
    <n v="198"/>
    <n v="5"/>
    <n v="43.35"/>
    <n v="4.34"/>
    <n v="0"/>
    <n v="0.1"/>
    <s v="ACTIVE"/>
    <m/>
    <s v=""/>
    <m/>
    <d v="2026-08-15T14:09:48"/>
    <d v="2026-08-15T00:00:00"/>
    <x v="10"/>
    <x v="0"/>
    <n v="1"/>
    <n v="0"/>
    <x v="2145"/>
    <s v="Luis Villalobos Ramos"/>
    <x v="2"/>
  </r>
  <r>
    <n v="2543"/>
    <n v="134"/>
    <n v="2"/>
    <n v="49.81"/>
    <n v="4.9800000000000004"/>
    <n v="0"/>
    <n v="0.1"/>
    <s v="ACTIVE"/>
    <m/>
    <s v=""/>
    <m/>
    <d v="2026-08-15T14:49:57"/>
    <d v="2026-08-15T00:00:00"/>
    <x v="10"/>
    <x v="0"/>
    <n v="1"/>
    <n v="0"/>
    <x v="2146"/>
    <s v="Javier Moreno Ortiz"/>
    <x v="1"/>
  </r>
  <r>
    <n v="2544"/>
    <n v="233"/>
    <n v="5"/>
    <n v="81.08"/>
    <n v="8.11"/>
    <n v="0"/>
    <n v="0.1"/>
    <s v="ACTIVE"/>
    <m/>
    <s v=""/>
    <m/>
    <d v="2026-08-16T14:31:44"/>
    <d v="2026-08-16T00:00:00"/>
    <x v="10"/>
    <x v="0"/>
    <n v="1"/>
    <n v="0"/>
    <x v="2147"/>
    <s v="Guadalupe Rangel Moreno"/>
    <x v="2"/>
  </r>
  <r>
    <n v="2545"/>
    <n v="244"/>
    <n v="3"/>
    <n v="101.18"/>
    <n v="10.119999999999999"/>
    <n v="0"/>
    <n v="0.1"/>
    <s v="ACTIVE"/>
    <m/>
    <s v=""/>
    <m/>
    <d v="2026-08-17T07:16:48"/>
    <d v="2026-08-17T00:00:00"/>
    <x v="10"/>
    <x v="0"/>
    <n v="1"/>
    <n v="0"/>
    <x v="2148"/>
    <s v="Guadalupe Castillo Hernández"/>
    <x v="0"/>
  </r>
  <r>
    <n v="2546"/>
    <n v="200"/>
    <n v="4"/>
    <n v="19.670000000000002"/>
    <n v="1.97"/>
    <n v="0"/>
    <n v="0.1"/>
    <s v="ACTIVE"/>
    <m/>
    <s v=""/>
    <m/>
    <d v="2026-08-17T07:26:56"/>
    <d v="2026-08-17T00:00:00"/>
    <x v="10"/>
    <x v="0"/>
    <n v="1"/>
    <n v="0"/>
    <x v="537"/>
    <s v="Antonio Pérez Martínez"/>
    <x v="3"/>
  </r>
  <r>
    <n v="2547"/>
    <n v="232"/>
    <n v="2"/>
    <n v="31.77"/>
    <n v="3.18"/>
    <n v="0"/>
    <n v="0.1"/>
    <s v="ACTIVE"/>
    <m/>
    <s v=""/>
    <m/>
    <d v="2026-08-17T13:41:05"/>
    <d v="2026-08-17T00:00:00"/>
    <x v="10"/>
    <x v="0"/>
    <n v="1"/>
    <n v="0"/>
    <x v="2149"/>
    <s v="Francisco Quiñones Morales"/>
    <x v="1"/>
  </r>
  <r>
    <n v="2548"/>
    <n v="245"/>
    <n v="5"/>
    <n v="27.56"/>
    <n v="2.76"/>
    <n v="0"/>
    <n v="0.1"/>
    <s v="ACTIVE"/>
    <m/>
    <s v=""/>
    <m/>
    <d v="2026-08-17T16:25:39"/>
    <d v="2026-08-17T00:00:00"/>
    <x v="10"/>
    <x v="0"/>
    <n v="1"/>
    <n v="0"/>
    <x v="2150"/>
    <s v="Ana González Flores"/>
    <x v="2"/>
  </r>
  <r>
    <n v="2549"/>
    <n v="14"/>
    <n v="3"/>
    <n v="44.48"/>
    <n v="4.45"/>
    <n v="0"/>
    <n v="0.1"/>
    <s v="ACTIVE"/>
    <m/>
    <s v=""/>
    <m/>
    <d v="2026-08-18T09:01:19"/>
    <d v="2026-08-18T00:00:00"/>
    <x v="10"/>
    <x v="0"/>
    <n v="1"/>
    <n v="0"/>
    <x v="338"/>
    <s v="Patricia Santoyo Reyes"/>
    <x v="0"/>
  </r>
  <r>
    <n v="2550"/>
    <n v="128"/>
    <n v="5"/>
    <n v="30.39"/>
    <n v="3.04"/>
    <n v="0"/>
    <n v="0.1"/>
    <s v="ACTIVE"/>
    <m/>
    <s v=""/>
    <m/>
    <d v="2026-08-18T11:14:53"/>
    <d v="2026-08-18T00:00:00"/>
    <x v="10"/>
    <x v="0"/>
    <n v="1"/>
    <n v="0"/>
    <x v="1047"/>
    <s v="Verónica Ortiz Rangel"/>
    <x v="2"/>
  </r>
  <r>
    <n v="2551"/>
    <n v="91"/>
    <n v="4"/>
    <n v="21.16"/>
    <n v="2.12"/>
    <n v="0"/>
    <n v="0.1"/>
    <s v="ACTIVE"/>
    <m/>
    <s v=""/>
    <m/>
    <d v="2026-08-18T15:04:46"/>
    <d v="2026-08-18T00:00:00"/>
    <x v="10"/>
    <x v="0"/>
    <n v="1"/>
    <n v="0"/>
    <x v="2151"/>
    <s v="Silvia Gómez Rodríguez"/>
    <x v="3"/>
  </r>
  <r>
    <n v="2552"/>
    <n v="156"/>
    <n v="5"/>
    <n v="15.4"/>
    <n v="1.54"/>
    <n v="0"/>
    <n v="0.1"/>
    <s v="ACTIVE"/>
    <m/>
    <s v=""/>
    <m/>
    <d v="2026-08-18T15:48:53"/>
    <d v="2026-08-18T00:00:00"/>
    <x v="10"/>
    <x v="0"/>
    <n v="1"/>
    <n v="0"/>
    <x v="2152"/>
    <s v="Óscar Moreno Chávez"/>
    <x v="2"/>
  </r>
  <r>
    <n v="2553"/>
    <n v="162"/>
    <n v="3"/>
    <n v="29.76"/>
    <n v="2.98"/>
    <n v="0"/>
    <n v="0.1"/>
    <s v="ACTIVE"/>
    <m/>
    <s v=""/>
    <m/>
    <d v="2026-08-18T17:21:22"/>
    <d v="2026-08-18T00:00:00"/>
    <x v="10"/>
    <x v="0"/>
    <n v="1"/>
    <n v="0"/>
    <x v="987"/>
    <s v="María Pérez Gómez"/>
    <x v="0"/>
  </r>
  <r>
    <n v="2554"/>
    <n v="38"/>
    <n v="4"/>
    <n v="24.11"/>
    <n v="2.41"/>
    <n v="0"/>
    <n v="0.1"/>
    <s v="ACTIVE"/>
    <m/>
    <s v=""/>
    <m/>
    <d v="2026-08-19T07:40:45"/>
    <d v="2026-08-19T00:00:00"/>
    <x v="10"/>
    <x v="0"/>
    <n v="1"/>
    <n v="0"/>
    <x v="1930"/>
    <s v="Verónica Delgado Medina"/>
    <x v="3"/>
  </r>
  <r>
    <n v="2555"/>
    <n v="128"/>
    <n v="5"/>
    <n v="29.14"/>
    <n v="2.91"/>
    <n v="0"/>
    <n v="0.1"/>
    <s v="ACTIVE"/>
    <m/>
    <s v=""/>
    <m/>
    <d v="2026-08-19T08:21:12"/>
    <d v="2026-08-19T00:00:00"/>
    <x v="10"/>
    <x v="0"/>
    <n v="1"/>
    <n v="0"/>
    <x v="2153"/>
    <s v="Verónica Ortiz Rangel"/>
    <x v="2"/>
  </r>
  <r>
    <n v="2556"/>
    <n v="185"/>
    <n v="4"/>
    <n v="83.27"/>
    <n v="8.33"/>
    <n v="0"/>
    <n v="0.1"/>
    <s v="ACTIVE"/>
    <m/>
    <s v=""/>
    <m/>
    <d v="2026-08-19T08:29:40"/>
    <d v="2026-08-19T00:00:00"/>
    <x v="10"/>
    <x v="0"/>
    <n v="1"/>
    <n v="0"/>
    <x v="2154"/>
    <s v="Teresa Martínez González"/>
    <x v="3"/>
  </r>
  <r>
    <n v="2557"/>
    <n v="75"/>
    <n v="2"/>
    <n v="64.650000000000006"/>
    <n v="6.47"/>
    <n v="0"/>
    <n v="0.1"/>
    <s v="ACTIVE"/>
    <m/>
    <s v=""/>
    <m/>
    <d v="2026-08-19T09:19:22"/>
    <d v="2026-08-19T00:00:00"/>
    <x v="10"/>
    <x v="0"/>
    <n v="1"/>
    <n v="0"/>
    <x v="2155"/>
    <s v="Guadalupe Romero Ortiz"/>
    <x v="1"/>
  </r>
  <r>
    <n v="2558"/>
    <n v="243"/>
    <n v="2"/>
    <n v="66.42"/>
    <n v="6.64"/>
    <n v="0"/>
    <n v="0.1"/>
    <s v="ACTIVE"/>
    <m/>
    <s v=""/>
    <m/>
    <d v="2026-08-19T16:32:09"/>
    <d v="2026-08-19T00:00:00"/>
    <x v="10"/>
    <x v="0"/>
    <n v="1"/>
    <n v="0"/>
    <x v="2156"/>
    <s v="Raúl García Díaz"/>
    <x v="1"/>
  </r>
  <r>
    <n v="2559"/>
    <n v="235"/>
    <n v="2"/>
    <n v="52.52"/>
    <n v="5.25"/>
    <n v="0"/>
    <n v="0.1"/>
    <s v="ACTIVE"/>
    <m/>
    <s v=""/>
    <m/>
    <d v="2026-08-19T16:37:48"/>
    <d v="2026-08-19T00:00:00"/>
    <x v="10"/>
    <x v="0"/>
    <n v="1"/>
    <n v="0"/>
    <x v="2157"/>
    <s v="Silvia González Rodríguez"/>
    <x v="1"/>
  </r>
  <r>
    <n v="2560"/>
    <n v="157"/>
    <n v="4"/>
    <n v="79.349999999999994"/>
    <n v="7.94"/>
    <n v="0"/>
    <n v="0.1"/>
    <s v="ACTIVE"/>
    <m/>
    <s v=""/>
    <m/>
    <d v="2026-08-19T17:13:33"/>
    <d v="2026-08-19T00:00:00"/>
    <x v="10"/>
    <x v="0"/>
    <n v="1"/>
    <n v="0"/>
    <x v="2158"/>
    <s v="Jorge Martínez Herrera"/>
    <x v="3"/>
  </r>
  <r>
    <n v="2561"/>
    <n v="75"/>
    <n v="2"/>
    <n v="52.41"/>
    <n v="5.24"/>
    <n v="0"/>
    <n v="0.1"/>
    <s v="ACTIVE"/>
    <m/>
    <s v=""/>
    <m/>
    <d v="2026-08-19T17:56:35"/>
    <d v="2026-08-19T00:00:00"/>
    <x v="10"/>
    <x v="0"/>
    <n v="1"/>
    <n v="0"/>
    <x v="2159"/>
    <s v="Guadalupe Romero Ortiz"/>
    <x v="1"/>
  </r>
  <r>
    <n v="2562"/>
    <n v="86"/>
    <n v="3"/>
    <n v="42.78"/>
    <n v="4.28"/>
    <n v="0"/>
    <n v="0.1"/>
    <s v="ACTIVE"/>
    <m/>
    <s v=""/>
    <m/>
    <d v="2026-08-20T08:10:21"/>
    <d v="2026-08-20T00:00:00"/>
    <x v="10"/>
    <x v="0"/>
    <n v="1"/>
    <n v="0"/>
    <x v="2160"/>
    <s v="Óscar Romero Ruiz"/>
    <x v="0"/>
  </r>
  <r>
    <n v="2563"/>
    <n v="268"/>
    <n v="2"/>
    <n v="44.33"/>
    <n v="4.43"/>
    <n v="0"/>
    <n v="0.1"/>
    <s v="CANCELED"/>
    <n v="3"/>
    <s v="Monto duplicado por error de sistema"/>
    <d v="2026-08-20T10:41:20"/>
    <d v="2026-08-20T08:41:20"/>
    <d v="2026-08-20T00:00:00"/>
    <x v="10"/>
    <x v="0"/>
    <n v="1"/>
    <n v="1"/>
    <x v="32"/>
    <s v="Verónica Mendoza Chávez"/>
    <x v="1"/>
  </r>
  <r>
    <n v="2564"/>
    <n v="128"/>
    <n v="5"/>
    <n v="20.46"/>
    <n v="0"/>
    <n v="1"/>
    <n v="0.1"/>
    <s v="ACTIVE"/>
    <m/>
    <s v=""/>
    <m/>
    <d v="2026-08-20T09:36:39"/>
    <d v="2026-08-20T00:00:00"/>
    <x v="10"/>
    <x v="1"/>
    <n v="1"/>
    <n v="0"/>
    <x v="2161"/>
    <s v="Verónica Ortiz Rangel"/>
    <x v="2"/>
  </r>
  <r>
    <n v="2565"/>
    <n v="128"/>
    <n v="2"/>
    <n v="17.63"/>
    <n v="1.76"/>
    <n v="0"/>
    <n v="0.1"/>
    <s v="ACTIVE"/>
    <m/>
    <s v=""/>
    <m/>
    <d v="2026-08-20T09:39:43"/>
    <d v="2026-08-20T00:00:00"/>
    <x v="10"/>
    <x v="0"/>
    <n v="1"/>
    <n v="0"/>
    <x v="2162"/>
    <s v="Verónica Ortiz Rangel"/>
    <x v="1"/>
  </r>
  <r>
    <n v="2566"/>
    <n v="11"/>
    <n v="5"/>
    <n v="276.68"/>
    <n v="27.67"/>
    <n v="0"/>
    <n v="0.1"/>
    <s v="ACTIVE"/>
    <m/>
    <s v=""/>
    <m/>
    <d v="2026-08-20T10:30:34"/>
    <d v="2026-08-20T00:00:00"/>
    <x v="10"/>
    <x v="0"/>
    <n v="1"/>
    <n v="0"/>
    <x v="2163"/>
    <s v="Guadalupe Pérez Rodríguez"/>
    <x v="2"/>
  </r>
  <r>
    <n v="2567"/>
    <n v="148"/>
    <n v="2"/>
    <n v="21.98"/>
    <n v="2.2000000000000002"/>
    <n v="0"/>
    <n v="0.1"/>
    <s v="ACTIVE"/>
    <m/>
    <s v=""/>
    <m/>
    <d v="2026-08-20T14:52:37"/>
    <d v="2026-08-20T00:00:00"/>
    <x v="10"/>
    <x v="0"/>
    <n v="1"/>
    <n v="0"/>
    <x v="2164"/>
    <s v="Isabel Herrera Mendoza"/>
    <x v="1"/>
  </r>
  <r>
    <n v="2568"/>
    <n v="136"/>
    <n v="4"/>
    <n v="69.040000000000006"/>
    <n v="6.9"/>
    <n v="0"/>
    <n v="0.1"/>
    <s v="ACTIVE"/>
    <m/>
    <s v=""/>
    <m/>
    <d v="2026-08-20T15:06:13"/>
    <d v="2026-08-20T00:00:00"/>
    <x v="10"/>
    <x v="0"/>
    <n v="1"/>
    <n v="0"/>
    <x v="2165"/>
    <s v="Guadalupe Castillo Rangel"/>
    <x v="3"/>
  </r>
  <r>
    <n v="2569"/>
    <n v="121"/>
    <n v="3"/>
    <n v="48.12"/>
    <n v="4.8099999999999996"/>
    <n v="0"/>
    <n v="0.1"/>
    <s v="ACTIVE"/>
    <m/>
    <s v=""/>
    <m/>
    <d v="2026-08-21T09:16:03"/>
    <d v="2026-08-21T00:00:00"/>
    <x v="10"/>
    <x v="0"/>
    <n v="1"/>
    <n v="0"/>
    <x v="2166"/>
    <s v="Fernando González Ortiz"/>
    <x v="0"/>
  </r>
  <r>
    <n v="2570"/>
    <n v="250"/>
    <n v="5"/>
    <n v="134.1"/>
    <n v="13.41"/>
    <n v="0"/>
    <n v="0.1"/>
    <s v="ACTIVE"/>
    <m/>
    <s v=""/>
    <m/>
    <d v="2026-08-21T09:23:46"/>
    <d v="2026-08-21T00:00:00"/>
    <x v="10"/>
    <x v="0"/>
    <n v="1"/>
    <n v="0"/>
    <x v="2167"/>
    <s v="Verónica Romero Chávez"/>
    <x v="2"/>
  </r>
  <r>
    <n v="2571"/>
    <n v="161"/>
    <n v="4"/>
    <n v="98.36"/>
    <n v="9.84"/>
    <n v="0"/>
    <n v="0.1"/>
    <s v="ACTIVE"/>
    <m/>
    <s v=""/>
    <m/>
    <d v="2026-08-21T11:11:57"/>
    <d v="2026-08-21T00:00:00"/>
    <x v="10"/>
    <x v="0"/>
    <n v="1"/>
    <n v="0"/>
    <x v="2168"/>
    <s v="Carmen Villalobos Rodríguez"/>
    <x v="3"/>
  </r>
  <r>
    <n v="2572"/>
    <n v="128"/>
    <n v="4"/>
    <n v="40.630000000000003"/>
    <n v="4.0599999999999996"/>
    <n v="0"/>
    <n v="0.1"/>
    <s v="ACTIVE"/>
    <m/>
    <s v=""/>
    <m/>
    <d v="2026-08-21T11:39:48"/>
    <d v="2026-08-21T00:00:00"/>
    <x v="10"/>
    <x v="0"/>
    <n v="1"/>
    <n v="0"/>
    <x v="2169"/>
    <s v="Verónica Ortiz Rangel"/>
    <x v="3"/>
  </r>
  <r>
    <n v="2573"/>
    <n v="128"/>
    <n v="3"/>
    <n v="24.46"/>
    <n v="2.4500000000000002"/>
    <n v="0"/>
    <n v="0.1"/>
    <s v="ACTIVE"/>
    <m/>
    <s v=""/>
    <m/>
    <d v="2026-08-21T12:42:03"/>
    <d v="2026-08-21T00:00:00"/>
    <x v="10"/>
    <x v="0"/>
    <n v="1"/>
    <n v="0"/>
    <x v="2170"/>
    <s v="Verónica Ortiz Rangel"/>
    <x v="0"/>
  </r>
  <r>
    <n v="2574"/>
    <n v="153"/>
    <n v="4"/>
    <n v="68.900000000000006"/>
    <n v="6.89"/>
    <n v="0"/>
    <n v="0.1"/>
    <s v="ACTIVE"/>
    <m/>
    <s v=""/>
    <m/>
    <d v="2026-08-21T12:55:40"/>
    <d v="2026-08-21T00:00:00"/>
    <x v="10"/>
    <x v="0"/>
    <n v="1"/>
    <n v="0"/>
    <x v="2171"/>
    <s v="Isabel Reyes Herrera"/>
    <x v="3"/>
  </r>
  <r>
    <n v="2575"/>
    <n v="185"/>
    <n v="4"/>
    <n v="161.38999999999999"/>
    <n v="16.14"/>
    <n v="0"/>
    <n v="0.1"/>
    <s v="ACTIVE"/>
    <m/>
    <s v=""/>
    <m/>
    <d v="2026-08-21T17:40:28"/>
    <d v="2026-08-21T00:00:00"/>
    <x v="10"/>
    <x v="0"/>
    <n v="1"/>
    <n v="0"/>
    <x v="2172"/>
    <s v="Teresa Martínez González"/>
    <x v="3"/>
  </r>
  <r>
    <n v="2576"/>
    <n v="247"/>
    <n v="3"/>
    <n v="35.71"/>
    <n v="3.57"/>
    <n v="0"/>
    <n v="0.1"/>
    <s v="ACTIVE"/>
    <m/>
    <s v=""/>
    <m/>
    <d v="2026-08-21T18:25:44"/>
    <d v="2026-08-21T00:00:00"/>
    <x v="10"/>
    <x v="0"/>
    <n v="1"/>
    <n v="0"/>
    <x v="2173"/>
    <s v="Patricia Mendoza Ruiz"/>
    <x v="0"/>
  </r>
  <r>
    <n v="2577"/>
    <n v="178"/>
    <n v="2"/>
    <n v="300"/>
    <n v="30"/>
    <n v="0"/>
    <n v="0.1"/>
    <s v="ACTIVE"/>
    <m/>
    <s v=""/>
    <m/>
    <d v="2026-08-21T18:35:29"/>
    <d v="2026-08-21T00:00:00"/>
    <x v="10"/>
    <x v="0"/>
    <n v="1"/>
    <n v="0"/>
    <x v="74"/>
    <s v="Miguel Ruiz Salazar"/>
    <x v="1"/>
  </r>
  <r>
    <n v="2578"/>
    <n v="36"/>
    <n v="2"/>
    <n v="165.62"/>
    <n v="0"/>
    <n v="1"/>
    <n v="0.1"/>
    <s v="ACTIVE"/>
    <m/>
    <s v=""/>
    <m/>
    <d v="2026-08-21T19:01:59"/>
    <d v="2026-08-21T00:00:00"/>
    <x v="10"/>
    <x v="1"/>
    <n v="1"/>
    <n v="0"/>
    <x v="2174"/>
    <s v="Sergio Delgado Herrera"/>
    <x v="1"/>
  </r>
  <r>
    <n v="2579"/>
    <n v="250"/>
    <n v="5"/>
    <n v="119.83"/>
    <n v="11.98"/>
    <n v="0"/>
    <n v="0.1"/>
    <s v="ACTIVE"/>
    <m/>
    <s v=""/>
    <m/>
    <d v="2026-08-22T07:08:36"/>
    <d v="2026-08-22T00:00:00"/>
    <x v="10"/>
    <x v="0"/>
    <n v="1"/>
    <n v="0"/>
    <x v="2175"/>
    <s v="Verónica Romero Chávez"/>
    <x v="2"/>
  </r>
  <r>
    <n v="2580"/>
    <n v="134"/>
    <n v="3"/>
    <n v="175.41"/>
    <n v="17.54"/>
    <n v="0"/>
    <n v="0.1"/>
    <s v="ACTIVE"/>
    <m/>
    <s v=""/>
    <m/>
    <d v="2026-08-22T07:36:57"/>
    <d v="2026-08-22T00:00:00"/>
    <x v="10"/>
    <x v="0"/>
    <n v="1"/>
    <n v="0"/>
    <x v="2176"/>
    <s v="Javier Moreno Ortiz"/>
    <x v="0"/>
  </r>
  <r>
    <n v="2581"/>
    <n v="128"/>
    <n v="2"/>
    <n v="22.29"/>
    <n v="2.23"/>
    <n v="0"/>
    <n v="0.1"/>
    <s v="ACTIVE"/>
    <m/>
    <s v=""/>
    <m/>
    <d v="2026-08-22T08:12:21"/>
    <d v="2026-08-22T00:00:00"/>
    <x v="10"/>
    <x v="0"/>
    <n v="1"/>
    <n v="0"/>
    <x v="2177"/>
    <s v="Verónica Ortiz Rangel"/>
    <x v="1"/>
  </r>
  <r>
    <n v="2582"/>
    <n v="185"/>
    <n v="5"/>
    <n v="173.18"/>
    <n v="17.32"/>
    <n v="0"/>
    <n v="0.1"/>
    <s v="ACTIVE"/>
    <m/>
    <s v=""/>
    <m/>
    <d v="2026-08-22T09:55:29"/>
    <d v="2026-08-22T00:00:00"/>
    <x v="10"/>
    <x v="0"/>
    <n v="1"/>
    <n v="0"/>
    <x v="1721"/>
    <s v="Teresa Martínez González"/>
    <x v="2"/>
  </r>
  <r>
    <n v="2583"/>
    <n v="61"/>
    <n v="3"/>
    <n v="62.22"/>
    <n v="6.22"/>
    <n v="0"/>
    <n v="0.1"/>
    <s v="ACTIVE"/>
    <m/>
    <s v=""/>
    <m/>
    <d v="2026-08-22T10:11:36"/>
    <d v="2026-08-22T00:00:00"/>
    <x v="10"/>
    <x v="0"/>
    <n v="1"/>
    <n v="0"/>
    <x v="2178"/>
    <s v="Pedro González Ávila"/>
    <x v="0"/>
  </r>
  <r>
    <n v="2584"/>
    <n v="121"/>
    <n v="2"/>
    <n v="41.89"/>
    <n v="4.1900000000000004"/>
    <n v="0"/>
    <n v="0.1"/>
    <s v="ACTIVE"/>
    <m/>
    <s v=""/>
    <m/>
    <d v="2026-08-22T10:13:09"/>
    <d v="2026-08-22T00:00:00"/>
    <x v="10"/>
    <x v="0"/>
    <n v="1"/>
    <n v="0"/>
    <x v="2179"/>
    <s v="Fernando González Ortiz"/>
    <x v="1"/>
  </r>
  <r>
    <n v="2585"/>
    <n v="229"/>
    <n v="2"/>
    <n v="148.38999999999999"/>
    <n v="14.84"/>
    <n v="0"/>
    <n v="0.1"/>
    <s v="ACTIVE"/>
    <m/>
    <s v=""/>
    <m/>
    <d v="2026-08-22T10:53:29"/>
    <d v="2026-08-22T00:00:00"/>
    <x v="10"/>
    <x v="0"/>
    <n v="1"/>
    <n v="0"/>
    <x v="2180"/>
    <s v="Verónica González Rodríguez"/>
    <x v="1"/>
  </r>
  <r>
    <n v="2586"/>
    <n v="44"/>
    <n v="3"/>
    <n v="16.690000000000001"/>
    <n v="1.67"/>
    <n v="0"/>
    <n v="0.1"/>
    <s v="ACTIVE"/>
    <m/>
    <s v=""/>
    <m/>
    <d v="2026-08-22T13:35:15"/>
    <d v="2026-08-22T00:00:00"/>
    <x v="10"/>
    <x v="0"/>
    <n v="1"/>
    <n v="0"/>
    <x v="2181"/>
    <s v="Pedro Herrera Castillo"/>
    <x v="0"/>
  </r>
  <r>
    <n v="2587"/>
    <n v="250"/>
    <n v="2"/>
    <n v="117.07"/>
    <n v="11.71"/>
    <n v="0"/>
    <n v="0.1"/>
    <s v="ACTIVE"/>
    <m/>
    <s v=""/>
    <m/>
    <d v="2026-08-22T14:51:47"/>
    <d v="2026-08-22T00:00:00"/>
    <x v="10"/>
    <x v="0"/>
    <n v="1"/>
    <n v="0"/>
    <x v="2182"/>
    <s v="Verónica Romero Chávez"/>
    <x v="1"/>
  </r>
  <r>
    <n v="2588"/>
    <n v="48"/>
    <n v="3"/>
    <n v="62.98"/>
    <n v="6.3"/>
    <n v="0"/>
    <n v="0.1"/>
    <s v="ACTIVE"/>
    <m/>
    <s v=""/>
    <m/>
    <d v="2026-08-22T17:38:42"/>
    <d v="2026-08-22T00:00:00"/>
    <x v="10"/>
    <x v="0"/>
    <n v="1"/>
    <n v="0"/>
    <x v="2183"/>
    <s v="Carlos Medina Quiñones"/>
    <x v="0"/>
  </r>
  <r>
    <n v="2589"/>
    <n v="52"/>
    <n v="4"/>
    <n v="18.68"/>
    <n v="1.87"/>
    <n v="0"/>
    <n v="0.1"/>
    <s v="ACTIVE"/>
    <m/>
    <s v=""/>
    <m/>
    <d v="2026-08-23T11:00:16"/>
    <d v="2026-08-23T00:00:00"/>
    <x v="10"/>
    <x v="0"/>
    <n v="1"/>
    <n v="0"/>
    <x v="2184"/>
    <s v="Gabriela Villalobos Flores"/>
    <x v="3"/>
  </r>
  <r>
    <n v="2590"/>
    <n v="114"/>
    <n v="4"/>
    <n v="222.63"/>
    <n v="22.26"/>
    <n v="0"/>
    <n v="0.1"/>
    <s v="ACTIVE"/>
    <m/>
    <s v=""/>
    <m/>
    <d v="2026-08-23T11:23:39"/>
    <d v="2026-08-23T00:00:00"/>
    <x v="10"/>
    <x v="0"/>
    <n v="1"/>
    <n v="0"/>
    <x v="2185"/>
    <s v="Elena Gutiérrez Rodríguez"/>
    <x v="3"/>
  </r>
  <r>
    <n v="2591"/>
    <n v="250"/>
    <n v="3"/>
    <n v="127.58"/>
    <n v="12.76"/>
    <n v="0"/>
    <n v="0.1"/>
    <s v="ACTIVE"/>
    <m/>
    <s v=""/>
    <m/>
    <d v="2026-08-23T13:00:38"/>
    <d v="2026-08-23T00:00:00"/>
    <x v="10"/>
    <x v="0"/>
    <n v="1"/>
    <n v="0"/>
    <x v="2186"/>
    <s v="Verónica Romero Chávez"/>
    <x v="0"/>
  </r>
  <r>
    <n v="2592"/>
    <n v="276"/>
    <n v="2"/>
    <n v="29.73"/>
    <n v="2.97"/>
    <n v="0"/>
    <n v="0.1"/>
    <s v="ACTIVE"/>
    <m/>
    <s v=""/>
    <m/>
    <d v="2026-08-23T14:59:33"/>
    <d v="2026-08-23T00:00:00"/>
    <x v="10"/>
    <x v="0"/>
    <n v="1"/>
    <n v="0"/>
    <x v="203"/>
    <s v="Norma López Aguilar"/>
    <x v="1"/>
  </r>
  <r>
    <n v="2593"/>
    <n v="133"/>
    <n v="3"/>
    <n v="125.35"/>
    <n v="12.54"/>
    <n v="0"/>
    <n v="0.1"/>
    <s v="ACTIVE"/>
    <m/>
    <s v=""/>
    <m/>
    <d v="2026-08-23T15:47:14"/>
    <d v="2026-08-23T00:00:00"/>
    <x v="10"/>
    <x v="0"/>
    <n v="1"/>
    <n v="0"/>
    <x v="2187"/>
    <s v="Silvia Villalobos Medina"/>
    <x v="0"/>
  </r>
  <r>
    <n v="2594"/>
    <n v="230"/>
    <n v="5"/>
    <n v="242.54"/>
    <n v="24.25"/>
    <n v="0"/>
    <n v="0.1"/>
    <s v="ACTIVE"/>
    <m/>
    <s v=""/>
    <m/>
    <d v="2026-08-23T16:16:04"/>
    <d v="2026-08-23T00:00:00"/>
    <x v="10"/>
    <x v="0"/>
    <n v="1"/>
    <n v="0"/>
    <x v="2188"/>
    <s v="Antonio Chávez Quiñones"/>
    <x v="2"/>
  </r>
  <r>
    <n v="2595"/>
    <n v="134"/>
    <n v="4"/>
    <n v="79.239999999999995"/>
    <n v="7.92"/>
    <n v="0"/>
    <n v="0.1"/>
    <s v="ACTIVE"/>
    <m/>
    <s v=""/>
    <m/>
    <d v="2026-08-24T08:35:02"/>
    <d v="2026-08-24T00:00:00"/>
    <x v="10"/>
    <x v="0"/>
    <n v="1"/>
    <n v="0"/>
    <x v="2189"/>
    <s v="Javier Moreno Ortiz"/>
    <x v="3"/>
  </r>
  <r>
    <n v="2596"/>
    <n v="293"/>
    <n v="4"/>
    <n v="24.5"/>
    <n v="2.4500000000000002"/>
    <n v="0"/>
    <n v="0.1"/>
    <s v="ACTIVE"/>
    <m/>
    <s v=""/>
    <m/>
    <d v="2026-08-24T09:55:52"/>
    <d v="2026-08-24T00:00:00"/>
    <x v="10"/>
    <x v="0"/>
    <n v="1"/>
    <n v="0"/>
    <x v="1999"/>
    <s v="Patricia Quiñones Pérez"/>
    <x v="3"/>
  </r>
  <r>
    <n v="2597"/>
    <n v="229"/>
    <n v="5"/>
    <n v="79.17"/>
    <n v="7.92"/>
    <n v="0"/>
    <n v="0.1"/>
    <s v="ACTIVE"/>
    <m/>
    <s v=""/>
    <m/>
    <d v="2026-08-24T13:05:19"/>
    <d v="2026-08-24T00:00:00"/>
    <x v="10"/>
    <x v="0"/>
    <n v="1"/>
    <n v="0"/>
    <x v="2190"/>
    <s v="Verónica González Rodríguez"/>
    <x v="2"/>
  </r>
  <r>
    <n v="2598"/>
    <n v="62"/>
    <n v="4"/>
    <n v="31.55"/>
    <n v="3.16"/>
    <n v="0"/>
    <n v="0.1"/>
    <s v="ACTIVE"/>
    <m/>
    <s v=""/>
    <m/>
    <d v="2026-08-24T15:55:14"/>
    <d v="2026-08-24T00:00:00"/>
    <x v="10"/>
    <x v="0"/>
    <n v="1"/>
    <n v="0"/>
    <x v="2191"/>
    <s v="Rosa González Ortiz"/>
    <x v="3"/>
  </r>
  <r>
    <n v="2599"/>
    <n v="134"/>
    <n v="5"/>
    <n v="120.21"/>
    <n v="12.02"/>
    <n v="0"/>
    <n v="0.1"/>
    <s v="ACTIVE"/>
    <m/>
    <s v=""/>
    <m/>
    <d v="2026-08-24T16:01:29"/>
    <d v="2026-08-24T00:00:00"/>
    <x v="10"/>
    <x v="0"/>
    <n v="1"/>
    <n v="0"/>
    <x v="2192"/>
    <s v="Javier Moreno Ortiz"/>
    <x v="2"/>
  </r>
  <r>
    <n v="2600"/>
    <n v="205"/>
    <n v="5"/>
    <n v="97.12"/>
    <n v="9.7100000000000009"/>
    <n v="0"/>
    <n v="0.1"/>
    <s v="ACTIVE"/>
    <m/>
    <s v=""/>
    <m/>
    <d v="2026-08-24T16:15:20"/>
    <d v="2026-08-24T00:00:00"/>
    <x v="10"/>
    <x v="0"/>
    <n v="1"/>
    <n v="0"/>
    <x v="2193"/>
    <s v="Manuel Cruz Moreno"/>
    <x v="2"/>
  </r>
  <r>
    <n v="2601"/>
    <n v="285"/>
    <n v="5"/>
    <n v="29.68"/>
    <n v="2.97"/>
    <n v="0"/>
    <n v="0.1"/>
    <s v="ACTIVE"/>
    <m/>
    <s v=""/>
    <m/>
    <d v="2026-08-24T17:51:30"/>
    <d v="2026-08-24T00:00:00"/>
    <x v="10"/>
    <x v="0"/>
    <n v="1"/>
    <n v="0"/>
    <x v="1278"/>
    <s v="Alicia Martínez Aguilar"/>
    <x v="2"/>
  </r>
  <r>
    <n v="2602"/>
    <n v="229"/>
    <n v="5"/>
    <n v="220"/>
    <n v="22"/>
    <n v="0"/>
    <n v="0.1"/>
    <s v="ACTIVE"/>
    <m/>
    <s v=""/>
    <m/>
    <d v="2026-08-25T09:10:16"/>
    <d v="2026-08-25T00:00:00"/>
    <x v="10"/>
    <x v="0"/>
    <n v="1"/>
    <n v="0"/>
    <x v="200"/>
    <s v="Verónica González Rodríguez"/>
    <x v="2"/>
  </r>
  <r>
    <n v="2603"/>
    <n v="134"/>
    <n v="4"/>
    <n v="139.65"/>
    <n v="13.97"/>
    <n v="0"/>
    <n v="0.1"/>
    <s v="ACTIVE"/>
    <m/>
    <s v=""/>
    <m/>
    <d v="2026-08-25T10:45:10"/>
    <d v="2026-08-25T00:00:00"/>
    <x v="10"/>
    <x v="0"/>
    <n v="1"/>
    <n v="0"/>
    <x v="2194"/>
    <s v="Javier Moreno Ortiz"/>
    <x v="3"/>
  </r>
  <r>
    <n v="2604"/>
    <n v="176"/>
    <n v="3"/>
    <n v="155.41"/>
    <n v="15.54"/>
    <n v="0"/>
    <n v="0.1"/>
    <s v="ACTIVE"/>
    <m/>
    <s v=""/>
    <m/>
    <d v="2026-08-25T11:12:12"/>
    <d v="2026-08-25T00:00:00"/>
    <x v="10"/>
    <x v="0"/>
    <n v="1"/>
    <n v="0"/>
    <x v="2195"/>
    <s v="Guadalupe Quiñones Ávila"/>
    <x v="0"/>
  </r>
  <r>
    <n v="2605"/>
    <n v="136"/>
    <n v="4"/>
    <n v="130.16"/>
    <n v="0"/>
    <n v="1"/>
    <n v="0.1"/>
    <s v="ACTIVE"/>
    <m/>
    <s v=""/>
    <m/>
    <d v="2026-08-25T14:38:21"/>
    <d v="2026-08-25T00:00:00"/>
    <x v="10"/>
    <x v="1"/>
    <n v="1"/>
    <n v="0"/>
    <x v="2196"/>
    <s v="Guadalupe Castillo Rangel"/>
    <x v="3"/>
  </r>
  <r>
    <n v="2606"/>
    <n v="134"/>
    <n v="4"/>
    <n v="158.55000000000001"/>
    <n v="15.86"/>
    <n v="0"/>
    <n v="0.1"/>
    <s v="ACTIVE"/>
    <m/>
    <s v=""/>
    <m/>
    <d v="2026-08-25T16:17:29"/>
    <d v="2026-08-25T00:00:00"/>
    <x v="10"/>
    <x v="0"/>
    <n v="1"/>
    <n v="0"/>
    <x v="2197"/>
    <s v="Javier Moreno Ortiz"/>
    <x v="3"/>
  </r>
  <r>
    <n v="2607"/>
    <n v="156"/>
    <n v="2"/>
    <n v="26.78"/>
    <n v="2.68"/>
    <n v="0"/>
    <n v="0.1"/>
    <s v="ACTIVE"/>
    <m/>
    <s v=""/>
    <m/>
    <d v="2026-08-26T08:53:06"/>
    <d v="2026-08-26T00:00:00"/>
    <x v="10"/>
    <x v="0"/>
    <n v="1"/>
    <n v="0"/>
    <x v="2198"/>
    <s v="Óscar Moreno Chávez"/>
    <x v="1"/>
  </r>
  <r>
    <n v="2608"/>
    <n v="134"/>
    <n v="3"/>
    <n v="54.56"/>
    <n v="5.46"/>
    <n v="0"/>
    <n v="0.1"/>
    <s v="ACTIVE"/>
    <m/>
    <s v=""/>
    <m/>
    <d v="2026-08-26T09:02:21"/>
    <d v="2026-08-26T00:00:00"/>
    <x v="10"/>
    <x v="0"/>
    <n v="1"/>
    <n v="0"/>
    <x v="2199"/>
    <s v="Javier Moreno Ortiz"/>
    <x v="0"/>
  </r>
  <r>
    <n v="2609"/>
    <n v="134"/>
    <n v="4"/>
    <n v="77.430000000000007"/>
    <n v="7.74"/>
    <n v="0"/>
    <n v="0.1"/>
    <s v="ACTIVE"/>
    <m/>
    <s v=""/>
    <m/>
    <d v="2026-08-26T09:30:53"/>
    <d v="2026-08-26T00:00:00"/>
    <x v="10"/>
    <x v="0"/>
    <n v="1"/>
    <n v="0"/>
    <x v="2200"/>
    <s v="Javier Moreno Ortiz"/>
    <x v="3"/>
  </r>
  <r>
    <n v="2610"/>
    <n v="134"/>
    <n v="3"/>
    <n v="75.86"/>
    <n v="0"/>
    <n v="1"/>
    <n v="0.1"/>
    <s v="ACTIVE"/>
    <m/>
    <s v=""/>
    <m/>
    <d v="2026-08-26T09:57:45"/>
    <d v="2026-08-26T00:00:00"/>
    <x v="10"/>
    <x v="1"/>
    <n v="1"/>
    <n v="0"/>
    <x v="2201"/>
    <s v="Javier Moreno Ortiz"/>
    <x v="0"/>
  </r>
  <r>
    <n v="2611"/>
    <n v="134"/>
    <n v="2"/>
    <n v="72.81"/>
    <n v="7.28"/>
    <n v="0"/>
    <n v="0.1"/>
    <s v="ACTIVE"/>
    <m/>
    <s v=""/>
    <m/>
    <d v="2026-08-26T10:45:57"/>
    <d v="2026-08-26T00:00:00"/>
    <x v="10"/>
    <x v="0"/>
    <n v="1"/>
    <n v="0"/>
    <x v="2202"/>
    <s v="Javier Moreno Ortiz"/>
    <x v="1"/>
  </r>
  <r>
    <n v="2612"/>
    <n v="133"/>
    <n v="4"/>
    <n v="196.46"/>
    <n v="19.649999999999999"/>
    <n v="0"/>
    <n v="0.1"/>
    <s v="ACTIVE"/>
    <m/>
    <s v=""/>
    <m/>
    <d v="2026-08-26T15:00:35"/>
    <d v="2026-08-26T00:00:00"/>
    <x v="10"/>
    <x v="0"/>
    <n v="1"/>
    <n v="0"/>
    <x v="2203"/>
    <s v="Silvia Villalobos Medina"/>
    <x v="3"/>
  </r>
  <r>
    <n v="2613"/>
    <n v="130"/>
    <n v="5"/>
    <n v="91.01"/>
    <n v="9.1"/>
    <n v="0"/>
    <n v="0.1"/>
    <s v="ACTIVE"/>
    <m/>
    <s v=""/>
    <m/>
    <d v="2026-08-26T16:59:32"/>
    <d v="2026-08-26T00:00:00"/>
    <x v="10"/>
    <x v="0"/>
    <n v="1"/>
    <n v="0"/>
    <x v="2204"/>
    <s v="Roberto Castillo Gutiérrez"/>
    <x v="2"/>
  </r>
  <r>
    <n v="2614"/>
    <n v="134"/>
    <n v="5"/>
    <n v="148.05000000000001"/>
    <n v="14.81"/>
    <n v="0"/>
    <n v="0.1"/>
    <s v="ACTIVE"/>
    <m/>
    <s v=""/>
    <m/>
    <d v="2026-08-26T19:32:14"/>
    <d v="2026-08-26T00:00:00"/>
    <x v="10"/>
    <x v="0"/>
    <n v="1"/>
    <n v="0"/>
    <x v="2205"/>
    <s v="Javier Moreno Ortiz"/>
    <x v="2"/>
  </r>
  <r>
    <n v="2615"/>
    <n v="134"/>
    <n v="4"/>
    <n v="150.27000000000001"/>
    <n v="15.03"/>
    <n v="0"/>
    <n v="0.1"/>
    <s v="ACTIVE"/>
    <m/>
    <s v=""/>
    <m/>
    <d v="2026-08-27T09:54:42"/>
    <d v="2026-08-27T00:00:00"/>
    <x v="10"/>
    <x v="0"/>
    <n v="1"/>
    <n v="0"/>
    <x v="2206"/>
    <s v="Javier Moreno Ortiz"/>
    <x v="3"/>
  </r>
  <r>
    <n v="2616"/>
    <n v="134"/>
    <n v="3"/>
    <n v="82.17"/>
    <n v="8.2200000000000006"/>
    <n v="0"/>
    <n v="0.1"/>
    <s v="ACTIVE"/>
    <m/>
    <s v=""/>
    <m/>
    <d v="2026-08-27T16:39:00"/>
    <d v="2026-08-27T00:00:00"/>
    <x v="10"/>
    <x v="0"/>
    <n v="1"/>
    <n v="0"/>
    <x v="2207"/>
    <s v="Javier Moreno Ortiz"/>
    <x v="0"/>
  </r>
  <r>
    <n v="2617"/>
    <n v="128"/>
    <n v="2"/>
    <n v="30.12"/>
    <n v="3.01"/>
    <n v="0"/>
    <n v="0.1"/>
    <s v="ACTIVE"/>
    <m/>
    <s v=""/>
    <m/>
    <d v="2026-08-27T16:47:08"/>
    <d v="2026-08-27T00:00:00"/>
    <x v="10"/>
    <x v="0"/>
    <n v="1"/>
    <n v="0"/>
    <x v="2208"/>
    <s v="Verónica Ortiz Rangel"/>
    <x v="1"/>
  </r>
  <r>
    <n v="2618"/>
    <n v="75"/>
    <n v="5"/>
    <n v="63.56"/>
    <n v="6.36"/>
    <n v="0"/>
    <n v="0.1"/>
    <s v="ACTIVE"/>
    <m/>
    <s v=""/>
    <m/>
    <d v="2026-08-28T09:46:47"/>
    <d v="2026-08-28T00:00:00"/>
    <x v="10"/>
    <x v="0"/>
    <n v="1"/>
    <n v="0"/>
    <x v="2209"/>
    <s v="Guadalupe Romero Ortiz"/>
    <x v="2"/>
  </r>
  <r>
    <n v="2619"/>
    <n v="156"/>
    <n v="5"/>
    <n v="30.92"/>
    <n v="3.09"/>
    <n v="0"/>
    <n v="0.1"/>
    <s v="ACTIVE"/>
    <m/>
    <s v=""/>
    <m/>
    <d v="2026-08-28T09:53:26"/>
    <d v="2026-08-28T00:00:00"/>
    <x v="10"/>
    <x v="0"/>
    <n v="1"/>
    <n v="0"/>
    <x v="127"/>
    <s v="Óscar Moreno Chávez"/>
    <x v="2"/>
  </r>
  <r>
    <n v="2620"/>
    <n v="35"/>
    <n v="4"/>
    <n v="25.62"/>
    <n v="2.56"/>
    <n v="0"/>
    <n v="0.1"/>
    <s v="ACTIVE"/>
    <m/>
    <s v=""/>
    <m/>
    <d v="2026-08-28T11:19:26"/>
    <d v="2026-08-28T00:00:00"/>
    <x v="10"/>
    <x v="0"/>
    <n v="1"/>
    <n v="0"/>
    <x v="1078"/>
    <s v="Teresa Ramírez Ramírez"/>
    <x v="3"/>
  </r>
  <r>
    <n v="2621"/>
    <n v="134"/>
    <n v="4"/>
    <n v="138.6"/>
    <n v="13.86"/>
    <n v="0"/>
    <n v="0.1"/>
    <s v="ACTIVE"/>
    <m/>
    <s v=""/>
    <m/>
    <d v="2026-08-28T13:11:12"/>
    <d v="2026-08-28T00:00:00"/>
    <x v="10"/>
    <x v="0"/>
    <n v="1"/>
    <n v="0"/>
    <x v="2210"/>
    <s v="Javier Moreno Ortiz"/>
    <x v="3"/>
  </r>
  <r>
    <n v="2622"/>
    <n v="80"/>
    <n v="3"/>
    <n v="14.13"/>
    <n v="1.41"/>
    <n v="0"/>
    <n v="0.1"/>
    <s v="ACTIVE"/>
    <m/>
    <s v=""/>
    <m/>
    <d v="2026-08-28T14:01:30"/>
    <d v="2026-08-28T00:00:00"/>
    <x v="10"/>
    <x v="0"/>
    <n v="1"/>
    <n v="0"/>
    <x v="2211"/>
    <s v="Juan Sánchez Gutiérrez"/>
    <x v="0"/>
  </r>
  <r>
    <n v="2623"/>
    <n v="218"/>
    <n v="4"/>
    <n v="19.12"/>
    <n v="1.91"/>
    <n v="0"/>
    <n v="0.1"/>
    <s v="ACTIVE"/>
    <m/>
    <s v=""/>
    <m/>
    <d v="2026-08-28T16:31:30"/>
    <d v="2026-08-28T00:00:00"/>
    <x v="10"/>
    <x v="0"/>
    <n v="1"/>
    <n v="0"/>
    <x v="148"/>
    <s v="Norma García López"/>
    <x v="3"/>
  </r>
  <r>
    <n v="2624"/>
    <n v="91"/>
    <n v="4"/>
    <n v="42.4"/>
    <n v="4.24"/>
    <n v="0"/>
    <n v="0.1"/>
    <s v="ACTIVE"/>
    <m/>
    <s v=""/>
    <m/>
    <d v="2026-08-29T08:31:20"/>
    <d v="2026-08-29T00:00:00"/>
    <x v="10"/>
    <x v="0"/>
    <n v="1"/>
    <n v="0"/>
    <x v="2212"/>
    <s v="Silvia Gómez Rodríguez"/>
    <x v="3"/>
  </r>
  <r>
    <n v="2625"/>
    <n v="128"/>
    <n v="4"/>
    <n v="26.41"/>
    <n v="2.64"/>
    <n v="0"/>
    <n v="0.1"/>
    <s v="ACTIVE"/>
    <m/>
    <s v=""/>
    <m/>
    <d v="2026-08-29T09:00:06"/>
    <d v="2026-08-29T00:00:00"/>
    <x v="10"/>
    <x v="0"/>
    <n v="1"/>
    <n v="0"/>
    <x v="2213"/>
    <s v="Verónica Ortiz Rangel"/>
    <x v="3"/>
  </r>
  <r>
    <n v="2626"/>
    <n v="16"/>
    <n v="5"/>
    <n v="168.37"/>
    <n v="16.84"/>
    <n v="0"/>
    <n v="0.1"/>
    <s v="ACTIVE"/>
    <m/>
    <s v=""/>
    <m/>
    <d v="2026-08-29T09:03:33"/>
    <d v="2026-08-29T00:00:00"/>
    <x v="10"/>
    <x v="0"/>
    <n v="1"/>
    <n v="0"/>
    <x v="2214"/>
    <s v="Laura Chávez Rangel"/>
    <x v="2"/>
  </r>
  <r>
    <n v="2627"/>
    <n v="128"/>
    <n v="2"/>
    <n v="31.29"/>
    <n v="3.13"/>
    <n v="0"/>
    <n v="0.1"/>
    <s v="ACTIVE"/>
    <m/>
    <s v=""/>
    <m/>
    <d v="2026-08-29T09:18:05"/>
    <d v="2026-08-29T00:00:00"/>
    <x v="10"/>
    <x v="0"/>
    <n v="1"/>
    <n v="0"/>
    <x v="2215"/>
    <s v="Verónica Ortiz Rangel"/>
    <x v="1"/>
  </r>
  <r>
    <n v="2628"/>
    <n v="195"/>
    <n v="5"/>
    <n v="108.53"/>
    <n v="10.85"/>
    <n v="0"/>
    <n v="0.1"/>
    <s v="ACTIVE"/>
    <m/>
    <s v=""/>
    <m/>
    <d v="2026-08-29T16:00:21"/>
    <d v="2026-08-29T00:00:00"/>
    <x v="10"/>
    <x v="0"/>
    <n v="1"/>
    <n v="0"/>
    <x v="2216"/>
    <s v="Laura Salazar Pérez"/>
    <x v="2"/>
  </r>
  <r>
    <n v="2629"/>
    <n v="207"/>
    <n v="3"/>
    <n v="37.14"/>
    <n v="3.71"/>
    <n v="0"/>
    <n v="0.1"/>
    <s v="ACTIVE"/>
    <m/>
    <s v=""/>
    <m/>
    <d v="2026-08-29T18:37:06"/>
    <d v="2026-08-29T00:00:00"/>
    <x v="10"/>
    <x v="0"/>
    <n v="1"/>
    <n v="0"/>
    <x v="890"/>
    <s v="Leticia Vázquez Gutiérrez"/>
    <x v="0"/>
  </r>
  <r>
    <n v="2630"/>
    <n v="136"/>
    <n v="4"/>
    <n v="173.14"/>
    <n v="17.309999999999999"/>
    <n v="0"/>
    <n v="0.1"/>
    <s v="ACTIVE"/>
    <m/>
    <s v=""/>
    <m/>
    <d v="2026-08-30T08:15:38"/>
    <d v="2026-08-30T00:00:00"/>
    <x v="10"/>
    <x v="0"/>
    <n v="1"/>
    <n v="0"/>
    <x v="2217"/>
    <s v="Guadalupe Castillo Rangel"/>
    <x v="3"/>
  </r>
  <r>
    <n v="2631"/>
    <n v="137"/>
    <n v="2"/>
    <n v="29.51"/>
    <n v="2.95"/>
    <n v="0"/>
    <n v="0.1"/>
    <s v="ACTIVE"/>
    <m/>
    <s v=""/>
    <m/>
    <d v="2026-08-30T09:13:48"/>
    <d v="2026-08-30T00:00:00"/>
    <x v="10"/>
    <x v="0"/>
    <n v="1"/>
    <n v="0"/>
    <x v="1839"/>
    <s v="Francisco Reyes Ruiz"/>
    <x v="1"/>
  </r>
  <r>
    <n v="2632"/>
    <n v="245"/>
    <n v="4"/>
    <n v="18.91"/>
    <n v="1.89"/>
    <n v="0"/>
    <n v="0.1"/>
    <s v="ACTIVE"/>
    <m/>
    <s v=""/>
    <m/>
    <d v="2026-08-30T09:23:21"/>
    <d v="2026-08-30T00:00:00"/>
    <x v="10"/>
    <x v="0"/>
    <n v="1"/>
    <n v="0"/>
    <x v="605"/>
    <s v="Ana González Flores"/>
    <x v="3"/>
  </r>
  <r>
    <n v="2633"/>
    <n v="48"/>
    <n v="2"/>
    <n v="72.66"/>
    <n v="0"/>
    <n v="1"/>
    <n v="0.1"/>
    <s v="ACTIVE"/>
    <m/>
    <s v=""/>
    <m/>
    <d v="2026-08-31T10:56:02"/>
    <d v="2026-08-31T00:00:00"/>
    <x v="10"/>
    <x v="1"/>
    <n v="1"/>
    <n v="0"/>
    <x v="2218"/>
    <s v="Carlos Medina Quiñones"/>
    <x v="1"/>
  </r>
  <r>
    <n v="2634"/>
    <n v="293"/>
    <n v="5"/>
    <n v="44.76"/>
    <n v="4.4800000000000004"/>
    <n v="0"/>
    <n v="0.1"/>
    <s v="ACTIVE"/>
    <m/>
    <s v=""/>
    <m/>
    <d v="2026-08-31T10:58:57"/>
    <d v="2026-08-31T00:00:00"/>
    <x v="10"/>
    <x v="0"/>
    <n v="1"/>
    <n v="0"/>
    <x v="2219"/>
    <s v="Patricia Quiñones Pérez"/>
    <x v="2"/>
  </r>
  <r>
    <n v="2635"/>
    <n v="16"/>
    <n v="3"/>
    <n v="117.69"/>
    <n v="11.77"/>
    <n v="0"/>
    <n v="0.1"/>
    <s v="ACTIVE"/>
    <m/>
    <s v=""/>
    <m/>
    <d v="2026-08-31T12:02:52"/>
    <d v="2026-08-31T00:00:00"/>
    <x v="10"/>
    <x v="0"/>
    <n v="1"/>
    <n v="0"/>
    <x v="158"/>
    <s v="Laura Chávez Rangel"/>
    <x v="0"/>
  </r>
  <r>
    <n v="2636"/>
    <n v="231"/>
    <n v="2"/>
    <n v="109.65"/>
    <n v="10.97"/>
    <n v="0"/>
    <n v="0.1"/>
    <s v="ACTIVE"/>
    <m/>
    <s v=""/>
    <m/>
    <d v="2026-08-31T14:36:41"/>
    <d v="2026-08-31T00:00:00"/>
    <x v="10"/>
    <x v="0"/>
    <n v="1"/>
    <n v="0"/>
    <x v="2220"/>
    <s v="Alicia Ramos Rangel"/>
    <x v="1"/>
  </r>
  <r>
    <n v="2637"/>
    <n v="250"/>
    <n v="4"/>
    <n v="60.01"/>
    <n v="6"/>
    <n v="0"/>
    <n v="0.1"/>
    <s v="CANCELED"/>
    <n v="2"/>
    <s v="Cliente canceló la operación"/>
    <d v="2026-08-31T18:00:29"/>
    <d v="2026-08-31T16:00:29"/>
    <d v="2026-08-31T00:00:00"/>
    <x v="10"/>
    <x v="0"/>
    <n v="1"/>
    <n v="1"/>
    <x v="32"/>
    <s v="Verónica Romero Chávez"/>
    <x v="3"/>
  </r>
  <r>
    <n v="2638"/>
    <n v="172"/>
    <n v="4"/>
    <n v="23.71"/>
    <n v="2.37"/>
    <n v="0"/>
    <n v="0.1"/>
    <s v="ACTIVE"/>
    <m/>
    <s v=""/>
    <m/>
    <d v="2026-08-31T16:24:55"/>
    <d v="2026-08-31T00:00:00"/>
    <x v="10"/>
    <x v="0"/>
    <n v="1"/>
    <n v="0"/>
    <x v="1806"/>
    <s v="Silvia Salazar Ortiz"/>
    <x v="3"/>
  </r>
  <r>
    <n v="2639"/>
    <n v="44"/>
    <n v="4"/>
    <n v="58.36"/>
    <n v="5.84"/>
    <n v="0"/>
    <n v="0.1"/>
    <s v="ACTIVE"/>
    <m/>
    <s v=""/>
    <m/>
    <d v="2026-08-31T16:29:42"/>
    <d v="2026-08-31T00:00:00"/>
    <x v="10"/>
    <x v="0"/>
    <n v="1"/>
    <n v="0"/>
    <x v="2221"/>
    <s v="Pedro Herrera Castillo"/>
    <x v="3"/>
  </r>
  <r>
    <n v="2640"/>
    <n v="123"/>
    <n v="2"/>
    <n v="44.19"/>
    <n v="4.42"/>
    <n v="0"/>
    <n v="0.1"/>
    <s v="ACTIVE"/>
    <m/>
    <s v=""/>
    <m/>
    <d v="2026-08-31T16:43:51"/>
    <d v="2026-08-31T00:00:00"/>
    <x v="10"/>
    <x v="0"/>
    <n v="1"/>
    <n v="0"/>
    <x v="2222"/>
    <s v="Carmen Vázquez González"/>
    <x v="1"/>
  </r>
  <r>
    <n v="2641"/>
    <n v="117"/>
    <n v="3"/>
    <n v="48.55"/>
    <n v="4.8600000000000003"/>
    <n v="0"/>
    <n v="0.1"/>
    <s v="ACTIVE"/>
    <m/>
    <s v=""/>
    <m/>
    <d v="2026-08-31T17:47:11"/>
    <d v="2026-08-31T00:00:00"/>
    <x v="10"/>
    <x v="0"/>
    <n v="1"/>
    <n v="0"/>
    <x v="2223"/>
    <s v="Manuel Ortiz Ramírez"/>
    <x v="0"/>
  </r>
  <r>
    <n v="2642"/>
    <n v="207"/>
    <n v="3"/>
    <n v="9.2899999999999991"/>
    <n v="0.93"/>
    <n v="0"/>
    <n v="0.1"/>
    <s v="ACTIVE"/>
    <m/>
    <s v=""/>
    <m/>
    <d v="2026-08-31T18:15:29"/>
    <d v="2026-08-31T00:00:00"/>
    <x v="10"/>
    <x v="0"/>
    <n v="1"/>
    <n v="0"/>
    <x v="2224"/>
    <s v="Leticia Vázquez Gutiérrez"/>
    <x v="0"/>
  </r>
  <r>
    <n v="2643"/>
    <n v="156"/>
    <n v="4"/>
    <n v="31.61"/>
    <n v="3.16"/>
    <n v="0"/>
    <n v="0.1"/>
    <s v="ACTIVE"/>
    <m/>
    <s v=""/>
    <m/>
    <d v="2026-08-31T18:49:59"/>
    <d v="2026-08-31T00:00:00"/>
    <x v="10"/>
    <x v="0"/>
    <n v="1"/>
    <n v="0"/>
    <x v="2225"/>
    <s v="Óscar Moreno Chávez"/>
    <x v="3"/>
  </r>
  <r>
    <n v="2644"/>
    <n v="250"/>
    <n v="3"/>
    <n v="66.94"/>
    <n v="6.69"/>
    <n v="0"/>
    <n v="0.1"/>
    <s v="ACTIVE"/>
    <m/>
    <s v=""/>
    <m/>
    <d v="2026-09-01T07:16:22"/>
    <d v="2026-09-01T00:00:00"/>
    <x v="11"/>
    <x v="0"/>
    <n v="1"/>
    <n v="0"/>
    <x v="2226"/>
    <s v="Verónica Romero Chávez"/>
    <x v="0"/>
  </r>
  <r>
    <n v="2645"/>
    <n v="66"/>
    <n v="2"/>
    <n v="152.16999999999999"/>
    <n v="15.22"/>
    <n v="0"/>
    <n v="0.1"/>
    <s v="ACTIVE"/>
    <m/>
    <s v=""/>
    <m/>
    <d v="2026-09-01T08:28:08"/>
    <d v="2026-09-01T00:00:00"/>
    <x v="11"/>
    <x v="0"/>
    <n v="1"/>
    <n v="0"/>
    <x v="2227"/>
    <s v="Guadalupe Morales Gutiérrez"/>
    <x v="1"/>
  </r>
  <r>
    <n v="2646"/>
    <n v="273"/>
    <n v="2"/>
    <n v="32.340000000000003"/>
    <n v="3.23"/>
    <n v="0"/>
    <n v="0.1"/>
    <s v="ACTIVE"/>
    <m/>
    <s v=""/>
    <m/>
    <d v="2026-09-01T13:53:16"/>
    <d v="2026-09-01T00:00:00"/>
    <x v="11"/>
    <x v="0"/>
    <n v="1"/>
    <n v="0"/>
    <x v="2228"/>
    <s v="Pedro Aguilar Rodríguez"/>
    <x v="1"/>
  </r>
  <r>
    <n v="2647"/>
    <n v="174"/>
    <n v="5"/>
    <n v="39.14"/>
    <n v="3.91"/>
    <n v="0"/>
    <n v="0.1"/>
    <s v="CANCELED"/>
    <n v="5"/>
    <s v="Solicitud del cliente"/>
    <d v="2026-09-02T17:05:06"/>
    <d v="2026-09-01T15:05:06"/>
    <d v="2026-09-01T00:00:00"/>
    <x v="11"/>
    <x v="0"/>
    <n v="1"/>
    <n v="1"/>
    <x v="32"/>
    <s v="Elena Aguilar Zacatecas"/>
    <x v="2"/>
  </r>
  <r>
    <n v="2648"/>
    <n v="39"/>
    <n v="4"/>
    <n v="282.44"/>
    <n v="28.24"/>
    <n v="0"/>
    <n v="0.1"/>
    <s v="ACTIVE"/>
    <m/>
    <s v=""/>
    <m/>
    <d v="2026-09-01T15:43:09"/>
    <d v="2026-09-01T00:00:00"/>
    <x v="11"/>
    <x v="0"/>
    <n v="1"/>
    <n v="0"/>
    <x v="2229"/>
    <s v="Guadalupe García Quiñones"/>
    <x v="3"/>
  </r>
  <r>
    <n v="2649"/>
    <n v="195"/>
    <n v="3"/>
    <n v="292.7"/>
    <n v="29.27"/>
    <n v="0"/>
    <n v="0.1"/>
    <s v="ACTIVE"/>
    <m/>
    <s v=""/>
    <m/>
    <d v="2026-09-01T16:36:16"/>
    <d v="2026-09-01T00:00:00"/>
    <x v="11"/>
    <x v="0"/>
    <n v="1"/>
    <n v="0"/>
    <x v="2230"/>
    <s v="Laura Salazar Pérez"/>
    <x v="0"/>
  </r>
  <r>
    <n v="2650"/>
    <n v="83"/>
    <n v="3"/>
    <n v="46.29"/>
    <n v="4.63"/>
    <n v="0"/>
    <n v="0.1"/>
    <s v="ACTIVE"/>
    <m/>
    <s v=""/>
    <m/>
    <d v="2026-09-01T18:56:36"/>
    <d v="2026-09-01T00:00:00"/>
    <x v="11"/>
    <x v="0"/>
    <n v="1"/>
    <n v="0"/>
    <x v="2231"/>
    <s v="Sergio Martínez Herrera"/>
    <x v="0"/>
  </r>
  <r>
    <n v="2651"/>
    <n v="11"/>
    <n v="5"/>
    <n v="188.32"/>
    <n v="18.829999999999998"/>
    <n v="0"/>
    <n v="0.1"/>
    <s v="ACTIVE"/>
    <m/>
    <s v=""/>
    <m/>
    <d v="2026-09-02T07:40:40"/>
    <d v="2026-09-02T00:00:00"/>
    <x v="11"/>
    <x v="0"/>
    <n v="1"/>
    <n v="0"/>
    <x v="2232"/>
    <s v="Guadalupe Pérez Rodríguez"/>
    <x v="2"/>
  </r>
  <r>
    <n v="2652"/>
    <n v="39"/>
    <n v="3"/>
    <n v="193.8"/>
    <n v="19.38"/>
    <n v="0"/>
    <n v="0.1"/>
    <s v="ACTIVE"/>
    <m/>
    <s v=""/>
    <m/>
    <d v="2026-09-02T08:23:16"/>
    <d v="2026-09-02T00:00:00"/>
    <x v="11"/>
    <x v="0"/>
    <n v="1"/>
    <n v="0"/>
    <x v="2233"/>
    <s v="Guadalupe García Quiñones"/>
    <x v="0"/>
  </r>
  <r>
    <n v="2653"/>
    <n v="297"/>
    <n v="4"/>
    <n v="85.02"/>
    <n v="8.5"/>
    <n v="0"/>
    <n v="0.1"/>
    <s v="ACTIVE"/>
    <m/>
    <s v=""/>
    <m/>
    <d v="2026-09-02T09:34:25"/>
    <d v="2026-09-02T00:00:00"/>
    <x v="11"/>
    <x v="0"/>
    <n v="1"/>
    <n v="0"/>
    <x v="2234"/>
    <s v="Patricia Ortiz Jiménez"/>
    <x v="3"/>
  </r>
  <r>
    <n v="2654"/>
    <n v="48"/>
    <n v="5"/>
    <n v="107.99"/>
    <n v="10.8"/>
    <n v="0"/>
    <n v="0.1"/>
    <s v="ACTIVE"/>
    <m/>
    <s v=""/>
    <m/>
    <d v="2026-09-02T11:00:33"/>
    <d v="2026-09-02T00:00:00"/>
    <x v="11"/>
    <x v="0"/>
    <n v="1"/>
    <n v="0"/>
    <x v="2235"/>
    <s v="Carlos Medina Quiñones"/>
    <x v="2"/>
  </r>
  <r>
    <n v="2655"/>
    <n v="128"/>
    <n v="3"/>
    <n v="22.11"/>
    <n v="2.21"/>
    <n v="0"/>
    <n v="0.1"/>
    <s v="ACTIVE"/>
    <m/>
    <s v=""/>
    <m/>
    <d v="2026-09-02T13:01:49"/>
    <d v="2026-09-02T00:00:00"/>
    <x v="11"/>
    <x v="0"/>
    <n v="1"/>
    <n v="0"/>
    <x v="1446"/>
    <s v="Verónica Ortiz Rangel"/>
    <x v="0"/>
  </r>
  <r>
    <n v="2656"/>
    <n v="285"/>
    <n v="4"/>
    <n v="31.42"/>
    <n v="3.14"/>
    <n v="0"/>
    <n v="0.1"/>
    <s v="ACTIVE"/>
    <m/>
    <s v=""/>
    <m/>
    <d v="2026-09-02T17:52:01"/>
    <d v="2026-09-02T00:00:00"/>
    <x v="11"/>
    <x v="0"/>
    <n v="1"/>
    <n v="0"/>
    <x v="871"/>
    <s v="Alicia Martínez Aguilar"/>
    <x v="3"/>
  </r>
  <r>
    <n v="2657"/>
    <n v="183"/>
    <n v="2"/>
    <n v="51.67"/>
    <n v="5.17"/>
    <n v="0"/>
    <n v="0.1"/>
    <s v="ACTIVE"/>
    <m/>
    <s v=""/>
    <m/>
    <d v="2026-09-02T18:00:48"/>
    <d v="2026-09-02T00:00:00"/>
    <x v="11"/>
    <x v="0"/>
    <n v="1"/>
    <n v="0"/>
    <x v="2236"/>
    <s v="Irma Moreno Rodríguez"/>
    <x v="1"/>
  </r>
  <r>
    <n v="2658"/>
    <n v="295"/>
    <n v="5"/>
    <n v="27"/>
    <n v="2.7"/>
    <n v="0"/>
    <n v="0.1"/>
    <s v="ACTIVE"/>
    <m/>
    <s v=""/>
    <m/>
    <d v="2026-09-02T19:02:39"/>
    <d v="2026-09-02T00:00:00"/>
    <x v="11"/>
    <x v="0"/>
    <n v="1"/>
    <n v="0"/>
    <x v="2237"/>
    <s v="Claudia Flores Herrera"/>
    <x v="2"/>
  </r>
  <r>
    <n v="2659"/>
    <n v="277"/>
    <n v="5"/>
    <n v="124.12"/>
    <n v="12.41"/>
    <n v="0"/>
    <n v="0.1"/>
    <s v="ACTIVE"/>
    <m/>
    <s v=""/>
    <m/>
    <d v="2026-09-03T08:00:11"/>
    <d v="2026-09-03T00:00:00"/>
    <x v="11"/>
    <x v="0"/>
    <n v="1"/>
    <n v="0"/>
    <x v="2238"/>
    <s v="Laura Ramos Gutiérrez"/>
    <x v="2"/>
  </r>
  <r>
    <n v="2660"/>
    <n v="134"/>
    <n v="2"/>
    <n v="56.97"/>
    <n v="5.7"/>
    <n v="0"/>
    <n v="0.1"/>
    <s v="ACTIVE"/>
    <m/>
    <s v=""/>
    <m/>
    <d v="2026-09-03T08:10:01"/>
    <d v="2026-09-03T00:00:00"/>
    <x v="11"/>
    <x v="0"/>
    <n v="1"/>
    <n v="0"/>
    <x v="2239"/>
    <s v="Javier Moreno Ortiz"/>
    <x v="1"/>
  </r>
  <r>
    <n v="2661"/>
    <n v="75"/>
    <n v="4"/>
    <n v="108.12"/>
    <n v="10.81"/>
    <n v="0"/>
    <n v="0.1"/>
    <s v="ACTIVE"/>
    <m/>
    <s v=""/>
    <m/>
    <d v="2026-09-03T10:22:18"/>
    <d v="2026-09-03T00:00:00"/>
    <x v="11"/>
    <x v="0"/>
    <n v="1"/>
    <n v="0"/>
    <x v="2240"/>
    <s v="Guadalupe Romero Ortiz"/>
    <x v="3"/>
  </r>
  <r>
    <n v="2662"/>
    <n v="55"/>
    <n v="4"/>
    <n v="56.99"/>
    <n v="5.7"/>
    <n v="0"/>
    <n v="0.1"/>
    <s v="ACTIVE"/>
    <m/>
    <s v=""/>
    <m/>
    <d v="2026-09-03T11:59:55"/>
    <d v="2026-09-03T00:00:00"/>
    <x v="11"/>
    <x v="0"/>
    <n v="1"/>
    <n v="0"/>
    <x v="2241"/>
    <s v="Luis Zacatecas Rodríguez"/>
    <x v="3"/>
  </r>
  <r>
    <n v="2663"/>
    <n v="48"/>
    <n v="4"/>
    <n v="96.26"/>
    <n v="0"/>
    <n v="1"/>
    <n v="0.1"/>
    <s v="ACTIVE"/>
    <m/>
    <s v=""/>
    <m/>
    <d v="2026-09-03T13:15:13"/>
    <d v="2026-09-03T00:00:00"/>
    <x v="11"/>
    <x v="1"/>
    <n v="1"/>
    <n v="0"/>
    <x v="2242"/>
    <s v="Carlos Medina Quiñones"/>
    <x v="3"/>
  </r>
  <r>
    <n v="2664"/>
    <n v="134"/>
    <n v="3"/>
    <n v="129.69"/>
    <n v="12.97"/>
    <n v="0"/>
    <n v="0.1"/>
    <s v="ACTIVE"/>
    <m/>
    <s v=""/>
    <m/>
    <d v="2026-09-03T15:57:08"/>
    <d v="2026-09-03T00:00:00"/>
    <x v="11"/>
    <x v="0"/>
    <n v="1"/>
    <n v="0"/>
    <x v="2243"/>
    <s v="Javier Moreno Ortiz"/>
    <x v="0"/>
  </r>
  <r>
    <n v="2665"/>
    <n v="291"/>
    <n v="5"/>
    <n v="24.68"/>
    <n v="2.4700000000000002"/>
    <n v="0"/>
    <n v="0.1"/>
    <s v="ACTIVE"/>
    <m/>
    <s v=""/>
    <m/>
    <d v="2026-09-03T16:18:26"/>
    <d v="2026-09-03T00:00:00"/>
    <x v="11"/>
    <x v="0"/>
    <n v="1"/>
    <n v="0"/>
    <x v="2244"/>
    <s v="Leticia Ramos Jiménez"/>
    <x v="2"/>
  </r>
  <r>
    <n v="2666"/>
    <n v="21"/>
    <n v="5"/>
    <n v="29.33"/>
    <n v="2.93"/>
    <n v="0"/>
    <n v="0.1"/>
    <s v="ACTIVE"/>
    <m/>
    <s v=""/>
    <m/>
    <d v="2026-09-03T16:26:50"/>
    <d v="2026-09-03T00:00:00"/>
    <x v="11"/>
    <x v="0"/>
    <n v="1"/>
    <n v="0"/>
    <x v="2245"/>
    <s v="Carlos Morales Santoyo"/>
    <x v="2"/>
  </r>
  <r>
    <n v="2667"/>
    <n v="186"/>
    <n v="5"/>
    <n v="69.72"/>
    <n v="6.97"/>
    <n v="0"/>
    <n v="0.1"/>
    <s v="ACTIVE"/>
    <m/>
    <s v=""/>
    <m/>
    <d v="2026-09-04T07:27:41"/>
    <d v="2026-09-04T00:00:00"/>
    <x v="11"/>
    <x v="0"/>
    <n v="1"/>
    <n v="0"/>
    <x v="2246"/>
    <s v="Héctor Cruz Rodríguez"/>
    <x v="2"/>
  </r>
  <r>
    <n v="2668"/>
    <n v="128"/>
    <n v="4"/>
    <n v="12.15"/>
    <n v="1.22"/>
    <n v="0"/>
    <n v="0.1"/>
    <s v="ACTIVE"/>
    <m/>
    <s v=""/>
    <m/>
    <d v="2026-09-04T08:17:11"/>
    <d v="2026-09-04T00:00:00"/>
    <x v="11"/>
    <x v="0"/>
    <n v="1"/>
    <n v="0"/>
    <x v="2247"/>
    <s v="Verónica Ortiz Rangel"/>
    <x v="3"/>
  </r>
  <r>
    <n v="2669"/>
    <n v="181"/>
    <n v="4"/>
    <n v="39.06"/>
    <n v="3.91"/>
    <n v="0"/>
    <n v="0.1"/>
    <s v="CANCELED"/>
    <n v="5"/>
    <s v="Error de captura"/>
    <d v="2026-09-05T16:20:44"/>
    <d v="2026-09-04T08:20:44"/>
    <d v="2026-09-04T00:00:00"/>
    <x v="11"/>
    <x v="0"/>
    <n v="1"/>
    <n v="1"/>
    <x v="32"/>
    <s v="Alicia Rangel Hernández"/>
    <x v="3"/>
  </r>
  <r>
    <n v="2670"/>
    <n v="75"/>
    <n v="4"/>
    <n v="61.81"/>
    <n v="0"/>
    <n v="1"/>
    <n v="0.1"/>
    <s v="ACTIVE"/>
    <m/>
    <s v=""/>
    <m/>
    <d v="2026-09-04T10:00:59"/>
    <d v="2026-09-04T00:00:00"/>
    <x v="11"/>
    <x v="1"/>
    <n v="1"/>
    <n v="0"/>
    <x v="2248"/>
    <s v="Guadalupe Romero Ortiz"/>
    <x v="3"/>
  </r>
  <r>
    <n v="2671"/>
    <n v="246"/>
    <n v="2"/>
    <n v="26.05"/>
    <n v="2.61"/>
    <n v="0"/>
    <n v="0.1"/>
    <s v="ACTIVE"/>
    <m/>
    <s v=""/>
    <m/>
    <d v="2026-09-04T10:24:06"/>
    <d v="2026-09-04T00:00:00"/>
    <x v="11"/>
    <x v="0"/>
    <n v="1"/>
    <n v="0"/>
    <x v="2249"/>
    <s v="Alicia Morales Jiménez"/>
    <x v="1"/>
  </r>
  <r>
    <n v="2672"/>
    <n v="299"/>
    <n v="5"/>
    <n v="125.96"/>
    <n v="12.6"/>
    <n v="0"/>
    <n v="0.1"/>
    <s v="ACTIVE"/>
    <m/>
    <s v=""/>
    <m/>
    <d v="2026-09-04T11:36:16"/>
    <d v="2026-09-04T00:00:00"/>
    <x v="11"/>
    <x v="0"/>
    <n v="1"/>
    <n v="0"/>
    <x v="2250"/>
    <s v="Manuel Ramírez Martínez"/>
    <x v="2"/>
  </r>
  <r>
    <n v="2673"/>
    <n v="134"/>
    <n v="2"/>
    <n v="92.54"/>
    <n v="9.25"/>
    <n v="0"/>
    <n v="0.1"/>
    <s v="ACTIVE"/>
    <m/>
    <s v=""/>
    <m/>
    <d v="2026-09-04T12:01:04"/>
    <d v="2026-09-04T00:00:00"/>
    <x v="11"/>
    <x v="0"/>
    <n v="1"/>
    <n v="0"/>
    <x v="1199"/>
    <s v="Javier Moreno Ortiz"/>
    <x v="1"/>
  </r>
  <r>
    <n v="2674"/>
    <n v="136"/>
    <n v="4"/>
    <n v="191.43"/>
    <n v="19.14"/>
    <n v="0"/>
    <n v="0.1"/>
    <s v="ACTIVE"/>
    <m/>
    <s v=""/>
    <m/>
    <d v="2026-09-04T12:50:56"/>
    <d v="2026-09-04T00:00:00"/>
    <x v="11"/>
    <x v="0"/>
    <n v="1"/>
    <n v="0"/>
    <x v="2251"/>
    <s v="Guadalupe Castillo Rangel"/>
    <x v="3"/>
  </r>
  <r>
    <n v="2675"/>
    <n v="128"/>
    <n v="2"/>
    <n v="11.01"/>
    <n v="1.1000000000000001"/>
    <n v="0"/>
    <n v="0.1"/>
    <s v="ACTIVE"/>
    <m/>
    <s v=""/>
    <m/>
    <d v="2026-09-04T13:53:10"/>
    <d v="2026-09-04T00:00:00"/>
    <x v="11"/>
    <x v="0"/>
    <n v="1"/>
    <n v="0"/>
    <x v="2252"/>
    <s v="Verónica Ortiz Rangel"/>
    <x v="1"/>
  </r>
  <r>
    <n v="2676"/>
    <n v="250"/>
    <n v="2"/>
    <n v="72.930000000000007"/>
    <n v="7.29"/>
    <n v="0"/>
    <n v="0.1"/>
    <s v="ACTIVE"/>
    <m/>
    <s v=""/>
    <m/>
    <d v="2026-09-04T15:35:32"/>
    <d v="2026-09-04T00:00:00"/>
    <x v="11"/>
    <x v="0"/>
    <n v="1"/>
    <n v="0"/>
    <x v="2253"/>
    <s v="Verónica Romero Chávez"/>
    <x v="1"/>
  </r>
  <r>
    <n v="2677"/>
    <n v="114"/>
    <n v="3"/>
    <n v="165.69"/>
    <n v="16.57"/>
    <n v="0"/>
    <n v="0.1"/>
    <s v="ACTIVE"/>
    <m/>
    <s v=""/>
    <m/>
    <d v="2026-09-04T16:27:33"/>
    <d v="2026-09-04T00:00:00"/>
    <x v="11"/>
    <x v="0"/>
    <n v="1"/>
    <n v="0"/>
    <x v="2254"/>
    <s v="Elena Gutiérrez Rodríguez"/>
    <x v="0"/>
  </r>
  <r>
    <n v="2678"/>
    <n v="75"/>
    <n v="2"/>
    <n v="69.62"/>
    <n v="6.96"/>
    <n v="0"/>
    <n v="0.1"/>
    <s v="ACTIVE"/>
    <m/>
    <s v=""/>
    <m/>
    <d v="2026-09-04T16:53:42"/>
    <d v="2026-09-04T00:00:00"/>
    <x v="11"/>
    <x v="0"/>
    <n v="1"/>
    <n v="0"/>
    <x v="2255"/>
    <s v="Guadalupe Romero Ortiz"/>
    <x v="1"/>
  </r>
  <r>
    <n v="2679"/>
    <n v="65"/>
    <n v="2"/>
    <n v="20"/>
    <n v="2"/>
    <n v="0"/>
    <n v="0.1"/>
    <s v="ACTIVE"/>
    <m/>
    <s v=""/>
    <m/>
    <d v="2026-09-04T17:04:07"/>
    <d v="2026-09-04T00:00:00"/>
    <x v="11"/>
    <x v="0"/>
    <n v="1"/>
    <n v="0"/>
    <x v="2256"/>
    <s v="Gabriela Flores Chávez"/>
    <x v="1"/>
  </r>
  <r>
    <n v="2680"/>
    <n v="238"/>
    <n v="3"/>
    <n v="34.380000000000003"/>
    <n v="3.44"/>
    <n v="0"/>
    <n v="0.1"/>
    <s v="ACTIVE"/>
    <m/>
    <s v=""/>
    <m/>
    <d v="2026-09-04T17:27:07"/>
    <d v="2026-09-04T00:00:00"/>
    <x v="11"/>
    <x v="0"/>
    <n v="1"/>
    <n v="0"/>
    <x v="2257"/>
    <s v="Carmen López Ramos"/>
    <x v="0"/>
  </r>
  <r>
    <n v="2681"/>
    <n v="128"/>
    <n v="4"/>
    <n v="23.11"/>
    <n v="2.31"/>
    <n v="0"/>
    <n v="0.1"/>
    <s v="ACTIVE"/>
    <m/>
    <s v=""/>
    <m/>
    <d v="2026-09-05T09:15:23"/>
    <d v="2026-09-05T00:00:00"/>
    <x v="11"/>
    <x v="0"/>
    <n v="1"/>
    <n v="0"/>
    <x v="161"/>
    <s v="Verónica Ortiz Rangel"/>
    <x v="3"/>
  </r>
  <r>
    <n v="2682"/>
    <n v="134"/>
    <n v="5"/>
    <n v="87.71"/>
    <n v="8.77"/>
    <n v="0"/>
    <n v="0.1"/>
    <s v="ACTIVE"/>
    <m/>
    <s v=""/>
    <m/>
    <d v="2026-09-05T10:54:42"/>
    <d v="2026-09-05T00:00:00"/>
    <x v="11"/>
    <x v="0"/>
    <n v="1"/>
    <n v="0"/>
    <x v="2258"/>
    <s v="Javier Moreno Ortiz"/>
    <x v="2"/>
  </r>
  <r>
    <n v="2683"/>
    <n v="137"/>
    <n v="2"/>
    <n v="43.67"/>
    <n v="4.37"/>
    <n v="0"/>
    <n v="0.1"/>
    <s v="ACTIVE"/>
    <m/>
    <s v=""/>
    <m/>
    <d v="2026-09-05T13:40:51"/>
    <d v="2026-09-05T00:00:00"/>
    <x v="11"/>
    <x v="0"/>
    <n v="1"/>
    <n v="0"/>
    <x v="2259"/>
    <s v="Francisco Reyes Ruiz"/>
    <x v="1"/>
  </r>
  <r>
    <n v="2684"/>
    <n v="250"/>
    <n v="3"/>
    <n v="220"/>
    <n v="22"/>
    <n v="0"/>
    <n v="0.1"/>
    <s v="ACTIVE"/>
    <m/>
    <s v=""/>
    <m/>
    <d v="2026-09-05T14:59:20"/>
    <d v="2026-09-05T00:00:00"/>
    <x v="11"/>
    <x v="0"/>
    <n v="1"/>
    <n v="0"/>
    <x v="200"/>
    <s v="Verónica Romero Chávez"/>
    <x v="0"/>
  </r>
  <r>
    <n v="2685"/>
    <n v="137"/>
    <n v="5"/>
    <n v="30.24"/>
    <n v="3.02"/>
    <n v="0"/>
    <n v="0.1"/>
    <s v="ACTIVE"/>
    <m/>
    <s v=""/>
    <m/>
    <d v="2026-09-05T15:21:54"/>
    <d v="2026-09-05T00:00:00"/>
    <x v="11"/>
    <x v="0"/>
    <n v="1"/>
    <n v="0"/>
    <x v="2260"/>
    <s v="Francisco Reyes Ruiz"/>
    <x v="2"/>
  </r>
  <r>
    <n v="2686"/>
    <n v="75"/>
    <n v="5"/>
    <n v="117.61"/>
    <n v="11.76"/>
    <n v="0"/>
    <n v="0.1"/>
    <s v="ACTIVE"/>
    <m/>
    <s v=""/>
    <m/>
    <d v="2026-09-05T16:07:31"/>
    <d v="2026-09-05T00:00:00"/>
    <x v="11"/>
    <x v="0"/>
    <n v="1"/>
    <n v="0"/>
    <x v="2261"/>
    <s v="Guadalupe Romero Ortiz"/>
    <x v="2"/>
  </r>
  <r>
    <n v="2687"/>
    <n v="243"/>
    <n v="4"/>
    <n v="31.28"/>
    <n v="3.13"/>
    <n v="0"/>
    <n v="0.1"/>
    <s v="ACTIVE"/>
    <m/>
    <s v=""/>
    <m/>
    <d v="2026-09-05T16:12:37"/>
    <d v="2026-09-05T00:00:00"/>
    <x v="11"/>
    <x v="0"/>
    <n v="1"/>
    <n v="0"/>
    <x v="2262"/>
    <s v="Raúl García Díaz"/>
    <x v="3"/>
  </r>
  <r>
    <n v="2688"/>
    <n v="250"/>
    <n v="4"/>
    <n v="82.74"/>
    <n v="8.27"/>
    <n v="0"/>
    <n v="0.1"/>
    <s v="ACTIVE"/>
    <m/>
    <s v=""/>
    <m/>
    <d v="2026-09-06T10:09:17"/>
    <d v="2026-09-06T00:00:00"/>
    <x v="11"/>
    <x v="0"/>
    <n v="1"/>
    <n v="0"/>
    <x v="2263"/>
    <s v="Verónica Romero Chávez"/>
    <x v="3"/>
  </r>
  <r>
    <n v="2689"/>
    <n v="159"/>
    <n v="3"/>
    <n v="21.2"/>
    <n v="2.12"/>
    <n v="0"/>
    <n v="0.1"/>
    <s v="ACTIVE"/>
    <m/>
    <s v=""/>
    <m/>
    <d v="2026-09-06T11:49:02"/>
    <d v="2026-09-06T00:00:00"/>
    <x v="11"/>
    <x v="0"/>
    <n v="1"/>
    <n v="0"/>
    <x v="2264"/>
    <s v="Juan Chávez Santoyo"/>
    <x v="0"/>
  </r>
  <r>
    <n v="2690"/>
    <n v="158"/>
    <n v="4"/>
    <n v="40.35"/>
    <n v="4.04"/>
    <n v="0"/>
    <n v="0.1"/>
    <s v="ACTIVE"/>
    <m/>
    <s v=""/>
    <m/>
    <d v="2026-09-06T12:51:34"/>
    <d v="2026-09-06T00:00:00"/>
    <x v="11"/>
    <x v="0"/>
    <n v="1"/>
    <n v="0"/>
    <x v="2265"/>
    <s v="Juan Rodríguez Cruz"/>
    <x v="3"/>
  </r>
  <r>
    <n v="2691"/>
    <n v="128"/>
    <n v="5"/>
    <n v="34.950000000000003"/>
    <n v="3.5"/>
    <n v="0"/>
    <n v="0.1"/>
    <s v="ACTIVE"/>
    <m/>
    <s v=""/>
    <m/>
    <d v="2026-09-06T16:23:15"/>
    <d v="2026-09-06T00:00:00"/>
    <x v="11"/>
    <x v="0"/>
    <n v="1"/>
    <n v="0"/>
    <x v="181"/>
    <s v="Verónica Ortiz Rangel"/>
    <x v="2"/>
  </r>
  <r>
    <n v="2692"/>
    <n v="75"/>
    <n v="4"/>
    <n v="46.69"/>
    <n v="4.67"/>
    <n v="0"/>
    <n v="0.1"/>
    <s v="ACTIVE"/>
    <m/>
    <s v=""/>
    <m/>
    <d v="2026-09-06T16:25:49"/>
    <d v="2026-09-06T00:00:00"/>
    <x v="11"/>
    <x v="0"/>
    <n v="1"/>
    <n v="0"/>
    <x v="1681"/>
    <s v="Guadalupe Romero Ortiz"/>
    <x v="3"/>
  </r>
  <r>
    <n v="2693"/>
    <n v="133"/>
    <n v="5"/>
    <n v="128.77000000000001"/>
    <n v="12.88"/>
    <n v="0"/>
    <n v="0.1"/>
    <s v="CANCELED"/>
    <n v="3"/>
    <s v="Solicitud del cliente"/>
    <d v="2026-09-07T16:26:51"/>
    <d v="2026-09-06T16:26:51"/>
    <d v="2026-09-06T00:00:00"/>
    <x v="11"/>
    <x v="0"/>
    <n v="1"/>
    <n v="1"/>
    <x v="32"/>
    <s v="Silvia Villalobos Medina"/>
    <x v="2"/>
  </r>
  <r>
    <n v="2694"/>
    <n v="299"/>
    <n v="5"/>
    <n v="47.31"/>
    <n v="4.7300000000000004"/>
    <n v="0"/>
    <n v="0.1"/>
    <s v="ACTIVE"/>
    <m/>
    <s v=""/>
    <m/>
    <d v="2026-09-06T16:36:02"/>
    <d v="2026-09-06T00:00:00"/>
    <x v="11"/>
    <x v="0"/>
    <n v="1"/>
    <n v="0"/>
    <x v="2266"/>
    <s v="Manuel Ramírez Martínez"/>
    <x v="2"/>
  </r>
  <r>
    <n v="2695"/>
    <n v="123"/>
    <n v="5"/>
    <n v="25.98"/>
    <n v="2.6"/>
    <n v="0"/>
    <n v="0.1"/>
    <s v="ACTIVE"/>
    <m/>
    <s v=""/>
    <m/>
    <d v="2026-09-06T17:04:38"/>
    <d v="2026-09-06T00:00:00"/>
    <x v="11"/>
    <x v="0"/>
    <n v="1"/>
    <n v="0"/>
    <x v="2267"/>
    <s v="Carmen Vázquez González"/>
    <x v="2"/>
  </r>
  <r>
    <n v="2696"/>
    <n v="128"/>
    <n v="2"/>
    <n v="13.36"/>
    <n v="1.34"/>
    <n v="0"/>
    <n v="0.1"/>
    <s v="ACTIVE"/>
    <m/>
    <s v=""/>
    <m/>
    <d v="2026-09-07T08:39:41"/>
    <d v="2026-09-07T00:00:00"/>
    <x v="11"/>
    <x v="0"/>
    <n v="1"/>
    <n v="0"/>
    <x v="2268"/>
    <s v="Verónica Ortiz Rangel"/>
    <x v="1"/>
  </r>
  <r>
    <n v="2697"/>
    <n v="242"/>
    <n v="2"/>
    <n v="41.16"/>
    <n v="4.12"/>
    <n v="0"/>
    <n v="0.1"/>
    <s v="ACTIVE"/>
    <m/>
    <s v=""/>
    <m/>
    <d v="2026-09-07T09:13:37"/>
    <d v="2026-09-07T00:00:00"/>
    <x v="11"/>
    <x v="0"/>
    <n v="1"/>
    <n v="0"/>
    <x v="2269"/>
    <s v="Irma Quiñones García"/>
    <x v="1"/>
  </r>
  <r>
    <n v="2698"/>
    <n v="68"/>
    <n v="3"/>
    <n v="57.77"/>
    <n v="5.78"/>
    <n v="0"/>
    <n v="0.1"/>
    <s v="ACTIVE"/>
    <m/>
    <s v=""/>
    <m/>
    <d v="2026-09-07T11:52:27"/>
    <d v="2026-09-07T00:00:00"/>
    <x v="11"/>
    <x v="0"/>
    <n v="1"/>
    <n v="0"/>
    <x v="2270"/>
    <s v="Guadalupe Ramírez Gutiérrez"/>
    <x v="0"/>
  </r>
  <r>
    <n v="2699"/>
    <n v="134"/>
    <n v="3"/>
    <n v="107"/>
    <n v="10.7"/>
    <n v="0"/>
    <n v="0.1"/>
    <s v="ACTIVE"/>
    <m/>
    <s v=""/>
    <m/>
    <d v="2026-09-07T13:12:00"/>
    <d v="2026-09-07T00:00:00"/>
    <x v="11"/>
    <x v="0"/>
    <n v="1"/>
    <n v="0"/>
    <x v="2271"/>
    <s v="Javier Moreno Ortiz"/>
    <x v="0"/>
  </r>
  <r>
    <n v="2700"/>
    <n v="162"/>
    <n v="2"/>
    <n v="108.46"/>
    <n v="10.85"/>
    <n v="0"/>
    <n v="0.1"/>
    <s v="ACTIVE"/>
    <m/>
    <s v=""/>
    <m/>
    <d v="2026-09-07T15:16:41"/>
    <d v="2026-09-07T00:00:00"/>
    <x v="11"/>
    <x v="0"/>
    <n v="1"/>
    <n v="0"/>
    <x v="2272"/>
    <s v="María Pérez Gómez"/>
    <x v="1"/>
  </r>
  <r>
    <n v="2701"/>
    <n v="229"/>
    <n v="5"/>
    <n v="32.409999999999997"/>
    <n v="3.24"/>
    <n v="0"/>
    <n v="0.1"/>
    <s v="ACTIVE"/>
    <m/>
    <s v=""/>
    <m/>
    <d v="2026-09-07T16:03:35"/>
    <d v="2026-09-07T00:00:00"/>
    <x v="11"/>
    <x v="0"/>
    <n v="1"/>
    <n v="0"/>
    <x v="398"/>
    <s v="Verónica González Rodríguez"/>
    <x v="2"/>
  </r>
  <r>
    <n v="2702"/>
    <n v="167"/>
    <n v="4"/>
    <n v="44.07"/>
    <n v="4.41"/>
    <n v="0"/>
    <n v="0.1"/>
    <s v="ACTIVE"/>
    <m/>
    <s v=""/>
    <m/>
    <d v="2026-09-07T19:39:59"/>
    <d v="2026-09-07T00:00:00"/>
    <x v="11"/>
    <x v="0"/>
    <n v="1"/>
    <n v="0"/>
    <x v="2273"/>
    <s v="Roberto Chávez Quiñones"/>
    <x v="3"/>
  </r>
  <r>
    <n v="2703"/>
    <n v="35"/>
    <n v="5"/>
    <n v="34.479999999999997"/>
    <n v="3.45"/>
    <n v="0"/>
    <n v="0.1"/>
    <s v="ACTIVE"/>
    <m/>
    <s v=""/>
    <m/>
    <d v="2026-09-08T08:37:31"/>
    <d v="2026-09-08T00:00:00"/>
    <x v="11"/>
    <x v="0"/>
    <n v="1"/>
    <n v="0"/>
    <x v="2274"/>
    <s v="Teresa Ramírez Ramírez"/>
    <x v="2"/>
  </r>
  <r>
    <n v="2704"/>
    <n v="56"/>
    <n v="5"/>
    <n v="84.44"/>
    <n v="8.44"/>
    <n v="0"/>
    <n v="0.1"/>
    <s v="ACTIVE"/>
    <m/>
    <s v=""/>
    <m/>
    <d v="2026-09-08T09:52:57"/>
    <d v="2026-09-08T00:00:00"/>
    <x v="11"/>
    <x v="0"/>
    <n v="1"/>
    <n v="0"/>
    <x v="2275"/>
    <s v="Carlos Ortiz Moreno"/>
    <x v="2"/>
  </r>
  <r>
    <n v="2705"/>
    <n v="128"/>
    <n v="5"/>
    <n v="12.92"/>
    <n v="1.29"/>
    <n v="0"/>
    <n v="0.1"/>
    <s v="ACTIVE"/>
    <m/>
    <s v=""/>
    <m/>
    <d v="2026-09-08T10:06:27"/>
    <d v="2026-09-08T00:00:00"/>
    <x v="11"/>
    <x v="0"/>
    <n v="1"/>
    <n v="0"/>
    <x v="2276"/>
    <s v="Verónica Ortiz Rangel"/>
    <x v="2"/>
  </r>
  <r>
    <n v="2706"/>
    <n v="128"/>
    <n v="4"/>
    <n v="38.96"/>
    <n v="3.9"/>
    <n v="0"/>
    <n v="0.1"/>
    <s v="ACTIVE"/>
    <m/>
    <s v=""/>
    <m/>
    <d v="2026-09-09T08:31:54"/>
    <d v="2026-09-09T00:00:00"/>
    <x v="11"/>
    <x v="0"/>
    <n v="1"/>
    <n v="0"/>
    <x v="2277"/>
    <s v="Verónica Ortiz Rangel"/>
    <x v="3"/>
  </r>
  <r>
    <n v="2707"/>
    <n v="279"/>
    <n v="4"/>
    <n v="206.35"/>
    <n v="20.64"/>
    <n v="0"/>
    <n v="0.1"/>
    <s v="ACTIVE"/>
    <m/>
    <s v=""/>
    <m/>
    <d v="2026-09-09T09:47:43"/>
    <d v="2026-09-09T00:00:00"/>
    <x v="11"/>
    <x v="0"/>
    <n v="1"/>
    <n v="0"/>
    <x v="2278"/>
    <s v="Rosa Mendoza Moreno"/>
    <x v="3"/>
  </r>
  <r>
    <n v="2708"/>
    <n v="128"/>
    <n v="4"/>
    <n v="21.57"/>
    <n v="2.16"/>
    <n v="0"/>
    <n v="0.1"/>
    <s v="ACTIVE"/>
    <m/>
    <s v=""/>
    <m/>
    <d v="2026-09-09T13:25:26"/>
    <d v="2026-09-09T00:00:00"/>
    <x v="11"/>
    <x v="0"/>
    <n v="1"/>
    <n v="0"/>
    <x v="2279"/>
    <s v="Verónica Ortiz Rangel"/>
    <x v="3"/>
  </r>
  <r>
    <n v="2709"/>
    <n v="75"/>
    <n v="5"/>
    <n v="86.01"/>
    <n v="8.6"/>
    <n v="0"/>
    <n v="0.1"/>
    <s v="ACTIVE"/>
    <m/>
    <s v=""/>
    <m/>
    <d v="2026-09-09T13:31:10"/>
    <d v="2026-09-09T00:00:00"/>
    <x v="11"/>
    <x v="0"/>
    <n v="1"/>
    <n v="0"/>
    <x v="1504"/>
    <s v="Guadalupe Romero Ortiz"/>
    <x v="2"/>
  </r>
  <r>
    <n v="2710"/>
    <n v="65"/>
    <n v="3"/>
    <n v="21.54"/>
    <n v="2.15"/>
    <n v="0"/>
    <n v="0.1"/>
    <s v="ACTIVE"/>
    <m/>
    <s v=""/>
    <m/>
    <d v="2026-09-09T13:41:49"/>
    <d v="2026-09-09T00:00:00"/>
    <x v="11"/>
    <x v="0"/>
    <n v="1"/>
    <n v="0"/>
    <x v="2280"/>
    <s v="Gabriela Flores Chávez"/>
    <x v="0"/>
  </r>
  <r>
    <n v="2711"/>
    <n v="220"/>
    <n v="4"/>
    <n v="30.65"/>
    <n v="3.07"/>
    <n v="0"/>
    <n v="0.1"/>
    <s v="ACTIVE"/>
    <m/>
    <s v=""/>
    <m/>
    <d v="2026-09-09T15:07:14"/>
    <d v="2026-09-09T00:00:00"/>
    <x v="11"/>
    <x v="0"/>
    <n v="1"/>
    <n v="0"/>
    <x v="2281"/>
    <s v="Isabel Morales Cruz"/>
    <x v="3"/>
  </r>
  <r>
    <n v="2712"/>
    <n v="250"/>
    <n v="4"/>
    <n v="148.4"/>
    <n v="14.84"/>
    <n v="0"/>
    <n v="0.1"/>
    <s v="ACTIVE"/>
    <m/>
    <s v=""/>
    <m/>
    <d v="2026-09-09T18:57:39"/>
    <d v="2026-09-09T00:00:00"/>
    <x v="11"/>
    <x v="0"/>
    <n v="1"/>
    <n v="0"/>
    <x v="2282"/>
    <s v="Verónica Romero Chávez"/>
    <x v="3"/>
  </r>
  <r>
    <n v="2713"/>
    <n v="75"/>
    <n v="3"/>
    <n v="78.22"/>
    <n v="7.82"/>
    <n v="0"/>
    <n v="0.1"/>
    <s v="ACTIVE"/>
    <m/>
    <s v=""/>
    <m/>
    <d v="2026-09-10T08:59:34"/>
    <d v="2026-09-10T00:00:00"/>
    <x v="11"/>
    <x v="0"/>
    <n v="1"/>
    <n v="0"/>
    <x v="2283"/>
    <s v="Guadalupe Romero Ortiz"/>
    <x v="0"/>
  </r>
  <r>
    <n v="2714"/>
    <n v="285"/>
    <n v="2"/>
    <n v="29.07"/>
    <n v="2.91"/>
    <n v="0"/>
    <n v="0.1"/>
    <s v="ACTIVE"/>
    <m/>
    <s v=""/>
    <m/>
    <d v="2026-09-10T09:37:46"/>
    <d v="2026-09-10T00:00:00"/>
    <x v="11"/>
    <x v="0"/>
    <n v="1"/>
    <n v="0"/>
    <x v="777"/>
    <s v="Alicia Martínez Aguilar"/>
    <x v="1"/>
  </r>
  <r>
    <n v="2715"/>
    <n v="35"/>
    <n v="2"/>
    <n v="58.17"/>
    <n v="5.82"/>
    <n v="0"/>
    <n v="0.1"/>
    <s v="ACTIVE"/>
    <m/>
    <s v=""/>
    <m/>
    <d v="2026-09-10T13:27:17"/>
    <d v="2026-09-10T00:00:00"/>
    <x v="11"/>
    <x v="0"/>
    <n v="1"/>
    <n v="0"/>
    <x v="2284"/>
    <s v="Teresa Ramírez Ramírez"/>
    <x v="1"/>
  </r>
  <r>
    <n v="2716"/>
    <n v="136"/>
    <n v="2"/>
    <n v="160.55000000000001"/>
    <n v="16.059999999999999"/>
    <n v="0"/>
    <n v="0.1"/>
    <s v="ACTIVE"/>
    <m/>
    <s v=""/>
    <m/>
    <d v="2026-09-10T16:41:27"/>
    <d v="2026-09-10T00:00:00"/>
    <x v="11"/>
    <x v="0"/>
    <n v="1"/>
    <n v="0"/>
    <x v="2285"/>
    <s v="Guadalupe Castillo Rangel"/>
    <x v="1"/>
  </r>
  <r>
    <n v="2717"/>
    <n v="137"/>
    <n v="4"/>
    <n v="23.84"/>
    <n v="2.38"/>
    <n v="0"/>
    <n v="0.1"/>
    <s v="ACTIVE"/>
    <m/>
    <s v=""/>
    <m/>
    <d v="2026-09-10T18:30:42"/>
    <d v="2026-09-10T00:00:00"/>
    <x v="11"/>
    <x v="0"/>
    <n v="1"/>
    <n v="0"/>
    <x v="2286"/>
    <s v="Francisco Reyes Ruiz"/>
    <x v="3"/>
  </r>
  <r>
    <n v="2718"/>
    <n v="293"/>
    <n v="2"/>
    <n v="41.6"/>
    <n v="4.16"/>
    <n v="0"/>
    <n v="0.1"/>
    <s v="ACTIVE"/>
    <m/>
    <s v=""/>
    <m/>
    <d v="2026-09-11T08:16:24"/>
    <d v="2026-09-11T00:00:00"/>
    <x v="11"/>
    <x v="0"/>
    <n v="1"/>
    <n v="0"/>
    <x v="2287"/>
    <s v="Patricia Quiñones Pérez"/>
    <x v="1"/>
  </r>
  <r>
    <n v="2719"/>
    <n v="11"/>
    <n v="2"/>
    <n v="130.16"/>
    <n v="13.02"/>
    <n v="0"/>
    <n v="0.1"/>
    <s v="CANCELED"/>
    <n v="2"/>
    <s v="Error de captura"/>
    <d v="2026-09-13T01:58:31"/>
    <d v="2026-09-11T11:58:31"/>
    <d v="2026-09-11T00:00:00"/>
    <x v="11"/>
    <x v="0"/>
    <n v="1"/>
    <n v="1"/>
    <x v="32"/>
    <s v="Guadalupe Pérez Rodríguez"/>
    <x v="1"/>
  </r>
  <r>
    <n v="2720"/>
    <n v="82"/>
    <n v="5"/>
    <n v="41.54"/>
    <n v="4.1500000000000004"/>
    <n v="0"/>
    <n v="0.1"/>
    <s v="ACTIVE"/>
    <m/>
    <s v=""/>
    <m/>
    <d v="2026-09-11T12:56:23"/>
    <d v="2026-09-11T00:00:00"/>
    <x v="11"/>
    <x v="0"/>
    <n v="1"/>
    <n v="0"/>
    <x v="2288"/>
    <s v="Norma Zacatecas Sánchez"/>
    <x v="2"/>
  </r>
  <r>
    <n v="2721"/>
    <n v="120"/>
    <n v="4"/>
    <n v="29"/>
    <n v="2.9"/>
    <n v="0"/>
    <n v="0.1"/>
    <s v="ACTIVE"/>
    <m/>
    <s v=""/>
    <m/>
    <d v="2026-09-11T13:39:07"/>
    <d v="2026-09-11T00:00:00"/>
    <x v="11"/>
    <x v="0"/>
    <n v="1"/>
    <n v="0"/>
    <x v="2289"/>
    <s v="Juan Mendoza Santoyo"/>
    <x v="3"/>
  </r>
  <r>
    <n v="2722"/>
    <n v="128"/>
    <n v="5"/>
    <n v="30.77"/>
    <n v="3.08"/>
    <n v="0"/>
    <n v="0.1"/>
    <s v="ACTIVE"/>
    <m/>
    <s v=""/>
    <m/>
    <d v="2026-09-11T13:48:50"/>
    <d v="2026-09-11T00:00:00"/>
    <x v="11"/>
    <x v="0"/>
    <n v="1"/>
    <n v="0"/>
    <x v="2290"/>
    <s v="Verónica Ortiz Rangel"/>
    <x v="2"/>
  </r>
  <r>
    <n v="2723"/>
    <n v="118"/>
    <n v="3"/>
    <n v="11.83"/>
    <n v="1.18"/>
    <n v="0"/>
    <n v="0.1"/>
    <s v="ACTIVE"/>
    <m/>
    <s v=""/>
    <m/>
    <d v="2026-09-11T15:39:31"/>
    <d v="2026-09-11T00:00:00"/>
    <x v="11"/>
    <x v="0"/>
    <n v="1"/>
    <n v="0"/>
    <x v="2291"/>
    <s v="Roberto Rangel Gutiérrez"/>
    <x v="0"/>
  </r>
  <r>
    <n v="2724"/>
    <n v="9"/>
    <n v="4"/>
    <n v="40.9"/>
    <n v="4.09"/>
    <n v="0"/>
    <n v="0.1"/>
    <s v="ACTIVE"/>
    <m/>
    <s v=""/>
    <m/>
    <d v="2026-09-11T16:15:09"/>
    <d v="2026-09-11T00:00:00"/>
    <x v="11"/>
    <x v="0"/>
    <n v="1"/>
    <n v="0"/>
    <x v="2292"/>
    <s v="Teresa Romero Cruz"/>
    <x v="3"/>
  </r>
  <r>
    <n v="2725"/>
    <n v="56"/>
    <n v="4"/>
    <n v="105.44"/>
    <n v="10.54"/>
    <n v="0"/>
    <n v="0.1"/>
    <s v="ACTIVE"/>
    <m/>
    <s v=""/>
    <m/>
    <d v="2026-09-11T17:00:10"/>
    <d v="2026-09-11T00:00:00"/>
    <x v="11"/>
    <x v="0"/>
    <n v="1"/>
    <n v="0"/>
    <x v="2293"/>
    <s v="Carlos Ortiz Moreno"/>
    <x v="3"/>
  </r>
  <r>
    <n v="2726"/>
    <n v="112"/>
    <n v="3"/>
    <n v="19.739999999999998"/>
    <n v="1.97"/>
    <n v="0"/>
    <n v="0.1"/>
    <s v="ACTIVE"/>
    <m/>
    <s v=""/>
    <m/>
    <d v="2026-09-11T17:36:55"/>
    <d v="2026-09-11T00:00:00"/>
    <x v="11"/>
    <x v="0"/>
    <n v="1"/>
    <n v="0"/>
    <x v="2294"/>
    <s v="Leticia Díaz López"/>
    <x v="0"/>
  </r>
  <r>
    <n v="2727"/>
    <n v="134"/>
    <n v="5"/>
    <n v="119.1"/>
    <n v="11.91"/>
    <n v="0"/>
    <n v="0.1"/>
    <s v="ACTIVE"/>
    <m/>
    <s v=""/>
    <m/>
    <d v="2026-09-11T17:51:04"/>
    <d v="2026-09-11T00:00:00"/>
    <x v="11"/>
    <x v="0"/>
    <n v="1"/>
    <n v="0"/>
    <x v="2295"/>
    <s v="Javier Moreno Ortiz"/>
    <x v="2"/>
  </r>
  <r>
    <n v="2728"/>
    <n v="183"/>
    <n v="5"/>
    <n v="115.39"/>
    <n v="11.54"/>
    <n v="0"/>
    <n v="0.1"/>
    <s v="ACTIVE"/>
    <m/>
    <s v=""/>
    <m/>
    <d v="2026-09-12T10:26:57"/>
    <d v="2026-09-12T00:00:00"/>
    <x v="11"/>
    <x v="0"/>
    <n v="1"/>
    <n v="0"/>
    <x v="2296"/>
    <s v="Irma Moreno Rodríguez"/>
    <x v="2"/>
  </r>
  <r>
    <n v="2729"/>
    <n v="174"/>
    <n v="4"/>
    <n v="32.81"/>
    <n v="3.28"/>
    <n v="0"/>
    <n v="0.1"/>
    <s v="ACTIVE"/>
    <m/>
    <s v=""/>
    <m/>
    <d v="2026-09-12T11:40:58"/>
    <d v="2026-09-12T00:00:00"/>
    <x v="11"/>
    <x v="0"/>
    <n v="1"/>
    <n v="0"/>
    <x v="2297"/>
    <s v="Elena Aguilar Zacatecas"/>
    <x v="3"/>
  </r>
  <r>
    <n v="2730"/>
    <n v="128"/>
    <n v="3"/>
    <n v="33.85"/>
    <n v="0"/>
    <n v="1"/>
    <n v="0.1"/>
    <s v="ACTIVE"/>
    <m/>
    <s v=""/>
    <m/>
    <d v="2026-09-12T13:12:56"/>
    <d v="2026-09-12T00:00:00"/>
    <x v="11"/>
    <x v="1"/>
    <n v="1"/>
    <n v="0"/>
    <x v="2298"/>
    <s v="Verónica Ortiz Rangel"/>
    <x v="0"/>
  </r>
  <r>
    <n v="2731"/>
    <n v="195"/>
    <n v="4"/>
    <n v="104.38"/>
    <n v="10.44"/>
    <n v="0"/>
    <n v="0.1"/>
    <s v="ACTIVE"/>
    <m/>
    <s v=""/>
    <m/>
    <d v="2026-09-12T14:07:17"/>
    <d v="2026-09-12T00:00:00"/>
    <x v="11"/>
    <x v="0"/>
    <n v="1"/>
    <n v="0"/>
    <x v="2299"/>
    <s v="Laura Salazar Pérez"/>
    <x v="3"/>
  </r>
  <r>
    <n v="2732"/>
    <n v="104"/>
    <n v="4"/>
    <n v="300"/>
    <n v="30"/>
    <n v="0"/>
    <n v="0.1"/>
    <s v="ACTIVE"/>
    <m/>
    <s v=""/>
    <m/>
    <d v="2026-09-12T16:14:46"/>
    <d v="2026-09-12T00:00:00"/>
    <x v="11"/>
    <x v="0"/>
    <n v="1"/>
    <n v="0"/>
    <x v="74"/>
    <s v="Manuel Morales González"/>
    <x v="3"/>
  </r>
  <r>
    <n v="2733"/>
    <n v="143"/>
    <n v="5"/>
    <n v="27.38"/>
    <n v="2.74"/>
    <n v="0"/>
    <n v="0.1"/>
    <s v="ACTIVE"/>
    <m/>
    <s v=""/>
    <m/>
    <d v="2026-09-12T19:00:45"/>
    <d v="2026-09-12T00:00:00"/>
    <x v="11"/>
    <x v="0"/>
    <n v="1"/>
    <n v="0"/>
    <x v="2300"/>
    <s v="Silvia Salazar Medina"/>
    <x v="2"/>
  </r>
  <r>
    <n v="2734"/>
    <n v="263"/>
    <n v="3"/>
    <n v="44.04"/>
    <n v="4.4000000000000004"/>
    <n v="0"/>
    <n v="0.1"/>
    <s v="ACTIVE"/>
    <m/>
    <s v=""/>
    <m/>
    <d v="2026-09-12T19:42:09"/>
    <d v="2026-09-12T00:00:00"/>
    <x v="11"/>
    <x v="0"/>
    <n v="1"/>
    <n v="0"/>
    <x v="2301"/>
    <s v="Francisco Delgado Zacatecas"/>
    <x v="0"/>
  </r>
  <r>
    <n v="2735"/>
    <n v="138"/>
    <n v="2"/>
    <n v="34.630000000000003"/>
    <n v="3.46"/>
    <n v="0"/>
    <n v="0.1"/>
    <s v="ACTIVE"/>
    <m/>
    <s v=""/>
    <m/>
    <d v="2026-09-13T10:25:44"/>
    <d v="2026-09-13T00:00:00"/>
    <x v="11"/>
    <x v="0"/>
    <n v="1"/>
    <n v="0"/>
    <x v="2302"/>
    <s v="Alejandro Reyes Morales"/>
    <x v="1"/>
  </r>
  <r>
    <n v="2736"/>
    <n v="75"/>
    <n v="2"/>
    <n v="173.77"/>
    <n v="17.38"/>
    <n v="0"/>
    <n v="0.1"/>
    <s v="ACTIVE"/>
    <m/>
    <s v=""/>
    <m/>
    <d v="2026-09-13T12:21:45"/>
    <d v="2026-09-13T00:00:00"/>
    <x v="11"/>
    <x v="0"/>
    <n v="1"/>
    <n v="0"/>
    <x v="2303"/>
    <s v="Guadalupe Romero Ortiz"/>
    <x v="1"/>
  </r>
  <r>
    <n v="2737"/>
    <n v="54"/>
    <n v="2"/>
    <n v="32.61"/>
    <n v="3.26"/>
    <n v="0"/>
    <n v="0.1"/>
    <s v="ACTIVE"/>
    <m/>
    <s v=""/>
    <m/>
    <d v="2026-09-13T16:10:15"/>
    <d v="2026-09-13T00:00:00"/>
    <x v="11"/>
    <x v="0"/>
    <n v="1"/>
    <n v="0"/>
    <x v="1433"/>
    <s v="Isabel Salazar Zacatecas"/>
    <x v="1"/>
  </r>
  <r>
    <n v="2738"/>
    <n v="250"/>
    <n v="2"/>
    <n v="134.41"/>
    <n v="13.44"/>
    <n v="0"/>
    <n v="0.1"/>
    <s v="ACTIVE"/>
    <m/>
    <s v=""/>
    <m/>
    <d v="2026-09-14T12:50:32"/>
    <d v="2026-09-14T00:00:00"/>
    <x v="11"/>
    <x v="0"/>
    <n v="1"/>
    <n v="0"/>
    <x v="2304"/>
    <s v="Verónica Romero Chávez"/>
    <x v="1"/>
  </r>
  <r>
    <n v="2739"/>
    <n v="75"/>
    <n v="2"/>
    <n v="149.6"/>
    <n v="14.96"/>
    <n v="0"/>
    <n v="0.1"/>
    <s v="ACTIVE"/>
    <m/>
    <s v=""/>
    <m/>
    <d v="2026-09-14T14:22:19"/>
    <d v="2026-09-14T00:00:00"/>
    <x v="11"/>
    <x v="0"/>
    <n v="1"/>
    <n v="0"/>
    <x v="2305"/>
    <s v="Guadalupe Romero Ortiz"/>
    <x v="1"/>
  </r>
  <r>
    <n v="2740"/>
    <n v="229"/>
    <n v="4"/>
    <n v="96.75"/>
    <n v="9.68"/>
    <n v="0"/>
    <n v="0.1"/>
    <s v="ACTIVE"/>
    <m/>
    <s v=""/>
    <m/>
    <d v="2026-09-14T15:01:07"/>
    <d v="2026-09-14T00:00:00"/>
    <x v="11"/>
    <x v="0"/>
    <n v="1"/>
    <n v="0"/>
    <x v="2306"/>
    <s v="Verónica González Rodríguez"/>
    <x v="3"/>
  </r>
  <r>
    <n v="2741"/>
    <n v="250"/>
    <n v="5"/>
    <n v="126.7"/>
    <n v="12.67"/>
    <n v="0"/>
    <n v="0.1"/>
    <s v="ACTIVE"/>
    <m/>
    <s v=""/>
    <m/>
    <d v="2026-09-14T16:08:13"/>
    <d v="2026-09-14T00:00:00"/>
    <x v="11"/>
    <x v="0"/>
    <n v="1"/>
    <n v="0"/>
    <x v="2307"/>
    <s v="Verónica Romero Chávez"/>
    <x v="2"/>
  </r>
  <r>
    <n v="2742"/>
    <n v="229"/>
    <n v="3"/>
    <n v="51.67"/>
    <n v="5.17"/>
    <n v="0"/>
    <n v="0.1"/>
    <s v="ACTIVE"/>
    <m/>
    <s v=""/>
    <m/>
    <d v="2026-09-14T16:37:13"/>
    <d v="2026-09-14T00:00:00"/>
    <x v="11"/>
    <x v="0"/>
    <n v="1"/>
    <n v="0"/>
    <x v="2236"/>
    <s v="Verónica González Rodríguez"/>
    <x v="0"/>
  </r>
  <r>
    <n v="2743"/>
    <n v="230"/>
    <n v="2"/>
    <n v="165.8"/>
    <n v="16.579999999999998"/>
    <n v="0"/>
    <n v="0.1"/>
    <s v="ACTIVE"/>
    <m/>
    <s v=""/>
    <m/>
    <d v="2026-09-14T17:54:52"/>
    <d v="2026-09-14T00:00:00"/>
    <x v="11"/>
    <x v="0"/>
    <n v="1"/>
    <n v="0"/>
    <x v="2308"/>
    <s v="Antonio Chávez Quiñones"/>
    <x v="1"/>
  </r>
  <r>
    <n v="2744"/>
    <n v="201"/>
    <n v="3"/>
    <n v="28.47"/>
    <n v="0"/>
    <n v="1"/>
    <n v="0.1"/>
    <s v="ACTIVE"/>
    <m/>
    <s v=""/>
    <m/>
    <d v="2026-09-14T19:12:16"/>
    <d v="2026-09-14T00:00:00"/>
    <x v="11"/>
    <x v="1"/>
    <n v="1"/>
    <n v="0"/>
    <x v="2309"/>
    <s v="Isabel Vázquez Ramírez"/>
    <x v="0"/>
  </r>
  <r>
    <n v="2745"/>
    <n v="134"/>
    <n v="2"/>
    <n v="90.34"/>
    <n v="9.0299999999999994"/>
    <n v="0"/>
    <n v="0.1"/>
    <s v="ACTIVE"/>
    <m/>
    <s v=""/>
    <m/>
    <d v="2026-09-14T19:57:23"/>
    <d v="2026-09-14T00:00:00"/>
    <x v="11"/>
    <x v="0"/>
    <n v="1"/>
    <n v="0"/>
    <x v="2310"/>
    <s v="Javier Moreno Ortiz"/>
    <x v="1"/>
  </r>
  <r>
    <n v="2746"/>
    <n v="136"/>
    <n v="5"/>
    <n v="214.45"/>
    <n v="21.45"/>
    <n v="0"/>
    <n v="0.1"/>
    <s v="ACTIVE"/>
    <m/>
    <s v=""/>
    <m/>
    <d v="2026-09-15T07:17:57"/>
    <d v="2026-09-15T00:00:00"/>
    <x v="11"/>
    <x v="0"/>
    <n v="1"/>
    <n v="0"/>
    <x v="2311"/>
    <s v="Guadalupe Castillo Rangel"/>
    <x v="2"/>
  </r>
  <r>
    <n v="2747"/>
    <n v="288"/>
    <n v="4"/>
    <n v="32.270000000000003"/>
    <n v="3.23"/>
    <n v="0"/>
    <n v="0.1"/>
    <s v="ACTIVE"/>
    <m/>
    <s v=""/>
    <m/>
    <d v="2026-09-15T08:37:40"/>
    <d v="2026-09-15T00:00:00"/>
    <x v="11"/>
    <x v="0"/>
    <n v="1"/>
    <n v="0"/>
    <x v="792"/>
    <s v="Daniel Medina Ramos"/>
    <x v="3"/>
  </r>
  <r>
    <n v="2748"/>
    <n v="299"/>
    <n v="5"/>
    <n v="220"/>
    <n v="22"/>
    <n v="0"/>
    <n v="0.1"/>
    <s v="ACTIVE"/>
    <m/>
    <s v=""/>
    <m/>
    <d v="2026-09-15T09:37:36"/>
    <d v="2026-09-15T00:00:00"/>
    <x v="11"/>
    <x v="0"/>
    <n v="1"/>
    <n v="0"/>
    <x v="200"/>
    <s v="Manuel Ramírez Martínez"/>
    <x v="2"/>
  </r>
  <r>
    <n v="2749"/>
    <n v="121"/>
    <n v="4"/>
    <n v="39.130000000000003"/>
    <n v="3.91"/>
    <n v="0"/>
    <n v="0.1"/>
    <s v="ACTIVE"/>
    <m/>
    <s v=""/>
    <m/>
    <d v="2026-09-15T16:43:17"/>
    <d v="2026-09-15T00:00:00"/>
    <x v="11"/>
    <x v="0"/>
    <n v="1"/>
    <n v="0"/>
    <x v="2312"/>
    <s v="Fernando González Ortiz"/>
    <x v="3"/>
  </r>
  <r>
    <n v="2750"/>
    <n v="250"/>
    <n v="2"/>
    <n v="220"/>
    <n v="22"/>
    <n v="0"/>
    <n v="0.1"/>
    <s v="ACTIVE"/>
    <m/>
    <s v=""/>
    <m/>
    <d v="2026-09-15T17:19:10"/>
    <d v="2026-09-15T00:00:00"/>
    <x v="11"/>
    <x v="0"/>
    <n v="1"/>
    <n v="0"/>
    <x v="200"/>
    <s v="Verónica Romero Chávez"/>
    <x v="1"/>
  </r>
  <r>
    <n v="2751"/>
    <n v="136"/>
    <n v="2"/>
    <n v="125.48"/>
    <n v="0"/>
    <n v="1"/>
    <n v="0.1"/>
    <s v="ACTIVE"/>
    <m/>
    <s v=""/>
    <m/>
    <d v="2026-09-15T19:06:46"/>
    <d v="2026-09-15T00:00:00"/>
    <x v="11"/>
    <x v="1"/>
    <n v="1"/>
    <n v="0"/>
    <x v="2313"/>
    <s v="Guadalupe Castillo Rangel"/>
    <x v="1"/>
  </r>
  <r>
    <n v="2752"/>
    <n v="156"/>
    <n v="5"/>
    <n v="34.26"/>
    <n v="3.43"/>
    <n v="0"/>
    <n v="0.1"/>
    <s v="CANCELED"/>
    <n v="4"/>
    <s v="Monto duplicado por error de sistema"/>
    <d v="2026-09-16T22:42:51"/>
    <d v="2026-09-15T19:42:51"/>
    <d v="2026-09-15T00:00:00"/>
    <x v="11"/>
    <x v="0"/>
    <n v="1"/>
    <n v="1"/>
    <x v="32"/>
    <s v="Óscar Moreno Chávez"/>
    <x v="2"/>
  </r>
  <r>
    <n v="2753"/>
    <n v="245"/>
    <n v="4"/>
    <n v="40.659999999999997"/>
    <n v="4.07"/>
    <n v="0"/>
    <n v="0.1"/>
    <s v="ACTIVE"/>
    <m/>
    <s v=""/>
    <m/>
    <d v="2026-09-16T07:19:18"/>
    <d v="2026-09-16T00:00:00"/>
    <x v="11"/>
    <x v="0"/>
    <n v="1"/>
    <n v="0"/>
    <x v="2314"/>
    <s v="Ana González Flores"/>
    <x v="3"/>
  </r>
  <r>
    <n v="2754"/>
    <n v="65"/>
    <n v="4"/>
    <n v="30.16"/>
    <n v="0"/>
    <n v="1"/>
    <n v="0.1"/>
    <s v="ACTIVE"/>
    <m/>
    <s v=""/>
    <m/>
    <d v="2026-09-16T07:27:24"/>
    <d v="2026-09-16T00:00:00"/>
    <x v="11"/>
    <x v="1"/>
    <n v="1"/>
    <n v="0"/>
    <x v="2064"/>
    <s v="Gabriela Flores Chávez"/>
    <x v="3"/>
  </r>
  <r>
    <n v="2755"/>
    <n v="44"/>
    <n v="3"/>
    <n v="35.840000000000003"/>
    <n v="3.58"/>
    <n v="0"/>
    <n v="0.1"/>
    <s v="ACTIVE"/>
    <m/>
    <s v=""/>
    <m/>
    <d v="2026-09-16T07:49:26"/>
    <d v="2026-09-16T00:00:00"/>
    <x v="11"/>
    <x v="0"/>
    <n v="1"/>
    <n v="0"/>
    <x v="117"/>
    <s v="Pedro Herrera Castillo"/>
    <x v="0"/>
  </r>
  <r>
    <n v="2756"/>
    <n v="24"/>
    <n v="5"/>
    <n v="130.4"/>
    <n v="13.04"/>
    <n v="0"/>
    <n v="0.1"/>
    <s v="ACTIVE"/>
    <m/>
    <s v=""/>
    <m/>
    <d v="2026-09-16T10:53:25"/>
    <d v="2026-09-16T00:00:00"/>
    <x v="11"/>
    <x v="0"/>
    <n v="1"/>
    <n v="0"/>
    <x v="2315"/>
    <s v="Isabel Moreno Vázquez"/>
    <x v="2"/>
  </r>
  <r>
    <n v="2757"/>
    <n v="134"/>
    <n v="2"/>
    <n v="53.07"/>
    <n v="0"/>
    <n v="1"/>
    <n v="0.1"/>
    <s v="ACTIVE"/>
    <m/>
    <s v=""/>
    <m/>
    <d v="2026-09-16T12:36:43"/>
    <d v="2026-09-16T00:00:00"/>
    <x v="11"/>
    <x v="1"/>
    <n v="1"/>
    <n v="0"/>
    <x v="2316"/>
    <s v="Javier Moreno Ortiz"/>
    <x v="1"/>
  </r>
  <r>
    <n v="2758"/>
    <n v="228"/>
    <n v="3"/>
    <n v="87.99"/>
    <n v="8.8000000000000007"/>
    <n v="0"/>
    <n v="0.1"/>
    <s v="ACTIVE"/>
    <m/>
    <s v=""/>
    <m/>
    <d v="2026-09-16T15:41:23"/>
    <d v="2026-09-16T00:00:00"/>
    <x v="11"/>
    <x v="0"/>
    <n v="1"/>
    <n v="0"/>
    <x v="2317"/>
    <s v="Silvia Moreno Herrera"/>
    <x v="0"/>
  </r>
  <r>
    <n v="2759"/>
    <n v="186"/>
    <n v="4"/>
    <n v="99.04"/>
    <n v="9.9"/>
    <n v="0"/>
    <n v="0.1"/>
    <s v="ACTIVE"/>
    <m/>
    <s v=""/>
    <m/>
    <d v="2026-09-17T08:15:42"/>
    <d v="2026-09-17T00:00:00"/>
    <x v="11"/>
    <x v="0"/>
    <n v="1"/>
    <n v="0"/>
    <x v="2318"/>
    <s v="Héctor Cruz Rodríguez"/>
    <x v="3"/>
  </r>
  <r>
    <n v="2760"/>
    <n v="285"/>
    <n v="5"/>
    <n v="29.08"/>
    <n v="2.91"/>
    <n v="0"/>
    <n v="0.1"/>
    <s v="ACTIVE"/>
    <m/>
    <s v=""/>
    <m/>
    <d v="2026-09-17T08:40:47"/>
    <d v="2026-09-17T00:00:00"/>
    <x v="11"/>
    <x v="0"/>
    <n v="1"/>
    <n v="0"/>
    <x v="2319"/>
    <s v="Alicia Martínez Aguilar"/>
    <x v="2"/>
  </r>
  <r>
    <n v="2761"/>
    <n v="204"/>
    <n v="5"/>
    <n v="84.51"/>
    <n v="8.4499999999999993"/>
    <n v="0"/>
    <n v="0.1"/>
    <s v="ACTIVE"/>
    <m/>
    <s v=""/>
    <m/>
    <d v="2026-09-17T11:35:29"/>
    <d v="2026-09-17T00:00:00"/>
    <x v="11"/>
    <x v="0"/>
    <n v="1"/>
    <n v="0"/>
    <x v="1471"/>
    <s v="Silvia Ramos Aguilar"/>
    <x v="2"/>
  </r>
  <r>
    <n v="2762"/>
    <n v="133"/>
    <n v="5"/>
    <n v="60.83"/>
    <n v="6.08"/>
    <n v="0"/>
    <n v="0.1"/>
    <s v="ACTIVE"/>
    <m/>
    <s v=""/>
    <m/>
    <d v="2026-09-17T13:01:36"/>
    <d v="2026-09-17T00:00:00"/>
    <x v="11"/>
    <x v="0"/>
    <n v="1"/>
    <n v="0"/>
    <x v="134"/>
    <s v="Silvia Villalobos Medina"/>
    <x v="2"/>
  </r>
  <r>
    <n v="2763"/>
    <n v="70"/>
    <n v="2"/>
    <n v="170.14"/>
    <n v="17.010000000000002"/>
    <n v="0"/>
    <n v="0.1"/>
    <s v="CANCELED"/>
    <n v="2"/>
    <s v="Cliente canceló la operación"/>
    <d v="2026-09-18T09:04:33"/>
    <d v="2026-09-17T13:04:33"/>
    <d v="2026-09-17T00:00:00"/>
    <x v="11"/>
    <x v="0"/>
    <n v="1"/>
    <n v="1"/>
    <x v="32"/>
    <s v="Manuel Ávila Martínez"/>
    <x v="1"/>
  </r>
  <r>
    <n v="2764"/>
    <n v="25"/>
    <n v="3"/>
    <n v="88.25"/>
    <n v="8.83"/>
    <n v="0"/>
    <n v="0.1"/>
    <s v="ACTIVE"/>
    <m/>
    <s v=""/>
    <m/>
    <d v="2026-09-17T17:26:02"/>
    <d v="2026-09-17T00:00:00"/>
    <x v="11"/>
    <x v="0"/>
    <n v="1"/>
    <n v="0"/>
    <x v="2320"/>
    <s v="Martha Rodríguez López"/>
    <x v="0"/>
  </r>
  <r>
    <n v="2765"/>
    <n v="16"/>
    <n v="2"/>
    <n v="147.44"/>
    <n v="14.74"/>
    <n v="0"/>
    <n v="0.1"/>
    <s v="ACTIVE"/>
    <m/>
    <s v=""/>
    <m/>
    <d v="2026-09-17T17:57:07"/>
    <d v="2026-09-17T00:00:00"/>
    <x v="11"/>
    <x v="0"/>
    <n v="1"/>
    <n v="0"/>
    <x v="2321"/>
    <s v="Laura Chávez Rangel"/>
    <x v="1"/>
  </r>
  <r>
    <n v="2766"/>
    <n v="258"/>
    <n v="2"/>
    <n v="20.68"/>
    <n v="2.0699999999999998"/>
    <n v="0"/>
    <n v="0.1"/>
    <s v="ACTIVE"/>
    <m/>
    <s v=""/>
    <m/>
    <d v="2026-09-18T08:04:12"/>
    <d v="2026-09-18T00:00:00"/>
    <x v="11"/>
    <x v="0"/>
    <n v="1"/>
    <n v="0"/>
    <x v="2322"/>
    <s v="Carmen Santoyo Moreno"/>
    <x v="1"/>
  </r>
  <r>
    <n v="2767"/>
    <n v="285"/>
    <n v="4"/>
    <n v="23.75"/>
    <n v="2.38"/>
    <n v="0"/>
    <n v="0.1"/>
    <s v="ACTIVE"/>
    <m/>
    <s v=""/>
    <m/>
    <d v="2026-09-18T09:45:19"/>
    <d v="2026-09-18T00:00:00"/>
    <x v="11"/>
    <x v="0"/>
    <n v="1"/>
    <n v="0"/>
    <x v="2323"/>
    <s v="Alicia Martínez Aguilar"/>
    <x v="3"/>
  </r>
  <r>
    <n v="2768"/>
    <n v="134"/>
    <n v="5"/>
    <n v="79.97"/>
    <n v="8"/>
    <n v="0"/>
    <n v="0.1"/>
    <s v="ACTIVE"/>
    <m/>
    <s v=""/>
    <m/>
    <d v="2026-09-18T10:47:29"/>
    <d v="2026-09-18T00:00:00"/>
    <x v="11"/>
    <x v="0"/>
    <n v="1"/>
    <n v="0"/>
    <x v="2324"/>
    <s v="Javier Moreno Ortiz"/>
    <x v="2"/>
  </r>
  <r>
    <n v="2769"/>
    <n v="156"/>
    <n v="4"/>
    <n v="21.5"/>
    <n v="2.15"/>
    <n v="0"/>
    <n v="0.1"/>
    <s v="ACTIVE"/>
    <m/>
    <s v=""/>
    <m/>
    <d v="2026-09-18T11:09:09"/>
    <d v="2026-09-18T00:00:00"/>
    <x v="11"/>
    <x v="0"/>
    <n v="1"/>
    <n v="0"/>
    <x v="2325"/>
    <s v="Óscar Moreno Chávez"/>
    <x v="3"/>
  </r>
  <r>
    <n v="2770"/>
    <n v="11"/>
    <n v="2"/>
    <n v="212.68"/>
    <n v="21.27"/>
    <n v="0"/>
    <n v="0.1"/>
    <s v="CANCELED"/>
    <n v="2"/>
    <s v="Error de captura"/>
    <d v="2026-09-20T14:44:11"/>
    <d v="2026-09-18T14:44:11"/>
    <d v="2026-09-18T00:00:00"/>
    <x v="11"/>
    <x v="0"/>
    <n v="1"/>
    <n v="1"/>
    <x v="32"/>
    <s v="Guadalupe Pérez Rodríguez"/>
    <x v="1"/>
  </r>
  <r>
    <n v="2771"/>
    <n v="164"/>
    <n v="5"/>
    <n v="21.33"/>
    <n v="2.13"/>
    <n v="0"/>
    <n v="0.1"/>
    <s v="ACTIVE"/>
    <m/>
    <s v=""/>
    <m/>
    <d v="2026-09-18T19:37:00"/>
    <d v="2026-09-18T00:00:00"/>
    <x v="11"/>
    <x v="0"/>
    <n v="1"/>
    <n v="0"/>
    <x v="2326"/>
    <s v="Sergio Ruiz Sánchez"/>
    <x v="2"/>
  </r>
  <r>
    <n v="2772"/>
    <n v="44"/>
    <n v="5"/>
    <n v="34.92"/>
    <n v="3.49"/>
    <n v="0"/>
    <n v="0.1"/>
    <s v="ACTIVE"/>
    <m/>
    <s v=""/>
    <m/>
    <d v="2026-09-19T09:31:43"/>
    <d v="2026-09-19T00:00:00"/>
    <x v="11"/>
    <x v="0"/>
    <n v="1"/>
    <n v="0"/>
    <x v="2327"/>
    <s v="Pedro Herrera Castillo"/>
    <x v="2"/>
  </r>
  <r>
    <n v="2773"/>
    <n v="250"/>
    <n v="5"/>
    <n v="96.85"/>
    <n v="9.69"/>
    <n v="0"/>
    <n v="0.1"/>
    <s v="ACTIVE"/>
    <m/>
    <s v=""/>
    <m/>
    <d v="2026-09-19T11:06:17"/>
    <d v="2026-09-19T00:00:00"/>
    <x v="11"/>
    <x v="0"/>
    <n v="1"/>
    <n v="0"/>
    <x v="2328"/>
    <s v="Verónica Romero Chávez"/>
    <x v="2"/>
  </r>
  <r>
    <n v="2774"/>
    <n v="65"/>
    <n v="3"/>
    <n v="58.64"/>
    <n v="5.86"/>
    <n v="0"/>
    <n v="0.1"/>
    <s v="ACTIVE"/>
    <m/>
    <s v=""/>
    <m/>
    <d v="2026-09-19T11:31:49"/>
    <d v="2026-09-19T00:00:00"/>
    <x v="11"/>
    <x v="0"/>
    <n v="1"/>
    <n v="0"/>
    <x v="2329"/>
    <s v="Gabriela Flores Chávez"/>
    <x v="0"/>
  </r>
  <r>
    <n v="2775"/>
    <n v="106"/>
    <n v="4"/>
    <n v="99.75"/>
    <n v="0"/>
    <n v="1"/>
    <n v="0.1"/>
    <s v="ACTIVE"/>
    <m/>
    <s v=""/>
    <m/>
    <d v="2026-09-19T11:42:21"/>
    <d v="2026-09-19T00:00:00"/>
    <x v="11"/>
    <x v="1"/>
    <n v="1"/>
    <n v="0"/>
    <x v="2330"/>
    <s v="Isabel García Santoyo"/>
    <x v="3"/>
  </r>
  <r>
    <n v="2776"/>
    <n v="128"/>
    <n v="3"/>
    <n v="31.99"/>
    <n v="3.2"/>
    <n v="0"/>
    <n v="0.1"/>
    <s v="ACTIVE"/>
    <m/>
    <s v=""/>
    <m/>
    <d v="2026-09-19T13:20:00"/>
    <d v="2026-09-19T00:00:00"/>
    <x v="11"/>
    <x v="0"/>
    <n v="1"/>
    <n v="0"/>
    <x v="2331"/>
    <s v="Verónica Ortiz Rangel"/>
    <x v="0"/>
  </r>
  <r>
    <n v="2777"/>
    <n v="75"/>
    <n v="2"/>
    <n v="65.05"/>
    <n v="0"/>
    <n v="1"/>
    <n v="0.1"/>
    <s v="ACTIVE"/>
    <m/>
    <s v=""/>
    <m/>
    <d v="2026-09-19T15:28:41"/>
    <d v="2026-09-19T00:00:00"/>
    <x v="11"/>
    <x v="1"/>
    <n v="1"/>
    <n v="0"/>
    <x v="2332"/>
    <s v="Guadalupe Romero Ortiz"/>
    <x v="1"/>
  </r>
  <r>
    <n v="2778"/>
    <n v="43"/>
    <n v="3"/>
    <n v="82.15"/>
    <n v="8.2200000000000006"/>
    <n v="0"/>
    <n v="0.1"/>
    <s v="ACTIVE"/>
    <m/>
    <s v=""/>
    <m/>
    <d v="2026-09-19T15:42:36"/>
    <d v="2026-09-19T00:00:00"/>
    <x v="11"/>
    <x v="0"/>
    <n v="1"/>
    <n v="0"/>
    <x v="2333"/>
    <s v="Silvia Ortiz Salazar"/>
    <x v="0"/>
  </r>
  <r>
    <n v="2779"/>
    <n v="134"/>
    <n v="3"/>
    <n v="97.67"/>
    <n v="9.77"/>
    <n v="0"/>
    <n v="0.1"/>
    <s v="ACTIVE"/>
    <m/>
    <s v=""/>
    <m/>
    <d v="2026-09-19T15:44:14"/>
    <d v="2026-09-19T00:00:00"/>
    <x v="11"/>
    <x v="0"/>
    <n v="1"/>
    <n v="0"/>
    <x v="2334"/>
    <s v="Javier Moreno Ortiz"/>
    <x v="0"/>
  </r>
  <r>
    <n v="2780"/>
    <n v="250"/>
    <n v="2"/>
    <n v="100.08"/>
    <n v="10.01"/>
    <n v="0"/>
    <n v="0.1"/>
    <s v="ACTIVE"/>
    <m/>
    <s v=""/>
    <m/>
    <d v="2026-09-19T16:01:08"/>
    <d v="2026-09-19T00:00:00"/>
    <x v="11"/>
    <x v="0"/>
    <n v="1"/>
    <n v="0"/>
    <x v="2335"/>
    <s v="Verónica Romero Chávez"/>
    <x v="1"/>
  </r>
  <r>
    <n v="2781"/>
    <n v="44"/>
    <n v="5"/>
    <n v="31.47"/>
    <n v="3.15"/>
    <n v="0"/>
    <n v="0.1"/>
    <s v="ACTIVE"/>
    <m/>
    <s v=""/>
    <m/>
    <d v="2026-09-19T17:21:54"/>
    <d v="2026-09-19T00:00:00"/>
    <x v="11"/>
    <x v="0"/>
    <n v="1"/>
    <n v="0"/>
    <x v="2336"/>
    <s v="Pedro Herrera Castillo"/>
    <x v="2"/>
  </r>
  <r>
    <n v="2782"/>
    <n v="57"/>
    <n v="5"/>
    <n v="128.94999999999999"/>
    <n v="12.9"/>
    <n v="0"/>
    <n v="0.1"/>
    <s v="ACTIVE"/>
    <m/>
    <s v=""/>
    <m/>
    <d v="2026-09-19T18:56:08"/>
    <d v="2026-09-19T00:00:00"/>
    <x v="11"/>
    <x v="0"/>
    <n v="1"/>
    <n v="0"/>
    <x v="2337"/>
    <s v="Isabel Martínez Rodríguez"/>
    <x v="2"/>
  </r>
  <r>
    <n v="2783"/>
    <n v="294"/>
    <n v="3"/>
    <n v="18.54"/>
    <n v="1.85"/>
    <n v="0"/>
    <n v="0.1"/>
    <s v="ACTIVE"/>
    <m/>
    <s v=""/>
    <m/>
    <d v="2026-09-20T08:45:41"/>
    <d v="2026-09-20T00:00:00"/>
    <x v="11"/>
    <x v="0"/>
    <n v="1"/>
    <n v="0"/>
    <x v="2338"/>
    <s v="Francisco Ramos Rodríguez"/>
    <x v="0"/>
  </r>
  <r>
    <n v="2784"/>
    <n v="237"/>
    <n v="4"/>
    <n v="83.87"/>
    <n v="8.39"/>
    <n v="0"/>
    <n v="0.1"/>
    <s v="ACTIVE"/>
    <m/>
    <s v=""/>
    <m/>
    <d v="2026-09-20T12:38:18"/>
    <d v="2026-09-20T00:00:00"/>
    <x v="11"/>
    <x v="0"/>
    <n v="1"/>
    <n v="0"/>
    <x v="2339"/>
    <s v="Gabriela Aguilar Sánchez"/>
    <x v="3"/>
  </r>
  <r>
    <n v="2785"/>
    <n v="110"/>
    <n v="3"/>
    <n v="59.27"/>
    <n v="5.93"/>
    <n v="0"/>
    <n v="0.1"/>
    <s v="ACTIVE"/>
    <m/>
    <s v=""/>
    <m/>
    <d v="2026-09-20T14:02:41"/>
    <d v="2026-09-20T00:00:00"/>
    <x v="11"/>
    <x v="0"/>
    <n v="1"/>
    <n v="0"/>
    <x v="2340"/>
    <s v="Ricardo Rangel Ramírez"/>
    <x v="0"/>
  </r>
  <r>
    <n v="2786"/>
    <n v="12"/>
    <n v="5"/>
    <n v="27.13"/>
    <n v="2.71"/>
    <n v="0"/>
    <n v="0.1"/>
    <s v="ACTIVE"/>
    <m/>
    <s v=""/>
    <m/>
    <d v="2026-09-20T18:30:19"/>
    <d v="2026-09-20T00:00:00"/>
    <x v="11"/>
    <x v="0"/>
    <n v="1"/>
    <n v="0"/>
    <x v="2341"/>
    <s v="Rosa Gutiérrez Martínez"/>
    <x v="2"/>
  </r>
  <r>
    <n v="2787"/>
    <n v="175"/>
    <n v="2"/>
    <n v="38.299999999999997"/>
    <n v="3.83"/>
    <n v="0"/>
    <n v="0.1"/>
    <s v="ACTIVE"/>
    <m/>
    <s v=""/>
    <m/>
    <d v="2026-09-20T18:58:26"/>
    <d v="2026-09-20T00:00:00"/>
    <x v="11"/>
    <x v="0"/>
    <n v="1"/>
    <n v="0"/>
    <x v="670"/>
    <s v="Óscar Villalobos Flores"/>
    <x v="1"/>
  </r>
  <r>
    <n v="2788"/>
    <n v="243"/>
    <n v="4"/>
    <n v="32.47"/>
    <n v="3.25"/>
    <n v="0"/>
    <n v="0.1"/>
    <s v="ACTIVE"/>
    <m/>
    <s v=""/>
    <m/>
    <d v="2026-09-21T07:15:42"/>
    <d v="2026-09-21T00:00:00"/>
    <x v="11"/>
    <x v="0"/>
    <n v="1"/>
    <n v="0"/>
    <x v="2342"/>
    <s v="Raúl García Díaz"/>
    <x v="3"/>
  </r>
  <r>
    <n v="2789"/>
    <n v="75"/>
    <n v="2"/>
    <n v="73.39"/>
    <n v="7.34"/>
    <n v="0"/>
    <n v="0.1"/>
    <s v="ACTIVE"/>
    <m/>
    <s v=""/>
    <m/>
    <d v="2026-09-21T15:28:03"/>
    <d v="2026-09-21T00:00:00"/>
    <x v="11"/>
    <x v="0"/>
    <n v="1"/>
    <n v="0"/>
    <x v="2343"/>
    <s v="Guadalupe Romero Ortiz"/>
    <x v="1"/>
  </r>
  <r>
    <n v="2790"/>
    <n v="128"/>
    <n v="4"/>
    <n v="13.56"/>
    <n v="1.36"/>
    <n v="0"/>
    <n v="0.1"/>
    <s v="ACTIVE"/>
    <m/>
    <s v=""/>
    <m/>
    <d v="2026-09-21T16:12:34"/>
    <d v="2026-09-21T00:00:00"/>
    <x v="11"/>
    <x v="0"/>
    <n v="1"/>
    <n v="0"/>
    <x v="2344"/>
    <s v="Verónica Ortiz Rangel"/>
    <x v="3"/>
  </r>
  <r>
    <n v="2791"/>
    <n v="197"/>
    <n v="4"/>
    <n v="102.61"/>
    <n v="10.26"/>
    <n v="0"/>
    <n v="0.1"/>
    <s v="ACTIVE"/>
    <m/>
    <s v=""/>
    <m/>
    <d v="2026-09-21T16:58:11"/>
    <d v="2026-09-21T00:00:00"/>
    <x v="11"/>
    <x v="0"/>
    <n v="1"/>
    <n v="0"/>
    <x v="2345"/>
    <s v="Raúl Hernández Santoyo"/>
    <x v="3"/>
  </r>
  <r>
    <n v="2792"/>
    <n v="24"/>
    <n v="5"/>
    <n v="274.26"/>
    <n v="27.43"/>
    <n v="0"/>
    <n v="0.1"/>
    <s v="ACTIVE"/>
    <m/>
    <s v=""/>
    <m/>
    <d v="2026-09-21T17:26:34"/>
    <d v="2026-09-21T00:00:00"/>
    <x v="11"/>
    <x v="0"/>
    <n v="1"/>
    <n v="0"/>
    <x v="2346"/>
    <s v="Isabel Moreno Vázquez"/>
    <x v="2"/>
  </r>
  <r>
    <n v="2793"/>
    <n v="127"/>
    <n v="5"/>
    <n v="78.92"/>
    <n v="7.89"/>
    <n v="0"/>
    <n v="0.1"/>
    <s v="ACTIVE"/>
    <m/>
    <s v=""/>
    <m/>
    <d v="2026-09-22T07:36:01"/>
    <d v="2026-09-22T00:00:00"/>
    <x v="11"/>
    <x v="0"/>
    <n v="1"/>
    <n v="0"/>
    <x v="2347"/>
    <s v="Raúl Ruiz Ortiz"/>
    <x v="2"/>
  </r>
  <r>
    <n v="2794"/>
    <n v="241"/>
    <n v="2"/>
    <n v="36.99"/>
    <n v="3.7"/>
    <n v="0"/>
    <n v="0.1"/>
    <s v="ACTIVE"/>
    <m/>
    <s v=""/>
    <m/>
    <d v="2026-09-22T08:00:17"/>
    <d v="2026-09-22T00:00:00"/>
    <x v="11"/>
    <x v="0"/>
    <n v="1"/>
    <n v="0"/>
    <x v="2348"/>
    <s v="Lucía Cruz Herrera"/>
    <x v="1"/>
  </r>
  <r>
    <n v="2795"/>
    <n v="25"/>
    <n v="3"/>
    <n v="41.51"/>
    <n v="4.1500000000000004"/>
    <n v="0"/>
    <n v="0.1"/>
    <s v="ACTIVE"/>
    <m/>
    <s v=""/>
    <m/>
    <d v="2026-09-22T08:04:23"/>
    <d v="2026-09-22T00:00:00"/>
    <x v="11"/>
    <x v="0"/>
    <n v="1"/>
    <n v="0"/>
    <x v="2349"/>
    <s v="Martha Rodríguez López"/>
    <x v="0"/>
  </r>
  <r>
    <n v="2796"/>
    <n v="16"/>
    <n v="3"/>
    <n v="130.83000000000001"/>
    <n v="0"/>
    <n v="1"/>
    <n v="0.1"/>
    <s v="ACTIVE"/>
    <m/>
    <s v=""/>
    <m/>
    <d v="2026-09-22T09:01:34"/>
    <d v="2026-09-22T00:00:00"/>
    <x v="11"/>
    <x v="1"/>
    <n v="1"/>
    <n v="0"/>
    <x v="2350"/>
    <s v="Laura Chávez Rangel"/>
    <x v="0"/>
  </r>
  <r>
    <n v="2797"/>
    <n v="7"/>
    <n v="3"/>
    <n v="87.45"/>
    <n v="8.75"/>
    <n v="0"/>
    <n v="0.1"/>
    <s v="ACTIVE"/>
    <m/>
    <s v=""/>
    <m/>
    <d v="2026-09-22T09:45:05"/>
    <d v="2026-09-22T00:00:00"/>
    <x v="11"/>
    <x v="0"/>
    <n v="1"/>
    <n v="0"/>
    <x v="2351"/>
    <s v="Teresa Rodríguez Herrera"/>
    <x v="0"/>
  </r>
  <r>
    <n v="2798"/>
    <n v="128"/>
    <n v="2"/>
    <n v="17.5"/>
    <n v="1.75"/>
    <n v="0"/>
    <n v="0.1"/>
    <s v="ACTIVE"/>
    <m/>
    <s v=""/>
    <m/>
    <d v="2026-09-22T09:55:11"/>
    <d v="2026-09-22T00:00:00"/>
    <x v="11"/>
    <x v="0"/>
    <n v="1"/>
    <n v="0"/>
    <x v="2352"/>
    <s v="Verónica Ortiz Rangel"/>
    <x v="1"/>
  </r>
  <r>
    <n v="2799"/>
    <n v="272"/>
    <n v="4"/>
    <n v="179.4"/>
    <n v="17.940000000000001"/>
    <n v="0"/>
    <n v="0.1"/>
    <s v="ACTIVE"/>
    <m/>
    <s v=""/>
    <m/>
    <d v="2026-09-22T10:27:56"/>
    <d v="2026-09-22T00:00:00"/>
    <x v="11"/>
    <x v="0"/>
    <n v="1"/>
    <n v="0"/>
    <x v="2353"/>
    <s v="Fernando Ruiz Salazar"/>
    <x v="3"/>
  </r>
  <r>
    <n v="2800"/>
    <n v="165"/>
    <n v="4"/>
    <n v="35.24"/>
    <n v="3.52"/>
    <n v="0"/>
    <n v="0.1"/>
    <s v="ACTIVE"/>
    <m/>
    <s v=""/>
    <m/>
    <d v="2026-09-22T10:56:16"/>
    <d v="2026-09-22T00:00:00"/>
    <x v="11"/>
    <x v="0"/>
    <n v="1"/>
    <n v="0"/>
    <x v="192"/>
    <s v="Claudia Hernández Ávila"/>
    <x v="3"/>
  </r>
  <r>
    <n v="2801"/>
    <n v="125"/>
    <n v="5"/>
    <n v="39.71"/>
    <n v="3.97"/>
    <n v="0"/>
    <n v="0.1"/>
    <s v="ACTIVE"/>
    <m/>
    <s v=""/>
    <m/>
    <d v="2026-09-22T13:42:18"/>
    <d v="2026-09-22T00:00:00"/>
    <x v="11"/>
    <x v="0"/>
    <n v="1"/>
    <n v="0"/>
    <x v="2354"/>
    <s v="Leticia Flores Herrera"/>
    <x v="2"/>
  </r>
  <r>
    <n v="2802"/>
    <n v="250"/>
    <n v="4"/>
    <n v="136.18"/>
    <n v="13.62"/>
    <n v="0"/>
    <n v="0.1"/>
    <s v="ACTIVE"/>
    <m/>
    <s v=""/>
    <m/>
    <d v="2026-09-22T14:01:21"/>
    <d v="2026-09-22T00:00:00"/>
    <x v="11"/>
    <x v="0"/>
    <n v="1"/>
    <n v="0"/>
    <x v="2355"/>
    <s v="Verónica Romero Chávez"/>
    <x v="3"/>
  </r>
  <r>
    <n v="2803"/>
    <n v="156"/>
    <n v="2"/>
    <n v="42.59"/>
    <n v="4.26"/>
    <n v="0"/>
    <n v="0.1"/>
    <s v="ACTIVE"/>
    <m/>
    <s v=""/>
    <m/>
    <d v="2026-09-22T15:03:16"/>
    <d v="2026-09-22T00:00:00"/>
    <x v="11"/>
    <x v="0"/>
    <n v="1"/>
    <n v="0"/>
    <x v="2356"/>
    <s v="Óscar Moreno Chávez"/>
    <x v="1"/>
  </r>
  <r>
    <n v="2804"/>
    <n v="190"/>
    <n v="5"/>
    <n v="210.83"/>
    <n v="21.08"/>
    <n v="0"/>
    <n v="0.1"/>
    <s v="ACTIVE"/>
    <m/>
    <s v=""/>
    <m/>
    <d v="2026-09-22T18:14:47"/>
    <d v="2026-09-22T00:00:00"/>
    <x v="11"/>
    <x v="0"/>
    <n v="1"/>
    <n v="0"/>
    <x v="2357"/>
    <s v="Ricardo Díaz Rodríguez"/>
    <x v="2"/>
  </r>
  <r>
    <n v="2805"/>
    <n v="16"/>
    <n v="4"/>
    <n v="134.38"/>
    <n v="13.44"/>
    <n v="0"/>
    <n v="0.1"/>
    <s v="ACTIVE"/>
    <m/>
    <s v=""/>
    <m/>
    <d v="2026-09-23T10:15:09"/>
    <d v="2026-09-23T00:00:00"/>
    <x v="11"/>
    <x v="0"/>
    <n v="1"/>
    <n v="0"/>
    <x v="2358"/>
    <s v="Laura Chávez Rangel"/>
    <x v="3"/>
  </r>
  <r>
    <n v="2806"/>
    <n v="245"/>
    <n v="4"/>
    <n v="27.92"/>
    <n v="2.79"/>
    <n v="0"/>
    <n v="0.1"/>
    <s v="ACTIVE"/>
    <m/>
    <s v=""/>
    <m/>
    <d v="2026-09-23T12:35:37"/>
    <d v="2026-09-23T00:00:00"/>
    <x v="11"/>
    <x v="0"/>
    <n v="1"/>
    <n v="0"/>
    <x v="1802"/>
    <s v="Ana González Flores"/>
    <x v="3"/>
  </r>
  <r>
    <n v="2807"/>
    <n v="134"/>
    <n v="4"/>
    <n v="115.56"/>
    <n v="0"/>
    <n v="1"/>
    <n v="0.1"/>
    <s v="ACTIVE"/>
    <m/>
    <s v=""/>
    <m/>
    <d v="2026-09-23T19:40:29"/>
    <d v="2026-09-23T00:00:00"/>
    <x v="11"/>
    <x v="1"/>
    <n v="1"/>
    <n v="0"/>
    <x v="2359"/>
    <s v="Javier Moreno Ortiz"/>
    <x v="3"/>
  </r>
  <r>
    <n v="2808"/>
    <n v="285"/>
    <n v="5"/>
    <n v="28.17"/>
    <n v="0"/>
    <n v="1"/>
    <n v="0.1"/>
    <s v="ACTIVE"/>
    <m/>
    <s v=""/>
    <m/>
    <d v="2026-09-24T10:47:09"/>
    <d v="2026-09-24T00:00:00"/>
    <x v="11"/>
    <x v="1"/>
    <n v="1"/>
    <n v="0"/>
    <x v="1914"/>
    <s v="Alicia Martínez Aguilar"/>
    <x v="2"/>
  </r>
  <r>
    <n v="2809"/>
    <n v="299"/>
    <n v="2"/>
    <n v="74.62"/>
    <n v="7.46"/>
    <n v="0"/>
    <n v="0.1"/>
    <s v="ACTIVE"/>
    <m/>
    <s v=""/>
    <m/>
    <d v="2026-09-24T11:19:00"/>
    <d v="2026-09-24T00:00:00"/>
    <x v="11"/>
    <x v="0"/>
    <n v="1"/>
    <n v="0"/>
    <x v="589"/>
    <s v="Manuel Ramírez Martínez"/>
    <x v="1"/>
  </r>
  <r>
    <n v="2810"/>
    <n v="229"/>
    <n v="4"/>
    <n v="126.68"/>
    <n v="12.67"/>
    <n v="0"/>
    <n v="0.1"/>
    <s v="ACTIVE"/>
    <m/>
    <s v=""/>
    <m/>
    <d v="2026-09-24T11:29:52"/>
    <d v="2026-09-24T00:00:00"/>
    <x v="11"/>
    <x v="0"/>
    <n v="1"/>
    <n v="0"/>
    <x v="2360"/>
    <s v="Verónica González Rodríguez"/>
    <x v="3"/>
  </r>
  <r>
    <n v="2811"/>
    <n v="156"/>
    <n v="2"/>
    <n v="23.78"/>
    <n v="2.38"/>
    <n v="0"/>
    <n v="0.1"/>
    <s v="ACTIVE"/>
    <m/>
    <s v=""/>
    <m/>
    <d v="2026-09-24T13:01:10"/>
    <d v="2026-09-24T00:00:00"/>
    <x v="11"/>
    <x v="0"/>
    <n v="1"/>
    <n v="0"/>
    <x v="2361"/>
    <s v="Óscar Moreno Chávez"/>
    <x v="1"/>
  </r>
  <r>
    <n v="2812"/>
    <n v="36"/>
    <n v="2"/>
    <n v="231.59"/>
    <n v="23.16"/>
    <n v="0"/>
    <n v="0.1"/>
    <s v="ACTIVE"/>
    <m/>
    <s v=""/>
    <m/>
    <d v="2026-09-24T13:25:39"/>
    <d v="2026-09-24T00:00:00"/>
    <x v="11"/>
    <x v="0"/>
    <n v="1"/>
    <n v="0"/>
    <x v="2362"/>
    <s v="Sergio Delgado Herrera"/>
    <x v="1"/>
  </r>
  <r>
    <n v="2813"/>
    <n v="128"/>
    <n v="5"/>
    <n v="35.159999999999997"/>
    <n v="3.52"/>
    <n v="0"/>
    <n v="0.1"/>
    <s v="ACTIVE"/>
    <m/>
    <s v=""/>
    <m/>
    <d v="2026-09-24T14:29:32"/>
    <d v="2026-09-24T00:00:00"/>
    <x v="11"/>
    <x v="0"/>
    <n v="1"/>
    <n v="0"/>
    <x v="2363"/>
    <s v="Verónica Ortiz Rangel"/>
    <x v="2"/>
  </r>
  <r>
    <n v="2814"/>
    <n v="190"/>
    <n v="2"/>
    <n v="218.23"/>
    <n v="21.82"/>
    <n v="0"/>
    <n v="0.1"/>
    <s v="ACTIVE"/>
    <m/>
    <s v=""/>
    <m/>
    <d v="2026-09-24T16:00:27"/>
    <d v="2026-09-24T00:00:00"/>
    <x v="11"/>
    <x v="0"/>
    <n v="1"/>
    <n v="0"/>
    <x v="2364"/>
    <s v="Ricardo Díaz Rodríguez"/>
    <x v="1"/>
  </r>
  <r>
    <n v="2815"/>
    <n v="128"/>
    <n v="5"/>
    <n v="47.96"/>
    <n v="0"/>
    <n v="1"/>
    <n v="0.1"/>
    <s v="ACTIVE"/>
    <m/>
    <s v=""/>
    <m/>
    <d v="2026-09-24T17:08:05"/>
    <d v="2026-09-24T00:00:00"/>
    <x v="11"/>
    <x v="1"/>
    <n v="1"/>
    <n v="0"/>
    <x v="2365"/>
    <s v="Verónica Ortiz Rangel"/>
    <x v="2"/>
  </r>
  <r>
    <n v="2816"/>
    <n v="194"/>
    <n v="2"/>
    <n v="104.58"/>
    <n v="10.46"/>
    <n v="0"/>
    <n v="0.1"/>
    <s v="ACTIVE"/>
    <m/>
    <s v=""/>
    <m/>
    <d v="2026-09-25T08:31:32"/>
    <d v="2026-09-25T00:00:00"/>
    <x v="11"/>
    <x v="0"/>
    <n v="1"/>
    <n v="0"/>
    <x v="2366"/>
    <s v="Óscar Herrera Gutiérrez"/>
    <x v="1"/>
  </r>
  <r>
    <n v="2817"/>
    <n v="172"/>
    <n v="4"/>
    <n v="36.89"/>
    <n v="3.69"/>
    <n v="0"/>
    <n v="0.1"/>
    <s v="ACTIVE"/>
    <m/>
    <s v=""/>
    <m/>
    <d v="2026-09-25T08:47:48"/>
    <d v="2026-09-25T00:00:00"/>
    <x v="11"/>
    <x v="0"/>
    <n v="1"/>
    <n v="0"/>
    <x v="1492"/>
    <s v="Silvia Salazar Ortiz"/>
    <x v="3"/>
  </r>
  <r>
    <n v="2818"/>
    <n v="145"/>
    <n v="4"/>
    <n v="267.37"/>
    <n v="26.74"/>
    <n v="0"/>
    <n v="0.1"/>
    <s v="ACTIVE"/>
    <m/>
    <s v=""/>
    <m/>
    <d v="2026-09-25T08:55:53"/>
    <d v="2026-09-25T00:00:00"/>
    <x v="11"/>
    <x v="0"/>
    <n v="1"/>
    <n v="0"/>
    <x v="2367"/>
    <s v="Luis Flores Flores"/>
    <x v="3"/>
  </r>
  <r>
    <n v="2819"/>
    <n v="277"/>
    <n v="5"/>
    <n v="72.89"/>
    <n v="7.29"/>
    <n v="0"/>
    <n v="0.1"/>
    <s v="ACTIVE"/>
    <m/>
    <s v=""/>
    <m/>
    <d v="2026-09-25T09:47:03"/>
    <d v="2026-09-25T00:00:00"/>
    <x v="11"/>
    <x v="0"/>
    <n v="1"/>
    <n v="0"/>
    <x v="2368"/>
    <s v="Laura Ramos Gutiérrez"/>
    <x v="2"/>
  </r>
  <r>
    <n v="2820"/>
    <n v="128"/>
    <n v="2"/>
    <n v="12.82"/>
    <n v="1.28"/>
    <n v="0"/>
    <n v="0.1"/>
    <s v="ACTIVE"/>
    <m/>
    <s v=""/>
    <m/>
    <d v="2026-09-25T13:58:43"/>
    <d v="2026-09-25T00:00:00"/>
    <x v="11"/>
    <x v="0"/>
    <n v="1"/>
    <n v="0"/>
    <x v="2369"/>
    <s v="Verónica Ortiz Rangel"/>
    <x v="1"/>
  </r>
  <r>
    <n v="2821"/>
    <n v="134"/>
    <n v="4"/>
    <n v="43.91"/>
    <n v="4.3899999999999997"/>
    <n v="0"/>
    <n v="0.1"/>
    <s v="ACTIVE"/>
    <m/>
    <s v=""/>
    <m/>
    <d v="2026-09-25T16:35:49"/>
    <d v="2026-09-25T00:00:00"/>
    <x v="11"/>
    <x v="0"/>
    <n v="1"/>
    <n v="0"/>
    <x v="2370"/>
    <s v="Javier Moreno Ortiz"/>
    <x v="3"/>
  </r>
  <r>
    <n v="2822"/>
    <n v="128"/>
    <n v="3"/>
    <n v="17.8"/>
    <n v="1.78"/>
    <n v="0"/>
    <n v="0.1"/>
    <s v="ACTIVE"/>
    <m/>
    <s v=""/>
    <m/>
    <d v="2026-09-25T17:23:09"/>
    <d v="2026-09-25T00:00:00"/>
    <x v="11"/>
    <x v="0"/>
    <n v="1"/>
    <n v="0"/>
    <x v="2371"/>
    <s v="Verónica Ortiz Rangel"/>
    <x v="0"/>
  </r>
  <r>
    <n v="2823"/>
    <n v="59"/>
    <n v="3"/>
    <n v="37.31"/>
    <n v="3.73"/>
    <n v="0"/>
    <n v="0.1"/>
    <s v="ACTIVE"/>
    <m/>
    <s v=""/>
    <m/>
    <d v="2026-09-26T09:54:31"/>
    <d v="2026-09-26T00:00:00"/>
    <x v="11"/>
    <x v="0"/>
    <n v="1"/>
    <n v="0"/>
    <x v="2372"/>
    <s v="Daniel Gutiérrez Moreno"/>
    <x v="0"/>
  </r>
  <r>
    <n v="2824"/>
    <n v="75"/>
    <n v="3"/>
    <n v="59.42"/>
    <n v="5.94"/>
    <n v="0"/>
    <n v="0.1"/>
    <s v="ACTIVE"/>
    <m/>
    <s v=""/>
    <m/>
    <d v="2026-09-26T10:18:13"/>
    <d v="2026-09-26T00:00:00"/>
    <x v="11"/>
    <x v="0"/>
    <n v="1"/>
    <n v="0"/>
    <x v="2373"/>
    <s v="Guadalupe Romero Ortiz"/>
    <x v="0"/>
  </r>
  <r>
    <n v="2825"/>
    <n v="128"/>
    <n v="3"/>
    <n v="37.36"/>
    <n v="3.74"/>
    <n v="0"/>
    <n v="0.1"/>
    <s v="ACTIVE"/>
    <m/>
    <s v=""/>
    <m/>
    <d v="2026-09-26T18:12:40"/>
    <d v="2026-09-26T00:00:00"/>
    <x v="11"/>
    <x v="0"/>
    <n v="1"/>
    <n v="0"/>
    <x v="2374"/>
    <s v="Verónica Ortiz Rangel"/>
    <x v="0"/>
  </r>
  <r>
    <n v="2826"/>
    <n v="128"/>
    <n v="2"/>
    <n v="23.51"/>
    <n v="2.35"/>
    <n v="0"/>
    <n v="0.1"/>
    <s v="ACTIVE"/>
    <m/>
    <s v=""/>
    <m/>
    <d v="2026-09-27T08:13:06"/>
    <d v="2026-09-27T00:00:00"/>
    <x v="11"/>
    <x v="0"/>
    <n v="1"/>
    <n v="0"/>
    <x v="236"/>
    <s v="Verónica Ortiz Rangel"/>
    <x v="1"/>
  </r>
  <r>
    <n v="2827"/>
    <n v="246"/>
    <n v="4"/>
    <n v="27.19"/>
    <n v="2.72"/>
    <n v="0"/>
    <n v="0.1"/>
    <s v="ACTIVE"/>
    <m/>
    <s v=""/>
    <m/>
    <d v="2026-09-27T08:14:03"/>
    <d v="2026-09-27T00:00:00"/>
    <x v="11"/>
    <x v="0"/>
    <n v="1"/>
    <n v="0"/>
    <x v="2375"/>
    <s v="Alicia Morales Jiménez"/>
    <x v="3"/>
  </r>
  <r>
    <n v="2828"/>
    <n v="146"/>
    <n v="4"/>
    <n v="26.64"/>
    <n v="2.66"/>
    <n v="0"/>
    <n v="0.1"/>
    <s v="ACTIVE"/>
    <m/>
    <s v=""/>
    <m/>
    <d v="2026-09-27T12:36:46"/>
    <d v="2026-09-27T00:00:00"/>
    <x v="11"/>
    <x v="0"/>
    <n v="1"/>
    <n v="0"/>
    <x v="2376"/>
    <s v="Daniel Sánchez Quiñones"/>
    <x v="3"/>
  </r>
  <r>
    <n v="2829"/>
    <n v="128"/>
    <n v="2"/>
    <n v="35.78"/>
    <n v="3.58"/>
    <n v="0"/>
    <n v="0.1"/>
    <s v="ACTIVE"/>
    <m/>
    <s v=""/>
    <m/>
    <d v="2026-09-27T18:35:53"/>
    <d v="2026-09-27T00:00:00"/>
    <x v="11"/>
    <x v="0"/>
    <n v="1"/>
    <n v="0"/>
    <x v="2377"/>
    <s v="Verónica Ortiz Rangel"/>
    <x v="1"/>
  </r>
  <r>
    <n v="2830"/>
    <n v="250"/>
    <n v="3"/>
    <n v="86.01"/>
    <n v="0"/>
    <n v="1"/>
    <n v="0.1"/>
    <s v="ACTIVE"/>
    <m/>
    <s v=""/>
    <m/>
    <d v="2026-09-28T07:22:25"/>
    <d v="2026-09-28T00:00:00"/>
    <x v="11"/>
    <x v="1"/>
    <n v="1"/>
    <n v="0"/>
    <x v="1504"/>
    <s v="Verónica Romero Chávez"/>
    <x v="0"/>
  </r>
  <r>
    <n v="2831"/>
    <n v="87"/>
    <n v="4"/>
    <n v="93.27"/>
    <n v="9.33"/>
    <n v="0"/>
    <n v="0.1"/>
    <s v="ACTIVE"/>
    <m/>
    <s v=""/>
    <m/>
    <d v="2026-09-28T07:48:31"/>
    <d v="2026-09-28T00:00:00"/>
    <x v="11"/>
    <x v="0"/>
    <n v="1"/>
    <n v="0"/>
    <x v="2378"/>
    <s v="Antonio Reyes Romero"/>
    <x v="3"/>
  </r>
  <r>
    <n v="2832"/>
    <n v="134"/>
    <n v="2"/>
    <n v="49.44"/>
    <n v="4.9400000000000004"/>
    <n v="0"/>
    <n v="0.1"/>
    <s v="ACTIVE"/>
    <m/>
    <s v=""/>
    <m/>
    <d v="2026-09-28T08:19:21"/>
    <d v="2026-09-28T00:00:00"/>
    <x v="11"/>
    <x v="0"/>
    <n v="1"/>
    <n v="0"/>
    <x v="2379"/>
    <s v="Javier Moreno Ortiz"/>
    <x v="1"/>
  </r>
  <r>
    <n v="2833"/>
    <n v="134"/>
    <n v="3"/>
    <n v="57.18"/>
    <n v="5.72"/>
    <n v="0"/>
    <n v="0.1"/>
    <s v="ACTIVE"/>
    <m/>
    <s v=""/>
    <m/>
    <d v="2026-09-28T08:25:50"/>
    <d v="2026-09-28T00:00:00"/>
    <x v="11"/>
    <x v="0"/>
    <n v="1"/>
    <n v="0"/>
    <x v="2380"/>
    <s v="Javier Moreno Ortiz"/>
    <x v="0"/>
  </r>
  <r>
    <n v="2834"/>
    <n v="134"/>
    <n v="3"/>
    <n v="72.430000000000007"/>
    <n v="7.24"/>
    <n v="0"/>
    <n v="0.1"/>
    <s v="ACTIVE"/>
    <m/>
    <s v=""/>
    <m/>
    <d v="2026-09-28T08:57:56"/>
    <d v="2026-09-28T00:00:00"/>
    <x v="11"/>
    <x v="0"/>
    <n v="1"/>
    <n v="0"/>
    <x v="2381"/>
    <s v="Javier Moreno Ortiz"/>
    <x v="0"/>
  </r>
  <r>
    <n v="2835"/>
    <n v="285"/>
    <n v="2"/>
    <n v="44"/>
    <n v="4.4000000000000004"/>
    <n v="0"/>
    <n v="0.1"/>
    <s v="ACTIVE"/>
    <m/>
    <s v=""/>
    <m/>
    <d v="2026-09-28T09:30:12"/>
    <d v="2026-09-28T00:00:00"/>
    <x v="11"/>
    <x v="0"/>
    <n v="1"/>
    <n v="0"/>
    <x v="2382"/>
    <s v="Alicia Martínez Aguilar"/>
    <x v="1"/>
  </r>
  <r>
    <n v="2836"/>
    <n v="48"/>
    <n v="5"/>
    <n v="96.43"/>
    <n v="9.64"/>
    <n v="0"/>
    <n v="0.1"/>
    <s v="ACTIVE"/>
    <m/>
    <s v=""/>
    <m/>
    <d v="2026-09-28T09:38:48"/>
    <d v="2026-09-28T00:00:00"/>
    <x v="11"/>
    <x v="0"/>
    <n v="1"/>
    <n v="0"/>
    <x v="2383"/>
    <s v="Carlos Medina Quiñones"/>
    <x v="2"/>
  </r>
  <r>
    <n v="2837"/>
    <n v="225"/>
    <n v="3"/>
    <n v="20.399999999999999"/>
    <n v="2.04"/>
    <n v="0"/>
    <n v="0.1"/>
    <s v="ACTIVE"/>
    <m/>
    <s v=""/>
    <m/>
    <d v="2026-09-28T11:11:59"/>
    <d v="2026-09-28T00:00:00"/>
    <x v="11"/>
    <x v="0"/>
    <n v="1"/>
    <n v="0"/>
    <x v="2384"/>
    <s v="Carlos Salazar Medina"/>
    <x v="0"/>
  </r>
  <r>
    <n v="2838"/>
    <n v="220"/>
    <n v="4"/>
    <n v="38.270000000000003"/>
    <n v="3.83"/>
    <n v="0"/>
    <n v="0.1"/>
    <s v="ACTIVE"/>
    <m/>
    <s v=""/>
    <m/>
    <d v="2026-09-28T17:34:09"/>
    <d v="2026-09-28T00:00:00"/>
    <x v="11"/>
    <x v="0"/>
    <n v="1"/>
    <n v="0"/>
    <x v="2385"/>
    <s v="Isabel Morales Cruz"/>
    <x v="3"/>
  </r>
  <r>
    <n v="2839"/>
    <n v="250"/>
    <n v="3"/>
    <n v="111.9"/>
    <n v="11.19"/>
    <n v="0"/>
    <n v="0.1"/>
    <s v="ACTIVE"/>
    <m/>
    <s v=""/>
    <m/>
    <d v="2026-09-28T19:12:09"/>
    <d v="2026-09-28T00:00:00"/>
    <x v="11"/>
    <x v="0"/>
    <n v="1"/>
    <n v="0"/>
    <x v="2386"/>
    <s v="Verónica Romero Chávez"/>
    <x v="0"/>
  </r>
  <r>
    <n v="2840"/>
    <n v="128"/>
    <n v="2"/>
    <n v="25.75"/>
    <n v="2.58"/>
    <n v="0"/>
    <n v="0.1"/>
    <s v="ACTIVE"/>
    <m/>
    <s v=""/>
    <m/>
    <d v="2026-09-28T19:32:11"/>
    <d v="2026-09-28T00:00:00"/>
    <x v="11"/>
    <x v="0"/>
    <n v="1"/>
    <n v="0"/>
    <x v="2387"/>
    <s v="Verónica Ortiz Rangel"/>
    <x v="1"/>
  </r>
  <r>
    <n v="2841"/>
    <n v="297"/>
    <n v="2"/>
    <n v="60.53"/>
    <n v="6.05"/>
    <n v="0"/>
    <n v="0.1"/>
    <s v="ACTIVE"/>
    <m/>
    <s v=""/>
    <m/>
    <d v="2026-09-29T08:20:25"/>
    <d v="2026-09-29T00:00:00"/>
    <x v="11"/>
    <x v="0"/>
    <n v="1"/>
    <n v="0"/>
    <x v="2388"/>
    <s v="Patricia Ortiz Jiménez"/>
    <x v="1"/>
  </r>
  <r>
    <n v="2842"/>
    <n v="65"/>
    <n v="3"/>
    <n v="22.59"/>
    <n v="2.2599999999999998"/>
    <n v="0"/>
    <n v="0.1"/>
    <s v="CANCELED"/>
    <n v="4"/>
    <s v="Monto duplicado por error de sistema"/>
    <d v="2026-09-30T16:36:48"/>
    <d v="2026-09-29T09:36:48"/>
    <d v="2026-09-29T00:00:00"/>
    <x v="11"/>
    <x v="0"/>
    <n v="1"/>
    <n v="1"/>
    <x v="32"/>
    <s v="Gabriela Flores Chávez"/>
    <x v="0"/>
  </r>
  <r>
    <n v="2843"/>
    <n v="128"/>
    <n v="3"/>
    <n v="25.56"/>
    <n v="2.56"/>
    <n v="0"/>
    <n v="0.1"/>
    <s v="ACTIVE"/>
    <m/>
    <s v=""/>
    <m/>
    <d v="2026-09-29T10:01:10"/>
    <d v="2026-09-29T00:00:00"/>
    <x v="11"/>
    <x v="0"/>
    <n v="1"/>
    <n v="0"/>
    <x v="2389"/>
    <s v="Verónica Ortiz Rangel"/>
    <x v="0"/>
  </r>
  <r>
    <n v="2844"/>
    <n v="285"/>
    <n v="4"/>
    <n v="23.17"/>
    <n v="2.3199999999999998"/>
    <n v="0"/>
    <n v="0.1"/>
    <s v="ACTIVE"/>
    <m/>
    <s v=""/>
    <m/>
    <d v="2026-09-29T10:43:41"/>
    <d v="2026-09-29T00:00:00"/>
    <x v="11"/>
    <x v="0"/>
    <n v="1"/>
    <n v="0"/>
    <x v="2390"/>
    <s v="Alicia Martínez Aguilar"/>
    <x v="3"/>
  </r>
  <r>
    <n v="2845"/>
    <n v="284"/>
    <n v="3"/>
    <n v="19.100000000000001"/>
    <n v="1.91"/>
    <n v="0"/>
    <n v="0.1"/>
    <s v="ACTIVE"/>
    <m/>
    <s v=""/>
    <m/>
    <d v="2026-09-29T13:37:19"/>
    <d v="2026-09-29T00:00:00"/>
    <x v="11"/>
    <x v="0"/>
    <n v="1"/>
    <n v="0"/>
    <x v="2391"/>
    <s v="Héctor Pérez Zacatecas"/>
    <x v="0"/>
  </r>
  <r>
    <n v="2846"/>
    <n v="128"/>
    <n v="5"/>
    <n v="21.82"/>
    <n v="2.1800000000000002"/>
    <n v="0"/>
    <n v="0.1"/>
    <s v="ACTIVE"/>
    <m/>
    <s v=""/>
    <m/>
    <d v="2026-09-29T14:05:09"/>
    <d v="2026-09-29T00:00:00"/>
    <x v="11"/>
    <x v="0"/>
    <n v="1"/>
    <n v="0"/>
    <x v="2392"/>
    <s v="Verónica Ortiz Rangel"/>
    <x v="2"/>
  </r>
  <r>
    <n v="2847"/>
    <n v="229"/>
    <n v="3"/>
    <n v="110.09"/>
    <n v="11.01"/>
    <n v="0"/>
    <n v="0.1"/>
    <s v="ACTIVE"/>
    <m/>
    <s v=""/>
    <m/>
    <d v="2026-09-29T16:39:28"/>
    <d v="2026-09-29T00:00:00"/>
    <x v="11"/>
    <x v="0"/>
    <n v="1"/>
    <n v="0"/>
    <x v="2393"/>
    <s v="Verónica González Rodríguez"/>
    <x v="0"/>
  </r>
  <r>
    <n v="2848"/>
    <n v="134"/>
    <n v="4"/>
    <n v="82.1"/>
    <n v="8.2100000000000009"/>
    <n v="0"/>
    <n v="0.1"/>
    <s v="ACTIVE"/>
    <m/>
    <s v=""/>
    <m/>
    <d v="2026-09-29T16:58:35"/>
    <d v="2026-09-29T00:00:00"/>
    <x v="11"/>
    <x v="0"/>
    <n v="1"/>
    <n v="0"/>
    <x v="2394"/>
    <s v="Javier Moreno Ortiz"/>
    <x v="3"/>
  </r>
  <r>
    <n v="2849"/>
    <n v="134"/>
    <n v="2"/>
    <n v="80.61"/>
    <n v="8.06"/>
    <n v="0"/>
    <n v="0.1"/>
    <s v="ACTIVE"/>
    <m/>
    <s v=""/>
    <m/>
    <d v="2026-09-29T17:31:43"/>
    <d v="2026-09-29T00:00:00"/>
    <x v="11"/>
    <x v="0"/>
    <n v="1"/>
    <n v="0"/>
    <x v="2395"/>
    <s v="Javier Moreno Ortiz"/>
    <x v="1"/>
  </r>
  <r>
    <n v="2850"/>
    <n v="74"/>
    <n v="3"/>
    <n v="118.23"/>
    <n v="11.82"/>
    <n v="0"/>
    <n v="0.1"/>
    <s v="ACTIVE"/>
    <m/>
    <s v=""/>
    <m/>
    <d v="2026-09-29T18:22:22"/>
    <d v="2026-09-29T00:00:00"/>
    <x v="11"/>
    <x v="0"/>
    <n v="1"/>
    <n v="0"/>
    <x v="2396"/>
    <s v="Daniel Gómez Díaz"/>
    <x v="0"/>
  </r>
  <r>
    <n v="2851"/>
    <n v="285"/>
    <n v="3"/>
    <n v="34.54"/>
    <n v="3.45"/>
    <n v="0"/>
    <n v="0.1"/>
    <s v="ACTIVE"/>
    <m/>
    <s v=""/>
    <m/>
    <d v="2026-09-30T07:19:02"/>
    <d v="2026-09-30T00:00:00"/>
    <x v="11"/>
    <x v="0"/>
    <n v="1"/>
    <n v="0"/>
    <x v="1523"/>
    <s v="Alicia Martínez Aguilar"/>
    <x v="0"/>
  </r>
  <r>
    <n v="2852"/>
    <n v="128"/>
    <n v="5"/>
    <n v="23.25"/>
    <n v="2.33"/>
    <n v="0"/>
    <n v="0.1"/>
    <s v="ACTIVE"/>
    <m/>
    <s v=""/>
    <m/>
    <d v="2026-09-30T07:24:51"/>
    <d v="2026-09-30T00:00:00"/>
    <x v="11"/>
    <x v="0"/>
    <n v="1"/>
    <n v="0"/>
    <x v="2397"/>
    <s v="Verónica Ortiz Rangel"/>
    <x v="2"/>
  </r>
  <r>
    <n v="2853"/>
    <n v="134"/>
    <n v="4"/>
    <n v="105.58"/>
    <n v="10.56"/>
    <n v="0"/>
    <n v="0.1"/>
    <s v="ACTIVE"/>
    <m/>
    <s v=""/>
    <m/>
    <d v="2026-09-30T08:24:01"/>
    <d v="2026-09-30T00:00:00"/>
    <x v="11"/>
    <x v="0"/>
    <n v="1"/>
    <n v="0"/>
    <x v="2398"/>
    <s v="Javier Moreno Ortiz"/>
    <x v="3"/>
  </r>
  <r>
    <n v="2854"/>
    <n v="134"/>
    <n v="4"/>
    <n v="78.02"/>
    <n v="7.8"/>
    <n v="0"/>
    <n v="0.1"/>
    <s v="ACTIVE"/>
    <m/>
    <s v=""/>
    <m/>
    <d v="2026-09-30T08:56:12"/>
    <d v="2026-09-30T00:00:00"/>
    <x v="11"/>
    <x v="0"/>
    <n v="1"/>
    <n v="0"/>
    <x v="2399"/>
    <s v="Javier Moreno Ortiz"/>
    <x v="3"/>
  </r>
  <r>
    <n v="2855"/>
    <n v="134"/>
    <n v="5"/>
    <n v="73.680000000000007"/>
    <n v="0"/>
    <n v="1"/>
    <n v="0.1"/>
    <s v="ACTIVE"/>
    <m/>
    <s v=""/>
    <m/>
    <d v="2026-09-30T11:55:57"/>
    <d v="2026-09-30T00:00:00"/>
    <x v="11"/>
    <x v="1"/>
    <n v="1"/>
    <n v="0"/>
    <x v="2400"/>
    <s v="Javier Moreno Ortiz"/>
    <x v="2"/>
  </r>
  <r>
    <n v="2856"/>
    <n v="250"/>
    <n v="4"/>
    <n v="77.67"/>
    <n v="7.77"/>
    <n v="0"/>
    <n v="0.1"/>
    <s v="ACTIVE"/>
    <m/>
    <s v=""/>
    <m/>
    <d v="2026-09-30T15:41:09"/>
    <d v="2026-09-30T00:00:00"/>
    <x v="11"/>
    <x v="0"/>
    <n v="1"/>
    <n v="0"/>
    <x v="2401"/>
    <s v="Verónica Romero Chávez"/>
    <x v="3"/>
  </r>
  <r>
    <n v="2857"/>
    <n v="208"/>
    <n v="3"/>
    <n v="23.99"/>
    <n v="2.4"/>
    <n v="0"/>
    <n v="0.1"/>
    <s v="ACTIVE"/>
    <m/>
    <s v=""/>
    <m/>
    <d v="2026-09-30T18:06:06"/>
    <d v="2026-09-30T00:00:00"/>
    <x v="11"/>
    <x v="0"/>
    <n v="1"/>
    <n v="0"/>
    <x v="1673"/>
    <s v="Pedro Cruz Salazar"/>
    <x v="0"/>
  </r>
  <r>
    <n v="2858"/>
    <n v="22"/>
    <n v="5"/>
    <n v="45.58"/>
    <n v="4.5599999999999996"/>
    <n v="0"/>
    <n v="0.1"/>
    <s v="ACTIVE"/>
    <m/>
    <s v=""/>
    <m/>
    <d v="2026-10-01T10:02:06"/>
    <d v="2026-10-01T00:00:00"/>
    <x v="12"/>
    <x v="0"/>
    <n v="1"/>
    <n v="0"/>
    <x v="2402"/>
    <s v="Martha Moreno Rangel"/>
    <x v="2"/>
  </r>
  <r>
    <n v="2859"/>
    <n v="243"/>
    <n v="2"/>
    <n v="42.08"/>
    <n v="4.21"/>
    <n v="0"/>
    <n v="0.1"/>
    <s v="ACTIVE"/>
    <m/>
    <s v=""/>
    <m/>
    <d v="2026-10-01T10:39:24"/>
    <d v="2026-10-01T00:00:00"/>
    <x v="12"/>
    <x v="0"/>
    <n v="1"/>
    <n v="0"/>
    <x v="2403"/>
    <s v="Raúl García Díaz"/>
    <x v="1"/>
  </r>
  <r>
    <n v="2860"/>
    <n v="220"/>
    <n v="2"/>
    <n v="42.38"/>
    <n v="4.24"/>
    <n v="0"/>
    <n v="0.1"/>
    <s v="ACTIVE"/>
    <m/>
    <s v=""/>
    <m/>
    <d v="2026-10-01T11:22:51"/>
    <d v="2026-10-01T00:00:00"/>
    <x v="12"/>
    <x v="0"/>
    <n v="1"/>
    <n v="0"/>
    <x v="2404"/>
    <s v="Isabel Morales Cruz"/>
    <x v="1"/>
  </r>
  <r>
    <n v="2861"/>
    <n v="75"/>
    <n v="5"/>
    <n v="83.3"/>
    <n v="8.33"/>
    <n v="0"/>
    <n v="0.1"/>
    <s v="ACTIVE"/>
    <m/>
    <s v=""/>
    <m/>
    <d v="2026-10-01T12:52:13"/>
    <d v="2026-10-01T00:00:00"/>
    <x v="12"/>
    <x v="0"/>
    <n v="1"/>
    <n v="0"/>
    <x v="2405"/>
    <s v="Guadalupe Romero Ortiz"/>
    <x v="2"/>
  </r>
  <r>
    <n v="2862"/>
    <n v="161"/>
    <n v="5"/>
    <n v="85.85"/>
    <n v="8.59"/>
    <n v="0"/>
    <n v="0.1"/>
    <s v="ACTIVE"/>
    <m/>
    <s v=""/>
    <m/>
    <d v="2026-10-01T14:21:08"/>
    <d v="2026-10-01T00:00:00"/>
    <x v="12"/>
    <x v="0"/>
    <n v="1"/>
    <n v="0"/>
    <x v="2406"/>
    <s v="Carmen Villalobos Rodríguez"/>
    <x v="2"/>
  </r>
  <r>
    <n v="2863"/>
    <n v="293"/>
    <n v="4"/>
    <n v="36.340000000000003"/>
    <n v="3.63"/>
    <n v="0"/>
    <n v="0.1"/>
    <s v="ACTIVE"/>
    <m/>
    <s v=""/>
    <m/>
    <d v="2026-10-01T17:51:56"/>
    <d v="2026-10-01T00:00:00"/>
    <x v="12"/>
    <x v="0"/>
    <n v="1"/>
    <n v="0"/>
    <x v="2407"/>
    <s v="Patricia Quiñones Pérez"/>
    <x v="3"/>
  </r>
  <r>
    <n v="2864"/>
    <n v="194"/>
    <n v="2"/>
    <n v="59.85"/>
    <n v="5.99"/>
    <n v="0"/>
    <n v="0.1"/>
    <s v="ACTIVE"/>
    <m/>
    <s v=""/>
    <m/>
    <d v="2026-10-01T18:14:24"/>
    <d v="2026-10-01T00:00:00"/>
    <x v="12"/>
    <x v="0"/>
    <n v="1"/>
    <n v="0"/>
    <x v="2408"/>
    <s v="Óscar Herrera Gutiérrez"/>
    <x v="1"/>
  </r>
  <r>
    <n v="2865"/>
    <n v="174"/>
    <n v="5"/>
    <n v="29.79"/>
    <n v="2.98"/>
    <n v="0"/>
    <n v="0.1"/>
    <s v="ACTIVE"/>
    <m/>
    <s v=""/>
    <m/>
    <d v="2026-10-01T18:41:39"/>
    <d v="2026-10-01T00:00:00"/>
    <x v="12"/>
    <x v="0"/>
    <n v="1"/>
    <n v="0"/>
    <x v="2101"/>
    <s v="Elena Aguilar Zacatecas"/>
    <x v="2"/>
  </r>
  <r>
    <n v="2866"/>
    <n v="137"/>
    <n v="5"/>
    <n v="39.24"/>
    <n v="3.92"/>
    <n v="0"/>
    <n v="0.1"/>
    <s v="ACTIVE"/>
    <m/>
    <s v=""/>
    <m/>
    <d v="2026-10-02T08:15:49"/>
    <d v="2026-10-02T00:00:00"/>
    <x v="12"/>
    <x v="0"/>
    <n v="1"/>
    <n v="0"/>
    <x v="675"/>
    <s v="Francisco Reyes Ruiz"/>
    <x v="2"/>
  </r>
  <r>
    <n v="2867"/>
    <n v="179"/>
    <n v="3"/>
    <n v="129.91999999999999"/>
    <n v="12.99"/>
    <n v="0"/>
    <n v="0.1"/>
    <s v="ACTIVE"/>
    <m/>
    <s v=""/>
    <m/>
    <d v="2026-10-02T08:18:15"/>
    <d v="2026-10-02T00:00:00"/>
    <x v="12"/>
    <x v="0"/>
    <n v="1"/>
    <n v="0"/>
    <x v="2409"/>
    <s v="Laura Flores Villalobos"/>
    <x v="0"/>
  </r>
  <r>
    <n v="2868"/>
    <n v="128"/>
    <n v="3"/>
    <n v="27.04"/>
    <n v="2.7"/>
    <n v="0"/>
    <n v="0.1"/>
    <s v="ACTIVE"/>
    <m/>
    <s v=""/>
    <m/>
    <d v="2026-10-02T09:21:57"/>
    <d v="2026-10-02T00:00:00"/>
    <x v="12"/>
    <x v="0"/>
    <n v="1"/>
    <n v="0"/>
    <x v="628"/>
    <s v="Verónica Ortiz Rangel"/>
    <x v="0"/>
  </r>
  <r>
    <n v="2869"/>
    <n v="128"/>
    <n v="5"/>
    <n v="58.17"/>
    <n v="5.82"/>
    <n v="0"/>
    <n v="0.1"/>
    <s v="ACTIVE"/>
    <m/>
    <s v=""/>
    <m/>
    <d v="2026-10-02T10:41:57"/>
    <d v="2026-10-02T00:00:00"/>
    <x v="12"/>
    <x v="0"/>
    <n v="1"/>
    <n v="0"/>
    <x v="2284"/>
    <s v="Verónica Ortiz Rangel"/>
    <x v="2"/>
  </r>
  <r>
    <n v="2870"/>
    <n v="25"/>
    <n v="4"/>
    <n v="48.43"/>
    <n v="0"/>
    <n v="1"/>
    <n v="0.1"/>
    <s v="ACTIVE"/>
    <m/>
    <s v=""/>
    <m/>
    <d v="2026-10-02T15:01:24"/>
    <d v="2026-10-02T00:00:00"/>
    <x v="12"/>
    <x v="1"/>
    <n v="1"/>
    <n v="0"/>
    <x v="2410"/>
    <s v="Martha Rodríguez López"/>
    <x v="3"/>
  </r>
  <r>
    <n v="2871"/>
    <n v="134"/>
    <n v="4"/>
    <n v="80.680000000000007"/>
    <n v="8.07"/>
    <n v="0"/>
    <n v="0.1"/>
    <s v="ACTIVE"/>
    <m/>
    <s v=""/>
    <m/>
    <d v="2026-10-02T16:45:06"/>
    <d v="2026-10-02T00:00:00"/>
    <x v="12"/>
    <x v="0"/>
    <n v="1"/>
    <n v="0"/>
    <x v="2411"/>
    <s v="Javier Moreno Ortiz"/>
    <x v="3"/>
  </r>
  <r>
    <n v="2872"/>
    <n v="229"/>
    <n v="3"/>
    <n v="122.78"/>
    <n v="12.28"/>
    <n v="0"/>
    <n v="0.1"/>
    <s v="ACTIVE"/>
    <m/>
    <s v=""/>
    <m/>
    <d v="2026-10-02T17:00:07"/>
    <d v="2026-10-02T00:00:00"/>
    <x v="12"/>
    <x v="0"/>
    <n v="1"/>
    <n v="0"/>
    <x v="2412"/>
    <s v="Verónica González Rodríguez"/>
    <x v="0"/>
  </r>
  <r>
    <n v="2873"/>
    <n v="57"/>
    <n v="4"/>
    <n v="89.86"/>
    <n v="8.99"/>
    <n v="0"/>
    <n v="0.1"/>
    <s v="ACTIVE"/>
    <m/>
    <s v=""/>
    <m/>
    <d v="2026-10-03T07:09:13"/>
    <d v="2026-10-03T00:00:00"/>
    <x v="12"/>
    <x v="0"/>
    <n v="1"/>
    <n v="0"/>
    <x v="2413"/>
    <s v="Isabel Martínez Rodríguez"/>
    <x v="3"/>
  </r>
  <r>
    <n v="2874"/>
    <n v="106"/>
    <n v="4"/>
    <n v="104.89"/>
    <n v="10.49"/>
    <n v="0"/>
    <n v="0.1"/>
    <s v="ACTIVE"/>
    <m/>
    <s v=""/>
    <m/>
    <d v="2026-10-03T07:53:02"/>
    <d v="2026-10-03T00:00:00"/>
    <x v="12"/>
    <x v="0"/>
    <n v="1"/>
    <n v="0"/>
    <x v="2414"/>
    <s v="Isabel García Santoyo"/>
    <x v="3"/>
  </r>
  <r>
    <n v="2875"/>
    <n v="229"/>
    <n v="5"/>
    <n v="111.03"/>
    <n v="0"/>
    <n v="1"/>
    <n v="0.1"/>
    <s v="ACTIVE"/>
    <m/>
    <s v=""/>
    <m/>
    <d v="2026-10-03T08:49:50"/>
    <d v="2026-10-03T00:00:00"/>
    <x v="12"/>
    <x v="1"/>
    <n v="1"/>
    <n v="0"/>
    <x v="2415"/>
    <s v="Verónica González Rodríguez"/>
    <x v="2"/>
  </r>
  <r>
    <n v="2876"/>
    <n v="190"/>
    <n v="2"/>
    <n v="193.33"/>
    <n v="19.329999999999998"/>
    <n v="0"/>
    <n v="0.1"/>
    <s v="ACTIVE"/>
    <m/>
    <s v=""/>
    <m/>
    <d v="2026-10-03T09:13:51"/>
    <d v="2026-10-03T00:00:00"/>
    <x v="12"/>
    <x v="0"/>
    <n v="1"/>
    <n v="0"/>
    <x v="2416"/>
    <s v="Ricardo Díaz Rodríguez"/>
    <x v="1"/>
  </r>
  <r>
    <n v="2877"/>
    <n v="243"/>
    <n v="2"/>
    <n v="26.73"/>
    <n v="2.67"/>
    <n v="0"/>
    <n v="0.1"/>
    <s v="ACTIVE"/>
    <m/>
    <s v=""/>
    <m/>
    <d v="2026-10-03T09:19:31"/>
    <d v="2026-10-03T00:00:00"/>
    <x v="12"/>
    <x v="0"/>
    <n v="1"/>
    <n v="0"/>
    <x v="1916"/>
    <s v="Raúl García Díaz"/>
    <x v="1"/>
  </r>
  <r>
    <n v="2878"/>
    <n v="86"/>
    <n v="2"/>
    <n v="24.89"/>
    <n v="2.4900000000000002"/>
    <n v="0"/>
    <n v="0.1"/>
    <s v="ACTIVE"/>
    <m/>
    <s v=""/>
    <m/>
    <d v="2026-10-03T10:20:59"/>
    <d v="2026-10-03T00:00:00"/>
    <x v="12"/>
    <x v="0"/>
    <n v="1"/>
    <n v="0"/>
    <x v="410"/>
    <s v="Óscar Romero Ruiz"/>
    <x v="1"/>
  </r>
  <r>
    <n v="2879"/>
    <n v="293"/>
    <n v="3"/>
    <n v="31.15"/>
    <n v="3.12"/>
    <n v="0"/>
    <n v="0.1"/>
    <s v="ACTIVE"/>
    <m/>
    <s v=""/>
    <m/>
    <d v="2026-10-03T14:00:21"/>
    <d v="2026-10-03T00:00:00"/>
    <x v="12"/>
    <x v="0"/>
    <n v="1"/>
    <n v="0"/>
    <x v="1320"/>
    <s v="Patricia Quiñones Pérez"/>
    <x v="0"/>
  </r>
  <r>
    <n v="2880"/>
    <n v="128"/>
    <n v="4"/>
    <n v="23.6"/>
    <n v="2.36"/>
    <n v="0"/>
    <n v="0.1"/>
    <s v="ACTIVE"/>
    <m/>
    <s v=""/>
    <m/>
    <d v="2026-10-03T16:40:50"/>
    <d v="2026-10-03T00:00:00"/>
    <x v="12"/>
    <x v="0"/>
    <n v="1"/>
    <n v="0"/>
    <x v="2417"/>
    <s v="Verónica Ortiz Rangel"/>
    <x v="3"/>
  </r>
  <r>
    <n v="2881"/>
    <n v="250"/>
    <n v="3"/>
    <n v="41.96"/>
    <n v="4.2"/>
    <n v="0"/>
    <n v="0.1"/>
    <s v="ACTIVE"/>
    <m/>
    <s v=""/>
    <m/>
    <d v="2026-10-04T09:35:35"/>
    <d v="2026-10-04T00:00:00"/>
    <x v="12"/>
    <x v="0"/>
    <n v="1"/>
    <n v="0"/>
    <x v="2418"/>
    <s v="Verónica Romero Chávez"/>
    <x v="0"/>
  </r>
  <r>
    <n v="2882"/>
    <n v="250"/>
    <n v="5"/>
    <n v="63.99"/>
    <n v="0"/>
    <n v="1"/>
    <n v="0.1"/>
    <s v="ACTIVE"/>
    <m/>
    <s v=""/>
    <m/>
    <d v="2026-10-04T12:00:48"/>
    <d v="2026-10-04T00:00:00"/>
    <x v="12"/>
    <x v="1"/>
    <n v="1"/>
    <n v="0"/>
    <x v="2419"/>
    <s v="Verónica Romero Chávez"/>
    <x v="2"/>
  </r>
  <r>
    <n v="2883"/>
    <n v="248"/>
    <n v="5"/>
    <n v="108.38"/>
    <n v="10.84"/>
    <n v="0"/>
    <n v="0.1"/>
    <s v="ACTIVE"/>
    <m/>
    <s v=""/>
    <m/>
    <d v="2026-10-04T13:00:44"/>
    <d v="2026-10-04T00:00:00"/>
    <x v="12"/>
    <x v="0"/>
    <n v="1"/>
    <n v="0"/>
    <x v="2082"/>
    <s v="Jorge López Flores"/>
    <x v="2"/>
  </r>
  <r>
    <n v="2884"/>
    <n v="202"/>
    <n v="2"/>
    <n v="28.05"/>
    <n v="2.81"/>
    <n v="0"/>
    <n v="0.1"/>
    <s v="ACTIVE"/>
    <m/>
    <s v=""/>
    <m/>
    <d v="2026-10-04T18:53:17"/>
    <d v="2026-10-04T00:00:00"/>
    <x v="12"/>
    <x v="0"/>
    <n v="1"/>
    <n v="0"/>
    <x v="2420"/>
    <s v="Elena Díaz Reyes"/>
    <x v="1"/>
  </r>
  <r>
    <n v="2885"/>
    <n v="75"/>
    <n v="3"/>
    <n v="40.19"/>
    <n v="4.0199999999999996"/>
    <n v="0"/>
    <n v="0.1"/>
    <s v="ACTIVE"/>
    <m/>
    <s v=""/>
    <m/>
    <d v="2026-10-05T08:51:00"/>
    <d v="2026-10-05T00:00:00"/>
    <x v="12"/>
    <x v="0"/>
    <n v="1"/>
    <n v="0"/>
    <x v="2421"/>
    <s v="Guadalupe Romero Ortiz"/>
    <x v="0"/>
  </r>
  <r>
    <n v="2886"/>
    <n v="128"/>
    <n v="2"/>
    <n v="45.08"/>
    <n v="4.51"/>
    <n v="0"/>
    <n v="0.1"/>
    <s v="ACTIVE"/>
    <m/>
    <s v=""/>
    <m/>
    <d v="2026-10-05T09:22:24"/>
    <d v="2026-10-05T00:00:00"/>
    <x v="12"/>
    <x v="0"/>
    <n v="1"/>
    <n v="0"/>
    <x v="2422"/>
    <s v="Verónica Ortiz Rangel"/>
    <x v="1"/>
  </r>
  <r>
    <n v="2887"/>
    <n v="229"/>
    <n v="5"/>
    <n v="62.87"/>
    <n v="6.29"/>
    <n v="0"/>
    <n v="0.1"/>
    <s v="ACTIVE"/>
    <m/>
    <s v=""/>
    <m/>
    <d v="2026-10-05T09:28:24"/>
    <d v="2026-10-05T00:00:00"/>
    <x v="12"/>
    <x v="0"/>
    <n v="1"/>
    <n v="0"/>
    <x v="2423"/>
    <s v="Verónica González Rodríguez"/>
    <x v="2"/>
  </r>
  <r>
    <n v="2888"/>
    <n v="75"/>
    <n v="5"/>
    <n v="116.94"/>
    <n v="11.69"/>
    <n v="0"/>
    <n v="0.1"/>
    <s v="ACTIVE"/>
    <m/>
    <s v=""/>
    <m/>
    <d v="2026-10-05T15:33:31"/>
    <d v="2026-10-05T00:00:00"/>
    <x v="12"/>
    <x v="0"/>
    <n v="1"/>
    <n v="0"/>
    <x v="2424"/>
    <s v="Guadalupe Romero Ortiz"/>
    <x v="2"/>
  </r>
  <r>
    <n v="2889"/>
    <n v="128"/>
    <n v="2"/>
    <n v="29.08"/>
    <n v="2.91"/>
    <n v="0"/>
    <n v="0.1"/>
    <s v="ACTIVE"/>
    <m/>
    <s v=""/>
    <m/>
    <d v="2026-10-05T17:23:39"/>
    <d v="2026-10-05T00:00:00"/>
    <x v="12"/>
    <x v="0"/>
    <n v="1"/>
    <n v="0"/>
    <x v="2319"/>
    <s v="Verónica Ortiz Rangel"/>
    <x v="1"/>
  </r>
  <r>
    <n v="2890"/>
    <n v="204"/>
    <n v="3"/>
    <n v="73.7"/>
    <n v="7.37"/>
    <n v="0"/>
    <n v="0.1"/>
    <s v="ACTIVE"/>
    <m/>
    <s v=""/>
    <m/>
    <d v="2026-10-05T17:34:07"/>
    <d v="2026-10-05T00:00:00"/>
    <x v="12"/>
    <x v="0"/>
    <n v="1"/>
    <n v="0"/>
    <x v="2425"/>
    <s v="Silvia Ramos Aguilar"/>
    <x v="0"/>
  </r>
  <r>
    <n v="2891"/>
    <n v="204"/>
    <n v="2"/>
    <n v="57.85"/>
    <n v="5.79"/>
    <n v="0"/>
    <n v="0.1"/>
    <s v="ACTIVE"/>
    <m/>
    <s v=""/>
    <m/>
    <d v="2026-10-05T17:45:18"/>
    <d v="2026-10-05T00:00:00"/>
    <x v="12"/>
    <x v="0"/>
    <n v="1"/>
    <n v="0"/>
    <x v="2426"/>
    <s v="Silvia Ramos Aguilar"/>
    <x v="1"/>
  </r>
  <r>
    <n v="2892"/>
    <n v="179"/>
    <n v="3"/>
    <n v="280.67"/>
    <n v="28.07"/>
    <n v="0"/>
    <n v="0.1"/>
    <s v="ACTIVE"/>
    <m/>
    <s v=""/>
    <m/>
    <d v="2026-10-06T08:23:13"/>
    <d v="2026-10-06T00:00:00"/>
    <x v="12"/>
    <x v="0"/>
    <n v="1"/>
    <n v="0"/>
    <x v="2427"/>
    <s v="Laura Flores Villalobos"/>
    <x v="0"/>
  </r>
  <r>
    <n v="2893"/>
    <n v="250"/>
    <n v="2"/>
    <n v="109.6"/>
    <n v="10.96"/>
    <n v="0"/>
    <n v="0.1"/>
    <s v="ACTIVE"/>
    <m/>
    <s v=""/>
    <m/>
    <d v="2026-10-06T08:23:19"/>
    <d v="2026-10-06T00:00:00"/>
    <x v="12"/>
    <x v="0"/>
    <n v="1"/>
    <n v="0"/>
    <x v="2428"/>
    <s v="Verónica Romero Chávez"/>
    <x v="1"/>
  </r>
  <r>
    <n v="2894"/>
    <n v="271"/>
    <n v="5"/>
    <n v="18.47"/>
    <n v="1.85"/>
    <n v="0"/>
    <n v="0.1"/>
    <s v="ACTIVE"/>
    <m/>
    <s v=""/>
    <m/>
    <d v="2026-10-06T08:43:56"/>
    <d v="2026-10-06T00:00:00"/>
    <x v="12"/>
    <x v="0"/>
    <n v="1"/>
    <n v="0"/>
    <x v="354"/>
    <s v="Leticia Quiñones Martínez"/>
    <x v="2"/>
  </r>
  <r>
    <n v="2895"/>
    <n v="136"/>
    <n v="5"/>
    <n v="112.53"/>
    <n v="11.25"/>
    <n v="0"/>
    <n v="0.1"/>
    <s v="ACTIVE"/>
    <m/>
    <s v=""/>
    <m/>
    <d v="2026-10-06T08:46:46"/>
    <d v="2026-10-06T00:00:00"/>
    <x v="12"/>
    <x v="0"/>
    <n v="1"/>
    <n v="0"/>
    <x v="2429"/>
    <s v="Guadalupe Castillo Rangel"/>
    <x v="2"/>
  </r>
  <r>
    <n v="2896"/>
    <n v="156"/>
    <n v="4"/>
    <n v="25.17"/>
    <n v="2.52"/>
    <n v="0"/>
    <n v="0.1"/>
    <s v="ACTIVE"/>
    <m/>
    <s v=""/>
    <m/>
    <d v="2026-10-06T12:29:57"/>
    <d v="2026-10-06T00:00:00"/>
    <x v="12"/>
    <x v="0"/>
    <n v="1"/>
    <n v="0"/>
    <x v="2430"/>
    <s v="Óscar Moreno Chávez"/>
    <x v="3"/>
  </r>
  <r>
    <n v="2897"/>
    <n v="229"/>
    <n v="4"/>
    <n v="75.2"/>
    <n v="7.52"/>
    <n v="0"/>
    <n v="0.1"/>
    <s v="ACTIVE"/>
    <m/>
    <s v=""/>
    <m/>
    <d v="2026-10-06T14:04:04"/>
    <d v="2026-10-06T00:00:00"/>
    <x v="12"/>
    <x v="0"/>
    <n v="1"/>
    <n v="0"/>
    <x v="2431"/>
    <s v="Verónica González Rodríguez"/>
    <x v="3"/>
  </r>
  <r>
    <n v="2898"/>
    <n v="75"/>
    <n v="4"/>
    <n v="56.06"/>
    <n v="5.61"/>
    <n v="0"/>
    <n v="0.1"/>
    <s v="ACTIVE"/>
    <m/>
    <s v=""/>
    <m/>
    <d v="2026-10-06T15:19:05"/>
    <d v="2026-10-06T00:00:00"/>
    <x v="12"/>
    <x v="0"/>
    <n v="1"/>
    <n v="0"/>
    <x v="2432"/>
    <s v="Guadalupe Romero Ortiz"/>
    <x v="3"/>
  </r>
  <r>
    <n v="2899"/>
    <n v="18"/>
    <n v="3"/>
    <n v="46.77"/>
    <n v="4.68"/>
    <n v="0"/>
    <n v="0.1"/>
    <s v="ACTIVE"/>
    <m/>
    <s v=""/>
    <m/>
    <d v="2026-10-06T15:24:46"/>
    <d v="2026-10-06T00:00:00"/>
    <x v="12"/>
    <x v="0"/>
    <n v="1"/>
    <n v="0"/>
    <x v="372"/>
    <s v="Carlos Gómez Ávila"/>
    <x v="0"/>
  </r>
  <r>
    <n v="2900"/>
    <n v="16"/>
    <n v="2"/>
    <n v="109.55"/>
    <n v="0"/>
    <n v="1"/>
    <n v="0.1"/>
    <s v="ACTIVE"/>
    <m/>
    <s v=""/>
    <m/>
    <d v="2026-10-06T15:27:21"/>
    <d v="2026-10-06T00:00:00"/>
    <x v="12"/>
    <x v="1"/>
    <n v="1"/>
    <n v="0"/>
    <x v="2433"/>
    <s v="Laura Chávez Rangel"/>
    <x v="1"/>
  </r>
  <r>
    <n v="2901"/>
    <n v="128"/>
    <n v="5"/>
    <n v="80"/>
    <n v="8"/>
    <n v="0"/>
    <n v="0.1"/>
    <s v="ACTIVE"/>
    <m/>
    <s v=""/>
    <m/>
    <d v="2026-10-06T16:05:00"/>
    <d v="2026-10-06T00:00:00"/>
    <x v="12"/>
    <x v="0"/>
    <n v="1"/>
    <n v="0"/>
    <x v="78"/>
    <s v="Verónica Ortiz Rangel"/>
    <x v="2"/>
  </r>
  <r>
    <n v="2902"/>
    <n v="134"/>
    <n v="3"/>
    <n v="98.86"/>
    <n v="9.89"/>
    <n v="0"/>
    <n v="0.1"/>
    <s v="ACTIVE"/>
    <m/>
    <s v=""/>
    <m/>
    <d v="2026-10-06T19:07:26"/>
    <d v="2026-10-06T00:00:00"/>
    <x v="12"/>
    <x v="0"/>
    <n v="1"/>
    <n v="0"/>
    <x v="2434"/>
    <s v="Javier Moreno Ortiz"/>
    <x v="0"/>
  </r>
  <r>
    <n v="2903"/>
    <n v="229"/>
    <n v="4"/>
    <n v="105.03"/>
    <n v="10.5"/>
    <n v="0"/>
    <n v="0.1"/>
    <s v="ACTIVE"/>
    <m/>
    <s v=""/>
    <m/>
    <d v="2026-10-07T08:06:36"/>
    <d v="2026-10-07T00:00:00"/>
    <x v="12"/>
    <x v="0"/>
    <n v="1"/>
    <n v="0"/>
    <x v="2435"/>
    <s v="Verónica González Rodríguez"/>
    <x v="3"/>
  </r>
  <r>
    <n v="2904"/>
    <n v="179"/>
    <n v="5"/>
    <n v="293.17"/>
    <n v="29.32"/>
    <n v="0"/>
    <n v="0.1"/>
    <s v="ACTIVE"/>
    <m/>
    <s v=""/>
    <m/>
    <d v="2026-10-07T09:36:41"/>
    <d v="2026-10-07T00:00:00"/>
    <x v="12"/>
    <x v="0"/>
    <n v="1"/>
    <n v="0"/>
    <x v="2436"/>
    <s v="Laura Flores Villalobos"/>
    <x v="2"/>
  </r>
  <r>
    <n v="2905"/>
    <n v="285"/>
    <n v="3"/>
    <n v="27.16"/>
    <n v="2.72"/>
    <n v="0"/>
    <n v="0.1"/>
    <s v="ACTIVE"/>
    <m/>
    <s v=""/>
    <m/>
    <d v="2026-10-07T10:12:22"/>
    <d v="2026-10-07T00:00:00"/>
    <x v="12"/>
    <x v="0"/>
    <n v="1"/>
    <n v="0"/>
    <x v="180"/>
    <s v="Alicia Martínez Aguilar"/>
    <x v="0"/>
  </r>
  <r>
    <n v="2906"/>
    <n v="200"/>
    <n v="4"/>
    <n v="28.25"/>
    <n v="2.83"/>
    <n v="0"/>
    <n v="0.1"/>
    <s v="ACTIVE"/>
    <m/>
    <s v=""/>
    <m/>
    <d v="2026-10-07T10:33:23"/>
    <d v="2026-10-07T00:00:00"/>
    <x v="12"/>
    <x v="0"/>
    <n v="1"/>
    <n v="0"/>
    <x v="2437"/>
    <s v="Antonio Pérez Martínez"/>
    <x v="3"/>
  </r>
  <r>
    <n v="2907"/>
    <n v="185"/>
    <n v="3"/>
    <n v="77.849999999999994"/>
    <n v="7.79"/>
    <n v="0"/>
    <n v="0.1"/>
    <s v="ACTIVE"/>
    <m/>
    <s v=""/>
    <m/>
    <d v="2026-10-07T11:44:06"/>
    <d v="2026-10-07T00:00:00"/>
    <x v="12"/>
    <x v="0"/>
    <n v="1"/>
    <n v="0"/>
    <x v="2438"/>
    <s v="Teresa Martínez González"/>
    <x v="0"/>
  </r>
  <r>
    <n v="2908"/>
    <n v="212"/>
    <n v="3"/>
    <n v="64.989999999999995"/>
    <n v="6.5"/>
    <n v="0"/>
    <n v="0.1"/>
    <s v="ACTIVE"/>
    <m/>
    <s v=""/>
    <m/>
    <d v="2026-10-07T16:42:40"/>
    <d v="2026-10-07T00:00:00"/>
    <x v="12"/>
    <x v="0"/>
    <n v="1"/>
    <n v="0"/>
    <x v="2439"/>
    <s v="Laura Rangel Vázquez"/>
    <x v="0"/>
  </r>
  <r>
    <n v="2909"/>
    <n v="190"/>
    <n v="2"/>
    <n v="219.79"/>
    <n v="21.98"/>
    <n v="0"/>
    <n v="0.1"/>
    <s v="ACTIVE"/>
    <m/>
    <s v=""/>
    <m/>
    <d v="2026-10-07T17:41:14"/>
    <d v="2026-10-07T00:00:00"/>
    <x v="12"/>
    <x v="0"/>
    <n v="1"/>
    <n v="0"/>
    <x v="2440"/>
    <s v="Ricardo Díaz Rodríguez"/>
    <x v="1"/>
  </r>
  <r>
    <n v="2910"/>
    <n v="183"/>
    <n v="5"/>
    <n v="122.54"/>
    <n v="12.25"/>
    <n v="0"/>
    <n v="0.1"/>
    <s v="ACTIVE"/>
    <m/>
    <s v=""/>
    <m/>
    <d v="2026-10-08T09:01:34"/>
    <d v="2026-10-08T00:00:00"/>
    <x v="12"/>
    <x v="0"/>
    <n v="1"/>
    <n v="0"/>
    <x v="2441"/>
    <s v="Irma Moreno Rodríguez"/>
    <x v="2"/>
  </r>
  <r>
    <n v="2911"/>
    <n v="86"/>
    <n v="2"/>
    <n v="23.5"/>
    <n v="2.35"/>
    <n v="0"/>
    <n v="0.1"/>
    <s v="ACTIVE"/>
    <m/>
    <s v=""/>
    <m/>
    <d v="2026-10-08T09:45:02"/>
    <d v="2026-10-08T00:00:00"/>
    <x v="12"/>
    <x v="0"/>
    <n v="1"/>
    <n v="0"/>
    <x v="1769"/>
    <s v="Óscar Romero Ruiz"/>
    <x v="1"/>
  </r>
  <r>
    <n v="2912"/>
    <n v="7"/>
    <n v="2"/>
    <n v="43.39"/>
    <n v="4.34"/>
    <n v="0"/>
    <n v="0.1"/>
    <s v="ACTIVE"/>
    <m/>
    <s v=""/>
    <m/>
    <d v="2026-10-08T10:07:36"/>
    <d v="2026-10-08T00:00:00"/>
    <x v="12"/>
    <x v="0"/>
    <n v="1"/>
    <n v="0"/>
    <x v="2442"/>
    <s v="Teresa Rodríguez Herrera"/>
    <x v="1"/>
  </r>
  <r>
    <n v="2913"/>
    <n v="33"/>
    <n v="3"/>
    <n v="26.99"/>
    <n v="2.7"/>
    <n v="0"/>
    <n v="0.1"/>
    <s v="ACTIVE"/>
    <m/>
    <s v=""/>
    <m/>
    <d v="2026-10-08T11:22:34"/>
    <d v="2026-10-08T00:00:00"/>
    <x v="12"/>
    <x v="0"/>
    <n v="1"/>
    <n v="0"/>
    <x v="2443"/>
    <s v="Francisco Vázquez Mendoza"/>
    <x v="0"/>
  </r>
  <r>
    <n v="2914"/>
    <n v="77"/>
    <n v="3"/>
    <n v="156.41999999999999"/>
    <n v="15.64"/>
    <n v="0"/>
    <n v="0.1"/>
    <s v="ACTIVE"/>
    <m/>
    <s v=""/>
    <m/>
    <d v="2026-10-08T12:54:35"/>
    <d v="2026-10-08T00:00:00"/>
    <x v="12"/>
    <x v="0"/>
    <n v="1"/>
    <n v="0"/>
    <x v="2444"/>
    <s v="Leticia Castillo Mendoza"/>
    <x v="0"/>
  </r>
  <r>
    <n v="2915"/>
    <n v="264"/>
    <n v="2"/>
    <n v="259.92"/>
    <n v="25.99"/>
    <n v="0"/>
    <n v="0.1"/>
    <s v="ACTIVE"/>
    <m/>
    <s v=""/>
    <m/>
    <d v="2026-10-08T14:30:18"/>
    <d v="2026-10-08T00:00:00"/>
    <x v="12"/>
    <x v="0"/>
    <n v="1"/>
    <n v="0"/>
    <x v="2445"/>
    <s v="Rosa Flores Ortiz"/>
    <x v="1"/>
  </r>
  <r>
    <n v="2916"/>
    <n v="165"/>
    <n v="4"/>
    <n v="25.28"/>
    <n v="2.5299999999999998"/>
    <n v="0"/>
    <n v="0.1"/>
    <s v="ACTIVE"/>
    <m/>
    <s v=""/>
    <m/>
    <d v="2026-10-08T14:31:19"/>
    <d v="2026-10-08T00:00:00"/>
    <x v="12"/>
    <x v="0"/>
    <n v="1"/>
    <n v="0"/>
    <x v="720"/>
    <s v="Claudia Hernández Ávila"/>
    <x v="3"/>
  </r>
  <r>
    <n v="2917"/>
    <n v="229"/>
    <n v="4"/>
    <n v="169.03"/>
    <n v="16.899999999999999"/>
    <n v="0"/>
    <n v="0.1"/>
    <s v="ACTIVE"/>
    <m/>
    <s v=""/>
    <m/>
    <d v="2026-10-08T14:49:15"/>
    <d v="2026-10-08T00:00:00"/>
    <x v="12"/>
    <x v="0"/>
    <n v="1"/>
    <n v="0"/>
    <x v="2446"/>
    <s v="Verónica González Rodríguez"/>
    <x v="3"/>
  </r>
  <r>
    <n v="2918"/>
    <n v="75"/>
    <n v="4"/>
    <n v="160.88"/>
    <n v="16.09"/>
    <n v="0"/>
    <n v="0.1"/>
    <s v="ACTIVE"/>
    <m/>
    <s v=""/>
    <m/>
    <d v="2026-10-08T15:49:25"/>
    <d v="2026-10-08T00:00:00"/>
    <x v="12"/>
    <x v="0"/>
    <n v="1"/>
    <n v="0"/>
    <x v="2447"/>
    <s v="Guadalupe Romero Ortiz"/>
    <x v="3"/>
  </r>
  <r>
    <n v="2919"/>
    <n v="75"/>
    <n v="4"/>
    <n v="127.11"/>
    <n v="12.71"/>
    <n v="0"/>
    <n v="0.1"/>
    <s v="ACTIVE"/>
    <m/>
    <s v=""/>
    <m/>
    <d v="2026-10-08T16:51:42"/>
    <d v="2026-10-08T00:00:00"/>
    <x v="12"/>
    <x v="0"/>
    <n v="1"/>
    <n v="0"/>
    <x v="2448"/>
    <s v="Guadalupe Romero Ortiz"/>
    <x v="3"/>
  </r>
  <r>
    <n v="2920"/>
    <n v="178"/>
    <n v="3"/>
    <n v="220.97"/>
    <n v="22.1"/>
    <n v="0"/>
    <n v="0.1"/>
    <s v="ACTIVE"/>
    <m/>
    <s v=""/>
    <m/>
    <d v="2026-10-09T07:14:35"/>
    <d v="2026-10-09T00:00:00"/>
    <x v="12"/>
    <x v="0"/>
    <n v="1"/>
    <n v="0"/>
    <x v="2449"/>
    <s v="Miguel Ruiz Salazar"/>
    <x v="0"/>
  </r>
  <r>
    <n v="2921"/>
    <n v="94"/>
    <n v="2"/>
    <n v="198.09"/>
    <n v="19.809999999999999"/>
    <n v="0"/>
    <n v="0.1"/>
    <s v="ACTIVE"/>
    <m/>
    <s v=""/>
    <m/>
    <d v="2026-10-09T07:36:33"/>
    <d v="2026-10-09T00:00:00"/>
    <x v="12"/>
    <x v="0"/>
    <n v="1"/>
    <n v="0"/>
    <x v="2450"/>
    <s v="Silvia González Rangel"/>
    <x v="1"/>
  </r>
  <r>
    <n v="2922"/>
    <n v="297"/>
    <n v="4"/>
    <n v="90.33"/>
    <n v="9.0299999999999994"/>
    <n v="0"/>
    <n v="0.1"/>
    <s v="ACTIVE"/>
    <m/>
    <s v=""/>
    <m/>
    <d v="2026-10-09T08:13:47"/>
    <d v="2026-10-09T00:00:00"/>
    <x v="12"/>
    <x v="0"/>
    <n v="1"/>
    <n v="0"/>
    <x v="2451"/>
    <s v="Patricia Ortiz Jiménez"/>
    <x v="3"/>
  </r>
  <r>
    <n v="2923"/>
    <n v="250"/>
    <n v="3"/>
    <n v="112.14"/>
    <n v="11.21"/>
    <n v="0"/>
    <n v="0.1"/>
    <s v="ACTIVE"/>
    <m/>
    <s v=""/>
    <m/>
    <d v="2026-10-09T08:36:15"/>
    <d v="2026-10-09T00:00:00"/>
    <x v="12"/>
    <x v="0"/>
    <n v="1"/>
    <n v="0"/>
    <x v="2452"/>
    <s v="Verónica Romero Chávez"/>
    <x v="0"/>
  </r>
  <r>
    <n v="2924"/>
    <n v="278"/>
    <n v="2"/>
    <n v="154.06"/>
    <n v="15.41"/>
    <n v="0"/>
    <n v="0.1"/>
    <s v="CANCELED"/>
    <n v="3"/>
    <s v="Error de captura"/>
    <d v="2026-10-09T19:06:50"/>
    <d v="2026-10-09T11:06:50"/>
    <d v="2026-10-09T00:00:00"/>
    <x v="12"/>
    <x v="0"/>
    <n v="1"/>
    <n v="1"/>
    <x v="32"/>
    <s v="Norma Flores Aguilar"/>
    <x v="1"/>
  </r>
  <r>
    <n v="2925"/>
    <n v="7"/>
    <n v="2"/>
    <n v="65.97"/>
    <n v="6.6"/>
    <n v="0"/>
    <n v="0.1"/>
    <s v="ACTIVE"/>
    <m/>
    <s v=""/>
    <m/>
    <d v="2026-10-09T11:33:46"/>
    <d v="2026-10-09T00:00:00"/>
    <x v="12"/>
    <x v="0"/>
    <n v="1"/>
    <n v="0"/>
    <x v="2453"/>
    <s v="Teresa Rodríguez Herrera"/>
    <x v="1"/>
  </r>
  <r>
    <n v="2926"/>
    <n v="134"/>
    <n v="4"/>
    <n v="115.04"/>
    <n v="11.5"/>
    <n v="0"/>
    <n v="0.1"/>
    <s v="ACTIVE"/>
    <m/>
    <s v=""/>
    <m/>
    <d v="2026-10-09T12:43:09"/>
    <d v="2026-10-09T00:00:00"/>
    <x v="12"/>
    <x v="0"/>
    <n v="1"/>
    <n v="0"/>
    <x v="2454"/>
    <s v="Javier Moreno Ortiz"/>
    <x v="3"/>
  </r>
  <r>
    <n v="2927"/>
    <n v="250"/>
    <n v="5"/>
    <n v="75.42"/>
    <n v="7.54"/>
    <n v="0"/>
    <n v="0.1"/>
    <s v="ACTIVE"/>
    <m/>
    <s v=""/>
    <m/>
    <d v="2026-10-09T13:38:56"/>
    <d v="2026-10-09T00:00:00"/>
    <x v="12"/>
    <x v="0"/>
    <n v="1"/>
    <n v="0"/>
    <x v="2455"/>
    <s v="Verónica Romero Chávez"/>
    <x v="2"/>
  </r>
  <r>
    <n v="2928"/>
    <n v="185"/>
    <n v="3"/>
    <n v="59.39"/>
    <n v="5.94"/>
    <n v="0"/>
    <n v="0.1"/>
    <s v="ACTIVE"/>
    <m/>
    <s v=""/>
    <m/>
    <d v="2026-10-09T14:21:50"/>
    <d v="2026-10-09T00:00:00"/>
    <x v="12"/>
    <x v="0"/>
    <n v="1"/>
    <n v="0"/>
    <x v="2456"/>
    <s v="Teresa Martínez González"/>
    <x v="0"/>
  </r>
  <r>
    <n v="2929"/>
    <n v="190"/>
    <n v="5"/>
    <n v="166.55"/>
    <n v="16.66"/>
    <n v="0"/>
    <n v="0.1"/>
    <s v="ACTIVE"/>
    <m/>
    <s v=""/>
    <m/>
    <d v="2026-10-09T15:39:16"/>
    <d v="2026-10-09T00:00:00"/>
    <x v="12"/>
    <x v="0"/>
    <n v="1"/>
    <n v="0"/>
    <x v="2457"/>
    <s v="Ricardo Díaz Rodríguez"/>
    <x v="2"/>
  </r>
  <r>
    <n v="2930"/>
    <n v="156"/>
    <n v="5"/>
    <n v="25.69"/>
    <n v="2.57"/>
    <n v="0"/>
    <n v="0.1"/>
    <s v="ACTIVE"/>
    <m/>
    <s v=""/>
    <m/>
    <d v="2026-10-09T15:51:34"/>
    <d v="2026-10-09T00:00:00"/>
    <x v="12"/>
    <x v="0"/>
    <n v="1"/>
    <n v="0"/>
    <x v="2458"/>
    <s v="Óscar Moreno Chávez"/>
    <x v="2"/>
  </r>
  <r>
    <n v="2931"/>
    <n v="65"/>
    <n v="4"/>
    <n v="24.13"/>
    <n v="0"/>
    <n v="1"/>
    <n v="0.1"/>
    <s v="ACTIVE"/>
    <m/>
    <s v=""/>
    <m/>
    <d v="2026-10-09T16:36:42"/>
    <d v="2026-10-09T00:00:00"/>
    <x v="12"/>
    <x v="1"/>
    <n v="1"/>
    <n v="0"/>
    <x v="2459"/>
    <s v="Gabriela Flores Chávez"/>
    <x v="3"/>
  </r>
  <r>
    <n v="2932"/>
    <n v="137"/>
    <n v="2"/>
    <n v="26.37"/>
    <n v="0"/>
    <n v="1"/>
    <n v="0.1"/>
    <s v="ACTIVE"/>
    <m/>
    <s v=""/>
    <m/>
    <d v="2026-10-09T18:21:28"/>
    <d v="2026-10-09T00:00:00"/>
    <x v="12"/>
    <x v="1"/>
    <n v="1"/>
    <n v="0"/>
    <x v="2460"/>
    <s v="Francisco Reyes Ruiz"/>
    <x v="1"/>
  </r>
  <r>
    <n v="2933"/>
    <n v="134"/>
    <n v="3"/>
    <n v="127.42"/>
    <n v="12.74"/>
    <n v="0"/>
    <n v="0.1"/>
    <s v="ACTIVE"/>
    <m/>
    <s v=""/>
    <m/>
    <d v="2026-10-10T07:59:58"/>
    <d v="2026-10-10T00:00:00"/>
    <x v="12"/>
    <x v="0"/>
    <n v="1"/>
    <n v="0"/>
    <x v="2461"/>
    <s v="Javier Moreno Ortiz"/>
    <x v="0"/>
  </r>
  <r>
    <n v="2934"/>
    <n v="134"/>
    <n v="2"/>
    <n v="108.07"/>
    <n v="10.81"/>
    <n v="0"/>
    <n v="0.1"/>
    <s v="ACTIVE"/>
    <m/>
    <s v=""/>
    <m/>
    <d v="2026-10-10T08:13:58"/>
    <d v="2026-10-10T00:00:00"/>
    <x v="12"/>
    <x v="0"/>
    <n v="1"/>
    <n v="0"/>
    <x v="2462"/>
    <s v="Javier Moreno Ortiz"/>
    <x v="1"/>
  </r>
  <r>
    <n v="2935"/>
    <n v="87"/>
    <n v="4"/>
    <n v="25.47"/>
    <n v="2.5499999999999998"/>
    <n v="0"/>
    <n v="0.1"/>
    <s v="ACTIVE"/>
    <m/>
    <s v=""/>
    <m/>
    <d v="2026-10-10T09:37:39"/>
    <d v="2026-10-10T00:00:00"/>
    <x v="12"/>
    <x v="0"/>
    <n v="1"/>
    <n v="0"/>
    <x v="365"/>
    <s v="Antonio Reyes Romero"/>
    <x v="3"/>
  </r>
  <r>
    <n v="2936"/>
    <n v="246"/>
    <n v="3"/>
    <n v="39.380000000000003"/>
    <n v="3.94"/>
    <n v="0"/>
    <n v="0.1"/>
    <s v="ACTIVE"/>
    <m/>
    <s v=""/>
    <m/>
    <d v="2026-10-10T09:41:25"/>
    <d v="2026-10-10T00:00:00"/>
    <x v="12"/>
    <x v="0"/>
    <n v="1"/>
    <n v="0"/>
    <x v="283"/>
    <s v="Alicia Morales Jiménez"/>
    <x v="0"/>
  </r>
  <r>
    <n v="2937"/>
    <n v="134"/>
    <n v="2"/>
    <n v="135.49"/>
    <n v="13.55"/>
    <n v="0"/>
    <n v="0.1"/>
    <s v="ACTIVE"/>
    <m/>
    <s v=""/>
    <m/>
    <d v="2026-10-10T09:52:25"/>
    <d v="2026-10-10T00:00:00"/>
    <x v="12"/>
    <x v="0"/>
    <n v="1"/>
    <n v="0"/>
    <x v="2463"/>
    <s v="Javier Moreno Ortiz"/>
    <x v="1"/>
  </r>
  <r>
    <n v="2938"/>
    <n v="188"/>
    <n v="3"/>
    <n v="230.98"/>
    <n v="23.1"/>
    <n v="0"/>
    <n v="0.1"/>
    <s v="ACTIVE"/>
    <m/>
    <s v=""/>
    <m/>
    <d v="2026-10-10T10:43:44"/>
    <d v="2026-10-10T00:00:00"/>
    <x v="12"/>
    <x v="0"/>
    <n v="1"/>
    <n v="0"/>
    <x v="2464"/>
    <s v="María López Ramos"/>
    <x v="0"/>
  </r>
  <r>
    <n v="2939"/>
    <n v="137"/>
    <n v="5"/>
    <n v="76.180000000000007"/>
    <n v="7.62"/>
    <n v="0"/>
    <n v="0.1"/>
    <s v="ACTIVE"/>
    <m/>
    <s v=""/>
    <m/>
    <d v="2026-10-10T10:45:56"/>
    <d v="2026-10-10T00:00:00"/>
    <x v="12"/>
    <x v="0"/>
    <n v="1"/>
    <n v="0"/>
    <x v="2465"/>
    <s v="Francisco Reyes Ruiz"/>
    <x v="2"/>
  </r>
  <r>
    <n v="2940"/>
    <n v="134"/>
    <n v="5"/>
    <n v="89.64"/>
    <n v="0"/>
    <n v="1"/>
    <n v="0.1"/>
    <s v="ACTIVE"/>
    <m/>
    <s v=""/>
    <m/>
    <d v="2026-10-10T10:59:11"/>
    <d v="2026-10-10T00:00:00"/>
    <x v="12"/>
    <x v="1"/>
    <n v="1"/>
    <n v="0"/>
    <x v="2466"/>
    <s v="Javier Moreno Ortiz"/>
    <x v="2"/>
  </r>
  <r>
    <n v="2941"/>
    <n v="75"/>
    <n v="4"/>
    <n v="65.900000000000006"/>
    <n v="6.59"/>
    <n v="0"/>
    <n v="0.1"/>
    <s v="CANCELED"/>
    <n v="2"/>
    <s v="Monto duplicado por error de sistema"/>
    <d v="2026-10-11T03:08:47"/>
    <d v="2026-10-10T13:08:47"/>
    <d v="2026-10-10T00:00:00"/>
    <x v="12"/>
    <x v="0"/>
    <n v="1"/>
    <n v="1"/>
    <x v="32"/>
    <s v="Guadalupe Romero Ortiz"/>
    <x v="3"/>
  </r>
  <r>
    <n v="2942"/>
    <n v="246"/>
    <n v="2"/>
    <n v="47.25"/>
    <n v="4.7300000000000004"/>
    <n v="0"/>
    <n v="0.1"/>
    <s v="ACTIVE"/>
    <m/>
    <s v=""/>
    <m/>
    <d v="2026-10-10T15:15:58"/>
    <d v="2026-10-10T00:00:00"/>
    <x v="12"/>
    <x v="0"/>
    <n v="1"/>
    <n v="0"/>
    <x v="413"/>
    <s v="Alicia Morales Jiménez"/>
    <x v="1"/>
  </r>
  <r>
    <n v="2943"/>
    <n v="175"/>
    <n v="3"/>
    <n v="23.57"/>
    <n v="2.36"/>
    <n v="0"/>
    <n v="0.1"/>
    <s v="ACTIVE"/>
    <m/>
    <s v=""/>
    <m/>
    <d v="2026-10-10T15:21:11"/>
    <d v="2026-10-10T00:00:00"/>
    <x v="12"/>
    <x v="0"/>
    <n v="1"/>
    <n v="0"/>
    <x v="1412"/>
    <s v="Óscar Villalobos Flores"/>
    <x v="0"/>
  </r>
  <r>
    <n v="2944"/>
    <n v="111"/>
    <n v="3"/>
    <n v="84.3"/>
    <n v="8.43"/>
    <n v="0"/>
    <n v="0.1"/>
    <s v="ACTIVE"/>
    <m/>
    <s v=""/>
    <m/>
    <d v="2026-10-10T16:23:04"/>
    <d v="2026-10-10T00:00:00"/>
    <x v="12"/>
    <x v="0"/>
    <n v="1"/>
    <n v="0"/>
    <x v="2467"/>
    <s v="Ana Santoyo García"/>
    <x v="0"/>
  </r>
  <r>
    <n v="2945"/>
    <n v="61"/>
    <n v="3"/>
    <n v="101.95"/>
    <n v="10.199999999999999"/>
    <n v="0"/>
    <n v="0.1"/>
    <s v="ACTIVE"/>
    <m/>
    <s v=""/>
    <m/>
    <d v="2026-10-10T16:29:36"/>
    <d v="2026-10-10T00:00:00"/>
    <x v="12"/>
    <x v="0"/>
    <n v="1"/>
    <n v="0"/>
    <x v="2468"/>
    <s v="Pedro González Ávila"/>
    <x v="0"/>
  </r>
  <r>
    <n v="2946"/>
    <n v="250"/>
    <n v="3"/>
    <n v="97.65"/>
    <n v="9.77"/>
    <n v="0"/>
    <n v="0.1"/>
    <s v="ACTIVE"/>
    <m/>
    <s v=""/>
    <m/>
    <d v="2026-10-11T07:54:54"/>
    <d v="2026-10-11T00:00:00"/>
    <x v="12"/>
    <x v="0"/>
    <n v="1"/>
    <n v="0"/>
    <x v="1477"/>
    <s v="Verónica Romero Chávez"/>
    <x v="0"/>
  </r>
  <r>
    <n v="2947"/>
    <n v="285"/>
    <n v="2"/>
    <n v="37.4"/>
    <n v="3.74"/>
    <n v="0"/>
    <n v="0.1"/>
    <s v="ACTIVE"/>
    <m/>
    <s v=""/>
    <m/>
    <d v="2026-10-11T08:20:38"/>
    <d v="2026-10-11T00:00:00"/>
    <x v="12"/>
    <x v="0"/>
    <n v="1"/>
    <n v="0"/>
    <x v="2469"/>
    <s v="Alicia Martínez Aguilar"/>
    <x v="1"/>
  </r>
  <r>
    <n v="2948"/>
    <n v="106"/>
    <n v="5"/>
    <n v="132.87"/>
    <n v="13.29"/>
    <n v="0"/>
    <n v="0.1"/>
    <s v="ACTIVE"/>
    <m/>
    <s v=""/>
    <m/>
    <d v="2026-10-11T12:52:20"/>
    <d v="2026-10-11T00:00:00"/>
    <x v="12"/>
    <x v="0"/>
    <n v="1"/>
    <n v="0"/>
    <x v="2470"/>
    <s v="Isabel García Santoyo"/>
    <x v="2"/>
  </r>
  <r>
    <n v="2949"/>
    <n v="215"/>
    <n v="2"/>
    <n v="13.33"/>
    <n v="1.33"/>
    <n v="0"/>
    <n v="0.1"/>
    <s v="ACTIVE"/>
    <m/>
    <s v=""/>
    <m/>
    <d v="2026-10-11T16:23:32"/>
    <d v="2026-10-11T00:00:00"/>
    <x v="12"/>
    <x v="0"/>
    <n v="1"/>
    <n v="0"/>
    <x v="2471"/>
    <s v="Verónica Medina Ortiz"/>
    <x v="1"/>
  </r>
  <r>
    <n v="2950"/>
    <n v="202"/>
    <n v="3"/>
    <n v="10.68"/>
    <n v="1.07"/>
    <n v="0"/>
    <n v="0.1"/>
    <s v="ACTIVE"/>
    <m/>
    <s v=""/>
    <m/>
    <d v="2026-10-11T17:07:35"/>
    <d v="2026-10-11T00:00:00"/>
    <x v="12"/>
    <x v="0"/>
    <n v="1"/>
    <n v="0"/>
    <x v="2472"/>
    <s v="Elena Díaz Reyes"/>
    <x v="0"/>
  </r>
  <r>
    <n v="2951"/>
    <n v="229"/>
    <n v="4"/>
    <n v="95.39"/>
    <n v="0"/>
    <n v="1"/>
    <n v="0.1"/>
    <s v="ACTIVE"/>
    <m/>
    <s v=""/>
    <m/>
    <d v="2026-10-11T17:10:43"/>
    <d v="2026-10-11T00:00:00"/>
    <x v="12"/>
    <x v="1"/>
    <n v="1"/>
    <n v="0"/>
    <x v="2473"/>
    <s v="Verónica González Rodríguez"/>
    <x v="3"/>
  </r>
  <r>
    <n v="2952"/>
    <n v="75"/>
    <n v="3"/>
    <n v="126.8"/>
    <n v="12.68"/>
    <n v="0"/>
    <n v="0.1"/>
    <s v="ACTIVE"/>
    <m/>
    <s v=""/>
    <m/>
    <d v="2026-10-12T08:12:21"/>
    <d v="2026-10-12T00:00:00"/>
    <x v="12"/>
    <x v="0"/>
    <n v="1"/>
    <n v="0"/>
    <x v="2474"/>
    <s v="Guadalupe Romero Ortiz"/>
    <x v="0"/>
  </r>
  <r>
    <n v="2953"/>
    <n v="294"/>
    <n v="5"/>
    <n v="36.71"/>
    <n v="3.67"/>
    <n v="0"/>
    <n v="0.1"/>
    <s v="ACTIVE"/>
    <m/>
    <s v=""/>
    <m/>
    <d v="2026-10-12T09:20:47"/>
    <d v="2026-10-12T00:00:00"/>
    <x v="12"/>
    <x v="0"/>
    <n v="1"/>
    <n v="0"/>
    <x v="2475"/>
    <s v="Francisco Ramos Rodríguez"/>
    <x v="2"/>
  </r>
  <r>
    <n v="2954"/>
    <n v="29"/>
    <n v="2"/>
    <n v="29.87"/>
    <n v="2.99"/>
    <n v="0"/>
    <n v="0.1"/>
    <s v="ACTIVE"/>
    <m/>
    <s v=""/>
    <m/>
    <d v="2026-10-12T10:01:37"/>
    <d v="2026-10-12T00:00:00"/>
    <x v="12"/>
    <x v="0"/>
    <n v="1"/>
    <n v="0"/>
    <x v="2476"/>
    <s v="Héctor Herrera Gómez"/>
    <x v="1"/>
  </r>
  <r>
    <n v="2955"/>
    <n v="170"/>
    <n v="4"/>
    <n v="102.84"/>
    <n v="10.28"/>
    <n v="0"/>
    <n v="0.1"/>
    <s v="ACTIVE"/>
    <m/>
    <s v=""/>
    <m/>
    <d v="2026-10-12T13:51:03"/>
    <d v="2026-10-12T00:00:00"/>
    <x v="12"/>
    <x v="0"/>
    <n v="1"/>
    <n v="0"/>
    <x v="2477"/>
    <s v="Jorge Cruz Sánchez"/>
    <x v="3"/>
  </r>
  <r>
    <n v="2956"/>
    <n v="170"/>
    <n v="5"/>
    <n v="65.53"/>
    <n v="6.55"/>
    <n v="0"/>
    <n v="0.1"/>
    <s v="ACTIVE"/>
    <m/>
    <s v=""/>
    <m/>
    <d v="2026-10-13T07:01:29"/>
    <d v="2026-10-13T00:00:00"/>
    <x v="12"/>
    <x v="0"/>
    <n v="1"/>
    <n v="0"/>
    <x v="2478"/>
    <s v="Jorge Cruz Sánchez"/>
    <x v="2"/>
  </r>
  <r>
    <n v="2957"/>
    <n v="250"/>
    <n v="5"/>
    <n v="92.97"/>
    <n v="9.3000000000000007"/>
    <n v="0"/>
    <n v="0.1"/>
    <s v="ACTIVE"/>
    <m/>
    <s v=""/>
    <m/>
    <d v="2026-10-13T07:40:02"/>
    <d v="2026-10-13T00:00:00"/>
    <x v="12"/>
    <x v="0"/>
    <n v="1"/>
    <n v="0"/>
    <x v="2479"/>
    <s v="Verónica Romero Chávez"/>
    <x v="2"/>
  </r>
  <r>
    <n v="2958"/>
    <n v="21"/>
    <n v="2"/>
    <n v="43.72"/>
    <n v="4.37"/>
    <n v="0"/>
    <n v="0.1"/>
    <s v="ACTIVE"/>
    <m/>
    <s v=""/>
    <m/>
    <d v="2026-10-13T08:18:55"/>
    <d v="2026-10-13T00:00:00"/>
    <x v="12"/>
    <x v="0"/>
    <n v="1"/>
    <n v="0"/>
    <x v="2480"/>
    <s v="Carlos Morales Santoyo"/>
    <x v="1"/>
  </r>
  <r>
    <n v="2959"/>
    <n v="16"/>
    <n v="4"/>
    <n v="215.08"/>
    <n v="21.51"/>
    <n v="0"/>
    <n v="0.1"/>
    <s v="ACTIVE"/>
    <m/>
    <s v=""/>
    <m/>
    <d v="2026-10-13T09:13:55"/>
    <d v="2026-10-13T00:00:00"/>
    <x v="12"/>
    <x v="0"/>
    <n v="1"/>
    <n v="0"/>
    <x v="2481"/>
    <s v="Laura Chávez Rangel"/>
    <x v="3"/>
  </r>
  <r>
    <n v="2960"/>
    <n v="179"/>
    <n v="2"/>
    <n v="161.07"/>
    <n v="16.11"/>
    <n v="0"/>
    <n v="0.1"/>
    <s v="ACTIVE"/>
    <m/>
    <s v=""/>
    <m/>
    <d v="2026-10-13T09:25:11"/>
    <d v="2026-10-13T00:00:00"/>
    <x v="12"/>
    <x v="0"/>
    <n v="1"/>
    <n v="0"/>
    <x v="2482"/>
    <s v="Laura Flores Villalobos"/>
    <x v="1"/>
  </r>
  <r>
    <n v="2961"/>
    <n v="44"/>
    <n v="3"/>
    <n v="34.799999999999997"/>
    <n v="3.48"/>
    <n v="0"/>
    <n v="0.1"/>
    <s v="ACTIVE"/>
    <m/>
    <s v=""/>
    <m/>
    <d v="2026-10-13T09:28:16"/>
    <d v="2026-10-13T00:00:00"/>
    <x v="12"/>
    <x v="0"/>
    <n v="1"/>
    <n v="0"/>
    <x v="2483"/>
    <s v="Pedro Herrera Castillo"/>
    <x v="0"/>
  </r>
  <r>
    <n v="2962"/>
    <n v="190"/>
    <n v="2"/>
    <n v="111.04"/>
    <n v="11.1"/>
    <n v="0"/>
    <n v="0.1"/>
    <s v="ACTIVE"/>
    <m/>
    <s v=""/>
    <m/>
    <d v="2026-10-13T10:23:51"/>
    <d v="2026-10-13T00:00:00"/>
    <x v="12"/>
    <x v="0"/>
    <n v="1"/>
    <n v="0"/>
    <x v="2484"/>
    <s v="Ricardo Díaz Rodríguez"/>
    <x v="1"/>
  </r>
  <r>
    <n v="2963"/>
    <n v="187"/>
    <n v="3"/>
    <n v="27.93"/>
    <n v="2.79"/>
    <n v="0"/>
    <n v="0.1"/>
    <s v="ACTIVE"/>
    <m/>
    <s v=""/>
    <m/>
    <d v="2026-10-13T13:24:55"/>
    <d v="2026-10-13T00:00:00"/>
    <x v="12"/>
    <x v="0"/>
    <n v="1"/>
    <n v="0"/>
    <x v="2485"/>
    <s v="Pedro Medina Gómez"/>
    <x v="0"/>
  </r>
  <r>
    <n v="2964"/>
    <n v="293"/>
    <n v="4"/>
    <n v="36.200000000000003"/>
    <n v="3.62"/>
    <n v="0"/>
    <n v="0.1"/>
    <s v="ACTIVE"/>
    <m/>
    <s v=""/>
    <m/>
    <d v="2026-10-13T14:55:00"/>
    <d v="2026-10-13T00:00:00"/>
    <x v="12"/>
    <x v="0"/>
    <n v="1"/>
    <n v="0"/>
    <x v="626"/>
    <s v="Patricia Quiñones Pérez"/>
    <x v="3"/>
  </r>
  <r>
    <n v="2965"/>
    <n v="134"/>
    <n v="3"/>
    <n v="64.47"/>
    <n v="6.45"/>
    <n v="0"/>
    <n v="0.1"/>
    <s v="ACTIVE"/>
    <m/>
    <s v=""/>
    <m/>
    <d v="2026-10-13T19:02:17"/>
    <d v="2026-10-13T00:00:00"/>
    <x v="12"/>
    <x v="0"/>
    <n v="1"/>
    <n v="0"/>
    <x v="2486"/>
    <s v="Javier Moreno Ortiz"/>
    <x v="0"/>
  </r>
  <r>
    <n v="2966"/>
    <n v="281"/>
    <n v="5"/>
    <n v="111.24"/>
    <n v="11.12"/>
    <n v="0"/>
    <n v="0.1"/>
    <s v="ACTIVE"/>
    <m/>
    <s v=""/>
    <m/>
    <d v="2026-10-14T07:12:51"/>
    <d v="2026-10-14T00:00:00"/>
    <x v="12"/>
    <x v="0"/>
    <n v="1"/>
    <n v="0"/>
    <x v="2487"/>
    <s v="Antonio Delgado Rodríguez"/>
    <x v="2"/>
  </r>
  <r>
    <n v="2967"/>
    <n v="283"/>
    <n v="3"/>
    <n v="15.94"/>
    <n v="1.59"/>
    <n v="0"/>
    <n v="0.1"/>
    <s v="ACTIVE"/>
    <m/>
    <s v=""/>
    <m/>
    <d v="2026-10-14T12:43:19"/>
    <d v="2026-10-14T00:00:00"/>
    <x v="12"/>
    <x v="0"/>
    <n v="1"/>
    <n v="0"/>
    <x v="2488"/>
    <s v="Martha Reyes Cruz"/>
    <x v="0"/>
  </r>
  <r>
    <n v="2968"/>
    <n v="229"/>
    <n v="4"/>
    <n v="84.84"/>
    <n v="8.48"/>
    <n v="0"/>
    <n v="0.1"/>
    <s v="ACTIVE"/>
    <m/>
    <s v=""/>
    <m/>
    <d v="2026-10-14T14:40:56"/>
    <d v="2026-10-14T00:00:00"/>
    <x v="12"/>
    <x v="0"/>
    <n v="1"/>
    <n v="0"/>
    <x v="2489"/>
    <s v="Verónica González Rodríguez"/>
    <x v="3"/>
  </r>
  <r>
    <n v="2969"/>
    <n v="36"/>
    <n v="5"/>
    <n v="243"/>
    <n v="24.3"/>
    <n v="0"/>
    <n v="0.1"/>
    <s v="ACTIVE"/>
    <m/>
    <s v=""/>
    <m/>
    <d v="2026-10-14T15:10:59"/>
    <d v="2026-10-14T00:00:00"/>
    <x v="12"/>
    <x v="0"/>
    <n v="1"/>
    <n v="0"/>
    <x v="2490"/>
    <s v="Sergio Delgado Herrera"/>
    <x v="2"/>
  </r>
  <r>
    <n v="2970"/>
    <n v="177"/>
    <n v="3"/>
    <n v="30.08"/>
    <n v="3.01"/>
    <n v="0"/>
    <n v="0.1"/>
    <s v="ACTIVE"/>
    <m/>
    <s v=""/>
    <m/>
    <d v="2026-10-14T15:49:09"/>
    <d v="2026-10-14T00:00:00"/>
    <x v="12"/>
    <x v="0"/>
    <n v="1"/>
    <n v="0"/>
    <x v="190"/>
    <s v="Fernando Ortiz Santoyo"/>
    <x v="0"/>
  </r>
  <r>
    <n v="2971"/>
    <n v="243"/>
    <n v="4"/>
    <n v="44.93"/>
    <n v="4.49"/>
    <n v="0"/>
    <n v="0.1"/>
    <s v="ACTIVE"/>
    <m/>
    <s v=""/>
    <m/>
    <d v="2026-10-14T16:48:22"/>
    <d v="2026-10-14T00:00:00"/>
    <x v="12"/>
    <x v="0"/>
    <n v="1"/>
    <n v="0"/>
    <x v="2491"/>
    <s v="Raúl García Díaz"/>
    <x v="3"/>
  </r>
  <r>
    <n v="2972"/>
    <n v="229"/>
    <n v="2"/>
    <n v="66.53"/>
    <n v="6.65"/>
    <n v="0"/>
    <n v="0.1"/>
    <s v="ACTIVE"/>
    <m/>
    <s v=""/>
    <m/>
    <d v="2026-10-15T09:20:01"/>
    <d v="2026-10-15T00:00:00"/>
    <x v="12"/>
    <x v="0"/>
    <n v="1"/>
    <n v="0"/>
    <x v="944"/>
    <s v="Verónica González Rodríguez"/>
    <x v="1"/>
  </r>
  <r>
    <n v="2973"/>
    <n v="44"/>
    <n v="2"/>
    <n v="19.2"/>
    <n v="1.92"/>
    <n v="0"/>
    <n v="0.1"/>
    <s v="ACTIVE"/>
    <m/>
    <s v=""/>
    <m/>
    <d v="2026-10-15T12:03:20"/>
    <d v="2026-10-15T00:00:00"/>
    <x v="12"/>
    <x v="0"/>
    <n v="1"/>
    <n v="0"/>
    <x v="2492"/>
    <s v="Pedro Herrera Castillo"/>
    <x v="1"/>
  </r>
  <r>
    <n v="2974"/>
    <n v="202"/>
    <n v="2"/>
    <n v="31.47"/>
    <n v="3.15"/>
    <n v="0"/>
    <n v="0.1"/>
    <s v="ACTIVE"/>
    <m/>
    <s v=""/>
    <m/>
    <d v="2026-10-15T14:33:18"/>
    <d v="2026-10-15T00:00:00"/>
    <x v="12"/>
    <x v="0"/>
    <n v="1"/>
    <n v="0"/>
    <x v="2336"/>
    <s v="Elena Díaz Reyes"/>
    <x v="1"/>
  </r>
  <r>
    <n v="2975"/>
    <n v="161"/>
    <n v="5"/>
    <n v="86.78"/>
    <n v="8.68"/>
    <n v="0"/>
    <n v="0.1"/>
    <s v="ACTIVE"/>
    <m/>
    <s v=""/>
    <m/>
    <d v="2026-10-15T14:38:36"/>
    <d v="2026-10-15T00:00:00"/>
    <x v="12"/>
    <x v="0"/>
    <n v="1"/>
    <n v="0"/>
    <x v="2493"/>
    <s v="Carmen Villalobos Rodríguez"/>
    <x v="2"/>
  </r>
  <r>
    <n v="2976"/>
    <n v="128"/>
    <n v="2"/>
    <n v="21.49"/>
    <n v="2.15"/>
    <n v="0"/>
    <n v="0.1"/>
    <s v="ACTIVE"/>
    <m/>
    <s v=""/>
    <m/>
    <d v="2026-10-15T17:45:01"/>
    <d v="2026-10-15T00:00:00"/>
    <x v="12"/>
    <x v="0"/>
    <n v="1"/>
    <n v="0"/>
    <x v="2494"/>
    <s v="Verónica Ortiz Rangel"/>
    <x v="1"/>
  </r>
  <r>
    <n v="2977"/>
    <n v="65"/>
    <n v="2"/>
    <n v="24.56"/>
    <n v="0"/>
    <n v="1"/>
    <n v="0.1"/>
    <s v="ACTIVE"/>
    <m/>
    <s v=""/>
    <m/>
    <d v="2026-10-16T08:51:39"/>
    <d v="2026-10-16T00:00:00"/>
    <x v="12"/>
    <x v="1"/>
    <n v="1"/>
    <n v="0"/>
    <x v="2495"/>
    <s v="Gabriela Flores Chávez"/>
    <x v="1"/>
  </r>
  <r>
    <n v="2978"/>
    <n v="88"/>
    <n v="4"/>
    <n v="104.72"/>
    <n v="10.47"/>
    <n v="0"/>
    <n v="0.1"/>
    <s v="ACTIVE"/>
    <m/>
    <s v=""/>
    <m/>
    <d v="2026-10-16T08:56:08"/>
    <d v="2026-10-16T00:00:00"/>
    <x v="12"/>
    <x v="0"/>
    <n v="1"/>
    <n v="0"/>
    <x v="2496"/>
    <s v="Alejandro Santoyo Mendoza"/>
    <x v="3"/>
  </r>
  <r>
    <n v="2979"/>
    <n v="128"/>
    <n v="3"/>
    <n v="20.04"/>
    <n v="0"/>
    <n v="1"/>
    <n v="0.1"/>
    <s v="ACTIVE"/>
    <m/>
    <s v=""/>
    <m/>
    <d v="2026-10-16T09:57:08"/>
    <d v="2026-10-16T00:00:00"/>
    <x v="12"/>
    <x v="1"/>
    <n v="1"/>
    <n v="0"/>
    <x v="2497"/>
    <s v="Verónica Ortiz Rangel"/>
    <x v="0"/>
  </r>
  <r>
    <n v="2980"/>
    <n v="119"/>
    <n v="2"/>
    <n v="146.75"/>
    <n v="14.68"/>
    <n v="0"/>
    <n v="0.1"/>
    <s v="ACTIVE"/>
    <m/>
    <s v=""/>
    <m/>
    <d v="2026-10-16T14:11:30"/>
    <d v="2026-10-16T00:00:00"/>
    <x v="12"/>
    <x v="0"/>
    <n v="1"/>
    <n v="0"/>
    <x v="2498"/>
    <s v="Norma Sánchez Gómez"/>
    <x v="1"/>
  </r>
  <r>
    <n v="2981"/>
    <n v="65"/>
    <n v="2"/>
    <n v="23.7"/>
    <n v="2.37"/>
    <n v="0"/>
    <n v="0.1"/>
    <s v="ACTIVE"/>
    <m/>
    <s v=""/>
    <m/>
    <d v="2026-10-16T15:28:10"/>
    <d v="2026-10-16T00:00:00"/>
    <x v="12"/>
    <x v="0"/>
    <n v="1"/>
    <n v="0"/>
    <x v="1305"/>
    <s v="Gabriela Flores Chávez"/>
    <x v="1"/>
  </r>
  <r>
    <n v="2982"/>
    <n v="273"/>
    <n v="5"/>
    <n v="31.52"/>
    <n v="3.15"/>
    <n v="0"/>
    <n v="0.1"/>
    <s v="ACTIVE"/>
    <m/>
    <s v=""/>
    <m/>
    <d v="2026-10-17T08:55:33"/>
    <d v="2026-10-17T00:00:00"/>
    <x v="12"/>
    <x v="0"/>
    <n v="1"/>
    <n v="0"/>
    <x v="2499"/>
    <s v="Pedro Aguilar Rodríguez"/>
    <x v="2"/>
  </r>
  <r>
    <n v="2983"/>
    <n v="134"/>
    <n v="3"/>
    <n v="104.07"/>
    <n v="10.41"/>
    <n v="0"/>
    <n v="0.1"/>
    <s v="ACTIVE"/>
    <m/>
    <s v=""/>
    <m/>
    <d v="2026-10-17T15:05:49"/>
    <d v="2026-10-17T00:00:00"/>
    <x v="12"/>
    <x v="0"/>
    <n v="1"/>
    <n v="0"/>
    <x v="2500"/>
    <s v="Javier Moreno Ortiz"/>
    <x v="0"/>
  </r>
  <r>
    <n v="2984"/>
    <n v="285"/>
    <n v="5"/>
    <n v="28.18"/>
    <n v="2.82"/>
    <n v="0"/>
    <n v="0.1"/>
    <s v="ACTIVE"/>
    <m/>
    <s v=""/>
    <m/>
    <d v="2026-10-17T17:10:16"/>
    <d v="2026-10-17T00:00:00"/>
    <x v="12"/>
    <x v="0"/>
    <n v="1"/>
    <n v="0"/>
    <x v="2501"/>
    <s v="Alicia Martínez Aguilar"/>
    <x v="2"/>
  </r>
  <r>
    <n v="2985"/>
    <n v="163"/>
    <n v="2"/>
    <n v="56.62"/>
    <n v="5.66"/>
    <n v="0"/>
    <n v="0.1"/>
    <s v="ACTIVE"/>
    <m/>
    <s v=""/>
    <m/>
    <d v="2026-10-17T18:27:01"/>
    <d v="2026-10-17T00:00:00"/>
    <x v="12"/>
    <x v="0"/>
    <n v="1"/>
    <n v="0"/>
    <x v="2502"/>
    <s v="Héctor Moreno Quiñones"/>
    <x v="1"/>
  </r>
  <r>
    <n v="2986"/>
    <n v="48"/>
    <n v="5"/>
    <n v="139.15"/>
    <n v="13.92"/>
    <n v="0"/>
    <n v="0.1"/>
    <s v="ACTIVE"/>
    <m/>
    <s v=""/>
    <m/>
    <d v="2026-10-18T07:04:17"/>
    <d v="2026-10-18T00:00:00"/>
    <x v="12"/>
    <x v="0"/>
    <n v="1"/>
    <n v="0"/>
    <x v="2503"/>
    <s v="Carlos Medina Quiñones"/>
    <x v="2"/>
  </r>
  <r>
    <n v="2987"/>
    <n v="11"/>
    <n v="4"/>
    <n v="238.16"/>
    <n v="23.82"/>
    <n v="0"/>
    <n v="0.1"/>
    <s v="ACTIVE"/>
    <m/>
    <s v=""/>
    <m/>
    <d v="2026-10-18T10:00:43"/>
    <d v="2026-10-18T00:00:00"/>
    <x v="12"/>
    <x v="0"/>
    <n v="1"/>
    <n v="0"/>
    <x v="2504"/>
    <s v="Guadalupe Pérez Rodríguez"/>
    <x v="3"/>
  </r>
  <r>
    <n v="2988"/>
    <n v="147"/>
    <n v="3"/>
    <n v="149.19"/>
    <n v="14.92"/>
    <n v="0"/>
    <n v="0.1"/>
    <s v="ACTIVE"/>
    <m/>
    <s v=""/>
    <m/>
    <d v="2026-10-18T10:01:15"/>
    <d v="2026-10-18T00:00:00"/>
    <x v="12"/>
    <x v="0"/>
    <n v="1"/>
    <n v="0"/>
    <x v="2505"/>
    <s v="Irma Cruz Delgado"/>
    <x v="0"/>
  </r>
  <r>
    <n v="2989"/>
    <n v="61"/>
    <n v="3"/>
    <n v="112.22"/>
    <n v="11.22"/>
    <n v="0"/>
    <n v="0.1"/>
    <s v="ACTIVE"/>
    <m/>
    <s v=""/>
    <m/>
    <d v="2026-10-18T11:45:21"/>
    <d v="2026-10-18T00:00:00"/>
    <x v="12"/>
    <x v="0"/>
    <n v="1"/>
    <n v="0"/>
    <x v="2506"/>
    <s v="Pedro González Ávila"/>
    <x v="0"/>
  </r>
  <r>
    <n v="2990"/>
    <n v="128"/>
    <n v="5"/>
    <n v="23.89"/>
    <n v="0"/>
    <n v="1"/>
    <n v="0.1"/>
    <s v="ACTIVE"/>
    <m/>
    <s v=""/>
    <m/>
    <d v="2026-10-18T14:28:16"/>
    <d v="2026-10-18T00:00:00"/>
    <x v="12"/>
    <x v="1"/>
    <n v="1"/>
    <n v="0"/>
    <x v="2507"/>
    <s v="Verónica Ortiz Rangel"/>
    <x v="2"/>
  </r>
  <r>
    <n v="2991"/>
    <n v="270"/>
    <n v="4"/>
    <n v="38.270000000000003"/>
    <n v="3.83"/>
    <n v="0"/>
    <n v="0.1"/>
    <s v="ACTIVE"/>
    <m/>
    <s v=""/>
    <m/>
    <d v="2026-10-18T14:51:38"/>
    <d v="2026-10-18T00:00:00"/>
    <x v="12"/>
    <x v="0"/>
    <n v="1"/>
    <n v="0"/>
    <x v="2385"/>
    <s v="Héctor González Rodríguez"/>
    <x v="3"/>
  </r>
  <r>
    <n v="2992"/>
    <n v="128"/>
    <n v="5"/>
    <n v="38.67"/>
    <n v="3.87"/>
    <n v="0"/>
    <n v="0.1"/>
    <s v="ACTIVE"/>
    <m/>
    <s v=""/>
    <m/>
    <d v="2026-10-18T15:14:51"/>
    <d v="2026-10-18T00:00:00"/>
    <x v="12"/>
    <x v="0"/>
    <n v="1"/>
    <n v="0"/>
    <x v="2508"/>
    <s v="Verónica Ortiz Rangel"/>
    <x v="2"/>
  </r>
  <r>
    <n v="2993"/>
    <n v="39"/>
    <n v="2"/>
    <n v="174.3"/>
    <n v="17.43"/>
    <n v="0"/>
    <n v="0.1"/>
    <s v="ACTIVE"/>
    <m/>
    <s v=""/>
    <m/>
    <d v="2026-10-19T11:16:30"/>
    <d v="2026-10-19T00:00:00"/>
    <x v="12"/>
    <x v="0"/>
    <n v="1"/>
    <n v="0"/>
    <x v="2509"/>
    <s v="Guadalupe García Quiñones"/>
    <x v="1"/>
  </r>
  <r>
    <n v="2994"/>
    <n v="178"/>
    <n v="2"/>
    <n v="119.09"/>
    <n v="0"/>
    <n v="1"/>
    <n v="0.1"/>
    <s v="ACTIVE"/>
    <m/>
    <s v=""/>
    <m/>
    <d v="2026-10-19T14:03:22"/>
    <d v="2026-10-19T00:00:00"/>
    <x v="12"/>
    <x v="1"/>
    <n v="1"/>
    <n v="0"/>
    <x v="2510"/>
    <s v="Miguel Ruiz Salazar"/>
    <x v="1"/>
  </r>
  <r>
    <n v="2995"/>
    <n v="171"/>
    <n v="4"/>
    <n v="91.64"/>
    <n v="9.16"/>
    <n v="0"/>
    <n v="0.1"/>
    <s v="ACTIVE"/>
    <m/>
    <s v=""/>
    <m/>
    <d v="2026-10-19T14:09:36"/>
    <d v="2026-10-19T00:00:00"/>
    <x v="12"/>
    <x v="0"/>
    <n v="1"/>
    <n v="0"/>
    <x v="2511"/>
    <s v="Manuel Villalobos Ramos"/>
    <x v="3"/>
  </r>
  <r>
    <n v="2996"/>
    <n v="169"/>
    <n v="4"/>
    <n v="67.02"/>
    <n v="6.7"/>
    <n v="0"/>
    <n v="0.1"/>
    <s v="ACTIVE"/>
    <m/>
    <s v=""/>
    <m/>
    <d v="2026-10-19T15:21:07"/>
    <d v="2026-10-19T00:00:00"/>
    <x v="12"/>
    <x v="0"/>
    <n v="1"/>
    <n v="0"/>
    <x v="2512"/>
    <s v="Daniel Gómez Mendoza"/>
    <x v="3"/>
  </r>
  <r>
    <n v="2997"/>
    <n v="75"/>
    <n v="4"/>
    <n v="157.99"/>
    <n v="15.8"/>
    <n v="0"/>
    <n v="0.1"/>
    <s v="ACTIVE"/>
    <m/>
    <s v=""/>
    <m/>
    <d v="2026-10-20T07:49:36"/>
    <d v="2026-10-20T00:00:00"/>
    <x v="12"/>
    <x v="0"/>
    <n v="1"/>
    <n v="0"/>
    <x v="2513"/>
    <s v="Guadalupe Romero Ortiz"/>
    <x v="3"/>
  </r>
  <r>
    <n v="2998"/>
    <n v="137"/>
    <n v="5"/>
    <n v="16.86"/>
    <n v="1.69"/>
    <n v="0"/>
    <n v="0.1"/>
    <s v="ACTIVE"/>
    <m/>
    <s v=""/>
    <m/>
    <d v="2026-10-20T14:46:26"/>
    <d v="2026-10-20T00:00:00"/>
    <x v="12"/>
    <x v="0"/>
    <n v="1"/>
    <n v="0"/>
    <x v="341"/>
    <s v="Francisco Reyes Ruiz"/>
    <x v="2"/>
  </r>
  <r>
    <n v="2999"/>
    <n v="156"/>
    <n v="3"/>
    <n v="32.020000000000003"/>
    <n v="3.2"/>
    <n v="0"/>
    <n v="0.1"/>
    <s v="CANCELED"/>
    <n v="5"/>
    <s v="Error de captura"/>
    <d v="2026-10-20T20:31:35"/>
    <d v="2026-10-20T16:31:35"/>
    <d v="2026-10-20T00:00:00"/>
    <x v="12"/>
    <x v="0"/>
    <n v="1"/>
    <n v="1"/>
    <x v="32"/>
    <s v="Óscar Moreno Chávez"/>
    <x v="0"/>
  </r>
  <r>
    <n v="3000"/>
    <n v="219"/>
    <n v="4"/>
    <n v="56.19"/>
    <n v="5.62"/>
    <n v="0"/>
    <n v="0.1"/>
    <s v="ACTIVE"/>
    <m/>
    <s v=""/>
    <m/>
    <d v="2026-10-20T19:48:45"/>
    <d v="2026-10-20T00:00:00"/>
    <x v="12"/>
    <x v="0"/>
    <n v="1"/>
    <n v="0"/>
    <x v="2514"/>
    <s v="Lucía Morales González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6"/>
    <s v="Raúl Ortiz Cruz"/>
    <s v="750000000001"/>
    <n v="35.4"/>
    <n v="1"/>
    <n v="194.52"/>
    <n v="7"/>
    <d v="2026-06-28T00:00:00"/>
    <n v="114"/>
    <x v="0"/>
    <n v="35.4"/>
    <n v="0"/>
  </r>
  <r>
    <n v="7"/>
    <s v="Teresa Rodríguez Herrera"/>
    <s v="750000000002"/>
    <n v="38.04"/>
    <n v="1"/>
    <n v="1699.05"/>
    <n v="17"/>
    <d v="2026-10-09T00:00:00"/>
    <n v="11"/>
    <x v="1"/>
    <n v="38.039999999999992"/>
    <n v="0"/>
  </r>
  <r>
    <n v="8"/>
    <s v="Javier Zacatecas García"/>
    <s v="750000000003"/>
    <n v="16.600000000000001"/>
    <n v="1"/>
    <n v="165.93"/>
    <n v="6"/>
    <d v="2026-02-05T00:00:00"/>
    <n v="257"/>
    <x v="0"/>
    <n v="16.599999999999998"/>
    <n v="0"/>
  </r>
  <r>
    <n v="9"/>
    <s v="Teresa Romero Cruz"/>
    <s v="750000000004"/>
    <n v="28.06"/>
    <n v="1"/>
    <n v="113.47999999999999"/>
    <n v="3"/>
    <d v="2026-09-11T00:00:00"/>
    <n v="39"/>
    <x v="2"/>
    <n v="28.060000000000002"/>
    <n v="0"/>
  </r>
  <r>
    <n v="10"/>
    <s v="José Gómez Herrera"/>
    <s v="750000000005"/>
    <n v="30.79"/>
    <n v="1"/>
    <n v="307.77999999999997"/>
    <n v="4"/>
    <d v="2026-01-17T00:00:00"/>
    <n v="276"/>
    <x v="0"/>
    <n v="30.79"/>
    <n v="0"/>
  </r>
  <r>
    <n v="11"/>
    <s v="Guadalupe Pérez Rodríguez"/>
    <s v="750000000006"/>
    <n v="312.72000000000003"/>
    <n v="1"/>
    <n v="2744.1200000000003"/>
    <n v="13"/>
    <d v="2026-10-18T00:00:00"/>
    <n v="2"/>
    <x v="1"/>
    <n v="312.71999999999991"/>
    <n v="0"/>
  </r>
  <r>
    <n v="12"/>
    <s v="Rosa Gutiérrez Martínez"/>
    <s v="750000000007"/>
    <n v="26.3"/>
    <n v="1"/>
    <n v="262.99"/>
    <n v="8"/>
    <d v="2026-09-20T00:00:00"/>
    <n v="30"/>
    <x v="1"/>
    <n v="26.300000000000004"/>
    <n v="0"/>
  </r>
  <r>
    <n v="13"/>
    <s v="Laura Rodríguez Quiñones"/>
    <s v="750000000008"/>
    <n v="7.98"/>
    <n v="1"/>
    <n v="350.31"/>
    <n v="11"/>
    <d v="2026-06-01T00:00:00"/>
    <n v="141"/>
    <x v="0"/>
    <n v="7.980000000000004"/>
    <n v="0"/>
  </r>
  <r>
    <n v="14"/>
    <s v="Patricia Santoyo Reyes"/>
    <s v="750000000009"/>
    <n v="32.880000000000003"/>
    <n v="1"/>
    <n v="137.02000000000001"/>
    <n v="4"/>
    <d v="2026-08-18T00:00:00"/>
    <n v="63"/>
    <x v="3"/>
    <n v="32.879999999999995"/>
    <n v="0"/>
  </r>
  <r>
    <n v="15"/>
    <s v="Javier Ramos Rodríguez"/>
    <s v="750000000010"/>
    <n v="20.399999999999999"/>
    <n v="1"/>
    <n v="204.01"/>
    <n v="3"/>
    <d v="2026-01-31T00:00:00"/>
    <n v="262"/>
    <x v="0"/>
    <n v="20.400000000000002"/>
    <n v="0"/>
  </r>
  <r>
    <n v="16"/>
    <s v="Laura Chávez Rangel"/>
    <s v="750000000011"/>
    <n v="121.76"/>
    <n v="1"/>
    <n v="10395.98"/>
    <n v="56"/>
    <d v="2026-10-13T00:00:00"/>
    <n v="7"/>
    <x v="1"/>
    <n v="121.75999999999999"/>
    <n v="0"/>
  </r>
  <r>
    <n v="17"/>
    <s v="Patricia Castillo Morales"/>
    <s v="750000000012"/>
    <n v="110.97"/>
    <n v="1"/>
    <n v="1109.68"/>
    <n v="12"/>
    <d v="2026-05-14T00:00:00"/>
    <n v="159"/>
    <x v="0"/>
    <n v="110.96999999999998"/>
    <n v="0"/>
  </r>
  <r>
    <n v="18"/>
    <s v="Carlos Gómez Ávila"/>
    <s v="750000000013"/>
    <n v="200.67"/>
    <n v="1"/>
    <n v="2006.48"/>
    <n v="20"/>
    <d v="2026-10-06T00:00:00"/>
    <n v="14"/>
    <x v="1"/>
    <n v="200.67000000000004"/>
    <n v="0"/>
  </r>
  <r>
    <n v="19"/>
    <s v="Laura Chávez Quiñones"/>
    <s v="750000000014"/>
    <n v="9.85"/>
    <n v="1"/>
    <n v="98.47"/>
    <n v="3"/>
    <d v="2026-02-13T00:00:00"/>
    <n v="249"/>
    <x v="0"/>
    <n v="9.85"/>
    <n v="0"/>
  </r>
  <r>
    <n v="20"/>
    <s v="Luis Cruz Martínez"/>
    <s v="750000000015"/>
    <n v="15.97"/>
    <n v="1"/>
    <n v="159.66999999999999"/>
    <n v="6"/>
    <d v="2026-02-25T00:00:00"/>
    <n v="237"/>
    <x v="0"/>
    <n v="15.97"/>
    <n v="0"/>
  </r>
  <r>
    <n v="21"/>
    <s v="Carlos Morales Santoyo"/>
    <s v="750000000016"/>
    <n v="63.3"/>
    <n v="1"/>
    <n v="890.64999999999986"/>
    <n v="29"/>
    <d v="2026-10-13T00:00:00"/>
    <n v="7"/>
    <x v="1"/>
    <n v="63.300000000000011"/>
    <n v="0"/>
  </r>
  <r>
    <n v="22"/>
    <s v="Martha Moreno Rangel"/>
    <s v="750000000017"/>
    <n v="90.79"/>
    <n v="0"/>
    <n v="777.24000000000012"/>
    <n v="8"/>
    <d v="2026-10-01T00:00:00"/>
    <n v="19"/>
    <x v="1"/>
    <n v="90.79000000000002"/>
    <n v="0"/>
  </r>
  <r>
    <n v="23"/>
    <s v="Gabriela Ávila Gutiérrez"/>
    <s v="750000000018"/>
    <n v="59.5"/>
    <n v="1"/>
    <n v="594.96"/>
    <n v="4"/>
    <d v="2026-04-15T00:00:00"/>
    <n v="188"/>
    <x v="0"/>
    <n v="59.500000000000014"/>
    <n v="0"/>
  </r>
  <r>
    <n v="24"/>
    <s v="Isabel Moreno Vázquez"/>
    <s v="750000000019"/>
    <n v="180.86"/>
    <n v="1"/>
    <n v="1414.16"/>
    <n v="7"/>
    <d v="2026-09-21T00:00:00"/>
    <n v="29"/>
    <x v="1"/>
    <n v="180.86"/>
    <n v="0"/>
  </r>
  <r>
    <n v="25"/>
    <s v="Martha Rodríguez López"/>
    <s v="750000000020"/>
    <n v="7.24"/>
    <n v="0"/>
    <n v="1020.31"/>
    <n v="13"/>
    <d v="2026-10-02T00:00:00"/>
    <n v="18"/>
    <x v="1"/>
    <n v="7.2400000000000091"/>
    <n v="0"/>
  </r>
  <r>
    <n v="26"/>
    <s v="Ricardo Herrera González"/>
    <s v="750000000021"/>
    <n v="6.92"/>
    <n v="1"/>
    <n v="69.180000000000007"/>
    <n v="2"/>
    <d v="2026-06-04T00:00:00"/>
    <n v="138"/>
    <x v="0"/>
    <n v="6.92"/>
    <n v="0"/>
  </r>
  <r>
    <n v="27"/>
    <s v="Alicia Gutiérrez Quiñones"/>
    <s v="750000000022"/>
    <n v="144.69999999999999"/>
    <n v="1"/>
    <n v="1197.18"/>
    <n v="14"/>
    <d v="2026-05-20T00:00:00"/>
    <n v="153"/>
    <x v="0"/>
    <n v="144.70000000000002"/>
    <n v="0"/>
  </r>
  <r>
    <n v="28"/>
    <s v="Francisco Ávila Chávez"/>
    <s v="750000000023"/>
    <n v="44.26"/>
    <n v="1"/>
    <n v="177.08"/>
    <n v="6"/>
    <d v="2026-04-16T00:00:00"/>
    <n v="187"/>
    <x v="0"/>
    <n v="44.26"/>
    <n v="0"/>
  </r>
  <r>
    <n v="29"/>
    <s v="Héctor Herrera Gómez"/>
    <s v="750000000024"/>
    <n v="55.92"/>
    <n v="1"/>
    <n v="390.92999999999995"/>
    <n v="12"/>
    <d v="2026-10-12T00:00:00"/>
    <n v="8"/>
    <x v="1"/>
    <n v="55.920000000000009"/>
    <n v="0"/>
  </r>
  <r>
    <n v="30"/>
    <s v="Sergio Zacatecas Díaz"/>
    <s v="750000000025"/>
    <n v="15.68"/>
    <n v="1"/>
    <n v="28.32"/>
    <n v="1"/>
    <d v="2025-10-28T00:00:00"/>
    <n v="357"/>
    <x v="0"/>
    <n v="15.68"/>
    <n v="0"/>
  </r>
  <r>
    <n v="31"/>
    <s v="Óscar Zacatecas Reyes"/>
    <s v="750000000026"/>
    <n v="40.479999999999997"/>
    <n v="1"/>
    <n v="404.8"/>
    <n v="13"/>
    <d v="2026-06-11T00:00:00"/>
    <n v="131"/>
    <x v="0"/>
    <n v="40.479999999999997"/>
    <n v="0"/>
  </r>
  <r>
    <n v="32"/>
    <s v="Teresa Delgado Hernández"/>
    <s v="750000000027"/>
    <n v="54.47"/>
    <n v="1"/>
    <n v="455.11"/>
    <n v="14"/>
    <d v="2026-08-03T00:00:00"/>
    <n v="78"/>
    <x v="3"/>
    <n v="54.47"/>
    <n v="0"/>
  </r>
  <r>
    <n v="33"/>
    <s v="Francisco Vázquez Mendoza"/>
    <s v="750000000028"/>
    <n v="8.24"/>
    <n v="1"/>
    <n v="82.39"/>
    <n v="3"/>
    <d v="2026-10-08T00:00:00"/>
    <n v="12"/>
    <x v="1"/>
    <n v="8.24"/>
    <n v="0"/>
  </r>
  <r>
    <n v="34"/>
    <s v="Lucía Rodríguez Rodríguez"/>
    <s v="750000000029"/>
    <n v="107.8"/>
    <n v="1"/>
    <n v="1077.98"/>
    <n v="6"/>
    <d v="2026-05-13T00:00:00"/>
    <n v="160"/>
    <x v="0"/>
    <n v="107.8"/>
    <n v="0"/>
  </r>
  <r>
    <n v="35"/>
    <s v="Teresa Ramírez Ramírez"/>
    <s v="750000000030"/>
    <n v="38"/>
    <n v="1"/>
    <n v="380.06000000000006"/>
    <n v="11"/>
    <d v="2026-09-10T00:00:00"/>
    <n v="40"/>
    <x v="2"/>
    <n v="38"/>
    <n v="0"/>
  </r>
  <r>
    <n v="36"/>
    <s v="Sergio Delgado Herrera"/>
    <s v="750000000031"/>
    <n v="76.64"/>
    <n v="1"/>
    <n v="2834.0800000000004"/>
    <n v="15"/>
    <d v="2026-10-14T00:00:00"/>
    <n v="6"/>
    <x v="1"/>
    <n v="76.640000000000015"/>
    <n v="0"/>
  </r>
  <r>
    <n v="37"/>
    <s v="Fernando Mendoza Moreno"/>
    <s v="750000000032"/>
    <n v="80.900000000000006"/>
    <n v="1"/>
    <n v="808.9799999999999"/>
    <n v="9"/>
    <d v="2026-08-11T00:00:00"/>
    <n v="70"/>
    <x v="3"/>
    <n v="80.900000000000006"/>
    <n v="0"/>
  </r>
  <r>
    <n v="38"/>
    <s v="Verónica Delgado Medina"/>
    <s v="750000000033"/>
    <n v="22.76"/>
    <n v="1"/>
    <n v="570.27"/>
    <n v="20"/>
    <d v="2026-08-19T00:00:00"/>
    <n v="62"/>
    <x v="3"/>
    <n v="22.759999999999998"/>
    <n v="0"/>
  </r>
  <r>
    <n v="39"/>
    <s v="Guadalupe García Quiñones"/>
    <s v="750000000034"/>
    <n v="172.04"/>
    <n v="1"/>
    <n v="22406.609999999993"/>
    <n v="117"/>
    <d v="2026-10-19T00:00:00"/>
    <n v="1"/>
    <x v="1"/>
    <n v="172.0400000000003"/>
    <n v="0"/>
  </r>
  <r>
    <n v="40"/>
    <s v="Carlos López Cruz"/>
    <s v="750000000035"/>
    <n v="100.95"/>
    <n v="1"/>
    <n v="1009.5200000000001"/>
    <n v="11"/>
    <d v="2026-08-05T00:00:00"/>
    <n v="76"/>
    <x v="3"/>
    <n v="100.95"/>
    <n v="0"/>
  </r>
  <r>
    <n v="41"/>
    <s v="Guadalupe González Zacatecas"/>
    <s v="750000000036"/>
    <n v="88.34"/>
    <n v="1"/>
    <n v="883.4"/>
    <n v="5"/>
    <d v="2026-06-24T00:00:00"/>
    <n v="118"/>
    <x v="0"/>
    <n v="88.34"/>
    <n v="0"/>
  </r>
  <r>
    <n v="42"/>
    <s v="Roberto Ávila Ramírez"/>
    <s v="750000000037"/>
    <n v="24.52"/>
    <n v="1"/>
    <n v="245.25"/>
    <n v="7"/>
    <d v="2026-03-31T00:00:00"/>
    <n v="203"/>
    <x v="0"/>
    <n v="24.52"/>
    <n v="0"/>
  </r>
  <r>
    <n v="43"/>
    <s v="Silvia Ortiz Salazar"/>
    <s v="750000000038"/>
    <n v="64.099999999999994"/>
    <n v="1"/>
    <n v="640.97"/>
    <n v="7"/>
    <d v="2026-09-19T00:00:00"/>
    <n v="31"/>
    <x v="2"/>
    <n v="64.100000000000009"/>
    <n v="0"/>
  </r>
  <r>
    <n v="44"/>
    <s v="Pedro Herrera Castillo"/>
    <s v="750000000039"/>
    <n v="41.8"/>
    <n v="1"/>
    <n v="1716.47"/>
    <n v="53"/>
    <d v="2026-10-15T00:00:00"/>
    <n v="5"/>
    <x v="1"/>
    <n v="41.79999999999999"/>
    <n v="0"/>
  </r>
  <r>
    <n v="45"/>
    <s v="Luis Pérez López"/>
    <s v="750000000040"/>
    <n v="59.11"/>
    <n v="1"/>
    <n v="591.12"/>
    <n v="5"/>
    <d v="2026-05-24T00:00:00"/>
    <n v="149"/>
    <x v="0"/>
    <n v="59.11"/>
    <n v="0"/>
  </r>
  <r>
    <n v="46"/>
    <s v="Pedro Ortiz Reyes"/>
    <s v="750000000041"/>
    <n v="17.22"/>
    <n v="1"/>
    <n v="172.15"/>
    <n v="5"/>
    <d v="2026-04-25T00:00:00"/>
    <n v="178"/>
    <x v="0"/>
    <n v="17.220000000000002"/>
    <n v="0"/>
  </r>
  <r>
    <n v="47"/>
    <s v="Carmen Díaz Chávez"/>
    <s v="750000000042"/>
    <n v="29.3"/>
    <n v="1"/>
    <n v="685.34"/>
    <n v="21"/>
    <d v="2026-07-03T00:00:00"/>
    <n v="109"/>
    <x v="0"/>
    <n v="29.299999999999994"/>
    <n v="0"/>
  </r>
  <r>
    <n v="48"/>
    <s v="Carlos Medina Quiñones"/>
    <s v="750000000043"/>
    <n v="152.44999999999999"/>
    <n v="1"/>
    <n v="3382.38"/>
    <n v="32"/>
    <d v="2026-10-18T00:00:00"/>
    <n v="2"/>
    <x v="1"/>
    <n v="152.45000000000002"/>
    <n v="0"/>
  </r>
  <r>
    <n v="49"/>
    <s v="José Rodríguez Ortiz"/>
    <s v="750000000044"/>
    <n v="88.12"/>
    <n v="1"/>
    <n v="881.18999999999994"/>
    <n v="8"/>
    <d v="2026-06-04T00:00:00"/>
    <n v="138"/>
    <x v="0"/>
    <n v="88.11999999999999"/>
    <n v="0"/>
  </r>
  <r>
    <n v="50"/>
    <s v="Roberto Moreno López"/>
    <s v="750000000045"/>
    <n v="65.13"/>
    <n v="1"/>
    <n v="651.24"/>
    <n v="7"/>
    <d v="2026-07-30T00:00:00"/>
    <n v="82"/>
    <x v="3"/>
    <n v="65.13000000000001"/>
    <n v="0"/>
  </r>
  <r>
    <n v="51"/>
    <s v="Sergio Rangel Ramos"/>
    <s v="750000000046"/>
    <n v="230.17"/>
    <n v="1"/>
    <n v="1941.43"/>
    <n v="10"/>
    <d v="2026-08-13T00:00:00"/>
    <n v="68"/>
    <x v="3"/>
    <n v="230.17000000000002"/>
    <n v="0"/>
  </r>
  <r>
    <n v="52"/>
    <s v="Gabriela Villalobos Flores"/>
    <s v="750000000047"/>
    <n v="10.68"/>
    <n v="1"/>
    <n v="717.29000000000008"/>
    <n v="23"/>
    <d v="2026-08-23T00:00:00"/>
    <n v="58"/>
    <x v="2"/>
    <n v="10.680000000000014"/>
    <n v="0"/>
  </r>
  <r>
    <n v="53"/>
    <s v="Isabel Ávila López"/>
    <s v="750000000048"/>
    <n v="14.72"/>
    <n v="1"/>
    <n v="147.22999999999999"/>
    <n v="4"/>
    <d v="2026-05-05T00:00:00"/>
    <n v="168"/>
    <x v="0"/>
    <n v="14.719999999999999"/>
    <n v="0"/>
  </r>
  <r>
    <n v="54"/>
    <s v="Isabel Salazar Zacatecas"/>
    <s v="750000000049"/>
    <n v="15.04"/>
    <n v="1"/>
    <n v="150.36000000000001"/>
    <n v="4"/>
    <d v="2026-09-13T00:00:00"/>
    <n v="37"/>
    <x v="2"/>
    <n v="15.040000000000001"/>
    <n v="0"/>
  </r>
  <r>
    <n v="55"/>
    <s v="Luis Zacatecas Rodríguez"/>
    <s v="750000000050"/>
    <n v="42.91"/>
    <n v="1"/>
    <n v="429.05000000000007"/>
    <n v="13"/>
    <d v="2026-09-03T00:00:00"/>
    <n v="47"/>
    <x v="2"/>
    <n v="42.910000000000004"/>
    <n v="0"/>
  </r>
  <r>
    <n v="56"/>
    <s v="Carlos Ortiz Moreno"/>
    <s v="750000000051"/>
    <n v="66.55"/>
    <n v="1"/>
    <n v="665.60000000000014"/>
    <n v="8"/>
    <d v="2026-09-11T00:00:00"/>
    <n v="39"/>
    <x v="2"/>
    <n v="66.55"/>
    <n v="0"/>
  </r>
  <r>
    <n v="57"/>
    <s v="Isabel Martínez Rodríguez"/>
    <s v="750000000052"/>
    <n v="107.53"/>
    <n v="1"/>
    <n v="1664.81"/>
    <n v="17"/>
    <d v="2026-10-03T00:00:00"/>
    <n v="17"/>
    <x v="1"/>
    <n v="107.53"/>
    <n v="0"/>
  </r>
  <r>
    <n v="58"/>
    <s v="Alicia Ruiz Gutiérrez"/>
    <s v="750000000053"/>
    <n v="80.2"/>
    <n v="1"/>
    <n v="802.00999999999988"/>
    <n v="9"/>
    <d v="2026-05-31T00:00:00"/>
    <n v="142"/>
    <x v="0"/>
    <n v="80.2"/>
    <n v="0"/>
  </r>
  <r>
    <n v="59"/>
    <s v="Daniel Gutiérrez Moreno"/>
    <s v="750000000054"/>
    <n v="24.69"/>
    <n v="1"/>
    <n v="446.21"/>
    <n v="17"/>
    <d v="2026-09-26T00:00:00"/>
    <n v="24"/>
    <x v="1"/>
    <n v="24.69"/>
    <n v="0"/>
  </r>
  <r>
    <n v="60"/>
    <s v="Leticia Ruiz González"/>
    <s v="750000000055"/>
    <n v="127.03"/>
    <n v="0"/>
    <n v="1270.2699999999998"/>
    <n v="7"/>
    <d v="2026-03-13T00:00:00"/>
    <n v="221"/>
    <x v="0"/>
    <n v="127.03"/>
    <n v="0"/>
  </r>
  <r>
    <n v="61"/>
    <s v="Pedro González Ávila"/>
    <s v="750000000056"/>
    <n v="50.58"/>
    <n v="1"/>
    <n v="2046.8600000000004"/>
    <n v="21"/>
    <d v="2026-10-18T00:00:00"/>
    <n v="2"/>
    <x v="1"/>
    <n v="50.58"/>
    <n v="0"/>
  </r>
  <r>
    <n v="62"/>
    <s v="Rosa González Ortiz"/>
    <s v="750000000057"/>
    <n v="26.41"/>
    <n v="1"/>
    <n v="263.92"/>
    <n v="7"/>
    <d v="2026-08-24T00:00:00"/>
    <n v="57"/>
    <x v="2"/>
    <n v="26.410000000000004"/>
    <n v="0"/>
  </r>
  <r>
    <n v="63"/>
    <s v="Teresa Mendoza Delgado"/>
    <s v="750000000058"/>
    <n v="10.77"/>
    <n v="1"/>
    <n v="107.69"/>
    <n v="3"/>
    <d v="2026-02-05T00:00:00"/>
    <n v="257"/>
    <x v="0"/>
    <n v="10.77"/>
    <n v="0"/>
  </r>
  <r>
    <n v="64"/>
    <s v="Óscar Pérez Ramírez"/>
    <s v="750000000059"/>
    <n v="50.07"/>
    <n v="1"/>
    <n v="197.81"/>
    <n v="6"/>
    <d v="2026-05-07T00:00:00"/>
    <n v="166"/>
    <x v="0"/>
    <n v="50.07"/>
    <n v="0"/>
  </r>
  <r>
    <n v="65"/>
    <s v="Gabriela Flores Chávez"/>
    <s v="750000000060"/>
    <n v="82.01"/>
    <n v="1"/>
    <n v="1883.8200000000002"/>
    <n v="58"/>
    <d v="2026-10-16T00:00:00"/>
    <n v="4"/>
    <x v="1"/>
    <n v="82.009999999999962"/>
    <n v="0"/>
  </r>
  <r>
    <n v="66"/>
    <s v="Guadalupe Morales Gutiérrez"/>
    <s v="750000000061"/>
    <n v="77.86"/>
    <n v="1"/>
    <n v="778.55000000000007"/>
    <n v="8"/>
    <d v="2026-09-01T00:00:00"/>
    <n v="49"/>
    <x v="2"/>
    <n v="77.86"/>
    <n v="0"/>
  </r>
  <r>
    <n v="67"/>
    <s v="Luis Rodríguez Herrera"/>
    <s v="750000000062"/>
    <n v="9.43"/>
    <n v="1"/>
    <n v="94.31"/>
    <n v="3"/>
    <d v="2026-07-30T00:00:00"/>
    <n v="82"/>
    <x v="3"/>
    <n v="9.43"/>
    <n v="0"/>
  </r>
  <r>
    <n v="68"/>
    <s v="Guadalupe Ramírez Gutiérrez"/>
    <s v="750000000063"/>
    <n v="5.78"/>
    <n v="1"/>
    <n v="57.77"/>
    <n v="1"/>
    <d v="2026-09-07T00:00:00"/>
    <n v="43"/>
    <x v="2"/>
    <n v="5.78"/>
    <n v="0"/>
  </r>
  <r>
    <n v="69"/>
    <s v="Carmen Quiñones Hernández"/>
    <s v="750000000064"/>
    <n v="38.64"/>
    <n v="1"/>
    <n v="386.41"/>
    <n v="11"/>
    <d v="2026-06-11T00:00:00"/>
    <n v="131"/>
    <x v="0"/>
    <n v="38.640000000000008"/>
    <n v="0"/>
  </r>
  <r>
    <n v="70"/>
    <s v="Manuel Ávila Martínez"/>
    <s v="750000000065"/>
    <n v="196.96"/>
    <n v="1"/>
    <n v="2944.73"/>
    <n v="17"/>
    <d v="2026-07-09T00:00:00"/>
    <n v="103"/>
    <x v="0"/>
    <n v="196.95999999999992"/>
    <n v="0"/>
  </r>
  <r>
    <n v="71"/>
    <s v="Manuel Herrera Ramírez"/>
    <s v="750000000066"/>
    <n v="2.37"/>
    <n v="1"/>
    <n v="23.7"/>
    <n v="1"/>
    <d v="2026-07-13T00:00:00"/>
    <n v="99"/>
    <x v="0"/>
    <n v="2.37"/>
    <n v="0"/>
  </r>
  <r>
    <n v="72"/>
    <s v="Miguel Castillo Morales"/>
    <s v="750000000067"/>
    <n v="19.14"/>
    <n v="1"/>
    <n v="191.29999999999998"/>
    <n v="7"/>
    <d v="2026-07-25T00:00:00"/>
    <n v="87"/>
    <x v="3"/>
    <n v="19.14"/>
    <n v="0"/>
  </r>
  <r>
    <n v="73"/>
    <s v="Rosa Quiñones Romero"/>
    <s v="750000000068"/>
    <n v="7.46"/>
    <n v="1"/>
    <n v="74.62"/>
    <n v="2"/>
    <d v="2026-06-30T00:00:00"/>
    <n v="112"/>
    <x v="0"/>
    <n v="7.46"/>
    <n v="0"/>
  </r>
  <r>
    <n v="74"/>
    <s v="Daniel Gómez Díaz"/>
    <s v="750000000069"/>
    <n v="11.82"/>
    <n v="1"/>
    <n v="118.23"/>
    <n v="1"/>
    <d v="2026-09-29T00:00:00"/>
    <n v="21"/>
    <x v="1"/>
    <n v="11.82"/>
    <n v="0"/>
  </r>
  <r>
    <n v="75"/>
    <s v="Guadalupe Romero Ortiz"/>
    <s v="750000000070"/>
    <n v="138.46"/>
    <n v="0"/>
    <n v="2779.92"/>
    <n v="30"/>
    <d v="2026-10-20T00:00:00"/>
    <n v="0"/>
    <x v="1"/>
    <n v="138.46"/>
    <n v="0"/>
  </r>
  <r>
    <n v="76"/>
    <s v="Pedro Jiménez Martínez"/>
    <s v="750000000071"/>
    <n v="72.31"/>
    <n v="1"/>
    <n v="660.24"/>
    <n v="8"/>
    <d v="2026-08-08T00:00:00"/>
    <n v="73"/>
    <x v="3"/>
    <n v="72.31"/>
    <n v="0"/>
  </r>
  <r>
    <n v="77"/>
    <s v="Leticia Castillo Mendoza"/>
    <s v="750000000072"/>
    <n v="15.64"/>
    <n v="1"/>
    <n v="156.41999999999999"/>
    <n v="1"/>
    <d v="2026-10-08T00:00:00"/>
    <n v="12"/>
    <x v="1"/>
    <n v="15.64"/>
    <n v="0"/>
  </r>
  <r>
    <n v="78"/>
    <s v="Juan Reyes Moreno"/>
    <s v="750000000073"/>
    <n v="0"/>
    <n v="1"/>
    <n v="0"/>
    <n v="0"/>
    <d v="1899-12-30T00:00:00"/>
    <s v=""/>
    <x v="4"/>
    <n v="0"/>
    <n v="0"/>
  </r>
  <r>
    <n v="79"/>
    <s v="Raúl Castillo Zacatecas"/>
    <s v="750000000074"/>
    <n v="5.14"/>
    <n v="1"/>
    <n v="51.39"/>
    <n v="1"/>
    <d v="2025-12-18T00:00:00"/>
    <n v="306"/>
    <x v="0"/>
    <n v="5.1399999999999988"/>
    <n v="0"/>
  </r>
  <r>
    <n v="80"/>
    <s v="Juan Sánchez Gutiérrez"/>
    <s v="750000000075"/>
    <n v="29.92"/>
    <n v="1"/>
    <n v="299.23"/>
    <n v="11"/>
    <d v="2026-08-28T00:00:00"/>
    <n v="53"/>
    <x v="2"/>
    <n v="29.92"/>
    <n v="0"/>
  </r>
  <r>
    <n v="81"/>
    <s v="Pedro Herrera Castillo"/>
    <s v="750000000076"/>
    <n v="29.43"/>
    <n v="1"/>
    <n v="199.85"/>
    <n v="7"/>
    <d v="2026-04-01T00:00:00"/>
    <n v="202"/>
    <x v="0"/>
    <n v="29.43"/>
    <n v="0"/>
  </r>
  <r>
    <n v="82"/>
    <s v="Norma Zacatecas Sánchez"/>
    <s v="750000000077"/>
    <n v="22"/>
    <n v="1"/>
    <n v="220.14"/>
    <n v="5"/>
    <d v="2026-09-11T00:00:00"/>
    <n v="39"/>
    <x v="2"/>
    <n v="22"/>
    <n v="0"/>
  </r>
  <r>
    <n v="83"/>
    <s v="Sergio Martínez Herrera"/>
    <s v="750000000078"/>
    <n v="15.11"/>
    <n v="1"/>
    <n v="151.03"/>
    <n v="4"/>
    <d v="2026-09-01T00:00:00"/>
    <n v="49"/>
    <x v="2"/>
    <n v="15.11"/>
    <n v="0"/>
  </r>
  <r>
    <n v="84"/>
    <s v="Fernando Vázquez Herrera"/>
    <s v="750000000079"/>
    <n v="57.77"/>
    <n v="1"/>
    <n v="577.70000000000005"/>
    <n v="8"/>
    <d v="2026-07-27T00:00:00"/>
    <n v="85"/>
    <x v="3"/>
    <n v="57.769999999999996"/>
    <n v="0"/>
  </r>
  <r>
    <n v="85"/>
    <s v="Guadalupe Ruiz Sánchez"/>
    <s v="750000000080"/>
    <n v="67.540000000000006"/>
    <n v="1"/>
    <n v="718.09"/>
    <n v="6"/>
    <d v="2026-03-02T00:00:00"/>
    <n v="232"/>
    <x v="0"/>
    <n v="67.540000000000006"/>
    <n v="0"/>
  </r>
  <r>
    <n v="86"/>
    <s v="Óscar Romero Ruiz"/>
    <s v="750000000081"/>
    <n v="20.43"/>
    <n v="1"/>
    <n v="204.32999999999998"/>
    <n v="7"/>
    <d v="2026-10-08T00:00:00"/>
    <n v="12"/>
    <x v="1"/>
    <n v="20.43"/>
    <n v="0"/>
  </r>
  <r>
    <n v="87"/>
    <s v="Antonio Reyes Romero"/>
    <s v="750000000082"/>
    <n v="175.21"/>
    <n v="1"/>
    <n v="2697.9399999999996"/>
    <n v="30"/>
    <d v="2026-10-10T00:00:00"/>
    <n v="10"/>
    <x v="1"/>
    <n v="175.21000000000004"/>
    <n v="0"/>
  </r>
  <r>
    <n v="88"/>
    <s v="Alejandro Santoyo Mendoza"/>
    <s v="750000000083"/>
    <n v="15.08"/>
    <n v="1"/>
    <n v="150.86000000000001"/>
    <n v="2"/>
    <d v="2026-10-16T00:00:00"/>
    <n v="4"/>
    <x v="1"/>
    <n v="15.080000000000002"/>
    <n v="0"/>
  </r>
  <r>
    <n v="89"/>
    <s v="Héctor Morales Herrera"/>
    <s v="750000000084"/>
    <n v="61.13"/>
    <n v="1"/>
    <n v="611.21"/>
    <n v="4"/>
    <d v="2026-05-26T00:00:00"/>
    <n v="147"/>
    <x v="0"/>
    <n v="61.13000000000001"/>
    <n v="0"/>
  </r>
  <r>
    <n v="90"/>
    <s v="María Rangel Medina"/>
    <s v="750000000085"/>
    <n v="48.47"/>
    <n v="0"/>
    <n v="484.71000000000004"/>
    <n v="3"/>
    <d v="2026-07-05T00:00:00"/>
    <n v="107"/>
    <x v="0"/>
    <n v="48.47"/>
    <n v="0"/>
  </r>
  <r>
    <n v="91"/>
    <s v="Silvia Gómez Rodríguez"/>
    <s v="750000000086"/>
    <n v="12.33"/>
    <n v="1"/>
    <n v="399.14"/>
    <n v="14"/>
    <d v="2026-08-29T00:00:00"/>
    <n v="52"/>
    <x v="2"/>
    <n v="12.330000000000005"/>
    <n v="0"/>
  </r>
  <r>
    <n v="92"/>
    <s v="Irma Aguilar Rodríguez"/>
    <s v="750000000087"/>
    <n v="14.51"/>
    <n v="1"/>
    <n v="145.13"/>
    <n v="5"/>
    <d v="2026-02-26T00:00:00"/>
    <n v="236"/>
    <x v="0"/>
    <n v="14.509999999999998"/>
    <n v="0"/>
  </r>
  <r>
    <n v="93"/>
    <s v="Óscar Cruz Reyes"/>
    <s v="750000000088"/>
    <n v="0"/>
    <n v="1"/>
    <n v="0"/>
    <n v="0"/>
    <d v="1899-12-30T00:00:00"/>
    <s v=""/>
    <x v="4"/>
    <n v="0"/>
    <n v="0"/>
  </r>
  <r>
    <n v="94"/>
    <s v="Silvia González Rangel"/>
    <s v="750000000089"/>
    <n v="216.09"/>
    <n v="1"/>
    <n v="2160.8000000000002"/>
    <n v="11"/>
    <d v="2026-10-09T00:00:00"/>
    <n v="11"/>
    <x v="1"/>
    <n v="216.09"/>
    <n v="0"/>
  </r>
  <r>
    <n v="95"/>
    <s v="Fernando Jiménez Villalobos"/>
    <s v="750000000090"/>
    <n v="41.05"/>
    <n v="1"/>
    <n v="410.49"/>
    <n v="2"/>
    <d v="2026-03-04T00:00:00"/>
    <n v="230"/>
    <x v="0"/>
    <n v="41.05"/>
    <n v="0"/>
  </r>
  <r>
    <n v="96"/>
    <s v="José Pérez Herrera"/>
    <s v="750000000091"/>
    <n v="194.25"/>
    <n v="1"/>
    <n v="1942.45"/>
    <n v="10"/>
    <d v="2026-06-24T00:00:00"/>
    <n v="118"/>
    <x v="0"/>
    <n v="194.25"/>
    <n v="0"/>
  </r>
  <r>
    <n v="97"/>
    <s v="Alicia Rangel López"/>
    <s v="750000000092"/>
    <n v="32.18"/>
    <n v="1"/>
    <n v="321.7"/>
    <n v="4"/>
    <d v="2026-01-06T00:00:00"/>
    <n v="287"/>
    <x v="0"/>
    <n v="32.179999999999993"/>
    <n v="0"/>
  </r>
  <r>
    <n v="98"/>
    <s v="Antonio Rangel Delgado"/>
    <s v="750000000093"/>
    <n v="38.409999999999997"/>
    <n v="1"/>
    <n v="384"/>
    <n v="4"/>
    <d v="2026-07-16T00:00:00"/>
    <n v="96"/>
    <x v="0"/>
    <n v="38.410000000000004"/>
    <n v="0"/>
  </r>
  <r>
    <n v="99"/>
    <s v="Verónica Zacatecas Herrera"/>
    <s v="750000000094"/>
    <n v="0"/>
    <n v="1"/>
    <n v="0"/>
    <n v="0"/>
    <d v="1899-12-30T00:00:00"/>
    <s v=""/>
    <x v="4"/>
    <n v="0"/>
    <n v="0"/>
  </r>
  <r>
    <n v="100"/>
    <s v="Ricardo Salazar Medina"/>
    <s v="750000000095"/>
    <n v="24.82"/>
    <n v="1"/>
    <n v="248.24"/>
    <n v="1"/>
    <d v="2026-07-01T00:00:00"/>
    <n v="111"/>
    <x v="0"/>
    <n v="24.82"/>
    <n v="0"/>
  </r>
  <r>
    <n v="101"/>
    <s v="Raúl Delgado Villalobos"/>
    <s v="750000000096"/>
    <n v="28.47"/>
    <n v="1"/>
    <n v="284.60000000000002"/>
    <n v="8"/>
    <d v="2026-07-03T00:00:00"/>
    <n v="109"/>
    <x v="0"/>
    <n v="28.47"/>
    <n v="0"/>
  </r>
  <r>
    <n v="102"/>
    <s v="Carlos Ramos Ortiz"/>
    <s v="750000000097"/>
    <n v="2.34"/>
    <n v="1"/>
    <n v="23.44"/>
    <n v="1"/>
    <d v="2026-03-18T00:00:00"/>
    <n v="216"/>
    <x v="0"/>
    <n v="2.34"/>
    <n v="0"/>
  </r>
  <r>
    <n v="103"/>
    <s v="Teresa Rodríguez Ramírez"/>
    <s v="750000000098"/>
    <n v="9.9499999999999993"/>
    <n v="1"/>
    <n v="99.48"/>
    <n v="4"/>
    <d v="2026-07-09T00:00:00"/>
    <n v="103"/>
    <x v="0"/>
    <n v="9.9500000000000011"/>
    <n v="0"/>
  </r>
  <r>
    <n v="104"/>
    <s v="Manuel Morales González"/>
    <s v="750000000099"/>
    <n v="206.87"/>
    <n v="1"/>
    <n v="2068.71"/>
    <n v="9"/>
    <d v="2026-09-12T00:00:00"/>
    <n v="38"/>
    <x v="2"/>
    <n v="206.87"/>
    <n v="0"/>
  </r>
  <r>
    <n v="105"/>
    <s v="Leticia Romero López"/>
    <s v="750000000100"/>
    <n v="51.36"/>
    <n v="1"/>
    <n v="513.59"/>
    <n v="4"/>
    <d v="2026-05-01T00:00:00"/>
    <n v="172"/>
    <x v="0"/>
    <n v="51.36"/>
    <n v="0"/>
  </r>
  <r>
    <n v="106"/>
    <s v="Isabel García Santoyo"/>
    <s v="750000000101"/>
    <n v="104.71"/>
    <n v="1"/>
    <n v="4465.58"/>
    <n v="47"/>
    <d v="2026-10-11T00:00:00"/>
    <n v="9"/>
    <x v="1"/>
    <n v="104.70999999999997"/>
    <n v="0"/>
  </r>
  <r>
    <n v="107"/>
    <s v="Óscar Jiménez Romero"/>
    <s v="750000000102"/>
    <n v="10.18"/>
    <n v="1"/>
    <n v="101.71000000000001"/>
    <n v="3"/>
    <d v="2026-06-20T00:00:00"/>
    <n v="122"/>
    <x v="0"/>
    <n v="10.18"/>
    <n v="0"/>
  </r>
  <r>
    <n v="108"/>
    <s v="Norma Cruz Villalobos"/>
    <s v="750000000103"/>
    <n v="17.62"/>
    <n v="1"/>
    <n v="176.25"/>
    <n v="2"/>
    <d v="2026-04-04T00:00:00"/>
    <n v="199"/>
    <x v="0"/>
    <n v="17.62"/>
    <n v="0"/>
  </r>
  <r>
    <n v="109"/>
    <s v="Juan Jiménez Aguilar"/>
    <s v="750000000104"/>
    <n v="110.14"/>
    <n v="1"/>
    <n v="1101.29"/>
    <n v="6"/>
    <d v="2026-03-25T00:00:00"/>
    <n v="209"/>
    <x v="0"/>
    <n v="110.14"/>
    <n v="0"/>
  </r>
  <r>
    <n v="110"/>
    <s v="Ricardo Rangel Ramírez"/>
    <s v="750000000105"/>
    <n v="17.43"/>
    <n v="1"/>
    <n v="174.24"/>
    <n v="4"/>
    <d v="2026-09-20T00:00:00"/>
    <n v="30"/>
    <x v="1"/>
    <n v="17.43"/>
    <n v="0"/>
  </r>
  <r>
    <n v="111"/>
    <s v="Ana Santoyo García"/>
    <s v="750000000106"/>
    <n v="8.43"/>
    <n v="1"/>
    <n v="84.3"/>
    <n v="1"/>
    <d v="2026-10-10T00:00:00"/>
    <n v="10"/>
    <x v="1"/>
    <n v="8.43"/>
    <n v="0"/>
  </r>
  <r>
    <n v="112"/>
    <s v="Leticia Díaz López"/>
    <s v="750000000107"/>
    <n v="21.03"/>
    <n v="1"/>
    <n v="210.26000000000002"/>
    <n v="7"/>
    <d v="2026-09-11T00:00:00"/>
    <n v="39"/>
    <x v="2"/>
    <n v="21.029999999999998"/>
    <n v="0"/>
  </r>
  <r>
    <n v="113"/>
    <s v="Leticia Ruiz Aguilar"/>
    <s v="750000000108"/>
    <n v="37.28"/>
    <n v="1"/>
    <n v="184.39000000000001"/>
    <n v="6"/>
    <d v="2026-03-19T00:00:00"/>
    <n v="215"/>
    <x v="0"/>
    <n v="37.28"/>
    <n v="0"/>
  </r>
  <r>
    <n v="114"/>
    <s v="Elena Gutiérrez Rodríguez"/>
    <s v="750000000109"/>
    <n v="56.39"/>
    <n v="1"/>
    <n v="563.90000000000009"/>
    <n v="3"/>
    <d v="2026-09-04T00:00:00"/>
    <n v="46"/>
    <x v="2"/>
    <n v="56.39"/>
    <n v="0"/>
  </r>
  <r>
    <n v="115"/>
    <s v="Luis Castillo Cruz"/>
    <s v="750000000110"/>
    <n v="0"/>
    <n v="1"/>
    <n v="0"/>
    <n v="0"/>
    <d v="1899-12-30T00:00:00"/>
    <s v=""/>
    <x v="4"/>
    <n v="0"/>
    <n v="0"/>
  </r>
  <r>
    <n v="116"/>
    <s v="Miguel García Ortiz"/>
    <s v="750000000111"/>
    <n v="4.74"/>
    <n v="1"/>
    <n v="47.36"/>
    <n v="1"/>
    <d v="2026-05-01T00:00:00"/>
    <n v="172"/>
    <x v="0"/>
    <n v="4.74"/>
    <n v="0"/>
  </r>
  <r>
    <n v="117"/>
    <s v="Manuel Ortiz Ramírez"/>
    <s v="750000000112"/>
    <n v="112.71"/>
    <n v="1"/>
    <n v="4498.8300000000008"/>
    <n v="48"/>
    <d v="2026-08-31T00:00:00"/>
    <n v="50"/>
    <x v="2"/>
    <n v="112.70999999999995"/>
    <n v="0"/>
  </r>
  <r>
    <n v="118"/>
    <s v="Roberto Rangel Gutiérrez"/>
    <s v="750000000113"/>
    <n v="12.09"/>
    <n v="1"/>
    <n v="120.88"/>
    <n v="4"/>
    <d v="2026-09-11T00:00:00"/>
    <n v="39"/>
    <x v="2"/>
    <n v="12.09"/>
    <n v="0"/>
  </r>
  <r>
    <n v="119"/>
    <s v="Norma Sánchez Gómez"/>
    <s v="750000000114"/>
    <n v="14.68"/>
    <n v="1"/>
    <n v="146.75"/>
    <n v="1"/>
    <d v="2026-10-16T00:00:00"/>
    <n v="4"/>
    <x v="1"/>
    <n v="14.68"/>
    <n v="0"/>
  </r>
  <r>
    <n v="120"/>
    <s v="Juan Mendoza Santoyo"/>
    <s v="750000000115"/>
    <n v="2.9"/>
    <n v="1"/>
    <n v="29"/>
    <n v="1"/>
    <d v="2026-09-11T00:00:00"/>
    <n v="39"/>
    <x v="2"/>
    <n v="2.9"/>
    <n v="0"/>
  </r>
  <r>
    <n v="121"/>
    <s v="Fernando González Ortiz"/>
    <s v="750000000116"/>
    <n v="24.12"/>
    <n v="1"/>
    <n v="241.26999999999998"/>
    <n v="7"/>
    <d v="2026-09-15T00:00:00"/>
    <n v="35"/>
    <x v="2"/>
    <n v="24.12"/>
    <n v="0"/>
  </r>
  <r>
    <n v="122"/>
    <s v="Norma Sánchez Santoyo"/>
    <s v="750000000117"/>
    <n v="90.56"/>
    <n v="1"/>
    <n v="905.53"/>
    <n v="5"/>
    <d v="2026-08-07T00:00:00"/>
    <n v="74"/>
    <x v="3"/>
    <n v="90.56"/>
    <n v="0"/>
  </r>
  <r>
    <n v="123"/>
    <s v="Carmen Vázquez González"/>
    <s v="750000000118"/>
    <n v="12.61"/>
    <n v="1"/>
    <n v="125.99"/>
    <n v="4"/>
    <d v="2026-09-06T00:00:00"/>
    <n v="44"/>
    <x v="2"/>
    <n v="12.61"/>
    <n v="0"/>
  </r>
  <r>
    <n v="124"/>
    <s v="Elena Villalobos Pérez"/>
    <s v="750000000119"/>
    <n v="21.98"/>
    <n v="1"/>
    <n v="219.69"/>
    <n v="8"/>
    <d v="2026-07-27T00:00:00"/>
    <n v="85"/>
    <x v="3"/>
    <n v="21.98"/>
    <n v="0"/>
  </r>
  <r>
    <n v="125"/>
    <s v="Leticia Flores Herrera"/>
    <s v="750000000120"/>
    <n v="19.059999999999999"/>
    <n v="1"/>
    <n v="190.58"/>
    <n v="5"/>
    <d v="2026-09-22T00:00:00"/>
    <n v="28"/>
    <x v="1"/>
    <n v="19.059999999999999"/>
    <n v="0"/>
  </r>
  <r>
    <n v="126"/>
    <s v="Raúl Ávila Salazar"/>
    <s v="750000000121"/>
    <n v="74.28"/>
    <n v="1"/>
    <n v="742.79000000000008"/>
    <n v="7"/>
    <d v="2026-06-25T00:00:00"/>
    <n v="117"/>
    <x v="0"/>
    <n v="74.28"/>
    <n v="0"/>
  </r>
  <r>
    <n v="127"/>
    <s v="Raúl Ruiz Ortiz"/>
    <s v="750000000122"/>
    <n v="30.73"/>
    <n v="1"/>
    <n v="307.26"/>
    <n v="4"/>
    <d v="2026-09-22T00:00:00"/>
    <n v="28"/>
    <x v="1"/>
    <n v="30.73"/>
    <n v="0"/>
  </r>
  <r>
    <n v="128"/>
    <s v="Verónica Ortiz Rangel"/>
    <s v="750000000123"/>
    <n v="16.510000000000002"/>
    <n v="1"/>
    <n v="2620.8400000000006"/>
    <n v="88"/>
    <d v="2026-10-18T00:00:00"/>
    <n v="2"/>
    <x v="1"/>
    <n v="16.510000000000069"/>
    <n v="0"/>
  </r>
  <r>
    <n v="129"/>
    <s v="Guadalupe García Villalobos"/>
    <s v="750000000124"/>
    <n v="0"/>
    <n v="1"/>
    <n v="0"/>
    <n v="0"/>
    <d v="1899-12-30T00:00:00"/>
    <s v=""/>
    <x v="4"/>
    <n v="0"/>
    <n v="0"/>
  </r>
  <r>
    <n v="130"/>
    <s v="Roberto Castillo Gutiérrez"/>
    <s v="750000000125"/>
    <n v="9.1"/>
    <n v="1"/>
    <n v="91.01"/>
    <n v="1"/>
    <d v="2026-08-26T00:00:00"/>
    <n v="55"/>
    <x v="2"/>
    <n v="9.1"/>
    <n v="0"/>
  </r>
  <r>
    <n v="131"/>
    <s v="Raúl Quiñones Hernández"/>
    <s v="750000000126"/>
    <n v="89.42"/>
    <n v="1"/>
    <n v="894.13000000000011"/>
    <n v="5"/>
    <d v="2026-08-14T00:00:00"/>
    <n v="67"/>
    <x v="3"/>
    <n v="89.42"/>
    <n v="0"/>
  </r>
  <r>
    <n v="132"/>
    <s v="Daniel Romero Villalobos"/>
    <s v="750000000127"/>
    <n v="115.54"/>
    <n v="1"/>
    <n v="1155.3499999999999"/>
    <n v="6"/>
    <d v="2026-06-29T00:00:00"/>
    <n v="113"/>
    <x v="0"/>
    <n v="115.54"/>
    <n v="0"/>
  </r>
  <r>
    <n v="133"/>
    <s v="Silvia Villalobos Medina"/>
    <s v="750000000128"/>
    <n v="95.02"/>
    <n v="1"/>
    <n v="950.1400000000001"/>
    <n v="10"/>
    <d v="2026-09-17T00:00:00"/>
    <n v="33"/>
    <x v="2"/>
    <n v="95.02"/>
    <n v="0"/>
  </r>
  <r>
    <n v="134"/>
    <s v="Javier Moreno Ortiz"/>
    <s v="750000000129"/>
    <n v="39.06"/>
    <n v="1"/>
    <n v="8016.3600000000042"/>
    <n v="81"/>
    <d v="2026-10-17T00:00:00"/>
    <n v="3"/>
    <x v="1"/>
    <n v="39.059999999999832"/>
    <n v="0"/>
  </r>
  <r>
    <n v="135"/>
    <s v="Silvia Quiñones Delgado"/>
    <s v="750000000130"/>
    <n v="30.74"/>
    <n v="1"/>
    <n v="1187.4000000000001"/>
    <n v="7"/>
    <d v="2026-03-16T00:00:00"/>
    <n v="218"/>
    <x v="0"/>
    <n v="30.740000000000009"/>
    <n v="0"/>
  </r>
  <r>
    <n v="136"/>
    <s v="Guadalupe Castillo Rangel"/>
    <s v="750000000131"/>
    <n v="39.72"/>
    <n v="1"/>
    <n v="5183.6000000000004"/>
    <n v="51"/>
    <d v="2026-10-06T00:00:00"/>
    <n v="14"/>
    <x v="1"/>
    <n v="24.720000000000056"/>
    <n v="15"/>
  </r>
  <r>
    <n v="137"/>
    <s v="Francisco Reyes Ruiz"/>
    <s v="750000000132"/>
    <n v="24.69"/>
    <n v="1"/>
    <n v="3443.1600000000012"/>
    <n v="104"/>
    <d v="2026-10-20T00:00:00"/>
    <n v="0"/>
    <x v="1"/>
    <n v="24.689999999999934"/>
    <n v="0"/>
  </r>
  <r>
    <n v="138"/>
    <s v="Alejandro Reyes Morales"/>
    <s v="750000000133"/>
    <n v="22.89"/>
    <n v="1"/>
    <n v="577.34999999999991"/>
    <n v="19"/>
    <d v="2026-09-13T00:00:00"/>
    <n v="37"/>
    <x v="2"/>
    <n v="27.889999999999993"/>
    <n v="-5"/>
  </r>
  <r>
    <n v="139"/>
    <s v="Isabel Delgado Ramos"/>
    <s v="750000000134"/>
    <n v="14.9"/>
    <n v="1"/>
    <n v="274.04999999999995"/>
    <n v="3"/>
    <d v="2026-06-27T00:00:00"/>
    <n v="115"/>
    <x v="0"/>
    <n v="27.4"/>
    <n v="-12.5"/>
  </r>
  <r>
    <n v="140"/>
    <s v="Javier Vázquez Díaz"/>
    <s v="750000000135"/>
    <n v="0"/>
    <n v="1"/>
    <n v="0"/>
    <n v="0"/>
    <d v="1899-12-30T00:00:00"/>
    <s v=""/>
    <x v="4"/>
    <n v="0"/>
    <n v="0"/>
  </r>
  <r>
    <n v="141"/>
    <s v="Antonio Chávez Martínez"/>
    <s v="750000000136"/>
    <n v="20.329999999999998"/>
    <n v="1"/>
    <n v="1058.8699999999999"/>
    <n v="9"/>
    <d v="2026-08-04T00:00:00"/>
    <n v="77"/>
    <x v="3"/>
    <n v="20.330000000000013"/>
    <n v="0"/>
  </r>
  <r>
    <n v="142"/>
    <s v="Antonio Villalobos Pérez"/>
    <s v="750000000137"/>
    <n v="0"/>
    <n v="1"/>
    <n v="0"/>
    <n v="0"/>
    <d v="1899-12-30T00:00:00"/>
    <s v=""/>
    <x v="4"/>
    <n v="0"/>
    <n v="0"/>
  </r>
  <r>
    <n v="143"/>
    <s v="Silvia Salazar Medina"/>
    <s v="750000000138"/>
    <n v="2.74"/>
    <n v="1"/>
    <n v="27.38"/>
    <n v="1"/>
    <d v="2026-09-12T00:00:00"/>
    <n v="38"/>
    <x v="2"/>
    <n v="2.74"/>
    <n v="0"/>
  </r>
  <r>
    <n v="144"/>
    <s v="Silvia Sánchez González"/>
    <s v="750000000139"/>
    <n v="77.58"/>
    <n v="1"/>
    <n v="700.83000000000015"/>
    <n v="8"/>
    <d v="2026-05-11T00:00:00"/>
    <n v="162"/>
    <x v="0"/>
    <n v="70.08"/>
    <n v="7.5"/>
  </r>
  <r>
    <n v="145"/>
    <s v="Luis Flores Flores"/>
    <s v="750000000140"/>
    <n v="192.39"/>
    <n v="1"/>
    <n v="1923.8600000000001"/>
    <n v="9"/>
    <d v="2026-09-25T00:00:00"/>
    <n v="25"/>
    <x v="1"/>
    <n v="192.39"/>
    <n v="0"/>
  </r>
  <r>
    <n v="146"/>
    <s v="Daniel Sánchez Quiñones"/>
    <s v="750000000141"/>
    <n v="5.59"/>
    <n v="1"/>
    <n v="55.91"/>
    <n v="2"/>
    <d v="2026-09-27T00:00:00"/>
    <n v="23"/>
    <x v="1"/>
    <n v="5.59"/>
    <n v="0"/>
  </r>
  <r>
    <n v="147"/>
    <s v="Irma Cruz Delgado"/>
    <s v="750000000142"/>
    <n v="24.2"/>
    <n v="1"/>
    <n v="242.01999999999998"/>
    <n v="2"/>
    <d v="2026-10-18T00:00:00"/>
    <n v="2"/>
    <x v="1"/>
    <n v="24.2"/>
    <n v="0"/>
  </r>
  <r>
    <n v="148"/>
    <s v="Isabel Herrera Mendoza"/>
    <s v="750000000143"/>
    <n v="6.02"/>
    <n v="1"/>
    <n v="60.209999999999994"/>
    <n v="2"/>
    <d v="2026-08-20T00:00:00"/>
    <n v="61"/>
    <x v="3"/>
    <n v="6.0199999999999987"/>
    <n v="0"/>
  </r>
  <r>
    <n v="149"/>
    <s v="Pedro Morales Morales"/>
    <s v="750000000144"/>
    <n v="29.34"/>
    <n v="1"/>
    <n v="680.44999999999993"/>
    <n v="23"/>
    <d v="2026-05-20T00:00:00"/>
    <n v="153"/>
    <x v="0"/>
    <n v="29.340000000000003"/>
    <n v="0"/>
  </r>
  <r>
    <n v="150"/>
    <s v="Daniel Díaz Quiñones"/>
    <s v="750000000145"/>
    <n v="152.30000000000001"/>
    <n v="1"/>
    <n v="1523.0800000000002"/>
    <n v="18"/>
    <d v="2026-08-10T00:00:00"/>
    <n v="71"/>
    <x v="3"/>
    <n v="152.29999999999998"/>
    <n v="0"/>
  </r>
  <r>
    <n v="151"/>
    <s v="Verónica Salazar Ramos"/>
    <s v="750000000146"/>
    <n v="133.53"/>
    <n v="1"/>
    <n v="1335.3799999999999"/>
    <n v="8"/>
    <d v="2026-03-10T00:00:00"/>
    <n v="224"/>
    <x v="0"/>
    <n v="133.53"/>
    <n v="0"/>
  </r>
  <r>
    <n v="152"/>
    <s v="Héctor Rangel González"/>
    <s v="750000000147"/>
    <n v="195.38"/>
    <n v="1"/>
    <n v="1380.56"/>
    <n v="9"/>
    <d v="2026-03-07T00:00:00"/>
    <n v="227"/>
    <x v="0"/>
    <n v="195.38"/>
    <n v="0"/>
  </r>
  <r>
    <n v="153"/>
    <s v="Isabel Reyes Herrera"/>
    <s v="750000000148"/>
    <n v="6.89"/>
    <n v="1"/>
    <n v="68.900000000000006"/>
    <n v="1"/>
    <d v="2026-08-21T00:00:00"/>
    <n v="60"/>
    <x v="2"/>
    <n v="6.89"/>
    <n v="0"/>
  </r>
  <r>
    <n v="154"/>
    <s v="Manuel Chávez Flores"/>
    <s v="750000000149"/>
    <n v="24.42"/>
    <n v="1"/>
    <n v="425.13"/>
    <n v="11"/>
    <d v="2026-07-09T00:00:00"/>
    <n v="103"/>
    <x v="0"/>
    <n v="24.419999999999998"/>
    <n v="0"/>
  </r>
  <r>
    <n v="155"/>
    <s v="Óscar Santoyo Ramos"/>
    <s v="750000000150"/>
    <n v="28.43"/>
    <n v="1"/>
    <n v="277.92"/>
    <n v="8"/>
    <d v="2026-05-25T00:00:00"/>
    <n v="148"/>
    <x v="0"/>
    <n v="28.429999999999996"/>
    <n v="0"/>
  </r>
  <r>
    <n v="156"/>
    <s v="Óscar Moreno Chávez"/>
    <s v="750000000151"/>
    <n v="47.96"/>
    <n v="1"/>
    <n v="2407.3900000000008"/>
    <n v="75"/>
    <d v="2026-10-09T00:00:00"/>
    <n v="11"/>
    <x v="1"/>
    <n v="47.959999999999937"/>
    <n v="0"/>
  </r>
  <r>
    <n v="157"/>
    <s v="Jorge Martínez Herrera"/>
    <s v="750000000152"/>
    <n v="17.73"/>
    <n v="1"/>
    <n v="177.26"/>
    <n v="3"/>
    <d v="2026-08-19T00:00:00"/>
    <n v="62"/>
    <x v="3"/>
    <n v="17.73"/>
    <n v="0"/>
  </r>
  <r>
    <n v="158"/>
    <s v="Juan Rodríguez Cruz"/>
    <s v="750000000153"/>
    <n v="16.25"/>
    <n v="1"/>
    <n v="162.49"/>
    <n v="5"/>
    <d v="2026-09-06T00:00:00"/>
    <n v="44"/>
    <x v="2"/>
    <n v="16.25"/>
    <n v="0"/>
  </r>
  <r>
    <n v="159"/>
    <s v="Juan Chávez Santoyo"/>
    <s v="750000000154"/>
    <n v="2.12"/>
    <n v="1"/>
    <n v="21.2"/>
    <n v="1"/>
    <d v="2026-09-06T00:00:00"/>
    <n v="44"/>
    <x v="2"/>
    <n v="2.12"/>
    <n v="0"/>
  </r>
  <r>
    <n v="160"/>
    <s v="Silvia Delgado Medina"/>
    <s v="750000000155"/>
    <n v="17.28"/>
    <n v="1"/>
    <n v="113.58000000000001"/>
    <n v="4"/>
    <d v="2026-04-17T00:00:00"/>
    <n v="186"/>
    <x v="0"/>
    <n v="17.28"/>
    <n v="0"/>
  </r>
  <r>
    <n v="161"/>
    <s v="Carmen Villalobos Rodríguez"/>
    <s v="750000000156"/>
    <n v="27.11"/>
    <n v="1"/>
    <n v="270.99"/>
    <n v="3"/>
    <d v="2026-10-15T00:00:00"/>
    <n v="5"/>
    <x v="1"/>
    <n v="27.11"/>
    <n v="0"/>
  </r>
  <r>
    <n v="162"/>
    <s v="María Pérez Gómez"/>
    <s v="750000000157"/>
    <n v="23.83"/>
    <n v="1"/>
    <n v="238.20999999999998"/>
    <n v="4"/>
    <d v="2026-09-07T00:00:00"/>
    <n v="43"/>
    <x v="2"/>
    <n v="23.83"/>
    <n v="0"/>
  </r>
  <r>
    <n v="163"/>
    <s v="Héctor Moreno Quiñones"/>
    <s v="750000000158"/>
    <n v="56.04"/>
    <n v="1"/>
    <n v="227.06"/>
    <n v="7"/>
    <d v="2026-10-17T00:00:00"/>
    <n v="3"/>
    <x v="1"/>
    <n v="56.04"/>
    <n v="0"/>
  </r>
  <r>
    <n v="164"/>
    <s v="Sergio Ruiz Sánchez"/>
    <s v="750000000159"/>
    <n v="18.170000000000002"/>
    <n v="1"/>
    <n v="181.70999999999998"/>
    <n v="7"/>
    <d v="2026-09-18T00:00:00"/>
    <n v="32"/>
    <x v="2"/>
    <n v="18.170000000000002"/>
    <n v="0"/>
  </r>
  <r>
    <n v="165"/>
    <s v="Claudia Hernández Ávila"/>
    <s v="750000000160"/>
    <n v="6.05"/>
    <n v="1"/>
    <n v="60.52"/>
    <n v="2"/>
    <d v="2026-10-08T00:00:00"/>
    <n v="12"/>
    <x v="1"/>
    <n v="6.05"/>
    <n v="0"/>
  </r>
  <r>
    <n v="166"/>
    <s v="Alicia Vázquez Villalobos"/>
    <s v="750000000161"/>
    <n v="32.54"/>
    <n v="1"/>
    <n v="325.37"/>
    <n v="4"/>
    <d v="2026-04-29T00:00:00"/>
    <n v="174"/>
    <x v="0"/>
    <n v="32.54"/>
    <n v="0"/>
  </r>
  <r>
    <n v="167"/>
    <s v="Roberto Chávez Quiñones"/>
    <s v="750000000162"/>
    <n v="4.41"/>
    <n v="1"/>
    <n v="44.07"/>
    <n v="1"/>
    <d v="2026-09-07T00:00:00"/>
    <n v="43"/>
    <x v="2"/>
    <n v="4.41"/>
    <n v="0"/>
  </r>
  <r>
    <n v="168"/>
    <s v="Martha Sánchez García"/>
    <s v="750000000163"/>
    <n v="8.76"/>
    <n v="1"/>
    <n v="87.71"/>
    <n v="3"/>
    <d v="2026-04-19T00:00:00"/>
    <n v="184"/>
    <x v="0"/>
    <n v="8.759999999999998"/>
    <n v="0"/>
  </r>
  <r>
    <n v="169"/>
    <s v="Daniel Gómez Mendoza"/>
    <s v="750000000164"/>
    <n v="6.7"/>
    <n v="1"/>
    <n v="67.02"/>
    <n v="1"/>
    <d v="2026-10-19T00:00:00"/>
    <n v="1"/>
    <x v="1"/>
    <n v="6.7"/>
    <n v="0"/>
  </r>
  <r>
    <n v="170"/>
    <s v="Jorge Cruz Sánchez"/>
    <s v="750000000165"/>
    <n v="62.74"/>
    <n v="1"/>
    <n v="627.37"/>
    <n v="5"/>
    <d v="2026-10-13T00:00:00"/>
    <n v="7"/>
    <x v="1"/>
    <n v="62.74"/>
    <n v="0"/>
  </r>
  <r>
    <n v="171"/>
    <s v="Manuel Villalobos Ramos"/>
    <s v="750000000166"/>
    <n v="69.44"/>
    <n v="1"/>
    <n v="694.43"/>
    <n v="5"/>
    <d v="2026-10-19T00:00:00"/>
    <n v="1"/>
    <x v="1"/>
    <n v="69.44"/>
    <n v="0"/>
  </r>
  <r>
    <n v="172"/>
    <s v="Silvia Salazar Ortiz"/>
    <s v="750000000167"/>
    <n v="29.09"/>
    <n v="1"/>
    <n v="290.89"/>
    <n v="10"/>
    <d v="2026-09-25T00:00:00"/>
    <n v="25"/>
    <x v="1"/>
    <n v="29.09"/>
    <n v="0"/>
  </r>
  <r>
    <n v="173"/>
    <s v="Fernando Zacatecas Ramírez"/>
    <s v="750000000168"/>
    <n v="69.209999999999994"/>
    <n v="1"/>
    <n v="692.18000000000006"/>
    <n v="4"/>
    <d v="2026-05-24T00:00:00"/>
    <n v="149"/>
    <x v="0"/>
    <n v="69.210000000000008"/>
    <n v="0"/>
  </r>
  <r>
    <n v="174"/>
    <s v="Elena Aguilar Zacatecas"/>
    <s v="750000000169"/>
    <n v="6.26"/>
    <n v="1"/>
    <n v="62.6"/>
    <n v="2"/>
    <d v="2026-10-01T00:00:00"/>
    <n v="19"/>
    <x v="1"/>
    <n v="6.26"/>
    <n v="0"/>
  </r>
  <r>
    <n v="175"/>
    <s v="Óscar Villalobos Flores"/>
    <s v="750000000170"/>
    <n v="47.07"/>
    <n v="1"/>
    <n v="470.57"/>
    <n v="15"/>
    <d v="2026-10-10T00:00:00"/>
    <n v="10"/>
    <x v="1"/>
    <n v="47.07"/>
    <n v="0"/>
  </r>
  <r>
    <n v="176"/>
    <s v="Guadalupe Quiñones Ávila"/>
    <s v="750000000171"/>
    <n v="92.48"/>
    <n v="1"/>
    <n v="924.67"/>
    <n v="5"/>
    <d v="2026-08-25T00:00:00"/>
    <n v="56"/>
    <x v="2"/>
    <n v="92.47999999999999"/>
    <n v="0"/>
  </r>
  <r>
    <n v="177"/>
    <s v="Fernando Ortiz Santoyo"/>
    <s v="750000000172"/>
    <n v="5.79"/>
    <n v="1"/>
    <n v="57.92"/>
    <n v="2"/>
    <d v="2026-10-14T00:00:00"/>
    <n v="6"/>
    <x v="1"/>
    <n v="5.7899999999999991"/>
    <n v="0"/>
  </r>
  <r>
    <n v="178"/>
    <s v="Miguel Ruiz Salazar"/>
    <s v="750000000173"/>
    <n v="217.07"/>
    <n v="1"/>
    <n v="3267.2999999999997"/>
    <n v="18"/>
    <d v="2026-10-19T00:00:00"/>
    <n v="1"/>
    <x v="1"/>
    <n v="217.07"/>
    <n v="0"/>
  </r>
  <r>
    <n v="179"/>
    <s v="Laura Flores Villalobos"/>
    <s v="750000000174"/>
    <n v="113.31"/>
    <n v="1"/>
    <n v="1133.05"/>
    <n v="6"/>
    <d v="2026-10-13T00:00:00"/>
    <n v="7"/>
    <x v="1"/>
    <n v="113.31000000000002"/>
    <n v="0"/>
  </r>
  <r>
    <n v="180"/>
    <s v="Isabel Aguilar Pérez"/>
    <s v="750000000175"/>
    <n v="0"/>
    <n v="1"/>
    <n v="0"/>
    <n v="0"/>
    <d v="1899-12-30T00:00:00"/>
    <s v=""/>
    <x v="4"/>
    <n v="0"/>
    <n v="0"/>
  </r>
  <r>
    <n v="181"/>
    <s v="Alicia Rangel Hernández"/>
    <s v="750000000176"/>
    <n v="0"/>
    <n v="1"/>
    <n v="0"/>
    <n v="0"/>
    <d v="1899-12-30T00:00:00"/>
    <s v=""/>
    <x v="4"/>
    <n v="0"/>
    <n v="0"/>
  </r>
  <r>
    <n v="182"/>
    <s v="Manuel González Salazar"/>
    <s v="750000000177"/>
    <n v="6.27"/>
    <n v="1"/>
    <n v="62.66"/>
    <n v="1"/>
    <d v="2026-05-18T00:00:00"/>
    <n v="155"/>
    <x v="0"/>
    <n v="6.27"/>
    <n v="0"/>
  </r>
  <r>
    <n v="183"/>
    <s v="Irma Moreno Rodríguez"/>
    <s v="750000000178"/>
    <n v="105.45"/>
    <n v="1"/>
    <n v="1054.57"/>
    <n v="11"/>
    <d v="2026-10-08T00:00:00"/>
    <n v="12"/>
    <x v="1"/>
    <n v="105.44999999999997"/>
    <n v="0"/>
  </r>
  <r>
    <n v="184"/>
    <s v="Teresa Jiménez Ruiz"/>
    <s v="750000000179"/>
    <n v="32.520000000000003"/>
    <n v="1"/>
    <n v="325.10999999999996"/>
    <n v="3"/>
    <d v="2026-08-15T00:00:00"/>
    <n v="66"/>
    <x v="3"/>
    <n v="32.520000000000003"/>
    <n v="0"/>
  </r>
  <r>
    <n v="185"/>
    <s v="Teresa Martínez González"/>
    <s v="750000000180"/>
    <n v="163.63"/>
    <n v="1"/>
    <n v="1636.1599999999999"/>
    <n v="15"/>
    <d v="2026-10-09T00:00:00"/>
    <n v="11"/>
    <x v="1"/>
    <n v="163.63"/>
    <n v="0"/>
  </r>
  <r>
    <n v="186"/>
    <s v="Héctor Cruz Rodríguez"/>
    <s v="750000000181"/>
    <n v="95.07"/>
    <n v="1"/>
    <n v="950.67"/>
    <n v="10"/>
    <d v="2026-09-17T00:00:00"/>
    <n v="33"/>
    <x v="2"/>
    <n v="95.070000000000007"/>
    <n v="0"/>
  </r>
  <r>
    <n v="187"/>
    <s v="Pedro Medina Gómez"/>
    <s v="750000000182"/>
    <n v="13.42"/>
    <n v="1"/>
    <n v="134.32999999999998"/>
    <n v="5"/>
    <d v="2026-10-13T00:00:00"/>
    <n v="7"/>
    <x v="1"/>
    <n v="13.420000000000002"/>
    <n v="0"/>
  </r>
  <r>
    <n v="188"/>
    <s v="María López Ramos"/>
    <s v="750000000183"/>
    <n v="47.7"/>
    <n v="1"/>
    <n v="476.94"/>
    <n v="2"/>
    <d v="2026-10-10T00:00:00"/>
    <n v="10"/>
    <x v="1"/>
    <n v="47.7"/>
    <n v="0"/>
  </r>
  <r>
    <n v="189"/>
    <s v="Daniel Delgado Romero"/>
    <s v="750000000184"/>
    <n v="21.85"/>
    <n v="1"/>
    <n v="134.88"/>
    <n v="3"/>
    <d v="2026-08-10T00:00:00"/>
    <n v="71"/>
    <x v="3"/>
    <n v="21.85"/>
    <n v="0"/>
  </r>
  <r>
    <n v="190"/>
    <s v="Ricardo Díaz Rodríguez"/>
    <s v="750000000185"/>
    <n v="356.83"/>
    <n v="1"/>
    <n v="3568.4100000000003"/>
    <n v="18"/>
    <d v="2026-10-13T00:00:00"/>
    <n v="7"/>
    <x v="1"/>
    <n v="356.83000000000004"/>
    <n v="0"/>
  </r>
  <r>
    <n v="191"/>
    <s v="Daniel Villalobos Flores"/>
    <s v="750000000186"/>
    <n v="6.47"/>
    <n v="1"/>
    <n v="64.66"/>
    <n v="2"/>
    <d v="2026-03-24T00:00:00"/>
    <n v="210"/>
    <x v="0"/>
    <n v="6.4700000000000006"/>
    <n v="0"/>
  </r>
  <r>
    <n v="192"/>
    <s v="Leticia Gutiérrez Hernández"/>
    <s v="750000000187"/>
    <n v="30.85"/>
    <n v="1"/>
    <n v="294.60000000000002"/>
    <n v="9"/>
    <d v="2026-08-05T00:00:00"/>
    <n v="76"/>
    <x v="3"/>
    <n v="30.849999999999998"/>
    <n v="0"/>
  </r>
  <r>
    <n v="193"/>
    <s v="Héctor Ávila Gómez"/>
    <s v="750000000188"/>
    <n v="10.84"/>
    <n v="1"/>
    <n v="108.38"/>
    <n v="1"/>
    <d v="2026-08-05T00:00:00"/>
    <n v="76"/>
    <x v="3"/>
    <n v="10.84"/>
    <n v="0"/>
  </r>
  <r>
    <n v="194"/>
    <s v="Óscar Herrera Gutiérrez"/>
    <s v="750000000189"/>
    <n v="79.44"/>
    <n v="1"/>
    <n v="794.3"/>
    <n v="8"/>
    <d v="2026-10-01T00:00:00"/>
    <n v="19"/>
    <x v="1"/>
    <n v="79.439999999999984"/>
    <n v="0"/>
  </r>
  <r>
    <n v="195"/>
    <s v="Laura Salazar Pérez"/>
    <s v="750000000190"/>
    <n v="125.23"/>
    <n v="1"/>
    <n v="1252.31"/>
    <n v="8"/>
    <d v="2026-09-12T00:00:00"/>
    <n v="38"/>
    <x v="2"/>
    <n v="125.23"/>
    <n v="0"/>
  </r>
  <r>
    <n v="196"/>
    <s v="Lucía Ramos Ramos"/>
    <s v="750000000191"/>
    <n v="14.7"/>
    <n v="1"/>
    <n v="147.04999999999998"/>
    <n v="5"/>
    <d v="2026-05-03T00:00:00"/>
    <n v="170"/>
    <x v="0"/>
    <n v="14.700000000000003"/>
    <n v="0"/>
  </r>
  <r>
    <n v="197"/>
    <s v="Raúl Hernández Santoyo"/>
    <s v="750000000192"/>
    <n v="155.08000000000001"/>
    <n v="1"/>
    <n v="1550.98"/>
    <n v="15"/>
    <d v="2026-09-21T00:00:00"/>
    <n v="29"/>
    <x v="1"/>
    <n v="155.07999999999998"/>
    <n v="0"/>
  </r>
  <r>
    <n v="198"/>
    <s v="Luis Villalobos Ramos"/>
    <s v="750000000193"/>
    <n v="4.34"/>
    <n v="1"/>
    <n v="43.35"/>
    <n v="1"/>
    <d v="2026-08-15T00:00:00"/>
    <n v="66"/>
    <x v="3"/>
    <n v="4.34"/>
    <n v="0"/>
  </r>
  <r>
    <n v="199"/>
    <s v="Rosa Cruz Reyes"/>
    <s v="750000000194"/>
    <n v="0"/>
    <n v="1"/>
    <n v="0"/>
    <n v="0"/>
    <d v="1899-12-30T00:00:00"/>
    <s v=""/>
    <x v="4"/>
    <n v="0"/>
    <n v="0"/>
  </r>
  <r>
    <n v="200"/>
    <s v="Antonio Pérez Martínez"/>
    <s v="750000000195"/>
    <n v="33.26"/>
    <n v="1"/>
    <n v="332.52000000000004"/>
    <n v="11"/>
    <d v="2026-10-07T00:00:00"/>
    <n v="13"/>
    <x v="1"/>
    <n v="33.26"/>
    <n v="0"/>
  </r>
  <r>
    <n v="201"/>
    <s v="Isabel Vázquez Ramírez"/>
    <s v="750000000196"/>
    <n v="5.73"/>
    <n v="1"/>
    <n v="370.53999999999996"/>
    <n v="11"/>
    <d v="2026-09-14T00:00:00"/>
    <n v="36"/>
    <x v="2"/>
    <n v="5.730000000000004"/>
    <n v="0"/>
  </r>
  <r>
    <n v="202"/>
    <s v="Elena Díaz Reyes"/>
    <s v="750000000197"/>
    <n v="30.27"/>
    <n v="1"/>
    <n v="1002.1099999999998"/>
    <n v="33"/>
    <d v="2026-10-15T00:00:00"/>
    <n v="5"/>
    <x v="1"/>
    <n v="30.269999999999985"/>
    <n v="0"/>
  </r>
  <r>
    <n v="203"/>
    <s v="Patricia Delgado Zacatecas"/>
    <s v="750000000198"/>
    <n v="24.61"/>
    <n v="1"/>
    <n v="347.77"/>
    <n v="2"/>
    <d v="2025-12-27T00:00:00"/>
    <n v="297"/>
    <x v="0"/>
    <n v="24.61"/>
    <n v="0"/>
  </r>
  <r>
    <n v="204"/>
    <s v="Silvia Ramos Aguilar"/>
    <s v="750000000199"/>
    <n v="21.61"/>
    <n v="1"/>
    <n v="216.06"/>
    <n v="3"/>
    <d v="2026-10-05T00:00:00"/>
    <n v="15"/>
    <x v="1"/>
    <n v="21.61"/>
    <n v="0"/>
  </r>
  <r>
    <n v="205"/>
    <s v="Manuel Cruz Moreno"/>
    <s v="750000000200"/>
    <n v="14.73"/>
    <n v="1"/>
    <n v="147.27000000000001"/>
    <n v="2"/>
    <d v="2026-08-24T00:00:00"/>
    <n v="57"/>
    <x v="2"/>
    <n v="14.73"/>
    <n v="0"/>
  </r>
  <r>
    <n v="206"/>
    <s v="Patricia Rodríguez Moreno"/>
    <s v="750000000201"/>
    <n v="0"/>
    <n v="1"/>
    <n v="0"/>
    <n v="0"/>
    <d v="1899-12-30T00:00:00"/>
    <s v=""/>
    <x v="4"/>
    <n v="0"/>
    <n v="0"/>
  </r>
  <r>
    <n v="207"/>
    <s v="Leticia Vázquez Gutiérrez"/>
    <s v="750000000202"/>
    <n v="23.81"/>
    <n v="1"/>
    <n v="642.24"/>
    <n v="19"/>
    <d v="2026-08-31T00:00:00"/>
    <n v="50"/>
    <x v="2"/>
    <n v="23.809999999999995"/>
    <n v="0"/>
  </r>
  <r>
    <n v="208"/>
    <s v="Pedro Cruz Salazar"/>
    <s v="750000000203"/>
    <n v="6.9"/>
    <n v="1"/>
    <n v="68.98"/>
    <n v="2"/>
    <d v="2026-09-30T00:00:00"/>
    <n v="20"/>
    <x v="1"/>
    <n v="6.9"/>
    <n v="0"/>
  </r>
  <r>
    <n v="209"/>
    <s v="Irma Cruz González"/>
    <s v="750000000204"/>
    <n v="143.84"/>
    <n v="1"/>
    <n v="1438.36"/>
    <n v="6"/>
    <d v="2026-01-08T00:00:00"/>
    <n v="285"/>
    <x v="0"/>
    <n v="143.84"/>
    <n v="0"/>
  </r>
  <r>
    <n v="210"/>
    <s v="Óscar Romero Sánchez"/>
    <s v="750000000205"/>
    <n v="16.059999999999999"/>
    <n v="1"/>
    <n v="160.5"/>
    <n v="6"/>
    <d v="2026-07-01T00:00:00"/>
    <n v="111"/>
    <x v="0"/>
    <n v="16.060000000000002"/>
    <n v="0"/>
  </r>
  <r>
    <n v="211"/>
    <s v="Martha Sánchez Pérez"/>
    <s v="750000000206"/>
    <n v="48.91"/>
    <n v="1"/>
    <n v="489.05"/>
    <n v="5"/>
    <d v="2026-02-12T00:00:00"/>
    <n v="250"/>
    <x v="0"/>
    <n v="48.910000000000004"/>
    <n v="0"/>
  </r>
  <r>
    <n v="212"/>
    <s v="Laura Rangel Vázquez"/>
    <s v="750000000207"/>
    <n v="59.81"/>
    <n v="1"/>
    <n v="288.25"/>
    <n v="3"/>
    <d v="2026-10-07T00:00:00"/>
    <n v="13"/>
    <x v="1"/>
    <n v="59.81"/>
    <n v="0"/>
  </r>
  <r>
    <n v="213"/>
    <s v="Teresa Romero Flores"/>
    <s v="750000000208"/>
    <n v="133.58000000000001"/>
    <n v="1"/>
    <n v="1335.78"/>
    <n v="7"/>
    <d v="2026-08-14T00:00:00"/>
    <n v="67"/>
    <x v="3"/>
    <n v="133.57999999999998"/>
    <n v="0"/>
  </r>
  <r>
    <n v="214"/>
    <s v="Martha Romero Chávez"/>
    <s v="750000000209"/>
    <n v="2.79"/>
    <n v="1"/>
    <n v="27.85"/>
    <n v="1"/>
    <d v="2026-07-27T00:00:00"/>
    <n v="85"/>
    <x v="3"/>
    <n v="2.79"/>
    <n v="0"/>
  </r>
  <r>
    <n v="215"/>
    <s v="Verónica Medina Ortiz"/>
    <s v="750000000210"/>
    <n v="57.44"/>
    <n v="1"/>
    <n v="320.70999999999998"/>
    <n v="8"/>
    <d v="2026-10-11T00:00:00"/>
    <n v="9"/>
    <x v="1"/>
    <n v="57.44"/>
    <n v="0"/>
  </r>
  <r>
    <n v="216"/>
    <s v="Patricia Ávila Castillo"/>
    <s v="750000000211"/>
    <n v="2.4700000000000002"/>
    <n v="1"/>
    <n v="24.71"/>
    <n v="1"/>
    <d v="2026-07-27T00:00:00"/>
    <n v="85"/>
    <x v="3"/>
    <n v="2.4700000000000002"/>
    <n v="0"/>
  </r>
  <r>
    <n v="217"/>
    <s v="Francisco Rangel Rodríguez"/>
    <s v="750000000212"/>
    <n v="76.33"/>
    <n v="0"/>
    <n v="253.95"/>
    <n v="8"/>
    <d v="2026-04-29T00:00:00"/>
    <n v="174"/>
    <x v="0"/>
    <n v="76.330000000000013"/>
    <n v="0"/>
  </r>
  <r>
    <n v="218"/>
    <s v="Norma García López"/>
    <s v="750000000213"/>
    <n v="17.440000000000001"/>
    <n v="1"/>
    <n v="174.46"/>
    <n v="5"/>
    <d v="2026-08-28T00:00:00"/>
    <n v="53"/>
    <x v="2"/>
    <n v="17.440000000000001"/>
    <n v="0"/>
  </r>
  <r>
    <n v="219"/>
    <s v="Lucía Morales González"/>
    <s v="750000000214"/>
    <n v="5.62"/>
    <n v="1"/>
    <n v="56.19"/>
    <n v="1"/>
    <d v="2026-10-20T00:00:00"/>
    <n v="0"/>
    <x v="1"/>
    <n v="5.62"/>
    <n v="0"/>
  </r>
  <r>
    <n v="220"/>
    <s v="Isabel Morales Cruz"/>
    <s v="750000000215"/>
    <n v="11.14"/>
    <n v="1"/>
    <n v="111.30000000000001"/>
    <n v="3"/>
    <d v="2026-10-01T00:00:00"/>
    <n v="19"/>
    <x v="1"/>
    <n v="11.14"/>
    <n v="0"/>
  </r>
  <r>
    <n v="221"/>
    <s v="Norma Hernández Chávez"/>
    <s v="750000000216"/>
    <n v="223.34"/>
    <n v="1"/>
    <n v="2233.4300000000003"/>
    <n v="12"/>
    <d v="2026-08-04T00:00:00"/>
    <n v="77"/>
    <x v="3"/>
    <n v="223.33999999999997"/>
    <n v="0"/>
  </r>
  <r>
    <n v="222"/>
    <s v="Teresa Gutiérrez Díaz"/>
    <s v="750000000217"/>
    <n v="0"/>
    <n v="1"/>
    <n v="0"/>
    <n v="0"/>
    <d v="1899-12-30T00:00:00"/>
    <s v=""/>
    <x v="4"/>
    <n v="0"/>
    <n v="0"/>
  </r>
  <r>
    <n v="223"/>
    <s v="José Castillo Ortiz"/>
    <s v="750000000218"/>
    <n v="25.36"/>
    <n v="1"/>
    <n v="253.64000000000001"/>
    <n v="8"/>
    <d v="2026-07-24T00:00:00"/>
    <n v="88"/>
    <x v="3"/>
    <n v="25.359999999999996"/>
    <n v="0"/>
  </r>
  <r>
    <n v="224"/>
    <s v="Sergio López Ramírez"/>
    <s v="750000000219"/>
    <n v="5.18"/>
    <n v="1"/>
    <n v="51.84"/>
    <n v="1"/>
    <d v="2026-07-20T00:00:00"/>
    <n v="92"/>
    <x v="0"/>
    <n v="5.18"/>
    <n v="0"/>
  </r>
  <r>
    <n v="225"/>
    <s v="Carlos Salazar Medina"/>
    <s v="750000000220"/>
    <n v="4.0599999999999996"/>
    <n v="1"/>
    <n v="40.590000000000003"/>
    <n v="2"/>
    <d v="2026-09-28T00:00:00"/>
    <n v="22"/>
    <x v="1"/>
    <n v="4.0600000000000005"/>
    <n v="0"/>
  </r>
  <r>
    <n v="226"/>
    <s v="Pedro Medina Zacatecas"/>
    <s v="750000000221"/>
    <n v="0"/>
    <n v="1"/>
    <n v="0"/>
    <n v="0"/>
    <d v="1899-12-30T00:00:00"/>
    <s v=""/>
    <x v="4"/>
    <n v="0"/>
    <n v="0"/>
  </r>
  <r>
    <n v="227"/>
    <s v="Alicia Mendoza Rangel"/>
    <s v="750000000222"/>
    <n v="13.8"/>
    <n v="1"/>
    <n v="352.62"/>
    <n v="12"/>
    <d v="2026-07-18T00:00:00"/>
    <n v="94"/>
    <x v="0"/>
    <n v="13.800000000000002"/>
    <n v="0"/>
  </r>
  <r>
    <n v="228"/>
    <s v="Silvia Moreno Herrera"/>
    <s v="750000000223"/>
    <n v="8.8000000000000007"/>
    <n v="1"/>
    <n v="87.99"/>
    <n v="1"/>
    <d v="2026-09-16T00:00:00"/>
    <n v="34"/>
    <x v="2"/>
    <n v="8.8000000000000007"/>
    <n v="0"/>
  </r>
  <r>
    <n v="229"/>
    <s v="Verónica González Rodríguez"/>
    <s v="750000000224"/>
    <n v="81.2"/>
    <n v="1"/>
    <n v="4463.4900000000007"/>
    <n v="46"/>
    <d v="2026-10-15T00:00:00"/>
    <n v="5"/>
    <x v="1"/>
    <n v="81.199999999999989"/>
    <n v="0"/>
  </r>
  <r>
    <n v="230"/>
    <s v="Antonio Chávez Quiñones"/>
    <s v="750000000225"/>
    <n v="219.86"/>
    <n v="1"/>
    <n v="2198.5099999999998"/>
    <n v="12"/>
    <d v="2026-09-14T00:00:00"/>
    <n v="36"/>
    <x v="2"/>
    <n v="219.86"/>
    <n v="0"/>
  </r>
  <r>
    <n v="231"/>
    <s v="Alicia Ramos Rangel"/>
    <s v="750000000226"/>
    <n v="24.12"/>
    <n v="1"/>
    <n v="241.1"/>
    <n v="2"/>
    <d v="2026-08-31T00:00:00"/>
    <n v="50"/>
    <x v="2"/>
    <n v="24.12"/>
    <n v="0"/>
  </r>
  <r>
    <n v="232"/>
    <s v="Francisco Quiñones Morales"/>
    <s v="750000000227"/>
    <n v="25.98"/>
    <n v="1"/>
    <n v="259.69"/>
    <n v="7"/>
    <d v="2026-08-17T00:00:00"/>
    <n v="64"/>
    <x v="3"/>
    <n v="25.98"/>
    <n v="0"/>
  </r>
  <r>
    <n v="233"/>
    <s v="Guadalupe Rangel Moreno"/>
    <s v="750000000228"/>
    <n v="51.13"/>
    <n v="1"/>
    <n v="511.24999999999994"/>
    <n v="5"/>
    <d v="2026-08-16T00:00:00"/>
    <n v="65"/>
    <x v="3"/>
    <n v="51.13"/>
    <n v="0"/>
  </r>
  <r>
    <n v="234"/>
    <s v="Carmen Ruiz Gutiérrez"/>
    <s v="750000000229"/>
    <n v="105.39"/>
    <n v="1"/>
    <n v="1053.8500000000001"/>
    <n v="5"/>
    <d v="2026-05-07T00:00:00"/>
    <n v="166"/>
    <x v="0"/>
    <n v="105.39"/>
    <n v="0"/>
  </r>
  <r>
    <n v="235"/>
    <s v="Silvia González Rodríguez"/>
    <s v="750000000230"/>
    <n v="19.440000000000001"/>
    <n v="1"/>
    <n v="444.67"/>
    <n v="13"/>
    <d v="2026-08-19T00:00:00"/>
    <n v="62"/>
    <x v="3"/>
    <n v="19.439999999999994"/>
    <n v="0"/>
  </r>
  <r>
    <n v="236"/>
    <s v="Pedro Vázquez Ramírez"/>
    <s v="750000000231"/>
    <n v="0"/>
    <n v="1"/>
    <n v="0"/>
    <n v="0"/>
    <d v="1899-12-30T00:00:00"/>
    <s v=""/>
    <x v="4"/>
    <n v="0"/>
    <n v="0"/>
  </r>
  <r>
    <n v="237"/>
    <s v="Gabriela Aguilar Sánchez"/>
    <s v="750000000232"/>
    <n v="54.16"/>
    <n v="1"/>
    <n v="541.57000000000005"/>
    <n v="4"/>
    <d v="2026-09-20T00:00:00"/>
    <n v="30"/>
    <x v="1"/>
    <n v="54.16"/>
    <n v="0"/>
  </r>
  <r>
    <n v="238"/>
    <s v="Carmen López Ramos"/>
    <s v="750000000233"/>
    <n v="9.2899999999999991"/>
    <n v="1"/>
    <n v="92.87"/>
    <n v="3"/>
    <d v="2026-09-04T00:00:00"/>
    <n v="46"/>
    <x v="2"/>
    <n v="9.2900000000000009"/>
    <n v="0"/>
  </r>
  <r>
    <n v="239"/>
    <s v="Lucía Zacatecas Morales"/>
    <s v="750000000234"/>
    <n v="4.0599999999999996"/>
    <n v="0"/>
    <n v="40.619999999999997"/>
    <n v="1"/>
    <d v="2026-03-24T00:00:00"/>
    <n v="210"/>
    <x v="0"/>
    <n v="4.0599999999999996"/>
    <n v="0"/>
  </r>
  <r>
    <n v="240"/>
    <s v="Pedro Castillo Quiñones"/>
    <s v="750000000235"/>
    <n v="282.19"/>
    <n v="1"/>
    <n v="4896.5499999999993"/>
    <n v="26"/>
    <d v="2026-02-02T00:00:00"/>
    <n v="260"/>
    <x v="0"/>
    <n v="282.19000000000005"/>
    <n v="0"/>
  </r>
  <r>
    <n v="241"/>
    <s v="Lucía Cruz Herrera"/>
    <s v="750000000236"/>
    <n v="58.37"/>
    <n v="1"/>
    <n v="583.62000000000012"/>
    <n v="18"/>
    <d v="2026-09-22T00:00:00"/>
    <n v="28"/>
    <x v="1"/>
    <n v="58.370000000000005"/>
    <n v="0"/>
  </r>
  <r>
    <n v="242"/>
    <s v="Irma Quiñones García"/>
    <s v="750000000237"/>
    <n v="4.12"/>
    <n v="1"/>
    <n v="41.16"/>
    <n v="1"/>
    <d v="2026-09-07T00:00:00"/>
    <n v="43"/>
    <x v="2"/>
    <n v="4.12"/>
    <n v="0"/>
  </r>
  <r>
    <n v="243"/>
    <s v="Raúl García Díaz"/>
    <s v="750000000238"/>
    <n v="46.54"/>
    <n v="1"/>
    <n v="871.73"/>
    <n v="26"/>
    <d v="2026-10-14T00:00:00"/>
    <n v="6"/>
    <x v="1"/>
    <n v="46.539999999999992"/>
    <n v="0"/>
  </r>
  <r>
    <n v="244"/>
    <s v="Guadalupe Castillo Hernández"/>
    <s v="750000000239"/>
    <n v="147.02000000000001"/>
    <n v="1"/>
    <n v="2617.0900000000006"/>
    <n v="26"/>
    <d v="2026-08-17T00:00:00"/>
    <n v="64"/>
    <x v="3"/>
    <n v="147.02000000000001"/>
    <n v="0"/>
  </r>
  <r>
    <n v="245"/>
    <s v="Ana González Flores"/>
    <s v="750000000240"/>
    <n v="22.53"/>
    <n v="0"/>
    <n v="594.74"/>
    <n v="19"/>
    <d v="2026-09-23T00:00:00"/>
    <n v="27"/>
    <x v="1"/>
    <n v="22.529999999999994"/>
    <n v="0"/>
  </r>
  <r>
    <n v="246"/>
    <s v="Alicia Morales Jiménez"/>
    <s v="750000000241"/>
    <n v="32.340000000000003"/>
    <n v="1"/>
    <n v="323.33"/>
    <n v="9"/>
    <d v="2026-10-10T00:00:00"/>
    <n v="10"/>
    <x v="1"/>
    <n v="32.340000000000003"/>
    <n v="0"/>
  </r>
  <r>
    <n v="247"/>
    <s v="Patricia Mendoza Ruiz"/>
    <s v="750000000242"/>
    <n v="20.74"/>
    <n v="1"/>
    <n v="207.44"/>
    <n v="7"/>
    <d v="2026-08-21T00:00:00"/>
    <n v="60"/>
    <x v="2"/>
    <n v="20.740000000000002"/>
    <n v="0"/>
  </r>
  <r>
    <n v="248"/>
    <s v="Jorge López Flores"/>
    <s v="750000000243"/>
    <n v="10.84"/>
    <n v="1"/>
    <n v="108.38"/>
    <n v="1"/>
    <d v="2026-10-04T00:00:00"/>
    <n v="16"/>
    <x v="1"/>
    <n v="10.84"/>
    <n v="0"/>
  </r>
  <r>
    <n v="249"/>
    <s v="Jorge Chávez Medina"/>
    <s v="750000000244"/>
    <n v="104.71"/>
    <n v="1"/>
    <n v="815.06"/>
    <n v="8"/>
    <d v="2026-07-15T00:00:00"/>
    <n v="97"/>
    <x v="0"/>
    <n v="104.71000000000001"/>
    <n v="0"/>
  </r>
  <r>
    <n v="250"/>
    <s v="Verónica Romero Chávez"/>
    <s v="750000000245"/>
    <n v="199.54"/>
    <n v="1"/>
    <n v="9109.409999999998"/>
    <n v="90"/>
    <d v="2026-10-13T00:00:00"/>
    <n v="7"/>
    <x v="1"/>
    <n v="199.54000000000019"/>
    <n v="0"/>
  </r>
  <r>
    <n v="251"/>
    <s v="Rosa Herrera Sánchez"/>
    <s v="750000000246"/>
    <n v="50.89"/>
    <n v="1"/>
    <n v="508.74"/>
    <n v="6"/>
    <d v="2026-03-25T00:00:00"/>
    <n v="209"/>
    <x v="0"/>
    <n v="50.89"/>
    <n v="0"/>
  </r>
  <r>
    <n v="252"/>
    <s v="Martha Delgado Mendoza"/>
    <s v="750000000247"/>
    <n v="52.93"/>
    <n v="1"/>
    <n v="529.33000000000004"/>
    <n v="17"/>
    <d v="2026-08-03T00:00:00"/>
    <n v="78"/>
    <x v="3"/>
    <n v="52.930000000000007"/>
    <n v="0"/>
  </r>
  <r>
    <n v="253"/>
    <s v="Luis Hernández Morales"/>
    <s v="750000000248"/>
    <n v="29.42"/>
    <n v="1"/>
    <n v="293.60000000000002"/>
    <n v="9"/>
    <d v="2026-05-20T00:00:00"/>
    <n v="153"/>
    <x v="0"/>
    <n v="29.419999999999998"/>
    <n v="0"/>
  </r>
  <r>
    <n v="254"/>
    <s v="Antonio Gutiérrez Ramos"/>
    <s v="750000000249"/>
    <n v="56.26"/>
    <n v="1"/>
    <n v="562.58999999999992"/>
    <n v="3"/>
    <d v="2026-06-27T00:00:00"/>
    <n v="115"/>
    <x v="0"/>
    <n v="56.260000000000005"/>
    <n v="0"/>
  </r>
  <r>
    <n v="255"/>
    <s v="Carmen Díaz Ramírez"/>
    <s v="750000000250"/>
    <n v="18.39"/>
    <n v="1"/>
    <n v="183.95"/>
    <n v="6"/>
    <d v="2026-06-23T00:00:00"/>
    <n v="119"/>
    <x v="0"/>
    <n v="18.39"/>
    <n v="0"/>
  </r>
  <r>
    <n v="256"/>
    <s v="Claudia Quiñones Castillo"/>
    <s v="750000000251"/>
    <n v="0"/>
    <n v="1"/>
    <n v="0"/>
    <n v="0"/>
    <d v="1899-12-30T00:00:00"/>
    <s v=""/>
    <x v="4"/>
    <n v="0"/>
    <n v="0"/>
  </r>
  <r>
    <n v="257"/>
    <s v="Carmen García Rangel"/>
    <s v="750000000252"/>
    <n v="49.04"/>
    <n v="1"/>
    <n v="490.20999999999992"/>
    <n v="5"/>
    <d v="2026-04-19T00:00:00"/>
    <n v="184"/>
    <x v="0"/>
    <n v="49.04"/>
    <n v="0"/>
  </r>
  <r>
    <n v="258"/>
    <s v="Carmen Santoyo Moreno"/>
    <s v="750000000253"/>
    <n v="2.0699999999999998"/>
    <n v="1"/>
    <n v="20.68"/>
    <n v="1"/>
    <d v="2026-09-18T00:00:00"/>
    <n v="32"/>
    <x v="2"/>
    <n v="2.0699999999999998"/>
    <n v="0"/>
  </r>
  <r>
    <n v="259"/>
    <s v="Francisco Moreno García"/>
    <s v="750000000254"/>
    <n v="9.67"/>
    <n v="1"/>
    <n v="96.73"/>
    <n v="3"/>
    <d v="2026-07-15T00:00:00"/>
    <n v="97"/>
    <x v="0"/>
    <n v="9.67"/>
    <n v="0"/>
  </r>
  <r>
    <n v="260"/>
    <s v="Irma Rangel Vázquez"/>
    <s v="750000000255"/>
    <n v="0"/>
    <n v="1"/>
    <n v="0"/>
    <n v="0"/>
    <d v="1899-12-30T00:00:00"/>
    <s v=""/>
    <x v="4"/>
    <n v="0"/>
    <n v="0"/>
  </r>
  <r>
    <n v="261"/>
    <s v="Carmen Moreno Delgado"/>
    <s v="750000000256"/>
    <n v="97.86"/>
    <n v="1"/>
    <n v="978.41"/>
    <n v="12"/>
    <d v="2026-07-21T00:00:00"/>
    <n v="91"/>
    <x v="0"/>
    <n v="97.859999999999985"/>
    <n v="0"/>
  </r>
  <r>
    <n v="262"/>
    <s v="Guadalupe Cruz Aguilar"/>
    <s v="750000000257"/>
    <n v="41.15"/>
    <n v="1"/>
    <n v="1991.3199999999997"/>
    <n v="21"/>
    <d v="2026-05-09T00:00:00"/>
    <n v="164"/>
    <x v="0"/>
    <n v="41.150000000000006"/>
    <n v="0"/>
  </r>
  <r>
    <n v="263"/>
    <s v="Francisco Delgado Zacatecas"/>
    <s v="750000000258"/>
    <n v="11.49"/>
    <n v="0"/>
    <n v="115.00999999999999"/>
    <n v="4"/>
    <d v="2026-09-12T00:00:00"/>
    <n v="38"/>
    <x v="2"/>
    <n v="11.490000000000002"/>
    <n v="0"/>
  </r>
  <r>
    <n v="264"/>
    <s v="Rosa Flores Ortiz"/>
    <s v="750000000259"/>
    <n v="102.7"/>
    <n v="1"/>
    <n v="1026.93"/>
    <n v="5"/>
    <d v="2026-10-08T00:00:00"/>
    <n v="12"/>
    <x v="1"/>
    <n v="102.7"/>
    <n v="0"/>
  </r>
  <r>
    <n v="265"/>
    <s v="Alejandro Flores González"/>
    <s v="750000000260"/>
    <n v="115.92"/>
    <n v="1"/>
    <n v="1159.29"/>
    <n v="9"/>
    <d v="2026-05-28T00:00:00"/>
    <n v="145"/>
    <x v="0"/>
    <n v="115.92000000000002"/>
    <n v="0"/>
  </r>
  <r>
    <n v="266"/>
    <s v="Martha Rangel Santoyo"/>
    <s v="750000000261"/>
    <n v="35.94"/>
    <n v="1"/>
    <n v="359.34000000000003"/>
    <n v="2"/>
    <d v="2025-11-27T00:00:00"/>
    <n v="327"/>
    <x v="0"/>
    <n v="35.94"/>
    <n v="0"/>
  </r>
  <r>
    <n v="267"/>
    <s v="Lucía Ruiz Ruiz"/>
    <s v="750000000262"/>
    <n v="11.05"/>
    <n v="1"/>
    <n v="110.50999999999999"/>
    <n v="2"/>
    <d v="2026-07-15T00:00:00"/>
    <n v="97"/>
    <x v="0"/>
    <n v="11.05"/>
    <n v="0"/>
  </r>
  <r>
    <n v="268"/>
    <s v="Verónica Mendoza Chávez"/>
    <s v="750000000263"/>
    <n v="18.559999999999999"/>
    <n v="1"/>
    <n v="185.62"/>
    <n v="6"/>
    <d v="2026-08-04T00:00:00"/>
    <n v="77"/>
    <x v="3"/>
    <n v="18.559999999999999"/>
    <n v="0"/>
  </r>
  <r>
    <n v="269"/>
    <s v="Carlos Mendoza Rangel"/>
    <s v="750000000264"/>
    <n v="0"/>
    <n v="1"/>
    <n v="0"/>
    <n v="0"/>
    <d v="1899-12-30T00:00:00"/>
    <s v=""/>
    <x v="4"/>
    <n v="0"/>
    <n v="0"/>
  </r>
  <r>
    <n v="270"/>
    <s v="Héctor González Rodríguez"/>
    <s v="750000000265"/>
    <n v="16.54"/>
    <n v="0"/>
    <n v="106.43"/>
    <n v="3"/>
    <d v="2026-10-18T00:00:00"/>
    <n v="2"/>
    <x v="1"/>
    <n v="16.54"/>
    <n v="0"/>
  </r>
  <r>
    <n v="271"/>
    <s v="Leticia Quiñones Martínez"/>
    <s v="750000000266"/>
    <n v="6.68"/>
    <n v="1"/>
    <n v="66.81"/>
    <n v="2"/>
    <d v="2026-10-06T00:00:00"/>
    <n v="14"/>
    <x v="1"/>
    <n v="6.68"/>
    <n v="0"/>
  </r>
  <r>
    <n v="272"/>
    <s v="Fernando Ruiz Salazar"/>
    <s v="750000000267"/>
    <n v="65.17"/>
    <n v="1"/>
    <n v="651.71"/>
    <n v="3"/>
    <d v="2026-09-22T00:00:00"/>
    <n v="28"/>
    <x v="1"/>
    <n v="65.17"/>
    <n v="0"/>
  </r>
  <r>
    <n v="273"/>
    <s v="Pedro Aguilar Rodríguez"/>
    <s v="750000000268"/>
    <n v="33.880000000000003"/>
    <n v="1"/>
    <n v="90.95"/>
    <n v="3"/>
    <d v="2026-10-17T00:00:00"/>
    <n v="3"/>
    <x v="1"/>
    <n v="33.879999999999995"/>
    <n v="0"/>
  </r>
  <r>
    <n v="274"/>
    <s v="Daniel Medina Medina"/>
    <s v="750000000269"/>
    <n v="8.74"/>
    <n v="1"/>
    <n v="87.36"/>
    <n v="3"/>
    <d v="2026-03-28T00:00:00"/>
    <n v="206"/>
    <x v="0"/>
    <n v="8.74"/>
    <n v="0"/>
  </r>
  <r>
    <n v="275"/>
    <s v="Patricia Vázquez Ramos"/>
    <s v="750000000270"/>
    <n v="0"/>
    <n v="0"/>
    <n v="0"/>
    <n v="0"/>
    <d v="1899-12-30T00:00:00"/>
    <s v=""/>
    <x v="4"/>
    <n v="0"/>
    <n v="0"/>
  </r>
  <r>
    <n v="276"/>
    <s v="Norma López Aguilar"/>
    <s v="750000000271"/>
    <n v="51.28"/>
    <n v="1"/>
    <n v="165.31"/>
    <n v="5"/>
    <d v="2026-08-23T00:00:00"/>
    <n v="58"/>
    <x v="2"/>
    <n v="51.28"/>
    <n v="0"/>
  </r>
  <r>
    <n v="277"/>
    <s v="Laura Ramos Gutiérrez"/>
    <s v="750000000272"/>
    <n v="118.66"/>
    <n v="1"/>
    <n v="1111.5800000000002"/>
    <n v="11"/>
    <d v="2026-09-25T00:00:00"/>
    <n v="25"/>
    <x v="1"/>
    <n v="111.16"/>
    <n v="7.5"/>
  </r>
  <r>
    <n v="278"/>
    <s v="Norma Flores Aguilar"/>
    <s v="750000000273"/>
    <n v="58.82"/>
    <n v="1"/>
    <n v="588.21"/>
    <n v="3"/>
    <d v="2026-07-28T00:00:00"/>
    <n v="84"/>
    <x v="3"/>
    <n v="58.820000000000007"/>
    <n v="0"/>
  </r>
  <r>
    <n v="279"/>
    <s v="Rosa Mendoza Moreno"/>
    <s v="750000000274"/>
    <n v="387.35"/>
    <n v="1"/>
    <n v="3873.6099999999997"/>
    <n v="19"/>
    <d v="2026-09-09T00:00:00"/>
    <n v="41"/>
    <x v="2"/>
    <n v="387.35"/>
    <n v="0"/>
  </r>
  <r>
    <n v="280"/>
    <s v="Óscar Quiñones Jiménez"/>
    <s v="750000000275"/>
    <n v="56.69"/>
    <n v="1"/>
    <n v="231.45000000000002"/>
    <n v="6"/>
    <d v="2026-04-18T00:00:00"/>
    <n v="185"/>
    <x v="0"/>
    <n v="56.69"/>
    <n v="0"/>
  </r>
  <r>
    <n v="281"/>
    <s v="Antonio Delgado Rodríguez"/>
    <s v="750000000276"/>
    <n v="76.239999999999995"/>
    <n v="0"/>
    <n v="762.31999999999994"/>
    <n v="5"/>
    <d v="2026-10-14T00:00:00"/>
    <n v="6"/>
    <x v="1"/>
    <n v="76.240000000000009"/>
    <n v="0"/>
  </r>
  <r>
    <n v="282"/>
    <s v="Patricia García Vázquez"/>
    <s v="750000000277"/>
    <n v="44.97"/>
    <n v="1"/>
    <n v="449.71000000000004"/>
    <n v="3"/>
    <d v="2026-06-20T00:00:00"/>
    <n v="122"/>
    <x v="0"/>
    <n v="44.97"/>
    <n v="0"/>
  </r>
  <r>
    <n v="283"/>
    <s v="Martha Reyes Cruz"/>
    <s v="750000000278"/>
    <n v="7.14"/>
    <n v="1"/>
    <n v="71.39"/>
    <n v="3"/>
    <d v="2026-10-14T00:00:00"/>
    <n v="6"/>
    <x v="1"/>
    <n v="7.1400000000000006"/>
    <n v="0"/>
  </r>
  <r>
    <n v="284"/>
    <s v="Héctor Pérez Zacatecas"/>
    <s v="750000000279"/>
    <n v="1.91"/>
    <n v="1"/>
    <n v="19.100000000000001"/>
    <n v="1"/>
    <d v="2026-09-29T00:00:00"/>
    <n v="21"/>
    <x v="1"/>
    <n v="1.91"/>
    <n v="0"/>
  </r>
  <r>
    <n v="285"/>
    <s v="Alicia Martínez Aguilar"/>
    <s v="750000000280"/>
    <n v="35.799999999999997"/>
    <n v="1"/>
    <n v="908.70999999999981"/>
    <n v="30"/>
    <d v="2026-10-17T00:00:00"/>
    <n v="3"/>
    <x v="1"/>
    <n v="35.799999999999983"/>
    <n v="0"/>
  </r>
  <r>
    <n v="286"/>
    <s v="Norma Jiménez Flores"/>
    <s v="750000000281"/>
    <n v="0"/>
    <n v="1"/>
    <n v="0"/>
    <n v="0"/>
    <d v="1899-12-30T00:00:00"/>
    <s v=""/>
    <x v="4"/>
    <n v="0"/>
    <n v="0"/>
  </r>
  <r>
    <n v="287"/>
    <s v="Irma Gómez Medina"/>
    <s v="750000000282"/>
    <n v="6.53"/>
    <n v="1"/>
    <n v="65.209999999999994"/>
    <n v="3"/>
    <d v="2026-01-12T00:00:00"/>
    <n v="281"/>
    <x v="0"/>
    <n v="6.5299999999999994"/>
    <n v="0"/>
  </r>
  <r>
    <n v="288"/>
    <s v="Daniel Medina Ramos"/>
    <s v="750000000283"/>
    <n v="28.29"/>
    <n v="1"/>
    <n v="282.77"/>
    <n v="8"/>
    <d v="2026-09-15T00:00:00"/>
    <n v="35"/>
    <x v="2"/>
    <n v="28.29"/>
    <n v="0"/>
  </r>
  <r>
    <n v="289"/>
    <s v="Javier Ávila Ortiz"/>
    <s v="750000000284"/>
    <n v="41.73"/>
    <n v="1"/>
    <n v="342.25"/>
    <n v="3"/>
    <d v="2026-08-11T00:00:00"/>
    <n v="70"/>
    <x v="3"/>
    <n v="34.230000000000004"/>
    <n v="7.5"/>
  </r>
  <r>
    <n v="290"/>
    <s v="Silvia Reyes Vázquez"/>
    <s v="750000000285"/>
    <n v="37.76"/>
    <n v="1"/>
    <n v="233.17000000000002"/>
    <n v="8"/>
    <d v="2026-06-13T00:00:00"/>
    <n v="129"/>
    <x v="0"/>
    <n v="37.760000000000005"/>
    <n v="0"/>
  </r>
  <r>
    <n v="291"/>
    <s v="Leticia Ramos Jiménez"/>
    <s v="750000000286"/>
    <n v="2.4700000000000002"/>
    <n v="1"/>
    <n v="24.68"/>
    <n v="1"/>
    <d v="2026-09-03T00:00:00"/>
    <n v="47"/>
    <x v="2"/>
    <n v="2.4700000000000002"/>
    <n v="0"/>
  </r>
  <r>
    <n v="292"/>
    <s v="Fernando Ramírez Gutiérrez"/>
    <s v="750000000287"/>
    <n v="1.87"/>
    <n v="1"/>
    <n v="18.66"/>
    <n v="1"/>
    <d v="2026-05-20T00:00:00"/>
    <n v="153"/>
    <x v="0"/>
    <n v="1.87"/>
    <n v="0"/>
  </r>
  <r>
    <n v="293"/>
    <s v="Patricia Quiñones Pérez"/>
    <s v="750000000288"/>
    <n v="37.99"/>
    <n v="1"/>
    <n v="639.07000000000005"/>
    <n v="20"/>
    <d v="2026-10-13T00:00:00"/>
    <n v="7"/>
    <x v="1"/>
    <n v="37.990000000000009"/>
    <n v="0"/>
  </r>
  <r>
    <n v="294"/>
    <s v="Francisco Ramos Rodríguez"/>
    <s v="750000000289"/>
    <n v="10.5"/>
    <n v="1"/>
    <n v="105.11000000000001"/>
    <n v="4"/>
    <d v="2026-10-12T00:00:00"/>
    <n v="8"/>
    <x v="1"/>
    <n v="10.5"/>
    <n v="0"/>
  </r>
  <r>
    <n v="295"/>
    <s v="Claudia Flores Herrera"/>
    <s v="750000000290"/>
    <n v="2.7"/>
    <n v="1"/>
    <n v="27"/>
    <n v="1"/>
    <d v="2026-09-02T00:00:00"/>
    <n v="48"/>
    <x v="2"/>
    <n v="2.7"/>
    <n v="0"/>
  </r>
  <r>
    <n v="296"/>
    <s v="Verónica Castillo García"/>
    <s v="750000000291"/>
    <n v="60.48"/>
    <n v="1"/>
    <n v="420.28999999999996"/>
    <n v="5"/>
    <d v="2026-01-31T00:00:00"/>
    <n v="262"/>
    <x v="0"/>
    <n v="60.480000000000004"/>
    <n v="0"/>
  </r>
  <r>
    <n v="297"/>
    <s v="Patricia Ortiz Jiménez"/>
    <s v="750000000292"/>
    <n v="165.41"/>
    <n v="1"/>
    <n v="1654.1200000000001"/>
    <n v="20"/>
    <d v="2026-10-09T00:00:00"/>
    <n v="11"/>
    <x v="1"/>
    <n v="165.41000000000003"/>
    <n v="0"/>
  </r>
  <r>
    <n v="298"/>
    <s v="Juan Ruiz Pérez"/>
    <s v="750000000293"/>
    <n v="0"/>
    <n v="1"/>
    <n v="0"/>
    <n v="0"/>
    <d v="1899-12-30T00:00:00"/>
    <s v=""/>
    <x v="4"/>
    <n v="0"/>
    <n v="0"/>
  </r>
  <r>
    <n v="299"/>
    <s v="Manuel Ramírez Martínez"/>
    <s v="750000000294"/>
    <n v="54.99"/>
    <n v="1"/>
    <n v="549.85"/>
    <n v="5"/>
    <d v="2026-09-24T00:00:00"/>
    <n v="26"/>
    <x v="1"/>
    <n v="54.99"/>
    <n v="0"/>
  </r>
  <r>
    <n v="300"/>
    <s v="Antonio Salazar Medina"/>
    <s v="750000000295"/>
    <n v="39.119999999999997"/>
    <n v="1"/>
    <n v="391.24"/>
    <n v="5"/>
    <d v="2026-04-07T00:00:00"/>
    <n v="196"/>
    <x v="0"/>
    <n v="39.119999999999997"/>
    <n v="0"/>
  </r>
  <r>
    <n v="301"/>
    <s v="Sergio Morales Flores"/>
    <s v="750000000296"/>
    <n v="20.059999999999999"/>
    <n v="1"/>
    <n v="200.55"/>
    <n v="2"/>
    <d v="2026-05-01T00:00:00"/>
    <n v="172"/>
    <x v="0"/>
    <n v="20.060000000000002"/>
    <n v="0"/>
  </r>
  <r>
    <n v="302"/>
    <s v="Alicia Herrera Sánchez"/>
    <s v="750000000297"/>
    <n v="8.69"/>
    <n v="1"/>
    <n v="86.81"/>
    <n v="3"/>
    <d v="2026-07-01T00:00:00"/>
    <n v="111"/>
    <x v="0"/>
    <n v="8.69"/>
    <n v="0"/>
  </r>
  <r>
    <n v="303"/>
    <s v="Francisco López Ortiz"/>
    <s v="750000000298"/>
    <n v="5.1100000000000003"/>
    <n v="1"/>
    <n v="51.02"/>
    <n v="2"/>
    <d v="2026-07-15T00:00:00"/>
    <n v="97"/>
    <x v="0"/>
    <n v="5.1099999999999994"/>
    <n v="0"/>
  </r>
  <r>
    <n v="304"/>
    <s v="Leticia González Sánchez"/>
    <s v="750000000299"/>
    <n v="24.02"/>
    <n v="1"/>
    <n v="240.26"/>
    <n v="7"/>
    <d v="2026-06-25T00:00:00"/>
    <n v="117"/>
    <x v="0"/>
    <n v="24.02"/>
    <n v="0"/>
  </r>
  <r>
    <n v="305"/>
    <s v="Teresa García Zacatecas"/>
    <s v="750000000300"/>
    <n v="2.92"/>
    <n v="1"/>
    <n v="29.22"/>
    <n v="1"/>
    <d v="2026-08-07T00:00:00"/>
    <n v="74"/>
    <x v="3"/>
    <n v="2.9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354CA-8B96-47F7-AC63-36A533247454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Q3:R9" firstHeaderRow="1" firstDataRow="1" firstDataCol="1"/>
  <pivotFields count="12"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user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224C5-9F3A-4C6D-9341-AD6A37BDF7C3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N3:O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14"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>
      <items count="2516">
        <item x="74"/>
        <item x="1059"/>
        <item x="1082"/>
        <item x="2436"/>
        <item x="2230"/>
        <item x="523"/>
        <item x="10"/>
        <item x="587"/>
        <item x="1493"/>
        <item x="1551"/>
        <item x="1717"/>
        <item x="1659"/>
        <item x="2229"/>
        <item x="24"/>
        <item x="1695"/>
        <item x="2427"/>
        <item x="930"/>
        <item x="536"/>
        <item x="836"/>
        <item x="2163"/>
        <item x="1701"/>
        <item x="2346"/>
        <item x="786"/>
        <item x="2000"/>
        <item x="1434"/>
        <item x="738"/>
        <item x="1835"/>
        <item x="976"/>
        <item x="973"/>
        <item x="2367"/>
        <item x="1969"/>
        <item x="1887"/>
        <item x="1034"/>
        <item x="1512"/>
        <item x="57"/>
        <item x="717"/>
        <item x="55"/>
        <item x="71"/>
        <item x="2445"/>
        <item x="1646"/>
        <item x="748"/>
        <item x="655"/>
        <item x="28"/>
        <item x="1533"/>
        <item x="1457"/>
        <item x="637"/>
        <item x="2013"/>
        <item x="1125"/>
        <item x="550"/>
        <item x="95"/>
        <item x="318"/>
        <item x="315"/>
        <item x="168"/>
        <item x="1338"/>
        <item x="1890"/>
        <item x="63"/>
        <item x="1895"/>
        <item x="243"/>
        <item x="27"/>
        <item x="1388"/>
        <item x="1744"/>
        <item x="854"/>
        <item x="2490"/>
        <item x="2063"/>
        <item x="2188"/>
        <item x="648"/>
        <item x="469"/>
        <item x="262"/>
        <item x="75"/>
        <item x="2058"/>
        <item x="1497"/>
        <item x="2088"/>
        <item x="83"/>
        <item x="2504"/>
        <item x="1238"/>
        <item x="1606"/>
        <item x="76"/>
        <item x="931"/>
        <item x="1670"/>
        <item x="744"/>
        <item x="99"/>
        <item x="1703"/>
        <item x="253"/>
        <item x="551"/>
        <item x="1508"/>
        <item x="1294"/>
        <item x="1362"/>
        <item x="638"/>
        <item x="1559"/>
        <item x="2362"/>
        <item x="734"/>
        <item x="1674"/>
        <item x="2464"/>
        <item x="529"/>
        <item x="2050"/>
        <item x="689"/>
        <item x="1775"/>
        <item x="1688"/>
        <item x="1440"/>
        <item x="1104"/>
        <item x="1283"/>
        <item x="98"/>
        <item x="1393"/>
        <item x="73"/>
        <item x="316"/>
        <item x="642"/>
        <item x="950"/>
        <item x="1626"/>
        <item x="2185"/>
        <item x="853"/>
        <item x="803"/>
        <item x="1840"/>
        <item x="245"/>
        <item x="765"/>
        <item x="959"/>
        <item x="2449"/>
        <item x="579"/>
        <item x="1262"/>
        <item x="62"/>
        <item x="767"/>
        <item x="167"/>
        <item x="200"/>
        <item x="84"/>
        <item x="2440"/>
        <item x="617"/>
        <item x="1445"/>
        <item x="2364"/>
        <item x="1932"/>
        <item x="25"/>
        <item x="1226"/>
        <item x="2142"/>
        <item x="1070"/>
        <item x="1991"/>
        <item x="1719"/>
        <item x="701"/>
        <item x="1798"/>
        <item x="2481"/>
        <item x="684"/>
        <item x="345"/>
        <item x="1344"/>
        <item x="2311"/>
        <item x="442"/>
        <item x="1759"/>
        <item x="2028"/>
        <item x="1326"/>
        <item x="90"/>
        <item x="112"/>
        <item x="1210"/>
        <item x="61"/>
        <item x="2357"/>
        <item x="72"/>
        <item x="1256"/>
        <item x="241"/>
        <item x="818"/>
        <item x="1314"/>
        <item x="2031"/>
        <item x="1645"/>
        <item x="97"/>
        <item x="1545"/>
        <item x="1456"/>
        <item x="2278"/>
        <item x="1733"/>
        <item x="1159"/>
        <item x="1923"/>
        <item x="913"/>
        <item x="439"/>
        <item x="1242"/>
        <item x="1189"/>
        <item x="1848"/>
        <item x="425"/>
        <item x="925"/>
        <item x="383"/>
        <item x="60"/>
        <item x="1401"/>
        <item x="1197"/>
        <item x="1662"/>
        <item x="489"/>
        <item x="88"/>
        <item x="1284"/>
        <item x="1740"/>
        <item x="1576"/>
        <item x="1106"/>
        <item x="2029"/>
        <item x="756"/>
        <item x="1055"/>
        <item x="1395"/>
        <item x="1725"/>
        <item x="2450"/>
        <item x="1439"/>
        <item x="965"/>
        <item x="171"/>
        <item x="2203"/>
        <item x="1050"/>
        <item x="1582"/>
        <item x="629"/>
        <item x="895"/>
        <item x="1096"/>
        <item x="434"/>
        <item x="454"/>
        <item x="1358"/>
        <item x="2233"/>
        <item x="910"/>
        <item x="521"/>
        <item x="2416"/>
        <item x="458"/>
        <item x="1404"/>
        <item x="994"/>
        <item x="93"/>
        <item x="889"/>
        <item x="868"/>
        <item x="929"/>
        <item x="893"/>
        <item x="2251"/>
        <item x="1547"/>
        <item x="2053"/>
        <item x="1359"/>
        <item x="683"/>
        <item x="1536"/>
        <item x="1364"/>
        <item x="842"/>
        <item x="2232"/>
        <item x="1111"/>
        <item x="1103"/>
        <item x="322"/>
        <item x="2003"/>
        <item x="1334"/>
        <item x="2094"/>
        <item x="240"/>
        <item x="2093"/>
        <item x="237"/>
        <item x="1948"/>
        <item x="952"/>
        <item x="1862"/>
        <item x="840"/>
        <item x="1601"/>
        <item x="70"/>
        <item x="1766"/>
        <item x="1273"/>
        <item x="277"/>
        <item x="1823"/>
        <item x="1372"/>
        <item x="614"/>
        <item x="53"/>
        <item x="82"/>
        <item x="416"/>
        <item x="1819"/>
        <item x="1859"/>
        <item x="1018"/>
        <item x="1304"/>
        <item x="54"/>
        <item x="714"/>
        <item x="1660"/>
        <item x="596"/>
        <item x="1267"/>
        <item x="1878"/>
        <item x="2353"/>
        <item x="1889"/>
        <item x="2090"/>
        <item x="139"/>
        <item x="1487"/>
        <item x="811"/>
        <item x="654"/>
        <item x="1945"/>
        <item x="1302"/>
        <item x="798"/>
        <item x="457"/>
        <item x="1249"/>
        <item x="1392"/>
        <item x="1996"/>
        <item x="1239"/>
        <item x="506"/>
        <item x="409"/>
        <item x="2038"/>
        <item x="784"/>
        <item x="1094"/>
        <item x="2176"/>
        <item x="544"/>
        <item x="2509"/>
        <item x="1081"/>
        <item x="2303"/>
        <item x="288"/>
        <item x="1623"/>
        <item x="1721"/>
        <item x="1421"/>
        <item x="2217"/>
        <item x="1301"/>
        <item x="1672"/>
        <item x="211"/>
        <item x="808"/>
        <item x="59"/>
        <item x="1484"/>
        <item x="1286"/>
        <item x="193"/>
        <item x="1396"/>
        <item x="8"/>
        <item x="1268"/>
        <item x="438"/>
        <item x="800"/>
        <item x="1454"/>
        <item x="1891"/>
        <item x="170"/>
        <item x="641"/>
        <item x="81"/>
        <item x="2446"/>
        <item x="1574"/>
        <item x="2214"/>
        <item x="958"/>
        <item x="858"/>
        <item x="1067"/>
        <item x="85"/>
        <item x="1327"/>
        <item x="1187"/>
        <item x="367"/>
        <item x="1828"/>
        <item x="1426"/>
        <item x="1110"/>
        <item x="2457"/>
        <item x="1351"/>
        <item x="1151"/>
        <item x="2308"/>
        <item x="2254"/>
        <item x="2174"/>
        <item x="165"/>
        <item x="346"/>
        <item x="1838"/>
        <item x="918"/>
        <item x="1524"/>
        <item x="647"/>
        <item x="694"/>
        <item x="11"/>
        <item x="541"/>
        <item x="669"/>
        <item x="1474"/>
        <item x="1367"/>
        <item x="86"/>
        <item x="935"/>
        <item x="1720"/>
        <item x="763"/>
        <item x="1366"/>
        <item x="1716"/>
        <item x="1958"/>
        <item x="814"/>
        <item x="1023"/>
        <item x="2172"/>
        <item x="1155"/>
        <item x="1661"/>
        <item x="2482"/>
        <item x="79"/>
        <item x="2447"/>
        <item x="779"/>
        <item x="1845"/>
        <item x="919"/>
        <item x="2285"/>
        <item x="1917"/>
        <item x="396"/>
        <item x="659"/>
        <item x="312"/>
        <item x="1754"/>
        <item x="632"/>
        <item x="568"/>
        <item x="604"/>
        <item x="1112"/>
        <item x="2197"/>
        <item x="1444"/>
        <item x="1277"/>
        <item x="2513"/>
        <item x="320"/>
        <item x="557"/>
        <item x="1757"/>
        <item x="533"/>
        <item x="1532"/>
        <item x="2120"/>
        <item x="1025"/>
        <item x="1796"/>
        <item x="2444"/>
        <item x="852"/>
        <item x="1062"/>
        <item x="1374"/>
        <item x="2195"/>
        <item x="1228"/>
        <item x="58"/>
        <item x="400"/>
        <item x="951"/>
        <item x="1566"/>
        <item x="1697"/>
        <item x="293"/>
        <item x="2118"/>
        <item x="2072"/>
        <item x="2128"/>
        <item x="2227"/>
        <item x="1252"/>
        <item x="1075"/>
        <item x="1378"/>
        <item x="2066"/>
        <item x="2206"/>
        <item x="1013"/>
        <item x="570"/>
        <item x="77"/>
        <item x="916"/>
        <item x="2305"/>
        <item x="1818"/>
        <item x="428"/>
        <item x="1435"/>
        <item x="586"/>
        <item x="1195"/>
        <item x="2100"/>
        <item x="1808"/>
        <item x="2505"/>
        <item x="94"/>
        <item x="630"/>
        <item x="2089"/>
        <item x="2134"/>
        <item x="2282"/>
        <item x="2180"/>
        <item x="348"/>
        <item x="1052"/>
        <item x="866"/>
        <item x="1220"/>
        <item x="2205"/>
        <item x="2113"/>
        <item x="1169"/>
        <item x="1071"/>
        <item x="254"/>
        <item x="87"/>
        <item x="2321"/>
        <item x="880"/>
        <item x="2498"/>
        <item x="351"/>
        <item x="881"/>
        <item x="7"/>
        <item x="1807"/>
        <item x="310"/>
        <item x="1133"/>
        <item x="196"/>
        <item x="2133"/>
        <item x="1871"/>
        <item x="1618"/>
        <item x="394"/>
        <item x="1581"/>
        <item x="1881"/>
        <item x="1906"/>
        <item x="1115"/>
        <item x="1925"/>
        <item x="1489"/>
        <item x="732"/>
        <item x="1584"/>
        <item x="955"/>
        <item x="764"/>
        <item x="932"/>
        <item x="2132"/>
        <item x="1902"/>
        <item x="440"/>
        <item x="1400"/>
        <item x="1258"/>
        <item x="349"/>
        <item x="1066"/>
        <item x="986"/>
        <item x="742"/>
        <item x="907"/>
        <item x="1911"/>
        <item x="2001"/>
        <item x="2027"/>
        <item x="608"/>
        <item x="1376"/>
        <item x="1132"/>
        <item x="2194"/>
        <item x="1500"/>
        <item x="1506"/>
        <item x="1472"/>
        <item x="1428"/>
        <item x="2503"/>
        <item x="1061"/>
        <item x="835"/>
        <item x="1452"/>
        <item x="2210"/>
        <item x="1027"/>
        <item x="1928"/>
        <item x="770"/>
        <item x="2084"/>
        <item x="824"/>
        <item x="301"/>
        <item x="100"/>
        <item x="1634"/>
        <item x="790"/>
        <item x="1844"/>
        <item x="703"/>
        <item x="1638"/>
        <item x="210"/>
        <item x="719"/>
        <item x="422"/>
        <item x="2355"/>
        <item x="1726"/>
        <item x="807"/>
        <item x="1057"/>
        <item x="2463"/>
        <item x="1841"/>
        <item x="1458"/>
        <item x="284"/>
        <item x="1873"/>
        <item x="877"/>
        <item x="1231"/>
        <item x="857"/>
        <item x="2304"/>
        <item x="2358"/>
        <item x="56"/>
        <item x="762"/>
        <item x="2167"/>
        <item x="250"/>
        <item x="424"/>
        <item x="1824"/>
        <item x="2138"/>
        <item x="401"/>
        <item x="619"/>
        <item x="1225"/>
        <item x="91"/>
        <item x="172"/>
        <item x="715"/>
        <item x="2470"/>
        <item x="652"/>
        <item x="451"/>
        <item x="1580"/>
        <item x="848"/>
        <item x="1682"/>
        <item x="1971"/>
        <item x="1631"/>
        <item x="1710"/>
        <item x="2067"/>
        <item x="1671"/>
        <item x="1927"/>
        <item x="2350"/>
        <item x="1046"/>
        <item x="1666"/>
        <item x="1316"/>
        <item x="1150"/>
        <item x="2315"/>
        <item x="1781"/>
        <item x="199"/>
        <item x="2196"/>
        <item x="2409"/>
        <item x="2122"/>
        <item x="745"/>
        <item x="610"/>
        <item x="2243"/>
        <item x="1960"/>
        <item x="1116"/>
        <item x="2337"/>
        <item x="1003"/>
        <item x="1678"/>
        <item x="2103"/>
        <item x="559"/>
        <item x="1221"/>
        <item x="828"/>
        <item x="1142"/>
        <item x="1680"/>
        <item x="2186"/>
        <item x="1655"/>
        <item x="1158"/>
        <item x="2461"/>
        <item x="89"/>
        <item x="1748"/>
        <item x="2448"/>
        <item x="1953"/>
        <item x="1382"/>
        <item x="2474"/>
        <item x="2307"/>
        <item x="2360"/>
        <item x="1337"/>
        <item x="1861"/>
        <item x="1105"/>
        <item x="658"/>
        <item x="583"/>
        <item x="775"/>
        <item x="2250"/>
        <item x="1537"/>
        <item x="947"/>
        <item x="2313"/>
        <item x="2187"/>
        <item x="516"/>
        <item x="1162"/>
        <item x="1709"/>
        <item x="750"/>
        <item x="238"/>
        <item x="783"/>
        <item x="2238"/>
        <item x="270"/>
        <item x="535"/>
        <item x="4"/>
        <item x="1817"/>
        <item x="650"/>
        <item x="1149"/>
        <item x="2412"/>
        <item x="113"/>
        <item x="2441"/>
        <item x="1534"/>
        <item x="2111"/>
        <item x="769"/>
        <item x="1569"/>
        <item x="1833"/>
        <item x="802"/>
        <item x="453"/>
        <item x="1093"/>
        <item x="274"/>
        <item x="1907"/>
        <item x="1810"/>
        <item x="2062"/>
        <item x="1447"/>
        <item x="831"/>
        <item x="138"/>
        <item x="101"/>
        <item x="578"/>
        <item x="2192"/>
        <item x="1739"/>
        <item x="1518"/>
        <item x="382"/>
        <item x="2175"/>
        <item x="1196"/>
        <item x="606"/>
        <item x="1832"/>
        <item x="555"/>
        <item x="735"/>
        <item x="1076"/>
        <item x="2295"/>
        <item x="2510"/>
        <item x="699"/>
        <item x="224"/>
        <item x="1507"/>
        <item x="1375"/>
        <item x="1708"/>
        <item x="908"/>
        <item x="2396"/>
        <item x="1379"/>
        <item x="678"/>
        <item x="158"/>
        <item x="2261"/>
        <item x="1296"/>
        <item x="1608"/>
        <item x="1499"/>
        <item x="2182"/>
        <item x="2424"/>
        <item x="572"/>
        <item x="2018"/>
        <item x="1475"/>
        <item x="1451"/>
        <item x="581"/>
        <item x="672"/>
        <item x="1275"/>
        <item x="754"/>
        <item x="2359"/>
        <item x="2296"/>
        <item x="1990"/>
        <item x="302"/>
        <item x="2454"/>
        <item x="1866"/>
        <item x="498"/>
        <item x="1847"/>
        <item x="1109"/>
        <item x="679"/>
        <item x="1229"/>
        <item x="1734"/>
        <item x="1825"/>
        <item x="1095"/>
        <item x="136"/>
        <item x="1517"/>
        <item x="2144"/>
        <item x="1986"/>
        <item x="499"/>
        <item x="774"/>
        <item x="1756"/>
        <item x="548"/>
        <item x="542"/>
        <item x="564"/>
        <item x="2429"/>
        <item x="851"/>
        <item x="1539"/>
        <item x="2506"/>
        <item x="1676"/>
        <item x="2452"/>
        <item x="1529"/>
        <item x="1461"/>
        <item x="1235"/>
        <item x="1593"/>
        <item x="2386"/>
        <item x="174"/>
        <item x="343"/>
        <item x="1137"/>
        <item x="576"/>
        <item x="1629"/>
        <item x="324"/>
        <item x="788"/>
        <item x="1730"/>
        <item x="2487"/>
        <item x="80"/>
        <item x="2484"/>
        <item x="2415"/>
        <item x="1191"/>
        <item x="2017"/>
        <item x="799"/>
        <item x="567"/>
        <item x="2393"/>
        <item x="872"/>
        <item x="998"/>
        <item x="1570"/>
        <item x="465"/>
        <item x="1747"/>
        <item x="2075"/>
        <item x="1636"/>
        <item x="1001"/>
        <item x="2220"/>
        <item x="2428"/>
        <item x="2433"/>
        <item x="2024"/>
        <item x="1459"/>
        <item x="1821"/>
        <item x="1651"/>
        <item x="662"/>
        <item x="1852"/>
        <item x="2216"/>
        <item x="109"/>
        <item x="2272"/>
        <item x="2082"/>
        <item x="2240"/>
        <item x="2462"/>
        <item x="1957"/>
        <item x="2235"/>
        <item x="1724"/>
        <item x="979"/>
        <item x="1449"/>
        <item x="1553"/>
        <item x="1613"/>
        <item x="1552"/>
        <item x="1012"/>
        <item x="1407"/>
        <item x="483"/>
        <item x="1020"/>
        <item x="308"/>
        <item x="1763"/>
        <item x="2271"/>
        <item x="323"/>
        <item x="1735"/>
        <item x="96"/>
        <item x="252"/>
        <item x="1713"/>
        <item x="1860"/>
        <item x="392"/>
        <item x="1541"/>
        <item x="1072"/>
        <item x="1091"/>
        <item x="869"/>
        <item x="1419"/>
        <item x="2125"/>
        <item x="1714"/>
        <item x="2398"/>
        <item x="2071"/>
        <item x="2293"/>
        <item x="1797"/>
        <item x="362"/>
        <item x="643"/>
        <item x="978"/>
        <item x="2435"/>
        <item x="169"/>
        <item x="2414"/>
        <item x="23"/>
        <item x="2496"/>
        <item x="752"/>
        <item x="2366"/>
        <item x="1693"/>
        <item x="1579"/>
        <item x="2299"/>
        <item x="406"/>
        <item x="1648"/>
        <item x="2500"/>
        <item x="1099"/>
        <item x="1998"/>
        <item x="896"/>
        <item x="311"/>
        <item x="1729"/>
        <item x="639"/>
        <item x="92"/>
        <item x="1632"/>
        <item x="1145"/>
        <item x="2005"/>
        <item x="838"/>
        <item x="1402"/>
        <item x="1779"/>
        <item x="1980"/>
        <item x="1897"/>
        <item x="1280"/>
        <item x="2477"/>
        <item x="2127"/>
        <item x="2345"/>
        <item x="945"/>
        <item x="242"/>
        <item x="111"/>
        <item x="397"/>
        <item x="2468"/>
        <item x="1877"/>
        <item x="2102"/>
        <item x="371"/>
        <item x="1605"/>
        <item x="904"/>
        <item x="2148"/>
        <item x="729"/>
        <item x="2065"/>
        <item x="960"/>
        <item x="1179"/>
        <item x="1855"/>
        <item x="2335"/>
        <item x="1442"/>
        <item x="226"/>
        <item x="2330"/>
        <item x="609"/>
        <item x="810"/>
        <item x="1624"/>
        <item x="1597"/>
        <item x="503"/>
        <item x="306"/>
        <item x="1696"/>
        <item x="2318"/>
        <item x="1216"/>
        <item x="1312"/>
        <item x="1022"/>
        <item x="2434"/>
        <item x="1394"/>
        <item x="1784"/>
        <item x="450"/>
        <item x="1589"/>
        <item x="971"/>
        <item x="1245"/>
        <item x="598"/>
        <item x="2168"/>
        <item x="1276"/>
        <item x="1140"/>
        <item x="865"/>
        <item x="997"/>
        <item x="702"/>
        <item x="1147"/>
        <item x="2334"/>
        <item x="1477"/>
        <item x="18"/>
        <item x="1882"/>
        <item x="251"/>
        <item x="2193"/>
        <item x="1469"/>
        <item x="309"/>
        <item x="1780"/>
        <item x="1257"/>
        <item x="248"/>
        <item x="1063"/>
        <item x="1557"/>
        <item x="2328"/>
        <item x="9"/>
        <item x="894"/>
        <item x="2306"/>
        <item x="656"/>
        <item x="1643"/>
        <item x="739"/>
        <item x="2383"/>
        <item x="2242"/>
        <item x="520"/>
        <item x="1687"/>
        <item x="569"/>
        <item x="267"/>
        <item x="1424"/>
        <item x="2473"/>
        <item x="217"/>
        <item x="1455"/>
        <item x="255"/>
        <item x="713"/>
        <item x="625"/>
        <item x="1462"/>
        <item x="2007"/>
        <item x="26"/>
        <item x="532"/>
        <item x="1635"/>
        <item x="538"/>
        <item x="2081"/>
        <item x="1157"/>
        <item x="65"/>
        <item x="173"/>
        <item x="1872"/>
        <item x="1849"/>
        <item x="1936"/>
        <item x="1356"/>
        <item x="2378"/>
        <item x="2112"/>
        <item x="1762"/>
        <item x="2479"/>
        <item x="2069"/>
        <item x="1776"/>
        <item x="1199"/>
        <item x="1702"/>
        <item x="726"/>
        <item x="1350"/>
        <item x="1809"/>
        <item x="2511"/>
        <item x="222"/>
        <item x="1786"/>
        <item x="2052"/>
        <item x="2044"/>
        <item x="2037"/>
        <item x="1954"/>
        <item x="201"/>
        <item x="2204"/>
        <item x="300"/>
        <item x="2033"/>
        <item x="1893"/>
        <item x="360"/>
        <item x="420"/>
        <item x="1900"/>
        <item x="1088"/>
        <item x="355"/>
        <item x="2310"/>
        <item x="2451"/>
        <item x="627"/>
        <item x="772"/>
        <item x="1120"/>
        <item x="2002"/>
        <item x="1621"/>
        <item x="2413"/>
        <item x="753"/>
        <item x="1588"/>
        <item x="2466"/>
        <item x="547"/>
        <item x="942"/>
        <item x="833"/>
        <item x="849"/>
        <item x="1628"/>
        <item x="330"/>
        <item x="1938"/>
        <item x="1490"/>
        <item x="1767"/>
        <item x="1573"/>
        <item x="963"/>
        <item x="1598"/>
        <item x="2320"/>
        <item x="1992"/>
        <item x="2317"/>
        <item x="463"/>
        <item x="667"/>
        <item x="1009"/>
        <item x="2258"/>
        <item x="256"/>
        <item x="1934"/>
        <item x="1943"/>
        <item x="505"/>
        <item x="2351"/>
        <item x="249"/>
        <item x="941"/>
        <item x="1498"/>
        <item x="1987"/>
        <item x="2493"/>
        <item x="1857"/>
        <item x="903"/>
        <item x="143"/>
        <item x="2057"/>
        <item x="1504"/>
        <item x="2406"/>
        <item x="1193"/>
        <item x="329"/>
        <item x="1956"/>
        <item x="2106"/>
        <item x="1408"/>
        <item x="577"/>
        <item x="368"/>
        <item x="874"/>
        <item x="2234"/>
        <item x="353"/>
        <item x="1602"/>
        <item x="480"/>
        <item x="2489"/>
        <item x="940"/>
        <item x="2004"/>
        <item x="1471"/>
        <item x="2275"/>
        <item x="1965"/>
        <item x="793"/>
        <item x="2467"/>
        <item x="1899"/>
        <item x="1139"/>
        <item x="1152"/>
        <item x="1792"/>
        <item x="2339"/>
        <item x="580"/>
        <item x="1820"/>
        <item x="1521"/>
        <item x="1711"/>
        <item x="1854"/>
        <item x="110"/>
        <item x="1704"/>
        <item x="1373"/>
        <item x="1611"/>
        <item x="1549"/>
        <item x="2405"/>
        <item x="2154"/>
        <item x="1774"/>
        <item x="886"/>
        <item x="911"/>
        <item x="276"/>
        <item x="2263"/>
        <item x="1381"/>
        <item x="948"/>
        <item x="1491"/>
        <item x="1237"/>
        <item x="1811"/>
        <item x="1879"/>
        <item x="1036"/>
        <item x="352"/>
        <item x="195"/>
        <item x="1993"/>
        <item x="2207"/>
        <item x="2333"/>
        <item x="2394"/>
        <item x="417"/>
        <item x="1952"/>
        <item x="1815"/>
        <item x="1596"/>
        <item x="673"/>
        <item x="2016"/>
        <item x="218"/>
        <item x="597"/>
        <item x="268"/>
        <item x="487"/>
        <item x="2147"/>
        <item x="467"/>
        <item x="1722"/>
        <item x="1959"/>
        <item x="1234"/>
        <item x="2411"/>
        <item x="1922"/>
        <item x="751"/>
        <item x="2395"/>
        <item x="387"/>
        <item x="1637"/>
        <item x="78"/>
        <item x="327"/>
        <item x="2324"/>
        <item x="1984"/>
        <item x="636"/>
        <item x="1528"/>
        <item x="2158"/>
        <item x="2189"/>
        <item x="2190"/>
        <item x="873"/>
        <item x="909"/>
        <item x="1982"/>
        <item x="2347"/>
        <item x="2104"/>
        <item x="141"/>
        <item x="549"/>
        <item x="1516"/>
        <item x="1347"/>
        <item x="768"/>
        <item x="595"/>
        <item x="1804"/>
        <item x="1677"/>
        <item x="2283"/>
        <item x="1692"/>
        <item x="1625"/>
        <item x="1743"/>
        <item x="905"/>
        <item x="2399"/>
        <item x="1172"/>
        <item x="2438"/>
        <item x="937"/>
        <item x="1513"/>
        <item x="901"/>
        <item x="2401"/>
        <item x="1051"/>
        <item x="213"/>
        <item x="2200"/>
        <item x="379"/>
        <item x="358"/>
        <item x="1411"/>
        <item x="475"/>
        <item x="2015"/>
        <item x="214"/>
        <item x="1519"/>
        <item x="476"/>
        <item x="337"/>
        <item x="1026"/>
        <item x="758"/>
        <item x="841"/>
        <item x="2465"/>
        <item x="2139"/>
        <item x="1130"/>
        <item x="2201"/>
        <item x="1065"/>
        <item x="1298"/>
        <item x="856"/>
        <item x="1997"/>
        <item x="271"/>
        <item x="1568"/>
        <item x="1343"/>
        <item x="2455"/>
        <item x="2042"/>
        <item x="1218"/>
        <item x="2431"/>
        <item x="1287"/>
        <item x="1186"/>
        <item x="216"/>
        <item x="21"/>
        <item x="1465"/>
        <item x="333"/>
        <item x="1955"/>
        <item x="589"/>
        <item x="511"/>
        <item x="38"/>
        <item x="826"/>
        <item x="332"/>
        <item x="1609"/>
        <item x="1814"/>
        <item x="809"/>
        <item x="64"/>
        <item x="730"/>
        <item x="1595"/>
        <item x="1182"/>
        <item x="1788"/>
        <item x="1297"/>
        <item x="2425"/>
        <item x="680"/>
        <item x="2400"/>
        <item x="688"/>
        <item x="257"/>
        <item x="1173"/>
        <item x="2343"/>
        <item x="1790"/>
        <item x="1578"/>
        <item x="1386"/>
        <item x="1785"/>
        <item x="1360"/>
        <item x="179"/>
        <item x="2253"/>
        <item x="2368"/>
        <item x="1858"/>
        <item x="2202"/>
        <item x="1920"/>
        <item x="389"/>
        <item x="2218"/>
        <item x="198"/>
        <item x="2074"/>
        <item x="573"/>
        <item x="2381"/>
        <item x="674"/>
        <item x="227"/>
        <item x="2099"/>
        <item x="912"/>
        <item x="1905"/>
        <item x="1259"/>
        <item x="1087"/>
        <item x="989"/>
        <item x="1560"/>
        <item x="1951"/>
        <item x="746"/>
        <item x="2087"/>
        <item x="981"/>
        <item x="1243"/>
        <item x="1264"/>
        <item x="806"/>
        <item x="749"/>
        <item x="666"/>
        <item x="527"/>
        <item x="1649"/>
        <item x="525"/>
        <item x="20"/>
        <item x="706"/>
        <item x="1007"/>
        <item x="561"/>
        <item x="459"/>
        <item x="876"/>
        <item x="490"/>
        <item x="3"/>
        <item x="1417"/>
        <item x="1543"/>
        <item x="2246"/>
        <item x="2255"/>
        <item x="1279"/>
        <item x="723"/>
        <item x="1414"/>
        <item x="915"/>
        <item x="1270"/>
        <item x="781"/>
        <item x="870"/>
        <item x="724"/>
        <item x="1288"/>
        <item x="2165"/>
        <item x="879"/>
        <item x="142"/>
        <item x="2171"/>
        <item x="239"/>
        <item x="1585"/>
        <item x="2116"/>
        <item x="1482"/>
        <item x="526"/>
        <item x="1731"/>
        <item x="431"/>
        <item x="1068"/>
        <item x="1834"/>
        <item x="653"/>
        <item x="388"/>
        <item x="1556"/>
        <item x="884"/>
        <item x="269"/>
        <item x="135"/>
        <item x="817"/>
        <item x="737"/>
        <item x="700"/>
        <item x="1973"/>
        <item x="531"/>
        <item x="1652"/>
        <item x="687"/>
        <item x="2512"/>
        <item x="17"/>
        <item x="2226"/>
        <item x="1966"/>
        <item x="640"/>
        <item x="1904"/>
        <item x="944"/>
        <item x="317"/>
        <item x="2156"/>
        <item x="1293"/>
        <item x="164"/>
        <item x="1332"/>
        <item x="1079"/>
        <item x="1830"/>
        <item x="747"/>
        <item x="2453"/>
        <item x="1247"/>
        <item x="1240"/>
        <item x="623"/>
        <item x="1236"/>
        <item x="2105"/>
        <item x="2478"/>
        <item x="1912"/>
        <item x="223"/>
        <item x="16"/>
        <item x="539"/>
        <item x="2332"/>
        <item x="2439"/>
        <item x="504"/>
        <item x="137"/>
        <item x="303"/>
        <item x="2155"/>
        <item x="1884"/>
        <item x="194"/>
        <item x="2486"/>
        <item x="1850"/>
        <item x="1778"/>
        <item x="1908"/>
        <item x="1208"/>
        <item x="740"/>
        <item x="376"/>
        <item x="275"/>
        <item x="2419"/>
        <item x="603"/>
        <item x="1194"/>
        <item x="660"/>
        <item x="228"/>
        <item x="1049"/>
        <item x="1118"/>
        <item x="2209"/>
        <item x="140"/>
        <item x="1901"/>
        <item x="1432"/>
        <item x="785"/>
        <item x="2039"/>
        <item x="1289"/>
        <item x="977"/>
        <item x="1787"/>
        <item x="1555"/>
        <item x="2183"/>
        <item x="2423"/>
        <item x="1175"/>
        <item x="1669"/>
        <item x="449"/>
        <item x="2178"/>
        <item x="1468"/>
        <item x="2115"/>
        <item x="1453"/>
        <item x="2248"/>
        <item x="1430"/>
        <item x="2060"/>
        <item x="244"/>
        <item x="875"/>
        <item x="421"/>
        <item x="455"/>
        <item x="1185"/>
        <item x="1028"/>
        <item x="681"/>
        <item x="488"/>
        <item x="331"/>
        <item x="816"/>
        <item x="1188"/>
        <item x="134"/>
        <item x="1667"/>
        <item x="708"/>
        <item x="133"/>
        <item x="615"/>
        <item x="1723"/>
        <item x="823"/>
        <item x="2388"/>
        <item x="1826"/>
        <item x="966"/>
        <item x="1892"/>
        <item x="364"/>
        <item x="1251"/>
        <item x="1978"/>
        <item x="957"/>
        <item x="2408"/>
        <item x="1056"/>
        <item x="1933"/>
        <item x="2373"/>
        <item x="280"/>
        <item x="2456"/>
        <item x="2073"/>
        <item x="2340"/>
        <item x="1994"/>
        <item x="6"/>
        <item x="1813"/>
        <item x="373"/>
        <item x="1827"/>
        <item x="1423"/>
        <item x="385"/>
        <item x="1496"/>
        <item x="2329"/>
        <item x="1053"/>
        <item x="698"/>
        <item x="314"/>
        <item x="1108"/>
        <item x="2079"/>
        <item x="2080"/>
        <item x="2010"/>
        <item x="2095"/>
        <item x="2221"/>
        <item x="1918"/>
        <item x="1043"/>
        <item x="2284"/>
        <item x="1924"/>
        <item x="1976"/>
        <item x="2076"/>
        <item x="2426"/>
        <item x="2270"/>
        <item x="2023"/>
        <item x="1633"/>
        <item x="304"/>
        <item x="1177"/>
        <item x="233"/>
        <item x="1464"/>
        <item x="664"/>
        <item x="920"/>
        <item x="402"/>
        <item x="1829"/>
        <item x="178"/>
        <item x="710"/>
        <item x="2380"/>
        <item x="124"/>
        <item x="1224"/>
        <item x="2241"/>
        <item x="2239"/>
        <item x="1668"/>
        <item x="1988"/>
        <item x="1644"/>
        <item x="2502"/>
        <item x="725"/>
        <item x="1309"/>
        <item x="1058"/>
        <item x="2083"/>
        <item x="782"/>
        <item x="1282"/>
        <item x="2514"/>
        <item x="2432"/>
        <item x="152"/>
        <item x="1690"/>
        <item x="261"/>
        <item x="1564"/>
        <item x="1202"/>
        <item x="479"/>
        <item x="1544"/>
        <item x="1100"/>
        <item x="1874"/>
        <item x="1323"/>
        <item x="1248"/>
        <item x="1015"/>
        <item x="470"/>
        <item x="1494"/>
        <item x="1311"/>
        <item x="1647"/>
        <item x="1592"/>
        <item x="2199"/>
        <item x="1898"/>
        <item x="1306"/>
        <item x="225"/>
        <item x="1437"/>
        <item x="285"/>
        <item x="160"/>
        <item x="1167"/>
        <item x="1805"/>
        <item x="1939"/>
        <item x="759"/>
        <item x="1995"/>
        <item x="1970"/>
        <item x="2316"/>
        <item x="923"/>
        <item x="1663"/>
        <item x="441"/>
        <item x="1742"/>
        <item x="1336"/>
        <item x="2157"/>
        <item x="1964"/>
        <item x="1909"/>
        <item x="2159"/>
        <item x="202"/>
        <item x="1903"/>
        <item x="2143"/>
        <item x="1989"/>
        <item x="543"/>
        <item x="2078"/>
        <item x="369"/>
        <item x="883"/>
        <item x="1161"/>
        <item x="2236"/>
        <item x="1974"/>
        <item x="1478"/>
        <item x="1531"/>
        <item x="1771"/>
        <item x="553"/>
        <item x="206"/>
        <item x="1679"/>
        <item x="1060"/>
        <item x="403"/>
        <item x="258"/>
        <item x="1764"/>
        <item x="1915"/>
        <item x="2077"/>
        <item x="1203"/>
        <item x="493"/>
        <item x="35"/>
        <item x="2040"/>
        <item x="468"/>
        <item x="1522"/>
        <item x="1803"/>
        <item x="1694"/>
        <item x="1689"/>
        <item x="691"/>
        <item x="1941"/>
        <item x="1937"/>
        <item x="2146"/>
        <item x="600"/>
        <item x="562"/>
        <item x="2379"/>
        <item x="2061"/>
        <item x="295"/>
        <item x="466"/>
        <item x="5"/>
        <item x="188"/>
        <item x="1086"/>
        <item x="1699"/>
        <item x="718"/>
        <item x="1127"/>
        <item x="1077"/>
        <item x="2032"/>
        <item x="1300"/>
        <item x="2223"/>
        <item x="2410"/>
        <item x="1869"/>
        <item x="1308"/>
        <item x="956"/>
        <item x="2166"/>
        <item x="2365"/>
        <item x="1080"/>
        <item x="1520"/>
        <item x="1184"/>
        <item x="189"/>
        <item x="1575"/>
        <item x="2266"/>
        <item x="1926"/>
        <item x="727"/>
        <item x="413"/>
        <item x="1863"/>
        <item x="712"/>
        <item x="19"/>
        <item x="651"/>
        <item x="408"/>
        <item x="372"/>
        <item x="1317"/>
        <item x="1681"/>
        <item x="1753"/>
        <item x="207"/>
        <item x="215"/>
        <item x="844"/>
        <item x="1979"/>
        <item x="1345"/>
        <item x="37"/>
        <item x="1801"/>
        <item x="1330"/>
        <item x="1913"/>
        <item x="1488"/>
        <item x="1755"/>
        <item x="2231"/>
        <item x="1614"/>
        <item x="2096"/>
        <item x="1599"/>
        <item x="1772"/>
        <item x="2059"/>
        <item x="1253"/>
        <item x="2009"/>
        <item x="305"/>
        <item x="2020"/>
        <item x="1617"/>
        <item x="2402"/>
        <item x="156"/>
        <item x="2035"/>
        <item x="1181"/>
        <item x="530"/>
        <item x="1505"/>
        <item x="686"/>
        <item x="2422"/>
        <item x="1770"/>
        <item x="447"/>
        <item x="1594"/>
        <item x="1037"/>
        <item x="2491"/>
        <item x="1427"/>
        <item x="115"/>
        <item x="2219"/>
        <item x="1030"/>
        <item x="370"/>
        <item x="1363"/>
        <item x="906"/>
        <item x="338"/>
        <item x="2068"/>
        <item x="721"/>
        <item x="1525"/>
        <item x="1035"/>
        <item x="1685"/>
        <item x="934"/>
        <item x="2222"/>
        <item x="882"/>
        <item x="2273"/>
        <item x="2301"/>
        <item x="2382"/>
        <item x="2370"/>
        <item x="795"/>
        <item x="1946"/>
        <item x="2480"/>
        <item x="429"/>
        <item x="2259"/>
        <item x="146"/>
        <item x="1403"/>
        <item x="296"/>
        <item x="2442"/>
        <item x="2145"/>
        <item x="363"/>
        <item x="822"/>
        <item x="144"/>
        <item x="1016"/>
        <item x="1409"/>
        <item x="507"/>
        <item x="1640"/>
        <item x="514"/>
        <item x="878"/>
        <item x="1019"/>
        <item x="1024"/>
        <item x="1250"/>
        <item x="1751"/>
        <item x="290"/>
        <item x="2129"/>
        <item x="1880"/>
        <item x="1718"/>
        <item x="2160"/>
        <item x="231"/>
        <item x="999"/>
        <item x="2356"/>
        <item x="1204"/>
        <item x="1583"/>
        <item x="2212"/>
        <item x="384"/>
        <item x="2404"/>
        <item x="22"/>
        <item x="1335"/>
        <item x="2403"/>
        <item x="1341"/>
        <item x="902"/>
        <item x="2418"/>
        <item x="2179"/>
        <item x="663"/>
        <item x="2"/>
        <item x="1791"/>
        <item x="983"/>
        <item x="1281"/>
        <item x="1418"/>
        <item x="2287"/>
        <item x="1931"/>
        <item x="2288"/>
        <item x="2349"/>
        <item x="984"/>
        <item x="1209"/>
        <item x="1223"/>
        <item x="289"/>
        <item x="819"/>
        <item x="325"/>
        <item x="456"/>
        <item x="1322"/>
        <item x="2269"/>
        <item x="1031"/>
        <item x="776"/>
        <item x="191"/>
        <item x="1732"/>
        <item x="2026"/>
        <item x="1415"/>
        <item x="1563"/>
        <item x="1868"/>
        <item x="2022"/>
        <item x="247"/>
        <item x="2292"/>
        <item x="2056"/>
        <item x="1950"/>
        <item x="452"/>
        <item x="1550"/>
        <item x="1200"/>
        <item x="2314"/>
        <item x="2169"/>
        <item x="1349"/>
        <item x="1048"/>
        <item x="631"/>
        <item x="1180"/>
        <item x="1822"/>
        <item x="209"/>
        <item x="574"/>
        <item x="2265"/>
        <item x="48"/>
        <item x="741"/>
        <item x="1963"/>
        <item x="1463"/>
        <item x="30"/>
        <item x="2421"/>
        <item x="1972"/>
        <item x="129"/>
        <item x="1527"/>
        <item x="624"/>
        <item x="2354"/>
        <item x="771"/>
        <item x="1113"/>
        <item x="2036"/>
        <item x="427"/>
        <item x="166"/>
        <item x="1760"/>
        <item x="757"/>
        <item x="283"/>
        <item x="294"/>
        <item x="731"/>
        <item x="675"/>
        <item x="150"/>
        <item x="1467"/>
        <item x="328"/>
        <item x="2312"/>
        <item x="509"/>
        <item x="1083"/>
        <item x="1495"/>
        <item x="2277"/>
        <item x="1705"/>
        <item x="1144"/>
        <item x="862"/>
        <item x="405"/>
        <item x="281"/>
        <item x="1698"/>
        <item x="1313"/>
        <item x="1856"/>
        <item x="2508"/>
        <item x="1045"/>
        <item x="1064"/>
        <item x="399"/>
        <item x="42"/>
        <item x="1441"/>
        <item x="936"/>
        <item x="812"/>
        <item x="755"/>
        <item x="326"/>
        <item x="508"/>
        <item x="1894"/>
        <item x="1192"/>
        <item x="40"/>
        <item x="1746"/>
        <item x="670"/>
        <item x="2385"/>
        <item x="766"/>
        <item x="837"/>
        <item x="938"/>
        <item x="949"/>
        <item x="813"/>
        <item x="888"/>
        <item x="1397"/>
        <item x="1385"/>
        <item x="1134"/>
        <item x="212"/>
        <item x="588"/>
        <item x="114"/>
        <item x="1307"/>
        <item x="221"/>
        <item x="1136"/>
        <item x="51"/>
        <item x="2121"/>
        <item x="1656"/>
        <item x="682"/>
        <item x="377"/>
        <item x="307"/>
        <item x="510"/>
        <item x="491"/>
        <item x="391"/>
        <item x="344"/>
        <item x="50"/>
        <item x="2469"/>
        <item x="519"/>
        <item x="2374"/>
        <item x="685"/>
        <item x="2372"/>
        <item x="437"/>
        <item x="558"/>
        <item x="395"/>
        <item x="1509"/>
        <item x="890"/>
        <item x="534"/>
        <item x="1339"/>
        <item x="1371"/>
        <item x="102"/>
        <item x="2348"/>
        <item x="2046"/>
        <item x="342"/>
        <item x="1483"/>
        <item x="1492"/>
        <item x="832"/>
        <item x="968"/>
        <item x="234"/>
        <item x="357"/>
        <item x="1665"/>
        <item x="2475"/>
        <item x="1949"/>
        <item x="1639"/>
        <item x="1178"/>
        <item x="612"/>
        <item x="1101"/>
        <item x="445"/>
        <item x="515"/>
        <item x="1691"/>
        <item x="1123"/>
        <item x="2407"/>
        <item x="259"/>
        <item x="649"/>
        <item x="626"/>
        <item x="1348"/>
        <item x="1333"/>
        <item x="962"/>
        <item x="496"/>
        <item x="1600"/>
        <item x="590"/>
        <item x="1562"/>
        <item x="1085"/>
        <item x="1728"/>
        <item x="117"/>
        <item x="272"/>
        <item x="2377"/>
        <item x="1148"/>
        <item x="985"/>
        <item x="2173"/>
        <item x="1029"/>
        <item x="1675"/>
        <item x="1591"/>
        <item x="571"/>
        <item x="1033"/>
        <item x="1266"/>
        <item x="1758"/>
        <item x="1981"/>
        <item x="645"/>
        <item x="827"/>
        <item x="1554"/>
        <item x="917"/>
        <item x="1870"/>
        <item x="192"/>
        <item x="2126"/>
        <item x="528"/>
        <item x="1460"/>
        <item x="2363"/>
        <item x="961"/>
        <item x="1342"/>
        <item x="1567"/>
        <item x="2109"/>
        <item x="105"/>
        <item x="1615"/>
        <item x="181"/>
        <item x="1816"/>
        <item x="2327"/>
        <item x="125"/>
        <item x="1265"/>
        <item x="2483"/>
        <item x="1380"/>
        <item x="313"/>
        <item x="620"/>
        <item x="1968"/>
        <item x="815"/>
        <item x="2302"/>
        <item x="1853"/>
        <item x="696"/>
        <item x="546"/>
        <item x="1523"/>
        <item x="2274"/>
        <item x="646"/>
        <item x="2257"/>
        <item x="1207"/>
        <item x="1712"/>
        <item x="1329"/>
        <item x="278"/>
        <item x="1357"/>
        <item x="704"/>
        <item x="575"/>
        <item x="743"/>
        <item x="644"/>
        <item x="1102"/>
        <item x="1090"/>
        <item x="1084"/>
        <item x="497"/>
        <item x="151"/>
        <item x="1126"/>
        <item x="1420"/>
        <item x="359"/>
        <item x="1448"/>
        <item x="1325"/>
        <item x="2298"/>
        <item x="122"/>
        <item x="1604"/>
        <item x="1865"/>
        <item x="412"/>
        <item x="616"/>
        <item x="1002"/>
        <item x="1620"/>
        <item x="1761"/>
        <item x="1124"/>
        <item x="1514"/>
        <item x="1138"/>
        <item x="891"/>
        <item x="1745"/>
        <item x="599"/>
        <item x="1405"/>
        <item x="927"/>
        <item x="1160"/>
        <item x="46"/>
        <item x="1641"/>
        <item x="1650"/>
        <item x="1214"/>
        <item x="208"/>
        <item x="1227"/>
        <item x="1387"/>
        <item x="926"/>
        <item x="492"/>
        <item x="260"/>
        <item x="1737"/>
        <item x="375"/>
        <item x="1977"/>
        <item x="2141"/>
        <item x="1010"/>
        <item x="292"/>
        <item x="1318"/>
        <item x="205"/>
        <item x="14"/>
        <item x="545"/>
        <item x="1515"/>
        <item x="2297"/>
        <item x="1657"/>
        <item x="1619"/>
        <item x="1616"/>
        <item x="593"/>
        <item x="2124"/>
        <item x="1433"/>
        <item x="2051"/>
        <item x="2342"/>
        <item x="1117"/>
        <item x="107"/>
        <item x="1183"/>
        <item x="398"/>
        <item x="1261"/>
        <item x="2228"/>
        <item x="49"/>
        <item x="967"/>
        <item x="792"/>
        <item x="411"/>
        <item x="1153"/>
        <item x="2041"/>
        <item x="477"/>
        <item x="106"/>
        <item x="163"/>
        <item x="104"/>
        <item x="500"/>
        <item x="859"/>
        <item x="1384"/>
        <item x="2331"/>
        <item x="665"/>
        <item x="1365"/>
        <item x="892"/>
        <item x="418"/>
        <item x="964"/>
        <item x="513"/>
        <item x="2149"/>
        <item x="692"/>
        <item x="1165"/>
        <item x="414"/>
        <item x="953"/>
        <item x="1741"/>
        <item x="2047"/>
        <item x="2225"/>
        <item x="661"/>
        <item x="677"/>
        <item x="2191"/>
        <item x="1476"/>
        <item x="2499"/>
        <item x="933"/>
        <item x="2336"/>
        <item x="1198"/>
        <item x="690"/>
        <item x="871"/>
        <item x="1004"/>
        <item x="2030"/>
        <item x="2215"/>
        <item x="2262"/>
        <item x="52"/>
        <item x="1000"/>
        <item x="2055"/>
        <item x="1285"/>
        <item x="1156"/>
        <item x="1320"/>
        <item x="1354"/>
        <item x="1054"/>
        <item x="356"/>
        <item x="864"/>
        <item x="591"/>
        <item x="1561"/>
        <item x="2086"/>
        <item x="2117"/>
        <item x="299"/>
        <item x="127"/>
        <item x="621"/>
        <item x="1369"/>
        <item x="464"/>
        <item x="855"/>
        <item x="433"/>
        <item x="2290"/>
        <item x="733"/>
        <item x="44"/>
        <item x="187"/>
        <item x="123"/>
        <item x="286"/>
        <item x="2281"/>
        <item x="1842"/>
        <item x="1837"/>
        <item x="43"/>
        <item x="633"/>
        <item x="829"/>
        <item x="1321"/>
        <item x="149"/>
        <item x="197"/>
        <item x="1783"/>
        <item x="1352"/>
        <item x="1983"/>
        <item x="1047"/>
        <item x="2085"/>
        <item x="130"/>
        <item x="461"/>
        <item x="975"/>
        <item x="1044"/>
        <item x="1715"/>
        <item x="2260"/>
        <item x="921"/>
        <item x="176"/>
        <item x="780"/>
        <item x="2064"/>
        <item x="1174"/>
        <item x="2208"/>
        <item x="407"/>
        <item x="722"/>
        <item x="190"/>
        <item x="991"/>
        <item x="861"/>
        <item x="794"/>
        <item x="335"/>
        <item x="993"/>
        <item x="478"/>
        <item x="1919"/>
        <item x="2476"/>
        <item x="728"/>
        <item x="2130"/>
        <item x="2101"/>
        <item x="987"/>
        <item x="1750"/>
        <item x="203"/>
        <item x="1700"/>
        <item x="1278"/>
        <item x="1422"/>
        <item x="1587"/>
        <item x="45"/>
        <item x="634"/>
        <item x="1839"/>
        <item x="1571"/>
        <item x="1603"/>
        <item x="2019"/>
        <item x="1664"/>
        <item x="825"/>
        <item x="460"/>
        <item x="1794"/>
        <item x="2245"/>
        <item x="1241"/>
        <item x="1526"/>
        <item x="1039"/>
        <item x="473"/>
        <item x="2091"/>
        <item x="1511"/>
        <item x="1255"/>
        <item x="1622"/>
        <item x="2153"/>
        <item x="448"/>
        <item x="2319"/>
        <item x="777"/>
        <item x="419"/>
        <item x="797"/>
        <item x="2289"/>
        <item x="1399"/>
        <item x="66"/>
        <item x="177"/>
        <item x="1812"/>
        <item x="2119"/>
        <item x="128"/>
        <item x="390"/>
        <item x="1246"/>
        <item x="13"/>
        <item x="897"/>
        <item x="1947"/>
        <item x="1886"/>
        <item x="524"/>
        <item x="321"/>
        <item x="789"/>
        <item x="846"/>
        <item x="319"/>
        <item x="1331"/>
        <item x="2309"/>
        <item x="1406"/>
        <item x="229"/>
        <item x="1319"/>
        <item x="41"/>
        <item x="1481"/>
        <item x="2437"/>
        <item x="1131"/>
        <item x="1684"/>
        <item x="1883"/>
        <item x="736"/>
        <item x="2501"/>
        <item x="1914"/>
        <item x="990"/>
        <item x="155"/>
        <item x="2420"/>
        <item x="939"/>
        <item x="235"/>
        <item x="145"/>
        <item x="922"/>
        <item x="2485"/>
        <item x="1802"/>
        <item x="154"/>
        <item x="1431"/>
        <item x="1795"/>
        <item x="556"/>
        <item x="760"/>
        <item x="1967"/>
        <item x="1154"/>
        <item x="676"/>
        <item x="668"/>
        <item x="1942"/>
        <item x="787"/>
        <item x="175"/>
        <item x="2150"/>
        <item x="1653"/>
        <item x="996"/>
        <item x="426"/>
        <item x="1410"/>
        <item x="2300"/>
        <item x="1119"/>
        <item x="611"/>
        <item x="119"/>
        <item x="415"/>
        <item x="2375"/>
        <item x="180"/>
        <item x="1211"/>
        <item x="1782"/>
        <item x="2341"/>
        <item x="1627"/>
        <item x="162"/>
        <item x="1799"/>
        <item x="628"/>
        <item x="2237"/>
        <item x="2443"/>
        <item x="1416"/>
        <item x="1572"/>
        <item x="1014"/>
        <item x="566"/>
        <item x="898"/>
        <item x="582"/>
        <item x="1190"/>
        <item x="266"/>
        <item x="2198"/>
        <item x="863"/>
        <item x="1916"/>
        <item x="2092"/>
        <item x="485"/>
        <item x="2376"/>
        <item x="378"/>
        <item x="15"/>
        <item x="693"/>
        <item x="116"/>
        <item x="711"/>
        <item x="68"/>
        <item x="2213"/>
        <item x="1097"/>
        <item x="147"/>
        <item x="618"/>
        <item x="2460"/>
        <item x="484"/>
        <item x="1398"/>
        <item x="298"/>
        <item x="1789"/>
        <item x="1041"/>
        <item x="1538"/>
        <item x="1303"/>
        <item x="287"/>
        <item x="924"/>
        <item x="339"/>
        <item x="2249"/>
        <item x="1176"/>
        <item x="2045"/>
        <item x="1368"/>
        <item x="778"/>
        <item x="2267"/>
        <item x="2012"/>
        <item x="361"/>
        <item x="430"/>
        <item x="804"/>
        <item x="1263"/>
        <item x="946"/>
        <item x="1768"/>
        <item x="1129"/>
        <item x="1295"/>
        <item x="1425"/>
        <item x="709"/>
        <item x="2387"/>
        <item x="2458"/>
        <item x="1831"/>
        <item x="805"/>
        <item x="705"/>
        <item x="264"/>
        <item x="1078"/>
        <item x="1944"/>
        <item x="2389"/>
        <item x="1752"/>
        <item x="1843"/>
        <item x="518"/>
        <item x="365"/>
        <item x="1480"/>
        <item x="2097"/>
        <item x="1896"/>
        <item x="720"/>
        <item x="1361"/>
        <item x="393"/>
        <item x="2430"/>
        <item x="435"/>
        <item x="2107"/>
        <item x="1006"/>
        <item x="502"/>
        <item x="1706"/>
        <item x="2108"/>
        <item x="34"/>
        <item x="29"/>
        <item x="1607"/>
        <item x="246"/>
        <item x="1135"/>
        <item x="820"/>
        <item x="410"/>
        <item x="1163"/>
        <item x="1612"/>
        <item x="2006"/>
        <item x="47"/>
        <item x="1793"/>
        <item x="2244"/>
        <item x="108"/>
        <item x="1092"/>
        <item x="560"/>
        <item x="2495"/>
        <item x="1383"/>
        <item x="1999"/>
        <item x="2098"/>
        <item x="2170"/>
        <item x="481"/>
        <item x="1073"/>
        <item x="2114"/>
        <item x="1370"/>
        <item x="494"/>
        <item x="1590"/>
        <item x="843"/>
        <item x="1219"/>
        <item x="381"/>
        <item x="273"/>
        <item x="1851"/>
        <item x="1962"/>
        <item x="118"/>
        <item x="2459"/>
        <item x="486"/>
        <item x="1930"/>
        <item x="1232"/>
        <item x="1940"/>
        <item x="834"/>
        <item x="1673"/>
        <item x="1586"/>
        <item x="657"/>
        <item x="995"/>
        <item x="1146"/>
        <item x="2507"/>
        <item x="1222"/>
        <item x="436"/>
        <item x="1233"/>
        <item x="2286"/>
        <item x="297"/>
        <item x="2048"/>
        <item x="2361"/>
        <item x="2323"/>
        <item x="1215"/>
        <item x="1806"/>
        <item x="1305"/>
        <item x="1021"/>
        <item x="839"/>
        <item x="157"/>
        <item x="1166"/>
        <item x="2417"/>
        <item x="1412"/>
        <item x="1503"/>
        <item x="236"/>
        <item x="1769"/>
        <item x="1310"/>
        <item x="1630"/>
        <item x="1291"/>
        <item x="1315"/>
        <item x="263"/>
        <item x="1466"/>
        <item x="552"/>
        <item x="159"/>
        <item x="1875"/>
        <item x="2397"/>
        <item x="1867"/>
        <item x="132"/>
        <item x="914"/>
        <item x="39"/>
        <item x="2390"/>
        <item x="796"/>
        <item x="161"/>
        <item x="1479"/>
        <item x="773"/>
        <item x="1032"/>
        <item x="899"/>
        <item x="1122"/>
        <item x="1501"/>
        <item x="12"/>
        <item x="2011"/>
        <item x="887"/>
        <item x="1212"/>
        <item x="1069"/>
        <item x="860"/>
        <item x="1089"/>
        <item x="184"/>
        <item x="340"/>
        <item x="1473"/>
        <item x="1328"/>
        <item x="380"/>
        <item x="761"/>
        <item x="2054"/>
        <item x="1353"/>
        <item x="2034"/>
        <item x="1206"/>
        <item x="613"/>
        <item x="540"/>
        <item x="1565"/>
        <item x="444"/>
        <item x="1929"/>
        <item x="0"/>
        <item x="495"/>
        <item x="2177"/>
        <item x="501"/>
        <item x="446"/>
        <item x="1450"/>
        <item x="1446"/>
        <item x="1292"/>
        <item x="821"/>
        <item x="1143"/>
        <item x="2164"/>
        <item x="1121"/>
        <item x="1141"/>
        <item x="2043"/>
        <item x="69"/>
        <item x="219"/>
        <item x="801"/>
        <item x="2392"/>
        <item x="847"/>
        <item x="1107"/>
        <item x="1114"/>
        <item x="366"/>
        <item x="2279"/>
        <item x="1836"/>
        <item x="2280"/>
        <item x="182"/>
        <item x="374"/>
        <item x="2325"/>
        <item x="2494"/>
        <item x="482"/>
        <item x="1510"/>
        <item x="1299"/>
        <item x="992"/>
        <item x="1610"/>
        <item x="2326"/>
        <item x="2137"/>
        <item x="592"/>
        <item x="2131"/>
        <item x="1658"/>
        <item x="1502"/>
        <item x="2264"/>
        <item x="2151"/>
        <item x="1201"/>
        <item x="1272"/>
        <item x="1274"/>
        <item x="204"/>
        <item x="31"/>
        <item x="1485"/>
        <item x="565"/>
        <item x="1749"/>
        <item x="830"/>
        <item x="1530"/>
        <item x="2021"/>
        <item x="471"/>
        <item x="2322"/>
        <item x="972"/>
        <item x="517"/>
        <item x="1846"/>
        <item x="607"/>
        <item x="423"/>
        <item x="2161"/>
        <item x="1548"/>
        <item x="2384"/>
        <item x="1486"/>
        <item x="594"/>
        <item x="1170"/>
        <item x="2049"/>
        <item x="1164"/>
        <item x="1975"/>
        <item x="474"/>
        <item x="2497"/>
        <item x="1540"/>
        <item x="2256"/>
        <item x="386"/>
        <item x="2135"/>
        <item x="1736"/>
        <item x="1642"/>
        <item x="1885"/>
        <item x="350"/>
        <item x="2294"/>
        <item x="584"/>
        <item x="1765"/>
        <item x="537"/>
        <item x="695"/>
        <item x="291"/>
        <item x="1017"/>
        <item x="1390"/>
        <item x="716"/>
        <item x="1038"/>
        <item x="982"/>
        <item x="1429"/>
        <item x="2136"/>
        <item x="1271"/>
        <item x="850"/>
        <item x="601"/>
        <item x="336"/>
        <item x="635"/>
        <item x="563"/>
        <item x="432"/>
        <item x="512"/>
        <item x="1436"/>
        <item x="2492"/>
        <item x="969"/>
        <item x="279"/>
        <item x="148"/>
        <item x="2391"/>
        <item x="943"/>
        <item x="1864"/>
        <item x="1230"/>
        <item x="232"/>
        <item x="230"/>
        <item x="1040"/>
        <item x="334"/>
        <item x="605"/>
        <item x="347"/>
        <item x="885"/>
        <item x="1269"/>
        <item x="33"/>
        <item x="404"/>
        <item x="622"/>
        <item x="153"/>
        <item x="1910"/>
        <item x="2184"/>
        <item x="1686"/>
        <item x="2123"/>
        <item x="1171"/>
        <item x="2338"/>
        <item x="354"/>
        <item x="554"/>
        <item x="980"/>
        <item x="970"/>
        <item x="185"/>
        <item x="1205"/>
        <item x="697"/>
        <item x="126"/>
        <item x="183"/>
        <item x="2371"/>
        <item x="585"/>
        <item x="1346"/>
        <item x="1217"/>
        <item x="1008"/>
        <item x="1042"/>
        <item x="2162"/>
        <item x="265"/>
        <item x="1"/>
        <item x="2352"/>
        <item x="1683"/>
        <item x="1290"/>
        <item x="1542"/>
        <item x="1777"/>
        <item x="974"/>
        <item x="282"/>
        <item x="707"/>
        <item x="1935"/>
        <item x="1260"/>
        <item x="1389"/>
        <item x="1413"/>
        <item x="462"/>
        <item x="1577"/>
        <item x="1707"/>
        <item x="1340"/>
        <item x="120"/>
        <item x="341"/>
        <item x="472"/>
        <item x="1355"/>
        <item x="1244"/>
        <item x="1324"/>
        <item x="2181"/>
        <item x="1773"/>
        <item x="1738"/>
        <item x="121"/>
        <item x="1128"/>
        <item x="1391"/>
        <item x="1535"/>
        <item x="2488"/>
        <item x="791"/>
        <item x="36"/>
        <item x="1443"/>
        <item x="1470"/>
        <item x="1876"/>
        <item x="1800"/>
        <item x="1213"/>
        <item x="1074"/>
        <item x="1438"/>
        <item x="602"/>
        <item x="2152"/>
        <item x="1254"/>
        <item x="1011"/>
        <item x="900"/>
        <item x="1961"/>
        <item x="928"/>
        <item x="954"/>
        <item x="1098"/>
        <item x="186"/>
        <item x="867"/>
        <item x="1005"/>
        <item x="2140"/>
        <item x="220"/>
        <item x="131"/>
        <item x="103"/>
        <item x="522"/>
        <item x="1168"/>
        <item x="2211"/>
        <item x="2014"/>
        <item x="2025"/>
        <item x="1727"/>
        <item x="1654"/>
        <item x="671"/>
        <item x="1377"/>
        <item x="1546"/>
        <item x="2344"/>
        <item x="2110"/>
        <item x="1921"/>
        <item x="2268"/>
        <item x="2471"/>
        <item x="67"/>
        <item x="2276"/>
        <item x="845"/>
        <item x="988"/>
        <item x="2070"/>
        <item x="1985"/>
        <item x="2369"/>
        <item x="1888"/>
        <item x="2247"/>
        <item x="443"/>
        <item x="2291"/>
        <item x="2008"/>
        <item x="2252"/>
        <item x="2472"/>
        <item x="1558"/>
        <item x="2224"/>
        <item x="32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dragToRow="0" dragToCol="0" dragToPage="0" showAll="0" defaultSubtota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LitrosActivos" fld="17" baseField="0" baseItem="0"/>
  </dataFields>
  <formats count="1">
    <format dxfId="2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4A3FA-A4B2-4D2D-AFCF-F5190810E3C8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L17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numFmtId="22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tsCanjeados" fld="10" baseField="0" baseItem="0"/>
    <dataField name="Suma de PtsEmitidos" fld="9" baseField="0" baseItem="0"/>
    <dataField name="Suma de TasaCanje" fld="11" baseField="0" baseItem="0" numFmtId="10"/>
  </dataFields>
  <formats count="2"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9E082-FA5A-4B71-89E8-D86AA0067CF7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G1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14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dataField="1"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dataField="1" dragToRow="0" dragToCol="0" dragToPage="0" showAll="0" defaultSubtotal="0"/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ompra" fld="15" baseField="0" baseItem="0"/>
    <dataField name="Suma de Cancelada" fld="16" baseField="0" baseItem="0"/>
    <dataField name="Suma de PctCancel" fld="20" baseField="0" baseItem="0" numFmtId="10"/>
  </dataFields>
  <formats count="3">
    <format dxfId="5">
      <pivotArea collapsedLevelsAreSubtotals="1" fieldPosition="0">
        <references count="2">
          <reference field="4294967294" count="1" selected="0">
            <x v="2"/>
          </reference>
          <reference field="13" count="1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5291E-8F3F-47E5-89FD-CADC703F5E70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14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>
      <items count="5">
        <item x="2"/>
        <item x="3"/>
        <item x="1"/>
        <item x="0"/>
        <item t="default"/>
      </items>
    </pivotField>
    <pivotField dragToRow="0" dragToCol="0" dragToPage="0" showAll="0" defaultSubtotal="0"/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LitrosActivos" fld="1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1" xr16:uid="{485BFE53-B966-450F-AACC-7B99427EE884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Año" tableColumnId="2"/>
      <queryTableField id="3" name="Me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321CC38F-9194-4573-99EE-F45971C8FBC4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customer_id" tableColumnId="2"/>
      <queryTableField id="3" name="staff_id" tableColumnId="3"/>
      <queryTableField id="4" name="liters" tableColumnId="4"/>
      <queryTableField id="5" name="points" tableColumnId="5"/>
      <queryTableField id="6" name="usedPoints" tableColumnId="6"/>
      <queryTableField id="7" name="rewardRate" tableColumnId="7"/>
      <queryTableField id="8" name="status" tableColumnId="8"/>
      <queryTableField id="9" name="canceled_by" tableColumnId="9"/>
      <queryTableField id="10" name="cancelReason" tableColumnId="10"/>
      <queryTableField id="11" name="canceledAt" tableColumnId="11"/>
      <queryTableField id="12" name="createdAt" tableColumnId="12"/>
      <queryTableField id="13" name="Fecha" tableColumnId="13"/>
      <queryTableField id="14" name="Mes" tableColumnId="14"/>
      <queryTableField id="15" name="TipoCompra" tableColumnId="15"/>
      <queryTableField id="16" name="Compra" tableColumnId="16"/>
      <queryTableField id="17" name="Cancelada" tableColumnId="17"/>
      <queryTableField id="18" name="LitrosActivos" tableColumnId="18"/>
      <queryTableField id="19" name="Cliente" tableColumnId="19"/>
      <queryTableField id="20" name="Personal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6" xr16:uid="{B11C56E6-0725-4CC0-A45A-86FD79183DBE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customer_id" tableColumnId="2"/>
      <queryTableField id="3" name="staff_id" tableColumnId="3"/>
      <queryTableField id="4" name="purchase_id" tableColumnId="4"/>
      <queryTableField id="5" name="type" tableColumnId="5"/>
      <queryTableField id="6" name="points" tableColumnId="6"/>
      <queryTableField id="7" name="reason" tableColumnId="7"/>
      <queryTableField id="8" name="createdAt" tableColumnId="8"/>
      <queryTableField id="9" name="Mes" tableColumnId="9"/>
      <queryTableField id="10" name="PtsEmitidos" tableColumnId="10"/>
      <queryTableField id="11" name="PtsCanjeados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6CFFA9D-0C15-4DAC-8F7E-F9A5E113C355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role" tableColumnId="2"/>
      <queryTableField id="3" name="name" tableColumnId="3"/>
      <queryTableField id="4" name="user" tableColumnId="4"/>
      <queryTableField id="5" name="points" tableColumnId="5"/>
      <queryTableField id="6" name="active" tableColumnId="6"/>
      <queryTableField id="7" name="createdA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D594B39-9462-4325-A617-C1C1EE6C6DE8}" autoFormatId="16" applyNumberFormats="0" applyBorderFormats="0" applyFontFormats="0" applyPatternFormats="0" applyAlignmentFormats="0" applyWidthHeightFormats="0">
  <queryTableRefresh nextId="16" unboundColumnsRight="7">
    <queryTableFields count="12">
      <queryTableField id="1" name="id" tableColumnId="1"/>
      <queryTableField id="3" name="name" tableColumnId="3"/>
      <queryTableField id="4" name="user" tableColumnId="4"/>
      <queryTableField id="5" name="points" tableColumnId="5"/>
      <queryTableField id="6" name="active" tableColumnId="6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  <queryTableDeletedFields count="2">
      <deletedField name="role"/>
      <deletedField name="createdAt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67419BF6-0ACF-4426-9088-E6EB4E7532A8}" sourceName="Mes">
  <pivotTables>
    <pivotTable tabId="12" name="TablaDinámica1"/>
    <pivotTable tabId="12" name="TablaDinámica3"/>
    <pivotTable tabId="12" name="TablaDinámica5"/>
  </pivotTables>
  <data>
    <tabular pivotCacheId="1371906969">
      <items count="1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Compra" xr10:uid="{402EFB02-FBE7-4659-A07D-1D7F4008886B}" sourceName="TipoCompra">
  <pivotTables>
    <pivotTable tabId="12" name="TablaDinámica1"/>
    <pivotTable tabId="12" name="TablaDinámica3"/>
    <pivotTable tabId="12" name="TablaDinámica5"/>
  </pivotTables>
  <data>
    <tabular pivotCacheId="1371906969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sonal" xr10:uid="{1B282667-60A1-4E28-B609-A0336CFAA9C3}" sourceName="Personal">
  <pivotTables>
    <pivotTable tabId="12" name="TablaDinámica1"/>
    <pivotTable tabId="12" name="TablaDinámica3"/>
    <pivotTable tabId="12" name="TablaDinámica5"/>
  </pivotTables>
  <data>
    <tabular pivotCacheId="1371906969">
      <items count="4">
        <i x="2" s="1"/>
        <i x="3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3D17FEB9-34BA-45AF-9A7A-6C8A8EC77F7C}" cache="SegmentaciónDeDatos_Mes" caption="Mes" rowHeight="247650"/>
  <slicer name="TipoCompra" xr10:uid="{4296642D-91CE-4B49-82F8-07A1EF750EAB}" cache="SegmentaciónDeDatos_TipoCompra" caption="TipoCompra" rowHeight="247650"/>
  <slicer name="Personal" xr10:uid="{AED2B4CE-8B1E-4656-A95C-0BCCF54B88C7}" cache="SegmentaciónDeDatos_Personal" caption="Personal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672705-16D7-4532-99CE-0AA3CA1FF4A8}" name="Calendario" displayName="Calendario" ref="A1:C366" tableType="queryTable" totalsRowShown="0">
  <autoFilter ref="A1:C366" xr:uid="{F6672705-16D7-4532-99CE-0AA3CA1FF4A8}"/>
  <tableColumns count="3">
    <tableColumn id="1" xr3:uid="{D1328F72-B312-4415-8BB9-DBFD2917EE93}" uniqueName="1" name="Fecha" queryTableFieldId="1" dataDxfId="32"/>
    <tableColumn id="2" xr3:uid="{A5075CE3-A556-41E0-B479-EFB5EB93788B}" uniqueName="2" name="Año" queryTableFieldId="2"/>
    <tableColumn id="3" xr3:uid="{71F587C8-2F8B-4FF4-BBE7-7AB9347A7E4B}" uniqueName="3" name="Mes" queryTableFieldId="3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6366A7-48B7-456A-9821-DE379AC3A507}" name="Compras_Full" displayName="Compras_Full" ref="A1:T3001" tableType="queryTable" totalsRowShown="0">
  <autoFilter ref="A1:T3001" xr:uid="{9E6366A7-48B7-456A-9821-DE379AC3A507}"/>
  <tableColumns count="20">
    <tableColumn id="1" xr3:uid="{663983E6-7DF1-4B61-903F-6FA251E8B505}" uniqueName="1" name="id" queryTableFieldId="1"/>
    <tableColumn id="2" xr3:uid="{C80D0F00-63C2-485F-B0F2-D6F628C6E966}" uniqueName="2" name="customer_id" queryTableFieldId="2"/>
    <tableColumn id="3" xr3:uid="{A8388C5E-267B-4CFA-A472-7064B9A1A2E6}" uniqueName="3" name="staff_id" queryTableFieldId="3"/>
    <tableColumn id="4" xr3:uid="{1965025D-BBF5-4F3E-BAA0-74EC95EC104F}" uniqueName="4" name="liters" queryTableFieldId="4"/>
    <tableColumn id="5" xr3:uid="{C9228D12-EF9B-4D70-945C-DE3D3D6B1C20}" uniqueName="5" name="points" queryTableFieldId="5"/>
    <tableColumn id="6" xr3:uid="{438361FB-F26E-44E0-9756-1F2AC356D9F8}" uniqueName="6" name="usedPoints" queryTableFieldId="6"/>
    <tableColumn id="7" xr3:uid="{6A899A92-C261-431A-BD70-D692D009F7B1}" uniqueName="7" name="rewardRate" queryTableFieldId="7"/>
    <tableColumn id="8" xr3:uid="{84E3F0E2-CD72-4AF3-AD40-F9C58D9FE864}" uniqueName="8" name="status" queryTableFieldId="8" dataDxfId="30"/>
    <tableColumn id="9" xr3:uid="{695070FF-7A04-4B4F-80AA-D640E6AAE570}" uniqueName="9" name="canceled_by" queryTableFieldId="9"/>
    <tableColumn id="10" xr3:uid="{F547CFA9-6168-4D4F-922F-B85BAFBAE53F}" uniqueName="10" name="cancelReason" queryTableFieldId="10" dataDxfId="29"/>
    <tableColumn id="11" xr3:uid="{9F0AEC59-A3C6-4389-A117-B6DA03574730}" uniqueName="11" name="canceledAt" queryTableFieldId="11" dataDxfId="28"/>
    <tableColumn id="12" xr3:uid="{E54F2642-113D-460E-B1D7-467B70613DFB}" uniqueName="12" name="createdAt" queryTableFieldId="12" dataDxfId="27"/>
    <tableColumn id="13" xr3:uid="{5FF01690-44B1-4AAB-8313-2FD331FBDE66}" uniqueName="13" name="Fecha" queryTableFieldId="13" dataDxfId="26"/>
    <tableColumn id="14" xr3:uid="{45C28A32-B8F6-4953-AF02-B2BD36C20E06}" uniqueName="14" name="Mes" queryTableFieldId="14"/>
    <tableColumn id="15" xr3:uid="{3D83A8EE-1FF3-42E6-BAA7-DDF3B3C73A17}" uniqueName="15" name="TipoCompra" queryTableFieldId="15"/>
    <tableColumn id="16" xr3:uid="{A557B707-E451-4539-A6EE-B5291B8991EB}" uniqueName="16" name="Compra" queryTableFieldId="16"/>
    <tableColumn id="17" xr3:uid="{6B3CDFDE-67C4-47E2-A0C0-C2878FBA512B}" uniqueName="17" name="Cancelada" queryTableFieldId="17"/>
    <tableColumn id="18" xr3:uid="{3DFE4739-BEE8-4E72-AECC-420A08975757}" uniqueName="18" name="LitrosActivos" queryTableFieldId="18"/>
    <tableColumn id="19" xr3:uid="{126BD0D1-3E32-4F1E-BC1E-47C4DAF14377}" uniqueName="19" name="Cliente" queryTableFieldId="19" dataDxfId="25"/>
    <tableColumn id="20" xr3:uid="{2EF92F7A-23A0-4516-A642-0E84C133E413}" uniqueName="20" name="Personal" queryTableFieldId="20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13654F-9CF2-4BC1-9371-BAB7D84724C4}" name="Movimientos" displayName="Movimientos" ref="A1:K3180" tableType="queryTable" totalsRowShown="0">
  <autoFilter ref="A1:K3180" xr:uid="{B513654F-9CF2-4BC1-9371-BAB7D84724C4}"/>
  <tableColumns count="11">
    <tableColumn id="1" xr3:uid="{C6845F62-3A33-4421-86DE-8798B2BA56FE}" uniqueName="1" name="id" queryTableFieldId="1"/>
    <tableColumn id="2" xr3:uid="{F43F8271-BDE7-4A53-A47E-CE425BDDD6A0}" uniqueName="2" name="customer_id" queryTableFieldId="2"/>
    <tableColumn id="3" xr3:uid="{76F3EA8A-3EDD-422D-84BA-C7E4BA83C77E}" uniqueName="3" name="staff_id" queryTableFieldId="3"/>
    <tableColumn id="4" xr3:uid="{CB1877F0-B01D-49D6-9AD3-E373DC9669A4}" uniqueName="4" name="purchase_id" queryTableFieldId="4"/>
    <tableColumn id="5" xr3:uid="{2DA34170-8443-4A8C-9484-FB237990E7C5}" uniqueName="5" name="type" queryTableFieldId="5" dataDxfId="23"/>
    <tableColumn id="6" xr3:uid="{F2CB50A7-772D-4BAF-9D1A-8DF5DA562798}" uniqueName="6" name="points" queryTableFieldId="6"/>
    <tableColumn id="7" xr3:uid="{76409857-B3C4-4327-AB5B-1C914BABEA1D}" uniqueName="7" name="reason" queryTableFieldId="7" dataDxfId="22"/>
    <tableColumn id="8" xr3:uid="{E72C3DB6-3D0F-47BE-9883-2E960CADAA72}" uniqueName="8" name="createdAt" queryTableFieldId="8" dataDxfId="21"/>
    <tableColumn id="9" xr3:uid="{F4B4CDDC-08BD-49F5-A9F7-FA128A05E566}" uniqueName="9" name="Mes" queryTableFieldId="9"/>
    <tableColumn id="10" xr3:uid="{23297EB2-2C38-49BB-BF56-130CC9604426}" uniqueName="10" name="PtsEmitidos" queryTableFieldId="10"/>
    <tableColumn id="11" xr3:uid="{6831A4F3-3FB0-43BB-A554-7F562B7B7C45}" uniqueName="11" name="PtsCanjeados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DAF54-D8B1-42D6-93FC-1034CF3E4038}" name="Clientes" displayName="Clientes" ref="A1:G301" tableType="queryTable" totalsRowShown="0">
  <autoFilter ref="A1:G301" xr:uid="{F3DDAF54-D8B1-42D6-93FC-1034CF3E4038}"/>
  <tableColumns count="7">
    <tableColumn id="1" xr3:uid="{56A48713-B40C-4308-9EB0-BCAF465E8210}" uniqueName="1" name="id" queryTableFieldId="1"/>
    <tableColumn id="2" xr3:uid="{DA5DAAD1-C816-4AF1-958D-31B8C5C7D287}" uniqueName="2" name="role" queryTableFieldId="2" dataDxfId="20"/>
    <tableColumn id="3" xr3:uid="{78144CB0-5E31-478B-8EEF-3C514FDCB228}" uniqueName="3" name="name" queryTableFieldId="3" dataDxfId="19"/>
    <tableColumn id="4" xr3:uid="{F70E8B0F-CA94-4F4D-A3F3-6170DF8CB726}" uniqueName="4" name="user" queryTableFieldId="4" dataDxfId="18"/>
    <tableColumn id="5" xr3:uid="{3013178B-142B-41C2-AC04-5F388C8325DC}" uniqueName="5" name="points" queryTableFieldId="5"/>
    <tableColumn id="6" xr3:uid="{916893AB-6A4D-47DA-9F6E-D3274447C454}" uniqueName="6" name="active" queryTableFieldId="6"/>
    <tableColumn id="7" xr3:uid="{6A211088-150F-48B9-ACB7-68E0926279A1}" uniqueName="7" name="createdAt" queryTableFieldId="7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7D7093-F7E7-4101-90CF-79DD3A079899}" name="Clientes_Resumen" displayName="Clientes_Resumen" ref="A3:L303" tableType="queryTable" totalsRowShown="0">
  <autoFilter ref="A3:L303" xr:uid="{7C7D7093-F7E7-4101-90CF-79DD3A079899}"/>
  <tableColumns count="12">
    <tableColumn id="1" xr3:uid="{06B2F509-9635-4A39-AE59-A46DAE078228}" uniqueName="1" name="id" queryTableFieldId="1"/>
    <tableColumn id="3" xr3:uid="{C601FAD6-E668-405B-97EE-71737CF7F34F}" uniqueName="3" name="name" queryTableFieldId="3" dataDxfId="16"/>
    <tableColumn id="4" xr3:uid="{A2B7A59B-4623-4A38-8D90-42BAD770856B}" uniqueName="4" name="user" queryTableFieldId="4" dataDxfId="15"/>
    <tableColumn id="5" xr3:uid="{4F946676-73C2-455F-B03D-B97EF7DBEA8E}" uniqueName="5" name="points" queryTableFieldId="5"/>
    <tableColumn id="6" xr3:uid="{9173B15B-D990-4EDF-B9B8-2C3A1AC49FB4}" uniqueName="6" name="active" queryTableFieldId="6"/>
    <tableColumn id="8" xr3:uid="{2A9312D5-3467-4E7C-8A06-6B9EC3BB1CC9}" uniqueName="8" name="Litros" queryTableFieldId="8" dataDxfId="14">
      <calculatedColumnFormula>SUMIFS(Compras_Full[LitrosActivos],Compras_Full[customer_id],Clientes_Resumen[[#This Row],[id]])</calculatedColumnFormula>
    </tableColumn>
    <tableColumn id="9" xr3:uid="{692C0216-6237-4032-A160-F58192369AAF}" uniqueName="9" name="Compras" queryTableFieldId="9" dataDxfId="13">
      <calculatedColumnFormula>COUNTIFS(Compras_Full[customer_id],Clientes_Resumen[[#This Row],[id]],Compras_Full[status],"ACTIVE")</calculatedColumnFormula>
    </tableColumn>
    <tableColumn id="10" xr3:uid="{CE5070A8-DC4A-442B-9F74-A5D2B0C08450}" uniqueName="10" name="Última compra" queryTableFieldId="10" dataDxfId="12">
      <calculatedColumnFormula>_xlfn.MAXIFS(Compras_Full[Fecha],Compras_Full[customer_id],Clientes_Resumen[[#This Row],[id]],Compras_Full[status],"ACTIVE")</calculatedColumnFormula>
    </tableColumn>
    <tableColumn id="11" xr3:uid="{BA2FC72F-3DA3-4AD6-BF15-C115A081A9F3}" uniqueName="11" name="Días sin comprar" queryTableFieldId="11" dataDxfId="11">
      <calculatedColumnFormula>IF(Clientes_Resumen[[#This Row],[Última compra]]=0,"",Corte-Clientes_Resumen[[#This Row],[Última compra]])</calculatedColumnFormula>
    </tableColumn>
    <tableColumn id="12" xr3:uid="{1F56B84C-481A-42BA-8BB6-60D87C5ACB6E}" uniqueName="12" name="Bucket" queryTableFieldId="12" dataDxfId="10">
      <calculatedColumnFormula array="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calculatedColumnFormula>
    </tableColumn>
    <tableColumn id="13" xr3:uid="{2CD59F24-6E59-4663-9D08-C77AD3F0FEF4}" uniqueName="13" name="Saldo ledger" queryTableFieldId="13" dataDxfId="9">
      <calculatedColumnFormula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calculatedColumnFormula>
    </tableColumn>
    <tableColumn id="14" xr3:uid="{43D349BB-28BB-42CE-810B-79E763C8150C}" uniqueName="14" name="Diferencia" queryTableFieldId="14" dataDxfId="8">
      <calculatedColumnFormula>ROUND(Clientes_Resumen[[#This Row],[points]]-Clientes_Resumen[[#This Row],[Saldo ledger]],2)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7277-1299-4911-8873-3BEE547EEF0F}">
  <dimension ref="A1:C366"/>
  <sheetViews>
    <sheetView workbookViewId="0"/>
  </sheetViews>
  <sheetFormatPr baseColWidth="10" defaultRowHeight="14.4" x14ac:dyDescent="0.3"/>
  <cols>
    <col min="1" max="1" width="10.33203125" bestFit="1" customWidth="1"/>
    <col min="2" max="2" width="6.33203125" bestFit="1" customWidth="1"/>
    <col min="3" max="3" width="7.6640625" bestFit="1" customWidth="1"/>
  </cols>
  <sheetData>
    <row r="1" spans="1:3" x14ac:dyDescent="0.3">
      <c r="A1" t="s">
        <v>616</v>
      </c>
      <c r="B1" t="s">
        <v>782</v>
      </c>
      <c r="C1" t="s">
        <v>617</v>
      </c>
    </row>
    <row r="2" spans="1:3" x14ac:dyDescent="0.3">
      <c r="A2" s="2">
        <v>45951</v>
      </c>
      <c r="B2">
        <v>2025</v>
      </c>
      <c r="C2" t="s">
        <v>624</v>
      </c>
    </row>
    <row r="3" spans="1:3" x14ac:dyDescent="0.3">
      <c r="A3" s="2">
        <v>45952</v>
      </c>
      <c r="B3">
        <v>2025</v>
      </c>
      <c r="C3" t="s">
        <v>624</v>
      </c>
    </row>
    <row r="4" spans="1:3" x14ac:dyDescent="0.3">
      <c r="A4" s="2">
        <v>45953</v>
      </c>
      <c r="B4">
        <v>2025</v>
      </c>
      <c r="C4" t="s">
        <v>624</v>
      </c>
    </row>
    <row r="5" spans="1:3" x14ac:dyDescent="0.3">
      <c r="A5" s="2">
        <v>45954</v>
      </c>
      <c r="B5">
        <v>2025</v>
      </c>
      <c r="C5" t="s">
        <v>624</v>
      </c>
    </row>
    <row r="6" spans="1:3" x14ac:dyDescent="0.3">
      <c r="A6" s="2">
        <v>45955</v>
      </c>
      <c r="B6">
        <v>2025</v>
      </c>
      <c r="C6" t="s">
        <v>624</v>
      </c>
    </row>
    <row r="7" spans="1:3" x14ac:dyDescent="0.3">
      <c r="A7" s="2">
        <v>45956</v>
      </c>
      <c r="B7">
        <v>2025</v>
      </c>
      <c r="C7" t="s">
        <v>624</v>
      </c>
    </row>
    <row r="8" spans="1:3" x14ac:dyDescent="0.3">
      <c r="A8" s="2">
        <v>45957</v>
      </c>
      <c r="B8">
        <v>2025</v>
      </c>
      <c r="C8" t="s">
        <v>624</v>
      </c>
    </row>
    <row r="9" spans="1:3" x14ac:dyDescent="0.3">
      <c r="A9" s="2">
        <v>45958</v>
      </c>
      <c r="B9">
        <v>2025</v>
      </c>
      <c r="C9" t="s">
        <v>624</v>
      </c>
    </row>
    <row r="10" spans="1:3" x14ac:dyDescent="0.3">
      <c r="A10" s="2">
        <v>45959</v>
      </c>
      <c r="B10">
        <v>2025</v>
      </c>
      <c r="C10" t="s">
        <v>624</v>
      </c>
    </row>
    <row r="11" spans="1:3" x14ac:dyDescent="0.3">
      <c r="A11" s="2">
        <v>45960</v>
      </c>
      <c r="B11">
        <v>2025</v>
      </c>
      <c r="C11" t="s">
        <v>624</v>
      </c>
    </row>
    <row r="12" spans="1:3" x14ac:dyDescent="0.3">
      <c r="A12" s="2">
        <v>45961</v>
      </c>
      <c r="B12">
        <v>2025</v>
      </c>
      <c r="C12" t="s">
        <v>624</v>
      </c>
    </row>
    <row r="13" spans="1:3" x14ac:dyDescent="0.3">
      <c r="A13" s="2">
        <v>45962</v>
      </c>
      <c r="B13">
        <v>2025</v>
      </c>
      <c r="C13" t="s">
        <v>630</v>
      </c>
    </row>
    <row r="14" spans="1:3" x14ac:dyDescent="0.3">
      <c r="A14" s="2">
        <v>45963</v>
      </c>
      <c r="B14">
        <v>2025</v>
      </c>
      <c r="C14" t="s">
        <v>630</v>
      </c>
    </row>
    <row r="15" spans="1:3" x14ac:dyDescent="0.3">
      <c r="A15" s="2">
        <v>45964</v>
      </c>
      <c r="B15">
        <v>2025</v>
      </c>
      <c r="C15" t="s">
        <v>630</v>
      </c>
    </row>
    <row r="16" spans="1:3" x14ac:dyDescent="0.3">
      <c r="A16" s="2">
        <v>45965</v>
      </c>
      <c r="B16">
        <v>2025</v>
      </c>
      <c r="C16" t="s">
        <v>630</v>
      </c>
    </row>
    <row r="17" spans="1:3" x14ac:dyDescent="0.3">
      <c r="A17" s="2">
        <v>45966</v>
      </c>
      <c r="B17">
        <v>2025</v>
      </c>
      <c r="C17" t="s">
        <v>630</v>
      </c>
    </row>
    <row r="18" spans="1:3" x14ac:dyDescent="0.3">
      <c r="A18" s="2">
        <v>45967</v>
      </c>
      <c r="B18">
        <v>2025</v>
      </c>
      <c r="C18" t="s">
        <v>630</v>
      </c>
    </row>
    <row r="19" spans="1:3" x14ac:dyDescent="0.3">
      <c r="A19" s="2">
        <v>45968</v>
      </c>
      <c r="B19">
        <v>2025</v>
      </c>
      <c r="C19" t="s">
        <v>630</v>
      </c>
    </row>
    <row r="20" spans="1:3" x14ac:dyDescent="0.3">
      <c r="A20" s="2">
        <v>45969</v>
      </c>
      <c r="B20">
        <v>2025</v>
      </c>
      <c r="C20" t="s">
        <v>630</v>
      </c>
    </row>
    <row r="21" spans="1:3" x14ac:dyDescent="0.3">
      <c r="A21" s="2">
        <v>45970</v>
      </c>
      <c r="B21">
        <v>2025</v>
      </c>
      <c r="C21" t="s">
        <v>630</v>
      </c>
    </row>
    <row r="22" spans="1:3" x14ac:dyDescent="0.3">
      <c r="A22" s="2">
        <v>45971</v>
      </c>
      <c r="B22">
        <v>2025</v>
      </c>
      <c r="C22" t="s">
        <v>630</v>
      </c>
    </row>
    <row r="23" spans="1:3" x14ac:dyDescent="0.3">
      <c r="A23" s="2">
        <v>45972</v>
      </c>
      <c r="B23">
        <v>2025</v>
      </c>
      <c r="C23" t="s">
        <v>630</v>
      </c>
    </row>
    <row r="24" spans="1:3" x14ac:dyDescent="0.3">
      <c r="A24" s="2">
        <v>45973</v>
      </c>
      <c r="B24">
        <v>2025</v>
      </c>
      <c r="C24" t="s">
        <v>630</v>
      </c>
    </row>
    <row r="25" spans="1:3" x14ac:dyDescent="0.3">
      <c r="A25" s="2">
        <v>45974</v>
      </c>
      <c r="B25">
        <v>2025</v>
      </c>
      <c r="C25" t="s">
        <v>630</v>
      </c>
    </row>
    <row r="26" spans="1:3" x14ac:dyDescent="0.3">
      <c r="A26" s="2">
        <v>45975</v>
      </c>
      <c r="B26">
        <v>2025</v>
      </c>
      <c r="C26" t="s">
        <v>630</v>
      </c>
    </row>
    <row r="27" spans="1:3" x14ac:dyDescent="0.3">
      <c r="A27" s="2">
        <v>45976</v>
      </c>
      <c r="B27">
        <v>2025</v>
      </c>
      <c r="C27" t="s">
        <v>630</v>
      </c>
    </row>
    <row r="28" spans="1:3" x14ac:dyDescent="0.3">
      <c r="A28" s="2">
        <v>45977</v>
      </c>
      <c r="B28">
        <v>2025</v>
      </c>
      <c r="C28" t="s">
        <v>630</v>
      </c>
    </row>
    <row r="29" spans="1:3" x14ac:dyDescent="0.3">
      <c r="A29" s="2">
        <v>45978</v>
      </c>
      <c r="B29">
        <v>2025</v>
      </c>
      <c r="C29" t="s">
        <v>630</v>
      </c>
    </row>
    <row r="30" spans="1:3" x14ac:dyDescent="0.3">
      <c r="A30" s="2">
        <v>45979</v>
      </c>
      <c r="B30">
        <v>2025</v>
      </c>
      <c r="C30" t="s">
        <v>630</v>
      </c>
    </row>
    <row r="31" spans="1:3" x14ac:dyDescent="0.3">
      <c r="A31" s="2">
        <v>45980</v>
      </c>
      <c r="B31">
        <v>2025</v>
      </c>
      <c r="C31" t="s">
        <v>630</v>
      </c>
    </row>
    <row r="32" spans="1:3" x14ac:dyDescent="0.3">
      <c r="A32" s="2">
        <v>45981</v>
      </c>
      <c r="B32">
        <v>2025</v>
      </c>
      <c r="C32" t="s">
        <v>630</v>
      </c>
    </row>
    <row r="33" spans="1:3" x14ac:dyDescent="0.3">
      <c r="A33" s="2">
        <v>45982</v>
      </c>
      <c r="B33">
        <v>2025</v>
      </c>
      <c r="C33" t="s">
        <v>630</v>
      </c>
    </row>
    <row r="34" spans="1:3" x14ac:dyDescent="0.3">
      <c r="A34" s="2">
        <v>45983</v>
      </c>
      <c r="B34">
        <v>2025</v>
      </c>
      <c r="C34" t="s">
        <v>630</v>
      </c>
    </row>
    <row r="35" spans="1:3" x14ac:dyDescent="0.3">
      <c r="A35" s="2">
        <v>45984</v>
      </c>
      <c r="B35">
        <v>2025</v>
      </c>
      <c r="C35" t="s">
        <v>630</v>
      </c>
    </row>
    <row r="36" spans="1:3" x14ac:dyDescent="0.3">
      <c r="A36" s="2">
        <v>45985</v>
      </c>
      <c r="B36">
        <v>2025</v>
      </c>
      <c r="C36" t="s">
        <v>630</v>
      </c>
    </row>
    <row r="37" spans="1:3" x14ac:dyDescent="0.3">
      <c r="A37" s="2">
        <v>45986</v>
      </c>
      <c r="B37">
        <v>2025</v>
      </c>
      <c r="C37" t="s">
        <v>630</v>
      </c>
    </row>
    <row r="38" spans="1:3" x14ac:dyDescent="0.3">
      <c r="A38" s="2">
        <v>45987</v>
      </c>
      <c r="B38">
        <v>2025</v>
      </c>
      <c r="C38" t="s">
        <v>630</v>
      </c>
    </row>
    <row r="39" spans="1:3" x14ac:dyDescent="0.3">
      <c r="A39" s="2">
        <v>45988</v>
      </c>
      <c r="B39">
        <v>2025</v>
      </c>
      <c r="C39" t="s">
        <v>630</v>
      </c>
    </row>
    <row r="40" spans="1:3" x14ac:dyDescent="0.3">
      <c r="A40" s="2">
        <v>45989</v>
      </c>
      <c r="B40">
        <v>2025</v>
      </c>
      <c r="C40" t="s">
        <v>630</v>
      </c>
    </row>
    <row r="41" spans="1:3" x14ac:dyDescent="0.3">
      <c r="A41" s="2">
        <v>45990</v>
      </c>
      <c r="B41">
        <v>2025</v>
      </c>
      <c r="C41" t="s">
        <v>630</v>
      </c>
    </row>
    <row r="42" spans="1:3" x14ac:dyDescent="0.3">
      <c r="A42" s="2">
        <v>45991</v>
      </c>
      <c r="B42">
        <v>2025</v>
      </c>
      <c r="C42" t="s">
        <v>630</v>
      </c>
    </row>
    <row r="43" spans="1:3" x14ac:dyDescent="0.3">
      <c r="A43" s="2">
        <v>45992</v>
      </c>
      <c r="B43">
        <v>2025</v>
      </c>
      <c r="C43" t="s">
        <v>633</v>
      </c>
    </row>
    <row r="44" spans="1:3" x14ac:dyDescent="0.3">
      <c r="A44" s="2">
        <v>45993</v>
      </c>
      <c r="B44">
        <v>2025</v>
      </c>
      <c r="C44" t="s">
        <v>633</v>
      </c>
    </row>
    <row r="45" spans="1:3" x14ac:dyDescent="0.3">
      <c r="A45" s="2">
        <v>45994</v>
      </c>
      <c r="B45">
        <v>2025</v>
      </c>
      <c r="C45" t="s">
        <v>633</v>
      </c>
    </row>
    <row r="46" spans="1:3" x14ac:dyDescent="0.3">
      <c r="A46" s="2">
        <v>45995</v>
      </c>
      <c r="B46">
        <v>2025</v>
      </c>
      <c r="C46" t="s">
        <v>633</v>
      </c>
    </row>
    <row r="47" spans="1:3" x14ac:dyDescent="0.3">
      <c r="A47" s="2">
        <v>45996</v>
      </c>
      <c r="B47">
        <v>2025</v>
      </c>
      <c r="C47" t="s">
        <v>633</v>
      </c>
    </row>
    <row r="48" spans="1:3" x14ac:dyDescent="0.3">
      <c r="A48" s="2">
        <v>45997</v>
      </c>
      <c r="B48">
        <v>2025</v>
      </c>
      <c r="C48" t="s">
        <v>633</v>
      </c>
    </row>
    <row r="49" spans="1:3" x14ac:dyDescent="0.3">
      <c r="A49" s="2">
        <v>45998</v>
      </c>
      <c r="B49">
        <v>2025</v>
      </c>
      <c r="C49" t="s">
        <v>633</v>
      </c>
    </row>
    <row r="50" spans="1:3" x14ac:dyDescent="0.3">
      <c r="A50" s="2">
        <v>45999</v>
      </c>
      <c r="B50">
        <v>2025</v>
      </c>
      <c r="C50" t="s">
        <v>633</v>
      </c>
    </row>
    <row r="51" spans="1:3" x14ac:dyDescent="0.3">
      <c r="A51" s="2">
        <v>46000</v>
      </c>
      <c r="B51">
        <v>2025</v>
      </c>
      <c r="C51" t="s">
        <v>633</v>
      </c>
    </row>
    <row r="52" spans="1:3" x14ac:dyDescent="0.3">
      <c r="A52" s="2">
        <v>46001</v>
      </c>
      <c r="B52">
        <v>2025</v>
      </c>
      <c r="C52" t="s">
        <v>633</v>
      </c>
    </row>
    <row r="53" spans="1:3" x14ac:dyDescent="0.3">
      <c r="A53" s="2">
        <v>46002</v>
      </c>
      <c r="B53">
        <v>2025</v>
      </c>
      <c r="C53" t="s">
        <v>633</v>
      </c>
    </row>
    <row r="54" spans="1:3" x14ac:dyDescent="0.3">
      <c r="A54" s="2">
        <v>46003</v>
      </c>
      <c r="B54">
        <v>2025</v>
      </c>
      <c r="C54" t="s">
        <v>633</v>
      </c>
    </row>
    <row r="55" spans="1:3" x14ac:dyDescent="0.3">
      <c r="A55" s="2">
        <v>46004</v>
      </c>
      <c r="B55">
        <v>2025</v>
      </c>
      <c r="C55" t="s">
        <v>633</v>
      </c>
    </row>
    <row r="56" spans="1:3" x14ac:dyDescent="0.3">
      <c r="A56" s="2">
        <v>46005</v>
      </c>
      <c r="B56">
        <v>2025</v>
      </c>
      <c r="C56" t="s">
        <v>633</v>
      </c>
    </row>
    <row r="57" spans="1:3" x14ac:dyDescent="0.3">
      <c r="A57" s="2">
        <v>46006</v>
      </c>
      <c r="B57">
        <v>2025</v>
      </c>
      <c r="C57" t="s">
        <v>633</v>
      </c>
    </row>
    <row r="58" spans="1:3" x14ac:dyDescent="0.3">
      <c r="A58" s="2">
        <v>46007</v>
      </c>
      <c r="B58">
        <v>2025</v>
      </c>
      <c r="C58" t="s">
        <v>633</v>
      </c>
    </row>
    <row r="59" spans="1:3" x14ac:dyDescent="0.3">
      <c r="A59" s="2">
        <v>46008</v>
      </c>
      <c r="B59">
        <v>2025</v>
      </c>
      <c r="C59" t="s">
        <v>633</v>
      </c>
    </row>
    <row r="60" spans="1:3" x14ac:dyDescent="0.3">
      <c r="A60" s="2">
        <v>46009</v>
      </c>
      <c r="B60">
        <v>2025</v>
      </c>
      <c r="C60" t="s">
        <v>633</v>
      </c>
    </row>
    <row r="61" spans="1:3" x14ac:dyDescent="0.3">
      <c r="A61" s="2">
        <v>46010</v>
      </c>
      <c r="B61">
        <v>2025</v>
      </c>
      <c r="C61" t="s">
        <v>633</v>
      </c>
    </row>
    <row r="62" spans="1:3" x14ac:dyDescent="0.3">
      <c r="A62" s="2">
        <v>46011</v>
      </c>
      <c r="B62">
        <v>2025</v>
      </c>
      <c r="C62" t="s">
        <v>633</v>
      </c>
    </row>
    <row r="63" spans="1:3" x14ac:dyDescent="0.3">
      <c r="A63" s="2">
        <v>46012</v>
      </c>
      <c r="B63">
        <v>2025</v>
      </c>
      <c r="C63" t="s">
        <v>633</v>
      </c>
    </row>
    <row r="64" spans="1:3" x14ac:dyDescent="0.3">
      <c r="A64" s="2">
        <v>46013</v>
      </c>
      <c r="B64">
        <v>2025</v>
      </c>
      <c r="C64" t="s">
        <v>633</v>
      </c>
    </row>
    <row r="65" spans="1:3" x14ac:dyDescent="0.3">
      <c r="A65" s="2">
        <v>46014</v>
      </c>
      <c r="B65">
        <v>2025</v>
      </c>
      <c r="C65" t="s">
        <v>633</v>
      </c>
    </row>
    <row r="66" spans="1:3" x14ac:dyDescent="0.3">
      <c r="A66" s="2">
        <v>46015</v>
      </c>
      <c r="B66">
        <v>2025</v>
      </c>
      <c r="C66" t="s">
        <v>633</v>
      </c>
    </row>
    <row r="67" spans="1:3" x14ac:dyDescent="0.3">
      <c r="A67" s="2">
        <v>46016</v>
      </c>
      <c r="B67">
        <v>2025</v>
      </c>
      <c r="C67" t="s">
        <v>633</v>
      </c>
    </row>
    <row r="68" spans="1:3" x14ac:dyDescent="0.3">
      <c r="A68" s="2">
        <v>46017</v>
      </c>
      <c r="B68">
        <v>2025</v>
      </c>
      <c r="C68" t="s">
        <v>633</v>
      </c>
    </row>
    <row r="69" spans="1:3" x14ac:dyDescent="0.3">
      <c r="A69" s="2">
        <v>46018</v>
      </c>
      <c r="B69">
        <v>2025</v>
      </c>
      <c r="C69" t="s">
        <v>633</v>
      </c>
    </row>
    <row r="70" spans="1:3" x14ac:dyDescent="0.3">
      <c r="A70" s="2">
        <v>46019</v>
      </c>
      <c r="B70">
        <v>2025</v>
      </c>
      <c r="C70" t="s">
        <v>633</v>
      </c>
    </row>
    <row r="71" spans="1:3" x14ac:dyDescent="0.3">
      <c r="A71" s="2">
        <v>46020</v>
      </c>
      <c r="B71">
        <v>2025</v>
      </c>
      <c r="C71" t="s">
        <v>633</v>
      </c>
    </row>
    <row r="72" spans="1:3" x14ac:dyDescent="0.3">
      <c r="A72" s="2">
        <v>46021</v>
      </c>
      <c r="B72">
        <v>2025</v>
      </c>
      <c r="C72" t="s">
        <v>633</v>
      </c>
    </row>
    <row r="73" spans="1:3" x14ac:dyDescent="0.3">
      <c r="A73" s="2">
        <v>46022</v>
      </c>
      <c r="B73">
        <v>2025</v>
      </c>
      <c r="C73" t="s">
        <v>633</v>
      </c>
    </row>
    <row r="74" spans="1:3" x14ac:dyDescent="0.3">
      <c r="A74" s="2">
        <v>46023</v>
      </c>
      <c r="B74">
        <v>2026</v>
      </c>
      <c r="C74" t="s">
        <v>634</v>
      </c>
    </row>
    <row r="75" spans="1:3" x14ac:dyDescent="0.3">
      <c r="A75" s="2">
        <v>46024</v>
      </c>
      <c r="B75">
        <v>2026</v>
      </c>
      <c r="C75" t="s">
        <v>634</v>
      </c>
    </row>
    <row r="76" spans="1:3" x14ac:dyDescent="0.3">
      <c r="A76" s="2">
        <v>46025</v>
      </c>
      <c r="B76">
        <v>2026</v>
      </c>
      <c r="C76" t="s">
        <v>634</v>
      </c>
    </row>
    <row r="77" spans="1:3" x14ac:dyDescent="0.3">
      <c r="A77" s="2">
        <v>46026</v>
      </c>
      <c r="B77">
        <v>2026</v>
      </c>
      <c r="C77" t="s">
        <v>634</v>
      </c>
    </row>
    <row r="78" spans="1:3" x14ac:dyDescent="0.3">
      <c r="A78" s="2">
        <v>46027</v>
      </c>
      <c r="B78">
        <v>2026</v>
      </c>
      <c r="C78" t="s">
        <v>634</v>
      </c>
    </row>
    <row r="79" spans="1:3" x14ac:dyDescent="0.3">
      <c r="A79" s="2">
        <v>46028</v>
      </c>
      <c r="B79">
        <v>2026</v>
      </c>
      <c r="C79" t="s">
        <v>634</v>
      </c>
    </row>
    <row r="80" spans="1:3" x14ac:dyDescent="0.3">
      <c r="A80" s="2">
        <v>46029</v>
      </c>
      <c r="B80">
        <v>2026</v>
      </c>
      <c r="C80" t="s">
        <v>634</v>
      </c>
    </row>
    <row r="81" spans="1:3" x14ac:dyDescent="0.3">
      <c r="A81" s="2">
        <v>46030</v>
      </c>
      <c r="B81">
        <v>2026</v>
      </c>
      <c r="C81" t="s">
        <v>634</v>
      </c>
    </row>
    <row r="82" spans="1:3" x14ac:dyDescent="0.3">
      <c r="A82" s="2">
        <v>46031</v>
      </c>
      <c r="B82">
        <v>2026</v>
      </c>
      <c r="C82" t="s">
        <v>634</v>
      </c>
    </row>
    <row r="83" spans="1:3" x14ac:dyDescent="0.3">
      <c r="A83" s="2">
        <v>46032</v>
      </c>
      <c r="B83">
        <v>2026</v>
      </c>
      <c r="C83" t="s">
        <v>634</v>
      </c>
    </row>
    <row r="84" spans="1:3" x14ac:dyDescent="0.3">
      <c r="A84" s="2">
        <v>46033</v>
      </c>
      <c r="B84">
        <v>2026</v>
      </c>
      <c r="C84" t="s">
        <v>634</v>
      </c>
    </row>
    <row r="85" spans="1:3" x14ac:dyDescent="0.3">
      <c r="A85" s="2">
        <v>46034</v>
      </c>
      <c r="B85">
        <v>2026</v>
      </c>
      <c r="C85" t="s">
        <v>634</v>
      </c>
    </row>
    <row r="86" spans="1:3" x14ac:dyDescent="0.3">
      <c r="A86" s="2">
        <v>46035</v>
      </c>
      <c r="B86">
        <v>2026</v>
      </c>
      <c r="C86" t="s">
        <v>634</v>
      </c>
    </row>
    <row r="87" spans="1:3" x14ac:dyDescent="0.3">
      <c r="A87" s="2">
        <v>46036</v>
      </c>
      <c r="B87">
        <v>2026</v>
      </c>
      <c r="C87" t="s">
        <v>634</v>
      </c>
    </row>
    <row r="88" spans="1:3" x14ac:dyDescent="0.3">
      <c r="A88" s="2">
        <v>46037</v>
      </c>
      <c r="B88">
        <v>2026</v>
      </c>
      <c r="C88" t="s">
        <v>634</v>
      </c>
    </row>
    <row r="89" spans="1:3" x14ac:dyDescent="0.3">
      <c r="A89" s="2">
        <v>46038</v>
      </c>
      <c r="B89">
        <v>2026</v>
      </c>
      <c r="C89" t="s">
        <v>634</v>
      </c>
    </row>
    <row r="90" spans="1:3" x14ac:dyDescent="0.3">
      <c r="A90" s="2">
        <v>46039</v>
      </c>
      <c r="B90">
        <v>2026</v>
      </c>
      <c r="C90" t="s">
        <v>634</v>
      </c>
    </row>
    <row r="91" spans="1:3" x14ac:dyDescent="0.3">
      <c r="A91" s="2">
        <v>46040</v>
      </c>
      <c r="B91">
        <v>2026</v>
      </c>
      <c r="C91" t="s">
        <v>634</v>
      </c>
    </row>
    <row r="92" spans="1:3" x14ac:dyDescent="0.3">
      <c r="A92" s="2">
        <v>46041</v>
      </c>
      <c r="B92">
        <v>2026</v>
      </c>
      <c r="C92" t="s">
        <v>634</v>
      </c>
    </row>
    <row r="93" spans="1:3" x14ac:dyDescent="0.3">
      <c r="A93" s="2">
        <v>46042</v>
      </c>
      <c r="B93">
        <v>2026</v>
      </c>
      <c r="C93" t="s">
        <v>634</v>
      </c>
    </row>
    <row r="94" spans="1:3" x14ac:dyDescent="0.3">
      <c r="A94" s="2">
        <v>46043</v>
      </c>
      <c r="B94">
        <v>2026</v>
      </c>
      <c r="C94" t="s">
        <v>634</v>
      </c>
    </row>
    <row r="95" spans="1:3" x14ac:dyDescent="0.3">
      <c r="A95" s="2">
        <v>46044</v>
      </c>
      <c r="B95">
        <v>2026</v>
      </c>
      <c r="C95" t="s">
        <v>634</v>
      </c>
    </row>
    <row r="96" spans="1:3" x14ac:dyDescent="0.3">
      <c r="A96" s="2">
        <v>46045</v>
      </c>
      <c r="B96">
        <v>2026</v>
      </c>
      <c r="C96" t="s">
        <v>634</v>
      </c>
    </row>
    <row r="97" spans="1:3" x14ac:dyDescent="0.3">
      <c r="A97" s="2">
        <v>46046</v>
      </c>
      <c r="B97">
        <v>2026</v>
      </c>
      <c r="C97" t="s">
        <v>634</v>
      </c>
    </row>
    <row r="98" spans="1:3" x14ac:dyDescent="0.3">
      <c r="A98" s="2">
        <v>46047</v>
      </c>
      <c r="B98">
        <v>2026</v>
      </c>
      <c r="C98" t="s">
        <v>634</v>
      </c>
    </row>
    <row r="99" spans="1:3" x14ac:dyDescent="0.3">
      <c r="A99" s="2">
        <v>46048</v>
      </c>
      <c r="B99">
        <v>2026</v>
      </c>
      <c r="C99" t="s">
        <v>634</v>
      </c>
    </row>
    <row r="100" spans="1:3" x14ac:dyDescent="0.3">
      <c r="A100" s="2">
        <v>46049</v>
      </c>
      <c r="B100">
        <v>2026</v>
      </c>
      <c r="C100" t="s">
        <v>634</v>
      </c>
    </row>
    <row r="101" spans="1:3" x14ac:dyDescent="0.3">
      <c r="A101" s="2">
        <v>46050</v>
      </c>
      <c r="B101">
        <v>2026</v>
      </c>
      <c r="C101" t="s">
        <v>634</v>
      </c>
    </row>
    <row r="102" spans="1:3" x14ac:dyDescent="0.3">
      <c r="A102" s="2">
        <v>46051</v>
      </c>
      <c r="B102">
        <v>2026</v>
      </c>
      <c r="C102" t="s">
        <v>634</v>
      </c>
    </row>
    <row r="103" spans="1:3" x14ac:dyDescent="0.3">
      <c r="A103" s="2">
        <v>46052</v>
      </c>
      <c r="B103">
        <v>2026</v>
      </c>
      <c r="C103" t="s">
        <v>634</v>
      </c>
    </row>
    <row r="104" spans="1:3" x14ac:dyDescent="0.3">
      <c r="A104" s="2">
        <v>46053</v>
      </c>
      <c r="B104">
        <v>2026</v>
      </c>
      <c r="C104" t="s">
        <v>634</v>
      </c>
    </row>
    <row r="105" spans="1:3" x14ac:dyDescent="0.3">
      <c r="A105" s="2">
        <v>46054</v>
      </c>
      <c r="B105">
        <v>2026</v>
      </c>
      <c r="C105" t="s">
        <v>635</v>
      </c>
    </row>
    <row r="106" spans="1:3" x14ac:dyDescent="0.3">
      <c r="A106" s="2">
        <v>46055</v>
      </c>
      <c r="B106">
        <v>2026</v>
      </c>
      <c r="C106" t="s">
        <v>635</v>
      </c>
    </row>
    <row r="107" spans="1:3" x14ac:dyDescent="0.3">
      <c r="A107" s="2">
        <v>46056</v>
      </c>
      <c r="B107">
        <v>2026</v>
      </c>
      <c r="C107" t="s">
        <v>635</v>
      </c>
    </row>
    <row r="108" spans="1:3" x14ac:dyDescent="0.3">
      <c r="A108" s="2">
        <v>46057</v>
      </c>
      <c r="B108">
        <v>2026</v>
      </c>
      <c r="C108" t="s">
        <v>635</v>
      </c>
    </row>
    <row r="109" spans="1:3" x14ac:dyDescent="0.3">
      <c r="A109" s="2">
        <v>46058</v>
      </c>
      <c r="B109">
        <v>2026</v>
      </c>
      <c r="C109" t="s">
        <v>635</v>
      </c>
    </row>
    <row r="110" spans="1:3" x14ac:dyDescent="0.3">
      <c r="A110" s="2">
        <v>46059</v>
      </c>
      <c r="B110">
        <v>2026</v>
      </c>
      <c r="C110" t="s">
        <v>635</v>
      </c>
    </row>
    <row r="111" spans="1:3" x14ac:dyDescent="0.3">
      <c r="A111" s="2">
        <v>46060</v>
      </c>
      <c r="B111">
        <v>2026</v>
      </c>
      <c r="C111" t="s">
        <v>635</v>
      </c>
    </row>
    <row r="112" spans="1:3" x14ac:dyDescent="0.3">
      <c r="A112" s="2">
        <v>46061</v>
      </c>
      <c r="B112">
        <v>2026</v>
      </c>
      <c r="C112" t="s">
        <v>635</v>
      </c>
    </row>
    <row r="113" spans="1:3" x14ac:dyDescent="0.3">
      <c r="A113" s="2">
        <v>46062</v>
      </c>
      <c r="B113">
        <v>2026</v>
      </c>
      <c r="C113" t="s">
        <v>635</v>
      </c>
    </row>
    <row r="114" spans="1:3" x14ac:dyDescent="0.3">
      <c r="A114" s="2">
        <v>46063</v>
      </c>
      <c r="B114">
        <v>2026</v>
      </c>
      <c r="C114" t="s">
        <v>635</v>
      </c>
    </row>
    <row r="115" spans="1:3" x14ac:dyDescent="0.3">
      <c r="A115" s="2">
        <v>46064</v>
      </c>
      <c r="B115">
        <v>2026</v>
      </c>
      <c r="C115" t="s">
        <v>635</v>
      </c>
    </row>
    <row r="116" spans="1:3" x14ac:dyDescent="0.3">
      <c r="A116" s="2">
        <v>46065</v>
      </c>
      <c r="B116">
        <v>2026</v>
      </c>
      <c r="C116" t="s">
        <v>635</v>
      </c>
    </row>
    <row r="117" spans="1:3" x14ac:dyDescent="0.3">
      <c r="A117" s="2">
        <v>46066</v>
      </c>
      <c r="B117">
        <v>2026</v>
      </c>
      <c r="C117" t="s">
        <v>635</v>
      </c>
    </row>
    <row r="118" spans="1:3" x14ac:dyDescent="0.3">
      <c r="A118" s="2">
        <v>46067</v>
      </c>
      <c r="B118">
        <v>2026</v>
      </c>
      <c r="C118" t="s">
        <v>635</v>
      </c>
    </row>
    <row r="119" spans="1:3" x14ac:dyDescent="0.3">
      <c r="A119" s="2">
        <v>46068</v>
      </c>
      <c r="B119">
        <v>2026</v>
      </c>
      <c r="C119" t="s">
        <v>635</v>
      </c>
    </row>
    <row r="120" spans="1:3" x14ac:dyDescent="0.3">
      <c r="A120" s="2">
        <v>46069</v>
      </c>
      <c r="B120">
        <v>2026</v>
      </c>
      <c r="C120" t="s">
        <v>635</v>
      </c>
    </row>
    <row r="121" spans="1:3" x14ac:dyDescent="0.3">
      <c r="A121" s="2">
        <v>46070</v>
      </c>
      <c r="B121">
        <v>2026</v>
      </c>
      <c r="C121" t="s">
        <v>635</v>
      </c>
    </row>
    <row r="122" spans="1:3" x14ac:dyDescent="0.3">
      <c r="A122" s="2">
        <v>46071</v>
      </c>
      <c r="B122">
        <v>2026</v>
      </c>
      <c r="C122" t="s">
        <v>635</v>
      </c>
    </row>
    <row r="123" spans="1:3" x14ac:dyDescent="0.3">
      <c r="A123" s="2">
        <v>46072</v>
      </c>
      <c r="B123">
        <v>2026</v>
      </c>
      <c r="C123" t="s">
        <v>635</v>
      </c>
    </row>
    <row r="124" spans="1:3" x14ac:dyDescent="0.3">
      <c r="A124" s="2">
        <v>46073</v>
      </c>
      <c r="B124">
        <v>2026</v>
      </c>
      <c r="C124" t="s">
        <v>635</v>
      </c>
    </row>
    <row r="125" spans="1:3" x14ac:dyDescent="0.3">
      <c r="A125" s="2">
        <v>46074</v>
      </c>
      <c r="B125">
        <v>2026</v>
      </c>
      <c r="C125" t="s">
        <v>635</v>
      </c>
    </row>
    <row r="126" spans="1:3" x14ac:dyDescent="0.3">
      <c r="A126" s="2">
        <v>46075</v>
      </c>
      <c r="B126">
        <v>2026</v>
      </c>
      <c r="C126" t="s">
        <v>635</v>
      </c>
    </row>
    <row r="127" spans="1:3" x14ac:dyDescent="0.3">
      <c r="A127" s="2">
        <v>46076</v>
      </c>
      <c r="B127">
        <v>2026</v>
      </c>
      <c r="C127" t="s">
        <v>635</v>
      </c>
    </row>
    <row r="128" spans="1:3" x14ac:dyDescent="0.3">
      <c r="A128" s="2">
        <v>46077</v>
      </c>
      <c r="B128">
        <v>2026</v>
      </c>
      <c r="C128" t="s">
        <v>635</v>
      </c>
    </row>
    <row r="129" spans="1:3" x14ac:dyDescent="0.3">
      <c r="A129" s="2">
        <v>46078</v>
      </c>
      <c r="B129">
        <v>2026</v>
      </c>
      <c r="C129" t="s">
        <v>635</v>
      </c>
    </row>
    <row r="130" spans="1:3" x14ac:dyDescent="0.3">
      <c r="A130" s="2">
        <v>46079</v>
      </c>
      <c r="B130">
        <v>2026</v>
      </c>
      <c r="C130" t="s">
        <v>635</v>
      </c>
    </row>
    <row r="131" spans="1:3" x14ac:dyDescent="0.3">
      <c r="A131" s="2">
        <v>46080</v>
      </c>
      <c r="B131">
        <v>2026</v>
      </c>
      <c r="C131" t="s">
        <v>635</v>
      </c>
    </row>
    <row r="132" spans="1:3" x14ac:dyDescent="0.3">
      <c r="A132" s="2">
        <v>46081</v>
      </c>
      <c r="B132">
        <v>2026</v>
      </c>
      <c r="C132" t="s">
        <v>635</v>
      </c>
    </row>
    <row r="133" spans="1:3" x14ac:dyDescent="0.3">
      <c r="A133" s="2">
        <v>46082</v>
      </c>
      <c r="B133">
        <v>2026</v>
      </c>
      <c r="C133" t="s">
        <v>636</v>
      </c>
    </row>
    <row r="134" spans="1:3" x14ac:dyDescent="0.3">
      <c r="A134" s="2">
        <v>46083</v>
      </c>
      <c r="B134">
        <v>2026</v>
      </c>
      <c r="C134" t="s">
        <v>636</v>
      </c>
    </row>
    <row r="135" spans="1:3" x14ac:dyDescent="0.3">
      <c r="A135" s="2">
        <v>46084</v>
      </c>
      <c r="B135">
        <v>2026</v>
      </c>
      <c r="C135" t="s">
        <v>636</v>
      </c>
    </row>
    <row r="136" spans="1:3" x14ac:dyDescent="0.3">
      <c r="A136" s="2">
        <v>46085</v>
      </c>
      <c r="B136">
        <v>2026</v>
      </c>
      <c r="C136" t="s">
        <v>636</v>
      </c>
    </row>
    <row r="137" spans="1:3" x14ac:dyDescent="0.3">
      <c r="A137" s="2">
        <v>46086</v>
      </c>
      <c r="B137">
        <v>2026</v>
      </c>
      <c r="C137" t="s">
        <v>636</v>
      </c>
    </row>
    <row r="138" spans="1:3" x14ac:dyDescent="0.3">
      <c r="A138" s="2">
        <v>46087</v>
      </c>
      <c r="B138">
        <v>2026</v>
      </c>
      <c r="C138" t="s">
        <v>636</v>
      </c>
    </row>
    <row r="139" spans="1:3" x14ac:dyDescent="0.3">
      <c r="A139" s="2">
        <v>46088</v>
      </c>
      <c r="B139">
        <v>2026</v>
      </c>
      <c r="C139" t="s">
        <v>636</v>
      </c>
    </row>
    <row r="140" spans="1:3" x14ac:dyDescent="0.3">
      <c r="A140" s="2">
        <v>46089</v>
      </c>
      <c r="B140">
        <v>2026</v>
      </c>
      <c r="C140" t="s">
        <v>636</v>
      </c>
    </row>
    <row r="141" spans="1:3" x14ac:dyDescent="0.3">
      <c r="A141" s="2">
        <v>46090</v>
      </c>
      <c r="B141">
        <v>2026</v>
      </c>
      <c r="C141" t="s">
        <v>636</v>
      </c>
    </row>
    <row r="142" spans="1:3" x14ac:dyDescent="0.3">
      <c r="A142" s="2">
        <v>46091</v>
      </c>
      <c r="B142">
        <v>2026</v>
      </c>
      <c r="C142" t="s">
        <v>636</v>
      </c>
    </row>
    <row r="143" spans="1:3" x14ac:dyDescent="0.3">
      <c r="A143" s="2">
        <v>46092</v>
      </c>
      <c r="B143">
        <v>2026</v>
      </c>
      <c r="C143" t="s">
        <v>636</v>
      </c>
    </row>
    <row r="144" spans="1:3" x14ac:dyDescent="0.3">
      <c r="A144" s="2">
        <v>46093</v>
      </c>
      <c r="B144">
        <v>2026</v>
      </c>
      <c r="C144" t="s">
        <v>636</v>
      </c>
    </row>
    <row r="145" spans="1:3" x14ac:dyDescent="0.3">
      <c r="A145" s="2">
        <v>46094</v>
      </c>
      <c r="B145">
        <v>2026</v>
      </c>
      <c r="C145" t="s">
        <v>636</v>
      </c>
    </row>
    <row r="146" spans="1:3" x14ac:dyDescent="0.3">
      <c r="A146" s="2">
        <v>46095</v>
      </c>
      <c r="B146">
        <v>2026</v>
      </c>
      <c r="C146" t="s">
        <v>636</v>
      </c>
    </row>
    <row r="147" spans="1:3" x14ac:dyDescent="0.3">
      <c r="A147" s="2">
        <v>46096</v>
      </c>
      <c r="B147">
        <v>2026</v>
      </c>
      <c r="C147" t="s">
        <v>636</v>
      </c>
    </row>
    <row r="148" spans="1:3" x14ac:dyDescent="0.3">
      <c r="A148" s="2">
        <v>46097</v>
      </c>
      <c r="B148">
        <v>2026</v>
      </c>
      <c r="C148" t="s">
        <v>636</v>
      </c>
    </row>
    <row r="149" spans="1:3" x14ac:dyDescent="0.3">
      <c r="A149" s="2">
        <v>46098</v>
      </c>
      <c r="B149">
        <v>2026</v>
      </c>
      <c r="C149" t="s">
        <v>636</v>
      </c>
    </row>
    <row r="150" spans="1:3" x14ac:dyDescent="0.3">
      <c r="A150" s="2">
        <v>46099</v>
      </c>
      <c r="B150">
        <v>2026</v>
      </c>
      <c r="C150" t="s">
        <v>636</v>
      </c>
    </row>
    <row r="151" spans="1:3" x14ac:dyDescent="0.3">
      <c r="A151" s="2">
        <v>46100</v>
      </c>
      <c r="B151">
        <v>2026</v>
      </c>
      <c r="C151" t="s">
        <v>636</v>
      </c>
    </row>
    <row r="152" spans="1:3" x14ac:dyDescent="0.3">
      <c r="A152" s="2">
        <v>46101</v>
      </c>
      <c r="B152">
        <v>2026</v>
      </c>
      <c r="C152" t="s">
        <v>636</v>
      </c>
    </row>
    <row r="153" spans="1:3" x14ac:dyDescent="0.3">
      <c r="A153" s="2">
        <v>46102</v>
      </c>
      <c r="B153">
        <v>2026</v>
      </c>
      <c r="C153" t="s">
        <v>636</v>
      </c>
    </row>
    <row r="154" spans="1:3" x14ac:dyDescent="0.3">
      <c r="A154" s="2">
        <v>46103</v>
      </c>
      <c r="B154">
        <v>2026</v>
      </c>
      <c r="C154" t="s">
        <v>636</v>
      </c>
    </row>
    <row r="155" spans="1:3" x14ac:dyDescent="0.3">
      <c r="A155" s="2">
        <v>46104</v>
      </c>
      <c r="B155">
        <v>2026</v>
      </c>
      <c r="C155" t="s">
        <v>636</v>
      </c>
    </row>
    <row r="156" spans="1:3" x14ac:dyDescent="0.3">
      <c r="A156" s="2">
        <v>46105</v>
      </c>
      <c r="B156">
        <v>2026</v>
      </c>
      <c r="C156" t="s">
        <v>636</v>
      </c>
    </row>
    <row r="157" spans="1:3" x14ac:dyDescent="0.3">
      <c r="A157" s="2">
        <v>46106</v>
      </c>
      <c r="B157">
        <v>2026</v>
      </c>
      <c r="C157" t="s">
        <v>636</v>
      </c>
    </row>
    <row r="158" spans="1:3" x14ac:dyDescent="0.3">
      <c r="A158" s="2">
        <v>46107</v>
      </c>
      <c r="B158">
        <v>2026</v>
      </c>
      <c r="C158" t="s">
        <v>636</v>
      </c>
    </row>
    <row r="159" spans="1:3" x14ac:dyDescent="0.3">
      <c r="A159" s="2">
        <v>46108</v>
      </c>
      <c r="B159">
        <v>2026</v>
      </c>
      <c r="C159" t="s">
        <v>636</v>
      </c>
    </row>
    <row r="160" spans="1:3" x14ac:dyDescent="0.3">
      <c r="A160" s="2">
        <v>46109</v>
      </c>
      <c r="B160">
        <v>2026</v>
      </c>
      <c r="C160" t="s">
        <v>636</v>
      </c>
    </row>
    <row r="161" spans="1:3" x14ac:dyDescent="0.3">
      <c r="A161" s="2">
        <v>46110</v>
      </c>
      <c r="B161">
        <v>2026</v>
      </c>
      <c r="C161" t="s">
        <v>636</v>
      </c>
    </row>
    <row r="162" spans="1:3" x14ac:dyDescent="0.3">
      <c r="A162" s="2">
        <v>46111</v>
      </c>
      <c r="B162">
        <v>2026</v>
      </c>
      <c r="C162" t="s">
        <v>636</v>
      </c>
    </row>
    <row r="163" spans="1:3" x14ac:dyDescent="0.3">
      <c r="A163" s="2">
        <v>46112</v>
      </c>
      <c r="B163">
        <v>2026</v>
      </c>
      <c r="C163" t="s">
        <v>636</v>
      </c>
    </row>
    <row r="164" spans="1:3" x14ac:dyDescent="0.3">
      <c r="A164" s="2">
        <v>46113</v>
      </c>
      <c r="B164">
        <v>2026</v>
      </c>
      <c r="C164" t="s">
        <v>637</v>
      </c>
    </row>
    <row r="165" spans="1:3" x14ac:dyDescent="0.3">
      <c r="A165" s="2">
        <v>46114</v>
      </c>
      <c r="B165">
        <v>2026</v>
      </c>
      <c r="C165" t="s">
        <v>637</v>
      </c>
    </row>
    <row r="166" spans="1:3" x14ac:dyDescent="0.3">
      <c r="A166" s="2">
        <v>46115</v>
      </c>
      <c r="B166">
        <v>2026</v>
      </c>
      <c r="C166" t="s">
        <v>637</v>
      </c>
    </row>
    <row r="167" spans="1:3" x14ac:dyDescent="0.3">
      <c r="A167" s="2">
        <v>46116</v>
      </c>
      <c r="B167">
        <v>2026</v>
      </c>
      <c r="C167" t="s">
        <v>637</v>
      </c>
    </row>
    <row r="168" spans="1:3" x14ac:dyDescent="0.3">
      <c r="A168" s="2">
        <v>46117</v>
      </c>
      <c r="B168">
        <v>2026</v>
      </c>
      <c r="C168" t="s">
        <v>637</v>
      </c>
    </row>
    <row r="169" spans="1:3" x14ac:dyDescent="0.3">
      <c r="A169" s="2">
        <v>46118</v>
      </c>
      <c r="B169">
        <v>2026</v>
      </c>
      <c r="C169" t="s">
        <v>637</v>
      </c>
    </row>
    <row r="170" spans="1:3" x14ac:dyDescent="0.3">
      <c r="A170" s="2">
        <v>46119</v>
      </c>
      <c r="B170">
        <v>2026</v>
      </c>
      <c r="C170" t="s">
        <v>637</v>
      </c>
    </row>
    <row r="171" spans="1:3" x14ac:dyDescent="0.3">
      <c r="A171" s="2">
        <v>46120</v>
      </c>
      <c r="B171">
        <v>2026</v>
      </c>
      <c r="C171" t="s">
        <v>637</v>
      </c>
    </row>
    <row r="172" spans="1:3" x14ac:dyDescent="0.3">
      <c r="A172" s="2">
        <v>46121</v>
      </c>
      <c r="B172">
        <v>2026</v>
      </c>
      <c r="C172" t="s">
        <v>637</v>
      </c>
    </row>
    <row r="173" spans="1:3" x14ac:dyDescent="0.3">
      <c r="A173" s="2">
        <v>46122</v>
      </c>
      <c r="B173">
        <v>2026</v>
      </c>
      <c r="C173" t="s">
        <v>637</v>
      </c>
    </row>
    <row r="174" spans="1:3" x14ac:dyDescent="0.3">
      <c r="A174" s="2">
        <v>46123</v>
      </c>
      <c r="B174">
        <v>2026</v>
      </c>
      <c r="C174" t="s">
        <v>637</v>
      </c>
    </row>
    <row r="175" spans="1:3" x14ac:dyDescent="0.3">
      <c r="A175" s="2">
        <v>46124</v>
      </c>
      <c r="B175">
        <v>2026</v>
      </c>
      <c r="C175" t="s">
        <v>637</v>
      </c>
    </row>
    <row r="176" spans="1:3" x14ac:dyDescent="0.3">
      <c r="A176" s="2">
        <v>46125</v>
      </c>
      <c r="B176">
        <v>2026</v>
      </c>
      <c r="C176" t="s">
        <v>637</v>
      </c>
    </row>
    <row r="177" spans="1:3" x14ac:dyDescent="0.3">
      <c r="A177" s="2">
        <v>46126</v>
      </c>
      <c r="B177">
        <v>2026</v>
      </c>
      <c r="C177" t="s">
        <v>637</v>
      </c>
    </row>
    <row r="178" spans="1:3" x14ac:dyDescent="0.3">
      <c r="A178" s="2">
        <v>46127</v>
      </c>
      <c r="B178">
        <v>2026</v>
      </c>
      <c r="C178" t="s">
        <v>637</v>
      </c>
    </row>
    <row r="179" spans="1:3" x14ac:dyDescent="0.3">
      <c r="A179" s="2">
        <v>46128</v>
      </c>
      <c r="B179">
        <v>2026</v>
      </c>
      <c r="C179" t="s">
        <v>637</v>
      </c>
    </row>
    <row r="180" spans="1:3" x14ac:dyDescent="0.3">
      <c r="A180" s="2">
        <v>46129</v>
      </c>
      <c r="B180">
        <v>2026</v>
      </c>
      <c r="C180" t="s">
        <v>637</v>
      </c>
    </row>
    <row r="181" spans="1:3" x14ac:dyDescent="0.3">
      <c r="A181" s="2">
        <v>46130</v>
      </c>
      <c r="B181">
        <v>2026</v>
      </c>
      <c r="C181" t="s">
        <v>637</v>
      </c>
    </row>
    <row r="182" spans="1:3" x14ac:dyDescent="0.3">
      <c r="A182" s="2">
        <v>46131</v>
      </c>
      <c r="B182">
        <v>2026</v>
      </c>
      <c r="C182" t="s">
        <v>637</v>
      </c>
    </row>
    <row r="183" spans="1:3" x14ac:dyDescent="0.3">
      <c r="A183" s="2">
        <v>46132</v>
      </c>
      <c r="B183">
        <v>2026</v>
      </c>
      <c r="C183" t="s">
        <v>637</v>
      </c>
    </row>
    <row r="184" spans="1:3" x14ac:dyDescent="0.3">
      <c r="A184" s="2">
        <v>46133</v>
      </c>
      <c r="B184">
        <v>2026</v>
      </c>
      <c r="C184" t="s">
        <v>637</v>
      </c>
    </row>
    <row r="185" spans="1:3" x14ac:dyDescent="0.3">
      <c r="A185" s="2">
        <v>46134</v>
      </c>
      <c r="B185">
        <v>2026</v>
      </c>
      <c r="C185" t="s">
        <v>637</v>
      </c>
    </row>
    <row r="186" spans="1:3" x14ac:dyDescent="0.3">
      <c r="A186" s="2">
        <v>46135</v>
      </c>
      <c r="B186">
        <v>2026</v>
      </c>
      <c r="C186" t="s">
        <v>637</v>
      </c>
    </row>
    <row r="187" spans="1:3" x14ac:dyDescent="0.3">
      <c r="A187" s="2">
        <v>46136</v>
      </c>
      <c r="B187">
        <v>2026</v>
      </c>
      <c r="C187" t="s">
        <v>637</v>
      </c>
    </row>
    <row r="188" spans="1:3" x14ac:dyDescent="0.3">
      <c r="A188" s="2">
        <v>46137</v>
      </c>
      <c r="B188">
        <v>2026</v>
      </c>
      <c r="C188" t="s">
        <v>637</v>
      </c>
    </row>
    <row r="189" spans="1:3" x14ac:dyDescent="0.3">
      <c r="A189" s="2">
        <v>46138</v>
      </c>
      <c r="B189">
        <v>2026</v>
      </c>
      <c r="C189" t="s">
        <v>637</v>
      </c>
    </row>
    <row r="190" spans="1:3" x14ac:dyDescent="0.3">
      <c r="A190" s="2">
        <v>46139</v>
      </c>
      <c r="B190">
        <v>2026</v>
      </c>
      <c r="C190" t="s">
        <v>637</v>
      </c>
    </row>
    <row r="191" spans="1:3" x14ac:dyDescent="0.3">
      <c r="A191" s="2">
        <v>46140</v>
      </c>
      <c r="B191">
        <v>2026</v>
      </c>
      <c r="C191" t="s">
        <v>637</v>
      </c>
    </row>
    <row r="192" spans="1:3" x14ac:dyDescent="0.3">
      <c r="A192" s="2">
        <v>46141</v>
      </c>
      <c r="B192">
        <v>2026</v>
      </c>
      <c r="C192" t="s">
        <v>637</v>
      </c>
    </row>
    <row r="193" spans="1:3" x14ac:dyDescent="0.3">
      <c r="A193" s="2">
        <v>46142</v>
      </c>
      <c r="B193">
        <v>2026</v>
      </c>
      <c r="C193" t="s">
        <v>637</v>
      </c>
    </row>
    <row r="194" spans="1:3" x14ac:dyDescent="0.3">
      <c r="A194" s="2">
        <v>46143</v>
      </c>
      <c r="B194">
        <v>2026</v>
      </c>
      <c r="C194" t="s">
        <v>638</v>
      </c>
    </row>
    <row r="195" spans="1:3" x14ac:dyDescent="0.3">
      <c r="A195" s="2">
        <v>46144</v>
      </c>
      <c r="B195">
        <v>2026</v>
      </c>
      <c r="C195" t="s">
        <v>638</v>
      </c>
    </row>
    <row r="196" spans="1:3" x14ac:dyDescent="0.3">
      <c r="A196" s="2">
        <v>46145</v>
      </c>
      <c r="B196">
        <v>2026</v>
      </c>
      <c r="C196" t="s">
        <v>638</v>
      </c>
    </row>
    <row r="197" spans="1:3" x14ac:dyDescent="0.3">
      <c r="A197" s="2">
        <v>46146</v>
      </c>
      <c r="B197">
        <v>2026</v>
      </c>
      <c r="C197" t="s">
        <v>638</v>
      </c>
    </row>
    <row r="198" spans="1:3" x14ac:dyDescent="0.3">
      <c r="A198" s="2">
        <v>46147</v>
      </c>
      <c r="B198">
        <v>2026</v>
      </c>
      <c r="C198" t="s">
        <v>638</v>
      </c>
    </row>
    <row r="199" spans="1:3" x14ac:dyDescent="0.3">
      <c r="A199" s="2">
        <v>46148</v>
      </c>
      <c r="B199">
        <v>2026</v>
      </c>
      <c r="C199" t="s">
        <v>638</v>
      </c>
    </row>
    <row r="200" spans="1:3" x14ac:dyDescent="0.3">
      <c r="A200" s="2">
        <v>46149</v>
      </c>
      <c r="B200">
        <v>2026</v>
      </c>
      <c r="C200" t="s">
        <v>638</v>
      </c>
    </row>
    <row r="201" spans="1:3" x14ac:dyDescent="0.3">
      <c r="A201" s="2">
        <v>46150</v>
      </c>
      <c r="B201">
        <v>2026</v>
      </c>
      <c r="C201" t="s">
        <v>638</v>
      </c>
    </row>
    <row r="202" spans="1:3" x14ac:dyDescent="0.3">
      <c r="A202" s="2">
        <v>46151</v>
      </c>
      <c r="B202">
        <v>2026</v>
      </c>
      <c r="C202" t="s">
        <v>638</v>
      </c>
    </row>
    <row r="203" spans="1:3" x14ac:dyDescent="0.3">
      <c r="A203" s="2">
        <v>46152</v>
      </c>
      <c r="B203">
        <v>2026</v>
      </c>
      <c r="C203" t="s">
        <v>638</v>
      </c>
    </row>
    <row r="204" spans="1:3" x14ac:dyDescent="0.3">
      <c r="A204" s="2">
        <v>46153</v>
      </c>
      <c r="B204">
        <v>2026</v>
      </c>
      <c r="C204" t="s">
        <v>638</v>
      </c>
    </row>
    <row r="205" spans="1:3" x14ac:dyDescent="0.3">
      <c r="A205" s="2">
        <v>46154</v>
      </c>
      <c r="B205">
        <v>2026</v>
      </c>
      <c r="C205" t="s">
        <v>638</v>
      </c>
    </row>
    <row r="206" spans="1:3" x14ac:dyDescent="0.3">
      <c r="A206" s="2">
        <v>46155</v>
      </c>
      <c r="B206">
        <v>2026</v>
      </c>
      <c r="C206" t="s">
        <v>638</v>
      </c>
    </row>
    <row r="207" spans="1:3" x14ac:dyDescent="0.3">
      <c r="A207" s="2">
        <v>46156</v>
      </c>
      <c r="B207">
        <v>2026</v>
      </c>
      <c r="C207" t="s">
        <v>638</v>
      </c>
    </row>
    <row r="208" spans="1:3" x14ac:dyDescent="0.3">
      <c r="A208" s="2">
        <v>46157</v>
      </c>
      <c r="B208">
        <v>2026</v>
      </c>
      <c r="C208" t="s">
        <v>638</v>
      </c>
    </row>
    <row r="209" spans="1:3" x14ac:dyDescent="0.3">
      <c r="A209" s="2">
        <v>46158</v>
      </c>
      <c r="B209">
        <v>2026</v>
      </c>
      <c r="C209" t="s">
        <v>638</v>
      </c>
    </row>
    <row r="210" spans="1:3" x14ac:dyDescent="0.3">
      <c r="A210" s="2">
        <v>46159</v>
      </c>
      <c r="B210">
        <v>2026</v>
      </c>
      <c r="C210" t="s">
        <v>638</v>
      </c>
    </row>
    <row r="211" spans="1:3" x14ac:dyDescent="0.3">
      <c r="A211" s="2">
        <v>46160</v>
      </c>
      <c r="B211">
        <v>2026</v>
      </c>
      <c r="C211" t="s">
        <v>638</v>
      </c>
    </row>
    <row r="212" spans="1:3" x14ac:dyDescent="0.3">
      <c r="A212" s="2">
        <v>46161</v>
      </c>
      <c r="B212">
        <v>2026</v>
      </c>
      <c r="C212" t="s">
        <v>638</v>
      </c>
    </row>
    <row r="213" spans="1:3" x14ac:dyDescent="0.3">
      <c r="A213" s="2">
        <v>46162</v>
      </c>
      <c r="B213">
        <v>2026</v>
      </c>
      <c r="C213" t="s">
        <v>638</v>
      </c>
    </row>
    <row r="214" spans="1:3" x14ac:dyDescent="0.3">
      <c r="A214" s="2">
        <v>46163</v>
      </c>
      <c r="B214">
        <v>2026</v>
      </c>
      <c r="C214" t="s">
        <v>638</v>
      </c>
    </row>
    <row r="215" spans="1:3" x14ac:dyDescent="0.3">
      <c r="A215" s="2">
        <v>46164</v>
      </c>
      <c r="B215">
        <v>2026</v>
      </c>
      <c r="C215" t="s">
        <v>638</v>
      </c>
    </row>
    <row r="216" spans="1:3" x14ac:dyDescent="0.3">
      <c r="A216" s="2">
        <v>46165</v>
      </c>
      <c r="B216">
        <v>2026</v>
      </c>
      <c r="C216" t="s">
        <v>638</v>
      </c>
    </row>
    <row r="217" spans="1:3" x14ac:dyDescent="0.3">
      <c r="A217" s="2">
        <v>46166</v>
      </c>
      <c r="B217">
        <v>2026</v>
      </c>
      <c r="C217" t="s">
        <v>638</v>
      </c>
    </row>
    <row r="218" spans="1:3" x14ac:dyDescent="0.3">
      <c r="A218" s="2">
        <v>46167</v>
      </c>
      <c r="B218">
        <v>2026</v>
      </c>
      <c r="C218" t="s">
        <v>638</v>
      </c>
    </row>
    <row r="219" spans="1:3" x14ac:dyDescent="0.3">
      <c r="A219" s="2">
        <v>46168</v>
      </c>
      <c r="B219">
        <v>2026</v>
      </c>
      <c r="C219" t="s">
        <v>638</v>
      </c>
    </row>
    <row r="220" spans="1:3" x14ac:dyDescent="0.3">
      <c r="A220" s="2">
        <v>46169</v>
      </c>
      <c r="B220">
        <v>2026</v>
      </c>
      <c r="C220" t="s">
        <v>638</v>
      </c>
    </row>
    <row r="221" spans="1:3" x14ac:dyDescent="0.3">
      <c r="A221" s="2">
        <v>46170</v>
      </c>
      <c r="B221">
        <v>2026</v>
      </c>
      <c r="C221" t="s">
        <v>638</v>
      </c>
    </row>
    <row r="222" spans="1:3" x14ac:dyDescent="0.3">
      <c r="A222" s="2">
        <v>46171</v>
      </c>
      <c r="B222">
        <v>2026</v>
      </c>
      <c r="C222" t="s">
        <v>638</v>
      </c>
    </row>
    <row r="223" spans="1:3" x14ac:dyDescent="0.3">
      <c r="A223" s="2">
        <v>46172</v>
      </c>
      <c r="B223">
        <v>2026</v>
      </c>
      <c r="C223" t="s">
        <v>638</v>
      </c>
    </row>
    <row r="224" spans="1:3" x14ac:dyDescent="0.3">
      <c r="A224" s="2">
        <v>46173</v>
      </c>
      <c r="B224">
        <v>2026</v>
      </c>
      <c r="C224" t="s">
        <v>638</v>
      </c>
    </row>
    <row r="225" spans="1:3" x14ac:dyDescent="0.3">
      <c r="A225" s="2">
        <v>46174</v>
      </c>
      <c r="B225">
        <v>2026</v>
      </c>
      <c r="C225" t="s">
        <v>639</v>
      </c>
    </row>
    <row r="226" spans="1:3" x14ac:dyDescent="0.3">
      <c r="A226" s="2">
        <v>46175</v>
      </c>
      <c r="B226">
        <v>2026</v>
      </c>
      <c r="C226" t="s">
        <v>639</v>
      </c>
    </row>
    <row r="227" spans="1:3" x14ac:dyDescent="0.3">
      <c r="A227" s="2">
        <v>46176</v>
      </c>
      <c r="B227">
        <v>2026</v>
      </c>
      <c r="C227" t="s">
        <v>639</v>
      </c>
    </row>
    <row r="228" spans="1:3" x14ac:dyDescent="0.3">
      <c r="A228" s="2">
        <v>46177</v>
      </c>
      <c r="B228">
        <v>2026</v>
      </c>
      <c r="C228" t="s">
        <v>639</v>
      </c>
    </row>
    <row r="229" spans="1:3" x14ac:dyDescent="0.3">
      <c r="A229" s="2">
        <v>46178</v>
      </c>
      <c r="B229">
        <v>2026</v>
      </c>
      <c r="C229" t="s">
        <v>639</v>
      </c>
    </row>
    <row r="230" spans="1:3" x14ac:dyDescent="0.3">
      <c r="A230" s="2">
        <v>46179</v>
      </c>
      <c r="B230">
        <v>2026</v>
      </c>
      <c r="C230" t="s">
        <v>639</v>
      </c>
    </row>
    <row r="231" spans="1:3" x14ac:dyDescent="0.3">
      <c r="A231" s="2">
        <v>46180</v>
      </c>
      <c r="B231">
        <v>2026</v>
      </c>
      <c r="C231" t="s">
        <v>639</v>
      </c>
    </row>
    <row r="232" spans="1:3" x14ac:dyDescent="0.3">
      <c r="A232" s="2">
        <v>46181</v>
      </c>
      <c r="B232">
        <v>2026</v>
      </c>
      <c r="C232" t="s">
        <v>639</v>
      </c>
    </row>
    <row r="233" spans="1:3" x14ac:dyDescent="0.3">
      <c r="A233" s="2">
        <v>46182</v>
      </c>
      <c r="B233">
        <v>2026</v>
      </c>
      <c r="C233" t="s">
        <v>639</v>
      </c>
    </row>
    <row r="234" spans="1:3" x14ac:dyDescent="0.3">
      <c r="A234" s="2">
        <v>46183</v>
      </c>
      <c r="B234">
        <v>2026</v>
      </c>
      <c r="C234" t="s">
        <v>639</v>
      </c>
    </row>
    <row r="235" spans="1:3" x14ac:dyDescent="0.3">
      <c r="A235" s="2">
        <v>46184</v>
      </c>
      <c r="B235">
        <v>2026</v>
      </c>
      <c r="C235" t="s">
        <v>639</v>
      </c>
    </row>
    <row r="236" spans="1:3" x14ac:dyDescent="0.3">
      <c r="A236" s="2">
        <v>46185</v>
      </c>
      <c r="B236">
        <v>2026</v>
      </c>
      <c r="C236" t="s">
        <v>639</v>
      </c>
    </row>
    <row r="237" spans="1:3" x14ac:dyDescent="0.3">
      <c r="A237" s="2">
        <v>46186</v>
      </c>
      <c r="B237">
        <v>2026</v>
      </c>
      <c r="C237" t="s">
        <v>639</v>
      </c>
    </row>
    <row r="238" spans="1:3" x14ac:dyDescent="0.3">
      <c r="A238" s="2">
        <v>46187</v>
      </c>
      <c r="B238">
        <v>2026</v>
      </c>
      <c r="C238" t="s">
        <v>639</v>
      </c>
    </row>
    <row r="239" spans="1:3" x14ac:dyDescent="0.3">
      <c r="A239" s="2">
        <v>46188</v>
      </c>
      <c r="B239">
        <v>2026</v>
      </c>
      <c r="C239" t="s">
        <v>639</v>
      </c>
    </row>
    <row r="240" spans="1:3" x14ac:dyDescent="0.3">
      <c r="A240" s="2">
        <v>46189</v>
      </c>
      <c r="B240">
        <v>2026</v>
      </c>
      <c r="C240" t="s">
        <v>639</v>
      </c>
    </row>
    <row r="241" spans="1:3" x14ac:dyDescent="0.3">
      <c r="A241" s="2">
        <v>46190</v>
      </c>
      <c r="B241">
        <v>2026</v>
      </c>
      <c r="C241" t="s">
        <v>639</v>
      </c>
    </row>
    <row r="242" spans="1:3" x14ac:dyDescent="0.3">
      <c r="A242" s="2">
        <v>46191</v>
      </c>
      <c r="B242">
        <v>2026</v>
      </c>
      <c r="C242" t="s">
        <v>639</v>
      </c>
    </row>
    <row r="243" spans="1:3" x14ac:dyDescent="0.3">
      <c r="A243" s="2">
        <v>46192</v>
      </c>
      <c r="B243">
        <v>2026</v>
      </c>
      <c r="C243" t="s">
        <v>639</v>
      </c>
    </row>
    <row r="244" spans="1:3" x14ac:dyDescent="0.3">
      <c r="A244" s="2">
        <v>46193</v>
      </c>
      <c r="B244">
        <v>2026</v>
      </c>
      <c r="C244" t="s">
        <v>639</v>
      </c>
    </row>
    <row r="245" spans="1:3" x14ac:dyDescent="0.3">
      <c r="A245" s="2">
        <v>46194</v>
      </c>
      <c r="B245">
        <v>2026</v>
      </c>
      <c r="C245" t="s">
        <v>639</v>
      </c>
    </row>
    <row r="246" spans="1:3" x14ac:dyDescent="0.3">
      <c r="A246" s="2">
        <v>46195</v>
      </c>
      <c r="B246">
        <v>2026</v>
      </c>
      <c r="C246" t="s">
        <v>639</v>
      </c>
    </row>
    <row r="247" spans="1:3" x14ac:dyDescent="0.3">
      <c r="A247" s="2">
        <v>46196</v>
      </c>
      <c r="B247">
        <v>2026</v>
      </c>
      <c r="C247" t="s">
        <v>639</v>
      </c>
    </row>
    <row r="248" spans="1:3" x14ac:dyDescent="0.3">
      <c r="A248" s="2">
        <v>46197</v>
      </c>
      <c r="B248">
        <v>2026</v>
      </c>
      <c r="C248" t="s">
        <v>639</v>
      </c>
    </row>
    <row r="249" spans="1:3" x14ac:dyDescent="0.3">
      <c r="A249" s="2">
        <v>46198</v>
      </c>
      <c r="B249">
        <v>2026</v>
      </c>
      <c r="C249" t="s">
        <v>639</v>
      </c>
    </row>
    <row r="250" spans="1:3" x14ac:dyDescent="0.3">
      <c r="A250" s="2">
        <v>46199</v>
      </c>
      <c r="B250">
        <v>2026</v>
      </c>
      <c r="C250" t="s">
        <v>639</v>
      </c>
    </row>
    <row r="251" spans="1:3" x14ac:dyDescent="0.3">
      <c r="A251" s="2">
        <v>46200</v>
      </c>
      <c r="B251">
        <v>2026</v>
      </c>
      <c r="C251" t="s">
        <v>639</v>
      </c>
    </row>
    <row r="252" spans="1:3" x14ac:dyDescent="0.3">
      <c r="A252" s="2">
        <v>46201</v>
      </c>
      <c r="B252">
        <v>2026</v>
      </c>
      <c r="C252" t="s">
        <v>639</v>
      </c>
    </row>
    <row r="253" spans="1:3" x14ac:dyDescent="0.3">
      <c r="A253" s="2">
        <v>46202</v>
      </c>
      <c r="B253">
        <v>2026</v>
      </c>
      <c r="C253" t="s">
        <v>639</v>
      </c>
    </row>
    <row r="254" spans="1:3" x14ac:dyDescent="0.3">
      <c r="A254" s="2">
        <v>46203</v>
      </c>
      <c r="B254">
        <v>2026</v>
      </c>
      <c r="C254" t="s">
        <v>639</v>
      </c>
    </row>
    <row r="255" spans="1:3" x14ac:dyDescent="0.3">
      <c r="A255" s="2">
        <v>46204</v>
      </c>
      <c r="B255">
        <v>2026</v>
      </c>
      <c r="C255" t="s">
        <v>640</v>
      </c>
    </row>
    <row r="256" spans="1:3" x14ac:dyDescent="0.3">
      <c r="A256" s="2">
        <v>46205</v>
      </c>
      <c r="B256">
        <v>2026</v>
      </c>
      <c r="C256" t="s">
        <v>640</v>
      </c>
    </row>
    <row r="257" spans="1:3" x14ac:dyDescent="0.3">
      <c r="A257" s="2">
        <v>46206</v>
      </c>
      <c r="B257">
        <v>2026</v>
      </c>
      <c r="C257" t="s">
        <v>640</v>
      </c>
    </row>
    <row r="258" spans="1:3" x14ac:dyDescent="0.3">
      <c r="A258" s="2">
        <v>46207</v>
      </c>
      <c r="B258">
        <v>2026</v>
      </c>
      <c r="C258" t="s">
        <v>640</v>
      </c>
    </row>
    <row r="259" spans="1:3" x14ac:dyDescent="0.3">
      <c r="A259" s="2">
        <v>46208</v>
      </c>
      <c r="B259">
        <v>2026</v>
      </c>
      <c r="C259" t="s">
        <v>640</v>
      </c>
    </row>
    <row r="260" spans="1:3" x14ac:dyDescent="0.3">
      <c r="A260" s="2">
        <v>46209</v>
      </c>
      <c r="B260">
        <v>2026</v>
      </c>
      <c r="C260" t="s">
        <v>640</v>
      </c>
    </row>
    <row r="261" spans="1:3" x14ac:dyDescent="0.3">
      <c r="A261" s="2">
        <v>46210</v>
      </c>
      <c r="B261">
        <v>2026</v>
      </c>
      <c r="C261" t="s">
        <v>640</v>
      </c>
    </row>
    <row r="262" spans="1:3" x14ac:dyDescent="0.3">
      <c r="A262" s="2">
        <v>46211</v>
      </c>
      <c r="B262">
        <v>2026</v>
      </c>
      <c r="C262" t="s">
        <v>640</v>
      </c>
    </row>
    <row r="263" spans="1:3" x14ac:dyDescent="0.3">
      <c r="A263" s="2">
        <v>46212</v>
      </c>
      <c r="B263">
        <v>2026</v>
      </c>
      <c r="C263" t="s">
        <v>640</v>
      </c>
    </row>
    <row r="264" spans="1:3" x14ac:dyDescent="0.3">
      <c r="A264" s="2">
        <v>46213</v>
      </c>
      <c r="B264">
        <v>2026</v>
      </c>
      <c r="C264" t="s">
        <v>640</v>
      </c>
    </row>
    <row r="265" spans="1:3" x14ac:dyDescent="0.3">
      <c r="A265" s="2">
        <v>46214</v>
      </c>
      <c r="B265">
        <v>2026</v>
      </c>
      <c r="C265" t="s">
        <v>640</v>
      </c>
    </row>
    <row r="266" spans="1:3" x14ac:dyDescent="0.3">
      <c r="A266" s="2">
        <v>46215</v>
      </c>
      <c r="B266">
        <v>2026</v>
      </c>
      <c r="C266" t="s">
        <v>640</v>
      </c>
    </row>
    <row r="267" spans="1:3" x14ac:dyDescent="0.3">
      <c r="A267" s="2">
        <v>46216</v>
      </c>
      <c r="B267">
        <v>2026</v>
      </c>
      <c r="C267" t="s">
        <v>640</v>
      </c>
    </row>
    <row r="268" spans="1:3" x14ac:dyDescent="0.3">
      <c r="A268" s="2">
        <v>46217</v>
      </c>
      <c r="B268">
        <v>2026</v>
      </c>
      <c r="C268" t="s">
        <v>640</v>
      </c>
    </row>
    <row r="269" spans="1:3" x14ac:dyDescent="0.3">
      <c r="A269" s="2">
        <v>46218</v>
      </c>
      <c r="B269">
        <v>2026</v>
      </c>
      <c r="C269" t="s">
        <v>640</v>
      </c>
    </row>
    <row r="270" spans="1:3" x14ac:dyDescent="0.3">
      <c r="A270" s="2">
        <v>46219</v>
      </c>
      <c r="B270">
        <v>2026</v>
      </c>
      <c r="C270" t="s">
        <v>640</v>
      </c>
    </row>
    <row r="271" spans="1:3" x14ac:dyDescent="0.3">
      <c r="A271" s="2">
        <v>46220</v>
      </c>
      <c r="B271">
        <v>2026</v>
      </c>
      <c r="C271" t="s">
        <v>640</v>
      </c>
    </row>
    <row r="272" spans="1:3" x14ac:dyDescent="0.3">
      <c r="A272" s="2">
        <v>46221</v>
      </c>
      <c r="B272">
        <v>2026</v>
      </c>
      <c r="C272" t="s">
        <v>640</v>
      </c>
    </row>
    <row r="273" spans="1:3" x14ac:dyDescent="0.3">
      <c r="A273" s="2">
        <v>46222</v>
      </c>
      <c r="B273">
        <v>2026</v>
      </c>
      <c r="C273" t="s">
        <v>640</v>
      </c>
    </row>
    <row r="274" spans="1:3" x14ac:dyDescent="0.3">
      <c r="A274" s="2">
        <v>46223</v>
      </c>
      <c r="B274">
        <v>2026</v>
      </c>
      <c r="C274" t="s">
        <v>640</v>
      </c>
    </row>
    <row r="275" spans="1:3" x14ac:dyDescent="0.3">
      <c r="A275" s="2">
        <v>46224</v>
      </c>
      <c r="B275">
        <v>2026</v>
      </c>
      <c r="C275" t="s">
        <v>640</v>
      </c>
    </row>
    <row r="276" spans="1:3" x14ac:dyDescent="0.3">
      <c r="A276" s="2">
        <v>46225</v>
      </c>
      <c r="B276">
        <v>2026</v>
      </c>
      <c r="C276" t="s">
        <v>640</v>
      </c>
    </row>
    <row r="277" spans="1:3" x14ac:dyDescent="0.3">
      <c r="A277" s="2">
        <v>46226</v>
      </c>
      <c r="B277">
        <v>2026</v>
      </c>
      <c r="C277" t="s">
        <v>640</v>
      </c>
    </row>
    <row r="278" spans="1:3" x14ac:dyDescent="0.3">
      <c r="A278" s="2">
        <v>46227</v>
      </c>
      <c r="B278">
        <v>2026</v>
      </c>
      <c r="C278" t="s">
        <v>640</v>
      </c>
    </row>
    <row r="279" spans="1:3" x14ac:dyDescent="0.3">
      <c r="A279" s="2">
        <v>46228</v>
      </c>
      <c r="B279">
        <v>2026</v>
      </c>
      <c r="C279" t="s">
        <v>640</v>
      </c>
    </row>
    <row r="280" spans="1:3" x14ac:dyDescent="0.3">
      <c r="A280" s="2">
        <v>46229</v>
      </c>
      <c r="B280">
        <v>2026</v>
      </c>
      <c r="C280" t="s">
        <v>640</v>
      </c>
    </row>
    <row r="281" spans="1:3" x14ac:dyDescent="0.3">
      <c r="A281" s="2">
        <v>46230</v>
      </c>
      <c r="B281">
        <v>2026</v>
      </c>
      <c r="C281" t="s">
        <v>640</v>
      </c>
    </row>
    <row r="282" spans="1:3" x14ac:dyDescent="0.3">
      <c r="A282" s="2">
        <v>46231</v>
      </c>
      <c r="B282">
        <v>2026</v>
      </c>
      <c r="C282" t="s">
        <v>640</v>
      </c>
    </row>
    <row r="283" spans="1:3" x14ac:dyDescent="0.3">
      <c r="A283" s="2">
        <v>46232</v>
      </c>
      <c r="B283">
        <v>2026</v>
      </c>
      <c r="C283" t="s">
        <v>640</v>
      </c>
    </row>
    <row r="284" spans="1:3" x14ac:dyDescent="0.3">
      <c r="A284" s="2">
        <v>46233</v>
      </c>
      <c r="B284">
        <v>2026</v>
      </c>
      <c r="C284" t="s">
        <v>640</v>
      </c>
    </row>
    <row r="285" spans="1:3" x14ac:dyDescent="0.3">
      <c r="A285" s="2">
        <v>46234</v>
      </c>
      <c r="B285">
        <v>2026</v>
      </c>
      <c r="C285" t="s">
        <v>640</v>
      </c>
    </row>
    <row r="286" spans="1:3" x14ac:dyDescent="0.3">
      <c r="A286" s="2">
        <v>46235</v>
      </c>
      <c r="B286">
        <v>2026</v>
      </c>
      <c r="C286" t="s">
        <v>641</v>
      </c>
    </row>
    <row r="287" spans="1:3" x14ac:dyDescent="0.3">
      <c r="A287" s="2">
        <v>46236</v>
      </c>
      <c r="B287">
        <v>2026</v>
      </c>
      <c r="C287" t="s">
        <v>641</v>
      </c>
    </row>
    <row r="288" spans="1:3" x14ac:dyDescent="0.3">
      <c r="A288" s="2">
        <v>46237</v>
      </c>
      <c r="B288">
        <v>2026</v>
      </c>
      <c r="C288" t="s">
        <v>641</v>
      </c>
    </row>
    <row r="289" spans="1:3" x14ac:dyDescent="0.3">
      <c r="A289" s="2">
        <v>46238</v>
      </c>
      <c r="B289">
        <v>2026</v>
      </c>
      <c r="C289" t="s">
        <v>641</v>
      </c>
    </row>
    <row r="290" spans="1:3" x14ac:dyDescent="0.3">
      <c r="A290" s="2">
        <v>46239</v>
      </c>
      <c r="B290">
        <v>2026</v>
      </c>
      <c r="C290" t="s">
        <v>641</v>
      </c>
    </row>
    <row r="291" spans="1:3" x14ac:dyDescent="0.3">
      <c r="A291" s="2">
        <v>46240</v>
      </c>
      <c r="B291">
        <v>2026</v>
      </c>
      <c r="C291" t="s">
        <v>641</v>
      </c>
    </row>
    <row r="292" spans="1:3" x14ac:dyDescent="0.3">
      <c r="A292" s="2">
        <v>46241</v>
      </c>
      <c r="B292">
        <v>2026</v>
      </c>
      <c r="C292" t="s">
        <v>641</v>
      </c>
    </row>
    <row r="293" spans="1:3" x14ac:dyDescent="0.3">
      <c r="A293" s="2">
        <v>46242</v>
      </c>
      <c r="B293">
        <v>2026</v>
      </c>
      <c r="C293" t="s">
        <v>641</v>
      </c>
    </row>
    <row r="294" spans="1:3" x14ac:dyDescent="0.3">
      <c r="A294" s="2">
        <v>46243</v>
      </c>
      <c r="B294">
        <v>2026</v>
      </c>
      <c r="C294" t="s">
        <v>641</v>
      </c>
    </row>
    <row r="295" spans="1:3" x14ac:dyDescent="0.3">
      <c r="A295" s="2">
        <v>46244</v>
      </c>
      <c r="B295">
        <v>2026</v>
      </c>
      <c r="C295" t="s">
        <v>641</v>
      </c>
    </row>
    <row r="296" spans="1:3" x14ac:dyDescent="0.3">
      <c r="A296" s="2">
        <v>46245</v>
      </c>
      <c r="B296">
        <v>2026</v>
      </c>
      <c r="C296" t="s">
        <v>641</v>
      </c>
    </row>
    <row r="297" spans="1:3" x14ac:dyDescent="0.3">
      <c r="A297" s="2">
        <v>46246</v>
      </c>
      <c r="B297">
        <v>2026</v>
      </c>
      <c r="C297" t="s">
        <v>641</v>
      </c>
    </row>
    <row r="298" spans="1:3" x14ac:dyDescent="0.3">
      <c r="A298" s="2">
        <v>46247</v>
      </c>
      <c r="B298">
        <v>2026</v>
      </c>
      <c r="C298" t="s">
        <v>641</v>
      </c>
    </row>
    <row r="299" spans="1:3" x14ac:dyDescent="0.3">
      <c r="A299" s="2">
        <v>46248</v>
      </c>
      <c r="B299">
        <v>2026</v>
      </c>
      <c r="C299" t="s">
        <v>641</v>
      </c>
    </row>
    <row r="300" spans="1:3" x14ac:dyDescent="0.3">
      <c r="A300" s="2">
        <v>46249</v>
      </c>
      <c r="B300">
        <v>2026</v>
      </c>
      <c r="C300" t="s">
        <v>641</v>
      </c>
    </row>
    <row r="301" spans="1:3" x14ac:dyDescent="0.3">
      <c r="A301" s="2">
        <v>46250</v>
      </c>
      <c r="B301">
        <v>2026</v>
      </c>
      <c r="C301" t="s">
        <v>641</v>
      </c>
    </row>
    <row r="302" spans="1:3" x14ac:dyDescent="0.3">
      <c r="A302" s="2">
        <v>46251</v>
      </c>
      <c r="B302">
        <v>2026</v>
      </c>
      <c r="C302" t="s">
        <v>641</v>
      </c>
    </row>
    <row r="303" spans="1:3" x14ac:dyDescent="0.3">
      <c r="A303" s="2">
        <v>46252</v>
      </c>
      <c r="B303">
        <v>2026</v>
      </c>
      <c r="C303" t="s">
        <v>641</v>
      </c>
    </row>
    <row r="304" spans="1:3" x14ac:dyDescent="0.3">
      <c r="A304" s="2">
        <v>46253</v>
      </c>
      <c r="B304">
        <v>2026</v>
      </c>
      <c r="C304" t="s">
        <v>641</v>
      </c>
    </row>
    <row r="305" spans="1:3" x14ac:dyDescent="0.3">
      <c r="A305" s="2">
        <v>46254</v>
      </c>
      <c r="B305">
        <v>2026</v>
      </c>
      <c r="C305" t="s">
        <v>641</v>
      </c>
    </row>
    <row r="306" spans="1:3" x14ac:dyDescent="0.3">
      <c r="A306" s="2">
        <v>46255</v>
      </c>
      <c r="B306">
        <v>2026</v>
      </c>
      <c r="C306" t="s">
        <v>641</v>
      </c>
    </row>
    <row r="307" spans="1:3" x14ac:dyDescent="0.3">
      <c r="A307" s="2">
        <v>46256</v>
      </c>
      <c r="B307">
        <v>2026</v>
      </c>
      <c r="C307" t="s">
        <v>641</v>
      </c>
    </row>
    <row r="308" spans="1:3" x14ac:dyDescent="0.3">
      <c r="A308" s="2">
        <v>46257</v>
      </c>
      <c r="B308">
        <v>2026</v>
      </c>
      <c r="C308" t="s">
        <v>641</v>
      </c>
    </row>
    <row r="309" spans="1:3" x14ac:dyDescent="0.3">
      <c r="A309" s="2">
        <v>46258</v>
      </c>
      <c r="B309">
        <v>2026</v>
      </c>
      <c r="C309" t="s">
        <v>641</v>
      </c>
    </row>
    <row r="310" spans="1:3" x14ac:dyDescent="0.3">
      <c r="A310" s="2">
        <v>46259</v>
      </c>
      <c r="B310">
        <v>2026</v>
      </c>
      <c r="C310" t="s">
        <v>641</v>
      </c>
    </row>
    <row r="311" spans="1:3" x14ac:dyDescent="0.3">
      <c r="A311" s="2">
        <v>46260</v>
      </c>
      <c r="B311">
        <v>2026</v>
      </c>
      <c r="C311" t="s">
        <v>641</v>
      </c>
    </row>
    <row r="312" spans="1:3" x14ac:dyDescent="0.3">
      <c r="A312" s="2">
        <v>46261</v>
      </c>
      <c r="B312">
        <v>2026</v>
      </c>
      <c r="C312" t="s">
        <v>641</v>
      </c>
    </row>
    <row r="313" spans="1:3" x14ac:dyDescent="0.3">
      <c r="A313" s="2">
        <v>46262</v>
      </c>
      <c r="B313">
        <v>2026</v>
      </c>
      <c r="C313" t="s">
        <v>641</v>
      </c>
    </row>
    <row r="314" spans="1:3" x14ac:dyDescent="0.3">
      <c r="A314" s="2">
        <v>46263</v>
      </c>
      <c r="B314">
        <v>2026</v>
      </c>
      <c r="C314" t="s">
        <v>641</v>
      </c>
    </row>
    <row r="315" spans="1:3" x14ac:dyDescent="0.3">
      <c r="A315" s="2">
        <v>46264</v>
      </c>
      <c r="B315">
        <v>2026</v>
      </c>
      <c r="C315" t="s">
        <v>641</v>
      </c>
    </row>
    <row r="316" spans="1:3" x14ac:dyDescent="0.3">
      <c r="A316" s="2">
        <v>46265</v>
      </c>
      <c r="B316">
        <v>2026</v>
      </c>
      <c r="C316" t="s">
        <v>641</v>
      </c>
    </row>
    <row r="317" spans="1:3" x14ac:dyDescent="0.3">
      <c r="A317" s="2">
        <v>46266</v>
      </c>
      <c r="B317">
        <v>2026</v>
      </c>
      <c r="C317" t="s">
        <v>642</v>
      </c>
    </row>
    <row r="318" spans="1:3" x14ac:dyDescent="0.3">
      <c r="A318" s="2">
        <v>46267</v>
      </c>
      <c r="B318">
        <v>2026</v>
      </c>
      <c r="C318" t="s">
        <v>642</v>
      </c>
    </row>
    <row r="319" spans="1:3" x14ac:dyDescent="0.3">
      <c r="A319" s="2">
        <v>46268</v>
      </c>
      <c r="B319">
        <v>2026</v>
      </c>
      <c r="C319" t="s">
        <v>642</v>
      </c>
    </row>
    <row r="320" spans="1:3" x14ac:dyDescent="0.3">
      <c r="A320" s="2">
        <v>46269</v>
      </c>
      <c r="B320">
        <v>2026</v>
      </c>
      <c r="C320" t="s">
        <v>642</v>
      </c>
    </row>
    <row r="321" spans="1:3" x14ac:dyDescent="0.3">
      <c r="A321" s="2">
        <v>46270</v>
      </c>
      <c r="B321">
        <v>2026</v>
      </c>
      <c r="C321" t="s">
        <v>642</v>
      </c>
    </row>
    <row r="322" spans="1:3" x14ac:dyDescent="0.3">
      <c r="A322" s="2">
        <v>46271</v>
      </c>
      <c r="B322">
        <v>2026</v>
      </c>
      <c r="C322" t="s">
        <v>642</v>
      </c>
    </row>
    <row r="323" spans="1:3" x14ac:dyDescent="0.3">
      <c r="A323" s="2">
        <v>46272</v>
      </c>
      <c r="B323">
        <v>2026</v>
      </c>
      <c r="C323" t="s">
        <v>642</v>
      </c>
    </row>
    <row r="324" spans="1:3" x14ac:dyDescent="0.3">
      <c r="A324" s="2">
        <v>46273</v>
      </c>
      <c r="B324">
        <v>2026</v>
      </c>
      <c r="C324" t="s">
        <v>642</v>
      </c>
    </row>
    <row r="325" spans="1:3" x14ac:dyDescent="0.3">
      <c r="A325" s="2">
        <v>46274</v>
      </c>
      <c r="B325">
        <v>2026</v>
      </c>
      <c r="C325" t="s">
        <v>642</v>
      </c>
    </row>
    <row r="326" spans="1:3" x14ac:dyDescent="0.3">
      <c r="A326" s="2">
        <v>46275</v>
      </c>
      <c r="B326">
        <v>2026</v>
      </c>
      <c r="C326" t="s">
        <v>642</v>
      </c>
    </row>
    <row r="327" spans="1:3" x14ac:dyDescent="0.3">
      <c r="A327" s="2">
        <v>46276</v>
      </c>
      <c r="B327">
        <v>2026</v>
      </c>
      <c r="C327" t="s">
        <v>642</v>
      </c>
    </row>
    <row r="328" spans="1:3" x14ac:dyDescent="0.3">
      <c r="A328" s="2">
        <v>46277</v>
      </c>
      <c r="B328">
        <v>2026</v>
      </c>
      <c r="C328" t="s">
        <v>642</v>
      </c>
    </row>
    <row r="329" spans="1:3" x14ac:dyDescent="0.3">
      <c r="A329" s="2">
        <v>46278</v>
      </c>
      <c r="B329">
        <v>2026</v>
      </c>
      <c r="C329" t="s">
        <v>642</v>
      </c>
    </row>
    <row r="330" spans="1:3" x14ac:dyDescent="0.3">
      <c r="A330" s="2">
        <v>46279</v>
      </c>
      <c r="B330">
        <v>2026</v>
      </c>
      <c r="C330" t="s">
        <v>642</v>
      </c>
    </row>
    <row r="331" spans="1:3" x14ac:dyDescent="0.3">
      <c r="A331" s="2">
        <v>46280</v>
      </c>
      <c r="B331">
        <v>2026</v>
      </c>
      <c r="C331" t="s">
        <v>642</v>
      </c>
    </row>
    <row r="332" spans="1:3" x14ac:dyDescent="0.3">
      <c r="A332" s="2">
        <v>46281</v>
      </c>
      <c r="B332">
        <v>2026</v>
      </c>
      <c r="C332" t="s">
        <v>642</v>
      </c>
    </row>
    <row r="333" spans="1:3" x14ac:dyDescent="0.3">
      <c r="A333" s="2">
        <v>46282</v>
      </c>
      <c r="B333">
        <v>2026</v>
      </c>
      <c r="C333" t="s">
        <v>642</v>
      </c>
    </row>
    <row r="334" spans="1:3" x14ac:dyDescent="0.3">
      <c r="A334" s="2">
        <v>46283</v>
      </c>
      <c r="B334">
        <v>2026</v>
      </c>
      <c r="C334" t="s">
        <v>642</v>
      </c>
    </row>
    <row r="335" spans="1:3" x14ac:dyDescent="0.3">
      <c r="A335" s="2">
        <v>46284</v>
      </c>
      <c r="B335">
        <v>2026</v>
      </c>
      <c r="C335" t="s">
        <v>642</v>
      </c>
    </row>
    <row r="336" spans="1:3" x14ac:dyDescent="0.3">
      <c r="A336" s="2">
        <v>46285</v>
      </c>
      <c r="B336">
        <v>2026</v>
      </c>
      <c r="C336" t="s">
        <v>642</v>
      </c>
    </row>
    <row r="337" spans="1:3" x14ac:dyDescent="0.3">
      <c r="A337" s="2">
        <v>46286</v>
      </c>
      <c r="B337">
        <v>2026</v>
      </c>
      <c r="C337" t="s">
        <v>642</v>
      </c>
    </row>
    <row r="338" spans="1:3" x14ac:dyDescent="0.3">
      <c r="A338" s="2">
        <v>46287</v>
      </c>
      <c r="B338">
        <v>2026</v>
      </c>
      <c r="C338" t="s">
        <v>642</v>
      </c>
    </row>
    <row r="339" spans="1:3" x14ac:dyDescent="0.3">
      <c r="A339" s="2">
        <v>46288</v>
      </c>
      <c r="B339">
        <v>2026</v>
      </c>
      <c r="C339" t="s">
        <v>642</v>
      </c>
    </row>
    <row r="340" spans="1:3" x14ac:dyDescent="0.3">
      <c r="A340" s="2">
        <v>46289</v>
      </c>
      <c r="B340">
        <v>2026</v>
      </c>
      <c r="C340" t="s">
        <v>642</v>
      </c>
    </row>
    <row r="341" spans="1:3" x14ac:dyDescent="0.3">
      <c r="A341" s="2">
        <v>46290</v>
      </c>
      <c r="B341">
        <v>2026</v>
      </c>
      <c r="C341" t="s">
        <v>642</v>
      </c>
    </row>
    <row r="342" spans="1:3" x14ac:dyDescent="0.3">
      <c r="A342" s="2">
        <v>46291</v>
      </c>
      <c r="B342">
        <v>2026</v>
      </c>
      <c r="C342" t="s">
        <v>642</v>
      </c>
    </row>
    <row r="343" spans="1:3" x14ac:dyDescent="0.3">
      <c r="A343" s="2">
        <v>46292</v>
      </c>
      <c r="B343">
        <v>2026</v>
      </c>
      <c r="C343" t="s">
        <v>642</v>
      </c>
    </row>
    <row r="344" spans="1:3" x14ac:dyDescent="0.3">
      <c r="A344" s="2">
        <v>46293</v>
      </c>
      <c r="B344">
        <v>2026</v>
      </c>
      <c r="C344" t="s">
        <v>642</v>
      </c>
    </row>
    <row r="345" spans="1:3" x14ac:dyDescent="0.3">
      <c r="A345" s="2">
        <v>46294</v>
      </c>
      <c r="B345">
        <v>2026</v>
      </c>
      <c r="C345" t="s">
        <v>642</v>
      </c>
    </row>
    <row r="346" spans="1:3" x14ac:dyDescent="0.3">
      <c r="A346" s="2">
        <v>46295</v>
      </c>
      <c r="B346">
        <v>2026</v>
      </c>
      <c r="C346" t="s">
        <v>642</v>
      </c>
    </row>
    <row r="347" spans="1:3" x14ac:dyDescent="0.3">
      <c r="A347" s="2">
        <v>46296</v>
      </c>
      <c r="B347">
        <v>2026</v>
      </c>
      <c r="C347" t="s">
        <v>643</v>
      </c>
    </row>
    <row r="348" spans="1:3" x14ac:dyDescent="0.3">
      <c r="A348" s="2">
        <v>46297</v>
      </c>
      <c r="B348">
        <v>2026</v>
      </c>
      <c r="C348" t="s">
        <v>643</v>
      </c>
    </row>
    <row r="349" spans="1:3" x14ac:dyDescent="0.3">
      <c r="A349" s="2">
        <v>46298</v>
      </c>
      <c r="B349">
        <v>2026</v>
      </c>
      <c r="C349" t="s">
        <v>643</v>
      </c>
    </row>
    <row r="350" spans="1:3" x14ac:dyDescent="0.3">
      <c r="A350" s="2">
        <v>46299</v>
      </c>
      <c r="B350">
        <v>2026</v>
      </c>
      <c r="C350" t="s">
        <v>643</v>
      </c>
    </row>
    <row r="351" spans="1:3" x14ac:dyDescent="0.3">
      <c r="A351" s="2">
        <v>46300</v>
      </c>
      <c r="B351">
        <v>2026</v>
      </c>
      <c r="C351" t="s">
        <v>643</v>
      </c>
    </row>
    <row r="352" spans="1:3" x14ac:dyDescent="0.3">
      <c r="A352" s="2">
        <v>46301</v>
      </c>
      <c r="B352">
        <v>2026</v>
      </c>
      <c r="C352" t="s">
        <v>643</v>
      </c>
    </row>
    <row r="353" spans="1:3" x14ac:dyDescent="0.3">
      <c r="A353" s="2">
        <v>46302</v>
      </c>
      <c r="B353">
        <v>2026</v>
      </c>
      <c r="C353" t="s">
        <v>643</v>
      </c>
    </row>
    <row r="354" spans="1:3" x14ac:dyDescent="0.3">
      <c r="A354" s="2">
        <v>46303</v>
      </c>
      <c r="B354">
        <v>2026</v>
      </c>
      <c r="C354" t="s">
        <v>643</v>
      </c>
    </row>
    <row r="355" spans="1:3" x14ac:dyDescent="0.3">
      <c r="A355" s="2">
        <v>46304</v>
      </c>
      <c r="B355">
        <v>2026</v>
      </c>
      <c r="C355" t="s">
        <v>643</v>
      </c>
    </row>
    <row r="356" spans="1:3" x14ac:dyDescent="0.3">
      <c r="A356" s="2">
        <v>46305</v>
      </c>
      <c r="B356">
        <v>2026</v>
      </c>
      <c r="C356" t="s">
        <v>643</v>
      </c>
    </row>
    <row r="357" spans="1:3" x14ac:dyDescent="0.3">
      <c r="A357" s="2">
        <v>46306</v>
      </c>
      <c r="B357">
        <v>2026</v>
      </c>
      <c r="C357" t="s">
        <v>643</v>
      </c>
    </row>
    <row r="358" spans="1:3" x14ac:dyDescent="0.3">
      <c r="A358" s="2">
        <v>46307</v>
      </c>
      <c r="B358">
        <v>2026</v>
      </c>
      <c r="C358" t="s">
        <v>643</v>
      </c>
    </row>
    <row r="359" spans="1:3" x14ac:dyDescent="0.3">
      <c r="A359" s="2">
        <v>46308</v>
      </c>
      <c r="B359">
        <v>2026</v>
      </c>
      <c r="C359" t="s">
        <v>643</v>
      </c>
    </row>
    <row r="360" spans="1:3" x14ac:dyDescent="0.3">
      <c r="A360" s="2">
        <v>46309</v>
      </c>
      <c r="B360">
        <v>2026</v>
      </c>
      <c r="C360" t="s">
        <v>643</v>
      </c>
    </row>
    <row r="361" spans="1:3" x14ac:dyDescent="0.3">
      <c r="A361" s="2">
        <v>46310</v>
      </c>
      <c r="B361">
        <v>2026</v>
      </c>
      <c r="C361" t="s">
        <v>643</v>
      </c>
    </row>
    <row r="362" spans="1:3" x14ac:dyDescent="0.3">
      <c r="A362" s="2">
        <v>46311</v>
      </c>
      <c r="B362">
        <v>2026</v>
      </c>
      <c r="C362" t="s">
        <v>643</v>
      </c>
    </row>
    <row r="363" spans="1:3" x14ac:dyDescent="0.3">
      <c r="A363" s="2">
        <v>46312</v>
      </c>
      <c r="B363">
        <v>2026</v>
      </c>
      <c r="C363" t="s">
        <v>643</v>
      </c>
    </row>
    <row r="364" spans="1:3" x14ac:dyDescent="0.3">
      <c r="A364" s="2">
        <v>46313</v>
      </c>
      <c r="B364">
        <v>2026</v>
      </c>
      <c r="C364" t="s">
        <v>643</v>
      </c>
    </row>
    <row r="365" spans="1:3" x14ac:dyDescent="0.3">
      <c r="A365" s="2">
        <v>46314</v>
      </c>
      <c r="B365">
        <v>2026</v>
      </c>
      <c r="C365" t="s">
        <v>643</v>
      </c>
    </row>
    <row r="366" spans="1:3" x14ac:dyDescent="0.3">
      <c r="A366" s="2">
        <v>46315</v>
      </c>
      <c r="B366">
        <v>2026</v>
      </c>
      <c r="C366" t="s">
        <v>643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D4E6-D84D-4E28-9A9A-78F2845439C5}">
  <dimension ref="A1:T3001"/>
  <sheetViews>
    <sheetView topLeftCell="A2" workbookViewId="0">
      <selection activeCell="N6" sqref="N6"/>
    </sheetView>
  </sheetViews>
  <sheetFormatPr baseColWidth="10" defaultRowHeight="14.4" x14ac:dyDescent="0.3"/>
  <cols>
    <col min="1" max="1" width="5" bestFit="1" customWidth="1"/>
    <col min="2" max="2" width="13.5546875" bestFit="1" customWidth="1"/>
    <col min="3" max="3" width="9.33203125" bestFit="1" customWidth="1"/>
    <col min="4" max="4" width="7.5546875" bestFit="1" customWidth="1"/>
    <col min="5" max="5" width="8.44140625" bestFit="1" customWidth="1"/>
    <col min="6" max="6" width="12.44140625" bestFit="1" customWidth="1"/>
    <col min="7" max="7" width="12.77734375" bestFit="1" customWidth="1"/>
    <col min="8" max="8" width="10" bestFit="1" customWidth="1"/>
    <col min="9" max="9" width="13.6640625" bestFit="1" customWidth="1"/>
    <col min="10" max="10" width="30.88671875" bestFit="1" customWidth="1"/>
    <col min="11" max="12" width="15.21875" bestFit="1" customWidth="1"/>
    <col min="13" max="13" width="10.33203125" style="2" bestFit="1" customWidth="1"/>
    <col min="14" max="14" width="7.6640625" bestFit="1" customWidth="1"/>
    <col min="15" max="15" width="13.44140625" bestFit="1" customWidth="1"/>
    <col min="16" max="16" width="9.88671875" bestFit="1" customWidth="1"/>
    <col min="17" max="17" width="12.109375" bestFit="1" customWidth="1"/>
    <col min="18" max="18" width="14" bestFit="1" customWidth="1"/>
    <col min="19" max="19" width="26.44140625" bestFit="1" customWidth="1"/>
    <col min="20" max="20" width="12.21875" bestFit="1" customWidth="1"/>
  </cols>
  <sheetData>
    <row r="1" spans="1:20" x14ac:dyDescent="0.3">
      <c r="A1" t="s">
        <v>0</v>
      </c>
      <c r="B1" t="s">
        <v>607</v>
      </c>
      <c r="C1" t="s">
        <v>608</v>
      </c>
      <c r="D1" t="s">
        <v>609</v>
      </c>
      <c r="E1" t="s">
        <v>4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  <c r="L1" t="s">
        <v>6</v>
      </c>
      <c r="M1" s="2" t="s">
        <v>616</v>
      </c>
      <c r="N1" t="s">
        <v>617</v>
      </c>
      <c r="O1" t="s">
        <v>618</v>
      </c>
      <c r="P1" t="s">
        <v>619</v>
      </c>
      <c r="Q1" t="s">
        <v>620</v>
      </c>
      <c r="R1" t="s">
        <v>621</v>
      </c>
      <c r="S1" t="s">
        <v>780</v>
      </c>
      <c r="T1" t="s">
        <v>781</v>
      </c>
    </row>
    <row r="2" spans="1:20" x14ac:dyDescent="0.3">
      <c r="A2">
        <v>1</v>
      </c>
      <c r="B2">
        <v>6</v>
      </c>
      <c r="C2">
        <v>3</v>
      </c>
      <c r="D2">
        <v>22.39</v>
      </c>
      <c r="E2">
        <v>2.2400000000000002</v>
      </c>
      <c r="F2">
        <v>0</v>
      </c>
      <c r="G2">
        <v>0.1</v>
      </c>
      <c r="H2" t="s">
        <v>622</v>
      </c>
      <c r="J2" t="s">
        <v>623</v>
      </c>
      <c r="K2" s="1"/>
      <c r="L2" s="1">
        <v>45951.294374999998</v>
      </c>
      <c r="M2" s="2">
        <v>45951</v>
      </c>
      <c r="N2" t="s">
        <v>624</v>
      </c>
      <c r="O2" t="s">
        <v>625</v>
      </c>
      <c r="P2">
        <v>1</v>
      </c>
      <c r="Q2">
        <v>0</v>
      </c>
      <c r="R2">
        <v>22.39</v>
      </c>
      <c r="S2" t="s">
        <v>8</v>
      </c>
      <c r="T2" t="s">
        <v>777</v>
      </c>
    </row>
    <row r="3" spans="1:20" x14ac:dyDescent="0.3">
      <c r="A3">
        <v>28</v>
      </c>
      <c r="B3">
        <v>6</v>
      </c>
      <c r="C3">
        <v>2</v>
      </c>
      <c r="D3">
        <v>17.54</v>
      </c>
      <c r="E3">
        <v>1.75</v>
      </c>
      <c r="F3">
        <v>0</v>
      </c>
      <c r="G3">
        <v>0.1</v>
      </c>
      <c r="H3" t="s">
        <v>622</v>
      </c>
      <c r="J3" t="s">
        <v>623</v>
      </c>
      <c r="K3" s="1"/>
      <c r="L3" s="1">
        <v>45954.481388888889</v>
      </c>
      <c r="M3" s="2">
        <v>45954</v>
      </c>
      <c r="N3" t="s">
        <v>624</v>
      </c>
      <c r="O3" t="s">
        <v>625</v>
      </c>
      <c r="P3">
        <v>1</v>
      </c>
      <c r="Q3">
        <v>0</v>
      </c>
      <c r="R3">
        <v>17.54</v>
      </c>
      <c r="S3" t="s">
        <v>8</v>
      </c>
      <c r="T3" t="s">
        <v>776</v>
      </c>
    </row>
    <row r="4" spans="1:20" x14ac:dyDescent="0.3">
      <c r="A4">
        <v>26</v>
      </c>
      <c r="B4">
        <v>6</v>
      </c>
      <c r="C4">
        <v>5</v>
      </c>
      <c r="D4">
        <v>41.82</v>
      </c>
      <c r="E4">
        <v>4.18</v>
      </c>
      <c r="F4">
        <v>0</v>
      </c>
      <c r="G4">
        <v>0.1</v>
      </c>
      <c r="H4" t="s">
        <v>622</v>
      </c>
      <c r="J4" t="s">
        <v>623</v>
      </c>
      <c r="K4" s="1"/>
      <c r="L4" s="1">
        <v>45954.437928240739</v>
      </c>
      <c r="M4" s="2">
        <v>45954</v>
      </c>
      <c r="N4" t="s">
        <v>624</v>
      </c>
      <c r="O4" t="s">
        <v>625</v>
      </c>
      <c r="P4">
        <v>1</v>
      </c>
      <c r="Q4">
        <v>0</v>
      </c>
      <c r="R4">
        <v>41.82</v>
      </c>
      <c r="S4" t="s">
        <v>8</v>
      </c>
      <c r="T4" t="s">
        <v>779</v>
      </c>
    </row>
    <row r="5" spans="1:20" x14ac:dyDescent="0.3">
      <c r="A5">
        <v>198</v>
      </c>
      <c r="B5">
        <v>58</v>
      </c>
      <c r="C5">
        <v>5</v>
      </c>
      <c r="D5">
        <v>70.14</v>
      </c>
      <c r="E5">
        <v>7.01</v>
      </c>
      <c r="F5">
        <v>0</v>
      </c>
      <c r="G5">
        <v>0.1</v>
      </c>
      <c r="H5" t="s">
        <v>622</v>
      </c>
      <c r="J5" t="s">
        <v>623</v>
      </c>
      <c r="K5" s="1"/>
      <c r="L5" s="1">
        <v>45973.672326388885</v>
      </c>
      <c r="M5" s="2">
        <v>45973</v>
      </c>
      <c r="N5" t="s">
        <v>630</v>
      </c>
      <c r="O5" t="s">
        <v>625</v>
      </c>
      <c r="P5">
        <v>1</v>
      </c>
      <c r="Q5">
        <v>0</v>
      </c>
      <c r="R5">
        <v>70.14</v>
      </c>
      <c r="S5" t="s">
        <v>112</v>
      </c>
      <c r="T5" t="s">
        <v>779</v>
      </c>
    </row>
    <row r="6" spans="1:20" x14ac:dyDescent="0.3">
      <c r="A6">
        <v>2</v>
      </c>
      <c r="B6">
        <v>58</v>
      </c>
      <c r="C6">
        <v>4</v>
      </c>
      <c r="D6">
        <v>123.28</v>
      </c>
      <c r="E6">
        <v>12.33</v>
      </c>
      <c r="F6">
        <v>0</v>
      </c>
      <c r="G6">
        <v>0.1</v>
      </c>
      <c r="H6" t="s">
        <v>622</v>
      </c>
      <c r="J6" t="s">
        <v>623</v>
      </c>
      <c r="K6" s="1"/>
      <c r="L6" s="1">
        <v>45951.357083333336</v>
      </c>
      <c r="M6" s="2">
        <v>45951</v>
      </c>
      <c r="N6" t="s">
        <v>624</v>
      </c>
      <c r="O6" t="s">
        <v>625</v>
      </c>
      <c r="P6">
        <v>1</v>
      </c>
      <c r="Q6">
        <v>0</v>
      </c>
      <c r="R6">
        <v>123.28</v>
      </c>
      <c r="S6" t="s">
        <v>112</v>
      </c>
      <c r="T6" t="s">
        <v>778</v>
      </c>
    </row>
    <row r="7" spans="1:20" x14ac:dyDescent="0.3">
      <c r="A7">
        <v>265</v>
      </c>
      <c r="B7">
        <v>58</v>
      </c>
      <c r="C7">
        <v>5</v>
      </c>
      <c r="D7">
        <v>49.06</v>
      </c>
      <c r="E7">
        <v>4.91</v>
      </c>
      <c r="F7">
        <v>0</v>
      </c>
      <c r="G7">
        <v>0.1</v>
      </c>
      <c r="H7" t="s">
        <v>622</v>
      </c>
      <c r="J7" t="s">
        <v>623</v>
      </c>
      <c r="K7" s="1"/>
      <c r="L7" s="1">
        <v>45979.733275462961</v>
      </c>
      <c r="M7" s="2">
        <v>45979</v>
      </c>
      <c r="N7" t="s">
        <v>630</v>
      </c>
      <c r="O7" t="s">
        <v>625</v>
      </c>
      <c r="P7">
        <v>1</v>
      </c>
      <c r="Q7">
        <v>0</v>
      </c>
      <c r="R7">
        <v>49.06</v>
      </c>
      <c r="S7" t="s">
        <v>112</v>
      </c>
      <c r="T7" t="s">
        <v>779</v>
      </c>
    </row>
    <row r="8" spans="1:20" x14ac:dyDescent="0.3">
      <c r="A8">
        <v>68</v>
      </c>
      <c r="B8">
        <v>7</v>
      </c>
      <c r="C8">
        <v>4</v>
      </c>
      <c r="D8">
        <v>59.12</v>
      </c>
      <c r="E8">
        <v>5.91</v>
      </c>
      <c r="F8">
        <v>0</v>
      </c>
      <c r="G8">
        <v>0.1</v>
      </c>
      <c r="H8" t="s">
        <v>622</v>
      </c>
      <c r="J8" t="s">
        <v>623</v>
      </c>
      <c r="K8" s="1"/>
      <c r="L8" s="1">
        <v>45959.599583333336</v>
      </c>
      <c r="M8" s="2">
        <v>45959</v>
      </c>
      <c r="N8" t="s">
        <v>624</v>
      </c>
      <c r="O8" t="s">
        <v>625</v>
      </c>
      <c r="P8">
        <v>1</v>
      </c>
      <c r="Q8">
        <v>0</v>
      </c>
      <c r="R8">
        <v>59.12</v>
      </c>
      <c r="S8" t="s">
        <v>10</v>
      </c>
      <c r="T8" t="s">
        <v>778</v>
      </c>
    </row>
    <row r="9" spans="1:20" x14ac:dyDescent="0.3">
      <c r="A9">
        <v>240</v>
      </c>
      <c r="B9">
        <v>7</v>
      </c>
      <c r="C9">
        <v>5</v>
      </c>
      <c r="D9">
        <v>146.44999999999999</v>
      </c>
      <c r="E9">
        <v>14.65</v>
      </c>
      <c r="F9">
        <v>0</v>
      </c>
      <c r="G9">
        <v>0.1</v>
      </c>
      <c r="H9" t="s">
        <v>622</v>
      </c>
      <c r="J9" t="s">
        <v>623</v>
      </c>
      <c r="K9" s="1"/>
      <c r="L9" s="1">
        <v>45977.698240740741</v>
      </c>
      <c r="M9" s="2">
        <v>45977</v>
      </c>
      <c r="N9" t="s">
        <v>630</v>
      </c>
      <c r="O9" t="s">
        <v>625</v>
      </c>
      <c r="P9">
        <v>1</v>
      </c>
      <c r="Q9">
        <v>0</v>
      </c>
      <c r="R9">
        <v>146.44999999999999</v>
      </c>
      <c r="S9" t="s">
        <v>10</v>
      </c>
      <c r="T9" t="s">
        <v>779</v>
      </c>
    </row>
    <row r="10" spans="1:20" x14ac:dyDescent="0.3">
      <c r="A10">
        <v>245</v>
      </c>
      <c r="B10">
        <v>7</v>
      </c>
      <c r="C10">
        <v>4</v>
      </c>
      <c r="D10">
        <v>171.7</v>
      </c>
      <c r="E10">
        <v>17.170000000000002</v>
      </c>
      <c r="F10">
        <v>0</v>
      </c>
      <c r="G10">
        <v>0.1</v>
      </c>
      <c r="H10" t="s">
        <v>622</v>
      </c>
      <c r="J10" t="s">
        <v>623</v>
      </c>
      <c r="K10" s="1"/>
      <c r="L10" s="1">
        <v>45978.36859953704</v>
      </c>
      <c r="M10" s="2">
        <v>45978</v>
      </c>
      <c r="N10" t="s">
        <v>630</v>
      </c>
      <c r="O10" t="s">
        <v>625</v>
      </c>
      <c r="P10">
        <v>1</v>
      </c>
      <c r="Q10">
        <v>0</v>
      </c>
      <c r="R10">
        <v>171.7</v>
      </c>
      <c r="S10" t="s">
        <v>10</v>
      </c>
      <c r="T10" t="s">
        <v>778</v>
      </c>
    </row>
    <row r="11" spans="1:20" x14ac:dyDescent="0.3">
      <c r="A11">
        <v>269</v>
      </c>
      <c r="B11">
        <v>7</v>
      </c>
      <c r="C11">
        <v>4</v>
      </c>
      <c r="D11">
        <v>96.77</v>
      </c>
      <c r="E11">
        <v>9.68</v>
      </c>
      <c r="F11">
        <v>0</v>
      </c>
      <c r="G11">
        <v>0.1</v>
      </c>
      <c r="H11" t="s">
        <v>622</v>
      </c>
      <c r="J11" t="s">
        <v>623</v>
      </c>
      <c r="K11" s="1"/>
      <c r="L11" s="1">
        <v>45980.483414351853</v>
      </c>
      <c r="M11" s="2">
        <v>45980</v>
      </c>
      <c r="N11" t="s">
        <v>630</v>
      </c>
      <c r="O11" t="s">
        <v>625</v>
      </c>
      <c r="P11">
        <v>1</v>
      </c>
      <c r="Q11">
        <v>0</v>
      </c>
      <c r="R11">
        <v>96.77</v>
      </c>
      <c r="S11" t="s">
        <v>10</v>
      </c>
      <c r="T11" t="s">
        <v>778</v>
      </c>
    </row>
    <row r="12" spans="1:20" x14ac:dyDescent="0.3">
      <c r="A12">
        <v>3</v>
      </c>
      <c r="B12">
        <v>51</v>
      </c>
      <c r="C12">
        <v>3</v>
      </c>
      <c r="D12">
        <v>289.02999999999997</v>
      </c>
      <c r="E12">
        <v>28.9</v>
      </c>
      <c r="F12">
        <v>0</v>
      </c>
      <c r="G12">
        <v>0.1</v>
      </c>
      <c r="H12" t="s">
        <v>622</v>
      </c>
      <c r="J12" t="s">
        <v>623</v>
      </c>
      <c r="K12" s="1"/>
      <c r="L12" s="1">
        <v>45951.359166666669</v>
      </c>
      <c r="M12" s="2">
        <v>45951</v>
      </c>
      <c r="N12" t="s">
        <v>624</v>
      </c>
      <c r="O12" t="s">
        <v>625</v>
      </c>
      <c r="P12">
        <v>1</v>
      </c>
      <c r="Q12">
        <v>0</v>
      </c>
      <c r="R12">
        <v>289.02999999999997</v>
      </c>
      <c r="S12" t="s">
        <v>98</v>
      </c>
      <c r="T12" t="s">
        <v>777</v>
      </c>
    </row>
    <row r="13" spans="1:20" x14ac:dyDescent="0.3">
      <c r="A13">
        <v>94</v>
      </c>
      <c r="B13">
        <v>51</v>
      </c>
      <c r="C13">
        <v>4</v>
      </c>
      <c r="D13">
        <v>164.7</v>
      </c>
      <c r="E13">
        <v>16.47</v>
      </c>
      <c r="F13">
        <v>0</v>
      </c>
      <c r="G13">
        <v>0.1</v>
      </c>
      <c r="H13" t="s">
        <v>622</v>
      </c>
      <c r="J13" t="s">
        <v>623</v>
      </c>
      <c r="K13" s="1"/>
      <c r="L13" s="1">
        <v>45962.534097222226</v>
      </c>
      <c r="M13" s="2">
        <v>45962</v>
      </c>
      <c r="N13" t="s">
        <v>630</v>
      </c>
      <c r="O13" t="s">
        <v>625</v>
      </c>
      <c r="P13">
        <v>1</v>
      </c>
      <c r="Q13">
        <v>0</v>
      </c>
      <c r="R13">
        <v>164.7</v>
      </c>
      <c r="S13" t="s">
        <v>98</v>
      </c>
      <c r="T13" t="s">
        <v>778</v>
      </c>
    </row>
    <row r="14" spans="1:20" x14ac:dyDescent="0.3">
      <c r="A14">
        <v>19</v>
      </c>
      <c r="B14">
        <v>8</v>
      </c>
      <c r="C14">
        <v>5</v>
      </c>
      <c r="D14">
        <v>22.96</v>
      </c>
      <c r="E14">
        <v>2.2999999999999998</v>
      </c>
      <c r="F14">
        <v>0</v>
      </c>
      <c r="G14">
        <v>0.1</v>
      </c>
      <c r="H14" t="s">
        <v>622</v>
      </c>
      <c r="J14" t="s">
        <v>623</v>
      </c>
      <c r="K14" s="1"/>
      <c r="L14" s="1">
        <v>45952.751388888886</v>
      </c>
      <c r="M14" s="2">
        <v>45952</v>
      </c>
      <c r="N14" t="s">
        <v>624</v>
      </c>
      <c r="O14" t="s">
        <v>625</v>
      </c>
      <c r="P14">
        <v>1</v>
      </c>
      <c r="Q14">
        <v>0</v>
      </c>
      <c r="R14">
        <v>22.96</v>
      </c>
      <c r="S14" t="s">
        <v>12</v>
      </c>
      <c r="T14" t="s">
        <v>779</v>
      </c>
    </row>
    <row r="15" spans="1:20" x14ac:dyDescent="0.3">
      <c r="A15">
        <v>100</v>
      </c>
      <c r="B15">
        <v>8</v>
      </c>
      <c r="C15">
        <v>3</v>
      </c>
      <c r="D15">
        <v>28.75</v>
      </c>
      <c r="E15">
        <v>2.88</v>
      </c>
      <c r="F15">
        <v>0</v>
      </c>
      <c r="G15">
        <v>0.1</v>
      </c>
      <c r="H15" t="s">
        <v>622</v>
      </c>
      <c r="J15" t="s">
        <v>623</v>
      </c>
      <c r="K15" s="1"/>
      <c r="L15" s="1">
        <v>45963.336168981485</v>
      </c>
      <c r="M15" s="2">
        <v>45963</v>
      </c>
      <c r="N15" t="s">
        <v>630</v>
      </c>
      <c r="O15" t="s">
        <v>625</v>
      </c>
      <c r="P15">
        <v>1</v>
      </c>
      <c r="Q15">
        <v>0</v>
      </c>
      <c r="R15">
        <v>28.75</v>
      </c>
      <c r="S15" t="s">
        <v>12</v>
      </c>
      <c r="T15" t="s">
        <v>777</v>
      </c>
    </row>
    <row r="16" spans="1:20" x14ac:dyDescent="0.3">
      <c r="A16">
        <v>206</v>
      </c>
      <c r="B16">
        <v>8</v>
      </c>
      <c r="C16">
        <v>3</v>
      </c>
      <c r="D16">
        <v>32.909999999999997</v>
      </c>
      <c r="E16">
        <v>3.29</v>
      </c>
      <c r="F16">
        <v>0</v>
      </c>
      <c r="G16">
        <v>0.1</v>
      </c>
      <c r="H16" t="s">
        <v>622</v>
      </c>
      <c r="J16" t="s">
        <v>623</v>
      </c>
      <c r="K16" s="1"/>
      <c r="L16" s="1">
        <v>45974.659351851849</v>
      </c>
      <c r="M16" s="2">
        <v>45974</v>
      </c>
      <c r="N16" t="s">
        <v>630</v>
      </c>
      <c r="O16" t="s">
        <v>625</v>
      </c>
      <c r="P16">
        <v>1</v>
      </c>
      <c r="Q16">
        <v>0</v>
      </c>
      <c r="R16">
        <v>32.909999999999997</v>
      </c>
      <c r="S16" t="s">
        <v>12</v>
      </c>
      <c r="T16" t="s">
        <v>777</v>
      </c>
    </row>
    <row r="17" spans="1:20" x14ac:dyDescent="0.3">
      <c r="A17">
        <v>272</v>
      </c>
      <c r="B17">
        <v>8</v>
      </c>
      <c r="C17">
        <v>2</v>
      </c>
      <c r="D17">
        <v>26.62</v>
      </c>
      <c r="E17">
        <v>2.66</v>
      </c>
      <c r="F17">
        <v>0</v>
      </c>
      <c r="G17">
        <v>0.1</v>
      </c>
      <c r="H17" t="s">
        <v>622</v>
      </c>
      <c r="J17" t="s">
        <v>623</v>
      </c>
      <c r="K17" s="1"/>
      <c r="L17" s="1">
        <v>45980.712280092594</v>
      </c>
      <c r="M17" s="2">
        <v>45980</v>
      </c>
      <c r="N17" t="s">
        <v>630</v>
      </c>
      <c r="O17" t="s">
        <v>625</v>
      </c>
      <c r="P17">
        <v>1</v>
      </c>
      <c r="Q17">
        <v>0</v>
      </c>
      <c r="R17">
        <v>26.62</v>
      </c>
      <c r="S17" t="s">
        <v>12</v>
      </c>
      <c r="T17" t="s">
        <v>776</v>
      </c>
    </row>
    <row r="18" spans="1:20" x14ac:dyDescent="0.3">
      <c r="A18">
        <v>4</v>
      </c>
      <c r="B18">
        <v>27</v>
      </c>
      <c r="C18">
        <v>4</v>
      </c>
      <c r="D18">
        <v>65.28</v>
      </c>
      <c r="E18">
        <v>6.53</v>
      </c>
      <c r="F18">
        <v>0</v>
      </c>
      <c r="G18">
        <v>0.1</v>
      </c>
      <c r="H18" t="s">
        <v>622</v>
      </c>
      <c r="J18" t="s">
        <v>623</v>
      </c>
      <c r="K18" s="1"/>
      <c r="L18" s="1">
        <v>45951.372349537036</v>
      </c>
      <c r="M18" s="2">
        <v>45951</v>
      </c>
      <c r="N18" t="s">
        <v>624</v>
      </c>
      <c r="O18" t="s">
        <v>625</v>
      </c>
      <c r="P18">
        <v>1</v>
      </c>
      <c r="Q18">
        <v>0</v>
      </c>
      <c r="R18">
        <v>65.28</v>
      </c>
      <c r="S18" t="s">
        <v>50</v>
      </c>
      <c r="T18" t="s">
        <v>778</v>
      </c>
    </row>
    <row r="19" spans="1:20" x14ac:dyDescent="0.3">
      <c r="A19">
        <v>5</v>
      </c>
      <c r="B19">
        <v>27</v>
      </c>
      <c r="C19">
        <v>2</v>
      </c>
      <c r="D19">
        <v>66.95</v>
      </c>
      <c r="E19">
        <v>6.7</v>
      </c>
      <c r="F19">
        <v>0</v>
      </c>
      <c r="G19">
        <v>0.1</v>
      </c>
      <c r="H19" t="s">
        <v>622</v>
      </c>
      <c r="J19" t="s">
        <v>623</v>
      </c>
      <c r="K19" s="1"/>
      <c r="L19" s="1">
        <v>45951.379699074074</v>
      </c>
      <c r="M19" s="2">
        <v>45951</v>
      </c>
      <c r="N19" t="s">
        <v>624</v>
      </c>
      <c r="O19" t="s">
        <v>625</v>
      </c>
      <c r="P19">
        <v>1</v>
      </c>
      <c r="Q19">
        <v>0</v>
      </c>
      <c r="R19">
        <v>66.95</v>
      </c>
      <c r="S19" t="s">
        <v>50</v>
      </c>
      <c r="T19" t="s">
        <v>776</v>
      </c>
    </row>
    <row r="20" spans="1:20" x14ac:dyDescent="0.3">
      <c r="A20">
        <v>143</v>
      </c>
      <c r="B20">
        <v>27</v>
      </c>
      <c r="C20">
        <v>2</v>
      </c>
      <c r="D20">
        <v>97.63</v>
      </c>
      <c r="E20">
        <v>9.76</v>
      </c>
      <c r="F20">
        <v>0</v>
      </c>
      <c r="G20">
        <v>0.1</v>
      </c>
      <c r="H20" t="s">
        <v>622</v>
      </c>
      <c r="J20" t="s">
        <v>623</v>
      </c>
      <c r="K20" s="1"/>
      <c r="L20" s="1">
        <v>45968.499618055554</v>
      </c>
      <c r="M20" s="2">
        <v>45968</v>
      </c>
      <c r="N20" t="s">
        <v>630</v>
      </c>
      <c r="O20" t="s">
        <v>625</v>
      </c>
      <c r="P20">
        <v>1</v>
      </c>
      <c r="Q20">
        <v>0</v>
      </c>
      <c r="R20">
        <v>97.63</v>
      </c>
      <c r="S20" t="s">
        <v>50</v>
      </c>
      <c r="T20" t="s">
        <v>776</v>
      </c>
    </row>
    <row r="21" spans="1:20" x14ac:dyDescent="0.3">
      <c r="A21">
        <v>290</v>
      </c>
      <c r="B21">
        <v>27</v>
      </c>
      <c r="C21">
        <v>3</v>
      </c>
      <c r="D21">
        <v>46.87</v>
      </c>
      <c r="E21">
        <v>4.6900000000000004</v>
      </c>
      <c r="F21">
        <v>0</v>
      </c>
      <c r="G21">
        <v>0.1</v>
      </c>
      <c r="H21" t="s">
        <v>622</v>
      </c>
      <c r="J21" t="s">
        <v>623</v>
      </c>
      <c r="K21" s="1"/>
      <c r="L21" s="1">
        <v>45982.45784722222</v>
      </c>
      <c r="M21" s="2">
        <v>45982</v>
      </c>
      <c r="N21" t="s">
        <v>630</v>
      </c>
      <c r="O21" t="s">
        <v>625</v>
      </c>
      <c r="P21">
        <v>1</v>
      </c>
      <c r="Q21">
        <v>0</v>
      </c>
      <c r="R21">
        <v>46.87</v>
      </c>
      <c r="S21" t="s">
        <v>50</v>
      </c>
      <c r="T21" t="s">
        <v>777</v>
      </c>
    </row>
    <row r="22" spans="1:20" x14ac:dyDescent="0.3">
      <c r="A22">
        <v>10</v>
      </c>
      <c r="B22">
        <v>10</v>
      </c>
      <c r="C22">
        <v>2</v>
      </c>
      <c r="D22">
        <v>70.89</v>
      </c>
      <c r="E22">
        <v>7.09</v>
      </c>
      <c r="F22">
        <v>0</v>
      </c>
      <c r="G22">
        <v>0.1</v>
      </c>
      <c r="H22" t="s">
        <v>622</v>
      </c>
      <c r="J22" t="s">
        <v>623</v>
      </c>
      <c r="K22" s="1"/>
      <c r="L22" s="1">
        <v>45951.708506944444</v>
      </c>
      <c r="M22" s="2">
        <v>45951</v>
      </c>
      <c r="N22" t="s">
        <v>624</v>
      </c>
      <c r="O22" t="s">
        <v>625</v>
      </c>
      <c r="P22">
        <v>1</v>
      </c>
      <c r="Q22">
        <v>0</v>
      </c>
      <c r="R22">
        <v>70.89</v>
      </c>
      <c r="S22" t="s">
        <v>16</v>
      </c>
      <c r="T22" t="s">
        <v>776</v>
      </c>
    </row>
    <row r="23" spans="1:20" x14ac:dyDescent="0.3">
      <c r="A23">
        <v>212</v>
      </c>
      <c r="B23">
        <v>10</v>
      </c>
      <c r="C23">
        <v>5</v>
      </c>
      <c r="D23">
        <v>74.959999999999994</v>
      </c>
      <c r="E23">
        <v>7.5</v>
      </c>
      <c r="F23">
        <v>0</v>
      </c>
      <c r="G23">
        <v>0.1</v>
      </c>
      <c r="H23" t="s">
        <v>622</v>
      </c>
      <c r="J23" t="s">
        <v>623</v>
      </c>
      <c r="K23" s="1"/>
      <c r="L23" s="1">
        <v>45975.533067129632</v>
      </c>
      <c r="M23" s="2">
        <v>45975</v>
      </c>
      <c r="N23" t="s">
        <v>630</v>
      </c>
      <c r="O23" t="s">
        <v>625</v>
      </c>
      <c r="P23">
        <v>1</v>
      </c>
      <c r="Q23">
        <v>0</v>
      </c>
      <c r="R23">
        <v>74.959999999999994</v>
      </c>
      <c r="S23" t="s">
        <v>16</v>
      </c>
      <c r="T23" t="s">
        <v>779</v>
      </c>
    </row>
    <row r="24" spans="1:20" x14ac:dyDescent="0.3">
      <c r="A24">
        <v>228</v>
      </c>
      <c r="B24">
        <v>10</v>
      </c>
      <c r="C24">
        <v>5</v>
      </c>
      <c r="D24">
        <v>42.36</v>
      </c>
      <c r="E24">
        <v>4.24</v>
      </c>
      <c r="F24">
        <v>0</v>
      </c>
      <c r="G24">
        <v>0.1</v>
      </c>
      <c r="H24" t="s">
        <v>622</v>
      </c>
      <c r="J24" t="s">
        <v>623</v>
      </c>
      <c r="K24" s="1"/>
      <c r="L24" s="1">
        <v>45976.621076388888</v>
      </c>
      <c r="M24" s="2">
        <v>45976</v>
      </c>
      <c r="N24" t="s">
        <v>630</v>
      </c>
      <c r="O24" t="s">
        <v>625</v>
      </c>
      <c r="P24">
        <v>1</v>
      </c>
      <c r="Q24">
        <v>0</v>
      </c>
      <c r="R24">
        <v>42.36</v>
      </c>
      <c r="S24" t="s">
        <v>16</v>
      </c>
      <c r="T24" t="s">
        <v>779</v>
      </c>
    </row>
    <row r="25" spans="1:20" x14ac:dyDescent="0.3">
      <c r="A25">
        <v>6</v>
      </c>
      <c r="B25">
        <v>36</v>
      </c>
      <c r="C25">
        <v>2</v>
      </c>
      <c r="D25">
        <v>104.75</v>
      </c>
      <c r="E25">
        <v>10.48</v>
      </c>
      <c r="F25">
        <v>0</v>
      </c>
      <c r="G25">
        <v>0.1</v>
      </c>
      <c r="H25" t="s">
        <v>622</v>
      </c>
      <c r="J25" t="s">
        <v>623</v>
      </c>
      <c r="K25" s="1"/>
      <c r="L25" s="1">
        <v>45951.387372685182</v>
      </c>
      <c r="M25" s="2">
        <v>45951</v>
      </c>
      <c r="N25" t="s">
        <v>624</v>
      </c>
      <c r="O25" t="s">
        <v>625</v>
      </c>
      <c r="P25">
        <v>1</v>
      </c>
      <c r="Q25">
        <v>0</v>
      </c>
      <c r="R25">
        <v>104.75</v>
      </c>
      <c r="S25" t="s">
        <v>68</v>
      </c>
      <c r="T25" t="s">
        <v>776</v>
      </c>
    </row>
    <row r="26" spans="1:20" x14ac:dyDescent="0.3">
      <c r="A26">
        <v>42</v>
      </c>
      <c r="B26">
        <v>36</v>
      </c>
      <c r="C26">
        <v>4</v>
      </c>
      <c r="D26">
        <v>282</v>
      </c>
      <c r="E26">
        <v>28.2</v>
      </c>
      <c r="F26">
        <v>0</v>
      </c>
      <c r="G26">
        <v>0.1</v>
      </c>
      <c r="H26" t="s">
        <v>622</v>
      </c>
      <c r="J26" t="s">
        <v>623</v>
      </c>
      <c r="K26" s="1"/>
      <c r="L26" s="1">
        <v>45955.764745370368</v>
      </c>
      <c r="M26" s="2">
        <v>45955</v>
      </c>
      <c r="N26" t="s">
        <v>624</v>
      </c>
      <c r="O26" t="s">
        <v>625</v>
      </c>
      <c r="P26">
        <v>1</v>
      </c>
      <c r="Q26">
        <v>0</v>
      </c>
      <c r="R26">
        <v>282</v>
      </c>
      <c r="S26" t="s">
        <v>68</v>
      </c>
      <c r="T26" t="s">
        <v>778</v>
      </c>
    </row>
    <row r="27" spans="1:20" x14ac:dyDescent="0.3">
      <c r="A27">
        <v>73</v>
      </c>
      <c r="B27">
        <v>36</v>
      </c>
      <c r="C27">
        <v>5</v>
      </c>
      <c r="D27">
        <v>217.76</v>
      </c>
      <c r="E27">
        <v>21.78</v>
      </c>
      <c r="F27">
        <v>0</v>
      </c>
      <c r="G27">
        <v>0.1</v>
      </c>
      <c r="H27" t="s">
        <v>622</v>
      </c>
      <c r="J27" t="s">
        <v>623</v>
      </c>
      <c r="K27" s="1"/>
      <c r="L27" s="1">
        <v>45960.415555555555</v>
      </c>
      <c r="M27" s="2">
        <v>45960</v>
      </c>
      <c r="N27" t="s">
        <v>624</v>
      </c>
      <c r="O27" t="s">
        <v>625</v>
      </c>
      <c r="P27">
        <v>1</v>
      </c>
      <c r="Q27">
        <v>0</v>
      </c>
      <c r="R27">
        <v>217.76</v>
      </c>
      <c r="S27" t="s">
        <v>68</v>
      </c>
      <c r="T27" t="s">
        <v>779</v>
      </c>
    </row>
    <row r="28" spans="1:20" x14ac:dyDescent="0.3">
      <c r="A28">
        <v>52</v>
      </c>
      <c r="B28">
        <v>11</v>
      </c>
      <c r="C28">
        <v>2</v>
      </c>
      <c r="D28">
        <v>94.72</v>
      </c>
      <c r="E28">
        <v>9.4700000000000006</v>
      </c>
      <c r="F28">
        <v>0</v>
      </c>
      <c r="G28">
        <v>0.1</v>
      </c>
      <c r="H28" t="s">
        <v>622</v>
      </c>
      <c r="J28" t="s">
        <v>623</v>
      </c>
      <c r="K28" s="1"/>
      <c r="L28" s="1">
        <v>45957.612881944442</v>
      </c>
      <c r="M28" s="2">
        <v>45957</v>
      </c>
      <c r="N28" t="s">
        <v>624</v>
      </c>
      <c r="O28" t="s">
        <v>625</v>
      </c>
      <c r="P28">
        <v>1</v>
      </c>
      <c r="Q28">
        <v>0</v>
      </c>
      <c r="R28">
        <v>94.72</v>
      </c>
      <c r="S28" t="s">
        <v>18</v>
      </c>
      <c r="T28" t="s">
        <v>776</v>
      </c>
    </row>
    <row r="29" spans="1:20" x14ac:dyDescent="0.3">
      <c r="A29">
        <v>92</v>
      </c>
      <c r="B29">
        <v>11</v>
      </c>
      <c r="C29">
        <v>2</v>
      </c>
      <c r="D29">
        <v>247.05</v>
      </c>
      <c r="E29">
        <v>24.71</v>
      </c>
      <c r="F29">
        <v>0</v>
      </c>
      <c r="G29">
        <v>0.1</v>
      </c>
      <c r="H29" t="s">
        <v>622</v>
      </c>
      <c r="J29" t="s">
        <v>623</v>
      </c>
      <c r="K29" s="1"/>
      <c r="L29" s="1">
        <v>45962.400416666664</v>
      </c>
      <c r="M29" s="2">
        <v>45962</v>
      </c>
      <c r="N29" t="s">
        <v>630</v>
      </c>
      <c r="O29" t="s">
        <v>625</v>
      </c>
      <c r="P29">
        <v>1</v>
      </c>
      <c r="Q29">
        <v>0</v>
      </c>
      <c r="R29">
        <v>247.05</v>
      </c>
      <c r="S29" t="s">
        <v>18</v>
      </c>
      <c r="T29" t="s">
        <v>776</v>
      </c>
    </row>
    <row r="30" spans="1:20" x14ac:dyDescent="0.3">
      <c r="A30">
        <v>219</v>
      </c>
      <c r="B30">
        <v>11</v>
      </c>
      <c r="C30">
        <v>3</v>
      </c>
      <c r="D30">
        <v>257.35000000000002</v>
      </c>
      <c r="E30">
        <v>25.74</v>
      </c>
      <c r="F30">
        <v>0</v>
      </c>
      <c r="G30">
        <v>0.1</v>
      </c>
      <c r="H30" t="s">
        <v>622</v>
      </c>
      <c r="J30" t="s">
        <v>623</v>
      </c>
      <c r="K30" s="1"/>
      <c r="L30" s="1">
        <v>45975.74664351852</v>
      </c>
      <c r="M30" s="2">
        <v>45975</v>
      </c>
      <c r="N30" t="s">
        <v>630</v>
      </c>
      <c r="O30" t="s">
        <v>625</v>
      </c>
      <c r="P30">
        <v>1</v>
      </c>
      <c r="Q30">
        <v>0</v>
      </c>
      <c r="R30">
        <v>257.35000000000002</v>
      </c>
      <c r="S30" t="s">
        <v>18</v>
      </c>
      <c r="T30" t="s">
        <v>777</v>
      </c>
    </row>
    <row r="31" spans="1:20" x14ac:dyDescent="0.3">
      <c r="A31">
        <v>7</v>
      </c>
      <c r="B31">
        <v>44</v>
      </c>
      <c r="C31">
        <v>5</v>
      </c>
      <c r="D31">
        <v>25.04</v>
      </c>
      <c r="E31">
        <v>2.5</v>
      </c>
      <c r="F31">
        <v>0</v>
      </c>
      <c r="G31">
        <v>0.1</v>
      </c>
      <c r="H31" t="s">
        <v>622</v>
      </c>
      <c r="J31" t="s">
        <v>623</v>
      </c>
      <c r="K31" s="1"/>
      <c r="L31" s="1">
        <v>45951.403391203705</v>
      </c>
      <c r="M31" s="2">
        <v>45951</v>
      </c>
      <c r="N31" t="s">
        <v>624</v>
      </c>
      <c r="O31" t="s">
        <v>625</v>
      </c>
      <c r="P31">
        <v>1</v>
      </c>
      <c r="Q31">
        <v>0</v>
      </c>
      <c r="R31">
        <v>25.04</v>
      </c>
      <c r="S31" t="s">
        <v>84</v>
      </c>
      <c r="T31" t="s">
        <v>779</v>
      </c>
    </row>
    <row r="32" spans="1:20" x14ac:dyDescent="0.3">
      <c r="A32">
        <v>27</v>
      </c>
      <c r="B32">
        <v>44</v>
      </c>
      <c r="C32">
        <v>3</v>
      </c>
      <c r="D32">
        <v>40.229999999999997</v>
      </c>
      <c r="E32">
        <v>4.0199999999999996</v>
      </c>
      <c r="F32">
        <v>0</v>
      </c>
      <c r="G32">
        <v>0.1</v>
      </c>
      <c r="H32" t="s">
        <v>622</v>
      </c>
      <c r="J32" t="s">
        <v>623</v>
      </c>
      <c r="K32" s="1"/>
      <c r="L32" s="1">
        <v>45954.466724537036</v>
      </c>
      <c r="M32" s="2">
        <v>45954</v>
      </c>
      <c r="N32" t="s">
        <v>624</v>
      </c>
      <c r="O32" t="s">
        <v>625</v>
      </c>
      <c r="P32">
        <v>1</v>
      </c>
      <c r="Q32">
        <v>0</v>
      </c>
      <c r="R32">
        <v>40.229999999999997</v>
      </c>
      <c r="S32" t="s">
        <v>84</v>
      </c>
      <c r="T32" t="s">
        <v>777</v>
      </c>
    </row>
    <row r="33" spans="1:20" x14ac:dyDescent="0.3">
      <c r="A33">
        <v>31</v>
      </c>
      <c r="B33">
        <v>44</v>
      </c>
      <c r="C33">
        <v>2</v>
      </c>
      <c r="D33">
        <v>20.96</v>
      </c>
      <c r="E33">
        <v>2.1</v>
      </c>
      <c r="F33">
        <v>0</v>
      </c>
      <c r="G33">
        <v>0.1</v>
      </c>
      <c r="H33" t="s">
        <v>622</v>
      </c>
      <c r="J33" t="s">
        <v>623</v>
      </c>
      <c r="K33" s="1"/>
      <c r="L33" s="1">
        <v>45954.772557870368</v>
      </c>
      <c r="M33" s="2">
        <v>45954</v>
      </c>
      <c r="N33" t="s">
        <v>624</v>
      </c>
      <c r="O33" t="s">
        <v>625</v>
      </c>
      <c r="P33">
        <v>1</v>
      </c>
      <c r="Q33">
        <v>0</v>
      </c>
      <c r="R33">
        <v>20.96</v>
      </c>
      <c r="S33" t="s">
        <v>84</v>
      </c>
      <c r="T33" t="s">
        <v>776</v>
      </c>
    </row>
    <row r="34" spans="1:20" x14ac:dyDescent="0.3">
      <c r="A34">
        <v>49</v>
      </c>
      <c r="B34">
        <v>44</v>
      </c>
      <c r="C34">
        <v>2</v>
      </c>
      <c r="D34">
        <v>36.06</v>
      </c>
      <c r="E34">
        <v>3.61</v>
      </c>
      <c r="F34">
        <v>0</v>
      </c>
      <c r="G34">
        <v>0.1</v>
      </c>
      <c r="H34" t="s">
        <v>626</v>
      </c>
      <c r="I34">
        <v>5</v>
      </c>
      <c r="J34" t="s">
        <v>628</v>
      </c>
      <c r="K34" s="1">
        <v>45959.269629629627</v>
      </c>
      <c r="L34" s="1">
        <v>45957.394629629627</v>
      </c>
      <c r="M34" s="2">
        <v>45957</v>
      </c>
      <c r="N34" t="s">
        <v>624</v>
      </c>
      <c r="O34" t="s">
        <v>625</v>
      </c>
      <c r="P34">
        <v>1</v>
      </c>
      <c r="Q34">
        <v>1</v>
      </c>
      <c r="R34">
        <v>0</v>
      </c>
      <c r="S34" t="s">
        <v>84</v>
      </c>
      <c r="T34" t="s">
        <v>776</v>
      </c>
    </row>
    <row r="35" spans="1:20" x14ac:dyDescent="0.3">
      <c r="A35">
        <v>56</v>
      </c>
      <c r="B35">
        <v>44</v>
      </c>
      <c r="C35">
        <v>3</v>
      </c>
      <c r="D35">
        <v>18.809999999999999</v>
      </c>
      <c r="E35">
        <v>1.88</v>
      </c>
      <c r="F35">
        <v>0</v>
      </c>
      <c r="G35">
        <v>0.1</v>
      </c>
      <c r="H35" t="s">
        <v>622</v>
      </c>
      <c r="J35" t="s">
        <v>623</v>
      </c>
      <c r="K35" s="1"/>
      <c r="L35" s="1">
        <v>45958.489837962959</v>
      </c>
      <c r="M35" s="2">
        <v>45958</v>
      </c>
      <c r="N35" t="s">
        <v>624</v>
      </c>
      <c r="O35" t="s">
        <v>625</v>
      </c>
      <c r="P35">
        <v>1</v>
      </c>
      <c r="Q35">
        <v>0</v>
      </c>
      <c r="R35">
        <v>18.809999999999999</v>
      </c>
      <c r="S35" t="s">
        <v>84</v>
      </c>
      <c r="T35" t="s">
        <v>777</v>
      </c>
    </row>
    <row r="36" spans="1:20" x14ac:dyDescent="0.3">
      <c r="A36">
        <v>161</v>
      </c>
      <c r="B36">
        <v>44</v>
      </c>
      <c r="C36">
        <v>5</v>
      </c>
      <c r="D36">
        <v>25.05</v>
      </c>
      <c r="E36">
        <v>2.5099999999999998</v>
      </c>
      <c r="F36">
        <v>0</v>
      </c>
      <c r="G36">
        <v>0.1</v>
      </c>
      <c r="H36" t="s">
        <v>622</v>
      </c>
      <c r="J36" t="s">
        <v>623</v>
      </c>
      <c r="K36" s="1"/>
      <c r="L36" s="1">
        <v>45969.6250462963</v>
      </c>
      <c r="M36" s="2">
        <v>45969</v>
      </c>
      <c r="N36" t="s">
        <v>630</v>
      </c>
      <c r="O36" t="s">
        <v>625</v>
      </c>
      <c r="P36">
        <v>1</v>
      </c>
      <c r="Q36">
        <v>0</v>
      </c>
      <c r="R36">
        <v>25.05</v>
      </c>
      <c r="S36" t="s">
        <v>84</v>
      </c>
      <c r="T36" t="s">
        <v>779</v>
      </c>
    </row>
    <row r="37" spans="1:20" x14ac:dyDescent="0.3">
      <c r="A37">
        <v>176</v>
      </c>
      <c r="B37">
        <v>44</v>
      </c>
      <c r="C37">
        <v>3</v>
      </c>
      <c r="D37">
        <v>50.69</v>
      </c>
      <c r="E37">
        <v>5.07</v>
      </c>
      <c r="F37">
        <v>0</v>
      </c>
      <c r="G37">
        <v>0.1</v>
      </c>
      <c r="H37" t="s">
        <v>622</v>
      </c>
      <c r="J37" t="s">
        <v>623</v>
      </c>
      <c r="K37" s="1"/>
      <c r="L37" s="1">
        <v>45971.486481481479</v>
      </c>
      <c r="M37" s="2">
        <v>45971</v>
      </c>
      <c r="N37" t="s">
        <v>630</v>
      </c>
      <c r="O37" t="s">
        <v>625</v>
      </c>
      <c r="P37">
        <v>1</v>
      </c>
      <c r="Q37">
        <v>0</v>
      </c>
      <c r="R37">
        <v>50.69</v>
      </c>
      <c r="S37" t="s">
        <v>84</v>
      </c>
      <c r="T37" t="s">
        <v>777</v>
      </c>
    </row>
    <row r="38" spans="1:20" x14ac:dyDescent="0.3">
      <c r="A38">
        <v>229</v>
      </c>
      <c r="B38">
        <v>44</v>
      </c>
      <c r="C38">
        <v>3</v>
      </c>
      <c r="D38">
        <v>15.74</v>
      </c>
      <c r="E38">
        <v>1.57</v>
      </c>
      <c r="F38">
        <v>0</v>
      </c>
      <c r="G38">
        <v>0.1</v>
      </c>
      <c r="H38" t="s">
        <v>622</v>
      </c>
      <c r="J38" t="s">
        <v>623</v>
      </c>
      <c r="K38" s="1"/>
      <c r="L38" s="1">
        <v>45976.658229166664</v>
      </c>
      <c r="M38" s="2">
        <v>45976</v>
      </c>
      <c r="N38" t="s">
        <v>630</v>
      </c>
      <c r="O38" t="s">
        <v>625</v>
      </c>
      <c r="P38">
        <v>1</v>
      </c>
      <c r="Q38">
        <v>0</v>
      </c>
      <c r="R38">
        <v>15.74</v>
      </c>
      <c r="S38" t="s">
        <v>84</v>
      </c>
      <c r="T38" t="s">
        <v>777</v>
      </c>
    </row>
    <row r="39" spans="1:20" x14ac:dyDescent="0.3">
      <c r="A39">
        <v>233</v>
      </c>
      <c r="B39">
        <v>44</v>
      </c>
      <c r="C39">
        <v>3</v>
      </c>
      <c r="D39">
        <v>58.09</v>
      </c>
      <c r="E39">
        <v>5.81</v>
      </c>
      <c r="F39">
        <v>0</v>
      </c>
      <c r="G39">
        <v>0.1</v>
      </c>
      <c r="H39" t="s">
        <v>626</v>
      </c>
      <c r="I39">
        <v>5</v>
      </c>
      <c r="J39" t="s">
        <v>631</v>
      </c>
      <c r="K39" s="1">
        <v>45977.521064814813</v>
      </c>
      <c r="L39" s="1">
        <v>45976.771064814813</v>
      </c>
      <c r="M39" s="2">
        <v>45976</v>
      </c>
      <c r="N39" t="s">
        <v>630</v>
      </c>
      <c r="O39" t="s">
        <v>625</v>
      </c>
      <c r="P39">
        <v>1</v>
      </c>
      <c r="Q39">
        <v>1</v>
      </c>
      <c r="R39">
        <v>0</v>
      </c>
      <c r="S39" t="s">
        <v>84</v>
      </c>
      <c r="T39" t="s">
        <v>777</v>
      </c>
    </row>
    <row r="40" spans="1:20" x14ac:dyDescent="0.3">
      <c r="A40">
        <v>258</v>
      </c>
      <c r="B40">
        <v>44</v>
      </c>
      <c r="C40">
        <v>4</v>
      </c>
      <c r="D40">
        <v>46.46</v>
      </c>
      <c r="E40">
        <v>4.6500000000000004</v>
      </c>
      <c r="F40">
        <v>0</v>
      </c>
      <c r="G40">
        <v>0.1</v>
      </c>
      <c r="H40" t="s">
        <v>622</v>
      </c>
      <c r="J40" t="s">
        <v>623</v>
      </c>
      <c r="K40" s="1"/>
      <c r="L40" s="1">
        <v>45979.491967592592</v>
      </c>
      <c r="M40" s="2">
        <v>45979</v>
      </c>
      <c r="N40" t="s">
        <v>630</v>
      </c>
      <c r="O40" t="s">
        <v>625</v>
      </c>
      <c r="P40">
        <v>1</v>
      </c>
      <c r="Q40">
        <v>0</v>
      </c>
      <c r="R40">
        <v>46.46</v>
      </c>
      <c r="S40" t="s">
        <v>84</v>
      </c>
      <c r="T40" t="s">
        <v>778</v>
      </c>
    </row>
    <row r="41" spans="1:20" x14ac:dyDescent="0.3">
      <c r="A41">
        <v>283</v>
      </c>
      <c r="B41">
        <v>44</v>
      </c>
      <c r="C41">
        <v>5</v>
      </c>
      <c r="D41">
        <v>74.510000000000005</v>
      </c>
      <c r="E41">
        <v>7.45</v>
      </c>
      <c r="F41">
        <v>0</v>
      </c>
      <c r="G41">
        <v>0.1</v>
      </c>
      <c r="H41" t="s">
        <v>622</v>
      </c>
      <c r="J41" t="s">
        <v>623</v>
      </c>
      <c r="K41" s="1"/>
      <c r="L41" s="1">
        <v>45981.665613425925</v>
      </c>
      <c r="M41" s="2">
        <v>45981</v>
      </c>
      <c r="N41" t="s">
        <v>630</v>
      </c>
      <c r="O41" t="s">
        <v>625</v>
      </c>
      <c r="P41">
        <v>1</v>
      </c>
      <c r="Q41">
        <v>0</v>
      </c>
      <c r="R41">
        <v>74.510000000000005</v>
      </c>
      <c r="S41" t="s">
        <v>84</v>
      </c>
      <c r="T41" t="s">
        <v>779</v>
      </c>
    </row>
    <row r="42" spans="1:20" x14ac:dyDescent="0.3">
      <c r="A42">
        <v>289</v>
      </c>
      <c r="B42">
        <v>44</v>
      </c>
      <c r="C42">
        <v>5</v>
      </c>
      <c r="D42">
        <v>23.21</v>
      </c>
      <c r="E42">
        <v>2.3199999999999998</v>
      </c>
      <c r="F42">
        <v>0</v>
      </c>
      <c r="G42">
        <v>0.1</v>
      </c>
      <c r="H42" t="s">
        <v>622</v>
      </c>
      <c r="J42" t="s">
        <v>623</v>
      </c>
      <c r="K42" s="1"/>
      <c r="L42" s="1">
        <v>45982.438009259262</v>
      </c>
      <c r="M42" s="2">
        <v>45982</v>
      </c>
      <c r="N42" t="s">
        <v>630</v>
      </c>
      <c r="O42" t="s">
        <v>625</v>
      </c>
      <c r="P42">
        <v>1</v>
      </c>
      <c r="Q42">
        <v>0</v>
      </c>
      <c r="R42">
        <v>23.21</v>
      </c>
      <c r="S42" t="s">
        <v>84</v>
      </c>
      <c r="T42" t="s">
        <v>779</v>
      </c>
    </row>
    <row r="43" spans="1:20" x14ac:dyDescent="0.3">
      <c r="A43">
        <v>299</v>
      </c>
      <c r="B43">
        <v>44</v>
      </c>
      <c r="C43">
        <v>3</v>
      </c>
      <c r="D43">
        <v>38.32</v>
      </c>
      <c r="E43">
        <v>3.83</v>
      </c>
      <c r="F43">
        <v>0</v>
      </c>
      <c r="G43">
        <v>0.1</v>
      </c>
      <c r="H43" t="s">
        <v>622</v>
      </c>
      <c r="J43" t="s">
        <v>623</v>
      </c>
      <c r="K43" s="1"/>
      <c r="L43" s="1">
        <v>45983.345011574071</v>
      </c>
      <c r="M43" s="2">
        <v>45983</v>
      </c>
      <c r="N43" t="s">
        <v>630</v>
      </c>
      <c r="O43" t="s">
        <v>625</v>
      </c>
      <c r="P43">
        <v>1</v>
      </c>
      <c r="Q43">
        <v>0</v>
      </c>
      <c r="R43">
        <v>38.32</v>
      </c>
      <c r="S43" t="s">
        <v>84</v>
      </c>
      <c r="T43" t="s">
        <v>777</v>
      </c>
    </row>
    <row r="44" spans="1:20" x14ac:dyDescent="0.3">
      <c r="A44">
        <v>104</v>
      </c>
      <c r="B44">
        <v>12</v>
      </c>
      <c r="C44">
        <v>2</v>
      </c>
      <c r="D44">
        <v>28.32</v>
      </c>
      <c r="E44">
        <v>2.83</v>
      </c>
      <c r="F44">
        <v>0</v>
      </c>
      <c r="G44">
        <v>0.1</v>
      </c>
      <c r="H44" t="s">
        <v>622</v>
      </c>
      <c r="J44" t="s">
        <v>623</v>
      </c>
      <c r="K44" s="1"/>
      <c r="L44" s="1">
        <v>45963.748912037037</v>
      </c>
      <c r="M44" s="2">
        <v>45963</v>
      </c>
      <c r="N44" t="s">
        <v>630</v>
      </c>
      <c r="O44" t="s">
        <v>625</v>
      </c>
      <c r="P44">
        <v>1</v>
      </c>
      <c r="Q44">
        <v>0</v>
      </c>
      <c r="R44">
        <v>28.32</v>
      </c>
      <c r="S44" t="s">
        <v>20</v>
      </c>
      <c r="T44" t="s">
        <v>776</v>
      </c>
    </row>
    <row r="45" spans="1:20" x14ac:dyDescent="0.3">
      <c r="A45">
        <v>142</v>
      </c>
      <c r="B45">
        <v>12</v>
      </c>
      <c r="C45">
        <v>4</v>
      </c>
      <c r="D45">
        <v>38.58</v>
      </c>
      <c r="E45">
        <v>3.86</v>
      </c>
      <c r="F45">
        <v>0</v>
      </c>
      <c r="G45">
        <v>0.1</v>
      </c>
      <c r="H45" t="s">
        <v>622</v>
      </c>
      <c r="J45" t="s">
        <v>623</v>
      </c>
      <c r="K45" s="1"/>
      <c r="L45" s="1">
        <v>45968.47892361111</v>
      </c>
      <c r="M45" s="2">
        <v>45968</v>
      </c>
      <c r="N45" t="s">
        <v>630</v>
      </c>
      <c r="O45" t="s">
        <v>625</v>
      </c>
      <c r="P45">
        <v>1</v>
      </c>
      <c r="Q45">
        <v>0</v>
      </c>
      <c r="R45">
        <v>38.58</v>
      </c>
      <c r="S45" t="s">
        <v>20</v>
      </c>
      <c r="T45" t="s">
        <v>778</v>
      </c>
    </row>
    <row r="46" spans="1:20" x14ac:dyDescent="0.3">
      <c r="A46">
        <v>167</v>
      </c>
      <c r="B46">
        <v>12</v>
      </c>
      <c r="C46">
        <v>5</v>
      </c>
      <c r="D46">
        <v>30.61</v>
      </c>
      <c r="E46">
        <v>3.06</v>
      </c>
      <c r="F46">
        <v>0</v>
      </c>
      <c r="G46">
        <v>0.1</v>
      </c>
      <c r="H46" t="s">
        <v>622</v>
      </c>
      <c r="J46" t="s">
        <v>623</v>
      </c>
      <c r="K46" s="1"/>
      <c r="L46" s="1">
        <v>45969.718402777777</v>
      </c>
      <c r="M46" s="2">
        <v>45969</v>
      </c>
      <c r="N46" t="s">
        <v>630</v>
      </c>
      <c r="O46" t="s">
        <v>625</v>
      </c>
      <c r="P46">
        <v>1</v>
      </c>
      <c r="Q46">
        <v>0</v>
      </c>
      <c r="R46">
        <v>30.61</v>
      </c>
      <c r="S46" t="s">
        <v>20</v>
      </c>
      <c r="T46" t="s">
        <v>779</v>
      </c>
    </row>
    <row r="47" spans="1:20" x14ac:dyDescent="0.3">
      <c r="A47">
        <v>8</v>
      </c>
      <c r="B47">
        <v>47</v>
      </c>
      <c r="C47">
        <v>2</v>
      </c>
      <c r="D47">
        <v>30.71</v>
      </c>
      <c r="E47">
        <v>3.07</v>
      </c>
      <c r="F47">
        <v>0</v>
      </c>
      <c r="G47">
        <v>0.1</v>
      </c>
      <c r="H47" t="s">
        <v>622</v>
      </c>
      <c r="J47" t="s">
        <v>623</v>
      </c>
      <c r="K47" s="1"/>
      <c r="L47" s="1">
        <v>45951.539583333331</v>
      </c>
      <c r="M47" s="2">
        <v>45951</v>
      </c>
      <c r="N47" t="s">
        <v>624</v>
      </c>
      <c r="O47" t="s">
        <v>625</v>
      </c>
      <c r="P47">
        <v>1</v>
      </c>
      <c r="Q47">
        <v>0</v>
      </c>
      <c r="R47">
        <v>30.71</v>
      </c>
      <c r="S47" t="s">
        <v>90</v>
      </c>
      <c r="T47" t="s">
        <v>776</v>
      </c>
    </row>
    <row r="48" spans="1:20" x14ac:dyDescent="0.3">
      <c r="A48">
        <v>29</v>
      </c>
      <c r="B48">
        <v>47</v>
      </c>
      <c r="C48">
        <v>5</v>
      </c>
      <c r="D48">
        <v>29.6</v>
      </c>
      <c r="E48">
        <v>2.96</v>
      </c>
      <c r="F48">
        <v>0</v>
      </c>
      <c r="G48">
        <v>0.1</v>
      </c>
      <c r="H48" t="s">
        <v>622</v>
      </c>
      <c r="J48" t="s">
        <v>623</v>
      </c>
      <c r="K48" s="1"/>
      <c r="L48" s="1">
        <v>45954.539930555555</v>
      </c>
      <c r="M48" s="2">
        <v>45954</v>
      </c>
      <c r="N48" t="s">
        <v>624</v>
      </c>
      <c r="O48" t="s">
        <v>625</v>
      </c>
      <c r="P48">
        <v>1</v>
      </c>
      <c r="Q48">
        <v>0</v>
      </c>
      <c r="R48">
        <v>29.6</v>
      </c>
      <c r="S48" t="s">
        <v>90</v>
      </c>
      <c r="T48" t="s">
        <v>779</v>
      </c>
    </row>
    <row r="49" spans="1:20" x14ac:dyDescent="0.3">
      <c r="A49">
        <v>185</v>
      </c>
      <c r="B49">
        <v>47</v>
      </c>
      <c r="C49">
        <v>3</v>
      </c>
      <c r="D49">
        <v>33.43</v>
      </c>
      <c r="E49">
        <v>3.34</v>
      </c>
      <c r="F49">
        <v>0</v>
      </c>
      <c r="G49">
        <v>0.1</v>
      </c>
      <c r="H49" t="s">
        <v>622</v>
      </c>
      <c r="J49" t="s">
        <v>623</v>
      </c>
      <c r="K49" s="1"/>
      <c r="L49" s="1">
        <v>45972.634074074071</v>
      </c>
      <c r="M49" s="2">
        <v>45972</v>
      </c>
      <c r="N49" t="s">
        <v>630</v>
      </c>
      <c r="O49" t="s">
        <v>625</v>
      </c>
      <c r="P49">
        <v>1</v>
      </c>
      <c r="Q49">
        <v>0</v>
      </c>
      <c r="R49">
        <v>33.43</v>
      </c>
      <c r="S49" t="s">
        <v>90</v>
      </c>
      <c r="T49" t="s">
        <v>777</v>
      </c>
    </row>
    <row r="50" spans="1:20" x14ac:dyDescent="0.3">
      <c r="A50">
        <v>244</v>
      </c>
      <c r="B50">
        <v>47</v>
      </c>
      <c r="C50">
        <v>3</v>
      </c>
      <c r="D50">
        <v>24.71</v>
      </c>
      <c r="E50">
        <v>2.4700000000000002</v>
      </c>
      <c r="F50">
        <v>0</v>
      </c>
      <c r="G50">
        <v>0.1</v>
      </c>
      <c r="H50" t="s">
        <v>622</v>
      </c>
      <c r="J50" t="s">
        <v>623</v>
      </c>
      <c r="K50" s="1"/>
      <c r="L50" s="1">
        <v>45978.363935185182</v>
      </c>
      <c r="M50" s="2">
        <v>45978</v>
      </c>
      <c r="N50" t="s">
        <v>630</v>
      </c>
      <c r="O50" t="s">
        <v>625</v>
      </c>
      <c r="P50">
        <v>1</v>
      </c>
      <c r="Q50">
        <v>0</v>
      </c>
      <c r="R50">
        <v>24.71</v>
      </c>
      <c r="S50" t="s">
        <v>90</v>
      </c>
      <c r="T50" t="s">
        <v>777</v>
      </c>
    </row>
    <row r="51" spans="1:20" x14ac:dyDescent="0.3">
      <c r="A51">
        <v>279</v>
      </c>
      <c r="B51">
        <v>47</v>
      </c>
      <c r="C51">
        <v>2</v>
      </c>
      <c r="D51">
        <v>40.33</v>
      </c>
      <c r="E51">
        <v>4.03</v>
      </c>
      <c r="F51">
        <v>0</v>
      </c>
      <c r="G51">
        <v>0.1</v>
      </c>
      <c r="H51" t="s">
        <v>622</v>
      </c>
      <c r="J51" t="s">
        <v>623</v>
      </c>
      <c r="K51" s="1"/>
      <c r="L51" s="1">
        <v>45981.433298611111</v>
      </c>
      <c r="M51" s="2">
        <v>45981</v>
      </c>
      <c r="N51" t="s">
        <v>630</v>
      </c>
      <c r="O51" t="s">
        <v>625</v>
      </c>
      <c r="P51">
        <v>1</v>
      </c>
      <c r="Q51">
        <v>0</v>
      </c>
      <c r="R51">
        <v>40.33</v>
      </c>
      <c r="S51" t="s">
        <v>90</v>
      </c>
      <c r="T51" t="s">
        <v>776</v>
      </c>
    </row>
    <row r="52" spans="1:20" x14ac:dyDescent="0.3">
      <c r="A52">
        <v>300</v>
      </c>
      <c r="B52">
        <v>47</v>
      </c>
      <c r="C52">
        <v>4</v>
      </c>
      <c r="D52">
        <v>33</v>
      </c>
      <c r="E52">
        <v>3.3</v>
      </c>
      <c r="F52">
        <v>0</v>
      </c>
      <c r="G52">
        <v>0.1</v>
      </c>
      <c r="H52" t="s">
        <v>626</v>
      </c>
      <c r="I52">
        <v>5</v>
      </c>
      <c r="J52" t="s">
        <v>632</v>
      </c>
      <c r="K52" s="1">
        <v>45985.200173611112</v>
      </c>
      <c r="L52" s="1">
        <v>45983.366840277777</v>
      </c>
      <c r="M52" s="2">
        <v>45983</v>
      </c>
      <c r="N52" t="s">
        <v>630</v>
      </c>
      <c r="O52" t="s">
        <v>625</v>
      </c>
      <c r="P52">
        <v>1</v>
      </c>
      <c r="Q52">
        <v>1</v>
      </c>
      <c r="R52">
        <v>0</v>
      </c>
      <c r="S52" t="s">
        <v>90</v>
      </c>
      <c r="T52" t="s">
        <v>778</v>
      </c>
    </row>
    <row r="53" spans="1:20" x14ac:dyDescent="0.3">
      <c r="A53">
        <v>119</v>
      </c>
      <c r="B53">
        <v>13</v>
      </c>
      <c r="C53">
        <v>5</v>
      </c>
      <c r="D53">
        <v>32.31</v>
      </c>
      <c r="E53">
        <v>3.23</v>
      </c>
      <c r="F53">
        <v>0</v>
      </c>
      <c r="G53">
        <v>0.1</v>
      </c>
      <c r="H53" t="s">
        <v>622</v>
      </c>
      <c r="J53" t="s">
        <v>623</v>
      </c>
      <c r="K53" s="1"/>
      <c r="L53" s="1">
        <v>45965.442442129628</v>
      </c>
      <c r="M53" s="2">
        <v>45965</v>
      </c>
      <c r="N53" t="s">
        <v>630</v>
      </c>
      <c r="O53" t="s">
        <v>625</v>
      </c>
      <c r="P53">
        <v>1</v>
      </c>
      <c r="Q53">
        <v>0</v>
      </c>
      <c r="R53">
        <v>32.31</v>
      </c>
      <c r="S53" t="s">
        <v>22</v>
      </c>
      <c r="T53" t="s">
        <v>779</v>
      </c>
    </row>
    <row r="54" spans="1:20" x14ac:dyDescent="0.3">
      <c r="A54">
        <v>165</v>
      </c>
      <c r="B54">
        <v>13</v>
      </c>
      <c r="C54">
        <v>3</v>
      </c>
      <c r="D54">
        <v>37.450000000000003</v>
      </c>
      <c r="E54">
        <v>3.75</v>
      </c>
      <c r="F54">
        <v>0</v>
      </c>
      <c r="G54">
        <v>0.1</v>
      </c>
      <c r="H54" t="s">
        <v>622</v>
      </c>
      <c r="J54" t="s">
        <v>623</v>
      </c>
      <c r="K54" s="1"/>
      <c r="L54" s="1">
        <v>45969.709803240738</v>
      </c>
      <c r="M54" s="2">
        <v>45969</v>
      </c>
      <c r="N54" t="s">
        <v>630</v>
      </c>
      <c r="O54" t="s">
        <v>625</v>
      </c>
      <c r="P54">
        <v>1</v>
      </c>
      <c r="Q54">
        <v>0</v>
      </c>
      <c r="R54">
        <v>37.450000000000003</v>
      </c>
      <c r="S54" t="s">
        <v>22</v>
      </c>
      <c r="T54" t="s">
        <v>777</v>
      </c>
    </row>
    <row r="55" spans="1:20" x14ac:dyDescent="0.3">
      <c r="A55">
        <v>225</v>
      </c>
      <c r="B55">
        <v>13</v>
      </c>
      <c r="C55">
        <v>4</v>
      </c>
      <c r="D55">
        <v>37.71</v>
      </c>
      <c r="E55">
        <v>3.77</v>
      </c>
      <c r="F55">
        <v>0</v>
      </c>
      <c r="G55">
        <v>0.1</v>
      </c>
      <c r="H55" t="s">
        <v>622</v>
      </c>
      <c r="J55" t="s">
        <v>623</v>
      </c>
      <c r="K55" s="1"/>
      <c r="L55" s="1">
        <v>45976.396666666667</v>
      </c>
      <c r="M55" s="2">
        <v>45976</v>
      </c>
      <c r="N55" t="s">
        <v>630</v>
      </c>
      <c r="O55" t="s">
        <v>625</v>
      </c>
      <c r="P55">
        <v>1</v>
      </c>
      <c r="Q55">
        <v>0</v>
      </c>
      <c r="R55">
        <v>37.71</v>
      </c>
      <c r="S55" t="s">
        <v>22</v>
      </c>
      <c r="T55" t="s">
        <v>778</v>
      </c>
    </row>
    <row r="56" spans="1:20" x14ac:dyDescent="0.3">
      <c r="A56">
        <v>255</v>
      </c>
      <c r="B56">
        <v>13</v>
      </c>
      <c r="C56">
        <v>4</v>
      </c>
      <c r="D56">
        <v>31.27</v>
      </c>
      <c r="E56">
        <v>3.13</v>
      </c>
      <c r="F56">
        <v>0</v>
      </c>
      <c r="G56">
        <v>0.1</v>
      </c>
      <c r="H56" t="s">
        <v>622</v>
      </c>
      <c r="J56" t="s">
        <v>623</v>
      </c>
      <c r="K56" s="1"/>
      <c r="L56" s="1">
        <v>45978.811712962961</v>
      </c>
      <c r="M56" s="2">
        <v>45978</v>
      </c>
      <c r="N56" t="s">
        <v>630</v>
      </c>
      <c r="O56" t="s">
        <v>625</v>
      </c>
      <c r="P56">
        <v>1</v>
      </c>
      <c r="Q56">
        <v>0</v>
      </c>
      <c r="R56">
        <v>31.27</v>
      </c>
      <c r="S56" t="s">
        <v>22</v>
      </c>
      <c r="T56" t="s">
        <v>778</v>
      </c>
    </row>
    <row r="57" spans="1:20" x14ac:dyDescent="0.3">
      <c r="A57">
        <v>9</v>
      </c>
      <c r="B57">
        <v>16</v>
      </c>
      <c r="C57">
        <v>2</v>
      </c>
      <c r="D57">
        <v>182.33</v>
      </c>
      <c r="E57">
        <v>18.23</v>
      </c>
      <c r="F57">
        <v>0</v>
      </c>
      <c r="G57">
        <v>0.1</v>
      </c>
      <c r="H57" t="s">
        <v>622</v>
      </c>
      <c r="J57" t="s">
        <v>623</v>
      </c>
      <c r="K57" s="1"/>
      <c r="L57" s="1">
        <v>45951.689479166664</v>
      </c>
      <c r="M57" s="2">
        <v>45951</v>
      </c>
      <c r="N57" t="s">
        <v>624</v>
      </c>
      <c r="O57" t="s">
        <v>625</v>
      </c>
      <c r="P57">
        <v>1</v>
      </c>
      <c r="Q57">
        <v>0</v>
      </c>
      <c r="R57">
        <v>182.33</v>
      </c>
      <c r="S57" t="s">
        <v>28</v>
      </c>
      <c r="T57" t="s">
        <v>776</v>
      </c>
    </row>
    <row r="58" spans="1:20" x14ac:dyDescent="0.3">
      <c r="A58">
        <v>20</v>
      </c>
      <c r="B58">
        <v>16</v>
      </c>
      <c r="C58">
        <v>4</v>
      </c>
      <c r="D58">
        <v>180.72</v>
      </c>
      <c r="E58">
        <v>18.07</v>
      </c>
      <c r="F58">
        <v>0</v>
      </c>
      <c r="G58">
        <v>0.1</v>
      </c>
      <c r="H58" t="s">
        <v>622</v>
      </c>
      <c r="J58" t="s">
        <v>623</v>
      </c>
      <c r="K58" s="1"/>
      <c r="L58" s="1">
        <v>45953.383518518516</v>
      </c>
      <c r="M58" s="2">
        <v>45953</v>
      </c>
      <c r="N58" t="s">
        <v>624</v>
      </c>
      <c r="O58" t="s">
        <v>625</v>
      </c>
      <c r="P58">
        <v>1</v>
      </c>
      <c r="Q58">
        <v>0</v>
      </c>
      <c r="R58">
        <v>180.72</v>
      </c>
      <c r="S58" t="s">
        <v>28</v>
      </c>
      <c r="T58" t="s">
        <v>778</v>
      </c>
    </row>
    <row r="59" spans="1:20" x14ac:dyDescent="0.3">
      <c r="A59">
        <v>34</v>
      </c>
      <c r="B59">
        <v>16</v>
      </c>
      <c r="C59">
        <v>4</v>
      </c>
      <c r="D59">
        <v>260.54000000000002</v>
      </c>
      <c r="E59">
        <v>26.05</v>
      </c>
      <c r="F59">
        <v>0</v>
      </c>
      <c r="G59">
        <v>0.1</v>
      </c>
      <c r="H59" t="s">
        <v>622</v>
      </c>
      <c r="J59" t="s">
        <v>623</v>
      </c>
      <c r="K59" s="1"/>
      <c r="L59" s="1">
        <v>45955.368055555555</v>
      </c>
      <c r="M59" s="2">
        <v>45955</v>
      </c>
      <c r="N59" t="s">
        <v>624</v>
      </c>
      <c r="O59" t="s">
        <v>625</v>
      </c>
      <c r="P59">
        <v>1</v>
      </c>
      <c r="Q59">
        <v>0</v>
      </c>
      <c r="R59">
        <v>260.54000000000002</v>
      </c>
      <c r="S59" t="s">
        <v>28</v>
      </c>
      <c r="T59" t="s">
        <v>778</v>
      </c>
    </row>
    <row r="60" spans="1:20" x14ac:dyDescent="0.3">
      <c r="A60">
        <v>60</v>
      </c>
      <c r="B60">
        <v>16</v>
      </c>
      <c r="C60">
        <v>2</v>
      </c>
      <c r="D60">
        <v>134.36000000000001</v>
      </c>
      <c r="E60">
        <v>13.44</v>
      </c>
      <c r="F60">
        <v>0</v>
      </c>
      <c r="G60">
        <v>0.1</v>
      </c>
      <c r="H60" t="s">
        <v>622</v>
      </c>
      <c r="J60" t="s">
        <v>623</v>
      </c>
      <c r="K60" s="1"/>
      <c r="L60" s="1">
        <v>45958.660694444443</v>
      </c>
      <c r="M60" s="2">
        <v>45958</v>
      </c>
      <c r="N60" t="s">
        <v>624</v>
      </c>
      <c r="O60" t="s">
        <v>625</v>
      </c>
      <c r="P60">
        <v>1</v>
      </c>
      <c r="Q60">
        <v>0</v>
      </c>
      <c r="R60">
        <v>134.36000000000001</v>
      </c>
      <c r="S60" t="s">
        <v>28</v>
      </c>
      <c r="T60" t="s">
        <v>776</v>
      </c>
    </row>
    <row r="61" spans="1:20" x14ac:dyDescent="0.3">
      <c r="A61">
        <v>138</v>
      </c>
      <c r="B61">
        <v>16</v>
      </c>
      <c r="C61">
        <v>3</v>
      </c>
      <c r="D61">
        <v>262.82</v>
      </c>
      <c r="E61">
        <v>26.28</v>
      </c>
      <c r="F61">
        <v>0</v>
      </c>
      <c r="G61">
        <v>0.1</v>
      </c>
      <c r="H61" t="s">
        <v>622</v>
      </c>
      <c r="J61" t="s">
        <v>623</v>
      </c>
      <c r="K61" s="1"/>
      <c r="L61" s="1">
        <v>45968.359027777777</v>
      </c>
      <c r="M61" s="2">
        <v>45968</v>
      </c>
      <c r="N61" t="s">
        <v>630</v>
      </c>
      <c r="O61" t="s">
        <v>625</v>
      </c>
      <c r="P61">
        <v>1</v>
      </c>
      <c r="Q61">
        <v>0</v>
      </c>
      <c r="R61">
        <v>262.82</v>
      </c>
      <c r="S61" t="s">
        <v>28</v>
      </c>
      <c r="T61" t="s">
        <v>777</v>
      </c>
    </row>
    <row r="62" spans="1:20" x14ac:dyDescent="0.3">
      <c r="A62">
        <v>179</v>
      </c>
      <c r="B62">
        <v>16</v>
      </c>
      <c r="C62">
        <v>3</v>
      </c>
      <c r="D62">
        <v>153.46</v>
      </c>
      <c r="E62">
        <v>15.35</v>
      </c>
      <c r="F62">
        <v>0</v>
      </c>
      <c r="G62">
        <v>0.1</v>
      </c>
      <c r="H62" t="s">
        <v>622</v>
      </c>
      <c r="J62" t="s">
        <v>623</v>
      </c>
      <c r="K62" s="1"/>
      <c r="L62" s="1">
        <v>45971.571793981479</v>
      </c>
      <c r="M62" s="2">
        <v>45971</v>
      </c>
      <c r="N62" t="s">
        <v>630</v>
      </c>
      <c r="O62" t="s">
        <v>625</v>
      </c>
      <c r="P62">
        <v>1</v>
      </c>
      <c r="Q62">
        <v>0</v>
      </c>
      <c r="R62">
        <v>153.46</v>
      </c>
      <c r="S62" t="s">
        <v>28</v>
      </c>
      <c r="T62" t="s">
        <v>777</v>
      </c>
    </row>
    <row r="63" spans="1:20" x14ac:dyDescent="0.3">
      <c r="A63">
        <v>183</v>
      </c>
      <c r="B63">
        <v>16</v>
      </c>
      <c r="C63">
        <v>5</v>
      </c>
      <c r="D63">
        <v>172.44</v>
      </c>
      <c r="E63">
        <v>17.239999999999998</v>
      </c>
      <c r="F63">
        <v>0</v>
      </c>
      <c r="G63">
        <v>0.1</v>
      </c>
      <c r="H63" t="s">
        <v>622</v>
      </c>
      <c r="J63" t="s">
        <v>623</v>
      </c>
      <c r="K63" s="1"/>
      <c r="L63" s="1">
        <v>45972.594317129631</v>
      </c>
      <c r="M63" s="2">
        <v>45972</v>
      </c>
      <c r="N63" t="s">
        <v>630</v>
      </c>
      <c r="O63" t="s">
        <v>625</v>
      </c>
      <c r="P63">
        <v>1</v>
      </c>
      <c r="Q63">
        <v>0</v>
      </c>
      <c r="R63">
        <v>172.44</v>
      </c>
      <c r="S63" t="s">
        <v>28</v>
      </c>
      <c r="T63" t="s">
        <v>779</v>
      </c>
    </row>
    <row r="64" spans="1:20" x14ac:dyDescent="0.3">
      <c r="A64">
        <v>230</v>
      </c>
      <c r="B64">
        <v>16</v>
      </c>
      <c r="C64">
        <v>5</v>
      </c>
      <c r="D64">
        <v>201.86</v>
      </c>
      <c r="E64">
        <v>20.190000000000001</v>
      </c>
      <c r="F64">
        <v>0</v>
      </c>
      <c r="G64">
        <v>0.1</v>
      </c>
      <c r="H64" t="s">
        <v>622</v>
      </c>
      <c r="J64" t="s">
        <v>623</v>
      </c>
      <c r="K64" s="1"/>
      <c r="L64" s="1">
        <v>45976.659803240742</v>
      </c>
      <c r="M64" s="2">
        <v>45976</v>
      </c>
      <c r="N64" t="s">
        <v>630</v>
      </c>
      <c r="O64" t="s">
        <v>625</v>
      </c>
      <c r="P64">
        <v>1</v>
      </c>
      <c r="Q64">
        <v>0</v>
      </c>
      <c r="R64">
        <v>201.86</v>
      </c>
      <c r="S64" t="s">
        <v>28</v>
      </c>
      <c r="T64" t="s">
        <v>779</v>
      </c>
    </row>
    <row r="65" spans="1:20" x14ac:dyDescent="0.3">
      <c r="A65">
        <v>235</v>
      </c>
      <c r="B65">
        <v>16</v>
      </c>
      <c r="C65">
        <v>5</v>
      </c>
      <c r="D65">
        <v>211.1</v>
      </c>
      <c r="E65">
        <v>21.11</v>
      </c>
      <c r="F65">
        <v>0</v>
      </c>
      <c r="G65">
        <v>0.1</v>
      </c>
      <c r="H65" t="s">
        <v>622</v>
      </c>
      <c r="J65" t="s">
        <v>623</v>
      </c>
      <c r="K65" s="1"/>
      <c r="L65" s="1">
        <v>45977.379236111112</v>
      </c>
      <c r="M65" s="2">
        <v>45977</v>
      </c>
      <c r="N65" t="s">
        <v>630</v>
      </c>
      <c r="O65" t="s">
        <v>625</v>
      </c>
      <c r="P65">
        <v>1</v>
      </c>
      <c r="Q65">
        <v>0</v>
      </c>
      <c r="R65">
        <v>211.1</v>
      </c>
      <c r="S65" t="s">
        <v>28</v>
      </c>
      <c r="T65" t="s">
        <v>779</v>
      </c>
    </row>
    <row r="66" spans="1:20" x14ac:dyDescent="0.3">
      <c r="A66">
        <v>236</v>
      </c>
      <c r="B66">
        <v>16</v>
      </c>
      <c r="C66">
        <v>2</v>
      </c>
      <c r="D66">
        <v>220.47</v>
      </c>
      <c r="E66">
        <v>22.05</v>
      </c>
      <c r="F66">
        <v>0</v>
      </c>
      <c r="G66">
        <v>0.1</v>
      </c>
      <c r="H66" t="s">
        <v>622</v>
      </c>
      <c r="J66" t="s">
        <v>623</v>
      </c>
      <c r="K66" s="1"/>
      <c r="L66" s="1">
        <v>45977.384340277778</v>
      </c>
      <c r="M66" s="2">
        <v>45977</v>
      </c>
      <c r="N66" t="s">
        <v>630</v>
      </c>
      <c r="O66" t="s">
        <v>625</v>
      </c>
      <c r="P66">
        <v>1</v>
      </c>
      <c r="Q66">
        <v>0</v>
      </c>
      <c r="R66">
        <v>220.47</v>
      </c>
      <c r="S66" t="s">
        <v>28</v>
      </c>
      <c r="T66" t="s">
        <v>776</v>
      </c>
    </row>
    <row r="67" spans="1:20" x14ac:dyDescent="0.3">
      <c r="A67">
        <v>266</v>
      </c>
      <c r="B67">
        <v>16</v>
      </c>
      <c r="C67">
        <v>4</v>
      </c>
      <c r="D67">
        <v>248.53</v>
      </c>
      <c r="E67">
        <v>24.85</v>
      </c>
      <c r="F67">
        <v>0</v>
      </c>
      <c r="G67">
        <v>0.1</v>
      </c>
      <c r="H67" t="s">
        <v>622</v>
      </c>
      <c r="J67" t="s">
        <v>623</v>
      </c>
      <c r="K67" s="1"/>
      <c r="L67" s="1">
        <v>45980.408356481479</v>
      </c>
      <c r="M67" s="2">
        <v>45980</v>
      </c>
      <c r="N67" t="s">
        <v>630</v>
      </c>
      <c r="O67" t="s">
        <v>625</v>
      </c>
      <c r="P67">
        <v>1</v>
      </c>
      <c r="Q67">
        <v>0</v>
      </c>
      <c r="R67">
        <v>248.53</v>
      </c>
      <c r="S67" t="s">
        <v>28</v>
      </c>
      <c r="T67" t="s">
        <v>778</v>
      </c>
    </row>
    <row r="68" spans="1:20" x14ac:dyDescent="0.3">
      <c r="A68">
        <v>45</v>
      </c>
      <c r="B68">
        <v>15</v>
      </c>
      <c r="C68">
        <v>3</v>
      </c>
      <c r="D68">
        <v>74.02</v>
      </c>
      <c r="E68">
        <v>7.4</v>
      </c>
      <c r="F68">
        <v>0</v>
      </c>
      <c r="G68">
        <v>0.1</v>
      </c>
      <c r="H68" t="s">
        <v>622</v>
      </c>
      <c r="J68" t="s">
        <v>623</v>
      </c>
      <c r="K68" s="1"/>
      <c r="L68" s="1">
        <v>45956.661145833335</v>
      </c>
      <c r="M68" s="2">
        <v>45956</v>
      </c>
      <c r="N68" t="s">
        <v>624</v>
      </c>
      <c r="O68" t="s">
        <v>625</v>
      </c>
      <c r="P68">
        <v>1</v>
      </c>
      <c r="Q68">
        <v>0</v>
      </c>
      <c r="R68">
        <v>74.02</v>
      </c>
      <c r="S68" t="s">
        <v>26</v>
      </c>
      <c r="T68" t="s">
        <v>777</v>
      </c>
    </row>
    <row r="69" spans="1:20" x14ac:dyDescent="0.3">
      <c r="A69">
        <v>155</v>
      </c>
      <c r="B69">
        <v>15</v>
      </c>
      <c r="C69">
        <v>4</v>
      </c>
      <c r="D69">
        <v>93.95</v>
      </c>
      <c r="E69">
        <v>9.4</v>
      </c>
      <c r="F69">
        <v>0</v>
      </c>
      <c r="G69">
        <v>0.1</v>
      </c>
      <c r="H69" t="s">
        <v>622</v>
      </c>
      <c r="J69" t="s">
        <v>623</v>
      </c>
      <c r="K69" s="1"/>
      <c r="L69" s="1">
        <v>45969.471203703702</v>
      </c>
      <c r="M69" s="2">
        <v>45969</v>
      </c>
      <c r="N69" t="s">
        <v>630</v>
      </c>
      <c r="O69" t="s">
        <v>625</v>
      </c>
      <c r="P69">
        <v>1</v>
      </c>
      <c r="Q69">
        <v>0</v>
      </c>
      <c r="R69">
        <v>93.95</v>
      </c>
      <c r="S69" t="s">
        <v>26</v>
      </c>
      <c r="T69" t="s">
        <v>778</v>
      </c>
    </row>
    <row r="70" spans="1:20" x14ac:dyDescent="0.3">
      <c r="A70">
        <v>11</v>
      </c>
      <c r="B70">
        <v>31</v>
      </c>
      <c r="C70">
        <v>3</v>
      </c>
      <c r="D70">
        <v>28.96</v>
      </c>
      <c r="E70">
        <v>2.9</v>
      </c>
      <c r="F70">
        <v>0</v>
      </c>
      <c r="G70">
        <v>0.1</v>
      </c>
      <c r="H70" t="s">
        <v>622</v>
      </c>
      <c r="J70" t="s">
        <v>623</v>
      </c>
      <c r="K70" s="1"/>
      <c r="L70" s="1">
        <v>45951.791666666664</v>
      </c>
      <c r="M70" s="2">
        <v>45951</v>
      </c>
      <c r="N70" t="s">
        <v>624</v>
      </c>
      <c r="O70" t="s">
        <v>625</v>
      </c>
      <c r="P70">
        <v>1</v>
      </c>
      <c r="Q70">
        <v>0</v>
      </c>
      <c r="R70">
        <v>28.96</v>
      </c>
      <c r="S70" t="s">
        <v>58</v>
      </c>
      <c r="T70" t="s">
        <v>777</v>
      </c>
    </row>
    <row r="71" spans="1:20" x14ac:dyDescent="0.3">
      <c r="A71">
        <v>69</v>
      </c>
      <c r="B71">
        <v>31</v>
      </c>
      <c r="C71">
        <v>5</v>
      </c>
      <c r="D71">
        <v>13.17</v>
      </c>
      <c r="E71">
        <v>1.32</v>
      </c>
      <c r="F71">
        <v>0</v>
      </c>
      <c r="G71">
        <v>0.1</v>
      </c>
      <c r="H71" t="s">
        <v>622</v>
      </c>
      <c r="J71" t="s">
        <v>623</v>
      </c>
      <c r="K71" s="1"/>
      <c r="L71" s="1">
        <v>45959.72315972222</v>
      </c>
      <c r="M71" s="2">
        <v>45959</v>
      </c>
      <c r="N71" t="s">
        <v>624</v>
      </c>
      <c r="O71" t="s">
        <v>625</v>
      </c>
      <c r="P71">
        <v>1</v>
      </c>
      <c r="Q71">
        <v>0</v>
      </c>
      <c r="R71">
        <v>13.17</v>
      </c>
      <c r="S71" t="s">
        <v>58</v>
      </c>
      <c r="T71" t="s">
        <v>779</v>
      </c>
    </row>
    <row r="72" spans="1:20" x14ac:dyDescent="0.3">
      <c r="A72">
        <v>175</v>
      </c>
      <c r="B72">
        <v>31</v>
      </c>
      <c r="C72">
        <v>3</v>
      </c>
      <c r="D72">
        <v>26.44</v>
      </c>
      <c r="E72">
        <v>2.64</v>
      </c>
      <c r="F72">
        <v>0</v>
      </c>
      <c r="G72">
        <v>0.1</v>
      </c>
      <c r="H72" t="s">
        <v>622</v>
      </c>
      <c r="J72" t="s">
        <v>623</v>
      </c>
      <c r="K72" s="1"/>
      <c r="L72" s="1">
        <v>45971.422523148147</v>
      </c>
      <c r="M72" s="2">
        <v>45971</v>
      </c>
      <c r="N72" t="s">
        <v>630</v>
      </c>
      <c r="O72" t="s">
        <v>625</v>
      </c>
      <c r="P72">
        <v>1</v>
      </c>
      <c r="Q72">
        <v>0</v>
      </c>
      <c r="R72">
        <v>26.44</v>
      </c>
      <c r="S72" t="s">
        <v>58</v>
      </c>
      <c r="T72" t="s">
        <v>777</v>
      </c>
    </row>
    <row r="73" spans="1:20" x14ac:dyDescent="0.3">
      <c r="A73">
        <v>268</v>
      </c>
      <c r="B73">
        <v>31</v>
      </c>
      <c r="C73">
        <v>2</v>
      </c>
      <c r="D73">
        <v>21.9</v>
      </c>
      <c r="E73">
        <v>2.19</v>
      </c>
      <c r="F73">
        <v>0</v>
      </c>
      <c r="G73">
        <v>0.1</v>
      </c>
      <c r="H73" t="s">
        <v>622</v>
      </c>
      <c r="J73" t="s">
        <v>623</v>
      </c>
      <c r="K73" s="1"/>
      <c r="L73" s="1">
        <v>45980.474756944444</v>
      </c>
      <c r="M73" s="2">
        <v>45980</v>
      </c>
      <c r="N73" t="s">
        <v>630</v>
      </c>
      <c r="O73" t="s">
        <v>625</v>
      </c>
      <c r="P73">
        <v>1</v>
      </c>
      <c r="Q73">
        <v>0</v>
      </c>
      <c r="R73">
        <v>21.9</v>
      </c>
      <c r="S73" t="s">
        <v>58</v>
      </c>
      <c r="T73" t="s">
        <v>776</v>
      </c>
    </row>
    <row r="74" spans="1:20" x14ac:dyDescent="0.3">
      <c r="A74">
        <v>12</v>
      </c>
      <c r="B74">
        <v>39</v>
      </c>
      <c r="C74">
        <v>2</v>
      </c>
      <c r="D74">
        <v>185.25</v>
      </c>
      <c r="E74">
        <v>18.53</v>
      </c>
      <c r="F74">
        <v>0</v>
      </c>
      <c r="G74">
        <v>0.1</v>
      </c>
      <c r="H74" t="s">
        <v>622</v>
      </c>
      <c r="J74" t="s">
        <v>623</v>
      </c>
      <c r="K74" s="1"/>
      <c r="L74" s="1">
        <v>45952.385324074072</v>
      </c>
      <c r="M74" s="2">
        <v>45952</v>
      </c>
      <c r="N74" t="s">
        <v>624</v>
      </c>
      <c r="O74" t="s">
        <v>625</v>
      </c>
      <c r="P74">
        <v>1</v>
      </c>
      <c r="Q74">
        <v>0</v>
      </c>
      <c r="R74">
        <v>185.25</v>
      </c>
      <c r="S74" t="s">
        <v>74</v>
      </c>
      <c r="T74" t="s">
        <v>776</v>
      </c>
    </row>
    <row r="75" spans="1:20" x14ac:dyDescent="0.3">
      <c r="A75">
        <v>16</v>
      </c>
      <c r="B75">
        <v>39</v>
      </c>
      <c r="C75">
        <v>5</v>
      </c>
      <c r="D75">
        <v>260.45</v>
      </c>
      <c r="E75">
        <v>26.05</v>
      </c>
      <c r="F75">
        <v>0</v>
      </c>
      <c r="G75">
        <v>0.1</v>
      </c>
      <c r="H75" t="s">
        <v>622</v>
      </c>
      <c r="J75" t="s">
        <v>623</v>
      </c>
      <c r="K75" s="1"/>
      <c r="L75" s="1">
        <v>45952.659386574072</v>
      </c>
      <c r="M75" s="2">
        <v>45952</v>
      </c>
      <c r="N75" t="s">
        <v>624</v>
      </c>
      <c r="O75" t="s">
        <v>625</v>
      </c>
      <c r="P75">
        <v>1</v>
      </c>
      <c r="Q75">
        <v>0</v>
      </c>
      <c r="R75">
        <v>260.45</v>
      </c>
      <c r="S75" t="s">
        <v>74</v>
      </c>
      <c r="T75" t="s">
        <v>779</v>
      </c>
    </row>
    <row r="76" spans="1:20" x14ac:dyDescent="0.3">
      <c r="A76">
        <v>40</v>
      </c>
      <c r="B76">
        <v>39</v>
      </c>
      <c r="C76">
        <v>2</v>
      </c>
      <c r="D76">
        <v>210.81</v>
      </c>
      <c r="E76">
        <v>21.08</v>
      </c>
      <c r="F76">
        <v>0</v>
      </c>
      <c r="G76">
        <v>0.1</v>
      </c>
      <c r="H76" t="s">
        <v>622</v>
      </c>
      <c r="J76" t="s">
        <v>623</v>
      </c>
      <c r="K76" s="1"/>
      <c r="L76" s="1">
        <v>45955.654456018521</v>
      </c>
      <c r="M76" s="2">
        <v>45955</v>
      </c>
      <c r="N76" t="s">
        <v>624</v>
      </c>
      <c r="O76" t="s">
        <v>625</v>
      </c>
      <c r="P76">
        <v>1</v>
      </c>
      <c r="Q76">
        <v>0</v>
      </c>
      <c r="R76">
        <v>210.81</v>
      </c>
      <c r="S76" t="s">
        <v>74</v>
      </c>
      <c r="T76" t="s">
        <v>776</v>
      </c>
    </row>
    <row r="77" spans="1:20" x14ac:dyDescent="0.3">
      <c r="A77">
        <v>55</v>
      </c>
      <c r="B77">
        <v>39</v>
      </c>
      <c r="C77">
        <v>3</v>
      </c>
      <c r="D77">
        <v>225.31</v>
      </c>
      <c r="E77">
        <v>22.53</v>
      </c>
      <c r="F77">
        <v>0</v>
      </c>
      <c r="G77">
        <v>0.1</v>
      </c>
      <c r="H77" t="s">
        <v>622</v>
      </c>
      <c r="J77" t="s">
        <v>623</v>
      </c>
      <c r="K77" s="1"/>
      <c r="L77" s="1">
        <v>45958.383240740739</v>
      </c>
      <c r="M77" s="2">
        <v>45958</v>
      </c>
      <c r="N77" t="s">
        <v>624</v>
      </c>
      <c r="O77" t="s">
        <v>625</v>
      </c>
      <c r="P77">
        <v>1</v>
      </c>
      <c r="Q77">
        <v>0</v>
      </c>
      <c r="R77">
        <v>225.31</v>
      </c>
      <c r="S77" t="s">
        <v>74</v>
      </c>
      <c r="T77" t="s">
        <v>777</v>
      </c>
    </row>
    <row r="78" spans="1:20" x14ac:dyDescent="0.3">
      <c r="A78">
        <v>57</v>
      </c>
      <c r="B78">
        <v>39</v>
      </c>
      <c r="C78">
        <v>2</v>
      </c>
      <c r="D78">
        <v>300</v>
      </c>
      <c r="E78">
        <v>30</v>
      </c>
      <c r="F78">
        <v>0</v>
      </c>
      <c r="G78">
        <v>0.1</v>
      </c>
      <c r="H78" t="s">
        <v>622</v>
      </c>
      <c r="J78" t="s">
        <v>623</v>
      </c>
      <c r="K78" s="1"/>
      <c r="L78" s="1">
        <v>45958.529583333337</v>
      </c>
      <c r="M78" s="2">
        <v>45958</v>
      </c>
      <c r="N78" t="s">
        <v>624</v>
      </c>
      <c r="O78" t="s">
        <v>625</v>
      </c>
      <c r="P78">
        <v>1</v>
      </c>
      <c r="Q78">
        <v>0</v>
      </c>
      <c r="R78">
        <v>300</v>
      </c>
      <c r="S78" t="s">
        <v>74</v>
      </c>
      <c r="T78" t="s">
        <v>776</v>
      </c>
    </row>
    <row r="79" spans="1:20" x14ac:dyDescent="0.3">
      <c r="A79">
        <v>58</v>
      </c>
      <c r="B79">
        <v>39</v>
      </c>
      <c r="C79">
        <v>2</v>
      </c>
      <c r="D79">
        <v>300</v>
      </c>
      <c r="E79">
        <v>30</v>
      </c>
      <c r="F79">
        <v>0</v>
      </c>
      <c r="G79">
        <v>0.1</v>
      </c>
      <c r="H79" t="s">
        <v>622</v>
      </c>
      <c r="J79" t="s">
        <v>623</v>
      </c>
      <c r="K79" s="1"/>
      <c r="L79" s="1">
        <v>45958.620462962965</v>
      </c>
      <c r="M79" s="2">
        <v>45958</v>
      </c>
      <c r="N79" t="s">
        <v>624</v>
      </c>
      <c r="O79" t="s">
        <v>625</v>
      </c>
      <c r="P79">
        <v>1</v>
      </c>
      <c r="Q79">
        <v>0</v>
      </c>
      <c r="R79">
        <v>300</v>
      </c>
      <c r="S79" t="s">
        <v>74</v>
      </c>
      <c r="T79" t="s">
        <v>776</v>
      </c>
    </row>
    <row r="80" spans="1:20" x14ac:dyDescent="0.3">
      <c r="A80">
        <v>82</v>
      </c>
      <c r="B80">
        <v>39</v>
      </c>
      <c r="C80">
        <v>4</v>
      </c>
      <c r="D80">
        <v>239.9</v>
      </c>
      <c r="E80">
        <v>23.99</v>
      </c>
      <c r="F80">
        <v>0</v>
      </c>
      <c r="G80">
        <v>0.1</v>
      </c>
      <c r="H80" t="s">
        <v>622</v>
      </c>
      <c r="J80" t="s">
        <v>623</v>
      </c>
      <c r="K80" s="1"/>
      <c r="L80" s="1">
        <v>45961.390196759261</v>
      </c>
      <c r="M80" s="2">
        <v>45961</v>
      </c>
      <c r="N80" t="s">
        <v>624</v>
      </c>
      <c r="O80" t="s">
        <v>625</v>
      </c>
      <c r="P80">
        <v>1</v>
      </c>
      <c r="Q80">
        <v>0</v>
      </c>
      <c r="R80">
        <v>239.9</v>
      </c>
      <c r="S80" t="s">
        <v>74</v>
      </c>
      <c r="T80" t="s">
        <v>778</v>
      </c>
    </row>
    <row r="81" spans="1:20" x14ac:dyDescent="0.3">
      <c r="A81">
        <v>85</v>
      </c>
      <c r="B81">
        <v>39</v>
      </c>
      <c r="C81">
        <v>3</v>
      </c>
      <c r="D81">
        <v>235.51</v>
      </c>
      <c r="E81">
        <v>23.55</v>
      </c>
      <c r="F81">
        <v>0</v>
      </c>
      <c r="G81">
        <v>0.1</v>
      </c>
      <c r="H81" t="s">
        <v>622</v>
      </c>
      <c r="J81" t="s">
        <v>623</v>
      </c>
      <c r="K81" s="1"/>
      <c r="L81" s="1">
        <v>45961.590729166666</v>
      </c>
      <c r="M81" s="2">
        <v>45961</v>
      </c>
      <c r="N81" t="s">
        <v>624</v>
      </c>
      <c r="O81" t="s">
        <v>625</v>
      </c>
      <c r="P81">
        <v>1</v>
      </c>
      <c r="Q81">
        <v>0</v>
      </c>
      <c r="R81">
        <v>235.51</v>
      </c>
      <c r="S81" t="s">
        <v>74</v>
      </c>
      <c r="T81" t="s">
        <v>777</v>
      </c>
    </row>
    <row r="82" spans="1:20" x14ac:dyDescent="0.3">
      <c r="A82">
        <v>86</v>
      </c>
      <c r="B82">
        <v>39</v>
      </c>
      <c r="C82">
        <v>2</v>
      </c>
      <c r="D82">
        <v>149.69999999999999</v>
      </c>
      <c r="E82">
        <v>14.97</v>
      </c>
      <c r="F82">
        <v>0</v>
      </c>
      <c r="G82">
        <v>0.1</v>
      </c>
      <c r="H82" t="s">
        <v>622</v>
      </c>
      <c r="J82" t="s">
        <v>623</v>
      </c>
      <c r="K82" s="1"/>
      <c r="L82" s="1">
        <v>45961.643113425926</v>
      </c>
      <c r="M82" s="2">
        <v>45961</v>
      </c>
      <c r="N82" t="s">
        <v>624</v>
      </c>
      <c r="O82" t="s">
        <v>625</v>
      </c>
      <c r="P82">
        <v>1</v>
      </c>
      <c r="Q82">
        <v>0</v>
      </c>
      <c r="R82">
        <v>149.69999999999999</v>
      </c>
      <c r="S82" t="s">
        <v>74</v>
      </c>
      <c r="T82" t="s">
        <v>776</v>
      </c>
    </row>
    <row r="83" spans="1:20" x14ac:dyDescent="0.3">
      <c r="A83">
        <v>88</v>
      </c>
      <c r="B83">
        <v>39</v>
      </c>
      <c r="C83">
        <v>2</v>
      </c>
      <c r="D83">
        <v>80</v>
      </c>
      <c r="E83">
        <v>0</v>
      </c>
      <c r="F83">
        <v>1</v>
      </c>
      <c r="G83">
        <v>0.1</v>
      </c>
      <c r="H83" t="s">
        <v>622</v>
      </c>
      <c r="J83" t="s">
        <v>623</v>
      </c>
      <c r="K83" s="1"/>
      <c r="L83" s="1">
        <v>45961.663865740738</v>
      </c>
      <c r="M83" s="2">
        <v>45961</v>
      </c>
      <c r="N83" t="s">
        <v>624</v>
      </c>
      <c r="O83" t="s">
        <v>629</v>
      </c>
      <c r="P83">
        <v>1</v>
      </c>
      <c r="Q83">
        <v>0</v>
      </c>
      <c r="R83">
        <v>80</v>
      </c>
      <c r="S83" t="s">
        <v>74</v>
      </c>
      <c r="T83" t="s">
        <v>776</v>
      </c>
    </row>
    <row r="84" spans="1:20" x14ac:dyDescent="0.3">
      <c r="A84">
        <v>98</v>
      </c>
      <c r="B84">
        <v>39</v>
      </c>
      <c r="C84">
        <v>4</v>
      </c>
      <c r="D84">
        <v>161.05000000000001</v>
      </c>
      <c r="E84">
        <v>16.11</v>
      </c>
      <c r="F84">
        <v>0</v>
      </c>
      <c r="G84">
        <v>0.1</v>
      </c>
      <c r="H84" t="s">
        <v>622</v>
      </c>
      <c r="J84" t="s">
        <v>623</v>
      </c>
      <c r="K84" s="1"/>
      <c r="L84" s="1">
        <v>45962.722395833334</v>
      </c>
      <c r="M84" s="2">
        <v>45962</v>
      </c>
      <c r="N84" t="s">
        <v>630</v>
      </c>
      <c r="O84" t="s">
        <v>625</v>
      </c>
      <c r="P84">
        <v>1</v>
      </c>
      <c r="Q84">
        <v>0</v>
      </c>
      <c r="R84">
        <v>161.05000000000001</v>
      </c>
      <c r="S84" t="s">
        <v>74</v>
      </c>
      <c r="T84" t="s">
        <v>778</v>
      </c>
    </row>
    <row r="85" spans="1:20" x14ac:dyDescent="0.3">
      <c r="A85">
        <v>107</v>
      </c>
      <c r="B85">
        <v>39</v>
      </c>
      <c r="C85">
        <v>2</v>
      </c>
      <c r="D85">
        <v>111.21</v>
      </c>
      <c r="E85">
        <v>11.12</v>
      </c>
      <c r="F85">
        <v>0</v>
      </c>
      <c r="G85">
        <v>0.1</v>
      </c>
      <c r="H85" t="s">
        <v>622</v>
      </c>
      <c r="J85" t="s">
        <v>623</v>
      </c>
      <c r="K85" s="1"/>
      <c r="L85" s="1">
        <v>45964.349918981483</v>
      </c>
      <c r="M85" s="2">
        <v>45964</v>
      </c>
      <c r="N85" t="s">
        <v>630</v>
      </c>
      <c r="O85" t="s">
        <v>625</v>
      </c>
      <c r="P85">
        <v>1</v>
      </c>
      <c r="Q85">
        <v>0</v>
      </c>
      <c r="R85">
        <v>111.21</v>
      </c>
      <c r="S85" t="s">
        <v>74</v>
      </c>
      <c r="T85" t="s">
        <v>776</v>
      </c>
    </row>
    <row r="86" spans="1:20" x14ac:dyDescent="0.3">
      <c r="A86">
        <v>125</v>
      </c>
      <c r="B86">
        <v>39</v>
      </c>
      <c r="C86">
        <v>5</v>
      </c>
      <c r="D86">
        <v>169.47</v>
      </c>
      <c r="E86">
        <v>16.95</v>
      </c>
      <c r="F86">
        <v>0</v>
      </c>
      <c r="G86">
        <v>0.1</v>
      </c>
      <c r="H86" t="s">
        <v>622</v>
      </c>
      <c r="J86" t="s">
        <v>623</v>
      </c>
      <c r="K86" s="1"/>
      <c r="L86" s="1">
        <v>45965.703923611109</v>
      </c>
      <c r="M86" s="2">
        <v>45965</v>
      </c>
      <c r="N86" t="s">
        <v>630</v>
      </c>
      <c r="O86" t="s">
        <v>625</v>
      </c>
      <c r="P86">
        <v>1</v>
      </c>
      <c r="Q86">
        <v>0</v>
      </c>
      <c r="R86">
        <v>169.47</v>
      </c>
      <c r="S86" t="s">
        <v>74</v>
      </c>
      <c r="T86" t="s">
        <v>779</v>
      </c>
    </row>
    <row r="87" spans="1:20" x14ac:dyDescent="0.3">
      <c r="A87">
        <v>128</v>
      </c>
      <c r="B87">
        <v>39</v>
      </c>
      <c r="C87">
        <v>5</v>
      </c>
      <c r="D87">
        <v>182.24</v>
      </c>
      <c r="E87">
        <v>18.22</v>
      </c>
      <c r="F87">
        <v>0</v>
      </c>
      <c r="G87">
        <v>0.1</v>
      </c>
      <c r="H87" t="s">
        <v>622</v>
      </c>
      <c r="J87" t="s">
        <v>623</v>
      </c>
      <c r="K87" s="1"/>
      <c r="L87" s="1">
        <v>45966.352465277778</v>
      </c>
      <c r="M87" s="2">
        <v>45966</v>
      </c>
      <c r="N87" t="s">
        <v>630</v>
      </c>
      <c r="O87" t="s">
        <v>625</v>
      </c>
      <c r="P87">
        <v>1</v>
      </c>
      <c r="Q87">
        <v>0</v>
      </c>
      <c r="R87">
        <v>182.24</v>
      </c>
      <c r="S87" t="s">
        <v>74</v>
      </c>
      <c r="T87" t="s">
        <v>779</v>
      </c>
    </row>
    <row r="88" spans="1:20" x14ac:dyDescent="0.3">
      <c r="A88">
        <v>137</v>
      </c>
      <c r="B88">
        <v>39</v>
      </c>
      <c r="C88">
        <v>4</v>
      </c>
      <c r="D88">
        <v>238.54</v>
      </c>
      <c r="E88">
        <v>23.85</v>
      </c>
      <c r="F88">
        <v>0</v>
      </c>
      <c r="G88">
        <v>0.1</v>
      </c>
      <c r="H88" t="s">
        <v>622</v>
      </c>
      <c r="J88" t="s">
        <v>623</v>
      </c>
      <c r="K88" s="1"/>
      <c r="L88" s="1">
        <v>45967.630185185182</v>
      </c>
      <c r="M88" s="2">
        <v>45967</v>
      </c>
      <c r="N88" t="s">
        <v>630</v>
      </c>
      <c r="O88" t="s">
        <v>625</v>
      </c>
      <c r="P88">
        <v>1</v>
      </c>
      <c r="Q88">
        <v>0</v>
      </c>
      <c r="R88">
        <v>238.54</v>
      </c>
      <c r="S88" t="s">
        <v>74</v>
      </c>
      <c r="T88" t="s">
        <v>778</v>
      </c>
    </row>
    <row r="89" spans="1:20" x14ac:dyDescent="0.3">
      <c r="A89">
        <v>140</v>
      </c>
      <c r="B89">
        <v>39</v>
      </c>
      <c r="C89">
        <v>4</v>
      </c>
      <c r="D89">
        <v>219.96</v>
      </c>
      <c r="E89">
        <v>22</v>
      </c>
      <c r="F89">
        <v>0</v>
      </c>
      <c r="G89">
        <v>0.1</v>
      </c>
      <c r="H89" t="s">
        <v>622</v>
      </c>
      <c r="J89" t="s">
        <v>623</v>
      </c>
      <c r="K89" s="1"/>
      <c r="L89" s="1">
        <v>45968.440833333334</v>
      </c>
      <c r="M89" s="2">
        <v>45968</v>
      </c>
      <c r="N89" t="s">
        <v>630</v>
      </c>
      <c r="O89" t="s">
        <v>625</v>
      </c>
      <c r="P89">
        <v>1</v>
      </c>
      <c r="Q89">
        <v>0</v>
      </c>
      <c r="R89">
        <v>219.96</v>
      </c>
      <c r="S89" t="s">
        <v>74</v>
      </c>
      <c r="T89" t="s">
        <v>778</v>
      </c>
    </row>
    <row r="90" spans="1:20" x14ac:dyDescent="0.3">
      <c r="A90">
        <v>145</v>
      </c>
      <c r="B90">
        <v>39</v>
      </c>
      <c r="C90">
        <v>3</v>
      </c>
      <c r="D90">
        <v>167.92</v>
      </c>
      <c r="E90">
        <v>16.79</v>
      </c>
      <c r="F90">
        <v>0</v>
      </c>
      <c r="G90">
        <v>0.1</v>
      </c>
      <c r="H90" t="s">
        <v>622</v>
      </c>
      <c r="J90" t="s">
        <v>623</v>
      </c>
      <c r="K90" s="1"/>
      <c r="L90" s="1">
        <v>45968.549375000002</v>
      </c>
      <c r="M90" s="2">
        <v>45968</v>
      </c>
      <c r="N90" t="s">
        <v>630</v>
      </c>
      <c r="O90" t="s">
        <v>625</v>
      </c>
      <c r="P90">
        <v>1</v>
      </c>
      <c r="Q90">
        <v>0</v>
      </c>
      <c r="R90">
        <v>167.92</v>
      </c>
      <c r="S90" t="s">
        <v>74</v>
      </c>
      <c r="T90" t="s">
        <v>777</v>
      </c>
    </row>
    <row r="91" spans="1:20" x14ac:dyDescent="0.3">
      <c r="A91">
        <v>159</v>
      </c>
      <c r="B91">
        <v>39</v>
      </c>
      <c r="C91">
        <v>3</v>
      </c>
      <c r="D91">
        <v>162.96</v>
      </c>
      <c r="E91">
        <v>16.3</v>
      </c>
      <c r="F91">
        <v>0</v>
      </c>
      <c r="G91">
        <v>0.1</v>
      </c>
      <c r="H91" t="s">
        <v>622</v>
      </c>
      <c r="J91" t="s">
        <v>623</v>
      </c>
      <c r="K91" s="1"/>
      <c r="L91" s="1">
        <v>45969.57230324074</v>
      </c>
      <c r="M91" s="2">
        <v>45969</v>
      </c>
      <c r="N91" t="s">
        <v>630</v>
      </c>
      <c r="O91" t="s">
        <v>625</v>
      </c>
      <c r="P91">
        <v>1</v>
      </c>
      <c r="Q91">
        <v>0</v>
      </c>
      <c r="R91">
        <v>162.96</v>
      </c>
      <c r="S91" t="s">
        <v>74</v>
      </c>
      <c r="T91" t="s">
        <v>777</v>
      </c>
    </row>
    <row r="92" spans="1:20" x14ac:dyDescent="0.3">
      <c r="A92">
        <v>168</v>
      </c>
      <c r="B92">
        <v>39</v>
      </c>
      <c r="C92">
        <v>5</v>
      </c>
      <c r="D92">
        <v>147.51</v>
      </c>
      <c r="E92">
        <v>14.75</v>
      </c>
      <c r="F92">
        <v>0</v>
      </c>
      <c r="G92">
        <v>0.1</v>
      </c>
      <c r="H92" t="s">
        <v>622</v>
      </c>
      <c r="J92" t="s">
        <v>623</v>
      </c>
      <c r="K92" s="1"/>
      <c r="L92" s="1">
        <v>45970.312048611115</v>
      </c>
      <c r="M92" s="2">
        <v>45970</v>
      </c>
      <c r="N92" t="s">
        <v>630</v>
      </c>
      <c r="O92" t="s">
        <v>625</v>
      </c>
      <c r="P92">
        <v>1</v>
      </c>
      <c r="Q92">
        <v>0</v>
      </c>
      <c r="R92">
        <v>147.51</v>
      </c>
      <c r="S92" t="s">
        <v>74</v>
      </c>
      <c r="T92" t="s">
        <v>779</v>
      </c>
    </row>
    <row r="93" spans="1:20" x14ac:dyDescent="0.3">
      <c r="A93">
        <v>173</v>
      </c>
      <c r="B93">
        <v>39</v>
      </c>
      <c r="C93">
        <v>3</v>
      </c>
      <c r="D93">
        <v>200.11</v>
      </c>
      <c r="E93">
        <v>20.010000000000002</v>
      </c>
      <c r="F93">
        <v>0</v>
      </c>
      <c r="G93">
        <v>0.1</v>
      </c>
      <c r="H93" t="s">
        <v>622</v>
      </c>
      <c r="J93" t="s">
        <v>623</v>
      </c>
      <c r="K93" s="1"/>
      <c r="L93" s="1">
        <v>45971.402777777781</v>
      </c>
      <c r="M93" s="2">
        <v>45971</v>
      </c>
      <c r="N93" t="s">
        <v>630</v>
      </c>
      <c r="O93" t="s">
        <v>625</v>
      </c>
      <c r="P93">
        <v>1</v>
      </c>
      <c r="Q93">
        <v>0</v>
      </c>
      <c r="R93">
        <v>200.11</v>
      </c>
      <c r="S93" t="s">
        <v>74</v>
      </c>
      <c r="T93" t="s">
        <v>777</v>
      </c>
    </row>
    <row r="94" spans="1:20" x14ac:dyDescent="0.3">
      <c r="A94">
        <v>174</v>
      </c>
      <c r="B94">
        <v>39</v>
      </c>
      <c r="C94">
        <v>5</v>
      </c>
      <c r="D94">
        <v>300</v>
      </c>
      <c r="E94">
        <v>30</v>
      </c>
      <c r="F94">
        <v>0</v>
      </c>
      <c r="G94">
        <v>0.1</v>
      </c>
      <c r="H94" t="s">
        <v>622</v>
      </c>
      <c r="J94" t="s">
        <v>623</v>
      </c>
      <c r="K94" s="1"/>
      <c r="L94" s="1">
        <v>45971.408472222225</v>
      </c>
      <c r="M94" s="2">
        <v>45971</v>
      </c>
      <c r="N94" t="s">
        <v>630</v>
      </c>
      <c r="O94" t="s">
        <v>625</v>
      </c>
      <c r="P94">
        <v>1</v>
      </c>
      <c r="Q94">
        <v>0</v>
      </c>
      <c r="R94">
        <v>300</v>
      </c>
      <c r="S94" t="s">
        <v>74</v>
      </c>
      <c r="T94" t="s">
        <v>779</v>
      </c>
    </row>
    <row r="95" spans="1:20" x14ac:dyDescent="0.3">
      <c r="A95">
        <v>182</v>
      </c>
      <c r="B95">
        <v>39</v>
      </c>
      <c r="C95">
        <v>2</v>
      </c>
      <c r="D95">
        <v>127.25</v>
      </c>
      <c r="E95">
        <v>12.73</v>
      </c>
      <c r="F95">
        <v>0</v>
      </c>
      <c r="G95">
        <v>0.1</v>
      </c>
      <c r="H95" t="s">
        <v>622</v>
      </c>
      <c r="J95" t="s">
        <v>623</v>
      </c>
      <c r="K95" s="1"/>
      <c r="L95" s="1">
        <v>45972.47923611111</v>
      </c>
      <c r="M95" s="2">
        <v>45972</v>
      </c>
      <c r="N95" t="s">
        <v>630</v>
      </c>
      <c r="O95" t="s">
        <v>625</v>
      </c>
      <c r="P95">
        <v>1</v>
      </c>
      <c r="Q95">
        <v>0</v>
      </c>
      <c r="R95">
        <v>127.25</v>
      </c>
      <c r="S95" t="s">
        <v>74</v>
      </c>
      <c r="T95" t="s">
        <v>776</v>
      </c>
    </row>
    <row r="96" spans="1:20" x14ac:dyDescent="0.3">
      <c r="A96">
        <v>184</v>
      </c>
      <c r="B96">
        <v>39</v>
      </c>
      <c r="C96">
        <v>5</v>
      </c>
      <c r="D96">
        <v>212.75</v>
      </c>
      <c r="E96">
        <v>21.28</v>
      </c>
      <c r="F96">
        <v>0</v>
      </c>
      <c r="G96">
        <v>0.1</v>
      </c>
      <c r="H96" t="s">
        <v>622</v>
      </c>
      <c r="J96" t="s">
        <v>623</v>
      </c>
      <c r="K96" s="1"/>
      <c r="L96" s="1">
        <v>45972.630729166667</v>
      </c>
      <c r="M96" s="2">
        <v>45972</v>
      </c>
      <c r="N96" t="s">
        <v>630</v>
      </c>
      <c r="O96" t="s">
        <v>625</v>
      </c>
      <c r="P96">
        <v>1</v>
      </c>
      <c r="Q96">
        <v>0</v>
      </c>
      <c r="R96">
        <v>212.75</v>
      </c>
      <c r="S96" t="s">
        <v>74</v>
      </c>
      <c r="T96" t="s">
        <v>779</v>
      </c>
    </row>
    <row r="97" spans="1:20" x14ac:dyDescent="0.3">
      <c r="A97">
        <v>193</v>
      </c>
      <c r="B97">
        <v>39</v>
      </c>
      <c r="C97">
        <v>3</v>
      </c>
      <c r="D97">
        <v>300</v>
      </c>
      <c r="E97">
        <v>0</v>
      </c>
      <c r="F97">
        <v>1</v>
      </c>
      <c r="G97">
        <v>0.1</v>
      </c>
      <c r="H97" t="s">
        <v>622</v>
      </c>
      <c r="J97" t="s">
        <v>623</v>
      </c>
      <c r="K97" s="1"/>
      <c r="L97" s="1">
        <v>45973.482685185183</v>
      </c>
      <c r="M97" s="2">
        <v>45973</v>
      </c>
      <c r="N97" t="s">
        <v>630</v>
      </c>
      <c r="O97" t="s">
        <v>629</v>
      </c>
      <c r="P97">
        <v>1</v>
      </c>
      <c r="Q97">
        <v>0</v>
      </c>
      <c r="R97">
        <v>300</v>
      </c>
      <c r="S97" t="s">
        <v>74</v>
      </c>
      <c r="T97" t="s">
        <v>777</v>
      </c>
    </row>
    <row r="98" spans="1:20" x14ac:dyDescent="0.3">
      <c r="A98">
        <v>213</v>
      </c>
      <c r="B98">
        <v>39</v>
      </c>
      <c r="C98">
        <v>2</v>
      </c>
      <c r="D98">
        <v>133.46</v>
      </c>
      <c r="E98">
        <v>13.35</v>
      </c>
      <c r="F98">
        <v>0</v>
      </c>
      <c r="G98">
        <v>0.1</v>
      </c>
      <c r="H98" t="s">
        <v>622</v>
      </c>
      <c r="J98" t="s">
        <v>623</v>
      </c>
      <c r="K98" s="1"/>
      <c r="L98" s="1">
        <v>45975.544803240744</v>
      </c>
      <c r="M98" s="2">
        <v>45975</v>
      </c>
      <c r="N98" t="s">
        <v>630</v>
      </c>
      <c r="O98" t="s">
        <v>625</v>
      </c>
      <c r="P98">
        <v>1</v>
      </c>
      <c r="Q98">
        <v>0</v>
      </c>
      <c r="R98">
        <v>133.46</v>
      </c>
      <c r="S98" t="s">
        <v>74</v>
      </c>
      <c r="T98" t="s">
        <v>776</v>
      </c>
    </row>
    <row r="99" spans="1:20" x14ac:dyDescent="0.3">
      <c r="A99">
        <v>231</v>
      </c>
      <c r="B99">
        <v>39</v>
      </c>
      <c r="C99">
        <v>4</v>
      </c>
      <c r="D99">
        <v>103.9</v>
      </c>
      <c r="E99">
        <v>10.39</v>
      </c>
      <c r="F99">
        <v>0</v>
      </c>
      <c r="G99">
        <v>0.1</v>
      </c>
      <c r="H99" t="s">
        <v>622</v>
      </c>
      <c r="J99" t="s">
        <v>623</v>
      </c>
      <c r="K99" s="1"/>
      <c r="L99" s="1">
        <v>45976.689479166664</v>
      </c>
      <c r="M99" s="2">
        <v>45976</v>
      </c>
      <c r="N99" t="s">
        <v>630</v>
      </c>
      <c r="O99" t="s">
        <v>625</v>
      </c>
      <c r="P99">
        <v>1</v>
      </c>
      <c r="Q99">
        <v>0</v>
      </c>
      <c r="R99">
        <v>103.9</v>
      </c>
      <c r="S99" t="s">
        <v>74</v>
      </c>
      <c r="T99" t="s">
        <v>778</v>
      </c>
    </row>
    <row r="100" spans="1:20" x14ac:dyDescent="0.3">
      <c r="A100">
        <v>238</v>
      </c>
      <c r="B100">
        <v>39</v>
      </c>
      <c r="C100">
        <v>4</v>
      </c>
      <c r="D100">
        <v>192.09</v>
      </c>
      <c r="E100">
        <v>19.21</v>
      </c>
      <c r="F100">
        <v>0</v>
      </c>
      <c r="G100">
        <v>0.1</v>
      </c>
      <c r="H100" t="s">
        <v>622</v>
      </c>
      <c r="J100" t="s">
        <v>623</v>
      </c>
      <c r="K100" s="1"/>
      <c r="L100" s="1">
        <v>45977.672951388886</v>
      </c>
      <c r="M100" s="2">
        <v>45977</v>
      </c>
      <c r="N100" t="s">
        <v>630</v>
      </c>
      <c r="O100" t="s">
        <v>625</v>
      </c>
      <c r="P100">
        <v>1</v>
      </c>
      <c r="Q100">
        <v>0</v>
      </c>
      <c r="R100">
        <v>192.09</v>
      </c>
      <c r="S100" t="s">
        <v>74</v>
      </c>
      <c r="T100" t="s">
        <v>778</v>
      </c>
    </row>
    <row r="101" spans="1:20" x14ac:dyDescent="0.3">
      <c r="A101">
        <v>243</v>
      </c>
      <c r="B101">
        <v>39</v>
      </c>
      <c r="C101">
        <v>5</v>
      </c>
      <c r="D101">
        <v>148.80000000000001</v>
      </c>
      <c r="E101">
        <v>14.88</v>
      </c>
      <c r="F101">
        <v>0</v>
      </c>
      <c r="G101">
        <v>0.1</v>
      </c>
      <c r="H101" t="s">
        <v>622</v>
      </c>
      <c r="J101" t="s">
        <v>623</v>
      </c>
      <c r="K101" s="1"/>
      <c r="L101" s="1">
        <v>45978.325162037036</v>
      </c>
      <c r="M101" s="2">
        <v>45978</v>
      </c>
      <c r="N101" t="s">
        <v>630</v>
      </c>
      <c r="O101" t="s">
        <v>625</v>
      </c>
      <c r="P101">
        <v>1</v>
      </c>
      <c r="Q101">
        <v>0</v>
      </c>
      <c r="R101">
        <v>148.80000000000001</v>
      </c>
      <c r="S101" t="s">
        <v>74</v>
      </c>
      <c r="T101" t="s">
        <v>779</v>
      </c>
    </row>
    <row r="102" spans="1:20" x14ac:dyDescent="0.3">
      <c r="A102">
        <v>252</v>
      </c>
      <c r="B102">
        <v>39</v>
      </c>
      <c r="C102">
        <v>5</v>
      </c>
      <c r="D102">
        <v>252.92</v>
      </c>
      <c r="E102">
        <v>25.29</v>
      </c>
      <c r="F102">
        <v>0</v>
      </c>
      <c r="G102">
        <v>0.1</v>
      </c>
      <c r="H102" t="s">
        <v>622</v>
      </c>
      <c r="J102" t="s">
        <v>623</v>
      </c>
      <c r="K102" s="1"/>
      <c r="L102" s="1">
        <v>45978.568854166668</v>
      </c>
      <c r="M102" s="2">
        <v>45978</v>
      </c>
      <c r="N102" t="s">
        <v>630</v>
      </c>
      <c r="O102" t="s">
        <v>625</v>
      </c>
      <c r="P102">
        <v>1</v>
      </c>
      <c r="Q102">
        <v>0</v>
      </c>
      <c r="R102">
        <v>252.92</v>
      </c>
      <c r="S102" t="s">
        <v>74</v>
      </c>
      <c r="T102" t="s">
        <v>779</v>
      </c>
    </row>
    <row r="103" spans="1:20" x14ac:dyDescent="0.3">
      <c r="A103">
        <v>267</v>
      </c>
      <c r="B103">
        <v>39</v>
      </c>
      <c r="C103">
        <v>5</v>
      </c>
      <c r="D103">
        <v>106.93</v>
      </c>
      <c r="E103">
        <v>10.69</v>
      </c>
      <c r="F103">
        <v>0</v>
      </c>
      <c r="G103">
        <v>0.1</v>
      </c>
      <c r="H103" t="s">
        <v>622</v>
      </c>
      <c r="J103" t="s">
        <v>623</v>
      </c>
      <c r="K103" s="1"/>
      <c r="L103" s="1">
        <v>45980.449942129628</v>
      </c>
      <c r="M103" s="2">
        <v>45980</v>
      </c>
      <c r="N103" t="s">
        <v>630</v>
      </c>
      <c r="O103" t="s">
        <v>625</v>
      </c>
      <c r="P103">
        <v>1</v>
      </c>
      <c r="Q103">
        <v>0</v>
      </c>
      <c r="R103">
        <v>106.93</v>
      </c>
      <c r="S103" t="s">
        <v>74</v>
      </c>
      <c r="T103" t="s">
        <v>779</v>
      </c>
    </row>
    <row r="104" spans="1:20" x14ac:dyDescent="0.3">
      <c r="A104">
        <v>274</v>
      </c>
      <c r="B104">
        <v>39</v>
      </c>
      <c r="C104">
        <v>3</v>
      </c>
      <c r="D104">
        <v>207.99</v>
      </c>
      <c r="E104">
        <v>20.8</v>
      </c>
      <c r="F104">
        <v>0</v>
      </c>
      <c r="G104">
        <v>0.1</v>
      </c>
      <c r="H104" t="s">
        <v>622</v>
      </c>
      <c r="J104" t="s">
        <v>623</v>
      </c>
      <c r="K104" s="1"/>
      <c r="L104" s="1">
        <v>45981.310104166667</v>
      </c>
      <c r="M104" s="2">
        <v>45981</v>
      </c>
      <c r="N104" t="s">
        <v>630</v>
      </c>
      <c r="O104" t="s">
        <v>625</v>
      </c>
      <c r="P104">
        <v>1</v>
      </c>
      <c r="Q104">
        <v>0</v>
      </c>
      <c r="R104">
        <v>207.99</v>
      </c>
      <c r="S104" t="s">
        <v>74</v>
      </c>
      <c r="T104" t="s">
        <v>777</v>
      </c>
    </row>
    <row r="105" spans="1:20" x14ac:dyDescent="0.3">
      <c r="A105">
        <v>282</v>
      </c>
      <c r="B105">
        <v>39</v>
      </c>
      <c r="C105">
        <v>5</v>
      </c>
      <c r="D105">
        <v>227.5</v>
      </c>
      <c r="E105">
        <v>22.75</v>
      </c>
      <c r="F105">
        <v>0</v>
      </c>
      <c r="G105">
        <v>0.1</v>
      </c>
      <c r="H105" t="s">
        <v>622</v>
      </c>
      <c r="J105" t="s">
        <v>623</v>
      </c>
      <c r="K105" s="1"/>
      <c r="L105" s="1">
        <v>45981.58734953704</v>
      </c>
      <c r="M105" s="2">
        <v>45981</v>
      </c>
      <c r="N105" t="s">
        <v>630</v>
      </c>
      <c r="O105" t="s">
        <v>625</v>
      </c>
      <c r="P105">
        <v>1</v>
      </c>
      <c r="Q105">
        <v>0</v>
      </c>
      <c r="R105">
        <v>227.5</v>
      </c>
      <c r="S105" t="s">
        <v>74</v>
      </c>
      <c r="T105" t="s">
        <v>779</v>
      </c>
    </row>
    <row r="106" spans="1:20" x14ac:dyDescent="0.3">
      <c r="A106">
        <v>292</v>
      </c>
      <c r="B106">
        <v>39</v>
      </c>
      <c r="C106">
        <v>4</v>
      </c>
      <c r="D106">
        <v>234.11</v>
      </c>
      <c r="E106">
        <v>23.41</v>
      </c>
      <c r="F106">
        <v>0</v>
      </c>
      <c r="G106">
        <v>0.1</v>
      </c>
      <c r="H106" t="s">
        <v>622</v>
      </c>
      <c r="J106" t="s">
        <v>623</v>
      </c>
      <c r="K106" s="1"/>
      <c r="L106" s="1">
        <v>45982.508981481478</v>
      </c>
      <c r="M106" s="2">
        <v>45982</v>
      </c>
      <c r="N106" t="s">
        <v>630</v>
      </c>
      <c r="O106" t="s">
        <v>625</v>
      </c>
      <c r="P106">
        <v>1</v>
      </c>
      <c r="Q106">
        <v>0</v>
      </c>
      <c r="R106">
        <v>234.11</v>
      </c>
      <c r="S106" t="s">
        <v>74</v>
      </c>
      <c r="T106" t="s">
        <v>778</v>
      </c>
    </row>
    <row r="107" spans="1:20" x14ac:dyDescent="0.3">
      <c r="A107">
        <v>301</v>
      </c>
      <c r="B107">
        <v>39</v>
      </c>
      <c r="C107">
        <v>3</v>
      </c>
      <c r="D107">
        <v>137.38</v>
      </c>
      <c r="E107">
        <v>13.74</v>
      </c>
      <c r="F107">
        <v>0</v>
      </c>
      <c r="G107">
        <v>0.1</v>
      </c>
      <c r="H107" t="s">
        <v>622</v>
      </c>
      <c r="J107" t="s">
        <v>623</v>
      </c>
      <c r="K107" s="1"/>
      <c r="L107" s="1">
        <v>45983.377013888887</v>
      </c>
      <c r="M107" s="2">
        <v>45983</v>
      </c>
      <c r="N107" t="s">
        <v>630</v>
      </c>
      <c r="O107" t="s">
        <v>625</v>
      </c>
      <c r="P107">
        <v>1</v>
      </c>
      <c r="Q107">
        <v>0</v>
      </c>
      <c r="R107">
        <v>137.38</v>
      </c>
      <c r="S107" t="s">
        <v>74</v>
      </c>
      <c r="T107" t="s">
        <v>777</v>
      </c>
    </row>
    <row r="108" spans="1:20" x14ac:dyDescent="0.3">
      <c r="A108">
        <v>114</v>
      </c>
      <c r="B108">
        <v>17</v>
      </c>
      <c r="C108">
        <v>3</v>
      </c>
      <c r="D108">
        <v>120.39</v>
      </c>
      <c r="E108">
        <v>12.04</v>
      </c>
      <c r="F108">
        <v>0</v>
      </c>
      <c r="G108">
        <v>0.1</v>
      </c>
      <c r="H108" t="s">
        <v>622</v>
      </c>
      <c r="J108" t="s">
        <v>623</v>
      </c>
      <c r="K108" s="1"/>
      <c r="L108" s="1">
        <v>45964.689444444448</v>
      </c>
      <c r="M108" s="2">
        <v>45964</v>
      </c>
      <c r="N108" t="s">
        <v>630</v>
      </c>
      <c r="O108" t="s">
        <v>625</v>
      </c>
      <c r="P108">
        <v>1</v>
      </c>
      <c r="Q108">
        <v>0</v>
      </c>
      <c r="R108">
        <v>120.39</v>
      </c>
      <c r="S108" t="s">
        <v>30</v>
      </c>
      <c r="T108" t="s">
        <v>777</v>
      </c>
    </row>
    <row r="109" spans="1:20" x14ac:dyDescent="0.3">
      <c r="A109">
        <v>13</v>
      </c>
      <c r="B109">
        <v>52</v>
      </c>
      <c r="C109">
        <v>2</v>
      </c>
      <c r="D109">
        <v>37.03</v>
      </c>
      <c r="E109">
        <v>3.7</v>
      </c>
      <c r="F109">
        <v>0</v>
      </c>
      <c r="G109">
        <v>0.1</v>
      </c>
      <c r="H109" t="s">
        <v>622</v>
      </c>
      <c r="J109" t="s">
        <v>623</v>
      </c>
      <c r="K109" s="1"/>
      <c r="L109" s="1">
        <v>45952.387361111112</v>
      </c>
      <c r="M109" s="2">
        <v>45952</v>
      </c>
      <c r="N109" t="s">
        <v>624</v>
      </c>
      <c r="O109" t="s">
        <v>625</v>
      </c>
      <c r="P109">
        <v>1</v>
      </c>
      <c r="Q109">
        <v>0</v>
      </c>
      <c r="R109">
        <v>37.03</v>
      </c>
      <c r="S109" t="s">
        <v>100</v>
      </c>
      <c r="T109" t="s">
        <v>776</v>
      </c>
    </row>
    <row r="110" spans="1:20" x14ac:dyDescent="0.3">
      <c r="A110">
        <v>41</v>
      </c>
      <c r="B110">
        <v>52</v>
      </c>
      <c r="C110">
        <v>4</v>
      </c>
      <c r="D110">
        <v>14.26</v>
      </c>
      <c r="E110">
        <v>1.43</v>
      </c>
      <c r="F110">
        <v>0</v>
      </c>
      <c r="G110">
        <v>0.1</v>
      </c>
      <c r="H110" t="s">
        <v>622</v>
      </c>
      <c r="J110" t="s">
        <v>623</v>
      </c>
      <c r="K110" s="1"/>
      <c r="L110" s="1">
        <v>45955.689629629633</v>
      </c>
      <c r="M110" s="2">
        <v>45955</v>
      </c>
      <c r="N110" t="s">
        <v>624</v>
      </c>
      <c r="O110" t="s">
        <v>625</v>
      </c>
      <c r="P110">
        <v>1</v>
      </c>
      <c r="Q110">
        <v>0</v>
      </c>
      <c r="R110">
        <v>14.26</v>
      </c>
      <c r="S110" t="s">
        <v>100</v>
      </c>
      <c r="T110" t="s">
        <v>778</v>
      </c>
    </row>
    <row r="111" spans="1:20" x14ac:dyDescent="0.3">
      <c r="A111">
        <v>109</v>
      </c>
      <c r="B111">
        <v>52</v>
      </c>
      <c r="C111">
        <v>3</v>
      </c>
      <c r="D111">
        <v>32.049999999999997</v>
      </c>
      <c r="E111">
        <v>3.21</v>
      </c>
      <c r="F111">
        <v>0</v>
      </c>
      <c r="G111">
        <v>0.1</v>
      </c>
      <c r="H111" t="s">
        <v>622</v>
      </c>
      <c r="J111" t="s">
        <v>623</v>
      </c>
      <c r="K111" s="1"/>
      <c r="L111" s="1">
        <v>45964.378796296296</v>
      </c>
      <c r="M111" s="2">
        <v>45964</v>
      </c>
      <c r="N111" t="s">
        <v>630</v>
      </c>
      <c r="O111" t="s">
        <v>625</v>
      </c>
      <c r="P111">
        <v>1</v>
      </c>
      <c r="Q111">
        <v>0</v>
      </c>
      <c r="R111">
        <v>32.049999999999997</v>
      </c>
      <c r="S111" t="s">
        <v>100</v>
      </c>
      <c r="T111" t="s">
        <v>777</v>
      </c>
    </row>
    <row r="112" spans="1:20" x14ac:dyDescent="0.3">
      <c r="A112">
        <v>117</v>
      </c>
      <c r="B112">
        <v>52</v>
      </c>
      <c r="C112">
        <v>5</v>
      </c>
      <c r="D112">
        <v>35.06</v>
      </c>
      <c r="E112">
        <v>3.51</v>
      </c>
      <c r="F112">
        <v>0</v>
      </c>
      <c r="G112">
        <v>0.1</v>
      </c>
      <c r="H112" t="s">
        <v>622</v>
      </c>
      <c r="J112" t="s">
        <v>623</v>
      </c>
      <c r="K112" s="1"/>
      <c r="L112" s="1">
        <v>45965.368344907409</v>
      </c>
      <c r="M112" s="2">
        <v>45965</v>
      </c>
      <c r="N112" t="s">
        <v>630</v>
      </c>
      <c r="O112" t="s">
        <v>625</v>
      </c>
      <c r="P112">
        <v>1</v>
      </c>
      <c r="Q112">
        <v>0</v>
      </c>
      <c r="R112">
        <v>35.06</v>
      </c>
      <c r="S112" t="s">
        <v>100</v>
      </c>
      <c r="T112" t="s">
        <v>779</v>
      </c>
    </row>
    <row r="113" spans="1:20" x14ac:dyDescent="0.3">
      <c r="A113">
        <v>135</v>
      </c>
      <c r="B113">
        <v>52</v>
      </c>
      <c r="C113">
        <v>5</v>
      </c>
      <c r="D113">
        <v>32.17</v>
      </c>
      <c r="E113">
        <v>3.22</v>
      </c>
      <c r="F113">
        <v>0</v>
      </c>
      <c r="G113">
        <v>0.1</v>
      </c>
      <c r="H113" t="s">
        <v>622</v>
      </c>
      <c r="J113" t="s">
        <v>623</v>
      </c>
      <c r="K113" s="1"/>
      <c r="L113" s="1">
        <v>45967.422164351854</v>
      </c>
      <c r="M113" s="2">
        <v>45967</v>
      </c>
      <c r="N113" t="s">
        <v>630</v>
      </c>
      <c r="O113" t="s">
        <v>625</v>
      </c>
      <c r="P113">
        <v>1</v>
      </c>
      <c r="Q113">
        <v>0</v>
      </c>
      <c r="R113">
        <v>32.17</v>
      </c>
      <c r="S113" t="s">
        <v>100</v>
      </c>
      <c r="T113" t="s">
        <v>779</v>
      </c>
    </row>
    <row r="114" spans="1:20" x14ac:dyDescent="0.3">
      <c r="A114">
        <v>234</v>
      </c>
      <c r="B114">
        <v>52</v>
      </c>
      <c r="C114">
        <v>5</v>
      </c>
      <c r="D114">
        <v>32.44</v>
      </c>
      <c r="E114">
        <v>3.24</v>
      </c>
      <c r="F114">
        <v>0</v>
      </c>
      <c r="G114">
        <v>0.1</v>
      </c>
      <c r="H114" t="s">
        <v>622</v>
      </c>
      <c r="J114" t="s">
        <v>623</v>
      </c>
      <c r="K114" s="1"/>
      <c r="L114" s="1">
        <v>45976.782858796294</v>
      </c>
      <c r="M114" s="2">
        <v>45976</v>
      </c>
      <c r="N114" t="s">
        <v>630</v>
      </c>
      <c r="O114" t="s">
        <v>625</v>
      </c>
      <c r="P114">
        <v>1</v>
      </c>
      <c r="Q114">
        <v>0</v>
      </c>
      <c r="R114">
        <v>32.44</v>
      </c>
      <c r="S114" t="s">
        <v>100</v>
      </c>
      <c r="T114" t="s">
        <v>779</v>
      </c>
    </row>
    <row r="115" spans="1:20" x14ac:dyDescent="0.3">
      <c r="A115">
        <v>295</v>
      </c>
      <c r="B115">
        <v>52</v>
      </c>
      <c r="C115">
        <v>3</v>
      </c>
      <c r="D115">
        <v>24.63</v>
      </c>
      <c r="E115">
        <v>2.46</v>
      </c>
      <c r="F115">
        <v>0</v>
      </c>
      <c r="G115">
        <v>0.1</v>
      </c>
      <c r="H115" t="s">
        <v>622</v>
      </c>
      <c r="J115" t="s">
        <v>623</v>
      </c>
      <c r="K115" s="1"/>
      <c r="L115" s="1">
        <v>45982.660810185182</v>
      </c>
      <c r="M115" s="2">
        <v>45982</v>
      </c>
      <c r="N115" t="s">
        <v>630</v>
      </c>
      <c r="O115" t="s">
        <v>625</v>
      </c>
      <c r="P115">
        <v>1</v>
      </c>
      <c r="Q115">
        <v>0</v>
      </c>
      <c r="R115">
        <v>24.63</v>
      </c>
      <c r="S115" t="s">
        <v>100</v>
      </c>
      <c r="T115" t="s">
        <v>777</v>
      </c>
    </row>
    <row r="116" spans="1:20" x14ac:dyDescent="0.3">
      <c r="A116">
        <v>50</v>
      </c>
      <c r="B116">
        <v>18</v>
      </c>
      <c r="C116">
        <v>5</v>
      </c>
      <c r="D116">
        <v>108.49</v>
      </c>
      <c r="E116">
        <v>10.85</v>
      </c>
      <c r="F116">
        <v>0</v>
      </c>
      <c r="G116">
        <v>0.1</v>
      </c>
      <c r="H116" t="s">
        <v>622</v>
      </c>
      <c r="J116" t="s">
        <v>623</v>
      </c>
      <c r="K116" s="1"/>
      <c r="L116" s="1">
        <v>45957.400729166664</v>
      </c>
      <c r="M116" s="2">
        <v>45957</v>
      </c>
      <c r="N116" t="s">
        <v>624</v>
      </c>
      <c r="O116" t="s">
        <v>625</v>
      </c>
      <c r="P116">
        <v>1</v>
      </c>
      <c r="Q116">
        <v>0</v>
      </c>
      <c r="R116">
        <v>108.49</v>
      </c>
      <c r="S116" t="s">
        <v>32</v>
      </c>
      <c r="T116" t="s">
        <v>779</v>
      </c>
    </row>
    <row r="117" spans="1:20" x14ac:dyDescent="0.3">
      <c r="A117">
        <v>157</v>
      </c>
      <c r="B117">
        <v>18</v>
      </c>
      <c r="C117">
        <v>2</v>
      </c>
      <c r="D117">
        <v>83.59</v>
      </c>
      <c r="E117">
        <v>8.36</v>
      </c>
      <c r="F117">
        <v>0</v>
      </c>
      <c r="G117">
        <v>0.1</v>
      </c>
      <c r="H117" t="s">
        <v>622</v>
      </c>
      <c r="J117" t="s">
        <v>623</v>
      </c>
      <c r="K117" s="1"/>
      <c r="L117" s="1">
        <v>45969.491435185184</v>
      </c>
      <c r="M117" s="2">
        <v>45969</v>
      </c>
      <c r="N117" t="s">
        <v>630</v>
      </c>
      <c r="O117" t="s">
        <v>625</v>
      </c>
      <c r="P117">
        <v>1</v>
      </c>
      <c r="Q117">
        <v>0</v>
      </c>
      <c r="R117">
        <v>83.59</v>
      </c>
      <c r="S117" t="s">
        <v>32</v>
      </c>
      <c r="T117" t="s">
        <v>776</v>
      </c>
    </row>
    <row r="118" spans="1:20" x14ac:dyDescent="0.3">
      <c r="A118">
        <v>241</v>
      </c>
      <c r="B118">
        <v>18</v>
      </c>
      <c r="C118">
        <v>3</v>
      </c>
      <c r="D118">
        <v>102.16</v>
      </c>
      <c r="E118">
        <v>10.220000000000001</v>
      </c>
      <c r="F118">
        <v>0</v>
      </c>
      <c r="G118">
        <v>0.1</v>
      </c>
      <c r="H118" t="s">
        <v>622</v>
      </c>
      <c r="J118" t="s">
        <v>623</v>
      </c>
      <c r="K118" s="1"/>
      <c r="L118" s="1">
        <v>45977.720879629633</v>
      </c>
      <c r="M118" s="2">
        <v>45977</v>
      </c>
      <c r="N118" t="s">
        <v>630</v>
      </c>
      <c r="O118" t="s">
        <v>625</v>
      </c>
      <c r="P118">
        <v>1</v>
      </c>
      <c r="Q118">
        <v>0</v>
      </c>
      <c r="R118">
        <v>102.16</v>
      </c>
      <c r="S118" t="s">
        <v>32</v>
      </c>
      <c r="T118" t="s">
        <v>777</v>
      </c>
    </row>
    <row r="119" spans="1:20" x14ac:dyDescent="0.3">
      <c r="A119">
        <v>14</v>
      </c>
      <c r="B119">
        <v>45</v>
      </c>
      <c r="C119">
        <v>4</v>
      </c>
      <c r="D119">
        <v>211.68</v>
      </c>
      <c r="E119">
        <v>21.17</v>
      </c>
      <c r="F119">
        <v>0</v>
      </c>
      <c r="G119">
        <v>0.1</v>
      </c>
      <c r="H119" t="s">
        <v>622</v>
      </c>
      <c r="J119" t="s">
        <v>623</v>
      </c>
      <c r="K119" s="1"/>
      <c r="L119" s="1">
        <v>45952.41578703704</v>
      </c>
      <c r="M119" s="2">
        <v>45952</v>
      </c>
      <c r="N119" t="s">
        <v>624</v>
      </c>
      <c r="O119" t="s">
        <v>625</v>
      </c>
      <c r="P119">
        <v>1</v>
      </c>
      <c r="Q119">
        <v>0</v>
      </c>
      <c r="R119">
        <v>211.68</v>
      </c>
      <c r="S119" t="s">
        <v>86</v>
      </c>
      <c r="T119" t="s">
        <v>778</v>
      </c>
    </row>
    <row r="120" spans="1:20" x14ac:dyDescent="0.3">
      <c r="A120">
        <v>130</v>
      </c>
      <c r="B120">
        <v>45</v>
      </c>
      <c r="C120">
        <v>4</v>
      </c>
      <c r="D120">
        <v>122.72</v>
      </c>
      <c r="E120">
        <v>12.27</v>
      </c>
      <c r="F120">
        <v>0</v>
      </c>
      <c r="G120">
        <v>0.1</v>
      </c>
      <c r="H120" t="s">
        <v>622</v>
      </c>
      <c r="J120" t="s">
        <v>623</v>
      </c>
      <c r="K120" s="1"/>
      <c r="L120" s="1">
        <v>45966.383125</v>
      </c>
      <c r="M120" s="2">
        <v>45966</v>
      </c>
      <c r="N120" t="s">
        <v>630</v>
      </c>
      <c r="O120" t="s">
        <v>625</v>
      </c>
      <c r="P120">
        <v>1</v>
      </c>
      <c r="Q120">
        <v>0</v>
      </c>
      <c r="R120">
        <v>122.72</v>
      </c>
      <c r="S120" t="s">
        <v>86</v>
      </c>
      <c r="T120" t="s">
        <v>778</v>
      </c>
    </row>
    <row r="121" spans="1:20" x14ac:dyDescent="0.3">
      <c r="A121">
        <v>87</v>
      </c>
      <c r="B121">
        <v>19</v>
      </c>
      <c r="C121">
        <v>3</v>
      </c>
      <c r="D121">
        <v>37.83</v>
      </c>
      <c r="E121">
        <v>3.78</v>
      </c>
      <c r="F121">
        <v>0</v>
      </c>
      <c r="G121">
        <v>0.1</v>
      </c>
      <c r="H121" t="s">
        <v>622</v>
      </c>
      <c r="J121" t="s">
        <v>623</v>
      </c>
      <c r="K121" s="1"/>
      <c r="L121" s="1">
        <v>45961.650416666664</v>
      </c>
      <c r="M121" s="2">
        <v>45961</v>
      </c>
      <c r="N121" t="s">
        <v>624</v>
      </c>
      <c r="O121" t="s">
        <v>625</v>
      </c>
      <c r="P121">
        <v>1</v>
      </c>
      <c r="Q121">
        <v>0</v>
      </c>
      <c r="R121">
        <v>37.83</v>
      </c>
      <c r="S121" t="s">
        <v>34</v>
      </c>
      <c r="T121" t="s">
        <v>777</v>
      </c>
    </row>
    <row r="122" spans="1:20" x14ac:dyDescent="0.3">
      <c r="A122">
        <v>15</v>
      </c>
      <c r="B122">
        <v>65</v>
      </c>
      <c r="C122">
        <v>2</v>
      </c>
      <c r="D122">
        <v>44.78</v>
      </c>
      <c r="E122">
        <v>4.4800000000000004</v>
      </c>
      <c r="F122">
        <v>0</v>
      </c>
      <c r="G122">
        <v>0.1</v>
      </c>
      <c r="H122" t="s">
        <v>622</v>
      </c>
      <c r="J122" t="s">
        <v>623</v>
      </c>
      <c r="K122" s="1"/>
      <c r="L122" s="1">
        <v>45952.502662037034</v>
      </c>
      <c r="M122" s="2">
        <v>45952</v>
      </c>
      <c r="N122" t="s">
        <v>624</v>
      </c>
      <c r="O122" t="s">
        <v>625</v>
      </c>
      <c r="P122">
        <v>1</v>
      </c>
      <c r="Q122">
        <v>0</v>
      </c>
      <c r="R122">
        <v>44.78</v>
      </c>
      <c r="S122" t="s">
        <v>126</v>
      </c>
      <c r="T122" t="s">
        <v>776</v>
      </c>
    </row>
    <row r="123" spans="1:20" x14ac:dyDescent="0.3">
      <c r="A123">
        <v>37</v>
      </c>
      <c r="B123">
        <v>65</v>
      </c>
      <c r="C123">
        <v>3</v>
      </c>
      <c r="D123">
        <v>26.47</v>
      </c>
      <c r="E123">
        <v>2.65</v>
      </c>
      <c r="F123">
        <v>0</v>
      </c>
      <c r="G123">
        <v>0.1</v>
      </c>
      <c r="H123" t="s">
        <v>622</v>
      </c>
      <c r="J123" t="s">
        <v>623</v>
      </c>
      <c r="K123" s="1"/>
      <c r="L123" s="1">
        <v>45955.492418981485</v>
      </c>
      <c r="M123" s="2">
        <v>45955</v>
      </c>
      <c r="N123" t="s">
        <v>624</v>
      </c>
      <c r="O123" t="s">
        <v>625</v>
      </c>
      <c r="P123">
        <v>1</v>
      </c>
      <c r="Q123">
        <v>0</v>
      </c>
      <c r="R123">
        <v>26.47</v>
      </c>
      <c r="S123" t="s">
        <v>126</v>
      </c>
      <c r="T123" t="s">
        <v>777</v>
      </c>
    </row>
    <row r="124" spans="1:20" x14ac:dyDescent="0.3">
      <c r="A124">
        <v>51</v>
      </c>
      <c r="B124">
        <v>65</v>
      </c>
      <c r="C124">
        <v>2</v>
      </c>
      <c r="D124">
        <v>35.840000000000003</v>
      </c>
      <c r="E124">
        <v>3.58</v>
      </c>
      <c r="F124">
        <v>0</v>
      </c>
      <c r="G124">
        <v>0.1</v>
      </c>
      <c r="H124" t="s">
        <v>622</v>
      </c>
      <c r="J124" t="s">
        <v>623</v>
      </c>
      <c r="K124" s="1"/>
      <c r="L124" s="1">
        <v>45957.431828703702</v>
      </c>
      <c r="M124" s="2">
        <v>45957</v>
      </c>
      <c r="N124" t="s">
        <v>624</v>
      </c>
      <c r="O124" t="s">
        <v>625</v>
      </c>
      <c r="P124">
        <v>1</v>
      </c>
      <c r="Q124">
        <v>0</v>
      </c>
      <c r="R124">
        <v>35.840000000000003</v>
      </c>
      <c r="S124" t="s">
        <v>126</v>
      </c>
      <c r="T124" t="s">
        <v>776</v>
      </c>
    </row>
    <row r="125" spans="1:20" x14ac:dyDescent="0.3">
      <c r="A125">
        <v>61</v>
      </c>
      <c r="B125">
        <v>65</v>
      </c>
      <c r="C125">
        <v>2</v>
      </c>
      <c r="D125">
        <v>24.16</v>
      </c>
      <c r="E125">
        <v>2.42</v>
      </c>
      <c r="F125">
        <v>0</v>
      </c>
      <c r="G125">
        <v>0.1</v>
      </c>
      <c r="H125" t="s">
        <v>622</v>
      </c>
      <c r="J125" t="s">
        <v>623</v>
      </c>
      <c r="K125" s="1"/>
      <c r="L125" s="1">
        <v>45958.67769675926</v>
      </c>
      <c r="M125" s="2">
        <v>45958</v>
      </c>
      <c r="N125" t="s">
        <v>624</v>
      </c>
      <c r="O125" t="s">
        <v>625</v>
      </c>
      <c r="P125">
        <v>1</v>
      </c>
      <c r="Q125">
        <v>0</v>
      </c>
      <c r="R125">
        <v>24.16</v>
      </c>
      <c r="S125" t="s">
        <v>126</v>
      </c>
      <c r="T125" t="s">
        <v>776</v>
      </c>
    </row>
    <row r="126" spans="1:20" x14ac:dyDescent="0.3">
      <c r="A126">
        <v>67</v>
      </c>
      <c r="B126">
        <v>65</v>
      </c>
      <c r="C126">
        <v>2</v>
      </c>
      <c r="D126">
        <v>27.28</v>
      </c>
      <c r="E126">
        <v>2.73</v>
      </c>
      <c r="F126">
        <v>0</v>
      </c>
      <c r="G126">
        <v>0.1</v>
      </c>
      <c r="H126" t="s">
        <v>622</v>
      </c>
      <c r="J126" t="s">
        <v>623</v>
      </c>
      <c r="K126" s="1"/>
      <c r="L126" s="1">
        <v>45959.546793981484</v>
      </c>
      <c r="M126" s="2">
        <v>45959</v>
      </c>
      <c r="N126" t="s">
        <v>624</v>
      </c>
      <c r="O126" t="s">
        <v>625</v>
      </c>
      <c r="P126">
        <v>1</v>
      </c>
      <c r="Q126">
        <v>0</v>
      </c>
      <c r="R126">
        <v>27.28</v>
      </c>
      <c r="S126" t="s">
        <v>126</v>
      </c>
      <c r="T126" t="s">
        <v>776</v>
      </c>
    </row>
    <row r="127" spans="1:20" x14ac:dyDescent="0.3">
      <c r="A127">
        <v>74</v>
      </c>
      <c r="B127">
        <v>65</v>
      </c>
      <c r="C127">
        <v>4</v>
      </c>
      <c r="D127">
        <v>16.87</v>
      </c>
      <c r="E127">
        <v>1.69</v>
      </c>
      <c r="F127">
        <v>0</v>
      </c>
      <c r="G127">
        <v>0.1</v>
      </c>
      <c r="H127" t="s">
        <v>622</v>
      </c>
      <c r="J127" t="s">
        <v>623</v>
      </c>
      <c r="K127" s="1"/>
      <c r="L127" s="1">
        <v>45960.479039351849</v>
      </c>
      <c r="M127" s="2">
        <v>45960</v>
      </c>
      <c r="N127" t="s">
        <v>624</v>
      </c>
      <c r="O127" t="s">
        <v>625</v>
      </c>
      <c r="P127">
        <v>1</v>
      </c>
      <c r="Q127">
        <v>0</v>
      </c>
      <c r="R127">
        <v>16.87</v>
      </c>
      <c r="S127" t="s">
        <v>126</v>
      </c>
      <c r="T127" t="s">
        <v>778</v>
      </c>
    </row>
    <row r="128" spans="1:20" x14ac:dyDescent="0.3">
      <c r="A128">
        <v>93</v>
      </c>
      <c r="B128">
        <v>65</v>
      </c>
      <c r="C128">
        <v>3</v>
      </c>
      <c r="D128">
        <v>37.71</v>
      </c>
      <c r="E128">
        <v>3.77</v>
      </c>
      <c r="F128">
        <v>0</v>
      </c>
      <c r="G128">
        <v>0.1</v>
      </c>
      <c r="H128" t="s">
        <v>622</v>
      </c>
      <c r="J128" t="s">
        <v>623</v>
      </c>
      <c r="K128" s="1"/>
      <c r="L128" s="1">
        <v>45962.453738425924</v>
      </c>
      <c r="M128" s="2">
        <v>45962</v>
      </c>
      <c r="N128" t="s">
        <v>630</v>
      </c>
      <c r="O128" t="s">
        <v>625</v>
      </c>
      <c r="P128">
        <v>1</v>
      </c>
      <c r="Q128">
        <v>0</v>
      </c>
      <c r="R128">
        <v>37.71</v>
      </c>
      <c r="S128" t="s">
        <v>126</v>
      </c>
      <c r="T128" t="s">
        <v>777</v>
      </c>
    </row>
    <row r="129" spans="1:20" x14ac:dyDescent="0.3">
      <c r="A129">
        <v>118</v>
      </c>
      <c r="B129">
        <v>65</v>
      </c>
      <c r="C129">
        <v>3</v>
      </c>
      <c r="D129">
        <v>16.510000000000002</v>
      </c>
      <c r="E129">
        <v>1.65</v>
      </c>
      <c r="F129">
        <v>0</v>
      </c>
      <c r="G129">
        <v>0.1</v>
      </c>
      <c r="H129" t="s">
        <v>622</v>
      </c>
      <c r="J129" t="s">
        <v>623</v>
      </c>
      <c r="K129" s="1"/>
      <c r="L129" s="1">
        <v>45965.370717592596</v>
      </c>
      <c r="M129" s="2">
        <v>45965</v>
      </c>
      <c r="N129" t="s">
        <v>630</v>
      </c>
      <c r="O129" t="s">
        <v>625</v>
      </c>
      <c r="P129">
        <v>1</v>
      </c>
      <c r="Q129">
        <v>0</v>
      </c>
      <c r="R129">
        <v>16.510000000000002</v>
      </c>
      <c r="S129" t="s">
        <v>126</v>
      </c>
      <c r="T129" t="s">
        <v>777</v>
      </c>
    </row>
    <row r="130" spans="1:20" x14ac:dyDescent="0.3">
      <c r="A130">
        <v>169</v>
      </c>
      <c r="B130">
        <v>65</v>
      </c>
      <c r="C130">
        <v>2</v>
      </c>
      <c r="D130">
        <v>33.840000000000003</v>
      </c>
      <c r="E130">
        <v>3.38</v>
      </c>
      <c r="F130">
        <v>0</v>
      </c>
      <c r="G130">
        <v>0.1</v>
      </c>
      <c r="H130" t="s">
        <v>622</v>
      </c>
      <c r="J130" t="s">
        <v>623</v>
      </c>
      <c r="K130" s="1"/>
      <c r="L130" s="1">
        <v>45970.697824074072</v>
      </c>
      <c r="M130" s="2">
        <v>45970</v>
      </c>
      <c r="N130" t="s">
        <v>630</v>
      </c>
      <c r="O130" t="s">
        <v>625</v>
      </c>
      <c r="P130">
        <v>1</v>
      </c>
      <c r="Q130">
        <v>0</v>
      </c>
      <c r="R130">
        <v>33.840000000000003</v>
      </c>
      <c r="S130" t="s">
        <v>126</v>
      </c>
      <c r="T130" t="s">
        <v>776</v>
      </c>
    </row>
    <row r="131" spans="1:20" x14ac:dyDescent="0.3">
      <c r="A131">
        <v>188</v>
      </c>
      <c r="B131">
        <v>65</v>
      </c>
      <c r="C131">
        <v>5</v>
      </c>
      <c r="D131">
        <v>30.69</v>
      </c>
      <c r="E131">
        <v>3.07</v>
      </c>
      <c r="F131">
        <v>0</v>
      </c>
      <c r="G131">
        <v>0.1</v>
      </c>
      <c r="H131" t="s">
        <v>622</v>
      </c>
      <c r="J131" t="s">
        <v>623</v>
      </c>
      <c r="K131" s="1"/>
      <c r="L131" s="1">
        <v>45972.676249999997</v>
      </c>
      <c r="M131" s="2">
        <v>45972</v>
      </c>
      <c r="N131" t="s">
        <v>630</v>
      </c>
      <c r="O131" t="s">
        <v>625</v>
      </c>
      <c r="P131">
        <v>1</v>
      </c>
      <c r="Q131">
        <v>0</v>
      </c>
      <c r="R131">
        <v>30.69</v>
      </c>
      <c r="S131" t="s">
        <v>126</v>
      </c>
      <c r="T131" t="s">
        <v>779</v>
      </c>
    </row>
    <row r="132" spans="1:20" x14ac:dyDescent="0.3">
      <c r="A132">
        <v>281</v>
      </c>
      <c r="B132">
        <v>65</v>
      </c>
      <c r="C132">
        <v>2</v>
      </c>
      <c r="D132">
        <v>57.1</v>
      </c>
      <c r="E132">
        <v>5.71</v>
      </c>
      <c r="F132">
        <v>0</v>
      </c>
      <c r="G132">
        <v>0.1</v>
      </c>
      <c r="H132" t="s">
        <v>622</v>
      </c>
      <c r="J132" t="s">
        <v>623</v>
      </c>
      <c r="K132" s="1"/>
      <c r="L132" s="1">
        <v>45981.562685185185</v>
      </c>
      <c r="M132" s="2">
        <v>45981</v>
      </c>
      <c r="N132" t="s">
        <v>630</v>
      </c>
      <c r="O132" t="s">
        <v>625</v>
      </c>
      <c r="P132">
        <v>1</v>
      </c>
      <c r="Q132">
        <v>0</v>
      </c>
      <c r="R132">
        <v>57.1</v>
      </c>
      <c r="S132" t="s">
        <v>126</v>
      </c>
      <c r="T132" t="s">
        <v>776</v>
      </c>
    </row>
    <row r="133" spans="1:20" x14ac:dyDescent="0.3">
      <c r="A133">
        <v>284</v>
      </c>
      <c r="B133">
        <v>65</v>
      </c>
      <c r="C133">
        <v>5</v>
      </c>
      <c r="D133">
        <v>34.909999999999997</v>
      </c>
      <c r="E133">
        <v>3.49</v>
      </c>
      <c r="F133">
        <v>0</v>
      </c>
      <c r="G133">
        <v>0.1</v>
      </c>
      <c r="H133" t="s">
        <v>622</v>
      </c>
      <c r="J133" t="s">
        <v>623</v>
      </c>
      <c r="K133" s="1"/>
      <c r="L133" s="1">
        <v>45981.790208333332</v>
      </c>
      <c r="M133" s="2">
        <v>45981</v>
      </c>
      <c r="N133" t="s">
        <v>630</v>
      </c>
      <c r="O133" t="s">
        <v>625</v>
      </c>
      <c r="P133">
        <v>1</v>
      </c>
      <c r="Q133">
        <v>0</v>
      </c>
      <c r="R133">
        <v>34.909999999999997</v>
      </c>
      <c r="S133" t="s">
        <v>126</v>
      </c>
      <c r="T133" t="s">
        <v>779</v>
      </c>
    </row>
    <row r="134" spans="1:20" x14ac:dyDescent="0.3">
      <c r="A134">
        <v>72</v>
      </c>
      <c r="B134">
        <v>20</v>
      </c>
      <c r="C134">
        <v>5</v>
      </c>
      <c r="D134">
        <v>17.91</v>
      </c>
      <c r="E134">
        <v>1.79</v>
      </c>
      <c r="F134">
        <v>0</v>
      </c>
      <c r="G134">
        <v>0.1</v>
      </c>
      <c r="H134" t="s">
        <v>622</v>
      </c>
      <c r="J134" t="s">
        <v>623</v>
      </c>
      <c r="K134" s="1"/>
      <c r="L134" s="1">
        <v>45960.326122685183</v>
      </c>
      <c r="M134" s="2">
        <v>45960</v>
      </c>
      <c r="N134" t="s">
        <v>624</v>
      </c>
      <c r="O134" t="s">
        <v>625</v>
      </c>
      <c r="P134">
        <v>1</v>
      </c>
      <c r="Q134">
        <v>0</v>
      </c>
      <c r="R134">
        <v>17.91</v>
      </c>
      <c r="S134" t="s">
        <v>36</v>
      </c>
      <c r="T134" t="s">
        <v>779</v>
      </c>
    </row>
    <row r="135" spans="1:20" x14ac:dyDescent="0.3">
      <c r="A135">
        <v>22</v>
      </c>
      <c r="B135">
        <v>21</v>
      </c>
      <c r="C135">
        <v>4</v>
      </c>
      <c r="D135">
        <v>30.92</v>
      </c>
      <c r="E135">
        <v>3.09</v>
      </c>
      <c r="F135">
        <v>0</v>
      </c>
      <c r="G135">
        <v>0.1</v>
      </c>
      <c r="H135" t="s">
        <v>622</v>
      </c>
      <c r="J135" t="s">
        <v>623</v>
      </c>
      <c r="K135" s="1"/>
      <c r="L135" s="1">
        <v>45953.584791666668</v>
      </c>
      <c r="M135" s="2">
        <v>45953</v>
      </c>
      <c r="N135" t="s">
        <v>624</v>
      </c>
      <c r="O135" t="s">
        <v>625</v>
      </c>
      <c r="P135">
        <v>1</v>
      </c>
      <c r="Q135">
        <v>0</v>
      </c>
      <c r="R135">
        <v>30.92</v>
      </c>
      <c r="S135" t="s">
        <v>38</v>
      </c>
      <c r="T135" t="s">
        <v>778</v>
      </c>
    </row>
    <row r="136" spans="1:20" x14ac:dyDescent="0.3">
      <c r="A136">
        <v>65</v>
      </c>
      <c r="B136">
        <v>21</v>
      </c>
      <c r="C136">
        <v>4</v>
      </c>
      <c r="D136">
        <v>28.85</v>
      </c>
      <c r="E136">
        <v>2.89</v>
      </c>
      <c r="F136">
        <v>0</v>
      </c>
      <c r="G136">
        <v>0.1</v>
      </c>
      <c r="H136" t="s">
        <v>622</v>
      </c>
      <c r="J136" t="s">
        <v>623</v>
      </c>
      <c r="K136" s="1"/>
      <c r="L136" s="1">
        <v>45959.40048611111</v>
      </c>
      <c r="M136" s="2">
        <v>45959</v>
      </c>
      <c r="N136" t="s">
        <v>624</v>
      </c>
      <c r="O136" t="s">
        <v>625</v>
      </c>
      <c r="P136">
        <v>1</v>
      </c>
      <c r="Q136">
        <v>0</v>
      </c>
      <c r="R136">
        <v>28.85</v>
      </c>
      <c r="S136" t="s">
        <v>38</v>
      </c>
      <c r="T136" t="s">
        <v>778</v>
      </c>
    </row>
    <row r="137" spans="1:20" x14ac:dyDescent="0.3">
      <c r="A137">
        <v>106</v>
      </c>
      <c r="B137">
        <v>21</v>
      </c>
      <c r="C137">
        <v>5</v>
      </c>
      <c r="D137">
        <v>40.06</v>
      </c>
      <c r="E137">
        <v>4.01</v>
      </c>
      <c r="F137">
        <v>0</v>
      </c>
      <c r="G137">
        <v>0.1</v>
      </c>
      <c r="H137" t="s">
        <v>622</v>
      </c>
      <c r="J137" t="s">
        <v>623</v>
      </c>
      <c r="K137" s="1"/>
      <c r="L137" s="1">
        <v>45964.331770833334</v>
      </c>
      <c r="M137" s="2">
        <v>45964</v>
      </c>
      <c r="N137" t="s">
        <v>630</v>
      </c>
      <c r="O137" t="s">
        <v>625</v>
      </c>
      <c r="P137">
        <v>1</v>
      </c>
      <c r="Q137">
        <v>0</v>
      </c>
      <c r="R137">
        <v>40.06</v>
      </c>
      <c r="S137" t="s">
        <v>38</v>
      </c>
      <c r="T137" t="s">
        <v>779</v>
      </c>
    </row>
    <row r="138" spans="1:20" x14ac:dyDescent="0.3">
      <c r="A138">
        <v>129</v>
      </c>
      <c r="B138">
        <v>21</v>
      </c>
      <c r="C138">
        <v>4</v>
      </c>
      <c r="D138">
        <v>30.36</v>
      </c>
      <c r="E138">
        <v>3.04</v>
      </c>
      <c r="F138">
        <v>0</v>
      </c>
      <c r="G138">
        <v>0.1</v>
      </c>
      <c r="H138" t="s">
        <v>622</v>
      </c>
      <c r="J138" t="s">
        <v>623</v>
      </c>
      <c r="K138" s="1"/>
      <c r="L138" s="1">
        <v>45966.378668981481</v>
      </c>
      <c r="M138" s="2">
        <v>45966</v>
      </c>
      <c r="N138" t="s">
        <v>630</v>
      </c>
      <c r="O138" t="s">
        <v>625</v>
      </c>
      <c r="P138">
        <v>1</v>
      </c>
      <c r="Q138">
        <v>0</v>
      </c>
      <c r="R138">
        <v>30.36</v>
      </c>
      <c r="S138" t="s">
        <v>38</v>
      </c>
      <c r="T138" t="s">
        <v>778</v>
      </c>
    </row>
    <row r="139" spans="1:20" x14ac:dyDescent="0.3">
      <c r="A139">
        <v>154</v>
      </c>
      <c r="B139">
        <v>21</v>
      </c>
      <c r="C139">
        <v>3</v>
      </c>
      <c r="D139">
        <v>14.33</v>
      </c>
      <c r="E139">
        <v>1.43</v>
      </c>
      <c r="F139">
        <v>0</v>
      </c>
      <c r="G139">
        <v>0.1</v>
      </c>
      <c r="H139" t="s">
        <v>622</v>
      </c>
      <c r="J139" t="s">
        <v>623</v>
      </c>
      <c r="K139" s="1"/>
      <c r="L139" s="1">
        <v>45969.417025462964</v>
      </c>
      <c r="M139" s="2">
        <v>45969</v>
      </c>
      <c r="N139" t="s">
        <v>630</v>
      </c>
      <c r="O139" t="s">
        <v>625</v>
      </c>
      <c r="P139">
        <v>1</v>
      </c>
      <c r="Q139">
        <v>0</v>
      </c>
      <c r="R139">
        <v>14.33</v>
      </c>
      <c r="S139" t="s">
        <v>38</v>
      </c>
      <c r="T139" t="s">
        <v>777</v>
      </c>
    </row>
    <row r="140" spans="1:20" x14ac:dyDescent="0.3">
      <c r="A140">
        <v>156</v>
      </c>
      <c r="B140">
        <v>21</v>
      </c>
      <c r="C140">
        <v>4</v>
      </c>
      <c r="D140">
        <v>23.23</v>
      </c>
      <c r="E140">
        <v>2.3199999999999998</v>
      </c>
      <c r="F140">
        <v>0</v>
      </c>
      <c r="G140">
        <v>0.1</v>
      </c>
      <c r="H140" t="s">
        <v>622</v>
      </c>
      <c r="J140" t="s">
        <v>623</v>
      </c>
      <c r="K140" s="1"/>
      <c r="L140" s="1">
        <v>45969.487395833334</v>
      </c>
      <c r="M140" s="2">
        <v>45969</v>
      </c>
      <c r="N140" t="s">
        <v>630</v>
      </c>
      <c r="O140" t="s">
        <v>625</v>
      </c>
      <c r="P140">
        <v>1</v>
      </c>
      <c r="Q140">
        <v>0</v>
      </c>
      <c r="R140">
        <v>23.23</v>
      </c>
      <c r="S140" t="s">
        <v>38</v>
      </c>
      <c r="T140" t="s">
        <v>778</v>
      </c>
    </row>
    <row r="141" spans="1:20" x14ac:dyDescent="0.3">
      <c r="A141">
        <v>208</v>
      </c>
      <c r="B141">
        <v>21</v>
      </c>
      <c r="C141">
        <v>2</v>
      </c>
      <c r="D141">
        <v>60.78</v>
      </c>
      <c r="E141">
        <v>6.08</v>
      </c>
      <c r="F141">
        <v>0</v>
      </c>
      <c r="G141">
        <v>0.1</v>
      </c>
      <c r="H141" t="s">
        <v>622</v>
      </c>
      <c r="J141" t="s">
        <v>623</v>
      </c>
      <c r="K141" s="1"/>
      <c r="L141" s="1">
        <v>45974.788344907407</v>
      </c>
      <c r="M141" s="2">
        <v>45974</v>
      </c>
      <c r="N141" t="s">
        <v>630</v>
      </c>
      <c r="O141" t="s">
        <v>625</v>
      </c>
      <c r="P141">
        <v>1</v>
      </c>
      <c r="Q141">
        <v>0</v>
      </c>
      <c r="R141">
        <v>60.78</v>
      </c>
      <c r="S141" t="s">
        <v>38</v>
      </c>
      <c r="T141" t="s">
        <v>776</v>
      </c>
    </row>
    <row r="142" spans="1:20" x14ac:dyDescent="0.3">
      <c r="A142">
        <v>17</v>
      </c>
      <c r="B142">
        <v>37</v>
      </c>
      <c r="C142">
        <v>2</v>
      </c>
      <c r="D142">
        <v>60.83</v>
      </c>
      <c r="E142">
        <v>6.08</v>
      </c>
      <c r="F142">
        <v>0</v>
      </c>
      <c r="G142">
        <v>0.1</v>
      </c>
      <c r="H142" t="s">
        <v>622</v>
      </c>
      <c r="J142" t="s">
        <v>623</v>
      </c>
      <c r="K142" s="1"/>
      <c r="L142" s="1">
        <v>45952.740810185183</v>
      </c>
      <c r="M142" s="2">
        <v>45952</v>
      </c>
      <c r="N142" t="s">
        <v>624</v>
      </c>
      <c r="O142" t="s">
        <v>625</v>
      </c>
      <c r="P142">
        <v>1</v>
      </c>
      <c r="Q142">
        <v>0</v>
      </c>
      <c r="R142">
        <v>60.83</v>
      </c>
      <c r="S142" t="s">
        <v>70</v>
      </c>
      <c r="T142" t="s">
        <v>776</v>
      </c>
    </row>
    <row r="143" spans="1:20" x14ac:dyDescent="0.3">
      <c r="A143">
        <v>191</v>
      </c>
      <c r="B143">
        <v>22</v>
      </c>
      <c r="C143">
        <v>2</v>
      </c>
      <c r="D143">
        <v>67.8</v>
      </c>
      <c r="E143">
        <v>6.78</v>
      </c>
      <c r="F143">
        <v>0</v>
      </c>
      <c r="G143">
        <v>0.1</v>
      </c>
      <c r="H143" t="s">
        <v>622</v>
      </c>
      <c r="J143" t="s">
        <v>623</v>
      </c>
      <c r="K143" s="1"/>
      <c r="L143" s="1">
        <v>45973.373483796298</v>
      </c>
      <c r="M143" s="2">
        <v>45973</v>
      </c>
      <c r="N143" t="s">
        <v>630</v>
      </c>
      <c r="O143" t="s">
        <v>625</v>
      </c>
      <c r="P143">
        <v>1</v>
      </c>
      <c r="Q143">
        <v>0</v>
      </c>
      <c r="R143">
        <v>67.8</v>
      </c>
      <c r="S143" t="s">
        <v>40</v>
      </c>
      <c r="T143" t="s">
        <v>776</v>
      </c>
    </row>
    <row r="144" spans="1:20" x14ac:dyDescent="0.3">
      <c r="A144">
        <v>18</v>
      </c>
      <c r="B144">
        <v>49</v>
      </c>
      <c r="C144">
        <v>4</v>
      </c>
      <c r="D144">
        <v>113.78</v>
      </c>
      <c r="E144">
        <v>11.38</v>
      </c>
      <c r="F144">
        <v>0</v>
      </c>
      <c r="G144">
        <v>0.1</v>
      </c>
      <c r="H144" t="s">
        <v>622</v>
      </c>
      <c r="J144" t="s">
        <v>623</v>
      </c>
      <c r="K144" s="1"/>
      <c r="L144" s="1">
        <v>45952.742002314815</v>
      </c>
      <c r="M144" s="2">
        <v>45952</v>
      </c>
      <c r="N144" t="s">
        <v>624</v>
      </c>
      <c r="O144" t="s">
        <v>625</v>
      </c>
      <c r="P144">
        <v>1</v>
      </c>
      <c r="Q144">
        <v>0</v>
      </c>
      <c r="R144">
        <v>113.78</v>
      </c>
      <c r="S144" t="s">
        <v>94</v>
      </c>
      <c r="T144" t="s">
        <v>778</v>
      </c>
    </row>
    <row r="145" spans="1:20" x14ac:dyDescent="0.3">
      <c r="A145">
        <v>33</v>
      </c>
      <c r="B145">
        <v>49</v>
      </c>
      <c r="C145">
        <v>3</v>
      </c>
      <c r="D145">
        <v>64.77</v>
      </c>
      <c r="E145">
        <v>6.48</v>
      </c>
      <c r="F145">
        <v>0</v>
      </c>
      <c r="G145">
        <v>0.1</v>
      </c>
      <c r="H145" t="s">
        <v>622</v>
      </c>
      <c r="J145" t="s">
        <v>623</v>
      </c>
      <c r="K145" s="1"/>
      <c r="L145" s="1">
        <v>45955.341643518521</v>
      </c>
      <c r="M145" s="2">
        <v>45955</v>
      </c>
      <c r="N145" t="s">
        <v>624</v>
      </c>
      <c r="O145" t="s">
        <v>625</v>
      </c>
      <c r="P145">
        <v>1</v>
      </c>
      <c r="Q145">
        <v>0</v>
      </c>
      <c r="R145">
        <v>64.77</v>
      </c>
      <c r="S145" t="s">
        <v>94</v>
      </c>
      <c r="T145" t="s">
        <v>777</v>
      </c>
    </row>
    <row r="146" spans="1:20" x14ac:dyDescent="0.3">
      <c r="A146">
        <v>247</v>
      </c>
      <c r="B146">
        <v>23</v>
      </c>
      <c r="C146">
        <v>3</v>
      </c>
      <c r="D146">
        <v>120.44</v>
      </c>
      <c r="E146">
        <v>12.04</v>
      </c>
      <c r="F146">
        <v>0</v>
      </c>
      <c r="G146">
        <v>0.1</v>
      </c>
      <c r="H146" t="s">
        <v>622</v>
      </c>
      <c r="J146" t="s">
        <v>623</v>
      </c>
      <c r="K146" s="1"/>
      <c r="L146" s="1">
        <v>45978.394259259258</v>
      </c>
      <c r="M146" s="2">
        <v>45978</v>
      </c>
      <c r="N146" t="s">
        <v>630</v>
      </c>
      <c r="O146" t="s">
        <v>625</v>
      </c>
      <c r="P146">
        <v>1</v>
      </c>
      <c r="Q146">
        <v>0</v>
      </c>
      <c r="R146">
        <v>120.44</v>
      </c>
      <c r="S146" t="s">
        <v>42</v>
      </c>
      <c r="T146" t="s">
        <v>777</v>
      </c>
    </row>
    <row r="147" spans="1:20" x14ac:dyDescent="0.3">
      <c r="A147">
        <v>127</v>
      </c>
      <c r="B147">
        <v>24</v>
      </c>
      <c r="C147">
        <v>5</v>
      </c>
      <c r="D147">
        <v>178.83</v>
      </c>
      <c r="E147">
        <v>17.88</v>
      </c>
      <c r="F147">
        <v>0</v>
      </c>
      <c r="G147">
        <v>0.1</v>
      </c>
      <c r="H147" t="s">
        <v>622</v>
      </c>
      <c r="J147" t="s">
        <v>623</v>
      </c>
      <c r="K147" s="1"/>
      <c r="L147" s="1">
        <v>45966.300208333334</v>
      </c>
      <c r="M147" s="2">
        <v>45966</v>
      </c>
      <c r="N147" t="s">
        <v>630</v>
      </c>
      <c r="O147" t="s">
        <v>625</v>
      </c>
      <c r="P147">
        <v>1</v>
      </c>
      <c r="Q147">
        <v>0</v>
      </c>
      <c r="R147">
        <v>178.83</v>
      </c>
      <c r="S147" t="s">
        <v>44</v>
      </c>
      <c r="T147" t="s">
        <v>779</v>
      </c>
    </row>
    <row r="148" spans="1:20" x14ac:dyDescent="0.3">
      <c r="A148">
        <v>152</v>
      </c>
      <c r="B148">
        <v>24</v>
      </c>
      <c r="C148">
        <v>5</v>
      </c>
      <c r="D148">
        <v>80</v>
      </c>
      <c r="E148">
        <v>8</v>
      </c>
      <c r="F148">
        <v>0</v>
      </c>
      <c r="G148">
        <v>0.1</v>
      </c>
      <c r="H148" t="s">
        <v>622</v>
      </c>
      <c r="J148" t="s">
        <v>623</v>
      </c>
      <c r="K148" s="1"/>
      <c r="L148" s="1">
        <v>45969.396018518521</v>
      </c>
      <c r="M148" s="2">
        <v>45969</v>
      </c>
      <c r="N148" t="s">
        <v>630</v>
      </c>
      <c r="O148" t="s">
        <v>625</v>
      </c>
      <c r="P148">
        <v>1</v>
      </c>
      <c r="Q148">
        <v>0</v>
      </c>
      <c r="R148">
        <v>80</v>
      </c>
      <c r="S148" t="s">
        <v>44</v>
      </c>
      <c r="T148" t="s">
        <v>779</v>
      </c>
    </row>
    <row r="149" spans="1:20" x14ac:dyDescent="0.3">
      <c r="A149">
        <v>195</v>
      </c>
      <c r="B149">
        <v>25</v>
      </c>
      <c r="C149">
        <v>2</v>
      </c>
      <c r="D149">
        <v>63.48</v>
      </c>
      <c r="E149">
        <v>6.35</v>
      </c>
      <c r="F149">
        <v>0</v>
      </c>
      <c r="G149">
        <v>0.1</v>
      </c>
      <c r="H149" t="s">
        <v>622</v>
      </c>
      <c r="J149" t="s">
        <v>623</v>
      </c>
      <c r="K149" s="1"/>
      <c r="L149" s="1">
        <v>45973.544861111113</v>
      </c>
      <c r="M149" s="2">
        <v>45973</v>
      </c>
      <c r="N149" t="s">
        <v>630</v>
      </c>
      <c r="O149" t="s">
        <v>625</v>
      </c>
      <c r="P149">
        <v>1</v>
      </c>
      <c r="Q149">
        <v>0</v>
      </c>
      <c r="R149">
        <v>63.48</v>
      </c>
      <c r="S149" t="s">
        <v>46</v>
      </c>
      <c r="T149" t="s">
        <v>776</v>
      </c>
    </row>
    <row r="150" spans="1:20" x14ac:dyDescent="0.3">
      <c r="A150">
        <v>200</v>
      </c>
      <c r="B150">
        <v>25</v>
      </c>
      <c r="C150">
        <v>2</v>
      </c>
      <c r="D150">
        <v>78.83</v>
      </c>
      <c r="E150">
        <v>7.88</v>
      </c>
      <c r="F150">
        <v>0</v>
      </c>
      <c r="G150">
        <v>0.1</v>
      </c>
      <c r="H150" t="s">
        <v>622</v>
      </c>
      <c r="J150" t="s">
        <v>623</v>
      </c>
      <c r="K150" s="1"/>
      <c r="L150" s="1">
        <v>45974.351921296293</v>
      </c>
      <c r="M150" s="2">
        <v>45974</v>
      </c>
      <c r="N150" t="s">
        <v>630</v>
      </c>
      <c r="O150" t="s">
        <v>625</v>
      </c>
      <c r="P150">
        <v>1</v>
      </c>
      <c r="Q150">
        <v>0</v>
      </c>
      <c r="R150">
        <v>78.83</v>
      </c>
      <c r="S150" t="s">
        <v>46</v>
      </c>
      <c r="T150" t="s">
        <v>776</v>
      </c>
    </row>
    <row r="151" spans="1:20" x14ac:dyDescent="0.3">
      <c r="A151">
        <v>21</v>
      </c>
      <c r="B151">
        <v>57</v>
      </c>
      <c r="C151">
        <v>2</v>
      </c>
      <c r="D151">
        <v>68.930000000000007</v>
      </c>
      <c r="E151">
        <v>6.89</v>
      </c>
      <c r="F151">
        <v>0</v>
      </c>
      <c r="G151">
        <v>0.1</v>
      </c>
      <c r="H151" t="s">
        <v>622</v>
      </c>
      <c r="J151" t="s">
        <v>623</v>
      </c>
      <c r="K151" s="1"/>
      <c r="L151" s="1">
        <v>45953.532118055555</v>
      </c>
      <c r="M151" s="2">
        <v>45953</v>
      </c>
      <c r="N151" t="s">
        <v>624</v>
      </c>
      <c r="O151" t="s">
        <v>625</v>
      </c>
      <c r="P151">
        <v>1</v>
      </c>
      <c r="Q151">
        <v>0</v>
      </c>
      <c r="R151">
        <v>68.930000000000007</v>
      </c>
      <c r="S151" t="s">
        <v>110</v>
      </c>
      <c r="T151" t="s">
        <v>776</v>
      </c>
    </row>
    <row r="152" spans="1:20" x14ac:dyDescent="0.3">
      <c r="A152">
        <v>254</v>
      </c>
      <c r="B152">
        <v>57</v>
      </c>
      <c r="C152">
        <v>4</v>
      </c>
      <c r="D152">
        <v>86.19</v>
      </c>
      <c r="E152">
        <v>8.6199999999999992</v>
      </c>
      <c r="F152">
        <v>0</v>
      </c>
      <c r="G152">
        <v>0.1</v>
      </c>
      <c r="H152" t="s">
        <v>622</v>
      </c>
      <c r="J152" t="s">
        <v>623</v>
      </c>
      <c r="K152" s="1"/>
      <c r="L152" s="1">
        <v>45978.737847222219</v>
      </c>
      <c r="M152" s="2">
        <v>45978</v>
      </c>
      <c r="N152" t="s">
        <v>630</v>
      </c>
      <c r="O152" t="s">
        <v>625</v>
      </c>
      <c r="P152">
        <v>1</v>
      </c>
      <c r="Q152">
        <v>0</v>
      </c>
      <c r="R152">
        <v>86.19</v>
      </c>
      <c r="S152" t="s">
        <v>110</v>
      </c>
      <c r="T152" t="s">
        <v>778</v>
      </c>
    </row>
    <row r="153" spans="1:20" x14ac:dyDescent="0.3">
      <c r="A153">
        <v>23</v>
      </c>
      <c r="B153">
        <v>32</v>
      </c>
      <c r="C153">
        <v>3</v>
      </c>
      <c r="D153">
        <v>43.26</v>
      </c>
      <c r="E153">
        <v>4.33</v>
      </c>
      <c r="F153">
        <v>0</v>
      </c>
      <c r="G153">
        <v>0.1</v>
      </c>
      <c r="H153" t="s">
        <v>622</v>
      </c>
      <c r="J153" t="s">
        <v>623</v>
      </c>
      <c r="K153" s="1"/>
      <c r="L153" s="1">
        <v>45953.656145833331</v>
      </c>
      <c r="M153" s="2">
        <v>45953</v>
      </c>
      <c r="N153" t="s">
        <v>624</v>
      </c>
      <c r="O153" t="s">
        <v>625</v>
      </c>
      <c r="P153">
        <v>1</v>
      </c>
      <c r="Q153">
        <v>0</v>
      </c>
      <c r="R153">
        <v>43.26</v>
      </c>
      <c r="S153" t="s">
        <v>60</v>
      </c>
      <c r="T153" t="s">
        <v>777</v>
      </c>
    </row>
    <row r="154" spans="1:20" x14ac:dyDescent="0.3">
      <c r="A154">
        <v>66</v>
      </c>
      <c r="B154">
        <v>32</v>
      </c>
      <c r="C154">
        <v>3</v>
      </c>
      <c r="D154">
        <v>27.96</v>
      </c>
      <c r="E154">
        <v>2.8</v>
      </c>
      <c r="F154">
        <v>0</v>
      </c>
      <c r="G154">
        <v>0.1</v>
      </c>
      <c r="H154" t="s">
        <v>622</v>
      </c>
      <c r="J154" t="s">
        <v>623</v>
      </c>
      <c r="K154" s="1"/>
      <c r="L154" s="1">
        <v>45959.425069444442</v>
      </c>
      <c r="M154" s="2">
        <v>45959</v>
      </c>
      <c r="N154" t="s">
        <v>624</v>
      </c>
      <c r="O154" t="s">
        <v>625</v>
      </c>
      <c r="P154">
        <v>1</v>
      </c>
      <c r="Q154">
        <v>0</v>
      </c>
      <c r="R154">
        <v>27.96</v>
      </c>
      <c r="S154" t="s">
        <v>60</v>
      </c>
      <c r="T154" t="s">
        <v>777</v>
      </c>
    </row>
    <row r="155" spans="1:20" x14ac:dyDescent="0.3">
      <c r="A155">
        <v>70</v>
      </c>
      <c r="B155">
        <v>32</v>
      </c>
      <c r="C155">
        <v>5</v>
      </c>
      <c r="D155">
        <v>43.64</v>
      </c>
      <c r="E155">
        <v>4.3600000000000003</v>
      </c>
      <c r="F155">
        <v>0</v>
      </c>
      <c r="G155">
        <v>0.1</v>
      </c>
      <c r="H155" t="s">
        <v>622</v>
      </c>
      <c r="J155" t="s">
        <v>623</v>
      </c>
      <c r="K155" s="1"/>
      <c r="L155" s="1">
        <v>45959.732372685183</v>
      </c>
      <c r="M155" s="2">
        <v>45959</v>
      </c>
      <c r="N155" t="s">
        <v>624</v>
      </c>
      <c r="O155" t="s">
        <v>625</v>
      </c>
      <c r="P155">
        <v>1</v>
      </c>
      <c r="Q155">
        <v>0</v>
      </c>
      <c r="R155">
        <v>43.64</v>
      </c>
      <c r="S155" t="s">
        <v>60</v>
      </c>
      <c r="T155" t="s">
        <v>779</v>
      </c>
    </row>
    <row r="156" spans="1:20" x14ac:dyDescent="0.3">
      <c r="A156">
        <v>214</v>
      </c>
      <c r="B156">
        <v>32</v>
      </c>
      <c r="C156">
        <v>2</v>
      </c>
      <c r="D156">
        <v>26.39</v>
      </c>
      <c r="E156">
        <v>2.64</v>
      </c>
      <c r="F156">
        <v>0</v>
      </c>
      <c r="G156">
        <v>0.1</v>
      </c>
      <c r="H156" t="s">
        <v>622</v>
      </c>
      <c r="J156" t="s">
        <v>623</v>
      </c>
      <c r="K156" s="1"/>
      <c r="L156" s="1">
        <v>45975.636180555557</v>
      </c>
      <c r="M156" s="2">
        <v>45975</v>
      </c>
      <c r="N156" t="s">
        <v>630</v>
      </c>
      <c r="O156" t="s">
        <v>625</v>
      </c>
      <c r="P156">
        <v>1</v>
      </c>
      <c r="Q156">
        <v>0</v>
      </c>
      <c r="R156">
        <v>26.39</v>
      </c>
      <c r="S156" t="s">
        <v>60</v>
      </c>
      <c r="T156" t="s">
        <v>776</v>
      </c>
    </row>
    <row r="157" spans="1:20" x14ac:dyDescent="0.3">
      <c r="A157">
        <v>24</v>
      </c>
      <c r="B157">
        <v>164</v>
      </c>
      <c r="C157">
        <v>2</v>
      </c>
      <c r="D157">
        <v>19.12</v>
      </c>
      <c r="E157">
        <v>1.91</v>
      </c>
      <c r="F157">
        <v>0</v>
      </c>
      <c r="G157">
        <v>0.1</v>
      </c>
      <c r="H157" t="s">
        <v>622</v>
      </c>
      <c r="J157" t="s">
        <v>623</v>
      </c>
      <c r="K157" s="1"/>
      <c r="L157" s="1">
        <v>45953.702557870369</v>
      </c>
      <c r="M157" s="2">
        <v>45953</v>
      </c>
      <c r="N157" t="s">
        <v>624</v>
      </c>
      <c r="O157" t="s">
        <v>625</v>
      </c>
      <c r="P157">
        <v>1</v>
      </c>
      <c r="Q157">
        <v>0</v>
      </c>
      <c r="R157">
        <v>19.12</v>
      </c>
      <c r="S157" t="s">
        <v>323</v>
      </c>
      <c r="T157" t="s">
        <v>776</v>
      </c>
    </row>
    <row r="158" spans="1:20" x14ac:dyDescent="0.3">
      <c r="A158">
        <v>30</v>
      </c>
      <c r="B158">
        <v>164</v>
      </c>
      <c r="C158">
        <v>3</v>
      </c>
      <c r="D158">
        <v>30.55</v>
      </c>
      <c r="E158">
        <v>3.06</v>
      </c>
      <c r="F158">
        <v>0</v>
      </c>
      <c r="G158">
        <v>0.1</v>
      </c>
      <c r="H158" t="s">
        <v>622</v>
      </c>
      <c r="J158" t="s">
        <v>623</v>
      </c>
      <c r="K158" s="1"/>
      <c r="L158" s="1">
        <v>45954.645196759258</v>
      </c>
      <c r="M158" s="2">
        <v>45954</v>
      </c>
      <c r="N158" t="s">
        <v>624</v>
      </c>
      <c r="O158" t="s">
        <v>625</v>
      </c>
      <c r="P158">
        <v>1</v>
      </c>
      <c r="Q158">
        <v>0</v>
      </c>
      <c r="R158">
        <v>30.55</v>
      </c>
      <c r="S158" t="s">
        <v>323</v>
      </c>
      <c r="T158" t="s">
        <v>777</v>
      </c>
    </row>
    <row r="159" spans="1:20" x14ac:dyDescent="0.3">
      <c r="A159">
        <v>95</v>
      </c>
      <c r="B159">
        <v>164</v>
      </c>
      <c r="C159">
        <v>5</v>
      </c>
      <c r="D159">
        <v>39.229999999999997</v>
      </c>
      <c r="E159">
        <v>3.92</v>
      </c>
      <c r="F159">
        <v>0</v>
      </c>
      <c r="G159">
        <v>0.1</v>
      </c>
      <c r="H159" t="s">
        <v>622</v>
      </c>
      <c r="J159" t="s">
        <v>623</v>
      </c>
      <c r="K159" s="1"/>
      <c r="L159" s="1">
        <v>45962.577314814815</v>
      </c>
      <c r="M159" s="2">
        <v>45962</v>
      </c>
      <c r="N159" t="s">
        <v>630</v>
      </c>
      <c r="O159" t="s">
        <v>625</v>
      </c>
      <c r="P159">
        <v>1</v>
      </c>
      <c r="Q159">
        <v>0</v>
      </c>
      <c r="R159">
        <v>39.229999999999997</v>
      </c>
      <c r="S159" t="s">
        <v>323</v>
      </c>
      <c r="T159" t="s">
        <v>779</v>
      </c>
    </row>
    <row r="160" spans="1:20" x14ac:dyDescent="0.3">
      <c r="A160">
        <v>133</v>
      </c>
      <c r="B160">
        <v>164</v>
      </c>
      <c r="C160">
        <v>2</v>
      </c>
      <c r="D160">
        <v>33.99</v>
      </c>
      <c r="E160">
        <v>3.4</v>
      </c>
      <c r="F160">
        <v>0</v>
      </c>
      <c r="G160">
        <v>0.1</v>
      </c>
      <c r="H160" t="s">
        <v>622</v>
      </c>
      <c r="J160" t="s">
        <v>623</v>
      </c>
      <c r="K160" s="1"/>
      <c r="L160" s="1">
        <v>45967.294236111113</v>
      </c>
      <c r="M160" s="2">
        <v>45967</v>
      </c>
      <c r="N160" t="s">
        <v>630</v>
      </c>
      <c r="O160" t="s">
        <v>625</v>
      </c>
      <c r="P160">
        <v>1</v>
      </c>
      <c r="Q160">
        <v>0</v>
      </c>
      <c r="R160">
        <v>33.99</v>
      </c>
      <c r="S160" t="s">
        <v>323</v>
      </c>
      <c r="T160" t="s">
        <v>776</v>
      </c>
    </row>
    <row r="161" spans="1:20" x14ac:dyDescent="0.3">
      <c r="A161">
        <v>36</v>
      </c>
      <c r="B161">
        <v>29</v>
      </c>
      <c r="C161">
        <v>2</v>
      </c>
      <c r="D161">
        <v>37.03</v>
      </c>
      <c r="E161">
        <v>3.7</v>
      </c>
      <c r="F161">
        <v>0</v>
      </c>
      <c r="G161">
        <v>0.1</v>
      </c>
      <c r="H161" t="s">
        <v>622</v>
      </c>
      <c r="J161" t="s">
        <v>623</v>
      </c>
      <c r="K161" s="1"/>
      <c r="L161" s="1">
        <v>45955.473391203705</v>
      </c>
      <c r="M161" s="2">
        <v>45955</v>
      </c>
      <c r="N161" t="s">
        <v>624</v>
      </c>
      <c r="O161" t="s">
        <v>625</v>
      </c>
      <c r="P161">
        <v>1</v>
      </c>
      <c r="Q161">
        <v>0</v>
      </c>
      <c r="R161">
        <v>37.03</v>
      </c>
      <c r="S161" t="s">
        <v>54</v>
      </c>
      <c r="T161" t="s">
        <v>776</v>
      </c>
    </row>
    <row r="162" spans="1:20" x14ac:dyDescent="0.3">
      <c r="A162">
        <v>44</v>
      </c>
      <c r="B162">
        <v>29</v>
      </c>
      <c r="C162">
        <v>5</v>
      </c>
      <c r="D162">
        <v>56.04</v>
      </c>
      <c r="E162">
        <v>5.6</v>
      </c>
      <c r="F162">
        <v>0</v>
      </c>
      <c r="G162">
        <v>0.1</v>
      </c>
      <c r="H162" t="s">
        <v>622</v>
      </c>
      <c r="J162" t="s">
        <v>623</v>
      </c>
      <c r="K162" s="1"/>
      <c r="L162" s="1">
        <v>45956.496701388889</v>
      </c>
      <c r="M162" s="2">
        <v>45956</v>
      </c>
      <c r="N162" t="s">
        <v>624</v>
      </c>
      <c r="O162" t="s">
        <v>625</v>
      </c>
      <c r="P162">
        <v>1</v>
      </c>
      <c r="Q162">
        <v>0</v>
      </c>
      <c r="R162">
        <v>56.04</v>
      </c>
      <c r="S162" t="s">
        <v>54</v>
      </c>
      <c r="T162" t="s">
        <v>779</v>
      </c>
    </row>
    <row r="163" spans="1:20" x14ac:dyDescent="0.3">
      <c r="A163">
        <v>63</v>
      </c>
      <c r="B163">
        <v>29</v>
      </c>
      <c r="C163">
        <v>4</v>
      </c>
      <c r="D163">
        <v>18.72</v>
      </c>
      <c r="E163">
        <v>1.87</v>
      </c>
      <c r="F163">
        <v>0</v>
      </c>
      <c r="G163">
        <v>0.1</v>
      </c>
      <c r="H163" t="s">
        <v>622</v>
      </c>
      <c r="J163" t="s">
        <v>623</v>
      </c>
      <c r="K163" s="1"/>
      <c r="L163" s="1">
        <v>45958.737083333333</v>
      </c>
      <c r="M163" s="2">
        <v>45958</v>
      </c>
      <c r="N163" t="s">
        <v>624</v>
      </c>
      <c r="O163" t="s">
        <v>625</v>
      </c>
      <c r="P163">
        <v>1</v>
      </c>
      <c r="Q163">
        <v>0</v>
      </c>
      <c r="R163">
        <v>18.72</v>
      </c>
      <c r="S163" t="s">
        <v>54</v>
      </c>
      <c r="T163" t="s">
        <v>778</v>
      </c>
    </row>
    <row r="164" spans="1:20" x14ac:dyDescent="0.3">
      <c r="A164">
        <v>25</v>
      </c>
      <c r="B164">
        <v>55</v>
      </c>
      <c r="C164">
        <v>2</v>
      </c>
      <c r="D164">
        <v>27.87</v>
      </c>
      <c r="E164">
        <v>2.79</v>
      </c>
      <c r="F164">
        <v>0</v>
      </c>
      <c r="G164">
        <v>0.1</v>
      </c>
      <c r="H164" t="s">
        <v>622</v>
      </c>
      <c r="J164" t="s">
        <v>623</v>
      </c>
      <c r="K164" s="1"/>
      <c r="L164" s="1">
        <v>45954.410868055558</v>
      </c>
      <c r="M164" s="2">
        <v>45954</v>
      </c>
      <c r="N164" t="s">
        <v>624</v>
      </c>
      <c r="O164" t="s">
        <v>625</v>
      </c>
      <c r="P164">
        <v>1</v>
      </c>
      <c r="Q164">
        <v>0</v>
      </c>
      <c r="R164">
        <v>27.87</v>
      </c>
      <c r="S164" t="s">
        <v>106</v>
      </c>
      <c r="T164" t="s">
        <v>776</v>
      </c>
    </row>
    <row r="165" spans="1:20" x14ac:dyDescent="0.3">
      <c r="A165">
        <v>32</v>
      </c>
      <c r="B165">
        <v>55</v>
      </c>
      <c r="C165">
        <v>4</v>
      </c>
      <c r="D165">
        <v>28.09</v>
      </c>
      <c r="E165">
        <v>2.81</v>
      </c>
      <c r="F165">
        <v>0</v>
      </c>
      <c r="G165">
        <v>0.1</v>
      </c>
      <c r="H165" t="s">
        <v>622</v>
      </c>
      <c r="J165" t="s">
        <v>623</v>
      </c>
      <c r="K165" s="1"/>
      <c r="L165" s="1">
        <v>45955.338553240741</v>
      </c>
      <c r="M165" s="2">
        <v>45955</v>
      </c>
      <c r="N165" t="s">
        <v>624</v>
      </c>
      <c r="O165" t="s">
        <v>625</v>
      </c>
      <c r="P165">
        <v>1</v>
      </c>
      <c r="Q165">
        <v>0</v>
      </c>
      <c r="R165">
        <v>28.09</v>
      </c>
      <c r="S165" t="s">
        <v>106</v>
      </c>
      <c r="T165" t="s">
        <v>778</v>
      </c>
    </row>
    <row r="166" spans="1:20" x14ac:dyDescent="0.3">
      <c r="A166">
        <v>189</v>
      </c>
      <c r="B166">
        <v>55</v>
      </c>
      <c r="C166">
        <v>3</v>
      </c>
      <c r="D166">
        <v>45.55</v>
      </c>
      <c r="E166">
        <v>4.5599999999999996</v>
      </c>
      <c r="F166">
        <v>0</v>
      </c>
      <c r="G166">
        <v>0.1</v>
      </c>
      <c r="H166" t="s">
        <v>622</v>
      </c>
      <c r="J166" t="s">
        <v>623</v>
      </c>
      <c r="K166" s="1"/>
      <c r="L166" s="1">
        <v>45972.727071759262</v>
      </c>
      <c r="M166" s="2">
        <v>45972</v>
      </c>
      <c r="N166" t="s">
        <v>630</v>
      </c>
      <c r="O166" t="s">
        <v>625</v>
      </c>
      <c r="P166">
        <v>1</v>
      </c>
      <c r="Q166">
        <v>0</v>
      </c>
      <c r="R166">
        <v>45.55</v>
      </c>
      <c r="S166" t="s">
        <v>106</v>
      </c>
      <c r="T166" t="s">
        <v>777</v>
      </c>
    </row>
    <row r="167" spans="1:20" x14ac:dyDescent="0.3">
      <c r="A167">
        <v>64</v>
      </c>
      <c r="B167">
        <v>30</v>
      </c>
      <c r="C167">
        <v>2</v>
      </c>
      <c r="D167">
        <v>28.32</v>
      </c>
      <c r="E167">
        <v>2.83</v>
      </c>
      <c r="F167">
        <v>0</v>
      </c>
      <c r="G167">
        <v>0.1</v>
      </c>
      <c r="H167" t="s">
        <v>622</v>
      </c>
      <c r="J167" t="s">
        <v>623</v>
      </c>
      <c r="K167" s="1"/>
      <c r="L167" s="1">
        <v>45958.777106481481</v>
      </c>
      <c r="M167" s="2">
        <v>45958</v>
      </c>
      <c r="N167" t="s">
        <v>624</v>
      </c>
      <c r="O167" t="s">
        <v>625</v>
      </c>
      <c r="P167">
        <v>1</v>
      </c>
      <c r="Q167">
        <v>0</v>
      </c>
      <c r="R167">
        <v>28.32</v>
      </c>
      <c r="S167" t="s">
        <v>56</v>
      </c>
      <c r="T167" t="s">
        <v>776</v>
      </c>
    </row>
    <row r="168" spans="1:20" x14ac:dyDescent="0.3">
      <c r="A168">
        <v>123</v>
      </c>
      <c r="B168">
        <v>33</v>
      </c>
      <c r="C168">
        <v>2</v>
      </c>
      <c r="D168">
        <v>23.67</v>
      </c>
      <c r="E168">
        <v>2.37</v>
      </c>
      <c r="F168">
        <v>0</v>
      </c>
      <c r="G168">
        <v>0.1</v>
      </c>
      <c r="H168" t="s">
        <v>622</v>
      </c>
      <c r="J168" t="s">
        <v>623</v>
      </c>
      <c r="K168" s="1"/>
      <c r="L168" s="1">
        <v>45965.655138888891</v>
      </c>
      <c r="M168" s="2">
        <v>45965</v>
      </c>
      <c r="N168" t="s">
        <v>630</v>
      </c>
      <c r="O168" t="s">
        <v>625</v>
      </c>
      <c r="P168">
        <v>1</v>
      </c>
      <c r="Q168">
        <v>0</v>
      </c>
      <c r="R168">
        <v>23.67</v>
      </c>
      <c r="S168" t="s">
        <v>62</v>
      </c>
      <c r="T168" t="s">
        <v>776</v>
      </c>
    </row>
    <row r="169" spans="1:20" x14ac:dyDescent="0.3">
      <c r="A169">
        <v>170</v>
      </c>
      <c r="B169">
        <v>34</v>
      </c>
      <c r="C169">
        <v>5</v>
      </c>
      <c r="D169">
        <v>117.69</v>
      </c>
      <c r="E169">
        <v>11.77</v>
      </c>
      <c r="F169">
        <v>0</v>
      </c>
      <c r="G169">
        <v>0.1</v>
      </c>
      <c r="H169" t="s">
        <v>622</v>
      </c>
      <c r="J169" t="s">
        <v>623</v>
      </c>
      <c r="K169" s="1"/>
      <c r="L169" s="1">
        <v>45970.703032407408</v>
      </c>
      <c r="M169" s="2">
        <v>45970</v>
      </c>
      <c r="N169" t="s">
        <v>630</v>
      </c>
      <c r="O169" t="s">
        <v>625</v>
      </c>
      <c r="P169">
        <v>1</v>
      </c>
      <c r="Q169">
        <v>0</v>
      </c>
      <c r="R169">
        <v>117.69</v>
      </c>
      <c r="S169" t="s">
        <v>64</v>
      </c>
      <c r="T169" t="s">
        <v>779</v>
      </c>
    </row>
    <row r="170" spans="1:20" x14ac:dyDescent="0.3">
      <c r="A170">
        <v>84</v>
      </c>
      <c r="B170">
        <v>38</v>
      </c>
      <c r="C170">
        <v>5</v>
      </c>
      <c r="D170">
        <v>23.31</v>
      </c>
      <c r="E170">
        <v>2.33</v>
      </c>
      <c r="F170">
        <v>0</v>
      </c>
      <c r="G170">
        <v>0.1</v>
      </c>
      <c r="H170" t="s">
        <v>622</v>
      </c>
      <c r="J170" t="s">
        <v>623</v>
      </c>
      <c r="K170" s="1"/>
      <c r="L170" s="1">
        <v>45961.435023148151</v>
      </c>
      <c r="M170" s="2">
        <v>45961</v>
      </c>
      <c r="N170" t="s">
        <v>624</v>
      </c>
      <c r="O170" t="s">
        <v>625</v>
      </c>
      <c r="P170">
        <v>1</v>
      </c>
      <c r="Q170">
        <v>0</v>
      </c>
      <c r="R170">
        <v>23.31</v>
      </c>
      <c r="S170" t="s">
        <v>72</v>
      </c>
      <c r="T170" t="s">
        <v>779</v>
      </c>
    </row>
    <row r="171" spans="1:20" x14ac:dyDescent="0.3">
      <c r="A171">
        <v>196</v>
      </c>
      <c r="B171">
        <v>38</v>
      </c>
      <c r="C171">
        <v>3</v>
      </c>
      <c r="D171">
        <v>53.78</v>
      </c>
      <c r="E171">
        <v>5.38</v>
      </c>
      <c r="F171">
        <v>0</v>
      </c>
      <c r="G171">
        <v>0.1</v>
      </c>
      <c r="H171" t="s">
        <v>622</v>
      </c>
      <c r="J171" t="s">
        <v>623</v>
      </c>
      <c r="K171" s="1"/>
      <c r="L171" s="1">
        <v>45973.549155092594</v>
      </c>
      <c r="M171" s="2">
        <v>45973</v>
      </c>
      <c r="N171" t="s">
        <v>630</v>
      </c>
      <c r="O171" t="s">
        <v>625</v>
      </c>
      <c r="P171">
        <v>1</v>
      </c>
      <c r="Q171">
        <v>0</v>
      </c>
      <c r="R171">
        <v>53.78</v>
      </c>
      <c r="S171" t="s">
        <v>72</v>
      </c>
      <c r="T171" t="s">
        <v>777</v>
      </c>
    </row>
    <row r="172" spans="1:20" x14ac:dyDescent="0.3">
      <c r="A172">
        <v>287</v>
      </c>
      <c r="B172">
        <v>38</v>
      </c>
      <c r="C172">
        <v>4</v>
      </c>
      <c r="D172">
        <v>23.11</v>
      </c>
      <c r="E172">
        <v>2.31</v>
      </c>
      <c r="F172">
        <v>0</v>
      </c>
      <c r="G172">
        <v>0.1</v>
      </c>
      <c r="H172" t="s">
        <v>622</v>
      </c>
      <c r="J172" t="s">
        <v>623</v>
      </c>
      <c r="K172" s="1"/>
      <c r="L172" s="1">
        <v>45982.348599537036</v>
      </c>
      <c r="M172" s="2">
        <v>45982</v>
      </c>
      <c r="N172" t="s">
        <v>630</v>
      </c>
      <c r="O172" t="s">
        <v>625</v>
      </c>
      <c r="P172">
        <v>1</v>
      </c>
      <c r="Q172">
        <v>0</v>
      </c>
      <c r="R172">
        <v>23.11</v>
      </c>
      <c r="S172" t="s">
        <v>72</v>
      </c>
      <c r="T172" t="s">
        <v>778</v>
      </c>
    </row>
    <row r="173" spans="1:20" x14ac:dyDescent="0.3">
      <c r="A173">
        <v>35</v>
      </c>
      <c r="B173">
        <v>72</v>
      </c>
      <c r="C173">
        <v>5</v>
      </c>
      <c r="D173">
        <v>27.08</v>
      </c>
      <c r="E173">
        <v>2.71</v>
      </c>
      <c r="F173">
        <v>0</v>
      </c>
      <c r="G173">
        <v>0.1</v>
      </c>
      <c r="H173" t="s">
        <v>622</v>
      </c>
      <c r="J173" t="s">
        <v>623</v>
      </c>
      <c r="K173" s="1"/>
      <c r="L173" s="1">
        <v>45955.387685185182</v>
      </c>
      <c r="M173" s="2">
        <v>45955</v>
      </c>
      <c r="N173" t="s">
        <v>624</v>
      </c>
      <c r="O173" t="s">
        <v>625</v>
      </c>
      <c r="P173">
        <v>1</v>
      </c>
      <c r="Q173">
        <v>0</v>
      </c>
      <c r="R173">
        <v>27.08</v>
      </c>
      <c r="S173" t="s">
        <v>140</v>
      </c>
      <c r="T173" t="s">
        <v>779</v>
      </c>
    </row>
    <row r="174" spans="1:20" x14ac:dyDescent="0.3">
      <c r="A174">
        <v>144</v>
      </c>
      <c r="B174">
        <v>42</v>
      </c>
      <c r="C174">
        <v>4</v>
      </c>
      <c r="D174">
        <v>32.090000000000003</v>
      </c>
      <c r="E174">
        <v>3.21</v>
      </c>
      <c r="F174">
        <v>0</v>
      </c>
      <c r="G174">
        <v>0.1</v>
      </c>
      <c r="H174" t="s">
        <v>622</v>
      </c>
      <c r="J174" t="s">
        <v>623</v>
      </c>
      <c r="K174" s="1"/>
      <c r="L174" s="1">
        <v>45968.512465277781</v>
      </c>
      <c r="M174" s="2">
        <v>45968</v>
      </c>
      <c r="N174" t="s">
        <v>630</v>
      </c>
      <c r="O174" t="s">
        <v>625</v>
      </c>
      <c r="P174">
        <v>1</v>
      </c>
      <c r="Q174">
        <v>0</v>
      </c>
      <c r="R174">
        <v>32.090000000000003</v>
      </c>
      <c r="S174" t="s">
        <v>80</v>
      </c>
      <c r="T174" t="s">
        <v>778</v>
      </c>
    </row>
    <row r="175" spans="1:20" x14ac:dyDescent="0.3">
      <c r="A175">
        <v>38</v>
      </c>
      <c r="B175">
        <v>209</v>
      </c>
      <c r="C175">
        <v>2</v>
      </c>
      <c r="D175">
        <v>300</v>
      </c>
      <c r="E175">
        <v>30</v>
      </c>
      <c r="F175">
        <v>0</v>
      </c>
      <c r="G175">
        <v>0.1</v>
      </c>
      <c r="H175" t="s">
        <v>622</v>
      </c>
      <c r="J175" t="s">
        <v>623</v>
      </c>
      <c r="K175" s="1"/>
      <c r="L175" s="1">
        <v>45955.631782407407</v>
      </c>
      <c r="M175" s="2">
        <v>45955</v>
      </c>
      <c r="N175" t="s">
        <v>624</v>
      </c>
      <c r="O175" t="s">
        <v>625</v>
      </c>
      <c r="P175">
        <v>1</v>
      </c>
      <c r="Q175">
        <v>0</v>
      </c>
      <c r="R175">
        <v>300</v>
      </c>
      <c r="S175" t="s">
        <v>413</v>
      </c>
      <c r="T175" t="s">
        <v>776</v>
      </c>
    </row>
    <row r="176" spans="1:20" x14ac:dyDescent="0.3">
      <c r="A176">
        <v>251</v>
      </c>
      <c r="B176">
        <v>209</v>
      </c>
      <c r="C176">
        <v>4</v>
      </c>
      <c r="D176">
        <v>300</v>
      </c>
      <c r="E176">
        <v>30</v>
      </c>
      <c r="F176">
        <v>0</v>
      </c>
      <c r="G176">
        <v>0.1</v>
      </c>
      <c r="H176" t="s">
        <v>622</v>
      </c>
      <c r="J176" t="s">
        <v>623</v>
      </c>
      <c r="K176" s="1"/>
      <c r="L176" s="1">
        <v>45978.529224537036</v>
      </c>
      <c r="M176" s="2">
        <v>45978</v>
      </c>
      <c r="N176" t="s">
        <v>630</v>
      </c>
      <c r="O176" t="s">
        <v>625</v>
      </c>
      <c r="P176">
        <v>1</v>
      </c>
      <c r="Q176">
        <v>0</v>
      </c>
      <c r="R176">
        <v>300</v>
      </c>
      <c r="S176" t="s">
        <v>413</v>
      </c>
      <c r="T176" t="s">
        <v>778</v>
      </c>
    </row>
    <row r="177" spans="1:20" x14ac:dyDescent="0.3">
      <c r="A177">
        <v>81</v>
      </c>
      <c r="B177">
        <v>43</v>
      </c>
      <c r="C177">
        <v>2</v>
      </c>
      <c r="D177">
        <v>66.290000000000006</v>
      </c>
      <c r="E177">
        <v>6.63</v>
      </c>
      <c r="F177">
        <v>0</v>
      </c>
      <c r="G177">
        <v>0.1</v>
      </c>
      <c r="H177" t="s">
        <v>622</v>
      </c>
      <c r="J177" t="s">
        <v>623</v>
      </c>
      <c r="K177" s="1"/>
      <c r="L177" s="1">
        <v>45961.368483796294</v>
      </c>
      <c r="M177" s="2">
        <v>45961</v>
      </c>
      <c r="N177" t="s">
        <v>624</v>
      </c>
      <c r="O177" t="s">
        <v>625</v>
      </c>
      <c r="P177">
        <v>1</v>
      </c>
      <c r="Q177">
        <v>0</v>
      </c>
      <c r="R177">
        <v>66.290000000000006</v>
      </c>
      <c r="S177" t="s">
        <v>82</v>
      </c>
      <c r="T177" t="s">
        <v>776</v>
      </c>
    </row>
    <row r="178" spans="1:20" x14ac:dyDescent="0.3">
      <c r="A178">
        <v>257</v>
      </c>
      <c r="B178">
        <v>43</v>
      </c>
      <c r="C178">
        <v>2</v>
      </c>
      <c r="D178">
        <v>165.49</v>
      </c>
      <c r="E178">
        <v>16.55</v>
      </c>
      <c r="F178">
        <v>0</v>
      </c>
      <c r="G178">
        <v>0.1</v>
      </c>
      <c r="H178" t="s">
        <v>622</v>
      </c>
      <c r="J178" t="s">
        <v>623</v>
      </c>
      <c r="K178" s="1"/>
      <c r="L178" s="1">
        <v>45979.445208333331</v>
      </c>
      <c r="M178" s="2">
        <v>45979</v>
      </c>
      <c r="N178" t="s">
        <v>630</v>
      </c>
      <c r="O178" t="s">
        <v>625</v>
      </c>
      <c r="P178">
        <v>1</v>
      </c>
      <c r="Q178">
        <v>0</v>
      </c>
      <c r="R178">
        <v>165.49</v>
      </c>
      <c r="S178" t="s">
        <v>82</v>
      </c>
      <c r="T178" t="s">
        <v>776</v>
      </c>
    </row>
    <row r="179" spans="1:20" x14ac:dyDescent="0.3">
      <c r="A179">
        <v>39</v>
      </c>
      <c r="B179">
        <v>112</v>
      </c>
      <c r="C179">
        <v>3</v>
      </c>
      <c r="D179">
        <v>39.450000000000003</v>
      </c>
      <c r="E179">
        <v>3.95</v>
      </c>
      <c r="F179">
        <v>0</v>
      </c>
      <c r="G179">
        <v>0.1</v>
      </c>
      <c r="H179" t="s">
        <v>622</v>
      </c>
      <c r="J179" t="s">
        <v>623</v>
      </c>
      <c r="K179" s="1"/>
      <c r="L179" s="1">
        <v>45955.651076388887</v>
      </c>
      <c r="M179" s="2">
        <v>45955</v>
      </c>
      <c r="N179" t="s">
        <v>624</v>
      </c>
      <c r="O179" t="s">
        <v>625</v>
      </c>
      <c r="P179">
        <v>1</v>
      </c>
      <c r="Q179">
        <v>0</v>
      </c>
      <c r="R179">
        <v>39.450000000000003</v>
      </c>
      <c r="S179" t="s">
        <v>219</v>
      </c>
      <c r="T179" t="s">
        <v>777</v>
      </c>
    </row>
    <row r="180" spans="1:20" x14ac:dyDescent="0.3">
      <c r="A180">
        <v>43</v>
      </c>
      <c r="B180">
        <v>151</v>
      </c>
      <c r="C180">
        <v>3</v>
      </c>
      <c r="D180">
        <v>220.27</v>
      </c>
      <c r="E180">
        <v>22.03</v>
      </c>
      <c r="F180">
        <v>0</v>
      </c>
      <c r="G180">
        <v>0.1</v>
      </c>
      <c r="H180" t="s">
        <v>622</v>
      </c>
      <c r="J180" t="s">
        <v>623</v>
      </c>
      <c r="K180" s="1"/>
      <c r="L180" s="1">
        <v>45956.393275462964</v>
      </c>
      <c r="M180" s="2">
        <v>45956</v>
      </c>
      <c r="N180" t="s">
        <v>624</v>
      </c>
      <c r="O180" t="s">
        <v>625</v>
      </c>
      <c r="P180">
        <v>1</v>
      </c>
      <c r="Q180">
        <v>0</v>
      </c>
      <c r="R180">
        <v>220.27</v>
      </c>
      <c r="S180" t="s">
        <v>297</v>
      </c>
      <c r="T180" t="s">
        <v>777</v>
      </c>
    </row>
    <row r="181" spans="1:20" x14ac:dyDescent="0.3">
      <c r="A181">
        <v>105</v>
      </c>
      <c r="B181">
        <v>151</v>
      </c>
      <c r="C181">
        <v>4</v>
      </c>
      <c r="D181">
        <v>250.71</v>
      </c>
      <c r="E181">
        <v>25.07</v>
      </c>
      <c r="F181">
        <v>0</v>
      </c>
      <c r="G181">
        <v>0.1</v>
      </c>
      <c r="H181" t="s">
        <v>622</v>
      </c>
      <c r="J181" t="s">
        <v>623</v>
      </c>
      <c r="K181" s="1"/>
      <c r="L181" s="1">
        <v>45963.782858796294</v>
      </c>
      <c r="M181" s="2">
        <v>45963</v>
      </c>
      <c r="N181" t="s">
        <v>630</v>
      </c>
      <c r="O181" t="s">
        <v>625</v>
      </c>
      <c r="P181">
        <v>1</v>
      </c>
      <c r="Q181">
        <v>0</v>
      </c>
      <c r="R181">
        <v>250.71</v>
      </c>
      <c r="S181" t="s">
        <v>297</v>
      </c>
      <c r="T181" t="s">
        <v>778</v>
      </c>
    </row>
    <row r="182" spans="1:20" x14ac:dyDescent="0.3">
      <c r="A182">
        <v>280</v>
      </c>
      <c r="B182">
        <v>151</v>
      </c>
      <c r="C182">
        <v>5</v>
      </c>
      <c r="D182">
        <v>105</v>
      </c>
      <c r="E182">
        <v>10.5</v>
      </c>
      <c r="F182">
        <v>0</v>
      </c>
      <c r="G182">
        <v>0.1</v>
      </c>
      <c r="H182" t="s">
        <v>622</v>
      </c>
      <c r="J182" t="s">
        <v>623</v>
      </c>
      <c r="K182" s="1"/>
      <c r="L182" s="1">
        <v>45981.513310185182</v>
      </c>
      <c r="M182" s="2">
        <v>45981</v>
      </c>
      <c r="N182" t="s">
        <v>630</v>
      </c>
      <c r="O182" t="s">
        <v>625</v>
      </c>
      <c r="P182">
        <v>1</v>
      </c>
      <c r="Q182">
        <v>0</v>
      </c>
      <c r="R182">
        <v>105</v>
      </c>
      <c r="S182" t="s">
        <v>297</v>
      </c>
      <c r="T182" t="s">
        <v>779</v>
      </c>
    </row>
    <row r="183" spans="1:20" x14ac:dyDescent="0.3">
      <c r="A183">
        <v>48</v>
      </c>
      <c r="B183">
        <v>48</v>
      </c>
      <c r="C183">
        <v>4</v>
      </c>
      <c r="D183">
        <v>178.41</v>
      </c>
      <c r="E183">
        <v>17.84</v>
      </c>
      <c r="F183">
        <v>0</v>
      </c>
      <c r="G183">
        <v>0.1</v>
      </c>
      <c r="H183" t="s">
        <v>626</v>
      </c>
      <c r="I183">
        <v>3</v>
      </c>
      <c r="J183" t="s">
        <v>627</v>
      </c>
      <c r="K183" s="1">
        <v>45957.845914351848</v>
      </c>
      <c r="L183" s="1">
        <v>45957.345914351848</v>
      </c>
      <c r="M183" s="2">
        <v>45957</v>
      </c>
      <c r="N183" t="s">
        <v>624</v>
      </c>
      <c r="O183" t="s">
        <v>625</v>
      </c>
      <c r="P183">
        <v>1</v>
      </c>
      <c r="Q183">
        <v>1</v>
      </c>
      <c r="R183">
        <v>0</v>
      </c>
      <c r="S183" t="s">
        <v>92</v>
      </c>
      <c r="T183" t="s">
        <v>778</v>
      </c>
    </row>
    <row r="184" spans="1:20" x14ac:dyDescent="0.3">
      <c r="A184">
        <v>77</v>
      </c>
      <c r="B184">
        <v>48</v>
      </c>
      <c r="C184">
        <v>2</v>
      </c>
      <c r="D184">
        <v>170.35</v>
      </c>
      <c r="E184">
        <v>17.04</v>
      </c>
      <c r="F184">
        <v>0</v>
      </c>
      <c r="G184">
        <v>0.1</v>
      </c>
      <c r="H184" t="s">
        <v>622</v>
      </c>
      <c r="J184" t="s">
        <v>623</v>
      </c>
      <c r="K184" s="1"/>
      <c r="L184" s="1">
        <v>45960.575960648152</v>
      </c>
      <c r="M184" s="2">
        <v>45960</v>
      </c>
      <c r="N184" t="s">
        <v>624</v>
      </c>
      <c r="O184" t="s">
        <v>625</v>
      </c>
      <c r="P184">
        <v>1</v>
      </c>
      <c r="Q184">
        <v>0</v>
      </c>
      <c r="R184">
        <v>170.35</v>
      </c>
      <c r="S184" t="s">
        <v>92</v>
      </c>
      <c r="T184" t="s">
        <v>776</v>
      </c>
    </row>
    <row r="185" spans="1:20" x14ac:dyDescent="0.3">
      <c r="A185">
        <v>131</v>
      </c>
      <c r="B185">
        <v>48</v>
      </c>
      <c r="C185">
        <v>4</v>
      </c>
      <c r="D185">
        <v>196.58</v>
      </c>
      <c r="E185">
        <v>19.66</v>
      </c>
      <c r="F185">
        <v>0</v>
      </c>
      <c r="G185">
        <v>0.1</v>
      </c>
      <c r="H185" t="s">
        <v>622</v>
      </c>
      <c r="J185" t="s">
        <v>623</v>
      </c>
      <c r="K185" s="1"/>
      <c r="L185" s="1">
        <v>45966.513611111113</v>
      </c>
      <c r="M185" s="2">
        <v>45966</v>
      </c>
      <c r="N185" t="s">
        <v>630</v>
      </c>
      <c r="O185" t="s">
        <v>625</v>
      </c>
      <c r="P185">
        <v>1</v>
      </c>
      <c r="Q185">
        <v>0</v>
      </c>
      <c r="R185">
        <v>196.58</v>
      </c>
      <c r="S185" t="s">
        <v>92</v>
      </c>
      <c r="T185" t="s">
        <v>778</v>
      </c>
    </row>
    <row r="186" spans="1:20" x14ac:dyDescent="0.3">
      <c r="A186">
        <v>139</v>
      </c>
      <c r="B186">
        <v>48</v>
      </c>
      <c r="C186">
        <v>5</v>
      </c>
      <c r="D186">
        <v>133.36000000000001</v>
      </c>
      <c r="E186">
        <v>13.34</v>
      </c>
      <c r="F186">
        <v>0</v>
      </c>
      <c r="G186">
        <v>0.1</v>
      </c>
      <c r="H186" t="s">
        <v>622</v>
      </c>
      <c r="J186" t="s">
        <v>623</v>
      </c>
      <c r="K186" s="1"/>
      <c r="L186" s="1">
        <v>45968.388379629629</v>
      </c>
      <c r="M186" s="2">
        <v>45968</v>
      </c>
      <c r="N186" t="s">
        <v>630</v>
      </c>
      <c r="O186" t="s">
        <v>625</v>
      </c>
      <c r="P186">
        <v>1</v>
      </c>
      <c r="Q186">
        <v>0</v>
      </c>
      <c r="R186">
        <v>133.36000000000001</v>
      </c>
      <c r="S186" t="s">
        <v>92</v>
      </c>
      <c r="T186" t="s">
        <v>779</v>
      </c>
    </row>
    <row r="187" spans="1:20" x14ac:dyDescent="0.3">
      <c r="A187">
        <v>177</v>
      </c>
      <c r="B187">
        <v>48</v>
      </c>
      <c r="C187">
        <v>3</v>
      </c>
      <c r="D187">
        <v>93.92</v>
      </c>
      <c r="E187">
        <v>9.39</v>
      </c>
      <c r="F187">
        <v>0</v>
      </c>
      <c r="G187">
        <v>0.1</v>
      </c>
      <c r="H187" t="s">
        <v>622</v>
      </c>
      <c r="J187" t="s">
        <v>623</v>
      </c>
      <c r="K187" s="1"/>
      <c r="L187" s="1">
        <v>45971.512650462966</v>
      </c>
      <c r="M187" s="2">
        <v>45971</v>
      </c>
      <c r="N187" t="s">
        <v>630</v>
      </c>
      <c r="O187" t="s">
        <v>625</v>
      </c>
      <c r="P187">
        <v>1</v>
      </c>
      <c r="Q187">
        <v>0</v>
      </c>
      <c r="R187">
        <v>93.92</v>
      </c>
      <c r="S187" t="s">
        <v>92</v>
      </c>
      <c r="T187" t="s">
        <v>777</v>
      </c>
    </row>
    <row r="188" spans="1:20" x14ac:dyDescent="0.3">
      <c r="A188">
        <v>207</v>
      </c>
      <c r="B188">
        <v>48</v>
      </c>
      <c r="C188">
        <v>3</v>
      </c>
      <c r="D188">
        <v>111.86</v>
      </c>
      <c r="E188">
        <v>11.19</v>
      </c>
      <c r="F188">
        <v>0</v>
      </c>
      <c r="G188">
        <v>0.1</v>
      </c>
      <c r="H188" t="s">
        <v>622</v>
      </c>
      <c r="J188" t="s">
        <v>623</v>
      </c>
      <c r="K188" s="1"/>
      <c r="L188" s="1">
        <v>45974.697025462963</v>
      </c>
      <c r="M188" s="2">
        <v>45974</v>
      </c>
      <c r="N188" t="s">
        <v>630</v>
      </c>
      <c r="O188" t="s">
        <v>625</v>
      </c>
      <c r="P188">
        <v>1</v>
      </c>
      <c r="Q188">
        <v>0</v>
      </c>
      <c r="R188">
        <v>111.86</v>
      </c>
      <c r="S188" t="s">
        <v>92</v>
      </c>
      <c r="T188" t="s">
        <v>777</v>
      </c>
    </row>
    <row r="189" spans="1:20" x14ac:dyDescent="0.3">
      <c r="A189">
        <v>46</v>
      </c>
      <c r="B189">
        <v>293</v>
      </c>
      <c r="C189">
        <v>3</v>
      </c>
      <c r="D189">
        <v>27.58</v>
      </c>
      <c r="E189">
        <v>2.76</v>
      </c>
      <c r="F189">
        <v>0</v>
      </c>
      <c r="G189">
        <v>0.1</v>
      </c>
      <c r="H189" t="s">
        <v>622</v>
      </c>
      <c r="J189" t="s">
        <v>623</v>
      </c>
      <c r="K189" s="1"/>
      <c r="L189" s="1">
        <v>45956.712106481478</v>
      </c>
      <c r="M189" s="2">
        <v>45956</v>
      </c>
      <c r="N189" t="s">
        <v>624</v>
      </c>
      <c r="O189" t="s">
        <v>625</v>
      </c>
      <c r="P189">
        <v>1</v>
      </c>
      <c r="Q189">
        <v>0</v>
      </c>
      <c r="R189">
        <v>27.58</v>
      </c>
      <c r="S189" t="s">
        <v>581</v>
      </c>
      <c r="T189" t="s">
        <v>777</v>
      </c>
    </row>
    <row r="190" spans="1:20" x14ac:dyDescent="0.3">
      <c r="A190">
        <v>121</v>
      </c>
      <c r="B190">
        <v>293</v>
      </c>
      <c r="C190">
        <v>4</v>
      </c>
      <c r="D190">
        <v>30.19</v>
      </c>
      <c r="E190">
        <v>3.02</v>
      </c>
      <c r="F190">
        <v>0</v>
      </c>
      <c r="G190">
        <v>0.1</v>
      </c>
      <c r="H190" t="s">
        <v>622</v>
      </c>
      <c r="J190" t="s">
        <v>623</v>
      </c>
      <c r="K190" s="1"/>
      <c r="L190" s="1">
        <v>45965.627604166664</v>
      </c>
      <c r="M190" s="2">
        <v>45965</v>
      </c>
      <c r="N190" t="s">
        <v>630</v>
      </c>
      <c r="O190" t="s">
        <v>625</v>
      </c>
      <c r="P190">
        <v>1</v>
      </c>
      <c r="Q190">
        <v>0</v>
      </c>
      <c r="R190">
        <v>30.19</v>
      </c>
      <c r="S190" t="s">
        <v>581</v>
      </c>
      <c r="T190" t="s">
        <v>778</v>
      </c>
    </row>
    <row r="191" spans="1:20" x14ac:dyDescent="0.3">
      <c r="A191">
        <v>224</v>
      </c>
      <c r="B191">
        <v>293</v>
      </c>
      <c r="C191">
        <v>4</v>
      </c>
      <c r="D191">
        <v>28.92</v>
      </c>
      <c r="E191">
        <v>2.89</v>
      </c>
      <c r="F191">
        <v>0</v>
      </c>
      <c r="G191">
        <v>0.1</v>
      </c>
      <c r="H191" t="s">
        <v>622</v>
      </c>
      <c r="J191" t="s">
        <v>623</v>
      </c>
      <c r="K191" s="1"/>
      <c r="L191" s="1">
        <v>45976.389444444445</v>
      </c>
      <c r="M191" s="2">
        <v>45976</v>
      </c>
      <c r="N191" t="s">
        <v>630</v>
      </c>
      <c r="O191" t="s">
        <v>625</v>
      </c>
      <c r="P191">
        <v>1</v>
      </c>
      <c r="Q191">
        <v>0</v>
      </c>
      <c r="R191">
        <v>28.92</v>
      </c>
      <c r="S191" t="s">
        <v>581</v>
      </c>
      <c r="T191" t="s">
        <v>778</v>
      </c>
    </row>
    <row r="192" spans="1:20" x14ac:dyDescent="0.3">
      <c r="A192">
        <v>47</v>
      </c>
      <c r="B192">
        <v>62</v>
      </c>
      <c r="C192">
        <v>2</v>
      </c>
      <c r="D192">
        <v>57.29</v>
      </c>
      <c r="E192">
        <v>5.73</v>
      </c>
      <c r="F192">
        <v>0</v>
      </c>
      <c r="G192">
        <v>0.1</v>
      </c>
      <c r="H192" t="s">
        <v>622</v>
      </c>
      <c r="J192" t="s">
        <v>623</v>
      </c>
      <c r="K192" s="1"/>
      <c r="L192" s="1">
        <v>45956.759687500002</v>
      </c>
      <c r="M192" s="2">
        <v>45956</v>
      </c>
      <c r="N192" t="s">
        <v>624</v>
      </c>
      <c r="O192" t="s">
        <v>625</v>
      </c>
      <c r="P192">
        <v>1</v>
      </c>
      <c r="Q192">
        <v>0</v>
      </c>
      <c r="R192">
        <v>57.29</v>
      </c>
      <c r="S192" t="s">
        <v>120</v>
      </c>
      <c r="T192" t="s">
        <v>776</v>
      </c>
    </row>
    <row r="193" spans="1:20" x14ac:dyDescent="0.3">
      <c r="A193">
        <v>80</v>
      </c>
      <c r="B193">
        <v>62</v>
      </c>
      <c r="C193">
        <v>4</v>
      </c>
      <c r="D193">
        <v>72.959999999999994</v>
      </c>
      <c r="E193">
        <v>7.3</v>
      </c>
      <c r="F193">
        <v>0</v>
      </c>
      <c r="G193">
        <v>0.1</v>
      </c>
      <c r="H193" t="s">
        <v>622</v>
      </c>
      <c r="J193" t="s">
        <v>623</v>
      </c>
      <c r="K193" s="1"/>
      <c r="L193" s="1">
        <v>45961.336388888885</v>
      </c>
      <c r="M193" s="2">
        <v>45961</v>
      </c>
      <c r="N193" t="s">
        <v>624</v>
      </c>
      <c r="O193" t="s">
        <v>625</v>
      </c>
      <c r="P193">
        <v>1</v>
      </c>
      <c r="Q193">
        <v>0</v>
      </c>
      <c r="R193">
        <v>72.959999999999994</v>
      </c>
      <c r="S193" t="s">
        <v>120</v>
      </c>
      <c r="T193" t="s">
        <v>778</v>
      </c>
    </row>
    <row r="194" spans="1:20" x14ac:dyDescent="0.3">
      <c r="A194">
        <v>158</v>
      </c>
      <c r="B194">
        <v>54</v>
      </c>
      <c r="C194">
        <v>2</v>
      </c>
      <c r="D194">
        <v>27.16</v>
      </c>
      <c r="E194">
        <v>2.72</v>
      </c>
      <c r="F194">
        <v>0</v>
      </c>
      <c r="G194">
        <v>0.1</v>
      </c>
      <c r="H194" t="s">
        <v>622</v>
      </c>
      <c r="J194" t="s">
        <v>623</v>
      </c>
      <c r="K194" s="1"/>
      <c r="L194" s="1">
        <v>45969.521053240744</v>
      </c>
      <c r="M194" s="2">
        <v>45969</v>
      </c>
      <c r="N194" t="s">
        <v>630</v>
      </c>
      <c r="O194" t="s">
        <v>625</v>
      </c>
      <c r="P194">
        <v>1</v>
      </c>
      <c r="Q194">
        <v>0</v>
      </c>
      <c r="R194">
        <v>27.16</v>
      </c>
      <c r="S194" t="s">
        <v>104</v>
      </c>
      <c r="T194" t="s">
        <v>776</v>
      </c>
    </row>
    <row r="195" spans="1:20" x14ac:dyDescent="0.3">
      <c r="A195">
        <v>160</v>
      </c>
      <c r="B195">
        <v>54</v>
      </c>
      <c r="C195">
        <v>3</v>
      </c>
      <c r="D195">
        <v>34.950000000000003</v>
      </c>
      <c r="E195">
        <v>3.5</v>
      </c>
      <c r="F195">
        <v>0</v>
      </c>
      <c r="G195">
        <v>0.1</v>
      </c>
      <c r="H195" t="s">
        <v>622</v>
      </c>
      <c r="J195" t="s">
        <v>623</v>
      </c>
      <c r="K195" s="1"/>
      <c r="L195" s="1">
        <v>45969.592222222222</v>
      </c>
      <c r="M195" s="2">
        <v>45969</v>
      </c>
      <c r="N195" t="s">
        <v>630</v>
      </c>
      <c r="O195" t="s">
        <v>625</v>
      </c>
      <c r="P195">
        <v>1</v>
      </c>
      <c r="Q195">
        <v>0</v>
      </c>
      <c r="R195">
        <v>34.950000000000003</v>
      </c>
      <c r="S195" t="s">
        <v>104</v>
      </c>
      <c r="T195" t="s">
        <v>777</v>
      </c>
    </row>
    <row r="196" spans="1:20" x14ac:dyDescent="0.3">
      <c r="A196">
        <v>53</v>
      </c>
      <c r="B196">
        <v>59</v>
      </c>
      <c r="C196">
        <v>4</v>
      </c>
      <c r="D196">
        <v>21.53</v>
      </c>
      <c r="E196">
        <v>2.15</v>
      </c>
      <c r="F196">
        <v>0</v>
      </c>
      <c r="G196">
        <v>0.1</v>
      </c>
      <c r="H196" t="s">
        <v>622</v>
      </c>
      <c r="J196" t="s">
        <v>623</v>
      </c>
      <c r="K196" s="1"/>
      <c r="L196" s="1">
        <v>45957.648611111108</v>
      </c>
      <c r="M196" s="2">
        <v>45957</v>
      </c>
      <c r="N196" t="s">
        <v>624</v>
      </c>
      <c r="O196" t="s">
        <v>625</v>
      </c>
      <c r="P196">
        <v>1</v>
      </c>
      <c r="Q196">
        <v>0</v>
      </c>
      <c r="R196">
        <v>21.53</v>
      </c>
      <c r="S196" t="s">
        <v>114</v>
      </c>
      <c r="T196" t="s">
        <v>778</v>
      </c>
    </row>
    <row r="197" spans="1:20" x14ac:dyDescent="0.3">
      <c r="A197">
        <v>115</v>
      </c>
      <c r="B197">
        <v>59</v>
      </c>
      <c r="C197">
        <v>3</v>
      </c>
      <c r="D197">
        <v>17.88</v>
      </c>
      <c r="E197">
        <v>1.79</v>
      </c>
      <c r="F197">
        <v>0</v>
      </c>
      <c r="G197">
        <v>0.1</v>
      </c>
      <c r="H197" t="s">
        <v>622</v>
      </c>
      <c r="J197" t="s">
        <v>623</v>
      </c>
      <c r="K197" s="1"/>
      <c r="L197" s="1">
        <v>45964.76734953704</v>
      </c>
      <c r="M197" s="2">
        <v>45964</v>
      </c>
      <c r="N197" t="s">
        <v>630</v>
      </c>
      <c r="O197" t="s">
        <v>625</v>
      </c>
      <c r="P197">
        <v>1</v>
      </c>
      <c r="Q197">
        <v>0</v>
      </c>
      <c r="R197">
        <v>17.88</v>
      </c>
      <c r="S197" t="s">
        <v>114</v>
      </c>
      <c r="T197" t="s">
        <v>777</v>
      </c>
    </row>
    <row r="198" spans="1:20" x14ac:dyDescent="0.3">
      <c r="A198">
        <v>246</v>
      </c>
      <c r="B198">
        <v>59</v>
      </c>
      <c r="C198">
        <v>2</v>
      </c>
      <c r="D198">
        <v>22.78</v>
      </c>
      <c r="E198">
        <v>2.2799999999999998</v>
      </c>
      <c r="F198">
        <v>0</v>
      </c>
      <c r="G198">
        <v>0.1</v>
      </c>
      <c r="H198" t="s">
        <v>622</v>
      </c>
      <c r="J198" t="s">
        <v>623</v>
      </c>
      <c r="K198" s="1"/>
      <c r="L198" s="1">
        <v>45978.372314814813</v>
      </c>
      <c r="M198" s="2">
        <v>45978</v>
      </c>
      <c r="N198" t="s">
        <v>630</v>
      </c>
      <c r="O198" t="s">
        <v>625</v>
      </c>
      <c r="P198">
        <v>1</v>
      </c>
      <c r="Q198">
        <v>0</v>
      </c>
      <c r="R198">
        <v>22.78</v>
      </c>
      <c r="S198" t="s">
        <v>114</v>
      </c>
      <c r="T198" t="s">
        <v>776</v>
      </c>
    </row>
    <row r="199" spans="1:20" x14ac:dyDescent="0.3">
      <c r="A199">
        <v>249</v>
      </c>
      <c r="B199">
        <v>59</v>
      </c>
      <c r="C199">
        <v>2</v>
      </c>
      <c r="D199">
        <v>18.13</v>
      </c>
      <c r="E199">
        <v>1.81</v>
      </c>
      <c r="F199">
        <v>0</v>
      </c>
      <c r="G199">
        <v>0.1</v>
      </c>
      <c r="H199" t="s">
        <v>622</v>
      </c>
      <c r="J199" t="s">
        <v>623</v>
      </c>
      <c r="K199" s="1"/>
      <c r="L199" s="1">
        <v>45978.499988425923</v>
      </c>
      <c r="M199" s="2">
        <v>45978</v>
      </c>
      <c r="N199" t="s">
        <v>630</v>
      </c>
      <c r="O199" t="s">
        <v>625</v>
      </c>
      <c r="P199">
        <v>1</v>
      </c>
      <c r="Q199">
        <v>0</v>
      </c>
      <c r="R199">
        <v>18.13</v>
      </c>
      <c r="S199" t="s">
        <v>114</v>
      </c>
      <c r="T199" t="s">
        <v>776</v>
      </c>
    </row>
    <row r="200" spans="1:20" x14ac:dyDescent="0.3">
      <c r="A200">
        <v>261</v>
      </c>
      <c r="B200">
        <v>59</v>
      </c>
      <c r="C200">
        <v>2</v>
      </c>
      <c r="D200">
        <v>15.02</v>
      </c>
      <c r="E200">
        <v>1.5</v>
      </c>
      <c r="F200">
        <v>0</v>
      </c>
      <c r="G200">
        <v>0.1</v>
      </c>
      <c r="H200" t="s">
        <v>622</v>
      </c>
      <c r="J200" t="s">
        <v>623</v>
      </c>
      <c r="K200" s="1"/>
      <c r="L200" s="1">
        <v>45979.642314814817</v>
      </c>
      <c r="M200" s="2">
        <v>45979</v>
      </c>
      <c r="N200" t="s">
        <v>630</v>
      </c>
      <c r="O200" t="s">
        <v>625</v>
      </c>
      <c r="P200">
        <v>1</v>
      </c>
      <c r="Q200">
        <v>0</v>
      </c>
      <c r="R200">
        <v>15.02</v>
      </c>
      <c r="S200" t="s">
        <v>114</v>
      </c>
      <c r="T200" t="s">
        <v>776</v>
      </c>
    </row>
    <row r="201" spans="1:20" x14ac:dyDescent="0.3">
      <c r="A201">
        <v>296</v>
      </c>
      <c r="B201">
        <v>59</v>
      </c>
      <c r="C201">
        <v>4</v>
      </c>
      <c r="D201">
        <v>30.7</v>
      </c>
      <c r="E201">
        <v>3.07</v>
      </c>
      <c r="F201">
        <v>0</v>
      </c>
      <c r="G201">
        <v>0.1</v>
      </c>
      <c r="H201" t="s">
        <v>622</v>
      </c>
      <c r="J201" t="s">
        <v>623</v>
      </c>
      <c r="K201" s="1"/>
      <c r="L201" s="1">
        <v>45982.718229166669</v>
      </c>
      <c r="M201" s="2">
        <v>45982</v>
      </c>
      <c r="N201" t="s">
        <v>630</v>
      </c>
      <c r="O201" t="s">
        <v>625</v>
      </c>
      <c r="P201">
        <v>1</v>
      </c>
      <c r="Q201">
        <v>0</v>
      </c>
      <c r="R201">
        <v>30.7</v>
      </c>
      <c r="S201" t="s">
        <v>114</v>
      </c>
      <c r="T201" t="s">
        <v>778</v>
      </c>
    </row>
    <row r="202" spans="1:20" x14ac:dyDescent="0.3">
      <c r="A202">
        <v>54</v>
      </c>
      <c r="B202">
        <v>154</v>
      </c>
      <c r="C202">
        <v>4</v>
      </c>
      <c r="D202">
        <v>49.02</v>
      </c>
      <c r="E202">
        <v>4.9000000000000004</v>
      </c>
      <c r="F202">
        <v>0</v>
      </c>
      <c r="G202">
        <v>0.1</v>
      </c>
      <c r="H202" t="s">
        <v>622</v>
      </c>
      <c r="J202" t="s">
        <v>623</v>
      </c>
      <c r="K202" s="1"/>
      <c r="L202" s="1">
        <v>45957.686932870369</v>
      </c>
      <c r="M202" s="2">
        <v>45957</v>
      </c>
      <c r="N202" t="s">
        <v>624</v>
      </c>
      <c r="O202" t="s">
        <v>625</v>
      </c>
      <c r="P202">
        <v>1</v>
      </c>
      <c r="Q202">
        <v>0</v>
      </c>
      <c r="R202">
        <v>49.02</v>
      </c>
      <c r="S202" t="s">
        <v>303</v>
      </c>
      <c r="T202" t="s">
        <v>778</v>
      </c>
    </row>
    <row r="203" spans="1:20" x14ac:dyDescent="0.3">
      <c r="A203">
        <v>59</v>
      </c>
      <c r="B203">
        <v>154</v>
      </c>
      <c r="C203">
        <v>5</v>
      </c>
      <c r="D203">
        <v>47.42</v>
      </c>
      <c r="E203">
        <v>4.74</v>
      </c>
      <c r="F203">
        <v>0</v>
      </c>
      <c r="G203">
        <v>0.1</v>
      </c>
      <c r="H203" t="s">
        <v>622</v>
      </c>
      <c r="J203" t="s">
        <v>623</v>
      </c>
      <c r="K203" s="1"/>
      <c r="L203" s="1">
        <v>45958.642141203702</v>
      </c>
      <c r="M203" s="2">
        <v>45958</v>
      </c>
      <c r="N203" t="s">
        <v>624</v>
      </c>
      <c r="O203" t="s">
        <v>625</v>
      </c>
      <c r="P203">
        <v>1</v>
      </c>
      <c r="Q203">
        <v>0</v>
      </c>
      <c r="R203">
        <v>47.42</v>
      </c>
      <c r="S203" t="s">
        <v>303</v>
      </c>
      <c r="T203" t="s">
        <v>779</v>
      </c>
    </row>
    <row r="204" spans="1:20" x14ac:dyDescent="0.3">
      <c r="A204">
        <v>90</v>
      </c>
      <c r="B204">
        <v>154</v>
      </c>
      <c r="C204">
        <v>2</v>
      </c>
      <c r="D204">
        <v>30.08</v>
      </c>
      <c r="E204">
        <v>3.01</v>
      </c>
      <c r="F204">
        <v>0</v>
      </c>
      <c r="G204">
        <v>0.1</v>
      </c>
      <c r="H204" t="s">
        <v>622</v>
      </c>
      <c r="J204" t="s">
        <v>623</v>
      </c>
      <c r="K204" s="1"/>
      <c r="L204" s="1">
        <v>45962.333599537036</v>
      </c>
      <c r="M204" s="2">
        <v>45962</v>
      </c>
      <c r="N204" t="s">
        <v>630</v>
      </c>
      <c r="O204" t="s">
        <v>625</v>
      </c>
      <c r="P204">
        <v>1</v>
      </c>
      <c r="Q204">
        <v>0</v>
      </c>
      <c r="R204">
        <v>30.08</v>
      </c>
      <c r="S204" t="s">
        <v>303</v>
      </c>
      <c r="T204" t="s">
        <v>776</v>
      </c>
    </row>
    <row r="205" spans="1:20" x14ac:dyDescent="0.3">
      <c r="A205">
        <v>116</v>
      </c>
      <c r="B205">
        <v>154</v>
      </c>
      <c r="C205">
        <v>5</v>
      </c>
      <c r="D205">
        <v>41.12</v>
      </c>
      <c r="E205">
        <v>4.1100000000000003</v>
      </c>
      <c r="F205">
        <v>0</v>
      </c>
      <c r="G205">
        <v>0.1</v>
      </c>
      <c r="H205" t="s">
        <v>622</v>
      </c>
      <c r="J205" t="s">
        <v>623</v>
      </c>
      <c r="K205" s="1"/>
      <c r="L205" s="1">
        <v>45964.776712962965</v>
      </c>
      <c r="M205" s="2">
        <v>45964</v>
      </c>
      <c r="N205" t="s">
        <v>630</v>
      </c>
      <c r="O205" t="s">
        <v>625</v>
      </c>
      <c r="P205">
        <v>1</v>
      </c>
      <c r="Q205">
        <v>0</v>
      </c>
      <c r="R205">
        <v>41.12</v>
      </c>
      <c r="S205" t="s">
        <v>303</v>
      </c>
      <c r="T205" t="s">
        <v>779</v>
      </c>
    </row>
    <row r="206" spans="1:20" x14ac:dyDescent="0.3">
      <c r="A206">
        <v>178</v>
      </c>
      <c r="B206">
        <v>154</v>
      </c>
      <c r="C206">
        <v>4</v>
      </c>
      <c r="D206">
        <v>35.24</v>
      </c>
      <c r="E206">
        <v>3.52</v>
      </c>
      <c r="F206">
        <v>0</v>
      </c>
      <c r="G206">
        <v>0.1</v>
      </c>
      <c r="H206" t="s">
        <v>622</v>
      </c>
      <c r="J206" t="s">
        <v>623</v>
      </c>
      <c r="K206" s="1"/>
      <c r="L206" s="1">
        <v>45971.518275462964</v>
      </c>
      <c r="M206" s="2">
        <v>45971</v>
      </c>
      <c r="N206" t="s">
        <v>630</v>
      </c>
      <c r="O206" t="s">
        <v>625</v>
      </c>
      <c r="P206">
        <v>1</v>
      </c>
      <c r="Q206">
        <v>0</v>
      </c>
      <c r="R206">
        <v>35.24</v>
      </c>
      <c r="S206" t="s">
        <v>303</v>
      </c>
      <c r="T206" t="s">
        <v>778</v>
      </c>
    </row>
    <row r="207" spans="1:20" x14ac:dyDescent="0.3">
      <c r="A207">
        <v>232</v>
      </c>
      <c r="B207">
        <v>60</v>
      </c>
      <c r="C207">
        <v>5</v>
      </c>
      <c r="D207">
        <v>172.15</v>
      </c>
      <c r="E207">
        <v>17.22</v>
      </c>
      <c r="F207">
        <v>0</v>
      </c>
      <c r="G207">
        <v>0.1</v>
      </c>
      <c r="H207" t="s">
        <v>622</v>
      </c>
      <c r="J207" t="s">
        <v>623</v>
      </c>
      <c r="K207" s="1"/>
      <c r="L207" s="1">
        <v>45976.707650462966</v>
      </c>
      <c r="M207" s="2">
        <v>45976</v>
      </c>
      <c r="N207" t="s">
        <v>630</v>
      </c>
      <c r="O207" t="s">
        <v>625</v>
      </c>
      <c r="P207">
        <v>1</v>
      </c>
      <c r="Q207">
        <v>0</v>
      </c>
      <c r="R207">
        <v>172.15</v>
      </c>
      <c r="S207" t="s">
        <v>116</v>
      </c>
      <c r="T207" t="s">
        <v>779</v>
      </c>
    </row>
    <row r="208" spans="1:20" x14ac:dyDescent="0.3">
      <c r="A208">
        <v>62</v>
      </c>
      <c r="B208">
        <v>61</v>
      </c>
      <c r="C208">
        <v>3</v>
      </c>
      <c r="D208">
        <v>64.510000000000005</v>
      </c>
      <c r="E208">
        <v>6.45</v>
      </c>
      <c r="F208">
        <v>0</v>
      </c>
      <c r="G208">
        <v>0.1</v>
      </c>
      <c r="H208" t="s">
        <v>622</v>
      </c>
      <c r="J208" t="s">
        <v>623</v>
      </c>
      <c r="K208" s="1"/>
      <c r="L208" s="1">
        <v>45958.700613425928</v>
      </c>
      <c r="M208" s="2">
        <v>45958</v>
      </c>
      <c r="N208" t="s">
        <v>624</v>
      </c>
      <c r="O208" t="s">
        <v>625</v>
      </c>
      <c r="P208">
        <v>1</v>
      </c>
      <c r="Q208">
        <v>0</v>
      </c>
      <c r="R208">
        <v>64.510000000000005</v>
      </c>
      <c r="S208" t="s">
        <v>118</v>
      </c>
      <c r="T208" t="s">
        <v>777</v>
      </c>
    </row>
    <row r="209" spans="1:20" x14ac:dyDescent="0.3">
      <c r="A209">
        <v>91</v>
      </c>
      <c r="B209">
        <v>61</v>
      </c>
      <c r="C209">
        <v>4</v>
      </c>
      <c r="D209">
        <v>82.19</v>
      </c>
      <c r="E209">
        <v>8.2200000000000006</v>
      </c>
      <c r="F209">
        <v>0</v>
      </c>
      <c r="G209">
        <v>0.1</v>
      </c>
      <c r="H209" t="s">
        <v>622</v>
      </c>
      <c r="J209" t="s">
        <v>623</v>
      </c>
      <c r="K209" s="1"/>
      <c r="L209" s="1">
        <v>45962.352164351854</v>
      </c>
      <c r="M209" s="2">
        <v>45962</v>
      </c>
      <c r="N209" t="s">
        <v>630</v>
      </c>
      <c r="O209" t="s">
        <v>625</v>
      </c>
      <c r="P209">
        <v>1</v>
      </c>
      <c r="Q209">
        <v>0</v>
      </c>
      <c r="R209">
        <v>82.19</v>
      </c>
      <c r="S209" t="s">
        <v>118</v>
      </c>
      <c r="T209" t="s">
        <v>778</v>
      </c>
    </row>
    <row r="210" spans="1:20" x14ac:dyDescent="0.3">
      <c r="A210">
        <v>112</v>
      </c>
      <c r="B210">
        <v>61</v>
      </c>
      <c r="C210">
        <v>5</v>
      </c>
      <c r="D210">
        <v>144.91999999999999</v>
      </c>
      <c r="E210">
        <v>14.49</v>
      </c>
      <c r="F210">
        <v>0</v>
      </c>
      <c r="G210">
        <v>0.1</v>
      </c>
      <c r="H210" t="s">
        <v>622</v>
      </c>
      <c r="J210" t="s">
        <v>623</v>
      </c>
      <c r="K210" s="1"/>
      <c r="L210" s="1">
        <v>45964.516053240739</v>
      </c>
      <c r="M210" s="2">
        <v>45964</v>
      </c>
      <c r="N210" t="s">
        <v>630</v>
      </c>
      <c r="O210" t="s">
        <v>625</v>
      </c>
      <c r="P210">
        <v>1</v>
      </c>
      <c r="Q210">
        <v>0</v>
      </c>
      <c r="R210">
        <v>144.91999999999999</v>
      </c>
      <c r="S210" t="s">
        <v>118</v>
      </c>
      <c r="T210" t="s">
        <v>779</v>
      </c>
    </row>
    <row r="211" spans="1:20" x14ac:dyDescent="0.3">
      <c r="A211">
        <v>113</v>
      </c>
      <c r="B211">
        <v>61</v>
      </c>
      <c r="C211">
        <v>2</v>
      </c>
      <c r="D211">
        <v>30.54</v>
      </c>
      <c r="E211">
        <v>3.05</v>
      </c>
      <c r="F211">
        <v>0</v>
      </c>
      <c r="G211">
        <v>0.1</v>
      </c>
      <c r="H211" t="s">
        <v>622</v>
      </c>
      <c r="J211" t="s">
        <v>623</v>
      </c>
      <c r="K211" s="1"/>
      <c r="L211" s="1">
        <v>45964.663518518515</v>
      </c>
      <c r="M211" s="2">
        <v>45964</v>
      </c>
      <c r="N211" t="s">
        <v>630</v>
      </c>
      <c r="O211" t="s">
        <v>625</v>
      </c>
      <c r="P211">
        <v>1</v>
      </c>
      <c r="Q211">
        <v>0</v>
      </c>
      <c r="R211">
        <v>30.54</v>
      </c>
      <c r="S211" t="s">
        <v>118</v>
      </c>
      <c r="T211" t="s">
        <v>776</v>
      </c>
    </row>
    <row r="212" spans="1:20" x14ac:dyDescent="0.3">
      <c r="A212">
        <v>132</v>
      </c>
      <c r="B212">
        <v>61</v>
      </c>
      <c r="C212">
        <v>5</v>
      </c>
      <c r="D212">
        <v>72.61</v>
      </c>
      <c r="E212">
        <v>7.26</v>
      </c>
      <c r="F212">
        <v>0</v>
      </c>
      <c r="G212">
        <v>0.1</v>
      </c>
      <c r="H212" t="s">
        <v>622</v>
      </c>
      <c r="J212" t="s">
        <v>623</v>
      </c>
      <c r="K212" s="1"/>
      <c r="L212" s="1">
        <v>45966.621145833335</v>
      </c>
      <c r="M212" s="2">
        <v>45966</v>
      </c>
      <c r="N212" t="s">
        <v>630</v>
      </c>
      <c r="O212" t="s">
        <v>625</v>
      </c>
      <c r="P212">
        <v>1</v>
      </c>
      <c r="Q212">
        <v>0</v>
      </c>
      <c r="R212">
        <v>72.61</v>
      </c>
      <c r="S212" t="s">
        <v>118</v>
      </c>
      <c r="T212" t="s">
        <v>779</v>
      </c>
    </row>
    <row r="213" spans="1:20" x14ac:dyDescent="0.3">
      <c r="A213">
        <v>201</v>
      </c>
      <c r="B213">
        <v>61</v>
      </c>
      <c r="C213">
        <v>5</v>
      </c>
      <c r="D213">
        <v>130.29</v>
      </c>
      <c r="E213">
        <v>13.03</v>
      </c>
      <c r="F213">
        <v>0</v>
      </c>
      <c r="G213">
        <v>0.1</v>
      </c>
      <c r="H213" t="s">
        <v>622</v>
      </c>
      <c r="J213" t="s">
        <v>623</v>
      </c>
      <c r="K213" s="1"/>
      <c r="L213" s="1">
        <v>45974.403229166666</v>
      </c>
      <c r="M213" s="2">
        <v>45974</v>
      </c>
      <c r="N213" t="s">
        <v>630</v>
      </c>
      <c r="O213" t="s">
        <v>625</v>
      </c>
      <c r="P213">
        <v>1</v>
      </c>
      <c r="Q213">
        <v>0</v>
      </c>
      <c r="R213">
        <v>130.29</v>
      </c>
      <c r="S213" t="s">
        <v>118</v>
      </c>
      <c r="T213" t="s">
        <v>779</v>
      </c>
    </row>
    <row r="214" spans="1:20" x14ac:dyDescent="0.3">
      <c r="A214">
        <v>286</v>
      </c>
      <c r="B214">
        <v>61</v>
      </c>
      <c r="C214">
        <v>4</v>
      </c>
      <c r="D214">
        <v>220</v>
      </c>
      <c r="E214">
        <v>22</v>
      </c>
      <c r="F214">
        <v>0</v>
      </c>
      <c r="G214">
        <v>0.1</v>
      </c>
      <c r="H214" t="s">
        <v>622</v>
      </c>
      <c r="J214" t="s">
        <v>623</v>
      </c>
      <c r="K214" s="1"/>
      <c r="L214" s="1">
        <v>45982.330833333333</v>
      </c>
      <c r="M214" s="2">
        <v>45982</v>
      </c>
      <c r="N214" t="s">
        <v>630</v>
      </c>
      <c r="O214" t="s">
        <v>625</v>
      </c>
      <c r="P214">
        <v>1</v>
      </c>
      <c r="Q214">
        <v>0</v>
      </c>
      <c r="R214">
        <v>220</v>
      </c>
      <c r="S214" t="s">
        <v>118</v>
      </c>
      <c r="T214" t="s">
        <v>778</v>
      </c>
    </row>
    <row r="215" spans="1:20" x14ac:dyDescent="0.3">
      <c r="A215">
        <v>297</v>
      </c>
      <c r="B215">
        <v>61</v>
      </c>
      <c r="C215">
        <v>4</v>
      </c>
      <c r="D215">
        <v>91.02</v>
      </c>
      <c r="E215">
        <v>9.1</v>
      </c>
      <c r="F215">
        <v>0</v>
      </c>
      <c r="G215">
        <v>0.1</v>
      </c>
      <c r="H215" t="s">
        <v>622</v>
      </c>
      <c r="J215" t="s">
        <v>623</v>
      </c>
      <c r="K215" s="1"/>
      <c r="L215" s="1">
        <v>45982.772743055553</v>
      </c>
      <c r="M215" s="2">
        <v>45982</v>
      </c>
      <c r="N215" t="s">
        <v>630</v>
      </c>
      <c r="O215" t="s">
        <v>625</v>
      </c>
      <c r="P215">
        <v>1</v>
      </c>
      <c r="Q215">
        <v>0</v>
      </c>
      <c r="R215">
        <v>91.02</v>
      </c>
      <c r="S215" t="s">
        <v>118</v>
      </c>
      <c r="T215" t="s">
        <v>778</v>
      </c>
    </row>
    <row r="216" spans="1:20" x14ac:dyDescent="0.3">
      <c r="A216">
        <v>71</v>
      </c>
      <c r="B216">
        <v>64</v>
      </c>
      <c r="C216">
        <v>4</v>
      </c>
      <c r="D216">
        <v>52.18</v>
      </c>
      <c r="E216">
        <v>5.22</v>
      </c>
      <c r="F216">
        <v>0</v>
      </c>
      <c r="G216">
        <v>0.1</v>
      </c>
      <c r="H216" t="s">
        <v>622</v>
      </c>
      <c r="J216" t="s">
        <v>623</v>
      </c>
      <c r="K216" s="1"/>
      <c r="L216" s="1">
        <v>45959.761643518519</v>
      </c>
      <c r="M216" s="2">
        <v>45959</v>
      </c>
      <c r="N216" t="s">
        <v>624</v>
      </c>
      <c r="O216" t="s">
        <v>625</v>
      </c>
      <c r="P216">
        <v>1</v>
      </c>
      <c r="Q216">
        <v>0</v>
      </c>
      <c r="R216">
        <v>52.18</v>
      </c>
      <c r="S216" t="s">
        <v>124</v>
      </c>
      <c r="T216" t="s">
        <v>778</v>
      </c>
    </row>
    <row r="217" spans="1:20" x14ac:dyDescent="0.3">
      <c r="A217">
        <v>291</v>
      </c>
      <c r="B217">
        <v>64</v>
      </c>
      <c r="C217">
        <v>5</v>
      </c>
      <c r="D217">
        <v>29.73</v>
      </c>
      <c r="E217">
        <v>2.97</v>
      </c>
      <c r="F217">
        <v>0</v>
      </c>
      <c r="G217">
        <v>0.1</v>
      </c>
      <c r="H217" t="s">
        <v>622</v>
      </c>
      <c r="J217" t="s">
        <v>623</v>
      </c>
      <c r="K217" s="1"/>
      <c r="L217" s="1">
        <v>45982.483252314814</v>
      </c>
      <c r="M217" s="2">
        <v>45982</v>
      </c>
      <c r="N217" t="s">
        <v>630</v>
      </c>
      <c r="O217" t="s">
        <v>625</v>
      </c>
      <c r="P217">
        <v>1</v>
      </c>
      <c r="Q217">
        <v>0</v>
      </c>
      <c r="R217">
        <v>29.73</v>
      </c>
      <c r="S217" t="s">
        <v>124</v>
      </c>
      <c r="T217" t="s">
        <v>779</v>
      </c>
    </row>
    <row r="218" spans="1:20" x14ac:dyDescent="0.3">
      <c r="A218">
        <v>103</v>
      </c>
      <c r="B218">
        <v>69</v>
      </c>
      <c r="C218">
        <v>2</v>
      </c>
      <c r="D218">
        <v>21</v>
      </c>
      <c r="E218">
        <v>2.1</v>
      </c>
      <c r="F218">
        <v>0</v>
      </c>
      <c r="G218">
        <v>0.1</v>
      </c>
      <c r="H218" t="s">
        <v>622</v>
      </c>
      <c r="J218" t="s">
        <v>623</v>
      </c>
      <c r="K218" s="1"/>
      <c r="L218" s="1">
        <v>45963.698460648149</v>
      </c>
      <c r="M218" s="2">
        <v>45963</v>
      </c>
      <c r="N218" t="s">
        <v>630</v>
      </c>
      <c r="O218" t="s">
        <v>625</v>
      </c>
      <c r="P218">
        <v>1</v>
      </c>
      <c r="Q218">
        <v>0</v>
      </c>
      <c r="R218">
        <v>21</v>
      </c>
      <c r="S218" t="s">
        <v>134</v>
      </c>
      <c r="T218" t="s">
        <v>776</v>
      </c>
    </row>
    <row r="219" spans="1:20" x14ac:dyDescent="0.3">
      <c r="A219">
        <v>149</v>
      </c>
      <c r="B219">
        <v>69</v>
      </c>
      <c r="C219">
        <v>5</v>
      </c>
      <c r="D219">
        <v>32.94</v>
      </c>
      <c r="E219">
        <v>3.29</v>
      </c>
      <c r="F219">
        <v>0</v>
      </c>
      <c r="G219">
        <v>0.1</v>
      </c>
      <c r="H219" t="s">
        <v>622</v>
      </c>
      <c r="J219" t="s">
        <v>623</v>
      </c>
      <c r="K219" s="1"/>
      <c r="L219" s="1">
        <v>45968.827627314815</v>
      </c>
      <c r="M219" s="2">
        <v>45968</v>
      </c>
      <c r="N219" t="s">
        <v>630</v>
      </c>
      <c r="O219" t="s">
        <v>625</v>
      </c>
      <c r="P219">
        <v>1</v>
      </c>
      <c r="Q219">
        <v>0</v>
      </c>
      <c r="R219">
        <v>32.94</v>
      </c>
      <c r="S219" t="s">
        <v>134</v>
      </c>
      <c r="T219" t="s">
        <v>779</v>
      </c>
    </row>
    <row r="220" spans="1:20" x14ac:dyDescent="0.3">
      <c r="A220">
        <v>171</v>
      </c>
      <c r="B220">
        <v>69</v>
      </c>
      <c r="C220">
        <v>5</v>
      </c>
      <c r="D220">
        <v>23.16</v>
      </c>
      <c r="E220">
        <v>2.3199999999999998</v>
      </c>
      <c r="F220">
        <v>0</v>
      </c>
      <c r="G220">
        <v>0.1</v>
      </c>
      <c r="H220" t="s">
        <v>626</v>
      </c>
      <c r="I220">
        <v>2</v>
      </c>
      <c r="J220" t="s">
        <v>631</v>
      </c>
      <c r="K220" s="1">
        <v>45971.79787037037</v>
      </c>
      <c r="L220" s="1">
        <v>45971.381203703706</v>
      </c>
      <c r="M220" s="2">
        <v>45971</v>
      </c>
      <c r="N220" t="s">
        <v>630</v>
      </c>
      <c r="O220" t="s">
        <v>625</v>
      </c>
      <c r="P220">
        <v>1</v>
      </c>
      <c r="Q220">
        <v>1</v>
      </c>
      <c r="R220">
        <v>0</v>
      </c>
      <c r="S220" t="s">
        <v>134</v>
      </c>
      <c r="T220" t="s">
        <v>779</v>
      </c>
    </row>
    <row r="221" spans="1:20" x14ac:dyDescent="0.3">
      <c r="A221">
        <v>172</v>
      </c>
      <c r="B221">
        <v>69</v>
      </c>
      <c r="C221">
        <v>5</v>
      </c>
      <c r="D221">
        <v>51.37</v>
      </c>
      <c r="E221">
        <v>5.14</v>
      </c>
      <c r="F221">
        <v>0</v>
      </c>
      <c r="G221">
        <v>0.1</v>
      </c>
      <c r="H221" t="s">
        <v>622</v>
      </c>
      <c r="J221" t="s">
        <v>623</v>
      </c>
      <c r="K221" s="1"/>
      <c r="L221" s="1">
        <v>45971.401250000003</v>
      </c>
      <c r="M221" s="2">
        <v>45971</v>
      </c>
      <c r="N221" t="s">
        <v>630</v>
      </c>
      <c r="O221" t="s">
        <v>625</v>
      </c>
      <c r="P221">
        <v>1</v>
      </c>
      <c r="Q221">
        <v>0</v>
      </c>
      <c r="R221">
        <v>51.37</v>
      </c>
      <c r="S221" t="s">
        <v>134</v>
      </c>
      <c r="T221" t="s">
        <v>779</v>
      </c>
    </row>
    <row r="222" spans="1:20" x14ac:dyDescent="0.3">
      <c r="A222">
        <v>237</v>
      </c>
      <c r="B222">
        <v>69</v>
      </c>
      <c r="C222">
        <v>2</v>
      </c>
      <c r="D222">
        <v>46.6</v>
      </c>
      <c r="E222">
        <v>4.66</v>
      </c>
      <c r="F222">
        <v>0</v>
      </c>
      <c r="G222">
        <v>0.1</v>
      </c>
      <c r="H222" t="s">
        <v>622</v>
      </c>
      <c r="J222" t="s">
        <v>623</v>
      </c>
      <c r="K222" s="1"/>
      <c r="L222" s="1">
        <v>45977.594398148147</v>
      </c>
      <c r="M222" s="2">
        <v>45977</v>
      </c>
      <c r="N222" t="s">
        <v>630</v>
      </c>
      <c r="O222" t="s">
        <v>625</v>
      </c>
      <c r="P222">
        <v>1</v>
      </c>
      <c r="Q222">
        <v>0</v>
      </c>
      <c r="R222">
        <v>46.6</v>
      </c>
      <c r="S222" t="s">
        <v>134</v>
      </c>
      <c r="T222" t="s">
        <v>776</v>
      </c>
    </row>
    <row r="223" spans="1:20" x14ac:dyDescent="0.3">
      <c r="A223">
        <v>260</v>
      </c>
      <c r="B223">
        <v>69</v>
      </c>
      <c r="C223">
        <v>5</v>
      </c>
      <c r="D223">
        <v>33.29</v>
      </c>
      <c r="E223">
        <v>3.33</v>
      </c>
      <c r="F223">
        <v>0</v>
      </c>
      <c r="G223">
        <v>0.1</v>
      </c>
      <c r="H223" t="s">
        <v>622</v>
      </c>
      <c r="J223" t="s">
        <v>623</v>
      </c>
      <c r="K223" s="1"/>
      <c r="L223" s="1">
        <v>45979.611446759256</v>
      </c>
      <c r="M223" s="2">
        <v>45979</v>
      </c>
      <c r="N223" t="s">
        <v>630</v>
      </c>
      <c r="O223" t="s">
        <v>625</v>
      </c>
      <c r="P223">
        <v>1</v>
      </c>
      <c r="Q223">
        <v>0</v>
      </c>
      <c r="R223">
        <v>33.29</v>
      </c>
      <c r="S223" t="s">
        <v>134</v>
      </c>
      <c r="T223" t="s">
        <v>779</v>
      </c>
    </row>
    <row r="224" spans="1:20" x14ac:dyDescent="0.3">
      <c r="A224">
        <v>277</v>
      </c>
      <c r="B224">
        <v>69</v>
      </c>
      <c r="C224">
        <v>4</v>
      </c>
      <c r="D224">
        <v>40.42</v>
      </c>
      <c r="E224">
        <v>4.04</v>
      </c>
      <c r="F224">
        <v>0</v>
      </c>
      <c r="G224">
        <v>0.1</v>
      </c>
      <c r="H224" t="s">
        <v>622</v>
      </c>
      <c r="J224" t="s">
        <v>623</v>
      </c>
      <c r="K224" s="1"/>
      <c r="L224" s="1">
        <v>45981.410555555558</v>
      </c>
      <c r="M224" s="2">
        <v>45981</v>
      </c>
      <c r="N224" t="s">
        <v>630</v>
      </c>
      <c r="O224" t="s">
        <v>625</v>
      </c>
      <c r="P224">
        <v>1</v>
      </c>
      <c r="Q224">
        <v>0</v>
      </c>
      <c r="R224">
        <v>40.42</v>
      </c>
      <c r="S224" t="s">
        <v>134</v>
      </c>
      <c r="T224" t="s">
        <v>778</v>
      </c>
    </row>
    <row r="225" spans="1:20" x14ac:dyDescent="0.3">
      <c r="A225">
        <v>99</v>
      </c>
      <c r="B225">
        <v>70</v>
      </c>
      <c r="C225">
        <v>3</v>
      </c>
      <c r="D225">
        <v>143.82</v>
      </c>
      <c r="E225">
        <v>14.38</v>
      </c>
      <c r="F225">
        <v>0</v>
      </c>
      <c r="G225">
        <v>0.1</v>
      </c>
      <c r="H225" t="s">
        <v>626</v>
      </c>
      <c r="I225">
        <v>3</v>
      </c>
      <c r="J225" t="s">
        <v>631</v>
      </c>
      <c r="K225" s="1">
        <v>45963.071157407408</v>
      </c>
      <c r="L225" s="1">
        <v>45962.737824074073</v>
      </c>
      <c r="M225" s="2">
        <v>45962</v>
      </c>
      <c r="N225" t="s">
        <v>630</v>
      </c>
      <c r="O225" t="s">
        <v>625</v>
      </c>
      <c r="P225">
        <v>1</v>
      </c>
      <c r="Q225">
        <v>1</v>
      </c>
      <c r="R225">
        <v>0</v>
      </c>
      <c r="S225" t="s">
        <v>136</v>
      </c>
      <c r="T225" t="s">
        <v>777</v>
      </c>
    </row>
    <row r="226" spans="1:20" x14ac:dyDescent="0.3">
      <c r="A226">
        <v>147</v>
      </c>
      <c r="B226">
        <v>70</v>
      </c>
      <c r="C226">
        <v>2</v>
      </c>
      <c r="D226">
        <v>136.86000000000001</v>
      </c>
      <c r="E226">
        <v>13.69</v>
      </c>
      <c r="F226">
        <v>0</v>
      </c>
      <c r="G226">
        <v>0.1</v>
      </c>
      <c r="H226" t="s">
        <v>622</v>
      </c>
      <c r="J226" t="s">
        <v>623</v>
      </c>
      <c r="K226" s="1"/>
      <c r="L226" s="1">
        <v>45968.63003472222</v>
      </c>
      <c r="M226" s="2">
        <v>45968</v>
      </c>
      <c r="N226" t="s">
        <v>630</v>
      </c>
      <c r="O226" t="s">
        <v>625</v>
      </c>
      <c r="P226">
        <v>1</v>
      </c>
      <c r="Q226">
        <v>0</v>
      </c>
      <c r="R226">
        <v>136.86000000000001</v>
      </c>
      <c r="S226" t="s">
        <v>136</v>
      </c>
      <c r="T226" t="s">
        <v>776</v>
      </c>
    </row>
    <row r="227" spans="1:20" x14ac:dyDescent="0.3">
      <c r="A227">
        <v>222</v>
      </c>
      <c r="B227">
        <v>70</v>
      </c>
      <c r="C227">
        <v>2</v>
      </c>
      <c r="D227">
        <v>172.59</v>
      </c>
      <c r="E227">
        <v>17.260000000000002</v>
      </c>
      <c r="F227">
        <v>0</v>
      </c>
      <c r="G227">
        <v>0.1</v>
      </c>
      <c r="H227" t="s">
        <v>622</v>
      </c>
      <c r="J227" t="s">
        <v>623</v>
      </c>
      <c r="K227" s="1"/>
      <c r="L227" s="1">
        <v>45976.374467592592</v>
      </c>
      <c r="M227" s="2">
        <v>45976</v>
      </c>
      <c r="N227" t="s">
        <v>630</v>
      </c>
      <c r="O227" t="s">
        <v>625</v>
      </c>
      <c r="P227">
        <v>1</v>
      </c>
      <c r="Q227">
        <v>0</v>
      </c>
      <c r="R227">
        <v>172.59</v>
      </c>
      <c r="S227" t="s">
        <v>136</v>
      </c>
      <c r="T227" t="s">
        <v>776</v>
      </c>
    </row>
    <row r="228" spans="1:20" x14ac:dyDescent="0.3">
      <c r="A228">
        <v>75</v>
      </c>
      <c r="B228">
        <v>223</v>
      </c>
      <c r="C228">
        <v>3</v>
      </c>
      <c r="D228">
        <v>38.03</v>
      </c>
      <c r="E228">
        <v>3.8</v>
      </c>
      <c r="F228">
        <v>0</v>
      </c>
      <c r="G228">
        <v>0.1</v>
      </c>
      <c r="H228" t="s">
        <v>622</v>
      </c>
      <c r="J228" t="s">
        <v>623</v>
      </c>
      <c r="K228" s="1"/>
      <c r="L228" s="1">
        <v>45960.54010416667</v>
      </c>
      <c r="M228" s="2">
        <v>45960</v>
      </c>
      <c r="N228" t="s">
        <v>624</v>
      </c>
      <c r="O228" t="s">
        <v>625</v>
      </c>
      <c r="P228">
        <v>1</v>
      </c>
      <c r="Q228">
        <v>0</v>
      </c>
      <c r="R228">
        <v>38.03</v>
      </c>
      <c r="S228" t="s">
        <v>441</v>
      </c>
      <c r="T228" t="s">
        <v>777</v>
      </c>
    </row>
    <row r="229" spans="1:20" x14ac:dyDescent="0.3">
      <c r="A229">
        <v>76</v>
      </c>
      <c r="B229">
        <v>262</v>
      </c>
      <c r="C229">
        <v>5</v>
      </c>
      <c r="D229">
        <v>77.52</v>
      </c>
      <c r="E229">
        <v>7.75</v>
      </c>
      <c r="F229">
        <v>0</v>
      </c>
      <c r="G229">
        <v>0.1</v>
      </c>
      <c r="H229" t="s">
        <v>622</v>
      </c>
      <c r="J229" t="s">
        <v>623</v>
      </c>
      <c r="K229" s="1"/>
      <c r="L229" s="1">
        <v>45960.559062499997</v>
      </c>
      <c r="M229" s="2">
        <v>45960</v>
      </c>
      <c r="N229" t="s">
        <v>624</v>
      </c>
      <c r="O229" t="s">
        <v>625</v>
      </c>
      <c r="P229">
        <v>1</v>
      </c>
      <c r="Q229">
        <v>0</v>
      </c>
      <c r="R229">
        <v>77.52</v>
      </c>
      <c r="S229" t="s">
        <v>519</v>
      </c>
      <c r="T229" t="s">
        <v>779</v>
      </c>
    </row>
    <row r="230" spans="1:20" x14ac:dyDescent="0.3">
      <c r="A230">
        <v>78</v>
      </c>
      <c r="B230">
        <v>262</v>
      </c>
      <c r="C230">
        <v>5</v>
      </c>
      <c r="D230">
        <v>76.790000000000006</v>
      </c>
      <c r="E230">
        <v>7.68</v>
      </c>
      <c r="F230">
        <v>0</v>
      </c>
      <c r="G230">
        <v>0.1</v>
      </c>
      <c r="H230" t="s">
        <v>622</v>
      </c>
      <c r="J230" t="s">
        <v>623</v>
      </c>
      <c r="K230" s="1"/>
      <c r="L230" s="1">
        <v>45960.623159722221</v>
      </c>
      <c r="M230" s="2">
        <v>45960</v>
      </c>
      <c r="N230" t="s">
        <v>624</v>
      </c>
      <c r="O230" t="s">
        <v>625</v>
      </c>
      <c r="P230">
        <v>1</v>
      </c>
      <c r="Q230">
        <v>0</v>
      </c>
      <c r="R230">
        <v>76.790000000000006</v>
      </c>
      <c r="S230" t="s">
        <v>519</v>
      </c>
      <c r="T230" t="s">
        <v>779</v>
      </c>
    </row>
    <row r="231" spans="1:20" x14ac:dyDescent="0.3">
      <c r="A231">
        <v>215</v>
      </c>
      <c r="B231">
        <v>262</v>
      </c>
      <c r="C231">
        <v>2</v>
      </c>
      <c r="D231">
        <v>46.57</v>
      </c>
      <c r="E231">
        <v>4.66</v>
      </c>
      <c r="F231">
        <v>0</v>
      </c>
      <c r="G231">
        <v>0.1</v>
      </c>
      <c r="H231" t="s">
        <v>622</v>
      </c>
      <c r="J231" t="s">
        <v>623</v>
      </c>
      <c r="K231" s="1"/>
      <c r="L231" s="1">
        <v>45975.638009259259</v>
      </c>
      <c r="M231" s="2">
        <v>45975</v>
      </c>
      <c r="N231" t="s">
        <v>630</v>
      </c>
      <c r="O231" t="s">
        <v>625</v>
      </c>
      <c r="P231">
        <v>1</v>
      </c>
      <c r="Q231">
        <v>0</v>
      </c>
      <c r="R231">
        <v>46.57</v>
      </c>
      <c r="S231" t="s">
        <v>519</v>
      </c>
      <c r="T231" t="s">
        <v>776</v>
      </c>
    </row>
    <row r="232" spans="1:20" x14ac:dyDescent="0.3">
      <c r="A232">
        <v>242</v>
      </c>
      <c r="B232">
        <v>262</v>
      </c>
      <c r="C232">
        <v>5</v>
      </c>
      <c r="D232">
        <v>75.010000000000005</v>
      </c>
      <c r="E232">
        <v>7.5</v>
      </c>
      <c r="F232">
        <v>0</v>
      </c>
      <c r="G232">
        <v>0.1</v>
      </c>
      <c r="H232" t="s">
        <v>622</v>
      </c>
      <c r="J232" t="s">
        <v>623</v>
      </c>
      <c r="K232" s="1"/>
      <c r="L232" s="1">
        <v>45978.292268518519</v>
      </c>
      <c r="M232" s="2">
        <v>45978</v>
      </c>
      <c r="N232" t="s">
        <v>630</v>
      </c>
      <c r="O232" t="s">
        <v>625</v>
      </c>
      <c r="P232">
        <v>1</v>
      </c>
      <c r="Q232">
        <v>0</v>
      </c>
      <c r="R232">
        <v>75.010000000000005</v>
      </c>
      <c r="S232" t="s">
        <v>519</v>
      </c>
      <c r="T232" t="s">
        <v>779</v>
      </c>
    </row>
    <row r="233" spans="1:20" x14ac:dyDescent="0.3">
      <c r="A233">
        <v>253</v>
      </c>
      <c r="B233">
        <v>262</v>
      </c>
      <c r="C233">
        <v>5</v>
      </c>
      <c r="D233">
        <v>95.31</v>
      </c>
      <c r="E233">
        <v>9.5299999999999994</v>
      </c>
      <c r="F233">
        <v>0</v>
      </c>
      <c r="G233">
        <v>0.1</v>
      </c>
      <c r="H233" t="s">
        <v>622</v>
      </c>
      <c r="J233" t="s">
        <v>623</v>
      </c>
      <c r="K233" s="1"/>
      <c r="L233" s="1">
        <v>45978.656712962962</v>
      </c>
      <c r="M233" s="2">
        <v>45978</v>
      </c>
      <c r="N233" t="s">
        <v>630</v>
      </c>
      <c r="O233" t="s">
        <v>625</v>
      </c>
      <c r="P233">
        <v>1</v>
      </c>
      <c r="Q233">
        <v>0</v>
      </c>
      <c r="R233">
        <v>95.31</v>
      </c>
      <c r="S233" t="s">
        <v>519</v>
      </c>
      <c r="T233" t="s">
        <v>779</v>
      </c>
    </row>
    <row r="234" spans="1:20" x14ac:dyDescent="0.3">
      <c r="A234">
        <v>262</v>
      </c>
      <c r="B234">
        <v>262</v>
      </c>
      <c r="C234">
        <v>4</v>
      </c>
      <c r="D234">
        <v>81.53</v>
      </c>
      <c r="E234">
        <v>8.15</v>
      </c>
      <c r="F234">
        <v>0</v>
      </c>
      <c r="G234">
        <v>0.1</v>
      </c>
      <c r="H234" t="s">
        <v>622</v>
      </c>
      <c r="J234" t="s">
        <v>623</v>
      </c>
      <c r="K234" s="1"/>
      <c r="L234" s="1">
        <v>45979.677534722221</v>
      </c>
      <c r="M234" s="2">
        <v>45979</v>
      </c>
      <c r="N234" t="s">
        <v>630</v>
      </c>
      <c r="O234" t="s">
        <v>625</v>
      </c>
      <c r="P234">
        <v>1</v>
      </c>
      <c r="Q234">
        <v>0</v>
      </c>
      <c r="R234">
        <v>81.53</v>
      </c>
      <c r="S234" t="s">
        <v>519</v>
      </c>
      <c r="T234" t="s">
        <v>778</v>
      </c>
    </row>
    <row r="235" spans="1:20" x14ac:dyDescent="0.3">
      <c r="A235">
        <v>187</v>
      </c>
      <c r="B235">
        <v>81</v>
      </c>
      <c r="C235">
        <v>3</v>
      </c>
      <c r="D235">
        <v>21.87</v>
      </c>
      <c r="E235">
        <v>2.19</v>
      </c>
      <c r="F235">
        <v>0</v>
      </c>
      <c r="G235">
        <v>0.1</v>
      </c>
      <c r="H235" t="s">
        <v>622</v>
      </c>
      <c r="J235" t="s">
        <v>623</v>
      </c>
      <c r="K235" s="1"/>
      <c r="L235" s="1">
        <v>45972.671886574077</v>
      </c>
      <c r="M235" s="2">
        <v>45972</v>
      </c>
      <c r="N235" t="s">
        <v>630</v>
      </c>
      <c r="O235" t="s">
        <v>625</v>
      </c>
      <c r="P235">
        <v>1</v>
      </c>
      <c r="Q235">
        <v>0</v>
      </c>
      <c r="R235">
        <v>21.87</v>
      </c>
      <c r="S235" t="s">
        <v>84</v>
      </c>
      <c r="T235" t="s">
        <v>777</v>
      </c>
    </row>
    <row r="236" spans="1:20" x14ac:dyDescent="0.3">
      <c r="A236">
        <v>217</v>
      </c>
      <c r="B236">
        <v>81</v>
      </c>
      <c r="C236">
        <v>5</v>
      </c>
      <c r="D236">
        <v>14.34</v>
      </c>
      <c r="E236">
        <v>1.43</v>
      </c>
      <c r="F236">
        <v>0</v>
      </c>
      <c r="G236">
        <v>0.1</v>
      </c>
      <c r="H236" t="s">
        <v>622</v>
      </c>
      <c r="J236" t="s">
        <v>623</v>
      </c>
      <c r="K236" s="1"/>
      <c r="L236" s="1">
        <v>45975.697453703702</v>
      </c>
      <c r="M236" s="2">
        <v>45975</v>
      </c>
      <c r="N236" t="s">
        <v>630</v>
      </c>
      <c r="O236" t="s">
        <v>625</v>
      </c>
      <c r="P236">
        <v>1</v>
      </c>
      <c r="Q236">
        <v>0</v>
      </c>
      <c r="R236">
        <v>14.34</v>
      </c>
      <c r="S236" t="s">
        <v>84</v>
      </c>
      <c r="T236" t="s">
        <v>779</v>
      </c>
    </row>
    <row r="237" spans="1:20" x14ac:dyDescent="0.3">
      <c r="A237">
        <v>248</v>
      </c>
      <c r="B237">
        <v>81</v>
      </c>
      <c r="C237">
        <v>2</v>
      </c>
      <c r="D237">
        <v>37.81</v>
      </c>
      <c r="E237">
        <v>3.78</v>
      </c>
      <c r="F237">
        <v>0</v>
      </c>
      <c r="G237">
        <v>0.1</v>
      </c>
      <c r="H237" t="s">
        <v>622</v>
      </c>
      <c r="J237" t="s">
        <v>623</v>
      </c>
      <c r="K237" s="1"/>
      <c r="L237" s="1">
        <v>45978.404143518521</v>
      </c>
      <c r="M237" s="2">
        <v>45978</v>
      </c>
      <c r="N237" t="s">
        <v>630</v>
      </c>
      <c r="O237" t="s">
        <v>625</v>
      </c>
      <c r="P237">
        <v>1</v>
      </c>
      <c r="Q237">
        <v>0</v>
      </c>
      <c r="R237">
        <v>37.81</v>
      </c>
      <c r="S237" t="s">
        <v>84</v>
      </c>
      <c r="T237" t="s">
        <v>776</v>
      </c>
    </row>
    <row r="238" spans="1:20" x14ac:dyDescent="0.3">
      <c r="A238">
        <v>79</v>
      </c>
      <c r="B238">
        <v>194</v>
      </c>
      <c r="C238">
        <v>3</v>
      </c>
      <c r="D238">
        <v>91.6</v>
      </c>
      <c r="E238">
        <v>9.16</v>
      </c>
      <c r="F238">
        <v>0</v>
      </c>
      <c r="G238">
        <v>0.1</v>
      </c>
      <c r="H238" t="s">
        <v>622</v>
      </c>
      <c r="J238" t="s">
        <v>623</v>
      </c>
      <c r="K238" s="1"/>
      <c r="L238" s="1">
        <v>45961.333854166667</v>
      </c>
      <c r="M238" s="2">
        <v>45961</v>
      </c>
      <c r="N238" t="s">
        <v>624</v>
      </c>
      <c r="O238" t="s">
        <v>625</v>
      </c>
      <c r="P238">
        <v>1</v>
      </c>
      <c r="Q238">
        <v>0</v>
      </c>
      <c r="R238">
        <v>91.6</v>
      </c>
      <c r="S238" t="s">
        <v>383</v>
      </c>
      <c r="T238" t="s">
        <v>777</v>
      </c>
    </row>
    <row r="239" spans="1:20" x14ac:dyDescent="0.3">
      <c r="A239">
        <v>110</v>
      </c>
      <c r="B239">
        <v>194</v>
      </c>
      <c r="C239">
        <v>5</v>
      </c>
      <c r="D239">
        <v>65.47</v>
      </c>
      <c r="E239">
        <v>6.55</v>
      </c>
      <c r="F239">
        <v>0</v>
      </c>
      <c r="G239">
        <v>0.1</v>
      </c>
      <c r="H239" t="s">
        <v>622</v>
      </c>
      <c r="J239" t="s">
        <v>623</v>
      </c>
      <c r="K239" s="1"/>
      <c r="L239" s="1">
        <v>45964.394918981481</v>
      </c>
      <c r="M239" s="2">
        <v>45964</v>
      </c>
      <c r="N239" t="s">
        <v>630</v>
      </c>
      <c r="O239" t="s">
        <v>625</v>
      </c>
      <c r="P239">
        <v>1</v>
      </c>
      <c r="Q239">
        <v>0</v>
      </c>
      <c r="R239">
        <v>65.47</v>
      </c>
      <c r="S239" t="s">
        <v>383</v>
      </c>
      <c r="T239" t="s">
        <v>779</v>
      </c>
    </row>
    <row r="240" spans="1:20" x14ac:dyDescent="0.3">
      <c r="A240">
        <v>218</v>
      </c>
      <c r="B240">
        <v>194</v>
      </c>
      <c r="C240">
        <v>5</v>
      </c>
      <c r="D240">
        <v>118.97</v>
      </c>
      <c r="E240">
        <v>11.9</v>
      </c>
      <c r="F240">
        <v>0</v>
      </c>
      <c r="G240">
        <v>0.1</v>
      </c>
      <c r="H240" t="s">
        <v>622</v>
      </c>
      <c r="J240" t="s">
        <v>623</v>
      </c>
      <c r="K240" s="1"/>
      <c r="L240" s="1">
        <v>45975.726886574077</v>
      </c>
      <c r="M240" s="2">
        <v>45975</v>
      </c>
      <c r="N240" t="s">
        <v>630</v>
      </c>
      <c r="O240" t="s">
        <v>625</v>
      </c>
      <c r="P240">
        <v>1</v>
      </c>
      <c r="Q240">
        <v>0</v>
      </c>
      <c r="R240">
        <v>118.97</v>
      </c>
      <c r="S240" t="s">
        <v>383</v>
      </c>
      <c r="T240" t="s">
        <v>779</v>
      </c>
    </row>
    <row r="241" spans="1:20" x14ac:dyDescent="0.3">
      <c r="A241">
        <v>273</v>
      </c>
      <c r="B241">
        <v>84</v>
      </c>
      <c r="C241">
        <v>3</v>
      </c>
      <c r="D241">
        <v>54.06</v>
      </c>
      <c r="E241">
        <v>5.41</v>
      </c>
      <c r="F241">
        <v>0</v>
      </c>
      <c r="G241">
        <v>0.1</v>
      </c>
      <c r="H241" t="s">
        <v>622</v>
      </c>
      <c r="J241" t="s">
        <v>623</v>
      </c>
      <c r="K241" s="1"/>
      <c r="L241" s="1">
        <v>45980.741631944446</v>
      </c>
      <c r="M241" s="2">
        <v>45980</v>
      </c>
      <c r="N241" t="s">
        <v>630</v>
      </c>
      <c r="O241" t="s">
        <v>625</v>
      </c>
      <c r="P241">
        <v>1</v>
      </c>
      <c r="Q241">
        <v>0</v>
      </c>
      <c r="R241">
        <v>54.06</v>
      </c>
      <c r="S241" t="s">
        <v>163</v>
      </c>
      <c r="T241" t="s">
        <v>777</v>
      </c>
    </row>
    <row r="242" spans="1:20" x14ac:dyDescent="0.3">
      <c r="A242">
        <v>146</v>
      </c>
      <c r="B242">
        <v>85</v>
      </c>
      <c r="C242">
        <v>4</v>
      </c>
      <c r="D242">
        <v>99.89</v>
      </c>
      <c r="E242">
        <v>9.99</v>
      </c>
      <c r="F242">
        <v>0</v>
      </c>
      <c r="G242">
        <v>0.1</v>
      </c>
      <c r="H242" t="s">
        <v>622</v>
      </c>
      <c r="J242" t="s">
        <v>623</v>
      </c>
      <c r="K242" s="1"/>
      <c r="L242" s="1">
        <v>45968.561423611114</v>
      </c>
      <c r="M242" s="2">
        <v>45968</v>
      </c>
      <c r="N242" t="s">
        <v>630</v>
      </c>
      <c r="O242" t="s">
        <v>625</v>
      </c>
      <c r="P242">
        <v>1</v>
      </c>
      <c r="Q242">
        <v>0</v>
      </c>
      <c r="R242">
        <v>99.89</v>
      </c>
      <c r="S242" t="s">
        <v>165</v>
      </c>
      <c r="T242" t="s">
        <v>778</v>
      </c>
    </row>
    <row r="243" spans="1:20" x14ac:dyDescent="0.3">
      <c r="A243">
        <v>181</v>
      </c>
      <c r="B243">
        <v>85</v>
      </c>
      <c r="C243">
        <v>4</v>
      </c>
      <c r="D243">
        <v>72.239999999999995</v>
      </c>
      <c r="E243">
        <v>7.22</v>
      </c>
      <c r="F243">
        <v>0</v>
      </c>
      <c r="G243">
        <v>0.1</v>
      </c>
      <c r="H243" t="s">
        <v>622</v>
      </c>
      <c r="J243" t="s">
        <v>623</v>
      </c>
      <c r="K243" s="1"/>
      <c r="L243" s="1">
        <v>45971.762465277781</v>
      </c>
      <c r="M243" s="2">
        <v>45971</v>
      </c>
      <c r="N243" t="s">
        <v>630</v>
      </c>
      <c r="O243" t="s">
        <v>625</v>
      </c>
      <c r="P243">
        <v>1</v>
      </c>
      <c r="Q243">
        <v>0</v>
      </c>
      <c r="R243">
        <v>72.239999999999995</v>
      </c>
      <c r="S243" t="s">
        <v>165</v>
      </c>
      <c r="T243" t="s">
        <v>778</v>
      </c>
    </row>
    <row r="244" spans="1:20" x14ac:dyDescent="0.3">
      <c r="A244">
        <v>186</v>
      </c>
      <c r="B244">
        <v>85</v>
      </c>
      <c r="C244">
        <v>3</v>
      </c>
      <c r="D244">
        <v>63.81</v>
      </c>
      <c r="E244">
        <v>6.38</v>
      </c>
      <c r="F244">
        <v>0</v>
      </c>
      <c r="G244">
        <v>0.1</v>
      </c>
      <c r="H244" t="s">
        <v>622</v>
      </c>
      <c r="J244" t="s">
        <v>623</v>
      </c>
      <c r="K244" s="1"/>
      <c r="L244" s="1">
        <v>45972.668969907405</v>
      </c>
      <c r="M244" s="2">
        <v>45972</v>
      </c>
      <c r="N244" t="s">
        <v>630</v>
      </c>
      <c r="O244" t="s">
        <v>625</v>
      </c>
      <c r="P244">
        <v>1</v>
      </c>
      <c r="Q244">
        <v>0</v>
      </c>
      <c r="R244">
        <v>63.81</v>
      </c>
      <c r="S244" t="s">
        <v>165</v>
      </c>
      <c r="T244" t="s">
        <v>777</v>
      </c>
    </row>
    <row r="245" spans="1:20" x14ac:dyDescent="0.3">
      <c r="A245">
        <v>83</v>
      </c>
      <c r="B245">
        <v>202</v>
      </c>
      <c r="C245">
        <v>3</v>
      </c>
      <c r="D245">
        <v>28.43</v>
      </c>
      <c r="E245">
        <v>2.84</v>
      </c>
      <c r="F245">
        <v>0</v>
      </c>
      <c r="G245">
        <v>0.1</v>
      </c>
      <c r="H245" t="s">
        <v>622</v>
      </c>
      <c r="J245" t="s">
        <v>623</v>
      </c>
      <c r="K245" s="1"/>
      <c r="L245" s="1">
        <v>45961.411944444444</v>
      </c>
      <c r="M245" s="2">
        <v>45961</v>
      </c>
      <c r="N245" t="s">
        <v>624</v>
      </c>
      <c r="O245" t="s">
        <v>625</v>
      </c>
      <c r="P245">
        <v>1</v>
      </c>
      <c r="Q245">
        <v>0</v>
      </c>
      <c r="R245">
        <v>28.43</v>
      </c>
      <c r="S245" t="s">
        <v>399</v>
      </c>
      <c r="T245" t="s">
        <v>777</v>
      </c>
    </row>
    <row r="246" spans="1:20" x14ac:dyDescent="0.3">
      <c r="A246">
        <v>162</v>
      </c>
      <c r="B246">
        <v>202</v>
      </c>
      <c r="C246">
        <v>3</v>
      </c>
      <c r="D246">
        <v>19</v>
      </c>
      <c r="E246">
        <v>1.9</v>
      </c>
      <c r="F246">
        <v>0</v>
      </c>
      <c r="G246">
        <v>0.1</v>
      </c>
      <c r="H246" t="s">
        <v>622</v>
      </c>
      <c r="J246" t="s">
        <v>623</v>
      </c>
      <c r="K246" s="1"/>
      <c r="L246" s="1">
        <v>45969.641493055555</v>
      </c>
      <c r="M246" s="2">
        <v>45969</v>
      </c>
      <c r="N246" t="s">
        <v>630</v>
      </c>
      <c r="O246" t="s">
        <v>625</v>
      </c>
      <c r="P246">
        <v>1</v>
      </c>
      <c r="Q246">
        <v>0</v>
      </c>
      <c r="R246">
        <v>19</v>
      </c>
      <c r="S246" t="s">
        <v>399</v>
      </c>
      <c r="T246" t="s">
        <v>777</v>
      </c>
    </row>
    <row r="247" spans="1:20" x14ac:dyDescent="0.3">
      <c r="A247">
        <v>164</v>
      </c>
      <c r="B247">
        <v>202</v>
      </c>
      <c r="C247">
        <v>3</v>
      </c>
      <c r="D247">
        <v>42.72</v>
      </c>
      <c r="E247">
        <v>4.2699999999999996</v>
      </c>
      <c r="F247">
        <v>0</v>
      </c>
      <c r="G247">
        <v>0.1</v>
      </c>
      <c r="H247" t="s">
        <v>622</v>
      </c>
      <c r="J247" t="s">
        <v>623</v>
      </c>
      <c r="K247" s="1"/>
      <c r="L247" s="1">
        <v>45969.692442129628</v>
      </c>
      <c r="M247" s="2">
        <v>45969</v>
      </c>
      <c r="N247" t="s">
        <v>630</v>
      </c>
      <c r="O247" t="s">
        <v>625</v>
      </c>
      <c r="P247">
        <v>1</v>
      </c>
      <c r="Q247">
        <v>0</v>
      </c>
      <c r="R247">
        <v>42.72</v>
      </c>
      <c r="S247" t="s">
        <v>399</v>
      </c>
      <c r="T247" t="s">
        <v>777</v>
      </c>
    </row>
    <row r="248" spans="1:20" x14ac:dyDescent="0.3">
      <c r="A248">
        <v>216</v>
      </c>
      <c r="B248">
        <v>202</v>
      </c>
      <c r="C248">
        <v>2</v>
      </c>
      <c r="D248">
        <v>19.02</v>
      </c>
      <c r="E248">
        <v>1.9</v>
      </c>
      <c r="F248">
        <v>0</v>
      </c>
      <c r="G248">
        <v>0.1</v>
      </c>
      <c r="H248" t="s">
        <v>622</v>
      </c>
      <c r="J248" t="s">
        <v>623</v>
      </c>
      <c r="K248" s="1"/>
      <c r="L248" s="1">
        <v>45975.641076388885</v>
      </c>
      <c r="M248" s="2">
        <v>45975</v>
      </c>
      <c r="N248" t="s">
        <v>630</v>
      </c>
      <c r="O248" t="s">
        <v>625</v>
      </c>
      <c r="P248">
        <v>1</v>
      </c>
      <c r="Q248">
        <v>0</v>
      </c>
      <c r="R248">
        <v>19.02</v>
      </c>
      <c r="S248" t="s">
        <v>399</v>
      </c>
      <c r="T248" t="s">
        <v>776</v>
      </c>
    </row>
    <row r="249" spans="1:20" x14ac:dyDescent="0.3">
      <c r="A249">
        <v>221</v>
      </c>
      <c r="B249">
        <v>202</v>
      </c>
      <c r="C249">
        <v>2</v>
      </c>
      <c r="D249">
        <v>43.32</v>
      </c>
      <c r="E249">
        <v>4.33</v>
      </c>
      <c r="F249">
        <v>0</v>
      </c>
      <c r="G249">
        <v>0.1</v>
      </c>
      <c r="H249" t="s">
        <v>626</v>
      </c>
      <c r="I249">
        <v>5</v>
      </c>
      <c r="J249" t="s">
        <v>632</v>
      </c>
      <c r="K249" s="1">
        <v>45977.754374999997</v>
      </c>
      <c r="L249" s="1">
        <v>45975.754374999997</v>
      </c>
      <c r="M249" s="2">
        <v>45975</v>
      </c>
      <c r="N249" t="s">
        <v>630</v>
      </c>
      <c r="O249" t="s">
        <v>625</v>
      </c>
      <c r="P249">
        <v>1</v>
      </c>
      <c r="Q249">
        <v>1</v>
      </c>
      <c r="R249">
        <v>0</v>
      </c>
      <c r="S249" t="s">
        <v>399</v>
      </c>
      <c r="T249" t="s">
        <v>776</v>
      </c>
    </row>
    <row r="250" spans="1:20" x14ac:dyDescent="0.3">
      <c r="A250">
        <v>89</v>
      </c>
      <c r="B250">
        <v>207</v>
      </c>
      <c r="C250">
        <v>5</v>
      </c>
      <c r="D250">
        <v>57.5</v>
      </c>
      <c r="E250">
        <v>5.75</v>
      </c>
      <c r="F250">
        <v>0</v>
      </c>
      <c r="G250">
        <v>0.1</v>
      </c>
      <c r="H250" t="s">
        <v>622</v>
      </c>
      <c r="J250" t="s">
        <v>623</v>
      </c>
      <c r="K250" s="1"/>
      <c r="L250" s="1">
        <v>45961.676481481481</v>
      </c>
      <c r="M250" s="2">
        <v>45961</v>
      </c>
      <c r="N250" t="s">
        <v>624</v>
      </c>
      <c r="O250" t="s">
        <v>625</v>
      </c>
      <c r="P250">
        <v>1</v>
      </c>
      <c r="Q250">
        <v>0</v>
      </c>
      <c r="R250">
        <v>57.5</v>
      </c>
      <c r="S250" t="s">
        <v>409</v>
      </c>
      <c r="T250" t="s">
        <v>779</v>
      </c>
    </row>
    <row r="251" spans="1:20" x14ac:dyDescent="0.3">
      <c r="A251">
        <v>102</v>
      </c>
      <c r="B251">
        <v>207</v>
      </c>
      <c r="C251">
        <v>4</v>
      </c>
      <c r="D251">
        <v>36.75</v>
      </c>
      <c r="E251">
        <v>3.68</v>
      </c>
      <c r="F251">
        <v>0</v>
      </c>
      <c r="G251">
        <v>0.1</v>
      </c>
      <c r="H251" t="s">
        <v>622</v>
      </c>
      <c r="J251" t="s">
        <v>623</v>
      </c>
      <c r="K251" s="1"/>
      <c r="L251" s="1">
        <v>45963.54283564815</v>
      </c>
      <c r="M251" s="2">
        <v>45963</v>
      </c>
      <c r="N251" t="s">
        <v>630</v>
      </c>
      <c r="O251" t="s">
        <v>625</v>
      </c>
      <c r="P251">
        <v>1</v>
      </c>
      <c r="Q251">
        <v>0</v>
      </c>
      <c r="R251">
        <v>36.75</v>
      </c>
      <c r="S251" t="s">
        <v>409</v>
      </c>
      <c r="T251" t="s">
        <v>778</v>
      </c>
    </row>
    <row r="252" spans="1:20" x14ac:dyDescent="0.3">
      <c r="A252">
        <v>294</v>
      </c>
      <c r="B252">
        <v>207</v>
      </c>
      <c r="C252">
        <v>5</v>
      </c>
      <c r="D252">
        <v>27.97</v>
      </c>
      <c r="E252">
        <v>2.8</v>
      </c>
      <c r="F252">
        <v>0</v>
      </c>
      <c r="G252">
        <v>0.1</v>
      </c>
      <c r="H252" t="s">
        <v>622</v>
      </c>
      <c r="J252" t="s">
        <v>623</v>
      </c>
      <c r="K252" s="1"/>
      <c r="L252" s="1">
        <v>45982.626921296294</v>
      </c>
      <c r="M252" s="2">
        <v>45982</v>
      </c>
      <c r="N252" t="s">
        <v>630</v>
      </c>
      <c r="O252" t="s">
        <v>625</v>
      </c>
      <c r="P252">
        <v>1</v>
      </c>
      <c r="Q252">
        <v>0</v>
      </c>
      <c r="R252">
        <v>27.97</v>
      </c>
      <c r="S252" t="s">
        <v>409</v>
      </c>
      <c r="T252" t="s">
        <v>779</v>
      </c>
    </row>
    <row r="253" spans="1:20" x14ac:dyDescent="0.3">
      <c r="A253">
        <v>298</v>
      </c>
      <c r="B253">
        <v>207</v>
      </c>
      <c r="C253">
        <v>4</v>
      </c>
      <c r="D253">
        <v>23.51</v>
      </c>
      <c r="E253">
        <v>2.35</v>
      </c>
      <c r="F253">
        <v>0</v>
      </c>
      <c r="G253">
        <v>0.1</v>
      </c>
      <c r="H253" t="s">
        <v>622</v>
      </c>
      <c r="J253" t="s">
        <v>623</v>
      </c>
      <c r="K253" s="1"/>
      <c r="L253" s="1">
        <v>45983.344976851855</v>
      </c>
      <c r="M253" s="2">
        <v>45983</v>
      </c>
      <c r="N253" t="s">
        <v>630</v>
      </c>
      <c r="O253" t="s">
        <v>625</v>
      </c>
      <c r="P253">
        <v>1</v>
      </c>
      <c r="Q253">
        <v>0</v>
      </c>
      <c r="R253">
        <v>23.51</v>
      </c>
      <c r="S253" t="s">
        <v>409</v>
      </c>
      <c r="T253" t="s">
        <v>778</v>
      </c>
    </row>
    <row r="254" spans="1:20" x14ac:dyDescent="0.3">
      <c r="A254">
        <v>141</v>
      </c>
      <c r="B254">
        <v>94</v>
      </c>
      <c r="C254">
        <v>4</v>
      </c>
      <c r="D254">
        <v>186.56</v>
      </c>
      <c r="E254">
        <v>18.66</v>
      </c>
      <c r="F254">
        <v>0</v>
      </c>
      <c r="G254">
        <v>0.1</v>
      </c>
      <c r="H254" t="s">
        <v>622</v>
      </c>
      <c r="J254" t="s">
        <v>623</v>
      </c>
      <c r="K254" s="1"/>
      <c r="L254" s="1">
        <v>45968.466087962966</v>
      </c>
      <c r="M254" s="2">
        <v>45968</v>
      </c>
      <c r="N254" t="s">
        <v>630</v>
      </c>
      <c r="O254" t="s">
        <v>625</v>
      </c>
      <c r="P254">
        <v>1</v>
      </c>
      <c r="Q254">
        <v>0</v>
      </c>
      <c r="R254">
        <v>186.56</v>
      </c>
      <c r="S254" t="s">
        <v>183</v>
      </c>
      <c r="T254" t="s">
        <v>778</v>
      </c>
    </row>
    <row r="255" spans="1:20" x14ac:dyDescent="0.3">
      <c r="A255">
        <v>275</v>
      </c>
      <c r="B255">
        <v>94</v>
      </c>
      <c r="C255">
        <v>2</v>
      </c>
      <c r="D255">
        <v>124.65</v>
      </c>
      <c r="E255">
        <v>12.47</v>
      </c>
      <c r="F255">
        <v>0</v>
      </c>
      <c r="G255">
        <v>0.1</v>
      </c>
      <c r="H255" t="s">
        <v>622</v>
      </c>
      <c r="J255" t="s">
        <v>623</v>
      </c>
      <c r="K255" s="1"/>
      <c r="L255" s="1">
        <v>45981.320277777777</v>
      </c>
      <c r="M255" s="2">
        <v>45981</v>
      </c>
      <c r="N255" t="s">
        <v>630</v>
      </c>
      <c r="O255" t="s">
        <v>625</v>
      </c>
      <c r="P255">
        <v>1</v>
      </c>
      <c r="Q255">
        <v>0</v>
      </c>
      <c r="R255">
        <v>124.65</v>
      </c>
      <c r="S255" t="s">
        <v>183</v>
      </c>
      <c r="T255" t="s">
        <v>776</v>
      </c>
    </row>
    <row r="256" spans="1:20" x14ac:dyDescent="0.3">
      <c r="A256">
        <v>205</v>
      </c>
      <c r="B256">
        <v>97</v>
      </c>
      <c r="C256">
        <v>5</v>
      </c>
      <c r="D256">
        <v>99.47</v>
      </c>
      <c r="E256">
        <v>9.9499999999999993</v>
      </c>
      <c r="F256">
        <v>0</v>
      </c>
      <c r="G256">
        <v>0.1</v>
      </c>
      <c r="H256" t="s">
        <v>626</v>
      </c>
      <c r="I256">
        <v>4</v>
      </c>
      <c r="J256" t="s">
        <v>632</v>
      </c>
      <c r="K256" s="1">
        <v>45976.424583333333</v>
      </c>
      <c r="L256" s="1">
        <v>45974.632916666669</v>
      </c>
      <c r="M256" s="2">
        <v>45974</v>
      </c>
      <c r="N256" t="s">
        <v>630</v>
      </c>
      <c r="O256" t="s">
        <v>625</v>
      </c>
      <c r="P256">
        <v>1</v>
      </c>
      <c r="Q256">
        <v>1</v>
      </c>
      <c r="R256">
        <v>0</v>
      </c>
      <c r="S256" t="s">
        <v>189</v>
      </c>
      <c r="T256" t="s">
        <v>779</v>
      </c>
    </row>
    <row r="257" spans="1:20" x14ac:dyDescent="0.3">
      <c r="A257">
        <v>270</v>
      </c>
      <c r="B257">
        <v>97</v>
      </c>
      <c r="C257">
        <v>3</v>
      </c>
      <c r="D257">
        <v>68.86</v>
      </c>
      <c r="E257">
        <v>6.89</v>
      </c>
      <c r="F257">
        <v>0</v>
      </c>
      <c r="G257">
        <v>0.1</v>
      </c>
      <c r="H257" t="s">
        <v>622</v>
      </c>
      <c r="J257" t="s">
        <v>623</v>
      </c>
      <c r="K257" s="1"/>
      <c r="L257" s="1">
        <v>45980.549872685187</v>
      </c>
      <c r="M257" s="2">
        <v>45980</v>
      </c>
      <c r="N257" t="s">
        <v>630</v>
      </c>
      <c r="O257" t="s">
        <v>625</v>
      </c>
      <c r="P257">
        <v>1</v>
      </c>
      <c r="Q257">
        <v>0</v>
      </c>
      <c r="R257">
        <v>68.86</v>
      </c>
      <c r="S257" t="s">
        <v>189</v>
      </c>
      <c r="T257" t="s">
        <v>777</v>
      </c>
    </row>
    <row r="258" spans="1:20" x14ac:dyDescent="0.3">
      <c r="A258">
        <v>96</v>
      </c>
      <c r="B258">
        <v>279</v>
      </c>
      <c r="C258">
        <v>2</v>
      </c>
      <c r="D258">
        <v>186.72</v>
      </c>
      <c r="E258">
        <v>18.670000000000002</v>
      </c>
      <c r="F258">
        <v>0</v>
      </c>
      <c r="G258">
        <v>0.1</v>
      </c>
      <c r="H258" t="s">
        <v>622</v>
      </c>
      <c r="J258" t="s">
        <v>623</v>
      </c>
      <c r="K258" s="1"/>
      <c r="L258" s="1">
        <v>45962.624201388891</v>
      </c>
      <c r="M258" s="2">
        <v>45962</v>
      </c>
      <c r="N258" t="s">
        <v>630</v>
      </c>
      <c r="O258" t="s">
        <v>625</v>
      </c>
      <c r="P258">
        <v>1</v>
      </c>
      <c r="Q258">
        <v>0</v>
      </c>
      <c r="R258">
        <v>186.72</v>
      </c>
      <c r="S258" t="s">
        <v>553</v>
      </c>
      <c r="T258" t="s">
        <v>776</v>
      </c>
    </row>
    <row r="259" spans="1:20" x14ac:dyDescent="0.3">
      <c r="A259">
        <v>111</v>
      </c>
      <c r="B259">
        <v>279</v>
      </c>
      <c r="C259">
        <v>3</v>
      </c>
      <c r="D259">
        <v>97.94</v>
      </c>
      <c r="E259">
        <v>9.7899999999999991</v>
      </c>
      <c r="F259">
        <v>0</v>
      </c>
      <c r="G259">
        <v>0.1</v>
      </c>
      <c r="H259" t="s">
        <v>626</v>
      </c>
      <c r="I259">
        <v>5</v>
      </c>
      <c r="J259" t="s">
        <v>627</v>
      </c>
      <c r="K259" s="1">
        <v>45965.021979166668</v>
      </c>
      <c r="L259" s="1">
        <v>45964.396979166668</v>
      </c>
      <c r="M259" s="2">
        <v>45964</v>
      </c>
      <c r="N259" t="s">
        <v>630</v>
      </c>
      <c r="O259" t="s">
        <v>625</v>
      </c>
      <c r="P259">
        <v>1</v>
      </c>
      <c r="Q259">
        <v>1</v>
      </c>
      <c r="R259">
        <v>0</v>
      </c>
      <c r="S259" t="s">
        <v>553</v>
      </c>
      <c r="T259" t="s">
        <v>777</v>
      </c>
    </row>
    <row r="260" spans="1:20" x14ac:dyDescent="0.3">
      <c r="A260">
        <v>120</v>
      </c>
      <c r="B260">
        <v>279</v>
      </c>
      <c r="C260">
        <v>4</v>
      </c>
      <c r="D260">
        <v>209.03</v>
      </c>
      <c r="E260">
        <v>20.9</v>
      </c>
      <c r="F260">
        <v>0</v>
      </c>
      <c r="G260">
        <v>0.1</v>
      </c>
      <c r="H260" t="s">
        <v>622</v>
      </c>
      <c r="J260" t="s">
        <v>623</v>
      </c>
      <c r="K260" s="1"/>
      <c r="L260" s="1">
        <v>45965.492129629631</v>
      </c>
      <c r="M260" s="2">
        <v>45965</v>
      </c>
      <c r="N260" t="s">
        <v>630</v>
      </c>
      <c r="O260" t="s">
        <v>625</v>
      </c>
      <c r="P260">
        <v>1</v>
      </c>
      <c r="Q260">
        <v>0</v>
      </c>
      <c r="R260">
        <v>209.03</v>
      </c>
      <c r="S260" t="s">
        <v>553</v>
      </c>
      <c r="T260" t="s">
        <v>778</v>
      </c>
    </row>
    <row r="261" spans="1:20" x14ac:dyDescent="0.3">
      <c r="A261">
        <v>148</v>
      </c>
      <c r="B261">
        <v>279</v>
      </c>
      <c r="C261">
        <v>4</v>
      </c>
      <c r="D261">
        <v>102.34</v>
      </c>
      <c r="E261">
        <v>10.23</v>
      </c>
      <c r="F261">
        <v>0</v>
      </c>
      <c r="G261">
        <v>0.1</v>
      </c>
      <c r="H261" t="s">
        <v>622</v>
      </c>
      <c r="J261" t="s">
        <v>623</v>
      </c>
      <c r="K261" s="1"/>
      <c r="L261" s="1">
        <v>45968.785752314812</v>
      </c>
      <c r="M261" s="2">
        <v>45968</v>
      </c>
      <c r="N261" t="s">
        <v>630</v>
      </c>
      <c r="O261" t="s">
        <v>625</v>
      </c>
      <c r="P261">
        <v>1</v>
      </c>
      <c r="Q261">
        <v>0</v>
      </c>
      <c r="R261">
        <v>102.34</v>
      </c>
      <c r="S261" t="s">
        <v>553</v>
      </c>
      <c r="T261" t="s">
        <v>778</v>
      </c>
    </row>
    <row r="262" spans="1:20" x14ac:dyDescent="0.3">
      <c r="A262">
        <v>153</v>
      </c>
      <c r="B262">
        <v>279</v>
      </c>
      <c r="C262">
        <v>5</v>
      </c>
      <c r="D262">
        <v>247.63</v>
      </c>
      <c r="E262">
        <v>24.76</v>
      </c>
      <c r="F262">
        <v>0</v>
      </c>
      <c r="G262">
        <v>0.1</v>
      </c>
      <c r="H262" t="s">
        <v>622</v>
      </c>
      <c r="J262" t="s">
        <v>623</v>
      </c>
      <c r="K262" s="1"/>
      <c r="L262" s="1">
        <v>45969.397939814815</v>
      </c>
      <c r="M262" s="2">
        <v>45969</v>
      </c>
      <c r="N262" t="s">
        <v>630</v>
      </c>
      <c r="O262" t="s">
        <v>625</v>
      </c>
      <c r="P262">
        <v>1</v>
      </c>
      <c r="Q262">
        <v>0</v>
      </c>
      <c r="R262">
        <v>247.63</v>
      </c>
      <c r="S262" t="s">
        <v>553</v>
      </c>
      <c r="T262" t="s">
        <v>779</v>
      </c>
    </row>
    <row r="263" spans="1:20" x14ac:dyDescent="0.3">
      <c r="A263">
        <v>97</v>
      </c>
      <c r="B263">
        <v>296</v>
      </c>
      <c r="C263">
        <v>5</v>
      </c>
      <c r="D263">
        <v>61.61</v>
      </c>
      <c r="E263">
        <v>6.16</v>
      </c>
      <c r="F263">
        <v>0</v>
      </c>
      <c r="G263">
        <v>0.1</v>
      </c>
      <c r="H263" t="s">
        <v>622</v>
      </c>
      <c r="J263" t="s">
        <v>623</v>
      </c>
      <c r="K263" s="1"/>
      <c r="L263" s="1">
        <v>45962.642222222225</v>
      </c>
      <c r="M263" s="2">
        <v>45962</v>
      </c>
      <c r="N263" t="s">
        <v>630</v>
      </c>
      <c r="O263" t="s">
        <v>625</v>
      </c>
      <c r="P263">
        <v>1</v>
      </c>
      <c r="Q263">
        <v>0</v>
      </c>
      <c r="R263">
        <v>61.61</v>
      </c>
      <c r="S263" t="s">
        <v>587</v>
      </c>
      <c r="T263" t="s">
        <v>779</v>
      </c>
    </row>
    <row r="264" spans="1:20" x14ac:dyDescent="0.3">
      <c r="A264">
        <v>124</v>
      </c>
      <c r="B264">
        <v>104</v>
      </c>
      <c r="C264">
        <v>2</v>
      </c>
      <c r="D264">
        <v>222.04</v>
      </c>
      <c r="E264">
        <v>22.2</v>
      </c>
      <c r="F264">
        <v>0</v>
      </c>
      <c r="G264">
        <v>0.1</v>
      </c>
      <c r="H264" t="s">
        <v>622</v>
      </c>
      <c r="J264" t="s">
        <v>623</v>
      </c>
      <c r="K264" s="1"/>
      <c r="L264" s="1">
        <v>45965.672708333332</v>
      </c>
      <c r="M264" s="2">
        <v>45965</v>
      </c>
      <c r="N264" t="s">
        <v>630</v>
      </c>
      <c r="O264" t="s">
        <v>625</v>
      </c>
      <c r="P264">
        <v>1</v>
      </c>
      <c r="Q264">
        <v>0</v>
      </c>
      <c r="R264">
        <v>222.04</v>
      </c>
      <c r="S264" t="s">
        <v>203</v>
      </c>
      <c r="T264" t="s">
        <v>776</v>
      </c>
    </row>
    <row r="265" spans="1:20" x14ac:dyDescent="0.3">
      <c r="A265">
        <v>276</v>
      </c>
      <c r="B265">
        <v>104</v>
      </c>
      <c r="C265">
        <v>4</v>
      </c>
      <c r="D265">
        <v>300</v>
      </c>
      <c r="E265">
        <v>30</v>
      </c>
      <c r="F265">
        <v>0</v>
      </c>
      <c r="G265">
        <v>0.1</v>
      </c>
      <c r="H265" t="s">
        <v>622</v>
      </c>
      <c r="J265" t="s">
        <v>623</v>
      </c>
      <c r="K265" s="1"/>
      <c r="L265" s="1">
        <v>45981.356689814813</v>
      </c>
      <c r="M265" s="2">
        <v>45981</v>
      </c>
      <c r="N265" t="s">
        <v>630</v>
      </c>
      <c r="O265" t="s">
        <v>625</v>
      </c>
      <c r="P265">
        <v>1</v>
      </c>
      <c r="Q265">
        <v>0</v>
      </c>
      <c r="R265">
        <v>300</v>
      </c>
      <c r="S265" t="s">
        <v>203</v>
      </c>
      <c r="T265" t="s">
        <v>778</v>
      </c>
    </row>
    <row r="266" spans="1:20" x14ac:dyDescent="0.3">
      <c r="A266">
        <v>101</v>
      </c>
      <c r="B266">
        <v>217</v>
      </c>
      <c r="C266">
        <v>3</v>
      </c>
      <c r="D266">
        <v>24.99</v>
      </c>
      <c r="E266">
        <v>2.5</v>
      </c>
      <c r="F266">
        <v>0</v>
      </c>
      <c r="G266">
        <v>0.1</v>
      </c>
      <c r="H266" t="s">
        <v>622</v>
      </c>
      <c r="J266" t="s">
        <v>623</v>
      </c>
      <c r="K266" s="1"/>
      <c r="L266" s="1">
        <v>45963.451215277775</v>
      </c>
      <c r="M266" s="2">
        <v>45963</v>
      </c>
      <c r="N266" t="s">
        <v>630</v>
      </c>
      <c r="O266" t="s">
        <v>625</v>
      </c>
      <c r="P266">
        <v>1</v>
      </c>
      <c r="Q266">
        <v>0</v>
      </c>
      <c r="R266">
        <v>24.99</v>
      </c>
      <c r="S266" t="s">
        <v>429</v>
      </c>
      <c r="T266" t="s">
        <v>777</v>
      </c>
    </row>
    <row r="267" spans="1:20" x14ac:dyDescent="0.3">
      <c r="A267">
        <v>264</v>
      </c>
      <c r="B267">
        <v>217</v>
      </c>
      <c r="C267">
        <v>2</v>
      </c>
      <c r="D267">
        <v>40.92</v>
      </c>
      <c r="E267">
        <v>4.09</v>
      </c>
      <c r="F267">
        <v>0</v>
      </c>
      <c r="G267">
        <v>0.1</v>
      </c>
      <c r="H267" t="s">
        <v>622</v>
      </c>
      <c r="J267" t="s">
        <v>623</v>
      </c>
      <c r="K267" s="1"/>
      <c r="L267" s="1">
        <v>45979.724629629629</v>
      </c>
      <c r="M267" s="2">
        <v>45979</v>
      </c>
      <c r="N267" t="s">
        <v>630</v>
      </c>
      <c r="O267" t="s">
        <v>625</v>
      </c>
      <c r="P267">
        <v>1</v>
      </c>
      <c r="Q267">
        <v>0</v>
      </c>
      <c r="R267">
        <v>40.92</v>
      </c>
      <c r="S267" t="s">
        <v>429</v>
      </c>
      <c r="T267" t="s">
        <v>776</v>
      </c>
    </row>
    <row r="268" spans="1:20" x14ac:dyDescent="0.3">
      <c r="A268">
        <v>210</v>
      </c>
      <c r="B268">
        <v>106</v>
      </c>
      <c r="C268">
        <v>4</v>
      </c>
      <c r="D268">
        <v>96.92</v>
      </c>
      <c r="E268">
        <v>9.69</v>
      </c>
      <c r="F268">
        <v>0</v>
      </c>
      <c r="G268">
        <v>0.1</v>
      </c>
      <c r="H268" t="s">
        <v>622</v>
      </c>
      <c r="J268" t="s">
        <v>623</v>
      </c>
      <c r="K268" s="1"/>
      <c r="L268" s="1">
        <v>45975.384444444448</v>
      </c>
      <c r="M268" s="2">
        <v>45975</v>
      </c>
      <c r="N268" t="s">
        <v>630</v>
      </c>
      <c r="O268" t="s">
        <v>625</v>
      </c>
      <c r="P268">
        <v>1</v>
      </c>
      <c r="Q268">
        <v>0</v>
      </c>
      <c r="R268">
        <v>96.92</v>
      </c>
      <c r="S268" t="s">
        <v>207</v>
      </c>
      <c r="T268" t="s">
        <v>778</v>
      </c>
    </row>
    <row r="269" spans="1:20" x14ac:dyDescent="0.3">
      <c r="A269">
        <v>288</v>
      </c>
      <c r="B269">
        <v>106</v>
      </c>
      <c r="C269">
        <v>5</v>
      </c>
      <c r="D269">
        <v>87.31</v>
      </c>
      <c r="E269">
        <v>8.73</v>
      </c>
      <c r="F269">
        <v>0</v>
      </c>
      <c r="G269">
        <v>0.1</v>
      </c>
      <c r="H269" t="s">
        <v>622</v>
      </c>
      <c r="J269" t="s">
        <v>623</v>
      </c>
      <c r="K269" s="1"/>
      <c r="L269" s="1">
        <v>45982.377870370372</v>
      </c>
      <c r="M269" s="2">
        <v>45982</v>
      </c>
      <c r="N269" t="s">
        <v>630</v>
      </c>
      <c r="O269" t="s">
        <v>625</v>
      </c>
      <c r="P269">
        <v>1</v>
      </c>
      <c r="Q269">
        <v>0</v>
      </c>
      <c r="R269">
        <v>87.31</v>
      </c>
      <c r="S269" t="s">
        <v>207</v>
      </c>
      <c r="T269" t="s">
        <v>779</v>
      </c>
    </row>
    <row r="270" spans="1:20" x14ac:dyDescent="0.3">
      <c r="A270">
        <v>108</v>
      </c>
      <c r="B270">
        <v>240</v>
      </c>
      <c r="C270">
        <v>3</v>
      </c>
      <c r="D270">
        <v>133.88</v>
      </c>
      <c r="E270">
        <v>13.39</v>
      </c>
      <c r="F270">
        <v>0</v>
      </c>
      <c r="G270">
        <v>0.1</v>
      </c>
      <c r="H270" t="s">
        <v>622</v>
      </c>
      <c r="J270" t="s">
        <v>623</v>
      </c>
      <c r="K270" s="1"/>
      <c r="L270" s="1">
        <v>45964.354074074072</v>
      </c>
      <c r="M270" s="2">
        <v>45964</v>
      </c>
      <c r="N270" t="s">
        <v>630</v>
      </c>
      <c r="O270" t="s">
        <v>625</v>
      </c>
      <c r="P270">
        <v>1</v>
      </c>
      <c r="Q270">
        <v>0</v>
      </c>
      <c r="R270">
        <v>133.88</v>
      </c>
      <c r="S270" t="s">
        <v>475</v>
      </c>
      <c r="T270" t="s">
        <v>777</v>
      </c>
    </row>
    <row r="271" spans="1:20" x14ac:dyDescent="0.3">
      <c r="A271">
        <v>126</v>
      </c>
      <c r="B271">
        <v>240</v>
      </c>
      <c r="C271">
        <v>3</v>
      </c>
      <c r="D271">
        <v>97.31</v>
      </c>
      <c r="E271">
        <v>9.73</v>
      </c>
      <c r="F271">
        <v>0</v>
      </c>
      <c r="G271">
        <v>0.1</v>
      </c>
      <c r="H271" t="s">
        <v>622</v>
      </c>
      <c r="J271" t="s">
        <v>623</v>
      </c>
      <c r="K271" s="1"/>
      <c r="L271" s="1">
        <v>45966.298159722224</v>
      </c>
      <c r="M271" s="2">
        <v>45966</v>
      </c>
      <c r="N271" t="s">
        <v>630</v>
      </c>
      <c r="O271" t="s">
        <v>625</v>
      </c>
      <c r="P271">
        <v>1</v>
      </c>
      <c r="Q271">
        <v>0</v>
      </c>
      <c r="R271">
        <v>97.31</v>
      </c>
      <c r="S271" t="s">
        <v>475</v>
      </c>
      <c r="T271" t="s">
        <v>777</v>
      </c>
    </row>
    <row r="272" spans="1:20" x14ac:dyDescent="0.3">
      <c r="A272">
        <v>190</v>
      </c>
      <c r="B272">
        <v>240</v>
      </c>
      <c r="C272">
        <v>4</v>
      </c>
      <c r="D272">
        <v>106.78</v>
      </c>
      <c r="E272">
        <v>10.68</v>
      </c>
      <c r="F272">
        <v>0</v>
      </c>
      <c r="G272">
        <v>0.1</v>
      </c>
      <c r="H272" t="s">
        <v>622</v>
      </c>
      <c r="J272" t="s">
        <v>623</v>
      </c>
      <c r="K272" s="1"/>
      <c r="L272" s="1">
        <v>45972.819675925923</v>
      </c>
      <c r="M272" s="2">
        <v>45972</v>
      </c>
      <c r="N272" t="s">
        <v>630</v>
      </c>
      <c r="O272" t="s">
        <v>625</v>
      </c>
      <c r="P272">
        <v>1</v>
      </c>
      <c r="Q272">
        <v>0</v>
      </c>
      <c r="R272">
        <v>106.78</v>
      </c>
      <c r="S272" t="s">
        <v>475</v>
      </c>
      <c r="T272" t="s">
        <v>778</v>
      </c>
    </row>
    <row r="273" spans="1:20" x14ac:dyDescent="0.3">
      <c r="A273">
        <v>285</v>
      </c>
      <c r="B273">
        <v>240</v>
      </c>
      <c r="C273">
        <v>5</v>
      </c>
      <c r="D273">
        <v>233.89</v>
      </c>
      <c r="E273">
        <v>23.39</v>
      </c>
      <c r="F273">
        <v>0</v>
      </c>
      <c r="G273">
        <v>0.1</v>
      </c>
      <c r="H273" t="s">
        <v>622</v>
      </c>
      <c r="J273" t="s">
        <v>623</v>
      </c>
      <c r="K273" s="1"/>
      <c r="L273" s="1">
        <v>45982.31653935185</v>
      </c>
      <c r="M273" s="2">
        <v>45982</v>
      </c>
      <c r="N273" t="s">
        <v>630</v>
      </c>
      <c r="O273" t="s">
        <v>625</v>
      </c>
      <c r="P273">
        <v>1</v>
      </c>
      <c r="Q273">
        <v>0</v>
      </c>
      <c r="R273">
        <v>233.89</v>
      </c>
      <c r="S273" t="s">
        <v>475</v>
      </c>
      <c r="T273" t="s">
        <v>779</v>
      </c>
    </row>
    <row r="274" spans="1:20" x14ac:dyDescent="0.3">
      <c r="A274">
        <v>293</v>
      </c>
      <c r="B274">
        <v>240</v>
      </c>
      <c r="C274">
        <v>2</v>
      </c>
      <c r="D274">
        <v>147.52000000000001</v>
      </c>
      <c r="E274">
        <v>14.75</v>
      </c>
      <c r="F274">
        <v>0</v>
      </c>
      <c r="G274">
        <v>0.1</v>
      </c>
      <c r="H274" t="s">
        <v>622</v>
      </c>
      <c r="J274" t="s">
        <v>623</v>
      </c>
      <c r="K274" s="1"/>
      <c r="L274" s="1">
        <v>45982.626562500001</v>
      </c>
      <c r="M274" s="2">
        <v>45982</v>
      </c>
      <c r="N274" t="s">
        <v>630</v>
      </c>
      <c r="O274" t="s">
        <v>625</v>
      </c>
      <c r="P274">
        <v>1</v>
      </c>
      <c r="Q274">
        <v>0</v>
      </c>
      <c r="R274">
        <v>147.52000000000001</v>
      </c>
      <c r="S274" t="s">
        <v>475</v>
      </c>
      <c r="T274" t="s">
        <v>776</v>
      </c>
    </row>
    <row r="275" spans="1:20" x14ac:dyDescent="0.3">
      <c r="A275">
        <v>166</v>
      </c>
      <c r="B275">
        <v>117</v>
      </c>
      <c r="C275">
        <v>3</v>
      </c>
      <c r="D275">
        <v>70.790000000000006</v>
      </c>
      <c r="E275">
        <v>7.08</v>
      </c>
      <c r="F275">
        <v>0</v>
      </c>
      <c r="G275">
        <v>0.1</v>
      </c>
      <c r="H275" t="s">
        <v>626</v>
      </c>
      <c r="I275">
        <v>2</v>
      </c>
      <c r="J275" t="s">
        <v>627</v>
      </c>
      <c r="K275" s="1">
        <v>45970.547511574077</v>
      </c>
      <c r="L275" s="1">
        <v>45969.714178240742</v>
      </c>
      <c r="M275" s="2">
        <v>45969</v>
      </c>
      <c r="N275" t="s">
        <v>630</v>
      </c>
      <c r="O275" t="s">
        <v>625</v>
      </c>
      <c r="P275">
        <v>1</v>
      </c>
      <c r="Q275">
        <v>1</v>
      </c>
      <c r="R275">
        <v>0</v>
      </c>
      <c r="S275" t="s">
        <v>229</v>
      </c>
      <c r="T275" t="s">
        <v>777</v>
      </c>
    </row>
    <row r="276" spans="1:20" x14ac:dyDescent="0.3">
      <c r="A276">
        <v>192</v>
      </c>
      <c r="B276">
        <v>117</v>
      </c>
      <c r="C276">
        <v>2</v>
      </c>
      <c r="D276">
        <v>95.27</v>
      </c>
      <c r="E276">
        <v>9.5299999999999994</v>
      </c>
      <c r="F276">
        <v>0</v>
      </c>
      <c r="G276">
        <v>0.1</v>
      </c>
      <c r="H276" t="s">
        <v>622</v>
      </c>
      <c r="J276" t="s">
        <v>623</v>
      </c>
      <c r="K276" s="1"/>
      <c r="L276" s="1">
        <v>45973.481319444443</v>
      </c>
      <c r="M276" s="2">
        <v>45973</v>
      </c>
      <c r="N276" t="s">
        <v>630</v>
      </c>
      <c r="O276" t="s">
        <v>625</v>
      </c>
      <c r="P276">
        <v>1</v>
      </c>
      <c r="Q276">
        <v>0</v>
      </c>
      <c r="R276">
        <v>95.27</v>
      </c>
      <c r="S276" t="s">
        <v>229</v>
      </c>
      <c r="T276" t="s">
        <v>776</v>
      </c>
    </row>
    <row r="277" spans="1:20" x14ac:dyDescent="0.3">
      <c r="A277">
        <v>220</v>
      </c>
      <c r="B277">
        <v>117</v>
      </c>
      <c r="C277">
        <v>4</v>
      </c>
      <c r="D277">
        <v>87.66</v>
      </c>
      <c r="E277">
        <v>8.77</v>
      </c>
      <c r="F277">
        <v>0</v>
      </c>
      <c r="G277">
        <v>0.1</v>
      </c>
      <c r="H277" t="s">
        <v>622</v>
      </c>
      <c r="J277" t="s">
        <v>623</v>
      </c>
      <c r="K277" s="1"/>
      <c r="L277" s="1">
        <v>45975.752928240741</v>
      </c>
      <c r="M277" s="2">
        <v>45975</v>
      </c>
      <c r="N277" t="s">
        <v>630</v>
      </c>
      <c r="O277" t="s">
        <v>625</v>
      </c>
      <c r="P277">
        <v>1</v>
      </c>
      <c r="Q277">
        <v>0</v>
      </c>
      <c r="R277">
        <v>87.66</v>
      </c>
      <c r="S277" t="s">
        <v>229</v>
      </c>
      <c r="T277" t="s">
        <v>778</v>
      </c>
    </row>
    <row r="278" spans="1:20" x14ac:dyDescent="0.3">
      <c r="A278">
        <v>227</v>
      </c>
      <c r="B278">
        <v>117</v>
      </c>
      <c r="C278">
        <v>4</v>
      </c>
      <c r="D278">
        <v>73.459999999999994</v>
      </c>
      <c r="E278">
        <v>7.35</v>
      </c>
      <c r="F278">
        <v>0</v>
      </c>
      <c r="G278">
        <v>0.1</v>
      </c>
      <c r="H278" t="s">
        <v>622</v>
      </c>
      <c r="J278" t="s">
        <v>623</v>
      </c>
      <c r="K278" s="1"/>
      <c r="L278" s="1">
        <v>45976.509027777778</v>
      </c>
      <c r="M278" s="2">
        <v>45976</v>
      </c>
      <c r="N278" t="s">
        <v>630</v>
      </c>
      <c r="O278" t="s">
        <v>625</v>
      </c>
      <c r="P278">
        <v>1</v>
      </c>
      <c r="Q278">
        <v>0</v>
      </c>
      <c r="R278">
        <v>73.459999999999994</v>
      </c>
      <c r="S278" t="s">
        <v>229</v>
      </c>
      <c r="T278" t="s">
        <v>778</v>
      </c>
    </row>
    <row r="279" spans="1:20" x14ac:dyDescent="0.3">
      <c r="A279">
        <v>122</v>
      </c>
      <c r="B279">
        <v>280</v>
      </c>
      <c r="C279">
        <v>4</v>
      </c>
      <c r="D279">
        <v>51.1</v>
      </c>
      <c r="E279">
        <v>5.1100000000000003</v>
      </c>
      <c r="F279">
        <v>0</v>
      </c>
      <c r="G279">
        <v>0.1</v>
      </c>
      <c r="H279" t="s">
        <v>622</v>
      </c>
      <c r="J279" t="s">
        <v>623</v>
      </c>
      <c r="K279" s="1"/>
      <c r="L279" s="1">
        <v>45965.629687499997</v>
      </c>
      <c r="M279" s="2">
        <v>45965</v>
      </c>
      <c r="N279" t="s">
        <v>630</v>
      </c>
      <c r="O279" t="s">
        <v>625</v>
      </c>
      <c r="P279">
        <v>1</v>
      </c>
      <c r="Q279">
        <v>0</v>
      </c>
      <c r="R279">
        <v>51.1</v>
      </c>
      <c r="S279" t="s">
        <v>555</v>
      </c>
      <c r="T279" t="s">
        <v>778</v>
      </c>
    </row>
    <row r="280" spans="1:20" x14ac:dyDescent="0.3">
      <c r="A280">
        <v>226</v>
      </c>
      <c r="B280">
        <v>280</v>
      </c>
      <c r="C280">
        <v>5</v>
      </c>
      <c r="D280">
        <v>36.32</v>
      </c>
      <c r="E280">
        <v>3.63</v>
      </c>
      <c r="F280">
        <v>0</v>
      </c>
      <c r="G280">
        <v>0.1</v>
      </c>
      <c r="H280" t="s">
        <v>622</v>
      </c>
      <c r="J280" t="s">
        <v>623</v>
      </c>
      <c r="K280" s="1"/>
      <c r="L280" s="1">
        <v>45976.46502314815</v>
      </c>
      <c r="M280" s="2">
        <v>45976</v>
      </c>
      <c r="N280" t="s">
        <v>630</v>
      </c>
      <c r="O280" t="s">
        <v>625</v>
      </c>
      <c r="P280">
        <v>1</v>
      </c>
      <c r="Q280">
        <v>0</v>
      </c>
      <c r="R280">
        <v>36.32</v>
      </c>
      <c r="S280" t="s">
        <v>555</v>
      </c>
      <c r="T280" t="s">
        <v>779</v>
      </c>
    </row>
    <row r="281" spans="1:20" x14ac:dyDescent="0.3">
      <c r="A281">
        <v>163</v>
      </c>
      <c r="B281">
        <v>138</v>
      </c>
      <c r="C281">
        <v>4</v>
      </c>
      <c r="D281">
        <v>33.19</v>
      </c>
      <c r="E281">
        <v>3.32</v>
      </c>
      <c r="F281">
        <v>0</v>
      </c>
      <c r="G281">
        <v>0.1</v>
      </c>
      <c r="H281" t="s">
        <v>622</v>
      </c>
      <c r="J281" t="s">
        <v>623</v>
      </c>
      <c r="K281" s="1"/>
      <c r="L281" s="1">
        <v>45969.642465277779</v>
      </c>
      <c r="M281" s="2">
        <v>45969</v>
      </c>
      <c r="N281" t="s">
        <v>630</v>
      </c>
      <c r="O281" t="s">
        <v>625</v>
      </c>
      <c r="P281">
        <v>1</v>
      </c>
      <c r="Q281">
        <v>0</v>
      </c>
      <c r="R281">
        <v>33.19</v>
      </c>
      <c r="S281" t="s">
        <v>271</v>
      </c>
      <c r="T281" t="s">
        <v>778</v>
      </c>
    </row>
    <row r="282" spans="1:20" x14ac:dyDescent="0.3">
      <c r="A282">
        <v>194</v>
      </c>
      <c r="B282">
        <v>138</v>
      </c>
      <c r="C282">
        <v>3</v>
      </c>
      <c r="D282">
        <v>55.79</v>
      </c>
      <c r="E282">
        <v>5.58</v>
      </c>
      <c r="F282">
        <v>0</v>
      </c>
      <c r="G282">
        <v>0.1</v>
      </c>
      <c r="H282" t="s">
        <v>622</v>
      </c>
      <c r="J282" t="s">
        <v>623</v>
      </c>
      <c r="K282" s="1"/>
      <c r="L282" s="1">
        <v>45973.542812500003</v>
      </c>
      <c r="M282" s="2">
        <v>45973</v>
      </c>
      <c r="N282" t="s">
        <v>630</v>
      </c>
      <c r="O282" t="s">
        <v>625</v>
      </c>
      <c r="P282">
        <v>1</v>
      </c>
      <c r="Q282">
        <v>0</v>
      </c>
      <c r="R282">
        <v>55.79</v>
      </c>
      <c r="S282" t="s">
        <v>271</v>
      </c>
      <c r="T282" t="s">
        <v>777</v>
      </c>
    </row>
    <row r="283" spans="1:20" x14ac:dyDescent="0.3">
      <c r="A283">
        <v>134</v>
      </c>
      <c r="B283">
        <v>152</v>
      </c>
      <c r="C283">
        <v>4</v>
      </c>
      <c r="D283">
        <v>240.38</v>
      </c>
      <c r="E283">
        <v>24.04</v>
      </c>
      <c r="F283">
        <v>0</v>
      </c>
      <c r="G283">
        <v>0.1</v>
      </c>
      <c r="H283" t="s">
        <v>622</v>
      </c>
      <c r="J283" t="s">
        <v>623</v>
      </c>
      <c r="K283" s="1"/>
      <c r="L283" s="1">
        <v>45967.381157407406</v>
      </c>
      <c r="M283" s="2">
        <v>45967</v>
      </c>
      <c r="N283" t="s">
        <v>630</v>
      </c>
      <c r="O283" t="s">
        <v>625</v>
      </c>
      <c r="P283">
        <v>1</v>
      </c>
      <c r="Q283">
        <v>0</v>
      </c>
      <c r="R283">
        <v>240.38</v>
      </c>
      <c r="S283" t="s">
        <v>299</v>
      </c>
      <c r="T283" t="s">
        <v>778</v>
      </c>
    </row>
    <row r="284" spans="1:20" x14ac:dyDescent="0.3">
      <c r="A284">
        <v>180</v>
      </c>
      <c r="B284">
        <v>152</v>
      </c>
      <c r="C284">
        <v>5</v>
      </c>
      <c r="D284">
        <v>80</v>
      </c>
      <c r="E284">
        <v>8</v>
      </c>
      <c r="F284">
        <v>0</v>
      </c>
      <c r="G284">
        <v>0.1</v>
      </c>
      <c r="H284" t="s">
        <v>622</v>
      </c>
      <c r="J284" t="s">
        <v>623</v>
      </c>
      <c r="K284" s="1"/>
      <c r="L284" s="1">
        <v>45971.696898148148</v>
      </c>
      <c r="M284" s="2">
        <v>45971</v>
      </c>
      <c r="N284" t="s">
        <v>630</v>
      </c>
      <c r="O284" t="s">
        <v>625</v>
      </c>
      <c r="P284">
        <v>1</v>
      </c>
      <c r="Q284">
        <v>0</v>
      </c>
      <c r="R284">
        <v>80</v>
      </c>
      <c r="S284" t="s">
        <v>299</v>
      </c>
      <c r="T284" t="s">
        <v>779</v>
      </c>
    </row>
    <row r="285" spans="1:20" x14ac:dyDescent="0.3">
      <c r="A285">
        <v>271</v>
      </c>
      <c r="B285">
        <v>152</v>
      </c>
      <c r="C285">
        <v>5</v>
      </c>
      <c r="D285">
        <v>80</v>
      </c>
      <c r="E285">
        <v>8</v>
      </c>
      <c r="F285">
        <v>0</v>
      </c>
      <c r="G285">
        <v>0.1</v>
      </c>
      <c r="H285" t="s">
        <v>622</v>
      </c>
      <c r="J285" t="s">
        <v>623</v>
      </c>
      <c r="K285" s="1"/>
      <c r="L285" s="1">
        <v>45980.680462962962</v>
      </c>
      <c r="M285" s="2">
        <v>45980</v>
      </c>
      <c r="N285" t="s">
        <v>630</v>
      </c>
      <c r="O285" t="s">
        <v>625</v>
      </c>
      <c r="P285">
        <v>1</v>
      </c>
      <c r="Q285">
        <v>0</v>
      </c>
      <c r="R285">
        <v>80</v>
      </c>
      <c r="S285" t="s">
        <v>299</v>
      </c>
      <c r="T285" t="s">
        <v>779</v>
      </c>
    </row>
    <row r="286" spans="1:20" x14ac:dyDescent="0.3">
      <c r="A286">
        <v>136</v>
      </c>
      <c r="B286">
        <v>287</v>
      </c>
      <c r="C286">
        <v>4</v>
      </c>
      <c r="D286">
        <v>23.35</v>
      </c>
      <c r="E286">
        <v>2.34</v>
      </c>
      <c r="F286">
        <v>0</v>
      </c>
      <c r="G286">
        <v>0.1</v>
      </c>
      <c r="H286" t="s">
        <v>622</v>
      </c>
      <c r="J286" t="s">
        <v>623</v>
      </c>
      <c r="K286" s="1"/>
      <c r="L286" s="1">
        <v>45967.476967592593</v>
      </c>
      <c r="M286" s="2">
        <v>45967</v>
      </c>
      <c r="N286" t="s">
        <v>630</v>
      </c>
      <c r="O286" t="s">
        <v>625</v>
      </c>
      <c r="P286">
        <v>1</v>
      </c>
      <c r="Q286">
        <v>0</v>
      </c>
      <c r="R286">
        <v>23.35</v>
      </c>
      <c r="S286" t="s">
        <v>569</v>
      </c>
      <c r="T286" t="s">
        <v>778</v>
      </c>
    </row>
    <row r="287" spans="1:20" x14ac:dyDescent="0.3">
      <c r="A287">
        <v>150</v>
      </c>
      <c r="B287">
        <v>215</v>
      </c>
      <c r="C287">
        <v>2</v>
      </c>
      <c r="D287">
        <v>25.63</v>
      </c>
      <c r="E287">
        <v>2.56</v>
      </c>
      <c r="F287">
        <v>0</v>
      </c>
      <c r="G287">
        <v>0.1</v>
      </c>
      <c r="H287" t="s">
        <v>622</v>
      </c>
      <c r="J287" t="s">
        <v>623</v>
      </c>
      <c r="K287" s="1"/>
      <c r="L287" s="1">
        <v>45969.295347222222</v>
      </c>
      <c r="M287" s="2">
        <v>45969</v>
      </c>
      <c r="N287" t="s">
        <v>630</v>
      </c>
      <c r="O287" t="s">
        <v>625</v>
      </c>
      <c r="P287">
        <v>1</v>
      </c>
      <c r="Q287">
        <v>0</v>
      </c>
      <c r="R287">
        <v>25.63</v>
      </c>
      <c r="S287" t="s">
        <v>425</v>
      </c>
      <c r="T287" t="s">
        <v>776</v>
      </c>
    </row>
    <row r="288" spans="1:20" x14ac:dyDescent="0.3">
      <c r="A288">
        <v>151</v>
      </c>
      <c r="B288">
        <v>155</v>
      </c>
      <c r="C288">
        <v>4</v>
      </c>
      <c r="D288">
        <v>17.57</v>
      </c>
      <c r="E288">
        <v>1.76</v>
      </c>
      <c r="F288">
        <v>0</v>
      </c>
      <c r="G288">
        <v>0.1</v>
      </c>
      <c r="H288" t="s">
        <v>622</v>
      </c>
      <c r="J288" t="s">
        <v>623</v>
      </c>
      <c r="K288" s="1"/>
      <c r="L288" s="1">
        <v>45969.381655092591</v>
      </c>
      <c r="M288" s="2">
        <v>45969</v>
      </c>
      <c r="N288" t="s">
        <v>630</v>
      </c>
      <c r="O288" t="s">
        <v>625</v>
      </c>
      <c r="P288">
        <v>1</v>
      </c>
      <c r="Q288">
        <v>0</v>
      </c>
      <c r="R288">
        <v>17.57</v>
      </c>
      <c r="S288" t="s">
        <v>305</v>
      </c>
      <c r="T288" t="s">
        <v>778</v>
      </c>
    </row>
    <row r="289" spans="1:20" x14ac:dyDescent="0.3">
      <c r="A289">
        <v>278</v>
      </c>
      <c r="B289">
        <v>160</v>
      </c>
      <c r="C289">
        <v>5</v>
      </c>
      <c r="D289">
        <v>26.8</v>
      </c>
      <c r="E289">
        <v>2.68</v>
      </c>
      <c r="F289">
        <v>0</v>
      </c>
      <c r="G289">
        <v>0.1</v>
      </c>
      <c r="H289" t="s">
        <v>622</v>
      </c>
      <c r="J289" t="s">
        <v>623</v>
      </c>
      <c r="K289" s="1"/>
      <c r="L289" s="1">
        <v>45981.415706018517</v>
      </c>
      <c r="M289" s="2">
        <v>45981</v>
      </c>
      <c r="N289" t="s">
        <v>630</v>
      </c>
      <c r="O289" t="s">
        <v>625</v>
      </c>
      <c r="P289">
        <v>1</v>
      </c>
      <c r="Q289">
        <v>0</v>
      </c>
      <c r="R289">
        <v>26.8</v>
      </c>
      <c r="S289" t="s">
        <v>315</v>
      </c>
      <c r="T289" t="s">
        <v>779</v>
      </c>
    </row>
    <row r="290" spans="1:20" x14ac:dyDescent="0.3">
      <c r="A290">
        <v>256</v>
      </c>
      <c r="B290">
        <v>197</v>
      </c>
      <c r="C290">
        <v>5</v>
      </c>
      <c r="D290">
        <v>95.77</v>
      </c>
      <c r="E290">
        <v>9.58</v>
      </c>
      <c r="F290">
        <v>0</v>
      </c>
      <c r="G290">
        <v>0.1</v>
      </c>
      <c r="H290" t="s">
        <v>622</v>
      </c>
      <c r="J290" t="s">
        <v>623</v>
      </c>
      <c r="K290" s="1"/>
      <c r="L290" s="1">
        <v>45979.365798611114</v>
      </c>
      <c r="M290" s="2">
        <v>45979</v>
      </c>
      <c r="N290" t="s">
        <v>630</v>
      </c>
      <c r="O290" t="s">
        <v>625</v>
      </c>
      <c r="P290">
        <v>1</v>
      </c>
      <c r="Q290">
        <v>0</v>
      </c>
      <c r="R290">
        <v>95.77</v>
      </c>
      <c r="S290" t="s">
        <v>389</v>
      </c>
      <c r="T290" t="s">
        <v>779</v>
      </c>
    </row>
    <row r="291" spans="1:20" x14ac:dyDescent="0.3">
      <c r="A291">
        <v>259</v>
      </c>
      <c r="B291">
        <v>197</v>
      </c>
      <c r="C291">
        <v>3</v>
      </c>
      <c r="D291">
        <v>81.319999999999993</v>
      </c>
      <c r="E291">
        <v>8.1300000000000008</v>
      </c>
      <c r="F291">
        <v>0</v>
      </c>
      <c r="G291">
        <v>0.1</v>
      </c>
      <c r="H291" t="s">
        <v>622</v>
      </c>
      <c r="J291" t="s">
        <v>623</v>
      </c>
      <c r="K291" s="1"/>
      <c r="L291" s="1">
        <v>45979.600486111114</v>
      </c>
      <c r="M291" s="2">
        <v>45979</v>
      </c>
      <c r="N291" t="s">
        <v>630</v>
      </c>
      <c r="O291" t="s">
        <v>625</v>
      </c>
      <c r="P291">
        <v>1</v>
      </c>
      <c r="Q291">
        <v>0</v>
      </c>
      <c r="R291">
        <v>81.319999999999993</v>
      </c>
      <c r="S291" t="s">
        <v>389</v>
      </c>
      <c r="T291" t="s">
        <v>777</v>
      </c>
    </row>
    <row r="292" spans="1:20" x14ac:dyDescent="0.3">
      <c r="A292">
        <v>197</v>
      </c>
      <c r="B292">
        <v>257</v>
      </c>
      <c r="C292">
        <v>5</v>
      </c>
      <c r="D292">
        <v>67.86</v>
      </c>
      <c r="E292">
        <v>6.79</v>
      </c>
      <c r="F292">
        <v>0</v>
      </c>
      <c r="G292">
        <v>0.1</v>
      </c>
      <c r="H292" t="s">
        <v>622</v>
      </c>
      <c r="J292" t="s">
        <v>623</v>
      </c>
      <c r="K292" s="1"/>
      <c r="L292" s="1">
        <v>45973.664733796293</v>
      </c>
      <c r="M292" s="2">
        <v>45973</v>
      </c>
      <c r="N292" t="s">
        <v>630</v>
      </c>
      <c r="O292" t="s">
        <v>625</v>
      </c>
      <c r="P292">
        <v>1</v>
      </c>
      <c r="Q292">
        <v>0</v>
      </c>
      <c r="R292">
        <v>67.86</v>
      </c>
      <c r="S292" t="s">
        <v>509</v>
      </c>
      <c r="T292" t="s">
        <v>779</v>
      </c>
    </row>
    <row r="293" spans="1:20" x14ac:dyDescent="0.3">
      <c r="A293">
        <v>199</v>
      </c>
      <c r="B293">
        <v>203</v>
      </c>
      <c r="C293">
        <v>2</v>
      </c>
      <c r="D293">
        <v>123.9</v>
      </c>
      <c r="E293">
        <v>12.39</v>
      </c>
      <c r="F293">
        <v>0</v>
      </c>
      <c r="G293">
        <v>0.1</v>
      </c>
      <c r="H293" t="s">
        <v>622</v>
      </c>
      <c r="J293" t="s">
        <v>623</v>
      </c>
      <c r="K293" s="1"/>
      <c r="L293" s="1">
        <v>45974.340937499997</v>
      </c>
      <c r="M293" s="2">
        <v>45974</v>
      </c>
      <c r="N293" t="s">
        <v>630</v>
      </c>
      <c r="O293" t="s">
        <v>625</v>
      </c>
      <c r="P293">
        <v>1</v>
      </c>
      <c r="Q293">
        <v>0</v>
      </c>
      <c r="R293">
        <v>123.9</v>
      </c>
      <c r="S293" t="s">
        <v>401</v>
      </c>
      <c r="T293" t="s">
        <v>776</v>
      </c>
    </row>
    <row r="294" spans="1:20" x14ac:dyDescent="0.3">
      <c r="A294">
        <v>202</v>
      </c>
      <c r="B294">
        <v>277</v>
      </c>
      <c r="C294">
        <v>2</v>
      </c>
      <c r="D294">
        <v>75.52</v>
      </c>
      <c r="E294">
        <v>7.55</v>
      </c>
      <c r="F294">
        <v>0</v>
      </c>
      <c r="G294">
        <v>0.1</v>
      </c>
      <c r="H294" t="s">
        <v>622</v>
      </c>
      <c r="J294" t="s">
        <v>623</v>
      </c>
      <c r="K294" s="1"/>
      <c r="L294" s="1">
        <v>45974.48841435185</v>
      </c>
      <c r="M294" s="2">
        <v>45974</v>
      </c>
      <c r="N294" t="s">
        <v>630</v>
      </c>
      <c r="O294" t="s">
        <v>625</v>
      </c>
      <c r="P294">
        <v>1</v>
      </c>
      <c r="Q294">
        <v>0</v>
      </c>
      <c r="R294">
        <v>75.52</v>
      </c>
      <c r="S294" t="s">
        <v>549</v>
      </c>
      <c r="T294" t="s">
        <v>776</v>
      </c>
    </row>
    <row r="295" spans="1:20" x14ac:dyDescent="0.3">
      <c r="A295">
        <v>203</v>
      </c>
      <c r="B295">
        <v>227</v>
      </c>
      <c r="C295">
        <v>2</v>
      </c>
      <c r="D295">
        <v>35.799999999999997</v>
      </c>
      <c r="E295">
        <v>3.58</v>
      </c>
      <c r="F295">
        <v>0</v>
      </c>
      <c r="G295">
        <v>0.1</v>
      </c>
      <c r="H295" t="s">
        <v>622</v>
      </c>
      <c r="J295" t="s">
        <v>623</v>
      </c>
      <c r="K295" s="1"/>
      <c r="L295" s="1">
        <v>45974.513067129628</v>
      </c>
      <c r="M295" s="2">
        <v>45974</v>
      </c>
      <c r="N295" t="s">
        <v>630</v>
      </c>
      <c r="O295" t="s">
        <v>625</v>
      </c>
      <c r="P295">
        <v>1</v>
      </c>
      <c r="Q295">
        <v>0</v>
      </c>
      <c r="R295">
        <v>35.799999999999997</v>
      </c>
      <c r="S295" t="s">
        <v>449</v>
      </c>
      <c r="T295" t="s">
        <v>776</v>
      </c>
    </row>
    <row r="296" spans="1:20" x14ac:dyDescent="0.3">
      <c r="A296">
        <v>204</v>
      </c>
      <c r="B296">
        <v>268</v>
      </c>
      <c r="C296">
        <v>2</v>
      </c>
      <c r="D296">
        <v>24.23</v>
      </c>
      <c r="E296">
        <v>2.42</v>
      </c>
      <c r="F296">
        <v>0</v>
      </c>
      <c r="G296">
        <v>0.1</v>
      </c>
      <c r="H296" t="s">
        <v>622</v>
      </c>
      <c r="J296" t="s">
        <v>623</v>
      </c>
      <c r="K296" s="1"/>
      <c r="L296" s="1">
        <v>45974.552604166667</v>
      </c>
      <c r="M296" s="2">
        <v>45974</v>
      </c>
      <c r="N296" t="s">
        <v>630</v>
      </c>
      <c r="O296" t="s">
        <v>625</v>
      </c>
      <c r="P296">
        <v>1</v>
      </c>
      <c r="Q296">
        <v>0</v>
      </c>
      <c r="R296">
        <v>24.23</v>
      </c>
      <c r="S296" t="s">
        <v>531</v>
      </c>
      <c r="T296" t="s">
        <v>776</v>
      </c>
    </row>
    <row r="297" spans="1:20" x14ac:dyDescent="0.3">
      <c r="A297">
        <v>263</v>
      </c>
      <c r="B297">
        <v>211</v>
      </c>
      <c r="C297">
        <v>5</v>
      </c>
      <c r="D297">
        <v>121.07</v>
      </c>
      <c r="E297">
        <v>12.11</v>
      </c>
      <c r="F297">
        <v>0</v>
      </c>
      <c r="G297">
        <v>0.1</v>
      </c>
      <c r="H297" t="s">
        <v>622</v>
      </c>
      <c r="J297" t="s">
        <v>623</v>
      </c>
      <c r="K297" s="1"/>
      <c r="L297" s="1">
        <v>45979.713761574072</v>
      </c>
      <c r="M297" s="2">
        <v>45979</v>
      </c>
      <c r="N297" t="s">
        <v>630</v>
      </c>
      <c r="O297" t="s">
        <v>625</v>
      </c>
      <c r="P297">
        <v>1</v>
      </c>
      <c r="Q297">
        <v>0</v>
      </c>
      <c r="R297">
        <v>121.07</v>
      </c>
      <c r="S297" t="s">
        <v>417</v>
      </c>
      <c r="T297" t="s">
        <v>779</v>
      </c>
    </row>
    <row r="298" spans="1:20" x14ac:dyDescent="0.3">
      <c r="A298">
        <v>209</v>
      </c>
      <c r="B298">
        <v>249</v>
      </c>
      <c r="C298">
        <v>5</v>
      </c>
      <c r="D298">
        <v>64.02</v>
      </c>
      <c r="E298">
        <v>6.4</v>
      </c>
      <c r="F298">
        <v>0</v>
      </c>
      <c r="G298">
        <v>0.1</v>
      </c>
      <c r="H298" t="s">
        <v>622</v>
      </c>
      <c r="J298" t="s">
        <v>623</v>
      </c>
      <c r="K298" s="1"/>
      <c r="L298" s="1">
        <v>45974.803564814814</v>
      </c>
      <c r="M298" s="2">
        <v>45974</v>
      </c>
      <c r="N298" t="s">
        <v>630</v>
      </c>
      <c r="O298" t="s">
        <v>625</v>
      </c>
      <c r="P298">
        <v>1</v>
      </c>
      <c r="Q298">
        <v>0</v>
      </c>
      <c r="R298">
        <v>64.02</v>
      </c>
      <c r="S298" t="s">
        <v>493</v>
      </c>
      <c r="T298" t="s">
        <v>779</v>
      </c>
    </row>
    <row r="299" spans="1:20" x14ac:dyDescent="0.3">
      <c r="A299">
        <v>211</v>
      </c>
      <c r="B299">
        <v>265</v>
      </c>
      <c r="C299">
        <v>3</v>
      </c>
      <c r="D299">
        <v>82.8</v>
      </c>
      <c r="E299">
        <v>8.2799999999999994</v>
      </c>
      <c r="F299">
        <v>0</v>
      </c>
      <c r="G299">
        <v>0.1</v>
      </c>
      <c r="H299" t="s">
        <v>622</v>
      </c>
      <c r="J299" t="s">
        <v>623</v>
      </c>
      <c r="K299" s="1"/>
      <c r="L299" s="1">
        <v>45975.40729166667</v>
      </c>
      <c r="M299" s="2">
        <v>45975</v>
      </c>
      <c r="N299" t="s">
        <v>630</v>
      </c>
      <c r="O299" t="s">
        <v>625</v>
      </c>
      <c r="P299">
        <v>1</v>
      </c>
      <c r="Q299">
        <v>0</v>
      </c>
      <c r="R299">
        <v>82.8</v>
      </c>
      <c r="S299" t="s">
        <v>525</v>
      </c>
      <c r="T299" t="s">
        <v>777</v>
      </c>
    </row>
    <row r="300" spans="1:20" x14ac:dyDescent="0.3">
      <c r="A300">
        <v>223</v>
      </c>
      <c r="B300">
        <v>264</v>
      </c>
      <c r="C300">
        <v>5</v>
      </c>
      <c r="D300">
        <v>183.9</v>
      </c>
      <c r="E300">
        <v>18.39</v>
      </c>
      <c r="F300">
        <v>0</v>
      </c>
      <c r="G300">
        <v>0.1</v>
      </c>
      <c r="H300" t="s">
        <v>622</v>
      </c>
      <c r="J300" t="s">
        <v>623</v>
      </c>
      <c r="K300" s="1"/>
      <c r="L300" s="1">
        <v>45976.380486111113</v>
      </c>
      <c r="M300" s="2">
        <v>45976</v>
      </c>
      <c r="N300" t="s">
        <v>630</v>
      </c>
      <c r="O300" t="s">
        <v>625</v>
      </c>
      <c r="P300">
        <v>1</v>
      </c>
      <c r="Q300">
        <v>0</v>
      </c>
      <c r="R300">
        <v>183.9</v>
      </c>
      <c r="S300" t="s">
        <v>523</v>
      </c>
      <c r="T300" t="s">
        <v>779</v>
      </c>
    </row>
    <row r="301" spans="1:20" x14ac:dyDescent="0.3">
      <c r="A301">
        <v>239</v>
      </c>
      <c r="B301">
        <v>288</v>
      </c>
      <c r="C301">
        <v>4</v>
      </c>
      <c r="D301">
        <v>34.28</v>
      </c>
      <c r="E301">
        <v>3.43</v>
      </c>
      <c r="F301">
        <v>0</v>
      </c>
      <c r="G301">
        <v>0.1</v>
      </c>
      <c r="H301" t="s">
        <v>622</v>
      </c>
      <c r="J301" t="s">
        <v>623</v>
      </c>
      <c r="K301" s="1"/>
      <c r="L301" s="1">
        <v>45977.679965277777</v>
      </c>
      <c r="M301" s="2">
        <v>45977</v>
      </c>
      <c r="N301" t="s">
        <v>630</v>
      </c>
      <c r="O301" t="s">
        <v>625</v>
      </c>
      <c r="P301">
        <v>1</v>
      </c>
      <c r="Q301">
        <v>0</v>
      </c>
      <c r="R301">
        <v>34.28</v>
      </c>
      <c r="S301" t="s">
        <v>571</v>
      </c>
      <c r="T301" t="s">
        <v>778</v>
      </c>
    </row>
    <row r="302" spans="1:20" x14ac:dyDescent="0.3">
      <c r="A302">
        <v>250</v>
      </c>
      <c r="B302">
        <v>245</v>
      </c>
      <c r="C302">
        <v>5</v>
      </c>
      <c r="D302">
        <v>19.13</v>
      </c>
      <c r="E302">
        <v>1.91</v>
      </c>
      <c r="F302">
        <v>0</v>
      </c>
      <c r="G302">
        <v>0.1</v>
      </c>
      <c r="H302" t="s">
        <v>622</v>
      </c>
      <c r="J302" t="s">
        <v>623</v>
      </c>
      <c r="K302" s="1"/>
      <c r="L302" s="1">
        <v>45978.527048611111</v>
      </c>
      <c r="M302" s="2">
        <v>45978</v>
      </c>
      <c r="N302" t="s">
        <v>630</v>
      </c>
      <c r="O302" t="s">
        <v>625</v>
      </c>
      <c r="P302">
        <v>1</v>
      </c>
      <c r="Q302">
        <v>0</v>
      </c>
      <c r="R302">
        <v>19.13</v>
      </c>
      <c r="S302" t="s">
        <v>485</v>
      </c>
      <c r="T302" t="s">
        <v>779</v>
      </c>
    </row>
    <row r="303" spans="1:20" x14ac:dyDescent="0.3">
      <c r="A303">
        <v>302</v>
      </c>
      <c r="B303">
        <v>261</v>
      </c>
      <c r="C303">
        <v>5</v>
      </c>
      <c r="D303">
        <v>59.41</v>
      </c>
      <c r="E303">
        <v>5.94</v>
      </c>
      <c r="F303">
        <v>0</v>
      </c>
      <c r="G303">
        <v>0.1</v>
      </c>
      <c r="H303" t="s">
        <v>622</v>
      </c>
      <c r="J303" t="s">
        <v>623</v>
      </c>
      <c r="K303" s="1"/>
      <c r="L303" s="1">
        <v>45983.381701388891</v>
      </c>
      <c r="M303" s="2">
        <v>45983</v>
      </c>
      <c r="N303" t="s">
        <v>630</v>
      </c>
      <c r="O303" t="s">
        <v>625</v>
      </c>
      <c r="P303">
        <v>1</v>
      </c>
      <c r="Q303">
        <v>0</v>
      </c>
      <c r="R303">
        <v>59.41</v>
      </c>
      <c r="S303" t="s">
        <v>517</v>
      </c>
      <c r="T303" t="s">
        <v>779</v>
      </c>
    </row>
    <row r="304" spans="1:20" x14ac:dyDescent="0.3">
      <c r="A304">
        <v>303</v>
      </c>
      <c r="B304">
        <v>16</v>
      </c>
      <c r="C304">
        <v>5</v>
      </c>
      <c r="D304">
        <v>130.58000000000001</v>
      </c>
      <c r="E304">
        <v>0</v>
      </c>
      <c r="F304">
        <v>1</v>
      </c>
      <c r="G304">
        <v>0.1</v>
      </c>
      <c r="H304" t="s">
        <v>626</v>
      </c>
      <c r="I304">
        <v>3</v>
      </c>
      <c r="J304" t="s">
        <v>628</v>
      </c>
      <c r="K304" s="1">
        <v>45983.636481481481</v>
      </c>
      <c r="L304" s="1">
        <v>45983.386481481481</v>
      </c>
      <c r="M304" s="2">
        <v>45983</v>
      </c>
      <c r="N304" t="s">
        <v>630</v>
      </c>
      <c r="O304" t="s">
        <v>629</v>
      </c>
      <c r="P304">
        <v>1</v>
      </c>
      <c r="Q304">
        <v>1</v>
      </c>
      <c r="R304">
        <v>0</v>
      </c>
      <c r="S304" t="s">
        <v>28</v>
      </c>
      <c r="T304" t="s">
        <v>779</v>
      </c>
    </row>
    <row r="305" spans="1:20" x14ac:dyDescent="0.3">
      <c r="A305">
        <v>304</v>
      </c>
      <c r="B305">
        <v>84</v>
      </c>
      <c r="C305">
        <v>2</v>
      </c>
      <c r="D305">
        <v>38.83</v>
      </c>
      <c r="E305">
        <v>3.88</v>
      </c>
      <c r="F305">
        <v>0</v>
      </c>
      <c r="G305">
        <v>0.1</v>
      </c>
      <c r="H305" t="s">
        <v>622</v>
      </c>
      <c r="J305" t="s">
        <v>623</v>
      </c>
      <c r="K305" s="1"/>
      <c r="L305" s="1">
        <v>45983.408020833333</v>
      </c>
      <c r="M305" s="2">
        <v>45983</v>
      </c>
      <c r="N305" t="s">
        <v>630</v>
      </c>
      <c r="O305" t="s">
        <v>625</v>
      </c>
      <c r="P305">
        <v>1</v>
      </c>
      <c r="Q305">
        <v>0</v>
      </c>
      <c r="R305">
        <v>38.83</v>
      </c>
      <c r="S305" t="s">
        <v>163</v>
      </c>
      <c r="T305" t="s">
        <v>776</v>
      </c>
    </row>
    <row r="306" spans="1:20" x14ac:dyDescent="0.3">
      <c r="A306">
        <v>305</v>
      </c>
      <c r="B306">
        <v>168</v>
      </c>
      <c r="C306">
        <v>2</v>
      </c>
      <c r="D306">
        <v>17.239999999999998</v>
      </c>
      <c r="E306">
        <v>1.72</v>
      </c>
      <c r="F306">
        <v>0</v>
      </c>
      <c r="G306">
        <v>0.1</v>
      </c>
      <c r="H306" t="s">
        <v>622</v>
      </c>
      <c r="J306" t="s">
        <v>623</v>
      </c>
      <c r="K306" s="1"/>
      <c r="L306" s="1">
        <v>45983.422337962962</v>
      </c>
      <c r="M306" s="2">
        <v>45983</v>
      </c>
      <c r="N306" t="s">
        <v>630</v>
      </c>
      <c r="O306" t="s">
        <v>625</v>
      </c>
      <c r="P306">
        <v>1</v>
      </c>
      <c r="Q306">
        <v>0</v>
      </c>
      <c r="R306">
        <v>17.239999999999998</v>
      </c>
      <c r="S306" t="s">
        <v>331</v>
      </c>
      <c r="T306" t="s">
        <v>776</v>
      </c>
    </row>
    <row r="307" spans="1:20" x14ac:dyDescent="0.3">
      <c r="A307">
        <v>306</v>
      </c>
      <c r="B307">
        <v>32</v>
      </c>
      <c r="C307">
        <v>5</v>
      </c>
      <c r="D307">
        <v>39.380000000000003</v>
      </c>
      <c r="E307">
        <v>3.94</v>
      </c>
      <c r="F307">
        <v>0</v>
      </c>
      <c r="G307">
        <v>0.1</v>
      </c>
      <c r="H307" t="s">
        <v>622</v>
      </c>
      <c r="J307" t="s">
        <v>623</v>
      </c>
      <c r="K307" s="1"/>
      <c r="L307" s="1">
        <v>45983.455046296294</v>
      </c>
      <c r="M307" s="2">
        <v>45983</v>
      </c>
      <c r="N307" t="s">
        <v>630</v>
      </c>
      <c r="O307" t="s">
        <v>625</v>
      </c>
      <c r="P307">
        <v>1</v>
      </c>
      <c r="Q307">
        <v>0</v>
      </c>
      <c r="R307">
        <v>39.380000000000003</v>
      </c>
      <c r="S307" t="s">
        <v>60</v>
      </c>
      <c r="T307" t="s">
        <v>779</v>
      </c>
    </row>
    <row r="308" spans="1:20" x14ac:dyDescent="0.3">
      <c r="A308">
        <v>307</v>
      </c>
      <c r="B308">
        <v>249</v>
      </c>
      <c r="C308">
        <v>5</v>
      </c>
      <c r="D308">
        <v>135.19999999999999</v>
      </c>
      <c r="E308">
        <v>13.52</v>
      </c>
      <c r="F308">
        <v>0</v>
      </c>
      <c r="G308">
        <v>0.1</v>
      </c>
      <c r="H308" t="s">
        <v>622</v>
      </c>
      <c r="J308" t="s">
        <v>623</v>
      </c>
      <c r="K308" s="1"/>
      <c r="L308" s="1">
        <v>45983.473946759259</v>
      </c>
      <c r="M308" s="2">
        <v>45983</v>
      </c>
      <c r="N308" t="s">
        <v>630</v>
      </c>
      <c r="O308" t="s">
        <v>625</v>
      </c>
      <c r="P308">
        <v>1</v>
      </c>
      <c r="Q308">
        <v>0</v>
      </c>
      <c r="R308">
        <v>135.19999999999999</v>
      </c>
      <c r="S308" t="s">
        <v>493</v>
      </c>
      <c r="T308" t="s">
        <v>779</v>
      </c>
    </row>
    <row r="309" spans="1:20" x14ac:dyDescent="0.3">
      <c r="A309">
        <v>308</v>
      </c>
      <c r="B309">
        <v>155</v>
      </c>
      <c r="C309">
        <v>4</v>
      </c>
      <c r="D309">
        <v>53.91</v>
      </c>
      <c r="E309">
        <v>5.39</v>
      </c>
      <c r="F309">
        <v>0</v>
      </c>
      <c r="G309">
        <v>0.1</v>
      </c>
      <c r="H309" t="s">
        <v>622</v>
      </c>
      <c r="J309" t="s">
        <v>623</v>
      </c>
      <c r="K309" s="1"/>
      <c r="L309" s="1">
        <v>45983.557939814818</v>
      </c>
      <c r="M309" s="2">
        <v>45983</v>
      </c>
      <c r="N309" t="s">
        <v>630</v>
      </c>
      <c r="O309" t="s">
        <v>625</v>
      </c>
      <c r="P309">
        <v>1</v>
      </c>
      <c r="Q309">
        <v>0</v>
      </c>
      <c r="R309">
        <v>53.91</v>
      </c>
      <c r="S309" t="s">
        <v>305</v>
      </c>
      <c r="T309" t="s">
        <v>778</v>
      </c>
    </row>
    <row r="310" spans="1:20" x14ac:dyDescent="0.3">
      <c r="A310">
        <v>309</v>
      </c>
      <c r="B310">
        <v>137</v>
      </c>
      <c r="C310">
        <v>2</v>
      </c>
      <c r="D310">
        <v>30.68</v>
      </c>
      <c r="E310">
        <v>3.07</v>
      </c>
      <c r="F310">
        <v>0</v>
      </c>
      <c r="G310">
        <v>0.1</v>
      </c>
      <c r="H310" t="s">
        <v>622</v>
      </c>
      <c r="J310" t="s">
        <v>623</v>
      </c>
      <c r="K310" s="1"/>
      <c r="L310" s="1">
        <v>45983.579305555555</v>
      </c>
      <c r="M310" s="2">
        <v>45983</v>
      </c>
      <c r="N310" t="s">
        <v>630</v>
      </c>
      <c r="O310" t="s">
        <v>625</v>
      </c>
      <c r="P310">
        <v>1</v>
      </c>
      <c r="Q310">
        <v>0</v>
      </c>
      <c r="R310">
        <v>30.68</v>
      </c>
      <c r="S310" t="s">
        <v>269</v>
      </c>
      <c r="T310" t="s">
        <v>776</v>
      </c>
    </row>
    <row r="311" spans="1:20" x14ac:dyDescent="0.3">
      <c r="A311">
        <v>310</v>
      </c>
      <c r="B311">
        <v>38</v>
      </c>
      <c r="C311">
        <v>3</v>
      </c>
      <c r="D311">
        <v>26.13</v>
      </c>
      <c r="E311">
        <v>2.61</v>
      </c>
      <c r="F311">
        <v>0</v>
      </c>
      <c r="G311">
        <v>0.1</v>
      </c>
      <c r="H311" t="s">
        <v>622</v>
      </c>
      <c r="J311" t="s">
        <v>623</v>
      </c>
      <c r="K311" s="1"/>
      <c r="L311" s="1">
        <v>45983.583715277775</v>
      </c>
      <c r="M311" s="2">
        <v>45983</v>
      </c>
      <c r="N311" t="s">
        <v>630</v>
      </c>
      <c r="O311" t="s">
        <v>625</v>
      </c>
      <c r="P311">
        <v>1</v>
      </c>
      <c r="Q311">
        <v>0</v>
      </c>
      <c r="R311">
        <v>26.13</v>
      </c>
      <c r="S311" t="s">
        <v>72</v>
      </c>
      <c r="T311" t="s">
        <v>777</v>
      </c>
    </row>
    <row r="312" spans="1:20" x14ac:dyDescent="0.3">
      <c r="A312">
        <v>311</v>
      </c>
      <c r="B312">
        <v>39</v>
      </c>
      <c r="C312">
        <v>2</v>
      </c>
      <c r="D312">
        <v>173.66</v>
      </c>
      <c r="E312">
        <v>17.37</v>
      </c>
      <c r="F312">
        <v>0</v>
      </c>
      <c r="G312">
        <v>0.1</v>
      </c>
      <c r="H312" t="s">
        <v>622</v>
      </c>
      <c r="J312" t="s">
        <v>623</v>
      </c>
      <c r="K312" s="1"/>
      <c r="L312" s="1">
        <v>45983.599791666667</v>
      </c>
      <c r="M312" s="2">
        <v>45983</v>
      </c>
      <c r="N312" t="s">
        <v>630</v>
      </c>
      <c r="O312" t="s">
        <v>625</v>
      </c>
      <c r="P312">
        <v>1</v>
      </c>
      <c r="Q312">
        <v>0</v>
      </c>
      <c r="R312">
        <v>173.66</v>
      </c>
      <c r="S312" t="s">
        <v>74</v>
      </c>
      <c r="T312" t="s">
        <v>776</v>
      </c>
    </row>
    <row r="313" spans="1:20" x14ac:dyDescent="0.3">
      <c r="A313">
        <v>312</v>
      </c>
      <c r="B313">
        <v>76</v>
      </c>
      <c r="C313">
        <v>4</v>
      </c>
      <c r="D313">
        <v>41.35</v>
      </c>
      <c r="E313">
        <v>4.1399999999999997</v>
      </c>
      <c r="F313">
        <v>0</v>
      </c>
      <c r="G313">
        <v>0.1</v>
      </c>
      <c r="H313" t="s">
        <v>622</v>
      </c>
      <c r="J313" t="s">
        <v>623</v>
      </c>
      <c r="K313" s="1"/>
      <c r="L313" s="1">
        <v>45983.63994212963</v>
      </c>
      <c r="M313" s="2">
        <v>45983</v>
      </c>
      <c r="N313" t="s">
        <v>630</v>
      </c>
      <c r="O313" t="s">
        <v>625</v>
      </c>
      <c r="P313">
        <v>1</v>
      </c>
      <c r="Q313">
        <v>0</v>
      </c>
      <c r="R313">
        <v>41.35</v>
      </c>
      <c r="S313" t="s">
        <v>148</v>
      </c>
      <c r="T313" t="s">
        <v>778</v>
      </c>
    </row>
    <row r="314" spans="1:20" x14ac:dyDescent="0.3">
      <c r="A314">
        <v>313</v>
      </c>
      <c r="B314">
        <v>44</v>
      </c>
      <c r="C314">
        <v>4</v>
      </c>
      <c r="D314">
        <v>42.84</v>
      </c>
      <c r="E314">
        <v>4.28</v>
      </c>
      <c r="F314">
        <v>0</v>
      </c>
      <c r="G314">
        <v>0.1</v>
      </c>
      <c r="H314" t="s">
        <v>622</v>
      </c>
      <c r="J314" t="s">
        <v>623</v>
      </c>
      <c r="K314" s="1"/>
      <c r="L314" s="1">
        <v>45983.653067129628</v>
      </c>
      <c r="M314" s="2">
        <v>45983</v>
      </c>
      <c r="N314" t="s">
        <v>630</v>
      </c>
      <c r="O314" t="s">
        <v>625</v>
      </c>
      <c r="P314">
        <v>1</v>
      </c>
      <c r="Q314">
        <v>0</v>
      </c>
      <c r="R314">
        <v>42.84</v>
      </c>
      <c r="S314" t="s">
        <v>84</v>
      </c>
      <c r="T314" t="s">
        <v>778</v>
      </c>
    </row>
    <row r="315" spans="1:20" x14ac:dyDescent="0.3">
      <c r="A315">
        <v>314</v>
      </c>
      <c r="B315">
        <v>44</v>
      </c>
      <c r="C315">
        <v>2</v>
      </c>
      <c r="D315">
        <v>19.62</v>
      </c>
      <c r="E315">
        <v>1.96</v>
      </c>
      <c r="F315">
        <v>0</v>
      </c>
      <c r="G315">
        <v>0.1</v>
      </c>
      <c r="H315" t="s">
        <v>622</v>
      </c>
      <c r="J315" t="s">
        <v>623</v>
      </c>
      <c r="K315" s="1"/>
      <c r="L315" s="1">
        <v>45983.731840277775</v>
      </c>
      <c r="M315" s="2">
        <v>45983</v>
      </c>
      <c r="N315" t="s">
        <v>630</v>
      </c>
      <c r="O315" t="s">
        <v>625</v>
      </c>
      <c r="P315">
        <v>1</v>
      </c>
      <c r="Q315">
        <v>0</v>
      </c>
      <c r="R315">
        <v>19.62</v>
      </c>
      <c r="S315" t="s">
        <v>84</v>
      </c>
      <c r="T315" t="s">
        <v>776</v>
      </c>
    </row>
    <row r="316" spans="1:20" x14ac:dyDescent="0.3">
      <c r="A316">
        <v>315</v>
      </c>
      <c r="B316">
        <v>138</v>
      </c>
      <c r="C316">
        <v>3</v>
      </c>
      <c r="D316">
        <v>33</v>
      </c>
      <c r="E316">
        <v>3.3</v>
      </c>
      <c r="F316">
        <v>0</v>
      </c>
      <c r="G316">
        <v>0.1</v>
      </c>
      <c r="H316" t="s">
        <v>622</v>
      </c>
      <c r="J316" t="s">
        <v>623</v>
      </c>
      <c r="K316" s="1"/>
      <c r="L316" s="1">
        <v>45983.78974537037</v>
      </c>
      <c r="M316" s="2">
        <v>45983</v>
      </c>
      <c r="N316" t="s">
        <v>630</v>
      </c>
      <c r="O316" t="s">
        <v>625</v>
      </c>
      <c r="P316">
        <v>1</v>
      </c>
      <c r="Q316">
        <v>0</v>
      </c>
      <c r="R316">
        <v>33</v>
      </c>
      <c r="S316" t="s">
        <v>271</v>
      </c>
      <c r="T316" t="s">
        <v>777</v>
      </c>
    </row>
    <row r="317" spans="1:20" x14ac:dyDescent="0.3">
      <c r="A317">
        <v>316</v>
      </c>
      <c r="B317">
        <v>16</v>
      </c>
      <c r="C317">
        <v>5</v>
      </c>
      <c r="D317">
        <v>152.87</v>
      </c>
      <c r="E317">
        <v>15.29</v>
      </c>
      <c r="F317">
        <v>0</v>
      </c>
      <c r="G317">
        <v>0.1</v>
      </c>
      <c r="H317" t="s">
        <v>622</v>
      </c>
      <c r="J317" t="s">
        <v>623</v>
      </c>
      <c r="K317" s="1"/>
      <c r="L317" s="1">
        <v>45984.671527777777</v>
      </c>
      <c r="M317" s="2">
        <v>45984</v>
      </c>
      <c r="N317" t="s">
        <v>630</v>
      </c>
      <c r="O317" t="s">
        <v>625</v>
      </c>
      <c r="P317">
        <v>1</v>
      </c>
      <c r="Q317">
        <v>0</v>
      </c>
      <c r="R317">
        <v>152.87</v>
      </c>
      <c r="S317" t="s">
        <v>28</v>
      </c>
      <c r="T317" t="s">
        <v>779</v>
      </c>
    </row>
    <row r="318" spans="1:20" x14ac:dyDescent="0.3">
      <c r="A318">
        <v>317</v>
      </c>
      <c r="B318">
        <v>53</v>
      </c>
      <c r="C318">
        <v>4</v>
      </c>
      <c r="D318">
        <v>39.340000000000003</v>
      </c>
      <c r="E318">
        <v>3.93</v>
      </c>
      <c r="F318">
        <v>0</v>
      </c>
      <c r="G318">
        <v>0.1</v>
      </c>
      <c r="H318" t="s">
        <v>622</v>
      </c>
      <c r="J318" t="s">
        <v>623</v>
      </c>
      <c r="K318" s="1"/>
      <c r="L318" s="1">
        <v>45984.704270833332</v>
      </c>
      <c r="M318" s="2">
        <v>45984</v>
      </c>
      <c r="N318" t="s">
        <v>630</v>
      </c>
      <c r="O318" t="s">
        <v>625</v>
      </c>
      <c r="P318">
        <v>1</v>
      </c>
      <c r="Q318">
        <v>0</v>
      </c>
      <c r="R318">
        <v>39.340000000000003</v>
      </c>
      <c r="S318" t="s">
        <v>102</v>
      </c>
      <c r="T318" t="s">
        <v>778</v>
      </c>
    </row>
    <row r="319" spans="1:20" x14ac:dyDescent="0.3">
      <c r="A319">
        <v>318</v>
      </c>
      <c r="B319">
        <v>137</v>
      </c>
      <c r="C319">
        <v>3</v>
      </c>
      <c r="D319">
        <v>49.27</v>
      </c>
      <c r="E319">
        <v>4.93</v>
      </c>
      <c r="F319">
        <v>0</v>
      </c>
      <c r="G319">
        <v>0.1</v>
      </c>
      <c r="H319" t="s">
        <v>622</v>
      </c>
      <c r="J319" t="s">
        <v>623</v>
      </c>
      <c r="K319" s="1"/>
      <c r="L319" s="1">
        <v>45985.333043981482</v>
      </c>
      <c r="M319" s="2">
        <v>45985</v>
      </c>
      <c r="N319" t="s">
        <v>630</v>
      </c>
      <c r="O319" t="s">
        <v>625</v>
      </c>
      <c r="P319">
        <v>1</v>
      </c>
      <c r="Q319">
        <v>0</v>
      </c>
      <c r="R319">
        <v>49.27</v>
      </c>
      <c r="S319" t="s">
        <v>269</v>
      </c>
      <c r="T319" t="s">
        <v>777</v>
      </c>
    </row>
    <row r="320" spans="1:20" x14ac:dyDescent="0.3">
      <c r="A320">
        <v>319</v>
      </c>
      <c r="B320">
        <v>55</v>
      </c>
      <c r="C320">
        <v>2</v>
      </c>
      <c r="D320">
        <v>43.41</v>
      </c>
      <c r="E320">
        <v>4.34</v>
      </c>
      <c r="F320">
        <v>0</v>
      </c>
      <c r="G320">
        <v>0.1</v>
      </c>
      <c r="H320" t="s">
        <v>622</v>
      </c>
      <c r="J320" t="s">
        <v>623</v>
      </c>
      <c r="K320" s="1"/>
      <c r="L320" s="1">
        <v>45985.373877314814</v>
      </c>
      <c r="M320" s="2">
        <v>45985</v>
      </c>
      <c r="N320" t="s">
        <v>630</v>
      </c>
      <c r="O320" t="s">
        <v>625</v>
      </c>
      <c r="P320">
        <v>1</v>
      </c>
      <c r="Q320">
        <v>0</v>
      </c>
      <c r="R320">
        <v>43.41</v>
      </c>
      <c r="S320" t="s">
        <v>106</v>
      </c>
      <c r="T320" t="s">
        <v>776</v>
      </c>
    </row>
    <row r="321" spans="1:20" x14ac:dyDescent="0.3">
      <c r="A321">
        <v>320</v>
      </c>
      <c r="B321">
        <v>13</v>
      </c>
      <c r="C321">
        <v>5</v>
      </c>
      <c r="D321">
        <v>17.91</v>
      </c>
      <c r="E321">
        <v>1.79</v>
      </c>
      <c r="F321">
        <v>0</v>
      </c>
      <c r="G321">
        <v>0.1</v>
      </c>
      <c r="H321" t="s">
        <v>622</v>
      </c>
      <c r="J321" t="s">
        <v>623</v>
      </c>
      <c r="K321" s="1"/>
      <c r="L321" s="1">
        <v>45985.469513888886</v>
      </c>
      <c r="M321" s="2">
        <v>45985</v>
      </c>
      <c r="N321" t="s">
        <v>630</v>
      </c>
      <c r="O321" t="s">
        <v>625</v>
      </c>
      <c r="P321">
        <v>1</v>
      </c>
      <c r="Q321">
        <v>0</v>
      </c>
      <c r="R321">
        <v>17.91</v>
      </c>
      <c r="S321" t="s">
        <v>22</v>
      </c>
      <c r="T321" t="s">
        <v>779</v>
      </c>
    </row>
    <row r="322" spans="1:20" x14ac:dyDescent="0.3">
      <c r="A322">
        <v>321</v>
      </c>
      <c r="B322">
        <v>21</v>
      </c>
      <c r="C322">
        <v>3</v>
      </c>
      <c r="D322">
        <v>23.81</v>
      </c>
      <c r="E322">
        <v>2.38</v>
      </c>
      <c r="F322">
        <v>0</v>
      </c>
      <c r="G322">
        <v>0.1</v>
      </c>
      <c r="H322" t="s">
        <v>622</v>
      </c>
      <c r="J322" t="s">
        <v>623</v>
      </c>
      <c r="K322" s="1"/>
      <c r="L322" s="1">
        <v>45985.541956018518</v>
      </c>
      <c r="M322" s="2">
        <v>45985</v>
      </c>
      <c r="N322" t="s">
        <v>630</v>
      </c>
      <c r="O322" t="s">
        <v>625</v>
      </c>
      <c r="P322">
        <v>1</v>
      </c>
      <c r="Q322">
        <v>0</v>
      </c>
      <c r="R322">
        <v>23.81</v>
      </c>
      <c r="S322" t="s">
        <v>38</v>
      </c>
      <c r="T322" t="s">
        <v>777</v>
      </c>
    </row>
    <row r="323" spans="1:20" x14ac:dyDescent="0.3">
      <c r="A323">
        <v>322</v>
      </c>
      <c r="B323">
        <v>65</v>
      </c>
      <c r="C323">
        <v>3</v>
      </c>
      <c r="D323">
        <v>26.3</v>
      </c>
      <c r="E323">
        <v>2.63</v>
      </c>
      <c r="F323">
        <v>0</v>
      </c>
      <c r="G323">
        <v>0.1</v>
      </c>
      <c r="H323" t="s">
        <v>622</v>
      </c>
      <c r="J323" t="s">
        <v>623</v>
      </c>
      <c r="K323" s="1"/>
      <c r="L323" s="1">
        <v>45985.640775462962</v>
      </c>
      <c r="M323" s="2">
        <v>45985</v>
      </c>
      <c r="N323" t="s">
        <v>630</v>
      </c>
      <c r="O323" t="s">
        <v>625</v>
      </c>
      <c r="P323">
        <v>1</v>
      </c>
      <c r="Q323">
        <v>0</v>
      </c>
      <c r="R323">
        <v>26.3</v>
      </c>
      <c r="S323" t="s">
        <v>126</v>
      </c>
      <c r="T323" t="s">
        <v>777</v>
      </c>
    </row>
    <row r="324" spans="1:20" x14ac:dyDescent="0.3">
      <c r="A324">
        <v>323</v>
      </c>
      <c r="B324">
        <v>65</v>
      </c>
      <c r="C324">
        <v>2</v>
      </c>
      <c r="D324">
        <v>30.94</v>
      </c>
      <c r="E324">
        <v>3.09</v>
      </c>
      <c r="F324">
        <v>0</v>
      </c>
      <c r="G324">
        <v>0.1</v>
      </c>
      <c r="H324" t="s">
        <v>622</v>
      </c>
      <c r="J324" t="s">
        <v>623</v>
      </c>
      <c r="K324" s="1"/>
      <c r="L324" s="1">
        <v>45985.680856481478</v>
      </c>
      <c r="M324" s="2">
        <v>45985</v>
      </c>
      <c r="N324" t="s">
        <v>630</v>
      </c>
      <c r="O324" t="s">
        <v>625</v>
      </c>
      <c r="P324">
        <v>1</v>
      </c>
      <c r="Q324">
        <v>0</v>
      </c>
      <c r="R324">
        <v>30.94</v>
      </c>
      <c r="S324" t="s">
        <v>126</v>
      </c>
      <c r="T324" t="s">
        <v>776</v>
      </c>
    </row>
    <row r="325" spans="1:20" x14ac:dyDescent="0.3">
      <c r="A325">
        <v>324</v>
      </c>
      <c r="B325">
        <v>76</v>
      </c>
      <c r="C325">
        <v>4</v>
      </c>
      <c r="D325">
        <v>90.94</v>
      </c>
      <c r="E325">
        <v>9.09</v>
      </c>
      <c r="F325">
        <v>0</v>
      </c>
      <c r="G325">
        <v>0.1</v>
      </c>
      <c r="H325" t="s">
        <v>622</v>
      </c>
      <c r="J325" t="s">
        <v>623</v>
      </c>
      <c r="K325" s="1"/>
      <c r="L325" s="1">
        <v>45985.74863425926</v>
      </c>
      <c r="M325" s="2">
        <v>45985</v>
      </c>
      <c r="N325" t="s">
        <v>630</v>
      </c>
      <c r="O325" t="s">
        <v>625</v>
      </c>
      <c r="P325">
        <v>1</v>
      </c>
      <c r="Q325">
        <v>0</v>
      </c>
      <c r="R325">
        <v>90.94</v>
      </c>
      <c r="S325" t="s">
        <v>148</v>
      </c>
      <c r="T325" t="s">
        <v>778</v>
      </c>
    </row>
    <row r="326" spans="1:20" x14ac:dyDescent="0.3">
      <c r="A326">
        <v>325</v>
      </c>
      <c r="B326">
        <v>117</v>
      </c>
      <c r="C326">
        <v>4</v>
      </c>
      <c r="D326">
        <v>137.44</v>
      </c>
      <c r="E326">
        <v>13.74</v>
      </c>
      <c r="F326">
        <v>0</v>
      </c>
      <c r="G326">
        <v>0.1</v>
      </c>
      <c r="H326" t="s">
        <v>622</v>
      </c>
      <c r="J326" t="s">
        <v>623</v>
      </c>
      <c r="K326" s="1"/>
      <c r="L326" s="1">
        <v>45985.781597222223</v>
      </c>
      <c r="M326" s="2">
        <v>45985</v>
      </c>
      <c r="N326" t="s">
        <v>630</v>
      </c>
      <c r="O326" t="s">
        <v>625</v>
      </c>
      <c r="P326">
        <v>1</v>
      </c>
      <c r="Q326">
        <v>0</v>
      </c>
      <c r="R326">
        <v>137.44</v>
      </c>
      <c r="S326" t="s">
        <v>229</v>
      </c>
      <c r="T326" t="s">
        <v>778</v>
      </c>
    </row>
    <row r="327" spans="1:20" x14ac:dyDescent="0.3">
      <c r="A327">
        <v>326</v>
      </c>
      <c r="B327">
        <v>277</v>
      </c>
      <c r="C327">
        <v>3</v>
      </c>
      <c r="D327">
        <v>115.14</v>
      </c>
      <c r="E327">
        <v>11.51</v>
      </c>
      <c r="F327">
        <v>0</v>
      </c>
      <c r="G327">
        <v>0.1</v>
      </c>
      <c r="H327" t="s">
        <v>622</v>
      </c>
      <c r="J327" t="s">
        <v>623</v>
      </c>
      <c r="K327" s="1"/>
      <c r="L327" s="1">
        <v>45986.379837962966</v>
      </c>
      <c r="M327" s="2">
        <v>45986</v>
      </c>
      <c r="N327" t="s">
        <v>630</v>
      </c>
      <c r="O327" t="s">
        <v>625</v>
      </c>
      <c r="P327">
        <v>1</v>
      </c>
      <c r="Q327">
        <v>0</v>
      </c>
      <c r="R327">
        <v>115.14</v>
      </c>
      <c r="S327" t="s">
        <v>549</v>
      </c>
      <c r="T327" t="s">
        <v>777</v>
      </c>
    </row>
    <row r="328" spans="1:20" x14ac:dyDescent="0.3">
      <c r="A328">
        <v>327</v>
      </c>
      <c r="B328">
        <v>44</v>
      </c>
      <c r="C328">
        <v>2</v>
      </c>
      <c r="D328">
        <v>64.739999999999995</v>
      </c>
      <c r="E328">
        <v>6.47</v>
      </c>
      <c r="F328">
        <v>0</v>
      </c>
      <c r="G328">
        <v>0.1</v>
      </c>
      <c r="H328" t="s">
        <v>622</v>
      </c>
      <c r="J328" t="s">
        <v>623</v>
      </c>
      <c r="K328" s="1"/>
      <c r="L328" s="1">
        <v>45986.388564814813</v>
      </c>
      <c r="M328" s="2">
        <v>45986</v>
      </c>
      <c r="N328" t="s">
        <v>630</v>
      </c>
      <c r="O328" t="s">
        <v>625</v>
      </c>
      <c r="P328">
        <v>1</v>
      </c>
      <c r="Q328">
        <v>0</v>
      </c>
      <c r="R328">
        <v>64.739999999999995</v>
      </c>
      <c r="S328" t="s">
        <v>84</v>
      </c>
      <c r="T328" t="s">
        <v>776</v>
      </c>
    </row>
    <row r="329" spans="1:20" x14ac:dyDescent="0.3">
      <c r="A329">
        <v>328</v>
      </c>
      <c r="B329">
        <v>57</v>
      </c>
      <c r="C329">
        <v>2</v>
      </c>
      <c r="D329">
        <v>57.64</v>
      </c>
      <c r="E329">
        <v>5.76</v>
      </c>
      <c r="F329">
        <v>0</v>
      </c>
      <c r="G329">
        <v>0.1</v>
      </c>
      <c r="H329" t="s">
        <v>622</v>
      </c>
      <c r="J329" t="s">
        <v>623</v>
      </c>
      <c r="K329" s="1"/>
      <c r="L329" s="1">
        <v>45986.448738425926</v>
      </c>
      <c r="M329" s="2">
        <v>45986</v>
      </c>
      <c r="N329" t="s">
        <v>630</v>
      </c>
      <c r="O329" t="s">
        <v>625</v>
      </c>
      <c r="P329">
        <v>1</v>
      </c>
      <c r="Q329">
        <v>0</v>
      </c>
      <c r="R329">
        <v>57.64</v>
      </c>
      <c r="S329" t="s">
        <v>110</v>
      </c>
      <c r="T329" t="s">
        <v>776</v>
      </c>
    </row>
    <row r="330" spans="1:20" x14ac:dyDescent="0.3">
      <c r="A330">
        <v>329</v>
      </c>
      <c r="B330">
        <v>113</v>
      </c>
      <c r="C330">
        <v>5</v>
      </c>
      <c r="D330">
        <v>45.76</v>
      </c>
      <c r="E330">
        <v>4.58</v>
      </c>
      <c r="F330">
        <v>0</v>
      </c>
      <c r="G330">
        <v>0.1</v>
      </c>
      <c r="H330" t="s">
        <v>622</v>
      </c>
      <c r="J330" t="s">
        <v>623</v>
      </c>
      <c r="K330" s="1"/>
      <c r="L330" s="1">
        <v>45986.506018518521</v>
      </c>
      <c r="M330" s="2">
        <v>45986</v>
      </c>
      <c r="N330" t="s">
        <v>630</v>
      </c>
      <c r="O330" t="s">
        <v>625</v>
      </c>
      <c r="P330">
        <v>1</v>
      </c>
      <c r="Q330">
        <v>0</v>
      </c>
      <c r="R330">
        <v>45.76</v>
      </c>
      <c r="S330" t="s">
        <v>221</v>
      </c>
      <c r="T330" t="s">
        <v>779</v>
      </c>
    </row>
    <row r="331" spans="1:20" x14ac:dyDescent="0.3">
      <c r="A331">
        <v>330</v>
      </c>
      <c r="B331">
        <v>126</v>
      </c>
      <c r="C331">
        <v>3</v>
      </c>
      <c r="D331">
        <v>99.24</v>
      </c>
      <c r="E331">
        <v>9.92</v>
      </c>
      <c r="F331">
        <v>0</v>
      </c>
      <c r="G331">
        <v>0.1</v>
      </c>
      <c r="H331" t="s">
        <v>622</v>
      </c>
      <c r="J331" t="s">
        <v>623</v>
      </c>
      <c r="K331" s="1"/>
      <c r="L331" s="1">
        <v>45986.560567129629</v>
      </c>
      <c r="M331" s="2">
        <v>45986</v>
      </c>
      <c r="N331" t="s">
        <v>630</v>
      </c>
      <c r="O331" t="s">
        <v>625</v>
      </c>
      <c r="P331">
        <v>1</v>
      </c>
      <c r="Q331">
        <v>0</v>
      </c>
      <c r="R331">
        <v>99.24</v>
      </c>
      <c r="S331" t="s">
        <v>247</v>
      </c>
      <c r="T331" t="s">
        <v>777</v>
      </c>
    </row>
    <row r="332" spans="1:20" x14ac:dyDescent="0.3">
      <c r="A332">
        <v>331</v>
      </c>
      <c r="B332">
        <v>32</v>
      </c>
      <c r="C332">
        <v>3</v>
      </c>
      <c r="D332">
        <v>37.619999999999997</v>
      </c>
      <c r="E332">
        <v>3.76</v>
      </c>
      <c r="F332">
        <v>0</v>
      </c>
      <c r="G332">
        <v>0.1</v>
      </c>
      <c r="H332" t="s">
        <v>622</v>
      </c>
      <c r="J332" t="s">
        <v>623</v>
      </c>
      <c r="K332" s="1"/>
      <c r="L332" s="1">
        <v>45986.651076388887</v>
      </c>
      <c r="M332" s="2">
        <v>45986</v>
      </c>
      <c r="N332" t="s">
        <v>630</v>
      </c>
      <c r="O332" t="s">
        <v>625</v>
      </c>
      <c r="P332">
        <v>1</v>
      </c>
      <c r="Q332">
        <v>0</v>
      </c>
      <c r="R332">
        <v>37.619999999999997</v>
      </c>
      <c r="S332" t="s">
        <v>60</v>
      </c>
      <c r="T332" t="s">
        <v>777</v>
      </c>
    </row>
    <row r="333" spans="1:20" x14ac:dyDescent="0.3">
      <c r="A333">
        <v>332</v>
      </c>
      <c r="B333">
        <v>17</v>
      </c>
      <c r="C333">
        <v>5</v>
      </c>
      <c r="D333">
        <v>107.22</v>
      </c>
      <c r="E333">
        <v>10.72</v>
      </c>
      <c r="F333">
        <v>0</v>
      </c>
      <c r="G333">
        <v>0.1</v>
      </c>
      <c r="H333" t="s">
        <v>622</v>
      </c>
      <c r="J333" t="s">
        <v>623</v>
      </c>
      <c r="K333" s="1"/>
      <c r="L333" s="1">
        <v>45987.30846064815</v>
      </c>
      <c r="M333" s="2">
        <v>45987</v>
      </c>
      <c r="N333" t="s">
        <v>630</v>
      </c>
      <c r="O333" t="s">
        <v>625</v>
      </c>
      <c r="P333">
        <v>1</v>
      </c>
      <c r="Q333">
        <v>0</v>
      </c>
      <c r="R333">
        <v>107.22</v>
      </c>
      <c r="S333" t="s">
        <v>30</v>
      </c>
      <c r="T333" t="s">
        <v>779</v>
      </c>
    </row>
    <row r="334" spans="1:20" x14ac:dyDescent="0.3">
      <c r="A334">
        <v>333</v>
      </c>
      <c r="B334">
        <v>40</v>
      </c>
      <c r="C334">
        <v>3</v>
      </c>
      <c r="D334">
        <v>97.08</v>
      </c>
      <c r="E334">
        <v>9.7100000000000009</v>
      </c>
      <c r="F334">
        <v>0</v>
      </c>
      <c r="G334">
        <v>0.1</v>
      </c>
      <c r="H334" t="s">
        <v>622</v>
      </c>
      <c r="J334" t="s">
        <v>623</v>
      </c>
      <c r="K334" s="1"/>
      <c r="L334" s="1">
        <v>45987.311932870369</v>
      </c>
      <c r="M334" s="2">
        <v>45987</v>
      </c>
      <c r="N334" t="s">
        <v>630</v>
      </c>
      <c r="O334" t="s">
        <v>625</v>
      </c>
      <c r="P334">
        <v>1</v>
      </c>
      <c r="Q334">
        <v>0</v>
      </c>
      <c r="R334">
        <v>97.08</v>
      </c>
      <c r="S334" t="s">
        <v>76</v>
      </c>
      <c r="T334" t="s">
        <v>777</v>
      </c>
    </row>
    <row r="335" spans="1:20" x14ac:dyDescent="0.3">
      <c r="A335">
        <v>334</v>
      </c>
      <c r="B335">
        <v>16</v>
      </c>
      <c r="C335">
        <v>5</v>
      </c>
      <c r="D335">
        <v>145.86000000000001</v>
      </c>
      <c r="E335">
        <v>14.59</v>
      </c>
      <c r="F335">
        <v>0</v>
      </c>
      <c r="G335">
        <v>0.1</v>
      </c>
      <c r="H335" t="s">
        <v>622</v>
      </c>
      <c r="J335" t="s">
        <v>623</v>
      </c>
      <c r="K335" s="1"/>
      <c r="L335" s="1">
        <v>45987.346087962964</v>
      </c>
      <c r="M335" s="2">
        <v>45987</v>
      </c>
      <c r="N335" t="s">
        <v>630</v>
      </c>
      <c r="O335" t="s">
        <v>625</v>
      </c>
      <c r="P335">
        <v>1</v>
      </c>
      <c r="Q335">
        <v>0</v>
      </c>
      <c r="R335">
        <v>145.86000000000001</v>
      </c>
      <c r="S335" t="s">
        <v>28</v>
      </c>
      <c r="T335" t="s">
        <v>779</v>
      </c>
    </row>
    <row r="336" spans="1:20" x14ac:dyDescent="0.3">
      <c r="A336">
        <v>335</v>
      </c>
      <c r="B336">
        <v>117</v>
      </c>
      <c r="C336">
        <v>3</v>
      </c>
      <c r="D336">
        <v>69.44</v>
      </c>
      <c r="E336">
        <v>6.94</v>
      </c>
      <c r="F336">
        <v>0</v>
      </c>
      <c r="G336">
        <v>0.1</v>
      </c>
      <c r="H336" t="s">
        <v>626</v>
      </c>
      <c r="I336">
        <v>3</v>
      </c>
      <c r="J336" t="s">
        <v>627</v>
      </c>
      <c r="K336" s="1">
        <v>45987.983761574076</v>
      </c>
      <c r="L336" s="1">
        <v>45987.358761574076</v>
      </c>
      <c r="M336" s="2">
        <v>45987</v>
      </c>
      <c r="N336" t="s">
        <v>630</v>
      </c>
      <c r="O336" t="s">
        <v>625</v>
      </c>
      <c r="P336">
        <v>1</v>
      </c>
      <c r="Q336">
        <v>1</v>
      </c>
      <c r="R336">
        <v>0</v>
      </c>
      <c r="S336" t="s">
        <v>229</v>
      </c>
      <c r="T336" t="s">
        <v>777</v>
      </c>
    </row>
    <row r="337" spans="1:20" x14ac:dyDescent="0.3">
      <c r="A337">
        <v>336</v>
      </c>
      <c r="B337">
        <v>152</v>
      </c>
      <c r="C337">
        <v>2</v>
      </c>
      <c r="D337">
        <v>103.96</v>
      </c>
      <c r="E337">
        <v>10.4</v>
      </c>
      <c r="F337">
        <v>0</v>
      </c>
      <c r="G337">
        <v>0.1</v>
      </c>
      <c r="H337" t="s">
        <v>622</v>
      </c>
      <c r="J337" t="s">
        <v>623</v>
      </c>
      <c r="K337" s="1"/>
      <c r="L337" s="1">
        <v>45987.366932870369</v>
      </c>
      <c r="M337" s="2">
        <v>45987</v>
      </c>
      <c r="N337" t="s">
        <v>630</v>
      </c>
      <c r="O337" t="s">
        <v>625</v>
      </c>
      <c r="P337">
        <v>1</v>
      </c>
      <c r="Q337">
        <v>0</v>
      </c>
      <c r="R337">
        <v>103.96</v>
      </c>
      <c r="S337" t="s">
        <v>299</v>
      </c>
      <c r="T337" t="s">
        <v>776</v>
      </c>
    </row>
    <row r="338" spans="1:20" x14ac:dyDescent="0.3">
      <c r="A338">
        <v>337</v>
      </c>
      <c r="B338">
        <v>117</v>
      </c>
      <c r="C338">
        <v>2</v>
      </c>
      <c r="D338">
        <v>159.43</v>
      </c>
      <c r="E338">
        <v>15.94</v>
      </c>
      <c r="F338">
        <v>0</v>
      </c>
      <c r="G338">
        <v>0.1</v>
      </c>
      <c r="H338" t="s">
        <v>622</v>
      </c>
      <c r="J338" t="s">
        <v>623</v>
      </c>
      <c r="K338" s="1"/>
      <c r="L338" s="1">
        <v>45987.372939814813</v>
      </c>
      <c r="M338" s="2">
        <v>45987</v>
      </c>
      <c r="N338" t="s">
        <v>630</v>
      </c>
      <c r="O338" t="s">
        <v>625</v>
      </c>
      <c r="P338">
        <v>1</v>
      </c>
      <c r="Q338">
        <v>0</v>
      </c>
      <c r="R338">
        <v>159.43</v>
      </c>
      <c r="S338" t="s">
        <v>229</v>
      </c>
      <c r="T338" t="s">
        <v>776</v>
      </c>
    </row>
    <row r="339" spans="1:20" x14ac:dyDescent="0.3">
      <c r="A339">
        <v>338</v>
      </c>
      <c r="B339">
        <v>62</v>
      </c>
      <c r="C339">
        <v>5</v>
      </c>
      <c r="D339">
        <v>34.75</v>
      </c>
      <c r="E339">
        <v>3.48</v>
      </c>
      <c r="F339">
        <v>0</v>
      </c>
      <c r="G339">
        <v>0.1</v>
      </c>
      <c r="H339" t="s">
        <v>622</v>
      </c>
      <c r="J339" t="s">
        <v>623</v>
      </c>
      <c r="K339" s="1"/>
      <c r="L339" s="1">
        <v>45987.422511574077</v>
      </c>
      <c r="M339" s="2">
        <v>45987</v>
      </c>
      <c r="N339" t="s">
        <v>630</v>
      </c>
      <c r="O339" t="s">
        <v>625</v>
      </c>
      <c r="P339">
        <v>1</v>
      </c>
      <c r="Q339">
        <v>0</v>
      </c>
      <c r="R339">
        <v>34.75</v>
      </c>
      <c r="S339" t="s">
        <v>120</v>
      </c>
      <c r="T339" t="s">
        <v>779</v>
      </c>
    </row>
    <row r="340" spans="1:20" x14ac:dyDescent="0.3">
      <c r="A340">
        <v>339</v>
      </c>
      <c r="B340">
        <v>262</v>
      </c>
      <c r="C340">
        <v>3</v>
      </c>
      <c r="D340">
        <v>58.54</v>
      </c>
      <c r="E340">
        <v>5.85</v>
      </c>
      <c r="F340">
        <v>0</v>
      </c>
      <c r="G340">
        <v>0.1</v>
      </c>
      <c r="H340" t="s">
        <v>622</v>
      </c>
      <c r="J340" t="s">
        <v>623</v>
      </c>
      <c r="K340" s="1"/>
      <c r="L340" s="1">
        <v>45987.463043981479</v>
      </c>
      <c r="M340" s="2">
        <v>45987</v>
      </c>
      <c r="N340" t="s">
        <v>630</v>
      </c>
      <c r="O340" t="s">
        <v>625</v>
      </c>
      <c r="P340">
        <v>1</v>
      </c>
      <c r="Q340">
        <v>0</v>
      </c>
      <c r="R340">
        <v>58.54</v>
      </c>
      <c r="S340" t="s">
        <v>519</v>
      </c>
      <c r="T340" t="s">
        <v>777</v>
      </c>
    </row>
    <row r="341" spans="1:20" x14ac:dyDescent="0.3">
      <c r="A341">
        <v>340</v>
      </c>
      <c r="B341">
        <v>104</v>
      </c>
      <c r="C341">
        <v>3</v>
      </c>
      <c r="D341">
        <v>251.9</v>
      </c>
      <c r="E341">
        <v>25.19</v>
      </c>
      <c r="F341">
        <v>0</v>
      </c>
      <c r="G341">
        <v>0.1</v>
      </c>
      <c r="H341" t="s">
        <v>622</v>
      </c>
      <c r="J341" t="s">
        <v>623</v>
      </c>
      <c r="K341" s="1"/>
      <c r="L341" s="1">
        <v>45987.470856481479</v>
      </c>
      <c r="M341" s="2">
        <v>45987</v>
      </c>
      <c r="N341" t="s">
        <v>630</v>
      </c>
      <c r="O341" t="s">
        <v>625</v>
      </c>
      <c r="P341">
        <v>1</v>
      </c>
      <c r="Q341">
        <v>0</v>
      </c>
      <c r="R341">
        <v>251.9</v>
      </c>
      <c r="S341" t="s">
        <v>203</v>
      </c>
      <c r="T341" t="s">
        <v>777</v>
      </c>
    </row>
    <row r="342" spans="1:20" x14ac:dyDescent="0.3">
      <c r="A342">
        <v>341</v>
      </c>
      <c r="B342">
        <v>39</v>
      </c>
      <c r="C342">
        <v>2</v>
      </c>
      <c r="D342">
        <v>224.24</v>
      </c>
      <c r="E342">
        <v>22.42</v>
      </c>
      <c r="F342">
        <v>0</v>
      </c>
      <c r="G342">
        <v>0.1</v>
      </c>
      <c r="H342" t="s">
        <v>622</v>
      </c>
      <c r="J342" t="s">
        <v>623</v>
      </c>
      <c r="K342" s="1"/>
      <c r="L342" s="1">
        <v>45987.500937500001</v>
      </c>
      <c r="M342" s="2">
        <v>45987</v>
      </c>
      <c r="N342" t="s">
        <v>630</v>
      </c>
      <c r="O342" t="s">
        <v>625</v>
      </c>
      <c r="P342">
        <v>1</v>
      </c>
      <c r="Q342">
        <v>0</v>
      </c>
      <c r="R342">
        <v>224.24</v>
      </c>
      <c r="S342" t="s">
        <v>74</v>
      </c>
      <c r="T342" t="s">
        <v>776</v>
      </c>
    </row>
    <row r="343" spans="1:20" x14ac:dyDescent="0.3">
      <c r="A343">
        <v>342</v>
      </c>
      <c r="B343">
        <v>251</v>
      </c>
      <c r="C343">
        <v>3</v>
      </c>
      <c r="D343">
        <v>66.47</v>
      </c>
      <c r="E343">
        <v>6.65</v>
      </c>
      <c r="F343">
        <v>0</v>
      </c>
      <c r="G343">
        <v>0.1</v>
      </c>
      <c r="H343" t="s">
        <v>622</v>
      </c>
      <c r="J343" t="s">
        <v>623</v>
      </c>
      <c r="K343" s="1"/>
      <c r="L343" s="1">
        <v>45987.518680555557</v>
      </c>
      <c r="M343" s="2">
        <v>45987</v>
      </c>
      <c r="N343" t="s">
        <v>630</v>
      </c>
      <c r="O343" t="s">
        <v>625</v>
      </c>
      <c r="P343">
        <v>1</v>
      </c>
      <c r="Q343">
        <v>0</v>
      </c>
      <c r="R343">
        <v>66.47</v>
      </c>
      <c r="S343" t="s">
        <v>497</v>
      </c>
      <c r="T343" t="s">
        <v>777</v>
      </c>
    </row>
    <row r="344" spans="1:20" x14ac:dyDescent="0.3">
      <c r="A344">
        <v>343</v>
      </c>
      <c r="B344">
        <v>266</v>
      </c>
      <c r="C344">
        <v>2</v>
      </c>
      <c r="D344">
        <v>252.37</v>
      </c>
      <c r="E344">
        <v>25.24</v>
      </c>
      <c r="F344">
        <v>0</v>
      </c>
      <c r="G344">
        <v>0.1</v>
      </c>
      <c r="H344" t="s">
        <v>622</v>
      </c>
      <c r="J344" t="s">
        <v>623</v>
      </c>
      <c r="K344" s="1"/>
      <c r="L344" s="1">
        <v>45987.60496527778</v>
      </c>
      <c r="M344" s="2">
        <v>45987</v>
      </c>
      <c r="N344" t="s">
        <v>630</v>
      </c>
      <c r="O344" t="s">
        <v>625</v>
      </c>
      <c r="P344">
        <v>1</v>
      </c>
      <c r="Q344">
        <v>0</v>
      </c>
      <c r="R344">
        <v>252.37</v>
      </c>
      <c r="S344" t="s">
        <v>527</v>
      </c>
      <c r="T344" t="s">
        <v>776</v>
      </c>
    </row>
    <row r="345" spans="1:20" x14ac:dyDescent="0.3">
      <c r="A345">
        <v>344</v>
      </c>
      <c r="B345">
        <v>51</v>
      </c>
      <c r="C345">
        <v>4</v>
      </c>
      <c r="D345">
        <v>197.8</v>
      </c>
      <c r="E345">
        <v>19.78</v>
      </c>
      <c r="F345">
        <v>0</v>
      </c>
      <c r="G345">
        <v>0.1</v>
      </c>
      <c r="H345" t="s">
        <v>626</v>
      </c>
      <c r="I345">
        <v>2</v>
      </c>
      <c r="J345" t="s">
        <v>631</v>
      </c>
      <c r="K345" s="1">
        <v>45989.506331018521</v>
      </c>
      <c r="L345" s="1">
        <v>45987.631331018521</v>
      </c>
      <c r="M345" s="2">
        <v>45987</v>
      </c>
      <c r="N345" t="s">
        <v>630</v>
      </c>
      <c r="O345" t="s">
        <v>625</v>
      </c>
      <c r="P345">
        <v>1</v>
      </c>
      <c r="Q345">
        <v>1</v>
      </c>
      <c r="R345">
        <v>0</v>
      </c>
      <c r="S345" t="s">
        <v>98</v>
      </c>
      <c r="T345" t="s">
        <v>778</v>
      </c>
    </row>
    <row r="346" spans="1:20" x14ac:dyDescent="0.3">
      <c r="A346">
        <v>345</v>
      </c>
      <c r="B346">
        <v>245</v>
      </c>
      <c r="C346">
        <v>5</v>
      </c>
      <c r="D346">
        <v>28.49</v>
      </c>
      <c r="E346">
        <v>2.85</v>
      </c>
      <c r="F346">
        <v>0</v>
      </c>
      <c r="G346">
        <v>0.1</v>
      </c>
      <c r="H346" t="s">
        <v>622</v>
      </c>
      <c r="J346" t="s">
        <v>623</v>
      </c>
      <c r="K346" s="1"/>
      <c r="L346" s="1">
        <v>45987.645775462966</v>
      </c>
      <c r="M346" s="2">
        <v>45987</v>
      </c>
      <c r="N346" t="s">
        <v>630</v>
      </c>
      <c r="O346" t="s">
        <v>625</v>
      </c>
      <c r="P346">
        <v>1</v>
      </c>
      <c r="Q346">
        <v>0</v>
      </c>
      <c r="R346">
        <v>28.49</v>
      </c>
      <c r="S346" t="s">
        <v>485</v>
      </c>
      <c r="T346" t="s">
        <v>779</v>
      </c>
    </row>
    <row r="347" spans="1:20" x14ac:dyDescent="0.3">
      <c r="A347">
        <v>346</v>
      </c>
      <c r="B347">
        <v>39</v>
      </c>
      <c r="C347">
        <v>4</v>
      </c>
      <c r="D347">
        <v>157.72999999999999</v>
      </c>
      <c r="E347">
        <v>0</v>
      </c>
      <c r="F347">
        <v>1</v>
      </c>
      <c r="G347">
        <v>0.1</v>
      </c>
      <c r="H347" t="s">
        <v>622</v>
      </c>
      <c r="J347" t="s">
        <v>623</v>
      </c>
      <c r="K347" s="1"/>
      <c r="L347" s="1">
        <v>45987.76353009259</v>
      </c>
      <c r="M347" s="2">
        <v>45987</v>
      </c>
      <c r="N347" t="s">
        <v>630</v>
      </c>
      <c r="O347" t="s">
        <v>629</v>
      </c>
      <c r="P347">
        <v>1</v>
      </c>
      <c r="Q347">
        <v>0</v>
      </c>
      <c r="R347">
        <v>157.72999999999999</v>
      </c>
      <c r="S347" t="s">
        <v>74</v>
      </c>
      <c r="T347" t="s">
        <v>778</v>
      </c>
    </row>
    <row r="348" spans="1:20" x14ac:dyDescent="0.3">
      <c r="A348">
        <v>347</v>
      </c>
      <c r="B348">
        <v>44</v>
      </c>
      <c r="C348">
        <v>3</v>
      </c>
      <c r="D348">
        <v>28.62</v>
      </c>
      <c r="E348">
        <v>2.86</v>
      </c>
      <c r="F348">
        <v>0</v>
      </c>
      <c r="G348">
        <v>0.1</v>
      </c>
      <c r="H348" t="s">
        <v>622</v>
      </c>
      <c r="J348" t="s">
        <v>623</v>
      </c>
      <c r="K348" s="1"/>
      <c r="L348" s="1">
        <v>45987.823807870373</v>
      </c>
      <c r="M348" s="2">
        <v>45987</v>
      </c>
      <c r="N348" t="s">
        <v>630</v>
      </c>
      <c r="O348" t="s">
        <v>625</v>
      </c>
      <c r="P348">
        <v>1</v>
      </c>
      <c r="Q348">
        <v>0</v>
      </c>
      <c r="R348">
        <v>28.62</v>
      </c>
      <c r="S348" t="s">
        <v>84</v>
      </c>
      <c r="T348" t="s">
        <v>777</v>
      </c>
    </row>
    <row r="349" spans="1:20" x14ac:dyDescent="0.3">
      <c r="A349">
        <v>348</v>
      </c>
      <c r="B349">
        <v>137</v>
      </c>
      <c r="C349">
        <v>4</v>
      </c>
      <c r="D349">
        <v>40.83</v>
      </c>
      <c r="E349">
        <v>4.08</v>
      </c>
      <c r="F349">
        <v>0</v>
      </c>
      <c r="G349">
        <v>0.1</v>
      </c>
      <c r="H349" t="s">
        <v>626</v>
      </c>
      <c r="I349">
        <v>3</v>
      </c>
      <c r="J349" t="s">
        <v>631</v>
      </c>
      <c r="K349" s="1">
        <v>45989.905729166669</v>
      </c>
      <c r="L349" s="1">
        <v>45988.405729166669</v>
      </c>
      <c r="M349" s="2">
        <v>45988</v>
      </c>
      <c r="N349" t="s">
        <v>630</v>
      </c>
      <c r="O349" t="s">
        <v>625</v>
      </c>
      <c r="P349">
        <v>1</v>
      </c>
      <c r="Q349">
        <v>1</v>
      </c>
      <c r="R349">
        <v>0</v>
      </c>
      <c r="S349" t="s">
        <v>269</v>
      </c>
      <c r="T349" t="s">
        <v>778</v>
      </c>
    </row>
    <row r="350" spans="1:20" x14ac:dyDescent="0.3">
      <c r="A350">
        <v>349</v>
      </c>
      <c r="B350">
        <v>240</v>
      </c>
      <c r="C350">
        <v>5</v>
      </c>
      <c r="D350">
        <v>187.54</v>
      </c>
      <c r="E350">
        <v>18.75</v>
      </c>
      <c r="F350">
        <v>0</v>
      </c>
      <c r="G350">
        <v>0.1</v>
      </c>
      <c r="H350" t="s">
        <v>622</v>
      </c>
      <c r="J350" t="s">
        <v>623</v>
      </c>
      <c r="K350" s="1"/>
      <c r="L350" s="1">
        <v>45988.418553240743</v>
      </c>
      <c r="M350" s="2">
        <v>45988</v>
      </c>
      <c r="N350" t="s">
        <v>630</v>
      </c>
      <c r="O350" t="s">
        <v>625</v>
      </c>
      <c r="P350">
        <v>1</v>
      </c>
      <c r="Q350">
        <v>0</v>
      </c>
      <c r="R350">
        <v>187.54</v>
      </c>
      <c r="S350" t="s">
        <v>475</v>
      </c>
      <c r="T350" t="s">
        <v>779</v>
      </c>
    </row>
    <row r="351" spans="1:20" x14ac:dyDescent="0.3">
      <c r="A351">
        <v>350</v>
      </c>
      <c r="B351">
        <v>266</v>
      </c>
      <c r="C351">
        <v>5</v>
      </c>
      <c r="D351">
        <v>106.97</v>
      </c>
      <c r="E351">
        <v>10.7</v>
      </c>
      <c r="F351">
        <v>0</v>
      </c>
      <c r="G351">
        <v>0.1</v>
      </c>
      <c r="H351" t="s">
        <v>622</v>
      </c>
      <c r="J351" t="s">
        <v>623</v>
      </c>
      <c r="K351" s="1"/>
      <c r="L351" s="1">
        <v>45988.523715277777</v>
      </c>
      <c r="M351" s="2">
        <v>45988</v>
      </c>
      <c r="N351" t="s">
        <v>630</v>
      </c>
      <c r="O351" t="s">
        <v>625</v>
      </c>
      <c r="P351">
        <v>1</v>
      </c>
      <c r="Q351">
        <v>0</v>
      </c>
      <c r="R351">
        <v>106.97</v>
      </c>
      <c r="S351" t="s">
        <v>527</v>
      </c>
      <c r="T351" t="s">
        <v>779</v>
      </c>
    </row>
    <row r="352" spans="1:20" x14ac:dyDescent="0.3">
      <c r="A352">
        <v>351</v>
      </c>
      <c r="B352">
        <v>106</v>
      </c>
      <c r="C352">
        <v>2</v>
      </c>
      <c r="D352">
        <v>111.46</v>
      </c>
      <c r="E352">
        <v>11.15</v>
      </c>
      <c r="F352">
        <v>0</v>
      </c>
      <c r="G352">
        <v>0.1</v>
      </c>
      <c r="H352" t="s">
        <v>622</v>
      </c>
      <c r="J352" t="s">
        <v>623</v>
      </c>
      <c r="K352" s="1"/>
      <c r="L352" s="1">
        <v>45988.703043981484</v>
      </c>
      <c r="M352" s="2">
        <v>45988</v>
      </c>
      <c r="N352" t="s">
        <v>630</v>
      </c>
      <c r="O352" t="s">
        <v>625</v>
      </c>
      <c r="P352">
        <v>1</v>
      </c>
      <c r="Q352">
        <v>0</v>
      </c>
      <c r="R352">
        <v>111.46</v>
      </c>
      <c r="S352" t="s">
        <v>207</v>
      </c>
      <c r="T352" t="s">
        <v>776</v>
      </c>
    </row>
    <row r="353" spans="1:20" x14ac:dyDescent="0.3">
      <c r="A353">
        <v>352</v>
      </c>
      <c r="B353">
        <v>137</v>
      </c>
      <c r="C353">
        <v>4</v>
      </c>
      <c r="D353">
        <v>41.24</v>
      </c>
      <c r="E353">
        <v>4.12</v>
      </c>
      <c r="F353">
        <v>0</v>
      </c>
      <c r="G353">
        <v>0.1</v>
      </c>
      <c r="H353" t="s">
        <v>622</v>
      </c>
      <c r="J353" t="s">
        <v>623</v>
      </c>
      <c r="K353" s="1"/>
      <c r="L353" s="1">
        <v>45988.736875000002</v>
      </c>
      <c r="M353" s="2">
        <v>45988</v>
      </c>
      <c r="N353" t="s">
        <v>630</v>
      </c>
      <c r="O353" t="s">
        <v>625</v>
      </c>
      <c r="P353">
        <v>1</v>
      </c>
      <c r="Q353">
        <v>0</v>
      </c>
      <c r="R353">
        <v>41.24</v>
      </c>
      <c r="S353" t="s">
        <v>269</v>
      </c>
      <c r="T353" t="s">
        <v>778</v>
      </c>
    </row>
    <row r="354" spans="1:20" x14ac:dyDescent="0.3">
      <c r="A354">
        <v>353</v>
      </c>
      <c r="B354">
        <v>207</v>
      </c>
      <c r="C354">
        <v>3</v>
      </c>
      <c r="D354">
        <v>38.409999999999997</v>
      </c>
      <c r="E354">
        <v>3.84</v>
      </c>
      <c r="F354">
        <v>0</v>
      </c>
      <c r="G354">
        <v>0.1</v>
      </c>
      <c r="H354" t="s">
        <v>622</v>
      </c>
      <c r="J354" t="s">
        <v>623</v>
      </c>
      <c r="K354" s="1"/>
      <c r="L354" s="1">
        <v>45989.420682870368</v>
      </c>
      <c r="M354" s="2">
        <v>45989</v>
      </c>
      <c r="N354" t="s">
        <v>630</v>
      </c>
      <c r="O354" t="s">
        <v>625</v>
      </c>
      <c r="P354">
        <v>1</v>
      </c>
      <c r="Q354">
        <v>0</v>
      </c>
      <c r="R354">
        <v>38.409999999999997</v>
      </c>
      <c r="S354" t="s">
        <v>409</v>
      </c>
      <c r="T354" t="s">
        <v>777</v>
      </c>
    </row>
    <row r="355" spans="1:20" x14ac:dyDescent="0.3">
      <c r="A355">
        <v>354</v>
      </c>
      <c r="B355">
        <v>117</v>
      </c>
      <c r="C355">
        <v>3</v>
      </c>
      <c r="D355">
        <v>79.989999999999995</v>
      </c>
      <c r="E355">
        <v>8</v>
      </c>
      <c r="F355">
        <v>0</v>
      </c>
      <c r="G355">
        <v>0.1</v>
      </c>
      <c r="H355" t="s">
        <v>622</v>
      </c>
      <c r="J355" t="s">
        <v>623</v>
      </c>
      <c r="K355" s="1"/>
      <c r="L355" s="1">
        <v>45989.423472222225</v>
      </c>
      <c r="M355" s="2">
        <v>45989</v>
      </c>
      <c r="N355" t="s">
        <v>630</v>
      </c>
      <c r="O355" t="s">
        <v>625</v>
      </c>
      <c r="P355">
        <v>1</v>
      </c>
      <c r="Q355">
        <v>0</v>
      </c>
      <c r="R355">
        <v>79.989999999999995</v>
      </c>
      <c r="S355" t="s">
        <v>229</v>
      </c>
      <c r="T355" t="s">
        <v>777</v>
      </c>
    </row>
    <row r="356" spans="1:20" x14ac:dyDescent="0.3">
      <c r="A356">
        <v>355</v>
      </c>
      <c r="B356">
        <v>44</v>
      </c>
      <c r="C356">
        <v>4</v>
      </c>
      <c r="D356">
        <v>39.18</v>
      </c>
      <c r="E356">
        <v>3.92</v>
      </c>
      <c r="F356">
        <v>0</v>
      </c>
      <c r="G356">
        <v>0.1</v>
      </c>
      <c r="H356" t="s">
        <v>622</v>
      </c>
      <c r="J356" t="s">
        <v>623</v>
      </c>
      <c r="K356" s="1"/>
      <c r="L356" s="1">
        <v>45989.432858796295</v>
      </c>
      <c r="M356" s="2">
        <v>45989</v>
      </c>
      <c r="N356" t="s">
        <v>630</v>
      </c>
      <c r="O356" t="s">
        <v>625</v>
      </c>
      <c r="P356">
        <v>1</v>
      </c>
      <c r="Q356">
        <v>0</v>
      </c>
      <c r="R356">
        <v>39.18</v>
      </c>
      <c r="S356" t="s">
        <v>84</v>
      </c>
      <c r="T356" t="s">
        <v>778</v>
      </c>
    </row>
    <row r="357" spans="1:20" x14ac:dyDescent="0.3">
      <c r="A357">
        <v>356</v>
      </c>
      <c r="B357">
        <v>57</v>
      </c>
      <c r="C357">
        <v>2</v>
      </c>
      <c r="D357">
        <v>85.63</v>
      </c>
      <c r="E357">
        <v>8.56</v>
      </c>
      <c r="F357">
        <v>0</v>
      </c>
      <c r="G357">
        <v>0.1</v>
      </c>
      <c r="H357" t="s">
        <v>622</v>
      </c>
      <c r="J357" t="s">
        <v>623</v>
      </c>
      <c r="K357" s="1"/>
      <c r="L357" s="1">
        <v>45989.464953703704</v>
      </c>
      <c r="M357" s="2">
        <v>45989</v>
      </c>
      <c r="N357" t="s">
        <v>630</v>
      </c>
      <c r="O357" t="s">
        <v>625</v>
      </c>
      <c r="P357">
        <v>1</v>
      </c>
      <c r="Q357">
        <v>0</v>
      </c>
      <c r="R357">
        <v>85.63</v>
      </c>
      <c r="S357" t="s">
        <v>110</v>
      </c>
      <c r="T357" t="s">
        <v>776</v>
      </c>
    </row>
    <row r="358" spans="1:20" x14ac:dyDescent="0.3">
      <c r="A358">
        <v>357</v>
      </c>
      <c r="B358">
        <v>106</v>
      </c>
      <c r="C358">
        <v>3</v>
      </c>
      <c r="D358">
        <v>88.83</v>
      </c>
      <c r="E358">
        <v>8.8800000000000008</v>
      </c>
      <c r="F358">
        <v>0</v>
      </c>
      <c r="G358">
        <v>0.1</v>
      </c>
      <c r="H358" t="s">
        <v>622</v>
      </c>
      <c r="J358" t="s">
        <v>623</v>
      </c>
      <c r="K358" s="1"/>
      <c r="L358" s="1">
        <v>45989.702349537038</v>
      </c>
      <c r="M358" s="2">
        <v>45989</v>
      </c>
      <c r="N358" t="s">
        <v>630</v>
      </c>
      <c r="O358" t="s">
        <v>625</v>
      </c>
      <c r="P358">
        <v>1</v>
      </c>
      <c r="Q358">
        <v>0</v>
      </c>
      <c r="R358">
        <v>88.83</v>
      </c>
      <c r="S358" t="s">
        <v>207</v>
      </c>
      <c r="T358" t="s">
        <v>777</v>
      </c>
    </row>
    <row r="359" spans="1:20" x14ac:dyDescent="0.3">
      <c r="A359">
        <v>358</v>
      </c>
      <c r="B359">
        <v>300</v>
      </c>
      <c r="C359">
        <v>3</v>
      </c>
      <c r="D359">
        <v>61.24</v>
      </c>
      <c r="E359">
        <v>6.12</v>
      </c>
      <c r="F359">
        <v>0</v>
      </c>
      <c r="G359">
        <v>0.1</v>
      </c>
      <c r="H359" t="s">
        <v>622</v>
      </c>
      <c r="J359" t="s">
        <v>623</v>
      </c>
      <c r="K359" s="1"/>
      <c r="L359" s="1">
        <v>45989.744201388887</v>
      </c>
      <c r="M359" s="2">
        <v>45989</v>
      </c>
      <c r="N359" t="s">
        <v>630</v>
      </c>
      <c r="O359" t="s">
        <v>625</v>
      </c>
      <c r="P359">
        <v>1</v>
      </c>
      <c r="Q359">
        <v>0</v>
      </c>
      <c r="R359">
        <v>61.24</v>
      </c>
      <c r="S359" t="s">
        <v>595</v>
      </c>
      <c r="T359" t="s">
        <v>777</v>
      </c>
    </row>
    <row r="360" spans="1:20" x14ac:dyDescent="0.3">
      <c r="A360">
        <v>359</v>
      </c>
      <c r="B360">
        <v>7</v>
      </c>
      <c r="C360">
        <v>5</v>
      </c>
      <c r="D360">
        <v>74.31</v>
      </c>
      <c r="E360">
        <v>7.43</v>
      </c>
      <c r="F360">
        <v>0</v>
      </c>
      <c r="G360">
        <v>0.1</v>
      </c>
      <c r="H360" t="s">
        <v>622</v>
      </c>
      <c r="J360" t="s">
        <v>623</v>
      </c>
      <c r="K360" s="1"/>
      <c r="L360" s="1">
        <v>45989.779456018521</v>
      </c>
      <c r="M360" s="2">
        <v>45989</v>
      </c>
      <c r="N360" t="s">
        <v>630</v>
      </c>
      <c r="O360" t="s">
        <v>625</v>
      </c>
      <c r="P360">
        <v>1</v>
      </c>
      <c r="Q360">
        <v>0</v>
      </c>
      <c r="R360">
        <v>74.31</v>
      </c>
      <c r="S360" t="s">
        <v>10</v>
      </c>
      <c r="T360" t="s">
        <v>779</v>
      </c>
    </row>
    <row r="361" spans="1:20" x14ac:dyDescent="0.3">
      <c r="A361">
        <v>360</v>
      </c>
      <c r="B361">
        <v>117</v>
      </c>
      <c r="C361">
        <v>4</v>
      </c>
      <c r="D361">
        <v>74.83</v>
      </c>
      <c r="E361">
        <v>7.48</v>
      </c>
      <c r="F361">
        <v>0</v>
      </c>
      <c r="G361">
        <v>0.1</v>
      </c>
      <c r="H361" t="s">
        <v>622</v>
      </c>
      <c r="J361" t="s">
        <v>623</v>
      </c>
      <c r="K361" s="1"/>
      <c r="L361" s="1">
        <v>45990.307997685188</v>
      </c>
      <c r="M361" s="2">
        <v>45990</v>
      </c>
      <c r="N361" t="s">
        <v>630</v>
      </c>
      <c r="O361" t="s">
        <v>625</v>
      </c>
      <c r="P361">
        <v>1</v>
      </c>
      <c r="Q361">
        <v>0</v>
      </c>
      <c r="R361">
        <v>74.83</v>
      </c>
      <c r="S361" t="s">
        <v>229</v>
      </c>
      <c r="T361" t="s">
        <v>778</v>
      </c>
    </row>
    <row r="362" spans="1:20" x14ac:dyDescent="0.3">
      <c r="A362">
        <v>361</v>
      </c>
      <c r="B362">
        <v>202</v>
      </c>
      <c r="C362">
        <v>4</v>
      </c>
      <c r="D362">
        <v>18.97</v>
      </c>
      <c r="E362">
        <v>1.9</v>
      </c>
      <c r="F362">
        <v>0</v>
      </c>
      <c r="G362">
        <v>0.1</v>
      </c>
      <c r="H362" t="s">
        <v>622</v>
      </c>
      <c r="J362" t="s">
        <v>623</v>
      </c>
      <c r="K362" s="1"/>
      <c r="L362" s="1">
        <v>45990.386354166665</v>
      </c>
      <c r="M362" s="2">
        <v>45990</v>
      </c>
      <c r="N362" t="s">
        <v>630</v>
      </c>
      <c r="O362" t="s">
        <v>625</v>
      </c>
      <c r="P362">
        <v>1</v>
      </c>
      <c r="Q362">
        <v>0</v>
      </c>
      <c r="R362">
        <v>18.97</v>
      </c>
      <c r="S362" t="s">
        <v>399</v>
      </c>
      <c r="T362" t="s">
        <v>778</v>
      </c>
    </row>
    <row r="363" spans="1:20" x14ac:dyDescent="0.3">
      <c r="A363">
        <v>362</v>
      </c>
      <c r="B363">
        <v>202</v>
      </c>
      <c r="C363">
        <v>3</v>
      </c>
      <c r="D363">
        <v>29.95</v>
      </c>
      <c r="E363">
        <v>3</v>
      </c>
      <c r="F363">
        <v>0</v>
      </c>
      <c r="G363">
        <v>0.1</v>
      </c>
      <c r="H363" t="s">
        <v>622</v>
      </c>
      <c r="J363" t="s">
        <v>623</v>
      </c>
      <c r="K363" s="1"/>
      <c r="L363" s="1">
        <v>45990.393622685187</v>
      </c>
      <c r="M363" s="2">
        <v>45990</v>
      </c>
      <c r="N363" t="s">
        <v>630</v>
      </c>
      <c r="O363" t="s">
        <v>625</v>
      </c>
      <c r="P363">
        <v>1</v>
      </c>
      <c r="Q363">
        <v>0</v>
      </c>
      <c r="R363">
        <v>29.95</v>
      </c>
      <c r="S363" t="s">
        <v>399</v>
      </c>
      <c r="T363" t="s">
        <v>777</v>
      </c>
    </row>
    <row r="364" spans="1:20" x14ac:dyDescent="0.3">
      <c r="A364">
        <v>363</v>
      </c>
      <c r="B364">
        <v>38</v>
      </c>
      <c r="C364">
        <v>2</v>
      </c>
      <c r="D364">
        <v>19.39</v>
      </c>
      <c r="E364">
        <v>1.94</v>
      </c>
      <c r="F364">
        <v>0</v>
      </c>
      <c r="G364">
        <v>0.1</v>
      </c>
      <c r="H364" t="s">
        <v>622</v>
      </c>
      <c r="J364" t="s">
        <v>623</v>
      </c>
      <c r="K364" s="1"/>
      <c r="L364" s="1">
        <v>45990.405659722222</v>
      </c>
      <c r="M364" s="2">
        <v>45990</v>
      </c>
      <c r="N364" t="s">
        <v>630</v>
      </c>
      <c r="O364" t="s">
        <v>625</v>
      </c>
      <c r="P364">
        <v>1</v>
      </c>
      <c r="Q364">
        <v>0</v>
      </c>
      <c r="R364">
        <v>19.39</v>
      </c>
      <c r="S364" t="s">
        <v>72</v>
      </c>
      <c r="T364" t="s">
        <v>776</v>
      </c>
    </row>
    <row r="365" spans="1:20" x14ac:dyDescent="0.3">
      <c r="A365">
        <v>364</v>
      </c>
      <c r="B365">
        <v>48</v>
      </c>
      <c r="C365">
        <v>5</v>
      </c>
      <c r="D365">
        <v>76.47</v>
      </c>
      <c r="E365">
        <v>7.65</v>
      </c>
      <c r="F365">
        <v>0</v>
      </c>
      <c r="G365">
        <v>0.1</v>
      </c>
      <c r="H365" t="s">
        <v>622</v>
      </c>
      <c r="J365" t="s">
        <v>623</v>
      </c>
      <c r="K365" s="1"/>
      <c r="L365" s="1">
        <v>45990.417187500003</v>
      </c>
      <c r="M365" s="2">
        <v>45990</v>
      </c>
      <c r="N365" t="s">
        <v>630</v>
      </c>
      <c r="O365" t="s">
        <v>625</v>
      </c>
      <c r="P365">
        <v>1</v>
      </c>
      <c r="Q365">
        <v>0</v>
      </c>
      <c r="R365">
        <v>76.47</v>
      </c>
      <c r="S365" t="s">
        <v>92</v>
      </c>
      <c r="T365" t="s">
        <v>779</v>
      </c>
    </row>
    <row r="366" spans="1:20" x14ac:dyDescent="0.3">
      <c r="A366">
        <v>365</v>
      </c>
      <c r="B366">
        <v>137</v>
      </c>
      <c r="C366">
        <v>4</v>
      </c>
      <c r="D366">
        <v>44.48</v>
      </c>
      <c r="E366">
        <v>4.45</v>
      </c>
      <c r="F366">
        <v>0</v>
      </c>
      <c r="G366">
        <v>0.1</v>
      </c>
      <c r="H366" t="s">
        <v>622</v>
      </c>
      <c r="J366" t="s">
        <v>623</v>
      </c>
      <c r="K366" s="1"/>
      <c r="L366" s="1">
        <v>45990.476666666669</v>
      </c>
      <c r="M366" s="2">
        <v>45990</v>
      </c>
      <c r="N366" t="s">
        <v>630</v>
      </c>
      <c r="O366" t="s">
        <v>625</v>
      </c>
      <c r="P366">
        <v>1</v>
      </c>
      <c r="Q366">
        <v>0</v>
      </c>
      <c r="R366">
        <v>44.48</v>
      </c>
      <c r="S366" t="s">
        <v>269</v>
      </c>
      <c r="T366" t="s">
        <v>778</v>
      </c>
    </row>
    <row r="367" spans="1:20" x14ac:dyDescent="0.3">
      <c r="A367">
        <v>366</v>
      </c>
      <c r="B367">
        <v>52</v>
      </c>
      <c r="C367">
        <v>4</v>
      </c>
      <c r="D367">
        <v>26.07</v>
      </c>
      <c r="E367">
        <v>2.61</v>
      </c>
      <c r="F367">
        <v>0</v>
      </c>
      <c r="G367">
        <v>0.1</v>
      </c>
      <c r="H367" t="s">
        <v>622</v>
      </c>
      <c r="J367" t="s">
        <v>623</v>
      </c>
      <c r="K367" s="1"/>
      <c r="L367" s="1">
        <v>45990.513333333336</v>
      </c>
      <c r="M367" s="2">
        <v>45990</v>
      </c>
      <c r="N367" t="s">
        <v>630</v>
      </c>
      <c r="O367" t="s">
        <v>625</v>
      </c>
      <c r="P367">
        <v>1</v>
      </c>
      <c r="Q367">
        <v>0</v>
      </c>
      <c r="R367">
        <v>26.07</v>
      </c>
      <c r="S367" t="s">
        <v>100</v>
      </c>
      <c r="T367" t="s">
        <v>778</v>
      </c>
    </row>
    <row r="368" spans="1:20" x14ac:dyDescent="0.3">
      <c r="A368">
        <v>367</v>
      </c>
      <c r="B368">
        <v>138</v>
      </c>
      <c r="C368">
        <v>3</v>
      </c>
      <c r="D368">
        <v>22.77</v>
      </c>
      <c r="E368">
        <v>2.2799999999999998</v>
      </c>
      <c r="F368">
        <v>0</v>
      </c>
      <c r="G368">
        <v>0.1</v>
      </c>
      <c r="H368" t="s">
        <v>622</v>
      </c>
      <c r="J368" t="s">
        <v>623</v>
      </c>
      <c r="K368" s="1"/>
      <c r="L368" s="1">
        <v>45990.557187500002</v>
      </c>
      <c r="M368" s="2">
        <v>45990</v>
      </c>
      <c r="N368" t="s">
        <v>630</v>
      </c>
      <c r="O368" t="s">
        <v>625</v>
      </c>
      <c r="P368">
        <v>1</v>
      </c>
      <c r="Q368">
        <v>0</v>
      </c>
      <c r="R368">
        <v>22.77</v>
      </c>
      <c r="S368" t="s">
        <v>271</v>
      </c>
      <c r="T368" t="s">
        <v>777</v>
      </c>
    </row>
    <row r="369" spans="1:20" x14ac:dyDescent="0.3">
      <c r="A369">
        <v>368</v>
      </c>
      <c r="B369">
        <v>217</v>
      </c>
      <c r="C369">
        <v>5</v>
      </c>
      <c r="D369">
        <v>43.38</v>
      </c>
      <c r="E369">
        <v>4.34</v>
      </c>
      <c r="F369">
        <v>0</v>
      </c>
      <c r="G369">
        <v>0.1</v>
      </c>
      <c r="H369" t="s">
        <v>626</v>
      </c>
      <c r="I369">
        <v>2</v>
      </c>
      <c r="J369" t="s">
        <v>628</v>
      </c>
      <c r="K369" s="1">
        <v>45990.781111111108</v>
      </c>
      <c r="L369" s="1">
        <v>45990.572777777779</v>
      </c>
      <c r="M369" s="2">
        <v>45990</v>
      </c>
      <c r="N369" t="s">
        <v>630</v>
      </c>
      <c r="O369" t="s">
        <v>625</v>
      </c>
      <c r="P369">
        <v>1</v>
      </c>
      <c r="Q369">
        <v>1</v>
      </c>
      <c r="R369">
        <v>0</v>
      </c>
      <c r="S369" t="s">
        <v>429</v>
      </c>
      <c r="T369" t="s">
        <v>779</v>
      </c>
    </row>
    <row r="370" spans="1:20" x14ac:dyDescent="0.3">
      <c r="A370">
        <v>369</v>
      </c>
      <c r="B370">
        <v>137</v>
      </c>
      <c r="C370">
        <v>2</v>
      </c>
      <c r="D370">
        <v>16.86</v>
      </c>
      <c r="E370">
        <v>1.69</v>
      </c>
      <c r="F370">
        <v>0</v>
      </c>
      <c r="G370">
        <v>0.1</v>
      </c>
      <c r="H370" t="s">
        <v>622</v>
      </c>
      <c r="J370" t="s">
        <v>623</v>
      </c>
      <c r="K370" s="1"/>
      <c r="L370" s="1">
        <v>45990.624259259261</v>
      </c>
      <c r="M370" s="2">
        <v>45990</v>
      </c>
      <c r="N370" t="s">
        <v>630</v>
      </c>
      <c r="O370" t="s">
        <v>625</v>
      </c>
      <c r="P370">
        <v>1</v>
      </c>
      <c r="Q370">
        <v>0</v>
      </c>
      <c r="R370">
        <v>16.86</v>
      </c>
      <c r="S370" t="s">
        <v>269</v>
      </c>
      <c r="T370" t="s">
        <v>776</v>
      </c>
    </row>
    <row r="371" spans="1:20" x14ac:dyDescent="0.3">
      <c r="A371">
        <v>370</v>
      </c>
      <c r="B371">
        <v>46</v>
      </c>
      <c r="C371">
        <v>5</v>
      </c>
      <c r="D371">
        <v>36.93</v>
      </c>
      <c r="E371">
        <v>3.69</v>
      </c>
      <c r="F371">
        <v>0</v>
      </c>
      <c r="G371">
        <v>0.1</v>
      </c>
      <c r="H371" t="s">
        <v>622</v>
      </c>
      <c r="J371" t="s">
        <v>623</v>
      </c>
      <c r="K371" s="1"/>
      <c r="L371" s="1">
        <v>45990.640590277777</v>
      </c>
      <c r="M371" s="2">
        <v>45990</v>
      </c>
      <c r="N371" t="s">
        <v>630</v>
      </c>
      <c r="O371" t="s">
        <v>625</v>
      </c>
      <c r="P371">
        <v>1</v>
      </c>
      <c r="Q371">
        <v>0</v>
      </c>
      <c r="R371">
        <v>36.93</v>
      </c>
      <c r="S371" t="s">
        <v>88</v>
      </c>
      <c r="T371" t="s">
        <v>779</v>
      </c>
    </row>
    <row r="372" spans="1:20" x14ac:dyDescent="0.3">
      <c r="A372">
        <v>371</v>
      </c>
      <c r="B372">
        <v>186</v>
      </c>
      <c r="C372">
        <v>2</v>
      </c>
      <c r="D372">
        <v>111.77</v>
      </c>
      <c r="E372">
        <v>11.18</v>
      </c>
      <c r="F372">
        <v>0</v>
      </c>
      <c r="G372">
        <v>0.1</v>
      </c>
      <c r="H372" t="s">
        <v>622</v>
      </c>
      <c r="J372" t="s">
        <v>623</v>
      </c>
      <c r="K372" s="1"/>
      <c r="L372" s="1">
        <v>45990.671886574077</v>
      </c>
      <c r="M372" s="2">
        <v>45990</v>
      </c>
      <c r="N372" t="s">
        <v>630</v>
      </c>
      <c r="O372" t="s">
        <v>625</v>
      </c>
      <c r="P372">
        <v>1</v>
      </c>
      <c r="Q372">
        <v>0</v>
      </c>
      <c r="R372">
        <v>111.77</v>
      </c>
      <c r="S372" t="s">
        <v>367</v>
      </c>
      <c r="T372" t="s">
        <v>776</v>
      </c>
    </row>
    <row r="373" spans="1:20" x14ac:dyDescent="0.3">
      <c r="A373">
        <v>372</v>
      </c>
      <c r="B373">
        <v>38</v>
      </c>
      <c r="C373">
        <v>2</v>
      </c>
      <c r="D373">
        <v>37.49</v>
      </c>
      <c r="E373">
        <v>3.75</v>
      </c>
      <c r="F373">
        <v>0</v>
      </c>
      <c r="G373">
        <v>0.1</v>
      </c>
      <c r="H373" t="s">
        <v>622</v>
      </c>
      <c r="J373" t="s">
        <v>623</v>
      </c>
      <c r="K373" s="1"/>
      <c r="L373" s="1">
        <v>45990.696631944447</v>
      </c>
      <c r="M373" s="2">
        <v>45990</v>
      </c>
      <c r="N373" t="s">
        <v>630</v>
      </c>
      <c r="O373" t="s">
        <v>625</v>
      </c>
      <c r="P373">
        <v>1</v>
      </c>
      <c r="Q373">
        <v>0</v>
      </c>
      <c r="R373">
        <v>37.49</v>
      </c>
      <c r="S373" t="s">
        <v>72</v>
      </c>
      <c r="T373" t="s">
        <v>776</v>
      </c>
    </row>
    <row r="374" spans="1:20" x14ac:dyDescent="0.3">
      <c r="A374">
        <v>373</v>
      </c>
      <c r="B374">
        <v>70</v>
      </c>
      <c r="C374">
        <v>5</v>
      </c>
      <c r="D374">
        <v>214.64</v>
      </c>
      <c r="E374">
        <v>21.46</v>
      </c>
      <c r="F374">
        <v>0</v>
      </c>
      <c r="G374">
        <v>0.1</v>
      </c>
      <c r="H374" t="s">
        <v>622</v>
      </c>
      <c r="J374" t="s">
        <v>623</v>
      </c>
      <c r="K374" s="1"/>
      <c r="L374" s="1">
        <v>45990.738981481481</v>
      </c>
      <c r="M374" s="2">
        <v>45990</v>
      </c>
      <c r="N374" t="s">
        <v>630</v>
      </c>
      <c r="O374" t="s">
        <v>625</v>
      </c>
      <c r="P374">
        <v>1</v>
      </c>
      <c r="Q374">
        <v>0</v>
      </c>
      <c r="R374">
        <v>214.64</v>
      </c>
      <c r="S374" t="s">
        <v>136</v>
      </c>
      <c r="T374" t="s">
        <v>779</v>
      </c>
    </row>
    <row r="375" spans="1:20" x14ac:dyDescent="0.3">
      <c r="A375">
        <v>374</v>
      </c>
      <c r="B375">
        <v>126</v>
      </c>
      <c r="C375">
        <v>2</v>
      </c>
      <c r="D375">
        <v>165.26</v>
      </c>
      <c r="E375">
        <v>16.53</v>
      </c>
      <c r="F375">
        <v>0</v>
      </c>
      <c r="G375">
        <v>0.1</v>
      </c>
      <c r="H375" t="s">
        <v>622</v>
      </c>
      <c r="J375" t="s">
        <v>623</v>
      </c>
      <c r="K375" s="1"/>
      <c r="L375" s="1">
        <v>45990.743784722225</v>
      </c>
      <c r="M375" s="2">
        <v>45990</v>
      </c>
      <c r="N375" t="s">
        <v>630</v>
      </c>
      <c r="O375" t="s">
        <v>625</v>
      </c>
      <c r="P375">
        <v>1</v>
      </c>
      <c r="Q375">
        <v>0</v>
      </c>
      <c r="R375">
        <v>165.26</v>
      </c>
      <c r="S375" t="s">
        <v>247</v>
      </c>
      <c r="T375" t="s">
        <v>776</v>
      </c>
    </row>
    <row r="376" spans="1:20" x14ac:dyDescent="0.3">
      <c r="A376">
        <v>375</v>
      </c>
      <c r="B376">
        <v>72</v>
      </c>
      <c r="C376">
        <v>4</v>
      </c>
      <c r="D376">
        <v>18.88</v>
      </c>
      <c r="E376">
        <v>1.89</v>
      </c>
      <c r="F376">
        <v>0</v>
      </c>
      <c r="G376">
        <v>0.1</v>
      </c>
      <c r="H376" t="s">
        <v>622</v>
      </c>
      <c r="J376" t="s">
        <v>623</v>
      </c>
      <c r="K376" s="1"/>
      <c r="L376" s="1">
        <v>45990.823333333334</v>
      </c>
      <c r="M376" s="2">
        <v>45990</v>
      </c>
      <c r="N376" t="s">
        <v>630</v>
      </c>
      <c r="O376" t="s">
        <v>625</v>
      </c>
      <c r="P376">
        <v>1</v>
      </c>
      <c r="Q376">
        <v>0</v>
      </c>
      <c r="R376">
        <v>18.88</v>
      </c>
      <c r="S376" t="s">
        <v>140</v>
      </c>
      <c r="T376" t="s">
        <v>778</v>
      </c>
    </row>
    <row r="377" spans="1:20" x14ac:dyDescent="0.3">
      <c r="A377">
        <v>376</v>
      </c>
      <c r="B377">
        <v>16</v>
      </c>
      <c r="C377">
        <v>2</v>
      </c>
      <c r="D377">
        <v>148.19</v>
      </c>
      <c r="E377">
        <v>14.82</v>
      </c>
      <c r="F377">
        <v>0</v>
      </c>
      <c r="G377">
        <v>0.1</v>
      </c>
      <c r="H377" t="s">
        <v>622</v>
      </c>
      <c r="J377" t="s">
        <v>623</v>
      </c>
      <c r="K377" s="1"/>
      <c r="L377" s="1">
        <v>45991.357939814814</v>
      </c>
      <c r="M377" s="2">
        <v>45991</v>
      </c>
      <c r="N377" t="s">
        <v>630</v>
      </c>
      <c r="O377" t="s">
        <v>625</v>
      </c>
      <c r="P377">
        <v>1</v>
      </c>
      <c r="Q377">
        <v>0</v>
      </c>
      <c r="R377">
        <v>148.19</v>
      </c>
      <c r="S377" t="s">
        <v>28</v>
      </c>
      <c r="T377" t="s">
        <v>776</v>
      </c>
    </row>
    <row r="378" spans="1:20" x14ac:dyDescent="0.3">
      <c r="A378">
        <v>377</v>
      </c>
      <c r="B378">
        <v>151</v>
      </c>
      <c r="C378">
        <v>3</v>
      </c>
      <c r="D378">
        <v>140.74</v>
      </c>
      <c r="E378">
        <v>14.07</v>
      </c>
      <c r="F378">
        <v>0</v>
      </c>
      <c r="G378">
        <v>0.1</v>
      </c>
      <c r="H378" t="s">
        <v>622</v>
      </c>
      <c r="J378" t="s">
        <v>623</v>
      </c>
      <c r="K378" s="1"/>
      <c r="L378" s="1">
        <v>45991.386655092596</v>
      </c>
      <c r="M378" s="2">
        <v>45991</v>
      </c>
      <c r="N378" t="s">
        <v>630</v>
      </c>
      <c r="O378" t="s">
        <v>625</v>
      </c>
      <c r="P378">
        <v>1</v>
      </c>
      <c r="Q378">
        <v>0</v>
      </c>
      <c r="R378">
        <v>140.74</v>
      </c>
      <c r="S378" t="s">
        <v>297</v>
      </c>
      <c r="T378" t="s">
        <v>777</v>
      </c>
    </row>
    <row r="379" spans="1:20" x14ac:dyDescent="0.3">
      <c r="A379">
        <v>378</v>
      </c>
      <c r="B379">
        <v>63</v>
      </c>
      <c r="C379">
        <v>2</v>
      </c>
      <c r="D379">
        <v>19.760000000000002</v>
      </c>
      <c r="E379">
        <v>1.98</v>
      </c>
      <c r="F379">
        <v>0</v>
      </c>
      <c r="G379">
        <v>0.1</v>
      </c>
      <c r="H379" t="s">
        <v>622</v>
      </c>
      <c r="J379" t="s">
        <v>623</v>
      </c>
      <c r="K379" s="1"/>
      <c r="L379" s="1">
        <v>45991.440393518518</v>
      </c>
      <c r="M379" s="2">
        <v>45991</v>
      </c>
      <c r="N379" t="s">
        <v>630</v>
      </c>
      <c r="O379" t="s">
        <v>625</v>
      </c>
      <c r="P379">
        <v>1</v>
      </c>
      <c r="Q379">
        <v>0</v>
      </c>
      <c r="R379">
        <v>19.760000000000002</v>
      </c>
      <c r="S379" t="s">
        <v>122</v>
      </c>
      <c r="T379" t="s">
        <v>776</v>
      </c>
    </row>
    <row r="380" spans="1:20" x14ac:dyDescent="0.3">
      <c r="A380">
        <v>379</v>
      </c>
      <c r="B380">
        <v>240</v>
      </c>
      <c r="C380">
        <v>5</v>
      </c>
      <c r="D380">
        <v>146.71</v>
      </c>
      <c r="E380">
        <v>14.67</v>
      </c>
      <c r="F380">
        <v>0</v>
      </c>
      <c r="G380">
        <v>0.1</v>
      </c>
      <c r="H380" t="s">
        <v>622</v>
      </c>
      <c r="J380" t="s">
        <v>623</v>
      </c>
      <c r="K380" s="1"/>
      <c r="L380" s="1">
        <v>45991.448587962965</v>
      </c>
      <c r="M380" s="2">
        <v>45991</v>
      </c>
      <c r="N380" t="s">
        <v>630</v>
      </c>
      <c r="O380" t="s">
        <v>625</v>
      </c>
      <c r="P380">
        <v>1</v>
      </c>
      <c r="Q380">
        <v>0</v>
      </c>
      <c r="R380">
        <v>146.71</v>
      </c>
      <c r="S380" t="s">
        <v>475</v>
      </c>
      <c r="T380" t="s">
        <v>779</v>
      </c>
    </row>
    <row r="381" spans="1:20" x14ac:dyDescent="0.3">
      <c r="A381">
        <v>380</v>
      </c>
      <c r="B381">
        <v>18</v>
      </c>
      <c r="C381">
        <v>4</v>
      </c>
      <c r="D381">
        <v>82.29</v>
      </c>
      <c r="E381">
        <v>8.23</v>
      </c>
      <c r="F381">
        <v>0</v>
      </c>
      <c r="G381">
        <v>0.1</v>
      </c>
      <c r="H381" t="s">
        <v>622</v>
      </c>
      <c r="J381" t="s">
        <v>623</v>
      </c>
      <c r="K381" s="1"/>
      <c r="L381" s="1">
        <v>45991.458495370367</v>
      </c>
      <c r="M381" s="2">
        <v>45991</v>
      </c>
      <c r="N381" t="s">
        <v>630</v>
      </c>
      <c r="O381" t="s">
        <v>625</v>
      </c>
      <c r="P381">
        <v>1</v>
      </c>
      <c r="Q381">
        <v>0</v>
      </c>
      <c r="R381">
        <v>82.29</v>
      </c>
      <c r="S381" t="s">
        <v>32</v>
      </c>
      <c r="T381" t="s">
        <v>778</v>
      </c>
    </row>
    <row r="382" spans="1:20" x14ac:dyDescent="0.3">
      <c r="A382">
        <v>381</v>
      </c>
      <c r="B382">
        <v>40</v>
      </c>
      <c r="C382">
        <v>3</v>
      </c>
      <c r="D382">
        <v>84.93</v>
      </c>
      <c r="E382">
        <v>8.49</v>
      </c>
      <c r="F382">
        <v>0</v>
      </c>
      <c r="G382">
        <v>0.1</v>
      </c>
      <c r="H382" t="s">
        <v>622</v>
      </c>
      <c r="J382" t="s">
        <v>623</v>
      </c>
      <c r="K382" s="1"/>
      <c r="L382" s="1">
        <v>45991.59783564815</v>
      </c>
      <c r="M382" s="2">
        <v>45991</v>
      </c>
      <c r="N382" t="s">
        <v>630</v>
      </c>
      <c r="O382" t="s">
        <v>625</v>
      </c>
      <c r="P382">
        <v>1</v>
      </c>
      <c r="Q382">
        <v>0</v>
      </c>
      <c r="R382">
        <v>84.93</v>
      </c>
      <c r="S382" t="s">
        <v>76</v>
      </c>
      <c r="T382" t="s">
        <v>777</v>
      </c>
    </row>
    <row r="383" spans="1:20" x14ac:dyDescent="0.3">
      <c r="A383">
        <v>382</v>
      </c>
      <c r="B383">
        <v>35</v>
      </c>
      <c r="C383">
        <v>5</v>
      </c>
      <c r="D383">
        <v>18.47</v>
      </c>
      <c r="E383">
        <v>1.85</v>
      </c>
      <c r="F383">
        <v>0</v>
      </c>
      <c r="G383">
        <v>0.1</v>
      </c>
      <c r="H383" t="s">
        <v>622</v>
      </c>
      <c r="J383" t="s">
        <v>623</v>
      </c>
      <c r="K383" s="1"/>
      <c r="L383" s="1">
        <v>45991.637800925928</v>
      </c>
      <c r="M383" s="2">
        <v>45991</v>
      </c>
      <c r="N383" t="s">
        <v>630</v>
      </c>
      <c r="O383" t="s">
        <v>625</v>
      </c>
      <c r="P383">
        <v>1</v>
      </c>
      <c r="Q383">
        <v>0</v>
      </c>
      <c r="R383">
        <v>18.47</v>
      </c>
      <c r="S383" t="s">
        <v>66</v>
      </c>
      <c r="T383" t="s">
        <v>779</v>
      </c>
    </row>
    <row r="384" spans="1:20" x14ac:dyDescent="0.3">
      <c r="A384">
        <v>383</v>
      </c>
      <c r="B384">
        <v>141</v>
      </c>
      <c r="C384">
        <v>4</v>
      </c>
      <c r="D384">
        <v>90.46</v>
      </c>
      <c r="E384">
        <v>9.0500000000000007</v>
      </c>
      <c r="F384">
        <v>0</v>
      </c>
      <c r="G384">
        <v>0.1</v>
      </c>
      <c r="H384" t="s">
        <v>622</v>
      </c>
      <c r="J384" t="s">
        <v>623</v>
      </c>
      <c r="K384" s="1"/>
      <c r="L384" s="1">
        <v>45992.310428240744</v>
      </c>
      <c r="M384" s="2">
        <v>45992</v>
      </c>
      <c r="N384" t="s">
        <v>633</v>
      </c>
      <c r="O384" t="s">
        <v>625</v>
      </c>
      <c r="P384">
        <v>1</v>
      </c>
      <c r="Q384">
        <v>0</v>
      </c>
      <c r="R384">
        <v>90.46</v>
      </c>
      <c r="S384" t="s">
        <v>277</v>
      </c>
      <c r="T384" t="s">
        <v>778</v>
      </c>
    </row>
    <row r="385" spans="1:20" x14ac:dyDescent="0.3">
      <c r="A385">
        <v>384</v>
      </c>
      <c r="B385">
        <v>52</v>
      </c>
      <c r="C385">
        <v>3</v>
      </c>
      <c r="D385">
        <v>31.1</v>
      </c>
      <c r="E385">
        <v>3.11</v>
      </c>
      <c r="F385">
        <v>0</v>
      </c>
      <c r="G385">
        <v>0.1</v>
      </c>
      <c r="H385" t="s">
        <v>622</v>
      </c>
      <c r="J385" t="s">
        <v>623</v>
      </c>
      <c r="K385" s="1"/>
      <c r="L385" s="1">
        <v>45992.376620370371</v>
      </c>
      <c r="M385" s="2">
        <v>45992</v>
      </c>
      <c r="N385" t="s">
        <v>633</v>
      </c>
      <c r="O385" t="s">
        <v>625</v>
      </c>
      <c r="P385">
        <v>1</v>
      </c>
      <c r="Q385">
        <v>0</v>
      </c>
      <c r="R385">
        <v>31.1</v>
      </c>
      <c r="S385" t="s">
        <v>100</v>
      </c>
      <c r="T385" t="s">
        <v>777</v>
      </c>
    </row>
    <row r="386" spans="1:20" x14ac:dyDescent="0.3">
      <c r="A386">
        <v>385</v>
      </c>
      <c r="B386">
        <v>113</v>
      </c>
      <c r="C386">
        <v>4</v>
      </c>
      <c r="D386">
        <v>36.74</v>
      </c>
      <c r="E386">
        <v>3.67</v>
      </c>
      <c r="F386">
        <v>0</v>
      </c>
      <c r="G386">
        <v>0.1</v>
      </c>
      <c r="H386" t="s">
        <v>622</v>
      </c>
      <c r="J386" t="s">
        <v>623</v>
      </c>
      <c r="K386" s="1"/>
      <c r="L386" s="1">
        <v>45992.436423611114</v>
      </c>
      <c r="M386" s="2">
        <v>45992</v>
      </c>
      <c r="N386" t="s">
        <v>633</v>
      </c>
      <c r="O386" t="s">
        <v>625</v>
      </c>
      <c r="P386">
        <v>1</v>
      </c>
      <c r="Q386">
        <v>0</v>
      </c>
      <c r="R386">
        <v>36.74</v>
      </c>
      <c r="S386" t="s">
        <v>221</v>
      </c>
      <c r="T386" t="s">
        <v>778</v>
      </c>
    </row>
    <row r="387" spans="1:20" x14ac:dyDescent="0.3">
      <c r="A387">
        <v>386</v>
      </c>
      <c r="B387">
        <v>117</v>
      </c>
      <c r="C387">
        <v>2</v>
      </c>
      <c r="D387">
        <v>77.11</v>
      </c>
      <c r="E387">
        <v>7.71</v>
      </c>
      <c r="F387">
        <v>0</v>
      </c>
      <c r="G387">
        <v>0.1</v>
      </c>
      <c r="H387" t="s">
        <v>622</v>
      </c>
      <c r="J387" t="s">
        <v>623</v>
      </c>
      <c r="K387" s="1"/>
      <c r="L387" s="1">
        <v>45992.442615740743</v>
      </c>
      <c r="M387" s="2">
        <v>45992</v>
      </c>
      <c r="N387" t="s">
        <v>633</v>
      </c>
      <c r="O387" t="s">
        <v>625</v>
      </c>
      <c r="P387">
        <v>1</v>
      </c>
      <c r="Q387">
        <v>0</v>
      </c>
      <c r="R387">
        <v>77.11</v>
      </c>
      <c r="S387" t="s">
        <v>229</v>
      </c>
      <c r="T387" t="s">
        <v>776</v>
      </c>
    </row>
    <row r="388" spans="1:20" x14ac:dyDescent="0.3">
      <c r="A388">
        <v>387</v>
      </c>
      <c r="B388">
        <v>38</v>
      </c>
      <c r="C388">
        <v>2</v>
      </c>
      <c r="D388">
        <v>33.93</v>
      </c>
      <c r="E388">
        <v>3.39</v>
      </c>
      <c r="F388">
        <v>0</v>
      </c>
      <c r="G388">
        <v>0.1</v>
      </c>
      <c r="H388" t="s">
        <v>622</v>
      </c>
      <c r="J388" t="s">
        <v>623</v>
      </c>
      <c r="K388" s="1"/>
      <c r="L388" s="1">
        <v>45992.488506944443</v>
      </c>
      <c r="M388" s="2">
        <v>45992</v>
      </c>
      <c r="N388" t="s">
        <v>633</v>
      </c>
      <c r="O388" t="s">
        <v>625</v>
      </c>
      <c r="P388">
        <v>1</v>
      </c>
      <c r="Q388">
        <v>0</v>
      </c>
      <c r="R388">
        <v>33.93</v>
      </c>
      <c r="S388" t="s">
        <v>72</v>
      </c>
      <c r="T388" t="s">
        <v>776</v>
      </c>
    </row>
    <row r="389" spans="1:20" x14ac:dyDescent="0.3">
      <c r="A389">
        <v>388</v>
      </c>
      <c r="B389">
        <v>85</v>
      </c>
      <c r="C389">
        <v>2</v>
      </c>
      <c r="D389">
        <v>90.76</v>
      </c>
      <c r="E389">
        <v>9.08</v>
      </c>
      <c r="F389">
        <v>0</v>
      </c>
      <c r="G389">
        <v>0.1</v>
      </c>
      <c r="H389" t="s">
        <v>622</v>
      </c>
      <c r="J389" t="s">
        <v>623</v>
      </c>
      <c r="K389" s="1"/>
      <c r="L389" s="1">
        <v>45992.568009259259</v>
      </c>
      <c r="M389" s="2">
        <v>45992</v>
      </c>
      <c r="N389" t="s">
        <v>633</v>
      </c>
      <c r="O389" t="s">
        <v>625</v>
      </c>
      <c r="P389">
        <v>1</v>
      </c>
      <c r="Q389">
        <v>0</v>
      </c>
      <c r="R389">
        <v>90.76</v>
      </c>
      <c r="S389" t="s">
        <v>165</v>
      </c>
      <c r="T389" t="s">
        <v>776</v>
      </c>
    </row>
    <row r="390" spans="1:20" x14ac:dyDescent="0.3">
      <c r="A390">
        <v>389</v>
      </c>
      <c r="B390">
        <v>9</v>
      </c>
      <c r="C390">
        <v>3</v>
      </c>
      <c r="D390">
        <v>25.92</v>
      </c>
      <c r="E390">
        <v>2.59</v>
      </c>
      <c r="F390">
        <v>0</v>
      </c>
      <c r="G390">
        <v>0.1</v>
      </c>
      <c r="H390" t="s">
        <v>622</v>
      </c>
      <c r="J390" t="s">
        <v>623</v>
      </c>
      <c r="K390" s="1"/>
      <c r="L390" s="1">
        <v>45992.604212962964</v>
      </c>
      <c r="M390" s="2">
        <v>45992</v>
      </c>
      <c r="N390" t="s">
        <v>633</v>
      </c>
      <c r="O390" t="s">
        <v>625</v>
      </c>
      <c r="P390">
        <v>1</v>
      </c>
      <c r="Q390">
        <v>0</v>
      </c>
      <c r="R390">
        <v>25.92</v>
      </c>
      <c r="S390" t="s">
        <v>14</v>
      </c>
      <c r="T390" t="s">
        <v>777</v>
      </c>
    </row>
    <row r="391" spans="1:20" x14ac:dyDescent="0.3">
      <c r="A391">
        <v>390</v>
      </c>
      <c r="B391">
        <v>251</v>
      </c>
      <c r="C391">
        <v>2</v>
      </c>
      <c r="D391">
        <v>105.17</v>
      </c>
      <c r="E391">
        <v>10.52</v>
      </c>
      <c r="F391">
        <v>0</v>
      </c>
      <c r="G391">
        <v>0.1</v>
      </c>
      <c r="H391" t="s">
        <v>622</v>
      </c>
      <c r="J391" t="s">
        <v>623</v>
      </c>
      <c r="K391" s="1"/>
      <c r="L391" s="1">
        <v>45992.639884259261</v>
      </c>
      <c r="M391" s="2">
        <v>45992</v>
      </c>
      <c r="N391" t="s">
        <v>633</v>
      </c>
      <c r="O391" t="s">
        <v>625</v>
      </c>
      <c r="P391">
        <v>1</v>
      </c>
      <c r="Q391">
        <v>0</v>
      </c>
      <c r="R391">
        <v>105.17</v>
      </c>
      <c r="S391" t="s">
        <v>497</v>
      </c>
      <c r="T391" t="s">
        <v>776</v>
      </c>
    </row>
    <row r="392" spans="1:20" x14ac:dyDescent="0.3">
      <c r="A392">
        <v>391</v>
      </c>
      <c r="B392">
        <v>35</v>
      </c>
      <c r="C392">
        <v>4</v>
      </c>
      <c r="D392">
        <v>43.33</v>
      </c>
      <c r="E392">
        <v>4.33</v>
      </c>
      <c r="F392">
        <v>0</v>
      </c>
      <c r="G392">
        <v>0.1</v>
      </c>
      <c r="H392" t="s">
        <v>622</v>
      </c>
      <c r="J392" t="s">
        <v>623</v>
      </c>
      <c r="K392" s="1"/>
      <c r="L392" s="1">
        <v>45992.677129629628</v>
      </c>
      <c r="M392" s="2">
        <v>45992</v>
      </c>
      <c r="N392" t="s">
        <v>633</v>
      </c>
      <c r="O392" t="s">
        <v>625</v>
      </c>
      <c r="P392">
        <v>1</v>
      </c>
      <c r="Q392">
        <v>0</v>
      </c>
      <c r="R392">
        <v>43.33</v>
      </c>
      <c r="S392" t="s">
        <v>66</v>
      </c>
      <c r="T392" t="s">
        <v>778</v>
      </c>
    </row>
    <row r="393" spans="1:20" x14ac:dyDescent="0.3">
      <c r="A393">
        <v>392</v>
      </c>
      <c r="B393">
        <v>94</v>
      </c>
      <c r="C393">
        <v>2</v>
      </c>
      <c r="D393">
        <v>300</v>
      </c>
      <c r="E393">
        <v>30</v>
      </c>
      <c r="F393">
        <v>0</v>
      </c>
      <c r="G393">
        <v>0.1</v>
      </c>
      <c r="H393" t="s">
        <v>622</v>
      </c>
      <c r="J393" t="s">
        <v>623</v>
      </c>
      <c r="K393" s="1"/>
      <c r="L393" s="1">
        <v>45992.682175925926</v>
      </c>
      <c r="M393" s="2">
        <v>45992</v>
      </c>
      <c r="N393" t="s">
        <v>633</v>
      </c>
      <c r="O393" t="s">
        <v>625</v>
      </c>
      <c r="P393">
        <v>1</v>
      </c>
      <c r="Q393">
        <v>0</v>
      </c>
      <c r="R393">
        <v>300</v>
      </c>
      <c r="S393" t="s">
        <v>183</v>
      </c>
      <c r="T393" t="s">
        <v>776</v>
      </c>
    </row>
    <row r="394" spans="1:20" x14ac:dyDescent="0.3">
      <c r="A394">
        <v>393</v>
      </c>
      <c r="B394">
        <v>194</v>
      </c>
      <c r="C394">
        <v>4</v>
      </c>
      <c r="D394">
        <v>60.14</v>
      </c>
      <c r="E394">
        <v>6.01</v>
      </c>
      <c r="F394">
        <v>0</v>
      </c>
      <c r="G394">
        <v>0.1</v>
      </c>
      <c r="H394" t="s">
        <v>622</v>
      </c>
      <c r="J394" t="s">
        <v>623</v>
      </c>
      <c r="K394" s="1"/>
      <c r="L394" s="1">
        <v>45992.745335648149</v>
      </c>
      <c r="M394" s="2">
        <v>45992</v>
      </c>
      <c r="N394" t="s">
        <v>633</v>
      </c>
      <c r="O394" t="s">
        <v>625</v>
      </c>
      <c r="P394">
        <v>1</v>
      </c>
      <c r="Q394">
        <v>0</v>
      </c>
      <c r="R394">
        <v>60.14</v>
      </c>
      <c r="S394" t="s">
        <v>383</v>
      </c>
      <c r="T394" t="s">
        <v>778</v>
      </c>
    </row>
    <row r="395" spans="1:20" x14ac:dyDescent="0.3">
      <c r="A395">
        <v>394</v>
      </c>
      <c r="B395">
        <v>245</v>
      </c>
      <c r="C395">
        <v>2</v>
      </c>
      <c r="D395">
        <v>25.47</v>
      </c>
      <c r="E395">
        <v>2.5499999999999998</v>
      </c>
      <c r="F395">
        <v>0</v>
      </c>
      <c r="G395">
        <v>0.1</v>
      </c>
      <c r="H395" t="s">
        <v>622</v>
      </c>
      <c r="J395" t="s">
        <v>623</v>
      </c>
      <c r="K395" s="1"/>
      <c r="L395" s="1">
        <v>45992.787662037037</v>
      </c>
      <c r="M395" s="2">
        <v>45992</v>
      </c>
      <c r="N395" t="s">
        <v>633</v>
      </c>
      <c r="O395" t="s">
        <v>625</v>
      </c>
      <c r="P395">
        <v>1</v>
      </c>
      <c r="Q395">
        <v>0</v>
      </c>
      <c r="R395">
        <v>25.47</v>
      </c>
      <c r="S395" t="s">
        <v>485</v>
      </c>
      <c r="T395" t="s">
        <v>776</v>
      </c>
    </row>
    <row r="396" spans="1:20" x14ac:dyDescent="0.3">
      <c r="A396">
        <v>395</v>
      </c>
      <c r="B396">
        <v>201</v>
      </c>
      <c r="C396">
        <v>4</v>
      </c>
      <c r="D396">
        <v>21.6</v>
      </c>
      <c r="E396">
        <v>2.16</v>
      </c>
      <c r="F396">
        <v>0</v>
      </c>
      <c r="G396">
        <v>0.1</v>
      </c>
      <c r="H396" t="s">
        <v>622</v>
      </c>
      <c r="J396" t="s">
        <v>623</v>
      </c>
      <c r="K396" s="1"/>
      <c r="L396" s="1">
        <v>45993.361446759256</v>
      </c>
      <c r="M396" s="2">
        <v>45993</v>
      </c>
      <c r="N396" t="s">
        <v>633</v>
      </c>
      <c r="O396" t="s">
        <v>625</v>
      </c>
      <c r="P396">
        <v>1</v>
      </c>
      <c r="Q396">
        <v>0</v>
      </c>
      <c r="R396">
        <v>21.6</v>
      </c>
      <c r="S396" t="s">
        <v>397</v>
      </c>
      <c r="T396" t="s">
        <v>778</v>
      </c>
    </row>
    <row r="397" spans="1:20" x14ac:dyDescent="0.3">
      <c r="A397">
        <v>396</v>
      </c>
      <c r="B397">
        <v>265</v>
      </c>
      <c r="C397">
        <v>2</v>
      </c>
      <c r="D397">
        <v>166.66</v>
      </c>
      <c r="E397">
        <v>16.670000000000002</v>
      </c>
      <c r="F397">
        <v>0</v>
      </c>
      <c r="G397">
        <v>0.1</v>
      </c>
      <c r="H397" t="s">
        <v>622</v>
      </c>
      <c r="J397" t="s">
        <v>623</v>
      </c>
      <c r="K397" s="1"/>
      <c r="L397" s="1">
        <v>45993.444374999999</v>
      </c>
      <c r="M397" s="2">
        <v>45993</v>
      </c>
      <c r="N397" t="s">
        <v>633</v>
      </c>
      <c r="O397" t="s">
        <v>625</v>
      </c>
      <c r="P397">
        <v>1</v>
      </c>
      <c r="Q397">
        <v>0</v>
      </c>
      <c r="R397">
        <v>166.66</v>
      </c>
      <c r="S397" t="s">
        <v>525</v>
      </c>
      <c r="T397" t="s">
        <v>776</v>
      </c>
    </row>
    <row r="398" spans="1:20" x14ac:dyDescent="0.3">
      <c r="A398">
        <v>397</v>
      </c>
      <c r="B398">
        <v>150</v>
      </c>
      <c r="C398">
        <v>3</v>
      </c>
      <c r="D398">
        <v>85.15</v>
      </c>
      <c r="E398">
        <v>8.52</v>
      </c>
      <c r="F398">
        <v>0</v>
      </c>
      <c r="G398">
        <v>0.1</v>
      </c>
      <c r="H398" t="s">
        <v>622</v>
      </c>
      <c r="J398" t="s">
        <v>623</v>
      </c>
      <c r="K398" s="1"/>
      <c r="L398" s="1">
        <v>45993.447511574072</v>
      </c>
      <c r="M398" s="2">
        <v>45993</v>
      </c>
      <c r="N398" t="s">
        <v>633</v>
      </c>
      <c r="O398" t="s">
        <v>625</v>
      </c>
      <c r="P398">
        <v>1</v>
      </c>
      <c r="Q398">
        <v>0</v>
      </c>
      <c r="R398">
        <v>85.15</v>
      </c>
      <c r="S398" t="s">
        <v>295</v>
      </c>
      <c r="T398" t="s">
        <v>777</v>
      </c>
    </row>
    <row r="399" spans="1:20" x14ac:dyDescent="0.3">
      <c r="A399">
        <v>398</v>
      </c>
      <c r="B399">
        <v>279</v>
      </c>
      <c r="C399">
        <v>4</v>
      </c>
      <c r="D399">
        <v>300</v>
      </c>
      <c r="E399">
        <v>30</v>
      </c>
      <c r="F399">
        <v>0</v>
      </c>
      <c r="G399">
        <v>0.1</v>
      </c>
      <c r="H399" t="s">
        <v>622</v>
      </c>
      <c r="J399" t="s">
        <v>623</v>
      </c>
      <c r="K399" s="1"/>
      <c r="L399" s="1">
        <v>45993.448194444441</v>
      </c>
      <c r="M399" s="2">
        <v>45993</v>
      </c>
      <c r="N399" t="s">
        <v>633</v>
      </c>
      <c r="O399" t="s">
        <v>625</v>
      </c>
      <c r="P399">
        <v>1</v>
      </c>
      <c r="Q399">
        <v>0</v>
      </c>
      <c r="R399">
        <v>300</v>
      </c>
      <c r="S399" t="s">
        <v>553</v>
      </c>
      <c r="T399" t="s">
        <v>778</v>
      </c>
    </row>
    <row r="400" spans="1:20" x14ac:dyDescent="0.3">
      <c r="A400">
        <v>399</v>
      </c>
      <c r="B400">
        <v>211</v>
      </c>
      <c r="C400">
        <v>2</v>
      </c>
      <c r="D400">
        <v>51.72</v>
      </c>
      <c r="E400">
        <v>5.17</v>
      </c>
      <c r="F400">
        <v>0</v>
      </c>
      <c r="G400">
        <v>0.1</v>
      </c>
      <c r="H400" t="s">
        <v>622</v>
      </c>
      <c r="J400" t="s">
        <v>623</v>
      </c>
      <c r="K400" s="1"/>
      <c r="L400" s="1">
        <v>45993.466967592591</v>
      </c>
      <c r="M400" s="2">
        <v>45993</v>
      </c>
      <c r="N400" t="s">
        <v>633</v>
      </c>
      <c r="O400" t="s">
        <v>625</v>
      </c>
      <c r="P400">
        <v>1</v>
      </c>
      <c r="Q400">
        <v>0</v>
      </c>
      <c r="R400">
        <v>51.72</v>
      </c>
      <c r="S400" t="s">
        <v>417</v>
      </c>
      <c r="T400" t="s">
        <v>776</v>
      </c>
    </row>
    <row r="401" spans="1:20" x14ac:dyDescent="0.3">
      <c r="A401">
        <v>400</v>
      </c>
      <c r="B401">
        <v>137</v>
      </c>
      <c r="C401">
        <v>4</v>
      </c>
      <c r="D401">
        <v>39.340000000000003</v>
      </c>
      <c r="E401">
        <v>3.93</v>
      </c>
      <c r="F401">
        <v>0</v>
      </c>
      <c r="G401">
        <v>0.1</v>
      </c>
      <c r="H401" t="s">
        <v>622</v>
      </c>
      <c r="J401" t="s">
        <v>623</v>
      </c>
      <c r="K401" s="1"/>
      <c r="L401" s="1">
        <v>45993.606782407405</v>
      </c>
      <c r="M401" s="2">
        <v>45993</v>
      </c>
      <c r="N401" t="s">
        <v>633</v>
      </c>
      <c r="O401" t="s">
        <v>625</v>
      </c>
      <c r="P401">
        <v>1</v>
      </c>
      <c r="Q401">
        <v>0</v>
      </c>
      <c r="R401">
        <v>39.340000000000003</v>
      </c>
      <c r="S401" t="s">
        <v>269</v>
      </c>
      <c r="T401" t="s">
        <v>778</v>
      </c>
    </row>
    <row r="402" spans="1:20" x14ac:dyDescent="0.3">
      <c r="A402">
        <v>401</v>
      </c>
      <c r="B402">
        <v>20</v>
      </c>
      <c r="C402">
        <v>2</v>
      </c>
      <c r="D402">
        <v>44.64</v>
      </c>
      <c r="E402">
        <v>4.46</v>
      </c>
      <c r="F402">
        <v>0</v>
      </c>
      <c r="G402">
        <v>0.1</v>
      </c>
      <c r="H402" t="s">
        <v>622</v>
      </c>
      <c r="J402" t="s">
        <v>623</v>
      </c>
      <c r="K402" s="1"/>
      <c r="L402" s="1">
        <v>45993.62091435185</v>
      </c>
      <c r="M402" s="2">
        <v>45993</v>
      </c>
      <c r="N402" t="s">
        <v>633</v>
      </c>
      <c r="O402" t="s">
        <v>625</v>
      </c>
      <c r="P402">
        <v>1</v>
      </c>
      <c r="Q402">
        <v>0</v>
      </c>
      <c r="R402">
        <v>44.64</v>
      </c>
      <c r="S402" t="s">
        <v>36</v>
      </c>
      <c r="T402" t="s">
        <v>776</v>
      </c>
    </row>
    <row r="403" spans="1:20" x14ac:dyDescent="0.3">
      <c r="A403">
        <v>402</v>
      </c>
      <c r="B403">
        <v>240</v>
      </c>
      <c r="C403">
        <v>4</v>
      </c>
      <c r="D403">
        <v>101.59</v>
      </c>
      <c r="E403">
        <v>10.16</v>
      </c>
      <c r="F403">
        <v>0</v>
      </c>
      <c r="G403">
        <v>0.1</v>
      </c>
      <c r="H403" t="s">
        <v>622</v>
      </c>
      <c r="J403" t="s">
        <v>623</v>
      </c>
      <c r="K403" s="1"/>
      <c r="L403" s="1">
        <v>45993.628854166665</v>
      </c>
      <c r="M403" s="2">
        <v>45993</v>
      </c>
      <c r="N403" t="s">
        <v>633</v>
      </c>
      <c r="O403" t="s">
        <v>625</v>
      </c>
      <c r="P403">
        <v>1</v>
      </c>
      <c r="Q403">
        <v>0</v>
      </c>
      <c r="R403">
        <v>101.59</v>
      </c>
      <c r="S403" t="s">
        <v>475</v>
      </c>
      <c r="T403" t="s">
        <v>778</v>
      </c>
    </row>
    <row r="404" spans="1:20" x14ac:dyDescent="0.3">
      <c r="A404">
        <v>403</v>
      </c>
      <c r="B404">
        <v>21</v>
      </c>
      <c r="C404">
        <v>3</v>
      </c>
      <c r="D404">
        <v>46.77</v>
      </c>
      <c r="E404">
        <v>4.68</v>
      </c>
      <c r="F404">
        <v>0</v>
      </c>
      <c r="G404">
        <v>0.1</v>
      </c>
      <c r="H404" t="s">
        <v>622</v>
      </c>
      <c r="J404" t="s">
        <v>623</v>
      </c>
      <c r="K404" s="1"/>
      <c r="L404" s="1">
        <v>45993.662615740737</v>
      </c>
      <c r="M404" s="2">
        <v>45993</v>
      </c>
      <c r="N404" t="s">
        <v>633</v>
      </c>
      <c r="O404" t="s">
        <v>625</v>
      </c>
      <c r="P404">
        <v>1</v>
      </c>
      <c r="Q404">
        <v>0</v>
      </c>
      <c r="R404">
        <v>46.77</v>
      </c>
      <c r="S404" t="s">
        <v>38</v>
      </c>
      <c r="T404" t="s">
        <v>777</v>
      </c>
    </row>
    <row r="405" spans="1:20" x14ac:dyDescent="0.3">
      <c r="A405">
        <v>404</v>
      </c>
      <c r="B405">
        <v>40</v>
      </c>
      <c r="C405">
        <v>4</v>
      </c>
      <c r="D405">
        <v>58.99</v>
      </c>
      <c r="E405">
        <v>5.9</v>
      </c>
      <c r="F405">
        <v>0</v>
      </c>
      <c r="G405">
        <v>0.1</v>
      </c>
      <c r="H405" t="s">
        <v>622</v>
      </c>
      <c r="J405" t="s">
        <v>623</v>
      </c>
      <c r="K405" s="1"/>
      <c r="L405" s="1">
        <v>45993.674189814818</v>
      </c>
      <c r="M405" s="2">
        <v>45993</v>
      </c>
      <c r="N405" t="s">
        <v>633</v>
      </c>
      <c r="O405" t="s">
        <v>625</v>
      </c>
      <c r="P405">
        <v>1</v>
      </c>
      <c r="Q405">
        <v>0</v>
      </c>
      <c r="R405">
        <v>58.99</v>
      </c>
      <c r="S405" t="s">
        <v>76</v>
      </c>
      <c r="T405" t="s">
        <v>778</v>
      </c>
    </row>
    <row r="406" spans="1:20" x14ac:dyDescent="0.3">
      <c r="A406">
        <v>405</v>
      </c>
      <c r="B406">
        <v>92</v>
      </c>
      <c r="C406">
        <v>4</v>
      </c>
      <c r="D406">
        <v>21.52</v>
      </c>
      <c r="E406">
        <v>2.15</v>
      </c>
      <c r="F406">
        <v>0</v>
      </c>
      <c r="G406">
        <v>0.1</v>
      </c>
      <c r="H406" t="s">
        <v>622</v>
      </c>
      <c r="J406" t="s">
        <v>623</v>
      </c>
      <c r="K406" s="1"/>
      <c r="L406" s="1">
        <v>45994.44017361111</v>
      </c>
      <c r="M406" s="2">
        <v>45994</v>
      </c>
      <c r="N406" t="s">
        <v>633</v>
      </c>
      <c r="O406" t="s">
        <v>625</v>
      </c>
      <c r="P406">
        <v>1</v>
      </c>
      <c r="Q406">
        <v>0</v>
      </c>
      <c r="R406">
        <v>21.52</v>
      </c>
      <c r="S406" t="s">
        <v>179</v>
      </c>
      <c r="T406" t="s">
        <v>778</v>
      </c>
    </row>
    <row r="407" spans="1:20" x14ac:dyDescent="0.3">
      <c r="A407">
        <v>406</v>
      </c>
      <c r="B407">
        <v>38</v>
      </c>
      <c r="C407">
        <v>5</v>
      </c>
      <c r="D407">
        <v>33.11</v>
      </c>
      <c r="E407">
        <v>3.31</v>
      </c>
      <c r="F407">
        <v>0</v>
      </c>
      <c r="G407">
        <v>0.1</v>
      </c>
      <c r="H407" t="s">
        <v>622</v>
      </c>
      <c r="J407" t="s">
        <v>623</v>
      </c>
      <c r="K407" s="1"/>
      <c r="L407" s="1">
        <v>45994.468553240738</v>
      </c>
      <c r="M407" s="2">
        <v>45994</v>
      </c>
      <c r="N407" t="s">
        <v>633</v>
      </c>
      <c r="O407" t="s">
        <v>625</v>
      </c>
      <c r="P407">
        <v>1</v>
      </c>
      <c r="Q407">
        <v>0</v>
      </c>
      <c r="R407">
        <v>33.11</v>
      </c>
      <c r="S407" t="s">
        <v>72</v>
      </c>
      <c r="T407" t="s">
        <v>779</v>
      </c>
    </row>
    <row r="408" spans="1:20" x14ac:dyDescent="0.3">
      <c r="A408">
        <v>407</v>
      </c>
      <c r="B408">
        <v>112</v>
      </c>
      <c r="C408">
        <v>5</v>
      </c>
      <c r="D408">
        <v>30.94</v>
      </c>
      <c r="E408">
        <v>3.09</v>
      </c>
      <c r="F408">
        <v>0</v>
      </c>
      <c r="G408">
        <v>0.1</v>
      </c>
      <c r="H408" t="s">
        <v>622</v>
      </c>
      <c r="J408" t="s">
        <v>623</v>
      </c>
      <c r="K408" s="1"/>
      <c r="L408" s="1">
        <v>45994.494375000002</v>
      </c>
      <c r="M408" s="2">
        <v>45994</v>
      </c>
      <c r="N408" t="s">
        <v>633</v>
      </c>
      <c r="O408" t="s">
        <v>625</v>
      </c>
      <c r="P408">
        <v>1</v>
      </c>
      <c r="Q408">
        <v>0</v>
      </c>
      <c r="R408">
        <v>30.94</v>
      </c>
      <c r="S408" t="s">
        <v>219</v>
      </c>
      <c r="T408" t="s">
        <v>779</v>
      </c>
    </row>
    <row r="409" spans="1:20" x14ac:dyDescent="0.3">
      <c r="A409">
        <v>408</v>
      </c>
      <c r="B409">
        <v>244</v>
      </c>
      <c r="C409">
        <v>4</v>
      </c>
      <c r="D409">
        <v>64.040000000000006</v>
      </c>
      <c r="E409">
        <v>6.4</v>
      </c>
      <c r="F409">
        <v>0</v>
      </c>
      <c r="G409">
        <v>0.1</v>
      </c>
      <c r="H409" t="s">
        <v>622</v>
      </c>
      <c r="J409" t="s">
        <v>623</v>
      </c>
      <c r="K409" s="1"/>
      <c r="L409" s="1">
        <v>45994.510393518518</v>
      </c>
      <c r="M409" s="2">
        <v>45994</v>
      </c>
      <c r="N409" t="s">
        <v>633</v>
      </c>
      <c r="O409" t="s">
        <v>625</v>
      </c>
      <c r="P409">
        <v>1</v>
      </c>
      <c r="Q409">
        <v>0</v>
      </c>
      <c r="R409">
        <v>64.040000000000006</v>
      </c>
      <c r="S409" t="s">
        <v>483</v>
      </c>
      <c r="T409" t="s">
        <v>778</v>
      </c>
    </row>
    <row r="410" spans="1:20" x14ac:dyDescent="0.3">
      <c r="A410">
        <v>409</v>
      </c>
      <c r="B410">
        <v>55</v>
      </c>
      <c r="C410">
        <v>3</v>
      </c>
      <c r="D410">
        <v>37.630000000000003</v>
      </c>
      <c r="E410">
        <v>3.76</v>
      </c>
      <c r="F410">
        <v>0</v>
      </c>
      <c r="G410">
        <v>0.1</v>
      </c>
      <c r="H410" t="s">
        <v>622</v>
      </c>
      <c r="J410" t="s">
        <v>623</v>
      </c>
      <c r="K410" s="1"/>
      <c r="L410" s="1">
        <v>45994.545428240737</v>
      </c>
      <c r="M410" s="2">
        <v>45994</v>
      </c>
      <c r="N410" t="s">
        <v>633</v>
      </c>
      <c r="O410" t="s">
        <v>625</v>
      </c>
      <c r="P410">
        <v>1</v>
      </c>
      <c r="Q410">
        <v>0</v>
      </c>
      <c r="R410">
        <v>37.630000000000003</v>
      </c>
      <c r="S410" t="s">
        <v>106</v>
      </c>
      <c r="T410" t="s">
        <v>777</v>
      </c>
    </row>
    <row r="411" spans="1:20" x14ac:dyDescent="0.3">
      <c r="A411">
        <v>410</v>
      </c>
      <c r="B411">
        <v>29</v>
      </c>
      <c r="C411">
        <v>4</v>
      </c>
      <c r="D411">
        <v>26.63</v>
      </c>
      <c r="E411">
        <v>2.66</v>
      </c>
      <c r="F411">
        <v>0</v>
      </c>
      <c r="G411">
        <v>0.1</v>
      </c>
      <c r="H411" t="s">
        <v>622</v>
      </c>
      <c r="J411" t="s">
        <v>623</v>
      </c>
      <c r="K411" s="1"/>
      <c r="L411" s="1">
        <v>45994.581666666665</v>
      </c>
      <c r="M411" s="2">
        <v>45994</v>
      </c>
      <c r="N411" t="s">
        <v>633</v>
      </c>
      <c r="O411" t="s">
        <v>625</v>
      </c>
      <c r="P411">
        <v>1</v>
      </c>
      <c r="Q411">
        <v>0</v>
      </c>
      <c r="R411">
        <v>26.63</v>
      </c>
      <c r="S411" t="s">
        <v>54</v>
      </c>
      <c r="T411" t="s">
        <v>778</v>
      </c>
    </row>
    <row r="412" spans="1:20" x14ac:dyDescent="0.3">
      <c r="A412">
        <v>411</v>
      </c>
      <c r="B412">
        <v>106</v>
      </c>
      <c r="C412">
        <v>4</v>
      </c>
      <c r="D412">
        <v>77.400000000000006</v>
      </c>
      <c r="E412">
        <v>7.74</v>
      </c>
      <c r="F412">
        <v>0</v>
      </c>
      <c r="G412">
        <v>0.1</v>
      </c>
      <c r="H412" t="s">
        <v>622</v>
      </c>
      <c r="J412" t="s">
        <v>623</v>
      </c>
      <c r="K412" s="1"/>
      <c r="L412" s="1">
        <v>45994.637048611112</v>
      </c>
      <c r="M412" s="2">
        <v>45994</v>
      </c>
      <c r="N412" t="s">
        <v>633</v>
      </c>
      <c r="O412" t="s">
        <v>625</v>
      </c>
      <c r="P412">
        <v>1</v>
      </c>
      <c r="Q412">
        <v>0</v>
      </c>
      <c r="R412">
        <v>77.400000000000006</v>
      </c>
      <c r="S412" t="s">
        <v>207</v>
      </c>
      <c r="T412" t="s">
        <v>778</v>
      </c>
    </row>
    <row r="413" spans="1:20" x14ac:dyDescent="0.3">
      <c r="A413">
        <v>412</v>
      </c>
      <c r="B413">
        <v>21</v>
      </c>
      <c r="C413">
        <v>2</v>
      </c>
      <c r="D413">
        <v>22.72</v>
      </c>
      <c r="E413">
        <v>2.27</v>
      </c>
      <c r="F413">
        <v>0</v>
      </c>
      <c r="G413">
        <v>0.1</v>
      </c>
      <c r="H413" t="s">
        <v>622</v>
      </c>
      <c r="J413" t="s">
        <v>623</v>
      </c>
      <c r="K413" s="1"/>
      <c r="L413" s="1">
        <v>45994.647083333337</v>
      </c>
      <c r="M413" s="2">
        <v>45994</v>
      </c>
      <c r="N413" t="s">
        <v>633</v>
      </c>
      <c r="O413" t="s">
        <v>625</v>
      </c>
      <c r="P413">
        <v>1</v>
      </c>
      <c r="Q413">
        <v>0</v>
      </c>
      <c r="R413">
        <v>22.72</v>
      </c>
      <c r="S413" t="s">
        <v>38</v>
      </c>
      <c r="T413" t="s">
        <v>776</v>
      </c>
    </row>
    <row r="414" spans="1:20" x14ac:dyDescent="0.3">
      <c r="A414">
        <v>413</v>
      </c>
      <c r="B414">
        <v>137</v>
      </c>
      <c r="C414">
        <v>5</v>
      </c>
      <c r="D414">
        <v>24.26</v>
      </c>
      <c r="E414">
        <v>2.4300000000000002</v>
      </c>
      <c r="F414">
        <v>0</v>
      </c>
      <c r="G414">
        <v>0.1</v>
      </c>
      <c r="H414" t="s">
        <v>622</v>
      </c>
      <c r="J414" t="s">
        <v>623</v>
      </c>
      <c r="K414" s="1"/>
      <c r="L414" s="1">
        <v>45994.648414351854</v>
      </c>
      <c r="M414" s="2">
        <v>45994</v>
      </c>
      <c r="N414" t="s">
        <v>633</v>
      </c>
      <c r="O414" t="s">
        <v>625</v>
      </c>
      <c r="P414">
        <v>1</v>
      </c>
      <c r="Q414">
        <v>0</v>
      </c>
      <c r="R414">
        <v>24.26</v>
      </c>
      <c r="S414" t="s">
        <v>269</v>
      </c>
      <c r="T414" t="s">
        <v>779</v>
      </c>
    </row>
    <row r="415" spans="1:20" x14ac:dyDescent="0.3">
      <c r="A415">
        <v>414</v>
      </c>
      <c r="B415">
        <v>21</v>
      </c>
      <c r="C415">
        <v>2</v>
      </c>
      <c r="D415">
        <v>37.630000000000003</v>
      </c>
      <c r="E415">
        <v>3.76</v>
      </c>
      <c r="F415">
        <v>0</v>
      </c>
      <c r="G415">
        <v>0.1</v>
      </c>
      <c r="H415" t="s">
        <v>622</v>
      </c>
      <c r="J415" t="s">
        <v>623</v>
      </c>
      <c r="K415" s="1"/>
      <c r="L415" s="1">
        <v>45994.670937499999</v>
      </c>
      <c r="M415" s="2">
        <v>45994</v>
      </c>
      <c r="N415" t="s">
        <v>633</v>
      </c>
      <c r="O415" t="s">
        <v>625</v>
      </c>
      <c r="P415">
        <v>1</v>
      </c>
      <c r="Q415">
        <v>0</v>
      </c>
      <c r="R415">
        <v>37.630000000000003</v>
      </c>
      <c r="S415" t="s">
        <v>38</v>
      </c>
      <c r="T415" t="s">
        <v>776</v>
      </c>
    </row>
    <row r="416" spans="1:20" x14ac:dyDescent="0.3">
      <c r="A416">
        <v>415</v>
      </c>
      <c r="B416">
        <v>186</v>
      </c>
      <c r="C416">
        <v>3</v>
      </c>
      <c r="D416">
        <v>119.89</v>
      </c>
      <c r="E416">
        <v>11.99</v>
      </c>
      <c r="F416">
        <v>0</v>
      </c>
      <c r="G416">
        <v>0.1</v>
      </c>
      <c r="H416" t="s">
        <v>622</v>
      </c>
      <c r="J416" t="s">
        <v>623</v>
      </c>
      <c r="K416" s="1"/>
      <c r="L416" s="1">
        <v>45994.681122685186</v>
      </c>
      <c r="M416" s="2">
        <v>45994</v>
      </c>
      <c r="N416" t="s">
        <v>633</v>
      </c>
      <c r="O416" t="s">
        <v>625</v>
      </c>
      <c r="P416">
        <v>1</v>
      </c>
      <c r="Q416">
        <v>0</v>
      </c>
      <c r="R416">
        <v>119.89</v>
      </c>
      <c r="S416" t="s">
        <v>367</v>
      </c>
      <c r="T416" t="s">
        <v>777</v>
      </c>
    </row>
    <row r="417" spans="1:20" x14ac:dyDescent="0.3">
      <c r="A417">
        <v>416</v>
      </c>
      <c r="B417">
        <v>16</v>
      </c>
      <c r="C417">
        <v>2</v>
      </c>
      <c r="D417">
        <v>202.95</v>
      </c>
      <c r="E417">
        <v>20.3</v>
      </c>
      <c r="F417">
        <v>0</v>
      </c>
      <c r="G417">
        <v>0.1</v>
      </c>
      <c r="H417" t="s">
        <v>622</v>
      </c>
      <c r="J417" t="s">
        <v>623</v>
      </c>
      <c r="K417" s="1"/>
      <c r="L417" s="1">
        <v>45994.685393518521</v>
      </c>
      <c r="M417" s="2">
        <v>45994</v>
      </c>
      <c r="N417" t="s">
        <v>633</v>
      </c>
      <c r="O417" t="s">
        <v>625</v>
      </c>
      <c r="P417">
        <v>1</v>
      </c>
      <c r="Q417">
        <v>0</v>
      </c>
      <c r="R417">
        <v>202.95</v>
      </c>
      <c r="S417" t="s">
        <v>28</v>
      </c>
      <c r="T417" t="s">
        <v>776</v>
      </c>
    </row>
    <row r="418" spans="1:20" x14ac:dyDescent="0.3">
      <c r="A418">
        <v>417</v>
      </c>
      <c r="B418">
        <v>65</v>
      </c>
      <c r="C418">
        <v>2</v>
      </c>
      <c r="D418">
        <v>42.39</v>
      </c>
      <c r="E418">
        <v>4.24</v>
      </c>
      <c r="F418">
        <v>0</v>
      </c>
      <c r="G418">
        <v>0.1</v>
      </c>
      <c r="H418" t="s">
        <v>622</v>
      </c>
      <c r="J418" t="s">
        <v>623</v>
      </c>
      <c r="K418" s="1"/>
      <c r="L418" s="1">
        <v>45994.730381944442</v>
      </c>
      <c r="M418" s="2">
        <v>45994</v>
      </c>
      <c r="N418" t="s">
        <v>633</v>
      </c>
      <c r="O418" t="s">
        <v>625</v>
      </c>
      <c r="P418">
        <v>1</v>
      </c>
      <c r="Q418">
        <v>0</v>
      </c>
      <c r="R418">
        <v>42.39</v>
      </c>
      <c r="S418" t="s">
        <v>126</v>
      </c>
      <c r="T418" t="s">
        <v>776</v>
      </c>
    </row>
    <row r="419" spans="1:20" x14ac:dyDescent="0.3">
      <c r="A419">
        <v>418</v>
      </c>
      <c r="B419">
        <v>211</v>
      </c>
      <c r="C419">
        <v>3</v>
      </c>
      <c r="D419">
        <v>58.72</v>
      </c>
      <c r="E419">
        <v>5.87</v>
      </c>
      <c r="F419">
        <v>0</v>
      </c>
      <c r="G419">
        <v>0.1</v>
      </c>
      <c r="H419" t="s">
        <v>622</v>
      </c>
      <c r="J419" t="s">
        <v>623</v>
      </c>
      <c r="K419" s="1"/>
      <c r="L419" s="1">
        <v>45994.788541666669</v>
      </c>
      <c r="M419" s="2">
        <v>45994</v>
      </c>
      <c r="N419" t="s">
        <v>633</v>
      </c>
      <c r="O419" t="s">
        <v>625</v>
      </c>
      <c r="P419">
        <v>1</v>
      </c>
      <c r="Q419">
        <v>0</v>
      </c>
      <c r="R419">
        <v>58.72</v>
      </c>
      <c r="S419" t="s">
        <v>417</v>
      </c>
      <c r="T419" t="s">
        <v>777</v>
      </c>
    </row>
    <row r="420" spans="1:20" x14ac:dyDescent="0.3">
      <c r="A420">
        <v>419</v>
      </c>
      <c r="B420">
        <v>137</v>
      </c>
      <c r="C420">
        <v>2</v>
      </c>
      <c r="D420">
        <v>19.96</v>
      </c>
      <c r="E420">
        <v>2</v>
      </c>
      <c r="F420">
        <v>0</v>
      </c>
      <c r="G420">
        <v>0.1</v>
      </c>
      <c r="H420" t="s">
        <v>622</v>
      </c>
      <c r="J420" t="s">
        <v>623</v>
      </c>
      <c r="K420" s="1"/>
      <c r="L420" s="1">
        <v>45994.825798611113</v>
      </c>
      <c r="M420" s="2">
        <v>45994</v>
      </c>
      <c r="N420" t="s">
        <v>633</v>
      </c>
      <c r="O420" t="s">
        <v>625</v>
      </c>
      <c r="P420">
        <v>1</v>
      </c>
      <c r="Q420">
        <v>0</v>
      </c>
      <c r="R420">
        <v>19.96</v>
      </c>
      <c r="S420" t="s">
        <v>269</v>
      </c>
      <c r="T420" t="s">
        <v>776</v>
      </c>
    </row>
    <row r="421" spans="1:20" x14ac:dyDescent="0.3">
      <c r="A421">
        <v>420</v>
      </c>
      <c r="B421">
        <v>39</v>
      </c>
      <c r="C421">
        <v>5</v>
      </c>
      <c r="D421">
        <v>80.36</v>
      </c>
      <c r="E421">
        <v>8.0399999999999991</v>
      </c>
      <c r="F421">
        <v>0</v>
      </c>
      <c r="G421">
        <v>0.1</v>
      </c>
      <c r="H421" t="s">
        <v>622</v>
      </c>
      <c r="J421" t="s">
        <v>623</v>
      </c>
      <c r="K421" s="1"/>
      <c r="L421" s="1">
        <v>45995.340798611112</v>
      </c>
      <c r="M421" s="2">
        <v>45995</v>
      </c>
      <c r="N421" t="s">
        <v>633</v>
      </c>
      <c r="O421" t="s">
        <v>625</v>
      </c>
      <c r="P421">
        <v>1</v>
      </c>
      <c r="Q421">
        <v>0</v>
      </c>
      <c r="R421">
        <v>80.36</v>
      </c>
      <c r="S421" t="s">
        <v>74</v>
      </c>
      <c r="T421" t="s">
        <v>779</v>
      </c>
    </row>
    <row r="422" spans="1:20" x14ac:dyDescent="0.3">
      <c r="A422">
        <v>421</v>
      </c>
      <c r="B422">
        <v>262</v>
      </c>
      <c r="C422">
        <v>5</v>
      </c>
      <c r="D422">
        <v>68.08</v>
      </c>
      <c r="E422">
        <v>6.81</v>
      </c>
      <c r="F422">
        <v>0</v>
      </c>
      <c r="G422">
        <v>0.1</v>
      </c>
      <c r="H422" t="s">
        <v>622</v>
      </c>
      <c r="J422" t="s">
        <v>623</v>
      </c>
      <c r="K422" s="1"/>
      <c r="L422" s="1">
        <v>45995.366342592592</v>
      </c>
      <c r="M422" s="2">
        <v>45995</v>
      </c>
      <c r="N422" t="s">
        <v>633</v>
      </c>
      <c r="O422" t="s">
        <v>625</v>
      </c>
      <c r="P422">
        <v>1</v>
      </c>
      <c r="Q422">
        <v>0</v>
      </c>
      <c r="R422">
        <v>68.08</v>
      </c>
      <c r="S422" t="s">
        <v>519</v>
      </c>
      <c r="T422" t="s">
        <v>779</v>
      </c>
    </row>
    <row r="423" spans="1:20" x14ac:dyDescent="0.3">
      <c r="A423">
        <v>422</v>
      </c>
      <c r="B423">
        <v>25</v>
      </c>
      <c r="C423">
        <v>5</v>
      </c>
      <c r="D423">
        <v>72.680000000000007</v>
      </c>
      <c r="E423">
        <v>7.27</v>
      </c>
      <c r="F423">
        <v>0</v>
      </c>
      <c r="G423">
        <v>0.1</v>
      </c>
      <c r="H423" t="s">
        <v>622</v>
      </c>
      <c r="J423" t="s">
        <v>623</v>
      </c>
      <c r="K423" s="1"/>
      <c r="L423" s="1">
        <v>45995.4</v>
      </c>
      <c r="M423" s="2">
        <v>45995</v>
      </c>
      <c r="N423" t="s">
        <v>633</v>
      </c>
      <c r="O423" t="s">
        <v>625</v>
      </c>
      <c r="P423">
        <v>1</v>
      </c>
      <c r="Q423">
        <v>0</v>
      </c>
      <c r="R423">
        <v>72.680000000000007</v>
      </c>
      <c r="S423" t="s">
        <v>46</v>
      </c>
      <c r="T423" t="s">
        <v>779</v>
      </c>
    </row>
    <row r="424" spans="1:20" x14ac:dyDescent="0.3">
      <c r="A424">
        <v>423</v>
      </c>
      <c r="B424">
        <v>117</v>
      </c>
      <c r="C424">
        <v>5</v>
      </c>
      <c r="D424">
        <v>220</v>
      </c>
      <c r="E424">
        <v>22</v>
      </c>
      <c r="F424">
        <v>0</v>
      </c>
      <c r="G424">
        <v>0.1</v>
      </c>
      <c r="H424" t="s">
        <v>622</v>
      </c>
      <c r="J424" t="s">
        <v>623</v>
      </c>
      <c r="K424" s="1"/>
      <c r="L424" s="1">
        <v>45995.420312499999</v>
      </c>
      <c r="M424" s="2">
        <v>45995</v>
      </c>
      <c r="N424" t="s">
        <v>633</v>
      </c>
      <c r="O424" t="s">
        <v>625</v>
      </c>
      <c r="P424">
        <v>1</v>
      </c>
      <c r="Q424">
        <v>0</v>
      </c>
      <c r="R424">
        <v>220</v>
      </c>
      <c r="S424" t="s">
        <v>229</v>
      </c>
      <c r="T424" t="s">
        <v>779</v>
      </c>
    </row>
    <row r="425" spans="1:20" x14ac:dyDescent="0.3">
      <c r="A425">
        <v>424</v>
      </c>
      <c r="B425">
        <v>290</v>
      </c>
      <c r="C425">
        <v>3</v>
      </c>
      <c r="D425">
        <v>28.84</v>
      </c>
      <c r="E425">
        <v>2.88</v>
      </c>
      <c r="F425">
        <v>0</v>
      </c>
      <c r="G425">
        <v>0.1</v>
      </c>
      <c r="H425" t="s">
        <v>622</v>
      </c>
      <c r="J425" t="s">
        <v>623</v>
      </c>
      <c r="K425" s="1"/>
      <c r="L425" s="1">
        <v>45995.498368055552</v>
      </c>
      <c r="M425" s="2">
        <v>45995</v>
      </c>
      <c r="N425" t="s">
        <v>633</v>
      </c>
      <c r="O425" t="s">
        <v>625</v>
      </c>
      <c r="P425">
        <v>1</v>
      </c>
      <c r="Q425">
        <v>0</v>
      </c>
      <c r="R425">
        <v>28.84</v>
      </c>
      <c r="S425" t="s">
        <v>575</v>
      </c>
      <c r="T425" t="s">
        <v>777</v>
      </c>
    </row>
    <row r="426" spans="1:20" x14ac:dyDescent="0.3">
      <c r="A426">
        <v>425</v>
      </c>
      <c r="B426">
        <v>245</v>
      </c>
      <c r="C426">
        <v>5</v>
      </c>
      <c r="D426">
        <v>39.11</v>
      </c>
      <c r="E426">
        <v>3.91</v>
      </c>
      <c r="F426">
        <v>0</v>
      </c>
      <c r="G426">
        <v>0.1</v>
      </c>
      <c r="H426" t="s">
        <v>626</v>
      </c>
      <c r="I426">
        <v>5</v>
      </c>
      <c r="J426" t="s">
        <v>632</v>
      </c>
      <c r="K426" s="1">
        <v>45996.084189814814</v>
      </c>
      <c r="L426" s="1">
        <v>45995.542523148149</v>
      </c>
      <c r="M426" s="2">
        <v>45995</v>
      </c>
      <c r="N426" t="s">
        <v>633</v>
      </c>
      <c r="O426" t="s">
        <v>625</v>
      </c>
      <c r="P426">
        <v>1</v>
      </c>
      <c r="Q426">
        <v>1</v>
      </c>
      <c r="R426">
        <v>0</v>
      </c>
      <c r="S426" t="s">
        <v>485</v>
      </c>
      <c r="T426" t="s">
        <v>779</v>
      </c>
    </row>
    <row r="427" spans="1:20" x14ac:dyDescent="0.3">
      <c r="A427">
        <v>426</v>
      </c>
      <c r="B427">
        <v>55</v>
      </c>
      <c r="C427">
        <v>2</v>
      </c>
      <c r="D427">
        <v>37.58</v>
      </c>
      <c r="E427">
        <v>3.76</v>
      </c>
      <c r="F427">
        <v>0</v>
      </c>
      <c r="G427">
        <v>0.1</v>
      </c>
      <c r="H427" t="s">
        <v>622</v>
      </c>
      <c r="J427" t="s">
        <v>623</v>
      </c>
      <c r="K427" s="1"/>
      <c r="L427" s="1">
        <v>45995.579155092593</v>
      </c>
      <c r="M427" s="2">
        <v>45995</v>
      </c>
      <c r="N427" t="s">
        <v>633</v>
      </c>
      <c r="O427" t="s">
        <v>625</v>
      </c>
      <c r="P427">
        <v>1</v>
      </c>
      <c r="Q427">
        <v>0</v>
      </c>
      <c r="R427">
        <v>37.58</v>
      </c>
      <c r="S427" t="s">
        <v>106</v>
      </c>
      <c r="T427" t="s">
        <v>776</v>
      </c>
    </row>
    <row r="428" spans="1:20" x14ac:dyDescent="0.3">
      <c r="A428">
        <v>427</v>
      </c>
      <c r="B428">
        <v>244</v>
      </c>
      <c r="C428">
        <v>2</v>
      </c>
      <c r="D428">
        <v>106.62</v>
      </c>
      <c r="E428">
        <v>10.66</v>
      </c>
      <c r="F428">
        <v>0</v>
      </c>
      <c r="G428">
        <v>0.1</v>
      </c>
      <c r="H428" t="s">
        <v>622</v>
      </c>
      <c r="J428" t="s">
        <v>623</v>
      </c>
      <c r="K428" s="1"/>
      <c r="L428" s="1">
        <v>45995.633217592593</v>
      </c>
      <c r="M428" s="2">
        <v>45995</v>
      </c>
      <c r="N428" t="s">
        <v>633</v>
      </c>
      <c r="O428" t="s">
        <v>625</v>
      </c>
      <c r="P428">
        <v>1</v>
      </c>
      <c r="Q428">
        <v>0</v>
      </c>
      <c r="R428">
        <v>106.62</v>
      </c>
      <c r="S428" t="s">
        <v>483</v>
      </c>
      <c r="T428" t="s">
        <v>776</v>
      </c>
    </row>
    <row r="429" spans="1:20" x14ac:dyDescent="0.3">
      <c r="A429">
        <v>428</v>
      </c>
      <c r="B429">
        <v>293</v>
      </c>
      <c r="C429">
        <v>2</v>
      </c>
      <c r="D429">
        <v>25.18</v>
      </c>
      <c r="E429">
        <v>2.52</v>
      </c>
      <c r="F429">
        <v>0</v>
      </c>
      <c r="G429">
        <v>0.1</v>
      </c>
      <c r="H429" t="s">
        <v>622</v>
      </c>
      <c r="J429" t="s">
        <v>623</v>
      </c>
      <c r="K429" s="1"/>
      <c r="L429" s="1">
        <v>45995.647604166668</v>
      </c>
      <c r="M429" s="2">
        <v>45995</v>
      </c>
      <c r="N429" t="s">
        <v>633</v>
      </c>
      <c r="O429" t="s">
        <v>625</v>
      </c>
      <c r="P429">
        <v>1</v>
      </c>
      <c r="Q429">
        <v>0</v>
      </c>
      <c r="R429">
        <v>25.18</v>
      </c>
      <c r="S429" t="s">
        <v>581</v>
      </c>
      <c r="T429" t="s">
        <v>776</v>
      </c>
    </row>
    <row r="430" spans="1:20" x14ac:dyDescent="0.3">
      <c r="A430">
        <v>429</v>
      </c>
      <c r="B430">
        <v>34</v>
      </c>
      <c r="C430">
        <v>4</v>
      </c>
      <c r="D430">
        <v>143.87</v>
      </c>
      <c r="E430">
        <v>14.39</v>
      </c>
      <c r="F430">
        <v>0</v>
      </c>
      <c r="G430">
        <v>0.1</v>
      </c>
      <c r="H430" t="s">
        <v>622</v>
      </c>
      <c r="J430" t="s">
        <v>623</v>
      </c>
      <c r="K430" s="1"/>
      <c r="L430" s="1">
        <v>45995.703587962962</v>
      </c>
      <c r="M430" s="2">
        <v>45995</v>
      </c>
      <c r="N430" t="s">
        <v>633</v>
      </c>
      <c r="O430" t="s">
        <v>625</v>
      </c>
      <c r="P430">
        <v>1</v>
      </c>
      <c r="Q430">
        <v>0</v>
      </c>
      <c r="R430">
        <v>143.87</v>
      </c>
      <c r="S430" t="s">
        <v>64</v>
      </c>
      <c r="T430" t="s">
        <v>778</v>
      </c>
    </row>
    <row r="431" spans="1:20" x14ac:dyDescent="0.3">
      <c r="A431">
        <v>430</v>
      </c>
      <c r="B431">
        <v>154</v>
      </c>
      <c r="C431">
        <v>5</v>
      </c>
      <c r="D431">
        <v>37.22</v>
      </c>
      <c r="E431">
        <v>3.72</v>
      </c>
      <c r="F431">
        <v>0</v>
      </c>
      <c r="G431">
        <v>0.1</v>
      </c>
      <c r="H431" t="s">
        <v>622</v>
      </c>
      <c r="J431" t="s">
        <v>623</v>
      </c>
      <c r="K431" s="1"/>
      <c r="L431" s="1">
        <v>45995.705439814818</v>
      </c>
      <c r="M431" s="2">
        <v>45995</v>
      </c>
      <c r="N431" t="s">
        <v>633</v>
      </c>
      <c r="O431" t="s">
        <v>625</v>
      </c>
      <c r="P431">
        <v>1</v>
      </c>
      <c r="Q431">
        <v>0</v>
      </c>
      <c r="R431">
        <v>37.22</v>
      </c>
      <c r="S431" t="s">
        <v>303</v>
      </c>
      <c r="T431" t="s">
        <v>779</v>
      </c>
    </row>
    <row r="432" spans="1:20" x14ac:dyDescent="0.3">
      <c r="A432">
        <v>431</v>
      </c>
      <c r="B432">
        <v>117</v>
      </c>
      <c r="C432">
        <v>2</v>
      </c>
      <c r="D432">
        <v>159.81</v>
      </c>
      <c r="E432">
        <v>15.98</v>
      </c>
      <c r="F432">
        <v>0</v>
      </c>
      <c r="G432">
        <v>0.1</v>
      </c>
      <c r="H432" t="s">
        <v>622</v>
      </c>
      <c r="J432" t="s">
        <v>623</v>
      </c>
      <c r="K432" s="1"/>
      <c r="L432" s="1">
        <v>45995.784895833334</v>
      </c>
      <c r="M432" s="2">
        <v>45995</v>
      </c>
      <c r="N432" t="s">
        <v>633</v>
      </c>
      <c r="O432" t="s">
        <v>625</v>
      </c>
      <c r="P432">
        <v>1</v>
      </c>
      <c r="Q432">
        <v>0</v>
      </c>
      <c r="R432">
        <v>159.81</v>
      </c>
      <c r="S432" t="s">
        <v>229</v>
      </c>
      <c r="T432" t="s">
        <v>776</v>
      </c>
    </row>
    <row r="433" spans="1:20" x14ac:dyDescent="0.3">
      <c r="A433">
        <v>432</v>
      </c>
      <c r="B433">
        <v>58</v>
      </c>
      <c r="C433">
        <v>5</v>
      </c>
      <c r="D433">
        <v>102</v>
      </c>
      <c r="E433">
        <v>10.199999999999999</v>
      </c>
      <c r="F433">
        <v>0</v>
      </c>
      <c r="G433">
        <v>0.1</v>
      </c>
      <c r="H433" t="s">
        <v>622</v>
      </c>
      <c r="J433" t="s">
        <v>623</v>
      </c>
      <c r="K433" s="1"/>
      <c r="L433" s="1">
        <v>45995.790451388886</v>
      </c>
      <c r="M433" s="2">
        <v>45995</v>
      </c>
      <c r="N433" t="s">
        <v>633</v>
      </c>
      <c r="O433" t="s">
        <v>625</v>
      </c>
      <c r="P433">
        <v>1</v>
      </c>
      <c r="Q433">
        <v>0</v>
      </c>
      <c r="R433">
        <v>102</v>
      </c>
      <c r="S433" t="s">
        <v>112</v>
      </c>
      <c r="T433" t="s">
        <v>779</v>
      </c>
    </row>
    <row r="434" spans="1:20" x14ac:dyDescent="0.3">
      <c r="A434">
        <v>433</v>
      </c>
      <c r="B434">
        <v>175</v>
      </c>
      <c r="C434">
        <v>5</v>
      </c>
      <c r="D434">
        <v>32.409999999999997</v>
      </c>
      <c r="E434">
        <v>3.24</v>
      </c>
      <c r="F434">
        <v>0</v>
      </c>
      <c r="G434">
        <v>0.1</v>
      </c>
      <c r="H434" t="s">
        <v>622</v>
      </c>
      <c r="J434" t="s">
        <v>623</v>
      </c>
      <c r="K434" s="1"/>
      <c r="L434" s="1">
        <v>45995.830370370371</v>
      </c>
      <c r="M434" s="2">
        <v>45995</v>
      </c>
      <c r="N434" t="s">
        <v>633</v>
      </c>
      <c r="O434" t="s">
        <v>625</v>
      </c>
      <c r="P434">
        <v>1</v>
      </c>
      <c r="Q434">
        <v>0</v>
      </c>
      <c r="R434">
        <v>32.409999999999997</v>
      </c>
      <c r="S434" t="s">
        <v>345</v>
      </c>
      <c r="T434" t="s">
        <v>779</v>
      </c>
    </row>
    <row r="435" spans="1:20" x14ac:dyDescent="0.3">
      <c r="A435">
        <v>434</v>
      </c>
      <c r="B435">
        <v>202</v>
      </c>
      <c r="C435">
        <v>3</v>
      </c>
      <c r="D435">
        <v>38.590000000000003</v>
      </c>
      <c r="E435">
        <v>3.86</v>
      </c>
      <c r="F435">
        <v>0</v>
      </c>
      <c r="G435">
        <v>0.1</v>
      </c>
      <c r="H435" t="s">
        <v>622</v>
      </c>
      <c r="J435" t="s">
        <v>623</v>
      </c>
      <c r="K435" s="1"/>
      <c r="L435" s="1">
        <v>45996.346701388888</v>
      </c>
      <c r="M435" s="2">
        <v>45996</v>
      </c>
      <c r="N435" t="s">
        <v>633</v>
      </c>
      <c r="O435" t="s">
        <v>625</v>
      </c>
      <c r="P435">
        <v>1</v>
      </c>
      <c r="Q435">
        <v>0</v>
      </c>
      <c r="R435">
        <v>38.590000000000003</v>
      </c>
      <c r="S435" t="s">
        <v>399</v>
      </c>
      <c r="T435" t="s">
        <v>777</v>
      </c>
    </row>
    <row r="436" spans="1:20" x14ac:dyDescent="0.3">
      <c r="A436">
        <v>435</v>
      </c>
      <c r="B436">
        <v>47</v>
      </c>
      <c r="C436">
        <v>2</v>
      </c>
      <c r="D436">
        <v>13.71</v>
      </c>
      <c r="E436">
        <v>1.37</v>
      </c>
      <c r="F436">
        <v>0</v>
      </c>
      <c r="G436">
        <v>0.1</v>
      </c>
      <c r="H436" t="s">
        <v>626</v>
      </c>
      <c r="I436">
        <v>3</v>
      </c>
      <c r="J436" t="s">
        <v>628</v>
      </c>
      <c r="K436" s="1">
        <v>45996.878576388888</v>
      </c>
      <c r="L436" s="1">
        <v>45996.378576388888</v>
      </c>
      <c r="M436" s="2">
        <v>45996</v>
      </c>
      <c r="N436" t="s">
        <v>633</v>
      </c>
      <c r="O436" t="s">
        <v>625</v>
      </c>
      <c r="P436">
        <v>1</v>
      </c>
      <c r="Q436">
        <v>1</v>
      </c>
      <c r="R436">
        <v>0</v>
      </c>
      <c r="S436" t="s">
        <v>90</v>
      </c>
      <c r="T436" t="s">
        <v>776</v>
      </c>
    </row>
    <row r="437" spans="1:20" x14ac:dyDescent="0.3">
      <c r="A437">
        <v>436</v>
      </c>
      <c r="B437">
        <v>25</v>
      </c>
      <c r="C437">
        <v>3</v>
      </c>
      <c r="D437">
        <v>153.35</v>
      </c>
      <c r="E437">
        <v>15.34</v>
      </c>
      <c r="F437">
        <v>0</v>
      </c>
      <c r="G437">
        <v>0.1</v>
      </c>
      <c r="H437" t="s">
        <v>622</v>
      </c>
      <c r="J437" t="s">
        <v>623</v>
      </c>
      <c r="K437" s="1"/>
      <c r="L437" s="1">
        <v>45996.380706018521</v>
      </c>
      <c r="M437" s="2">
        <v>45996</v>
      </c>
      <c r="N437" t="s">
        <v>633</v>
      </c>
      <c r="O437" t="s">
        <v>625</v>
      </c>
      <c r="P437">
        <v>1</v>
      </c>
      <c r="Q437">
        <v>0</v>
      </c>
      <c r="R437">
        <v>153.35</v>
      </c>
      <c r="S437" t="s">
        <v>46</v>
      </c>
      <c r="T437" t="s">
        <v>777</v>
      </c>
    </row>
    <row r="438" spans="1:20" x14ac:dyDescent="0.3">
      <c r="A438">
        <v>437</v>
      </c>
      <c r="B438">
        <v>40</v>
      </c>
      <c r="C438">
        <v>3</v>
      </c>
      <c r="D438">
        <v>133.62</v>
      </c>
      <c r="E438">
        <v>13.36</v>
      </c>
      <c r="F438">
        <v>0</v>
      </c>
      <c r="G438">
        <v>0.1</v>
      </c>
      <c r="H438" t="s">
        <v>622</v>
      </c>
      <c r="J438" t="s">
        <v>623</v>
      </c>
      <c r="K438" s="1"/>
      <c r="L438" s="1">
        <v>45996.39135416667</v>
      </c>
      <c r="M438" s="2">
        <v>45996</v>
      </c>
      <c r="N438" t="s">
        <v>633</v>
      </c>
      <c r="O438" t="s">
        <v>625</v>
      </c>
      <c r="P438">
        <v>1</v>
      </c>
      <c r="Q438">
        <v>0</v>
      </c>
      <c r="R438">
        <v>133.62</v>
      </c>
      <c r="S438" t="s">
        <v>76</v>
      </c>
      <c r="T438" t="s">
        <v>777</v>
      </c>
    </row>
    <row r="439" spans="1:20" x14ac:dyDescent="0.3">
      <c r="A439">
        <v>438</v>
      </c>
      <c r="B439">
        <v>245</v>
      </c>
      <c r="C439">
        <v>2</v>
      </c>
      <c r="D439">
        <v>57.38</v>
      </c>
      <c r="E439">
        <v>5.74</v>
      </c>
      <c r="F439">
        <v>0</v>
      </c>
      <c r="G439">
        <v>0.1</v>
      </c>
      <c r="H439" t="s">
        <v>622</v>
      </c>
      <c r="J439" t="s">
        <v>623</v>
      </c>
      <c r="K439" s="1"/>
      <c r="L439" s="1">
        <v>45996.420358796298</v>
      </c>
      <c r="M439" s="2">
        <v>45996</v>
      </c>
      <c r="N439" t="s">
        <v>633</v>
      </c>
      <c r="O439" t="s">
        <v>625</v>
      </c>
      <c r="P439">
        <v>1</v>
      </c>
      <c r="Q439">
        <v>0</v>
      </c>
      <c r="R439">
        <v>57.38</v>
      </c>
      <c r="S439" t="s">
        <v>485</v>
      </c>
      <c r="T439" t="s">
        <v>776</v>
      </c>
    </row>
    <row r="440" spans="1:20" x14ac:dyDescent="0.3">
      <c r="A440">
        <v>439</v>
      </c>
      <c r="B440">
        <v>137</v>
      </c>
      <c r="C440">
        <v>3</v>
      </c>
      <c r="D440">
        <v>51.15</v>
      </c>
      <c r="E440">
        <v>5.12</v>
      </c>
      <c r="F440">
        <v>0</v>
      </c>
      <c r="G440">
        <v>0.1</v>
      </c>
      <c r="H440" t="s">
        <v>622</v>
      </c>
      <c r="J440" t="s">
        <v>623</v>
      </c>
      <c r="K440" s="1"/>
      <c r="L440" s="1">
        <v>45996.430555555555</v>
      </c>
      <c r="M440" s="2">
        <v>45996</v>
      </c>
      <c r="N440" t="s">
        <v>633</v>
      </c>
      <c r="O440" t="s">
        <v>625</v>
      </c>
      <c r="P440">
        <v>1</v>
      </c>
      <c r="Q440">
        <v>0</v>
      </c>
      <c r="R440">
        <v>51.15</v>
      </c>
      <c r="S440" t="s">
        <v>269</v>
      </c>
      <c r="T440" t="s">
        <v>777</v>
      </c>
    </row>
    <row r="441" spans="1:20" x14ac:dyDescent="0.3">
      <c r="A441">
        <v>440</v>
      </c>
      <c r="B441">
        <v>47</v>
      </c>
      <c r="C441">
        <v>2</v>
      </c>
      <c r="D441">
        <v>18.77</v>
      </c>
      <c r="E441">
        <v>1.88</v>
      </c>
      <c r="F441">
        <v>0</v>
      </c>
      <c r="G441">
        <v>0.1</v>
      </c>
      <c r="H441" t="s">
        <v>622</v>
      </c>
      <c r="J441" t="s">
        <v>623</v>
      </c>
      <c r="K441" s="1"/>
      <c r="L441" s="1">
        <v>45996.516574074078</v>
      </c>
      <c r="M441" s="2">
        <v>45996</v>
      </c>
      <c r="N441" t="s">
        <v>633</v>
      </c>
      <c r="O441" t="s">
        <v>625</v>
      </c>
      <c r="P441">
        <v>1</v>
      </c>
      <c r="Q441">
        <v>0</v>
      </c>
      <c r="R441">
        <v>18.77</v>
      </c>
      <c r="S441" t="s">
        <v>90</v>
      </c>
      <c r="T441" t="s">
        <v>776</v>
      </c>
    </row>
    <row r="442" spans="1:20" x14ac:dyDescent="0.3">
      <c r="A442">
        <v>441</v>
      </c>
      <c r="B442">
        <v>290</v>
      </c>
      <c r="C442">
        <v>3</v>
      </c>
      <c r="D442">
        <v>38.89</v>
      </c>
      <c r="E442">
        <v>3.89</v>
      </c>
      <c r="F442">
        <v>0</v>
      </c>
      <c r="G442">
        <v>0.1</v>
      </c>
      <c r="H442" t="s">
        <v>622</v>
      </c>
      <c r="J442" t="s">
        <v>623</v>
      </c>
      <c r="K442" s="1"/>
      <c r="L442" s="1">
        <v>45996.541620370372</v>
      </c>
      <c r="M442" s="2">
        <v>45996</v>
      </c>
      <c r="N442" t="s">
        <v>633</v>
      </c>
      <c r="O442" t="s">
        <v>625</v>
      </c>
      <c r="P442">
        <v>1</v>
      </c>
      <c r="Q442">
        <v>0</v>
      </c>
      <c r="R442">
        <v>38.89</v>
      </c>
      <c r="S442" t="s">
        <v>575</v>
      </c>
      <c r="T442" t="s">
        <v>777</v>
      </c>
    </row>
    <row r="443" spans="1:20" x14ac:dyDescent="0.3">
      <c r="A443">
        <v>442</v>
      </c>
      <c r="B443">
        <v>39</v>
      </c>
      <c r="C443">
        <v>2</v>
      </c>
      <c r="D443">
        <v>104.33</v>
      </c>
      <c r="E443">
        <v>0</v>
      </c>
      <c r="F443">
        <v>1</v>
      </c>
      <c r="G443">
        <v>0.1</v>
      </c>
      <c r="H443" t="s">
        <v>622</v>
      </c>
      <c r="J443" t="s">
        <v>623</v>
      </c>
      <c r="K443" s="1"/>
      <c r="L443" s="1">
        <v>45996.563784722224</v>
      </c>
      <c r="M443" s="2">
        <v>45996</v>
      </c>
      <c r="N443" t="s">
        <v>633</v>
      </c>
      <c r="O443" t="s">
        <v>629</v>
      </c>
      <c r="P443">
        <v>1</v>
      </c>
      <c r="Q443">
        <v>0</v>
      </c>
      <c r="R443">
        <v>104.33</v>
      </c>
      <c r="S443" t="s">
        <v>74</v>
      </c>
      <c r="T443" t="s">
        <v>776</v>
      </c>
    </row>
    <row r="444" spans="1:20" x14ac:dyDescent="0.3">
      <c r="A444">
        <v>443</v>
      </c>
      <c r="B444">
        <v>137</v>
      </c>
      <c r="C444">
        <v>3</v>
      </c>
      <c r="D444">
        <v>30.1</v>
      </c>
      <c r="E444">
        <v>3.01</v>
      </c>
      <c r="F444">
        <v>0</v>
      </c>
      <c r="G444">
        <v>0.1</v>
      </c>
      <c r="H444" t="s">
        <v>622</v>
      </c>
      <c r="J444" t="s">
        <v>623</v>
      </c>
      <c r="K444" s="1"/>
      <c r="L444" s="1">
        <v>45996.675057870372</v>
      </c>
      <c r="M444" s="2">
        <v>45996</v>
      </c>
      <c r="N444" t="s">
        <v>633</v>
      </c>
      <c r="O444" t="s">
        <v>625</v>
      </c>
      <c r="P444">
        <v>1</v>
      </c>
      <c r="Q444">
        <v>0</v>
      </c>
      <c r="R444">
        <v>30.1</v>
      </c>
      <c r="S444" t="s">
        <v>269</v>
      </c>
      <c r="T444" t="s">
        <v>777</v>
      </c>
    </row>
    <row r="445" spans="1:20" x14ac:dyDescent="0.3">
      <c r="A445">
        <v>444</v>
      </c>
      <c r="B445">
        <v>106</v>
      </c>
      <c r="C445">
        <v>5</v>
      </c>
      <c r="D445">
        <v>46.79</v>
      </c>
      <c r="E445">
        <v>4.68</v>
      </c>
      <c r="F445">
        <v>0</v>
      </c>
      <c r="G445">
        <v>0.1</v>
      </c>
      <c r="H445" t="s">
        <v>622</v>
      </c>
      <c r="J445" t="s">
        <v>623</v>
      </c>
      <c r="K445" s="1"/>
      <c r="L445" s="1">
        <v>45996.677199074074</v>
      </c>
      <c r="M445" s="2">
        <v>45996</v>
      </c>
      <c r="N445" t="s">
        <v>633</v>
      </c>
      <c r="O445" t="s">
        <v>625</v>
      </c>
      <c r="P445">
        <v>1</v>
      </c>
      <c r="Q445">
        <v>0</v>
      </c>
      <c r="R445">
        <v>46.79</v>
      </c>
      <c r="S445" t="s">
        <v>207</v>
      </c>
      <c r="T445" t="s">
        <v>779</v>
      </c>
    </row>
    <row r="446" spans="1:20" x14ac:dyDescent="0.3">
      <c r="A446">
        <v>445</v>
      </c>
      <c r="B446">
        <v>257</v>
      </c>
      <c r="C446">
        <v>3</v>
      </c>
      <c r="D446">
        <v>153.35</v>
      </c>
      <c r="E446">
        <v>15.34</v>
      </c>
      <c r="F446">
        <v>0</v>
      </c>
      <c r="G446">
        <v>0.1</v>
      </c>
      <c r="H446" t="s">
        <v>622</v>
      </c>
      <c r="J446" t="s">
        <v>623</v>
      </c>
      <c r="K446" s="1"/>
      <c r="L446" s="1">
        <v>45996.685844907406</v>
      </c>
      <c r="M446" s="2">
        <v>45996</v>
      </c>
      <c r="N446" t="s">
        <v>633</v>
      </c>
      <c r="O446" t="s">
        <v>625</v>
      </c>
      <c r="P446">
        <v>1</v>
      </c>
      <c r="Q446">
        <v>0</v>
      </c>
      <c r="R446">
        <v>153.35</v>
      </c>
      <c r="S446" t="s">
        <v>509</v>
      </c>
      <c r="T446" t="s">
        <v>777</v>
      </c>
    </row>
    <row r="447" spans="1:20" x14ac:dyDescent="0.3">
      <c r="A447">
        <v>446</v>
      </c>
      <c r="B447">
        <v>244</v>
      </c>
      <c r="C447">
        <v>5</v>
      </c>
      <c r="D447">
        <v>175.89</v>
      </c>
      <c r="E447">
        <v>17.59</v>
      </c>
      <c r="F447">
        <v>0</v>
      </c>
      <c r="G447">
        <v>0.1</v>
      </c>
      <c r="H447" t="s">
        <v>622</v>
      </c>
      <c r="J447" t="s">
        <v>623</v>
      </c>
      <c r="K447" s="1"/>
      <c r="L447" s="1">
        <v>45997.352280092593</v>
      </c>
      <c r="M447" s="2">
        <v>45997</v>
      </c>
      <c r="N447" t="s">
        <v>633</v>
      </c>
      <c r="O447" t="s">
        <v>625</v>
      </c>
      <c r="P447">
        <v>1</v>
      </c>
      <c r="Q447">
        <v>0</v>
      </c>
      <c r="R447">
        <v>175.89</v>
      </c>
      <c r="S447" t="s">
        <v>483</v>
      </c>
      <c r="T447" t="s">
        <v>779</v>
      </c>
    </row>
    <row r="448" spans="1:20" x14ac:dyDescent="0.3">
      <c r="A448">
        <v>447</v>
      </c>
      <c r="B448">
        <v>137</v>
      </c>
      <c r="C448">
        <v>4</v>
      </c>
      <c r="D448">
        <v>24.89</v>
      </c>
      <c r="E448">
        <v>2.4900000000000002</v>
      </c>
      <c r="F448">
        <v>0</v>
      </c>
      <c r="G448">
        <v>0.1</v>
      </c>
      <c r="H448" t="s">
        <v>622</v>
      </c>
      <c r="J448" t="s">
        <v>623</v>
      </c>
      <c r="K448" s="1"/>
      <c r="L448" s="1">
        <v>45997.354826388888</v>
      </c>
      <c r="M448" s="2">
        <v>45997</v>
      </c>
      <c r="N448" t="s">
        <v>633</v>
      </c>
      <c r="O448" t="s">
        <v>625</v>
      </c>
      <c r="P448">
        <v>1</v>
      </c>
      <c r="Q448">
        <v>0</v>
      </c>
      <c r="R448">
        <v>24.89</v>
      </c>
      <c r="S448" t="s">
        <v>269</v>
      </c>
      <c r="T448" t="s">
        <v>778</v>
      </c>
    </row>
    <row r="449" spans="1:20" x14ac:dyDescent="0.3">
      <c r="A449">
        <v>448</v>
      </c>
      <c r="B449">
        <v>244</v>
      </c>
      <c r="C449">
        <v>3</v>
      </c>
      <c r="D449">
        <v>32.22</v>
      </c>
      <c r="E449">
        <v>3.22</v>
      </c>
      <c r="F449">
        <v>0</v>
      </c>
      <c r="G449">
        <v>0.1</v>
      </c>
      <c r="H449" t="s">
        <v>622</v>
      </c>
      <c r="J449" t="s">
        <v>623</v>
      </c>
      <c r="K449" s="1"/>
      <c r="L449" s="1">
        <v>45997.35565972222</v>
      </c>
      <c r="M449" s="2">
        <v>45997</v>
      </c>
      <c r="N449" t="s">
        <v>633</v>
      </c>
      <c r="O449" t="s">
        <v>625</v>
      </c>
      <c r="P449">
        <v>1</v>
      </c>
      <c r="Q449">
        <v>0</v>
      </c>
      <c r="R449">
        <v>32.22</v>
      </c>
      <c r="S449" t="s">
        <v>483</v>
      </c>
      <c r="T449" t="s">
        <v>777</v>
      </c>
    </row>
    <row r="450" spans="1:20" x14ac:dyDescent="0.3">
      <c r="A450">
        <v>449</v>
      </c>
      <c r="B450">
        <v>46</v>
      </c>
      <c r="C450">
        <v>2</v>
      </c>
      <c r="D450">
        <v>33.78</v>
      </c>
      <c r="E450">
        <v>3.38</v>
      </c>
      <c r="F450">
        <v>0</v>
      </c>
      <c r="G450">
        <v>0.1</v>
      </c>
      <c r="H450" t="s">
        <v>622</v>
      </c>
      <c r="J450" t="s">
        <v>623</v>
      </c>
      <c r="K450" s="1"/>
      <c r="L450" s="1">
        <v>45997.363749999997</v>
      </c>
      <c r="M450" s="2">
        <v>45997</v>
      </c>
      <c r="N450" t="s">
        <v>633</v>
      </c>
      <c r="O450" t="s">
        <v>625</v>
      </c>
      <c r="P450">
        <v>1</v>
      </c>
      <c r="Q450">
        <v>0</v>
      </c>
      <c r="R450">
        <v>33.78</v>
      </c>
      <c r="S450" t="s">
        <v>88</v>
      </c>
      <c r="T450" t="s">
        <v>776</v>
      </c>
    </row>
    <row r="451" spans="1:20" x14ac:dyDescent="0.3">
      <c r="A451">
        <v>450</v>
      </c>
      <c r="B451">
        <v>46</v>
      </c>
      <c r="C451">
        <v>3</v>
      </c>
      <c r="D451">
        <v>47.25</v>
      </c>
      <c r="E451">
        <v>4.7300000000000004</v>
      </c>
      <c r="F451">
        <v>0</v>
      </c>
      <c r="G451">
        <v>0.1</v>
      </c>
      <c r="H451" t="s">
        <v>622</v>
      </c>
      <c r="J451" t="s">
        <v>623</v>
      </c>
      <c r="K451" s="1"/>
      <c r="L451" s="1">
        <v>45997.387106481481</v>
      </c>
      <c r="M451" s="2">
        <v>45997</v>
      </c>
      <c r="N451" t="s">
        <v>633</v>
      </c>
      <c r="O451" t="s">
        <v>625</v>
      </c>
      <c r="P451">
        <v>1</v>
      </c>
      <c r="Q451">
        <v>0</v>
      </c>
      <c r="R451">
        <v>47.25</v>
      </c>
      <c r="S451" t="s">
        <v>88</v>
      </c>
      <c r="T451" t="s">
        <v>777</v>
      </c>
    </row>
    <row r="452" spans="1:20" x14ac:dyDescent="0.3">
      <c r="A452">
        <v>451</v>
      </c>
      <c r="B452">
        <v>293</v>
      </c>
      <c r="C452">
        <v>5</v>
      </c>
      <c r="D452">
        <v>31.68</v>
      </c>
      <c r="E452">
        <v>3.17</v>
      </c>
      <c r="F452">
        <v>0</v>
      </c>
      <c r="G452">
        <v>0.1</v>
      </c>
      <c r="H452" t="s">
        <v>622</v>
      </c>
      <c r="J452" t="s">
        <v>623</v>
      </c>
      <c r="K452" s="1"/>
      <c r="L452" s="1">
        <v>45997.400023148148</v>
      </c>
      <c r="M452" s="2">
        <v>45997</v>
      </c>
      <c r="N452" t="s">
        <v>633</v>
      </c>
      <c r="O452" t="s">
        <v>625</v>
      </c>
      <c r="P452">
        <v>1</v>
      </c>
      <c r="Q452">
        <v>0</v>
      </c>
      <c r="R452">
        <v>31.68</v>
      </c>
      <c r="S452" t="s">
        <v>581</v>
      </c>
      <c r="T452" t="s">
        <v>779</v>
      </c>
    </row>
    <row r="453" spans="1:20" x14ac:dyDescent="0.3">
      <c r="A453">
        <v>452</v>
      </c>
      <c r="B453">
        <v>44</v>
      </c>
      <c r="C453">
        <v>5</v>
      </c>
      <c r="D453">
        <v>27.25</v>
      </c>
      <c r="E453">
        <v>2.73</v>
      </c>
      <c r="F453">
        <v>0</v>
      </c>
      <c r="G453">
        <v>0.1</v>
      </c>
      <c r="H453" t="s">
        <v>622</v>
      </c>
      <c r="J453" t="s">
        <v>623</v>
      </c>
      <c r="K453" s="1"/>
      <c r="L453" s="1">
        <v>45997.403356481482</v>
      </c>
      <c r="M453" s="2">
        <v>45997</v>
      </c>
      <c r="N453" t="s">
        <v>633</v>
      </c>
      <c r="O453" t="s">
        <v>625</v>
      </c>
      <c r="P453">
        <v>1</v>
      </c>
      <c r="Q453">
        <v>0</v>
      </c>
      <c r="R453">
        <v>27.25</v>
      </c>
      <c r="S453" t="s">
        <v>84</v>
      </c>
      <c r="T453" t="s">
        <v>779</v>
      </c>
    </row>
    <row r="454" spans="1:20" x14ac:dyDescent="0.3">
      <c r="A454">
        <v>453</v>
      </c>
      <c r="B454">
        <v>60</v>
      </c>
      <c r="C454">
        <v>5</v>
      </c>
      <c r="D454">
        <v>182.18</v>
      </c>
      <c r="E454">
        <v>18.22</v>
      </c>
      <c r="F454">
        <v>0</v>
      </c>
      <c r="G454">
        <v>0.1</v>
      </c>
      <c r="H454" t="s">
        <v>622</v>
      </c>
      <c r="J454" t="s">
        <v>623</v>
      </c>
      <c r="K454" s="1"/>
      <c r="L454" s="1">
        <v>45997.421944444446</v>
      </c>
      <c r="M454" s="2">
        <v>45997</v>
      </c>
      <c r="N454" t="s">
        <v>633</v>
      </c>
      <c r="O454" t="s">
        <v>625</v>
      </c>
      <c r="P454">
        <v>1</v>
      </c>
      <c r="Q454">
        <v>0</v>
      </c>
      <c r="R454">
        <v>182.18</v>
      </c>
      <c r="S454" t="s">
        <v>116</v>
      </c>
      <c r="T454" t="s">
        <v>779</v>
      </c>
    </row>
    <row r="455" spans="1:20" x14ac:dyDescent="0.3">
      <c r="A455">
        <v>454</v>
      </c>
      <c r="B455">
        <v>240</v>
      </c>
      <c r="C455">
        <v>4</v>
      </c>
      <c r="D455">
        <v>300</v>
      </c>
      <c r="E455">
        <v>30</v>
      </c>
      <c r="F455">
        <v>0</v>
      </c>
      <c r="G455">
        <v>0.1</v>
      </c>
      <c r="H455" t="s">
        <v>622</v>
      </c>
      <c r="J455" t="s">
        <v>623</v>
      </c>
      <c r="K455" s="1"/>
      <c r="L455" s="1">
        <v>45997.42763888889</v>
      </c>
      <c r="M455" s="2">
        <v>45997</v>
      </c>
      <c r="N455" t="s">
        <v>633</v>
      </c>
      <c r="O455" t="s">
        <v>625</v>
      </c>
      <c r="P455">
        <v>1</v>
      </c>
      <c r="Q455">
        <v>0</v>
      </c>
      <c r="R455">
        <v>300</v>
      </c>
      <c r="S455" t="s">
        <v>475</v>
      </c>
      <c r="T455" t="s">
        <v>778</v>
      </c>
    </row>
    <row r="456" spans="1:20" x14ac:dyDescent="0.3">
      <c r="A456">
        <v>455</v>
      </c>
      <c r="B456">
        <v>197</v>
      </c>
      <c r="C456">
        <v>5</v>
      </c>
      <c r="D456">
        <v>82.04</v>
      </c>
      <c r="E456">
        <v>8.1999999999999993</v>
      </c>
      <c r="F456">
        <v>0</v>
      </c>
      <c r="G456">
        <v>0.1</v>
      </c>
      <c r="H456" t="s">
        <v>622</v>
      </c>
      <c r="J456" t="s">
        <v>623</v>
      </c>
      <c r="K456" s="1"/>
      <c r="L456" s="1">
        <v>45997.437916666669</v>
      </c>
      <c r="M456" s="2">
        <v>45997</v>
      </c>
      <c r="N456" t="s">
        <v>633</v>
      </c>
      <c r="O456" t="s">
        <v>625</v>
      </c>
      <c r="P456">
        <v>1</v>
      </c>
      <c r="Q456">
        <v>0</v>
      </c>
      <c r="R456">
        <v>82.04</v>
      </c>
      <c r="S456" t="s">
        <v>389</v>
      </c>
      <c r="T456" t="s">
        <v>779</v>
      </c>
    </row>
    <row r="457" spans="1:20" x14ac:dyDescent="0.3">
      <c r="A457">
        <v>456</v>
      </c>
      <c r="B457">
        <v>252</v>
      </c>
      <c r="C457">
        <v>3</v>
      </c>
      <c r="D457">
        <v>31.91</v>
      </c>
      <c r="E457">
        <v>3.19</v>
      </c>
      <c r="F457">
        <v>0</v>
      </c>
      <c r="G457">
        <v>0.1</v>
      </c>
      <c r="H457" t="s">
        <v>622</v>
      </c>
      <c r="J457" t="s">
        <v>623</v>
      </c>
      <c r="K457" s="1"/>
      <c r="L457" s="1">
        <v>45997.463310185187</v>
      </c>
      <c r="M457" s="2">
        <v>45997</v>
      </c>
      <c r="N457" t="s">
        <v>633</v>
      </c>
      <c r="O457" t="s">
        <v>625</v>
      </c>
      <c r="P457">
        <v>1</v>
      </c>
      <c r="Q457">
        <v>0</v>
      </c>
      <c r="R457">
        <v>31.91</v>
      </c>
      <c r="S457" t="s">
        <v>499</v>
      </c>
      <c r="T457" t="s">
        <v>777</v>
      </c>
    </row>
    <row r="458" spans="1:20" x14ac:dyDescent="0.3">
      <c r="A458">
        <v>457</v>
      </c>
      <c r="B458">
        <v>47</v>
      </c>
      <c r="C458">
        <v>3</v>
      </c>
      <c r="D458">
        <v>29.06</v>
      </c>
      <c r="E458">
        <v>2.91</v>
      </c>
      <c r="F458">
        <v>0</v>
      </c>
      <c r="G458">
        <v>0.1</v>
      </c>
      <c r="H458" t="s">
        <v>622</v>
      </c>
      <c r="J458" t="s">
        <v>623</v>
      </c>
      <c r="K458" s="1"/>
      <c r="L458" s="1">
        <v>45997.507337962961</v>
      </c>
      <c r="M458" s="2">
        <v>45997</v>
      </c>
      <c r="N458" t="s">
        <v>633</v>
      </c>
      <c r="O458" t="s">
        <v>625</v>
      </c>
      <c r="P458">
        <v>1</v>
      </c>
      <c r="Q458">
        <v>0</v>
      </c>
      <c r="R458">
        <v>29.06</v>
      </c>
      <c r="S458" t="s">
        <v>90</v>
      </c>
      <c r="T458" t="s">
        <v>777</v>
      </c>
    </row>
    <row r="459" spans="1:20" x14ac:dyDescent="0.3">
      <c r="A459">
        <v>458</v>
      </c>
      <c r="B459">
        <v>23</v>
      </c>
      <c r="C459">
        <v>2</v>
      </c>
      <c r="D459">
        <v>90.75</v>
      </c>
      <c r="E459">
        <v>9.08</v>
      </c>
      <c r="F459">
        <v>0</v>
      </c>
      <c r="G459">
        <v>0.1</v>
      </c>
      <c r="H459" t="s">
        <v>622</v>
      </c>
      <c r="J459" t="s">
        <v>623</v>
      </c>
      <c r="K459" s="1"/>
      <c r="L459" s="1">
        <v>45997.585578703707</v>
      </c>
      <c r="M459" s="2">
        <v>45997</v>
      </c>
      <c r="N459" t="s">
        <v>633</v>
      </c>
      <c r="O459" t="s">
        <v>625</v>
      </c>
      <c r="P459">
        <v>1</v>
      </c>
      <c r="Q459">
        <v>0</v>
      </c>
      <c r="R459">
        <v>90.75</v>
      </c>
      <c r="S459" t="s">
        <v>42</v>
      </c>
      <c r="T459" t="s">
        <v>776</v>
      </c>
    </row>
    <row r="460" spans="1:20" x14ac:dyDescent="0.3">
      <c r="A460">
        <v>459</v>
      </c>
      <c r="B460">
        <v>240</v>
      </c>
      <c r="C460">
        <v>4</v>
      </c>
      <c r="D460">
        <v>300</v>
      </c>
      <c r="E460">
        <v>30</v>
      </c>
      <c r="F460">
        <v>0</v>
      </c>
      <c r="G460">
        <v>0.1</v>
      </c>
      <c r="H460" t="s">
        <v>622</v>
      </c>
      <c r="J460" t="s">
        <v>623</v>
      </c>
      <c r="K460" s="1"/>
      <c r="L460" s="1">
        <v>45997.626493055555</v>
      </c>
      <c r="M460" s="2">
        <v>45997</v>
      </c>
      <c r="N460" t="s">
        <v>633</v>
      </c>
      <c r="O460" t="s">
        <v>625</v>
      </c>
      <c r="P460">
        <v>1</v>
      </c>
      <c r="Q460">
        <v>0</v>
      </c>
      <c r="R460">
        <v>300</v>
      </c>
      <c r="S460" t="s">
        <v>475</v>
      </c>
      <c r="T460" t="s">
        <v>778</v>
      </c>
    </row>
    <row r="461" spans="1:20" x14ac:dyDescent="0.3">
      <c r="A461">
        <v>460</v>
      </c>
      <c r="B461">
        <v>44</v>
      </c>
      <c r="C461">
        <v>2</v>
      </c>
      <c r="D461">
        <v>61.51</v>
      </c>
      <c r="E461">
        <v>6.15</v>
      </c>
      <c r="F461">
        <v>0</v>
      </c>
      <c r="G461">
        <v>0.1</v>
      </c>
      <c r="H461" t="s">
        <v>622</v>
      </c>
      <c r="J461" t="s">
        <v>623</v>
      </c>
      <c r="K461" s="1"/>
      <c r="L461" s="1">
        <v>45997.628310185188</v>
      </c>
      <c r="M461" s="2">
        <v>45997</v>
      </c>
      <c r="N461" t="s">
        <v>633</v>
      </c>
      <c r="O461" t="s">
        <v>625</v>
      </c>
      <c r="P461">
        <v>1</v>
      </c>
      <c r="Q461">
        <v>0</v>
      </c>
      <c r="R461">
        <v>61.51</v>
      </c>
      <c r="S461" t="s">
        <v>84</v>
      </c>
      <c r="T461" t="s">
        <v>776</v>
      </c>
    </row>
    <row r="462" spans="1:20" x14ac:dyDescent="0.3">
      <c r="A462">
        <v>461</v>
      </c>
      <c r="B462">
        <v>221</v>
      </c>
      <c r="C462">
        <v>5</v>
      </c>
      <c r="D462">
        <v>300</v>
      </c>
      <c r="E462">
        <v>30</v>
      </c>
      <c r="F462">
        <v>0</v>
      </c>
      <c r="G462">
        <v>0.1</v>
      </c>
      <c r="H462" t="s">
        <v>622</v>
      </c>
      <c r="J462" t="s">
        <v>623</v>
      </c>
      <c r="K462" s="1"/>
      <c r="L462" s="1">
        <v>45997.706284722219</v>
      </c>
      <c r="M462" s="2">
        <v>45997</v>
      </c>
      <c r="N462" t="s">
        <v>633</v>
      </c>
      <c r="O462" t="s">
        <v>625</v>
      </c>
      <c r="P462">
        <v>1</v>
      </c>
      <c r="Q462">
        <v>0</v>
      </c>
      <c r="R462">
        <v>300</v>
      </c>
      <c r="S462" t="s">
        <v>437</v>
      </c>
      <c r="T462" t="s">
        <v>779</v>
      </c>
    </row>
    <row r="463" spans="1:20" x14ac:dyDescent="0.3">
      <c r="A463">
        <v>462</v>
      </c>
      <c r="B463">
        <v>16</v>
      </c>
      <c r="C463">
        <v>5</v>
      </c>
      <c r="D463">
        <v>136.24</v>
      </c>
      <c r="E463">
        <v>13.62</v>
      </c>
      <c r="F463">
        <v>0</v>
      </c>
      <c r="G463">
        <v>0.1</v>
      </c>
      <c r="H463" t="s">
        <v>622</v>
      </c>
      <c r="J463" t="s">
        <v>623</v>
      </c>
      <c r="K463" s="1"/>
      <c r="L463" s="1">
        <v>45997.706701388888</v>
      </c>
      <c r="M463" s="2">
        <v>45997</v>
      </c>
      <c r="N463" t="s">
        <v>633</v>
      </c>
      <c r="O463" t="s">
        <v>625</v>
      </c>
      <c r="P463">
        <v>1</v>
      </c>
      <c r="Q463">
        <v>0</v>
      </c>
      <c r="R463">
        <v>136.24</v>
      </c>
      <c r="S463" t="s">
        <v>28</v>
      </c>
      <c r="T463" t="s">
        <v>779</v>
      </c>
    </row>
    <row r="464" spans="1:20" x14ac:dyDescent="0.3">
      <c r="A464">
        <v>463</v>
      </c>
      <c r="B464">
        <v>103</v>
      </c>
      <c r="C464">
        <v>4</v>
      </c>
      <c r="D464">
        <v>20.49</v>
      </c>
      <c r="E464">
        <v>2.0499999999999998</v>
      </c>
      <c r="F464">
        <v>0</v>
      </c>
      <c r="G464">
        <v>0.1</v>
      </c>
      <c r="H464" t="s">
        <v>622</v>
      </c>
      <c r="J464" t="s">
        <v>623</v>
      </c>
      <c r="K464" s="1"/>
      <c r="L464" s="1">
        <v>45997.74895833333</v>
      </c>
      <c r="M464" s="2">
        <v>45997</v>
      </c>
      <c r="N464" t="s">
        <v>633</v>
      </c>
      <c r="O464" t="s">
        <v>625</v>
      </c>
      <c r="P464">
        <v>1</v>
      </c>
      <c r="Q464">
        <v>0</v>
      </c>
      <c r="R464">
        <v>20.49</v>
      </c>
      <c r="S464" t="s">
        <v>201</v>
      </c>
      <c r="T464" t="s">
        <v>778</v>
      </c>
    </row>
    <row r="465" spans="1:20" x14ac:dyDescent="0.3">
      <c r="A465">
        <v>464</v>
      </c>
      <c r="B465">
        <v>16</v>
      </c>
      <c r="C465">
        <v>4</v>
      </c>
      <c r="D465">
        <v>133.80000000000001</v>
      </c>
      <c r="E465">
        <v>0</v>
      </c>
      <c r="F465">
        <v>1</v>
      </c>
      <c r="G465">
        <v>0.1</v>
      </c>
      <c r="H465" t="s">
        <v>622</v>
      </c>
      <c r="J465" t="s">
        <v>623</v>
      </c>
      <c r="K465" s="1"/>
      <c r="L465" s="1">
        <v>45997.768807870372</v>
      </c>
      <c r="M465" s="2">
        <v>45997</v>
      </c>
      <c r="N465" t="s">
        <v>633</v>
      </c>
      <c r="O465" t="s">
        <v>629</v>
      </c>
      <c r="P465">
        <v>1</v>
      </c>
      <c r="Q465">
        <v>0</v>
      </c>
      <c r="R465">
        <v>133.80000000000001</v>
      </c>
      <c r="S465" t="s">
        <v>28</v>
      </c>
      <c r="T465" t="s">
        <v>778</v>
      </c>
    </row>
    <row r="466" spans="1:20" x14ac:dyDescent="0.3">
      <c r="A466">
        <v>465</v>
      </c>
      <c r="B466">
        <v>11</v>
      </c>
      <c r="C466">
        <v>3</v>
      </c>
      <c r="D466">
        <v>203.63</v>
      </c>
      <c r="E466">
        <v>20.36</v>
      </c>
      <c r="F466">
        <v>0</v>
      </c>
      <c r="G466">
        <v>0.1</v>
      </c>
      <c r="H466" t="s">
        <v>622</v>
      </c>
      <c r="J466" t="s">
        <v>623</v>
      </c>
      <c r="K466" s="1"/>
      <c r="L466" s="1">
        <v>45998.380682870367</v>
      </c>
      <c r="M466" s="2">
        <v>45998</v>
      </c>
      <c r="N466" t="s">
        <v>633</v>
      </c>
      <c r="O466" t="s">
        <v>625</v>
      </c>
      <c r="P466">
        <v>1</v>
      </c>
      <c r="Q466">
        <v>0</v>
      </c>
      <c r="R466">
        <v>203.63</v>
      </c>
      <c r="S466" t="s">
        <v>18</v>
      </c>
      <c r="T466" t="s">
        <v>777</v>
      </c>
    </row>
    <row r="467" spans="1:20" x14ac:dyDescent="0.3">
      <c r="A467">
        <v>466</v>
      </c>
      <c r="B467">
        <v>227</v>
      </c>
      <c r="C467">
        <v>5</v>
      </c>
      <c r="D467">
        <v>27.41</v>
      </c>
      <c r="E467">
        <v>2.74</v>
      </c>
      <c r="F467">
        <v>0</v>
      </c>
      <c r="G467">
        <v>0.1</v>
      </c>
      <c r="H467" t="s">
        <v>622</v>
      </c>
      <c r="J467" t="s">
        <v>623</v>
      </c>
      <c r="K467" s="1"/>
      <c r="L467" s="1">
        <v>45998.401909722219</v>
      </c>
      <c r="M467" s="2">
        <v>45998</v>
      </c>
      <c r="N467" t="s">
        <v>633</v>
      </c>
      <c r="O467" t="s">
        <v>625</v>
      </c>
      <c r="P467">
        <v>1</v>
      </c>
      <c r="Q467">
        <v>0</v>
      </c>
      <c r="R467">
        <v>27.41</v>
      </c>
      <c r="S467" t="s">
        <v>449</v>
      </c>
      <c r="T467" t="s">
        <v>779</v>
      </c>
    </row>
    <row r="468" spans="1:20" x14ac:dyDescent="0.3">
      <c r="A468">
        <v>467</v>
      </c>
      <c r="B468">
        <v>92</v>
      </c>
      <c r="C468">
        <v>5</v>
      </c>
      <c r="D468">
        <v>39.46</v>
      </c>
      <c r="E468">
        <v>3.95</v>
      </c>
      <c r="F468">
        <v>0</v>
      </c>
      <c r="G468">
        <v>0.1</v>
      </c>
      <c r="H468" t="s">
        <v>622</v>
      </c>
      <c r="J468" t="s">
        <v>623</v>
      </c>
      <c r="K468" s="1"/>
      <c r="L468" s="1">
        <v>45998.447129629632</v>
      </c>
      <c r="M468" s="2">
        <v>45998</v>
      </c>
      <c r="N468" t="s">
        <v>633</v>
      </c>
      <c r="O468" t="s">
        <v>625</v>
      </c>
      <c r="P468">
        <v>1</v>
      </c>
      <c r="Q468">
        <v>0</v>
      </c>
      <c r="R468">
        <v>39.46</v>
      </c>
      <c r="S468" t="s">
        <v>179</v>
      </c>
      <c r="T468" t="s">
        <v>779</v>
      </c>
    </row>
    <row r="469" spans="1:20" x14ac:dyDescent="0.3">
      <c r="A469">
        <v>468</v>
      </c>
      <c r="B469">
        <v>135</v>
      </c>
      <c r="C469">
        <v>5</v>
      </c>
      <c r="D469">
        <v>149.47</v>
      </c>
      <c r="E469">
        <v>14.95</v>
      </c>
      <c r="F469">
        <v>0</v>
      </c>
      <c r="G469">
        <v>0.1</v>
      </c>
      <c r="H469" t="s">
        <v>622</v>
      </c>
      <c r="J469" t="s">
        <v>623</v>
      </c>
      <c r="K469" s="1"/>
      <c r="L469" s="1">
        <v>45998.45815972222</v>
      </c>
      <c r="M469" s="2">
        <v>45998</v>
      </c>
      <c r="N469" t="s">
        <v>633</v>
      </c>
      <c r="O469" t="s">
        <v>625</v>
      </c>
      <c r="P469">
        <v>1</v>
      </c>
      <c r="Q469">
        <v>0</v>
      </c>
      <c r="R469">
        <v>149.47</v>
      </c>
      <c r="S469" t="s">
        <v>265</v>
      </c>
      <c r="T469" t="s">
        <v>779</v>
      </c>
    </row>
    <row r="470" spans="1:20" x14ac:dyDescent="0.3">
      <c r="A470">
        <v>469</v>
      </c>
      <c r="B470">
        <v>42</v>
      </c>
      <c r="C470">
        <v>4</v>
      </c>
      <c r="D470">
        <v>43.7</v>
      </c>
      <c r="E470">
        <v>4.37</v>
      </c>
      <c r="F470">
        <v>0</v>
      </c>
      <c r="G470">
        <v>0.1</v>
      </c>
      <c r="H470" t="s">
        <v>622</v>
      </c>
      <c r="J470" t="s">
        <v>623</v>
      </c>
      <c r="K470" s="1"/>
      <c r="L470" s="1">
        <v>45998.535543981481</v>
      </c>
      <c r="M470" s="2">
        <v>45998</v>
      </c>
      <c r="N470" t="s">
        <v>633</v>
      </c>
      <c r="O470" t="s">
        <v>625</v>
      </c>
      <c r="P470">
        <v>1</v>
      </c>
      <c r="Q470">
        <v>0</v>
      </c>
      <c r="R470">
        <v>43.7</v>
      </c>
      <c r="S470" t="s">
        <v>80</v>
      </c>
      <c r="T470" t="s">
        <v>778</v>
      </c>
    </row>
    <row r="471" spans="1:20" x14ac:dyDescent="0.3">
      <c r="A471">
        <v>470</v>
      </c>
      <c r="B471">
        <v>38</v>
      </c>
      <c r="C471">
        <v>5</v>
      </c>
      <c r="D471">
        <v>25.9</v>
      </c>
      <c r="E471">
        <v>2.59</v>
      </c>
      <c r="F471">
        <v>0</v>
      </c>
      <c r="G471">
        <v>0.1</v>
      </c>
      <c r="H471" t="s">
        <v>622</v>
      </c>
      <c r="J471" t="s">
        <v>623</v>
      </c>
      <c r="K471" s="1"/>
      <c r="L471" s="1">
        <v>45998.701678240737</v>
      </c>
      <c r="M471" s="2">
        <v>45998</v>
      </c>
      <c r="N471" t="s">
        <v>633</v>
      </c>
      <c r="O471" t="s">
        <v>625</v>
      </c>
      <c r="P471">
        <v>1</v>
      </c>
      <c r="Q471">
        <v>0</v>
      </c>
      <c r="R471">
        <v>25.9</v>
      </c>
      <c r="S471" t="s">
        <v>72</v>
      </c>
      <c r="T471" t="s">
        <v>779</v>
      </c>
    </row>
    <row r="472" spans="1:20" x14ac:dyDescent="0.3">
      <c r="A472">
        <v>471</v>
      </c>
      <c r="B472">
        <v>244</v>
      </c>
      <c r="C472">
        <v>5</v>
      </c>
      <c r="D472">
        <v>68.17</v>
      </c>
      <c r="E472">
        <v>6.82</v>
      </c>
      <c r="F472">
        <v>0</v>
      </c>
      <c r="G472">
        <v>0.1</v>
      </c>
      <c r="H472" t="s">
        <v>622</v>
      </c>
      <c r="J472" t="s">
        <v>623</v>
      </c>
      <c r="K472" s="1"/>
      <c r="L472" s="1">
        <v>45998.777395833335</v>
      </c>
      <c r="M472" s="2">
        <v>45998</v>
      </c>
      <c r="N472" t="s">
        <v>633</v>
      </c>
      <c r="O472" t="s">
        <v>625</v>
      </c>
      <c r="P472">
        <v>1</v>
      </c>
      <c r="Q472">
        <v>0</v>
      </c>
      <c r="R472">
        <v>68.17</v>
      </c>
      <c r="S472" t="s">
        <v>483</v>
      </c>
      <c r="T472" t="s">
        <v>779</v>
      </c>
    </row>
    <row r="473" spans="1:20" x14ac:dyDescent="0.3">
      <c r="A473">
        <v>472</v>
      </c>
      <c r="B473">
        <v>138</v>
      </c>
      <c r="C473">
        <v>4</v>
      </c>
      <c r="D473">
        <v>19.28</v>
      </c>
      <c r="E473">
        <v>1.93</v>
      </c>
      <c r="F473">
        <v>0</v>
      </c>
      <c r="G473">
        <v>0.1</v>
      </c>
      <c r="H473" t="s">
        <v>622</v>
      </c>
      <c r="J473" t="s">
        <v>623</v>
      </c>
      <c r="K473" s="1"/>
      <c r="L473" s="1">
        <v>45998.819155092591</v>
      </c>
      <c r="M473" s="2">
        <v>45998</v>
      </c>
      <c r="N473" t="s">
        <v>633</v>
      </c>
      <c r="O473" t="s">
        <v>625</v>
      </c>
      <c r="P473">
        <v>1</v>
      </c>
      <c r="Q473">
        <v>0</v>
      </c>
      <c r="R473">
        <v>19.28</v>
      </c>
      <c r="S473" t="s">
        <v>271</v>
      </c>
      <c r="T473" t="s">
        <v>778</v>
      </c>
    </row>
    <row r="474" spans="1:20" x14ac:dyDescent="0.3">
      <c r="A474">
        <v>473</v>
      </c>
      <c r="B474">
        <v>137</v>
      </c>
      <c r="C474">
        <v>4</v>
      </c>
      <c r="D474">
        <v>30.79</v>
      </c>
      <c r="E474">
        <v>3.08</v>
      </c>
      <c r="F474">
        <v>0</v>
      </c>
      <c r="G474">
        <v>0.1</v>
      </c>
      <c r="H474" t="s">
        <v>622</v>
      </c>
      <c r="J474" t="s">
        <v>623</v>
      </c>
      <c r="K474" s="1"/>
      <c r="L474" s="1">
        <v>45999.319988425923</v>
      </c>
      <c r="M474" s="2">
        <v>45999</v>
      </c>
      <c r="N474" t="s">
        <v>633</v>
      </c>
      <c r="O474" t="s">
        <v>625</v>
      </c>
      <c r="P474">
        <v>1</v>
      </c>
      <c r="Q474">
        <v>0</v>
      </c>
      <c r="R474">
        <v>30.79</v>
      </c>
      <c r="S474" t="s">
        <v>269</v>
      </c>
      <c r="T474" t="s">
        <v>778</v>
      </c>
    </row>
    <row r="475" spans="1:20" x14ac:dyDescent="0.3">
      <c r="A475">
        <v>474</v>
      </c>
      <c r="B475">
        <v>122</v>
      </c>
      <c r="C475">
        <v>3</v>
      </c>
      <c r="D475">
        <v>194.1</v>
      </c>
      <c r="E475">
        <v>19.41</v>
      </c>
      <c r="F475">
        <v>0</v>
      </c>
      <c r="G475">
        <v>0.1</v>
      </c>
      <c r="H475" t="s">
        <v>622</v>
      </c>
      <c r="J475" t="s">
        <v>623</v>
      </c>
      <c r="K475" s="1"/>
      <c r="L475" s="1">
        <v>45999.350115740737</v>
      </c>
      <c r="M475" s="2">
        <v>45999</v>
      </c>
      <c r="N475" t="s">
        <v>633</v>
      </c>
      <c r="O475" t="s">
        <v>625</v>
      </c>
      <c r="P475">
        <v>1</v>
      </c>
      <c r="Q475">
        <v>0</v>
      </c>
      <c r="R475">
        <v>194.1</v>
      </c>
      <c r="S475" t="s">
        <v>239</v>
      </c>
      <c r="T475" t="s">
        <v>777</v>
      </c>
    </row>
    <row r="476" spans="1:20" x14ac:dyDescent="0.3">
      <c r="A476">
        <v>475</v>
      </c>
      <c r="B476">
        <v>192</v>
      </c>
      <c r="C476">
        <v>3</v>
      </c>
      <c r="D476">
        <v>25.14</v>
      </c>
      <c r="E476">
        <v>2.5099999999999998</v>
      </c>
      <c r="F476">
        <v>0</v>
      </c>
      <c r="G476">
        <v>0.1</v>
      </c>
      <c r="H476" t="s">
        <v>622</v>
      </c>
      <c r="J476" t="s">
        <v>623</v>
      </c>
      <c r="K476" s="1"/>
      <c r="L476" s="1">
        <v>45999.350416666668</v>
      </c>
      <c r="M476" s="2">
        <v>45999</v>
      </c>
      <c r="N476" t="s">
        <v>633</v>
      </c>
      <c r="O476" t="s">
        <v>625</v>
      </c>
      <c r="P476">
        <v>1</v>
      </c>
      <c r="Q476">
        <v>0</v>
      </c>
      <c r="R476">
        <v>25.14</v>
      </c>
      <c r="S476" t="s">
        <v>379</v>
      </c>
      <c r="T476" t="s">
        <v>777</v>
      </c>
    </row>
    <row r="477" spans="1:20" x14ac:dyDescent="0.3">
      <c r="A477">
        <v>476</v>
      </c>
      <c r="B477">
        <v>252</v>
      </c>
      <c r="C477">
        <v>2</v>
      </c>
      <c r="D477">
        <v>23.87</v>
      </c>
      <c r="E477">
        <v>2.39</v>
      </c>
      <c r="F477">
        <v>0</v>
      </c>
      <c r="G477">
        <v>0.1</v>
      </c>
      <c r="H477" t="s">
        <v>622</v>
      </c>
      <c r="J477" t="s">
        <v>623</v>
      </c>
      <c r="K477" s="1"/>
      <c r="L477" s="1">
        <v>45999.383912037039</v>
      </c>
      <c r="M477" s="2">
        <v>45999</v>
      </c>
      <c r="N477" t="s">
        <v>633</v>
      </c>
      <c r="O477" t="s">
        <v>625</v>
      </c>
      <c r="P477">
        <v>1</v>
      </c>
      <c r="Q477">
        <v>0</v>
      </c>
      <c r="R477">
        <v>23.87</v>
      </c>
      <c r="S477" t="s">
        <v>499</v>
      </c>
      <c r="T477" t="s">
        <v>776</v>
      </c>
    </row>
    <row r="478" spans="1:20" x14ac:dyDescent="0.3">
      <c r="A478">
        <v>477</v>
      </c>
      <c r="B478">
        <v>13</v>
      </c>
      <c r="C478">
        <v>4</v>
      </c>
      <c r="D478">
        <v>37.28</v>
      </c>
      <c r="E478">
        <v>3.73</v>
      </c>
      <c r="F478">
        <v>0</v>
      </c>
      <c r="G478">
        <v>0.1</v>
      </c>
      <c r="H478" t="s">
        <v>622</v>
      </c>
      <c r="J478" t="s">
        <v>623</v>
      </c>
      <c r="K478" s="1"/>
      <c r="L478" s="1">
        <v>45999.426215277781</v>
      </c>
      <c r="M478" s="2">
        <v>45999</v>
      </c>
      <c r="N478" t="s">
        <v>633</v>
      </c>
      <c r="O478" t="s">
        <v>625</v>
      </c>
      <c r="P478">
        <v>1</v>
      </c>
      <c r="Q478">
        <v>0</v>
      </c>
      <c r="R478">
        <v>37.28</v>
      </c>
      <c r="S478" t="s">
        <v>22</v>
      </c>
      <c r="T478" t="s">
        <v>778</v>
      </c>
    </row>
    <row r="479" spans="1:20" x14ac:dyDescent="0.3">
      <c r="A479">
        <v>478</v>
      </c>
      <c r="B479">
        <v>69</v>
      </c>
      <c r="C479">
        <v>5</v>
      </c>
      <c r="D479">
        <v>39.380000000000003</v>
      </c>
      <c r="E479">
        <v>3.94</v>
      </c>
      <c r="F479">
        <v>0</v>
      </c>
      <c r="G479">
        <v>0.1</v>
      </c>
      <c r="H479" t="s">
        <v>622</v>
      </c>
      <c r="J479" t="s">
        <v>623</v>
      </c>
      <c r="K479" s="1"/>
      <c r="L479" s="1">
        <v>45999.466631944444</v>
      </c>
      <c r="M479" s="2">
        <v>45999</v>
      </c>
      <c r="N479" t="s">
        <v>633</v>
      </c>
      <c r="O479" t="s">
        <v>625</v>
      </c>
      <c r="P479">
        <v>1</v>
      </c>
      <c r="Q479">
        <v>0</v>
      </c>
      <c r="R479">
        <v>39.380000000000003</v>
      </c>
      <c r="S479" t="s">
        <v>134</v>
      </c>
      <c r="T479" t="s">
        <v>779</v>
      </c>
    </row>
    <row r="480" spans="1:20" x14ac:dyDescent="0.3">
      <c r="A480">
        <v>479</v>
      </c>
      <c r="B480">
        <v>60</v>
      </c>
      <c r="C480">
        <v>2</v>
      </c>
      <c r="D480">
        <v>171.52</v>
      </c>
      <c r="E480">
        <v>17.149999999999999</v>
      </c>
      <c r="F480">
        <v>0</v>
      </c>
      <c r="G480">
        <v>0.1</v>
      </c>
      <c r="H480" t="s">
        <v>622</v>
      </c>
      <c r="J480" t="s">
        <v>623</v>
      </c>
      <c r="K480" s="1"/>
      <c r="L480" s="1">
        <v>45999.518622685187</v>
      </c>
      <c r="M480" s="2">
        <v>45999</v>
      </c>
      <c r="N480" t="s">
        <v>633</v>
      </c>
      <c r="O480" t="s">
        <v>625</v>
      </c>
      <c r="P480">
        <v>1</v>
      </c>
      <c r="Q480">
        <v>0</v>
      </c>
      <c r="R480">
        <v>171.52</v>
      </c>
      <c r="S480" t="s">
        <v>116</v>
      </c>
      <c r="T480" t="s">
        <v>776</v>
      </c>
    </row>
    <row r="481" spans="1:20" x14ac:dyDescent="0.3">
      <c r="A481">
        <v>480</v>
      </c>
      <c r="B481">
        <v>39</v>
      </c>
      <c r="C481">
        <v>2</v>
      </c>
      <c r="D481">
        <v>204.45</v>
      </c>
      <c r="E481">
        <v>20.45</v>
      </c>
      <c r="F481">
        <v>0</v>
      </c>
      <c r="G481">
        <v>0.1</v>
      </c>
      <c r="H481" t="s">
        <v>622</v>
      </c>
      <c r="J481" t="s">
        <v>623</v>
      </c>
      <c r="K481" s="1"/>
      <c r="L481" s="1">
        <v>45999.576192129629</v>
      </c>
      <c r="M481" s="2">
        <v>45999</v>
      </c>
      <c r="N481" t="s">
        <v>633</v>
      </c>
      <c r="O481" t="s">
        <v>625</v>
      </c>
      <c r="P481">
        <v>1</v>
      </c>
      <c r="Q481">
        <v>0</v>
      </c>
      <c r="R481">
        <v>204.45</v>
      </c>
      <c r="S481" t="s">
        <v>74</v>
      </c>
      <c r="T481" t="s">
        <v>776</v>
      </c>
    </row>
    <row r="482" spans="1:20" x14ac:dyDescent="0.3">
      <c r="A482">
        <v>481</v>
      </c>
      <c r="B482">
        <v>279</v>
      </c>
      <c r="C482">
        <v>3</v>
      </c>
      <c r="D482">
        <v>140.99</v>
      </c>
      <c r="E482">
        <v>14.1</v>
      </c>
      <c r="F482">
        <v>0</v>
      </c>
      <c r="G482">
        <v>0.1</v>
      </c>
      <c r="H482" t="s">
        <v>622</v>
      </c>
      <c r="J482" t="s">
        <v>623</v>
      </c>
      <c r="K482" s="1"/>
      <c r="L482" s="1">
        <v>45999.618981481479</v>
      </c>
      <c r="M482" s="2">
        <v>45999</v>
      </c>
      <c r="N482" t="s">
        <v>633</v>
      </c>
      <c r="O482" t="s">
        <v>625</v>
      </c>
      <c r="P482">
        <v>1</v>
      </c>
      <c r="Q482">
        <v>0</v>
      </c>
      <c r="R482">
        <v>140.99</v>
      </c>
      <c r="S482" t="s">
        <v>553</v>
      </c>
      <c r="T482" t="s">
        <v>777</v>
      </c>
    </row>
    <row r="483" spans="1:20" x14ac:dyDescent="0.3">
      <c r="A483">
        <v>482</v>
      </c>
      <c r="B483">
        <v>201</v>
      </c>
      <c r="C483">
        <v>2</v>
      </c>
      <c r="D483">
        <v>52.73</v>
      </c>
      <c r="E483">
        <v>5.27</v>
      </c>
      <c r="F483">
        <v>0</v>
      </c>
      <c r="G483">
        <v>0.1</v>
      </c>
      <c r="H483" t="s">
        <v>622</v>
      </c>
      <c r="J483" t="s">
        <v>623</v>
      </c>
      <c r="K483" s="1"/>
      <c r="L483" s="1">
        <v>45999.642685185187</v>
      </c>
      <c r="M483" s="2">
        <v>45999</v>
      </c>
      <c r="N483" t="s">
        <v>633</v>
      </c>
      <c r="O483" t="s">
        <v>625</v>
      </c>
      <c r="P483">
        <v>1</v>
      </c>
      <c r="Q483">
        <v>0</v>
      </c>
      <c r="R483">
        <v>52.73</v>
      </c>
      <c r="S483" t="s">
        <v>397</v>
      </c>
      <c r="T483" t="s">
        <v>776</v>
      </c>
    </row>
    <row r="484" spans="1:20" x14ac:dyDescent="0.3">
      <c r="A484">
        <v>483</v>
      </c>
      <c r="B484">
        <v>16</v>
      </c>
      <c r="C484">
        <v>4</v>
      </c>
      <c r="D484">
        <v>214.27</v>
      </c>
      <c r="E484">
        <v>21.43</v>
      </c>
      <c r="F484">
        <v>0</v>
      </c>
      <c r="G484">
        <v>0.1</v>
      </c>
      <c r="H484" t="s">
        <v>622</v>
      </c>
      <c r="J484" t="s">
        <v>623</v>
      </c>
      <c r="K484" s="1"/>
      <c r="L484" s="1">
        <v>45999.658356481479</v>
      </c>
      <c r="M484" s="2">
        <v>45999</v>
      </c>
      <c r="N484" t="s">
        <v>633</v>
      </c>
      <c r="O484" t="s">
        <v>625</v>
      </c>
      <c r="P484">
        <v>1</v>
      </c>
      <c r="Q484">
        <v>0</v>
      </c>
      <c r="R484">
        <v>214.27</v>
      </c>
      <c r="S484" t="s">
        <v>28</v>
      </c>
      <c r="T484" t="s">
        <v>778</v>
      </c>
    </row>
    <row r="485" spans="1:20" x14ac:dyDescent="0.3">
      <c r="A485">
        <v>484</v>
      </c>
      <c r="B485">
        <v>268</v>
      </c>
      <c r="C485">
        <v>5</v>
      </c>
      <c r="D485">
        <v>11.89</v>
      </c>
      <c r="E485">
        <v>1.19</v>
      </c>
      <c r="F485">
        <v>0</v>
      </c>
      <c r="G485">
        <v>0.1</v>
      </c>
      <c r="H485" t="s">
        <v>622</v>
      </c>
      <c r="J485" t="s">
        <v>623</v>
      </c>
      <c r="K485" s="1"/>
      <c r="L485" s="1">
        <v>45999.683634259258</v>
      </c>
      <c r="M485" s="2">
        <v>45999</v>
      </c>
      <c r="N485" t="s">
        <v>633</v>
      </c>
      <c r="O485" t="s">
        <v>625</v>
      </c>
      <c r="P485">
        <v>1</v>
      </c>
      <c r="Q485">
        <v>0</v>
      </c>
      <c r="R485">
        <v>11.89</v>
      </c>
      <c r="S485" t="s">
        <v>531</v>
      </c>
      <c r="T485" t="s">
        <v>779</v>
      </c>
    </row>
    <row r="486" spans="1:20" x14ac:dyDescent="0.3">
      <c r="A486">
        <v>485</v>
      </c>
      <c r="B486">
        <v>201</v>
      </c>
      <c r="C486">
        <v>2</v>
      </c>
      <c r="D486">
        <v>22.48</v>
      </c>
      <c r="E486">
        <v>2.25</v>
      </c>
      <c r="F486">
        <v>0</v>
      </c>
      <c r="G486">
        <v>0.1</v>
      </c>
      <c r="H486" t="s">
        <v>622</v>
      </c>
      <c r="J486" t="s">
        <v>623</v>
      </c>
      <c r="K486" s="1"/>
      <c r="L486" s="1">
        <v>45999.710162037038</v>
      </c>
      <c r="M486" s="2">
        <v>45999</v>
      </c>
      <c r="N486" t="s">
        <v>633</v>
      </c>
      <c r="O486" t="s">
        <v>625</v>
      </c>
      <c r="P486">
        <v>1</v>
      </c>
      <c r="Q486">
        <v>0</v>
      </c>
      <c r="R486">
        <v>22.48</v>
      </c>
      <c r="S486" t="s">
        <v>397</v>
      </c>
      <c r="T486" t="s">
        <v>776</v>
      </c>
    </row>
    <row r="487" spans="1:20" x14ac:dyDescent="0.3">
      <c r="A487">
        <v>486</v>
      </c>
      <c r="B487">
        <v>101</v>
      </c>
      <c r="C487">
        <v>2</v>
      </c>
      <c r="D487">
        <v>36.47</v>
      </c>
      <c r="E487">
        <v>3.65</v>
      </c>
      <c r="F487">
        <v>0</v>
      </c>
      <c r="G487">
        <v>0.1</v>
      </c>
      <c r="H487" t="s">
        <v>622</v>
      </c>
      <c r="J487" t="s">
        <v>623</v>
      </c>
      <c r="K487" s="1"/>
      <c r="L487" s="1">
        <v>45999.717013888891</v>
      </c>
      <c r="M487" s="2">
        <v>45999</v>
      </c>
      <c r="N487" t="s">
        <v>633</v>
      </c>
      <c r="O487" t="s">
        <v>625</v>
      </c>
      <c r="P487">
        <v>1</v>
      </c>
      <c r="Q487">
        <v>0</v>
      </c>
      <c r="R487">
        <v>36.47</v>
      </c>
      <c r="S487" t="s">
        <v>197</v>
      </c>
      <c r="T487" t="s">
        <v>776</v>
      </c>
    </row>
    <row r="488" spans="1:20" x14ac:dyDescent="0.3">
      <c r="A488">
        <v>487</v>
      </c>
      <c r="B488">
        <v>202</v>
      </c>
      <c r="C488">
        <v>3</v>
      </c>
      <c r="D488">
        <v>22.22</v>
      </c>
      <c r="E488">
        <v>2.2200000000000002</v>
      </c>
      <c r="F488">
        <v>0</v>
      </c>
      <c r="G488">
        <v>0.1</v>
      </c>
      <c r="H488" t="s">
        <v>622</v>
      </c>
      <c r="J488" t="s">
        <v>623</v>
      </c>
      <c r="K488" s="1"/>
      <c r="L488" s="1">
        <v>45999.770844907405</v>
      </c>
      <c r="M488" s="2">
        <v>45999</v>
      </c>
      <c r="N488" t="s">
        <v>633</v>
      </c>
      <c r="O488" t="s">
        <v>625</v>
      </c>
      <c r="P488">
        <v>1</v>
      </c>
      <c r="Q488">
        <v>0</v>
      </c>
      <c r="R488">
        <v>22.22</v>
      </c>
      <c r="S488" t="s">
        <v>399</v>
      </c>
      <c r="T488" t="s">
        <v>777</v>
      </c>
    </row>
    <row r="489" spans="1:20" x14ac:dyDescent="0.3">
      <c r="A489">
        <v>488</v>
      </c>
      <c r="B489">
        <v>16</v>
      </c>
      <c r="C489">
        <v>5</v>
      </c>
      <c r="D489">
        <v>216.4</v>
      </c>
      <c r="E489">
        <v>21.64</v>
      </c>
      <c r="F489">
        <v>0</v>
      </c>
      <c r="G489">
        <v>0.1</v>
      </c>
      <c r="H489" t="s">
        <v>626</v>
      </c>
      <c r="I489">
        <v>2</v>
      </c>
      <c r="J489" t="s">
        <v>627</v>
      </c>
      <c r="K489" s="1">
        <v>46001.063969907409</v>
      </c>
      <c r="L489" s="1">
        <v>46000.313969907409</v>
      </c>
      <c r="M489" s="2">
        <v>46000</v>
      </c>
      <c r="N489" t="s">
        <v>633</v>
      </c>
      <c r="O489" t="s">
        <v>625</v>
      </c>
      <c r="P489">
        <v>1</v>
      </c>
      <c r="Q489">
        <v>1</v>
      </c>
      <c r="R489">
        <v>0</v>
      </c>
      <c r="S489" t="s">
        <v>28</v>
      </c>
      <c r="T489" t="s">
        <v>779</v>
      </c>
    </row>
    <row r="490" spans="1:20" x14ac:dyDescent="0.3">
      <c r="A490">
        <v>489</v>
      </c>
      <c r="B490">
        <v>215</v>
      </c>
      <c r="C490">
        <v>4</v>
      </c>
      <c r="D490">
        <v>45.02</v>
      </c>
      <c r="E490">
        <v>4.5</v>
      </c>
      <c r="F490">
        <v>0</v>
      </c>
      <c r="G490">
        <v>0.1</v>
      </c>
      <c r="H490" t="s">
        <v>622</v>
      </c>
      <c r="J490" t="s">
        <v>623</v>
      </c>
      <c r="K490" s="1"/>
      <c r="L490" s="1">
        <v>46000.345023148147</v>
      </c>
      <c r="M490" s="2">
        <v>46000</v>
      </c>
      <c r="N490" t="s">
        <v>633</v>
      </c>
      <c r="O490" t="s">
        <v>625</v>
      </c>
      <c r="P490">
        <v>1</v>
      </c>
      <c r="Q490">
        <v>0</v>
      </c>
      <c r="R490">
        <v>45.02</v>
      </c>
      <c r="S490" t="s">
        <v>425</v>
      </c>
      <c r="T490" t="s">
        <v>778</v>
      </c>
    </row>
    <row r="491" spans="1:20" x14ac:dyDescent="0.3">
      <c r="A491">
        <v>490</v>
      </c>
      <c r="B491">
        <v>92</v>
      </c>
      <c r="C491">
        <v>2</v>
      </c>
      <c r="D491">
        <v>29.1</v>
      </c>
      <c r="E491">
        <v>2.91</v>
      </c>
      <c r="F491">
        <v>0</v>
      </c>
      <c r="G491">
        <v>0.1</v>
      </c>
      <c r="H491" t="s">
        <v>622</v>
      </c>
      <c r="J491" t="s">
        <v>623</v>
      </c>
      <c r="K491" s="1"/>
      <c r="L491" s="1">
        <v>46000.357245370367</v>
      </c>
      <c r="M491" s="2">
        <v>46000</v>
      </c>
      <c r="N491" t="s">
        <v>633</v>
      </c>
      <c r="O491" t="s">
        <v>625</v>
      </c>
      <c r="P491">
        <v>1</v>
      </c>
      <c r="Q491">
        <v>0</v>
      </c>
      <c r="R491">
        <v>29.1</v>
      </c>
      <c r="S491" t="s">
        <v>179</v>
      </c>
      <c r="T491" t="s">
        <v>776</v>
      </c>
    </row>
    <row r="492" spans="1:20" x14ac:dyDescent="0.3">
      <c r="A492">
        <v>491</v>
      </c>
      <c r="B492">
        <v>262</v>
      </c>
      <c r="C492">
        <v>3</v>
      </c>
      <c r="D492">
        <v>62.39</v>
      </c>
      <c r="E492">
        <v>6.24</v>
      </c>
      <c r="F492">
        <v>0</v>
      </c>
      <c r="G492">
        <v>0.1</v>
      </c>
      <c r="H492" t="s">
        <v>622</v>
      </c>
      <c r="J492" t="s">
        <v>623</v>
      </c>
      <c r="K492" s="1"/>
      <c r="L492" s="1">
        <v>46000.360659722224</v>
      </c>
      <c r="M492" s="2">
        <v>46000</v>
      </c>
      <c r="N492" t="s">
        <v>633</v>
      </c>
      <c r="O492" t="s">
        <v>625</v>
      </c>
      <c r="P492">
        <v>1</v>
      </c>
      <c r="Q492">
        <v>0</v>
      </c>
      <c r="R492">
        <v>62.39</v>
      </c>
      <c r="S492" t="s">
        <v>519</v>
      </c>
      <c r="T492" t="s">
        <v>777</v>
      </c>
    </row>
    <row r="493" spans="1:20" x14ac:dyDescent="0.3">
      <c r="A493">
        <v>492</v>
      </c>
      <c r="B493">
        <v>106</v>
      </c>
      <c r="C493">
        <v>2</v>
      </c>
      <c r="D493">
        <v>98.72</v>
      </c>
      <c r="E493">
        <v>9.8699999999999992</v>
      </c>
      <c r="F493">
        <v>0</v>
      </c>
      <c r="G493">
        <v>0.1</v>
      </c>
      <c r="H493" t="s">
        <v>622</v>
      </c>
      <c r="J493" t="s">
        <v>623</v>
      </c>
      <c r="K493" s="1"/>
      <c r="L493" s="1">
        <v>46000.360821759263</v>
      </c>
      <c r="M493" s="2">
        <v>46000</v>
      </c>
      <c r="N493" t="s">
        <v>633</v>
      </c>
      <c r="O493" t="s">
        <v>625</v>
      </c>
      <c r="P493">
        <v>1</v>
      </c>
      <c r="Q493">
        <v>0</v>
      </c>
      <c r="R493">
        <v>98.72</v>
      </c>
      <c r="S493" t="s">
        <v>207</v>
      </c>
      <c r="T493" t="s">
        <v>776</v>
      </c>
    </row>
    <row r="494" spans="1:20" x14ac:dyDescent="0.3">
      <c r="A494">
        <v>493</v>
      </c>
      <c r="B494">
        <v>40</v>
      </c>
      <c r="C494">
        <v>3</v>
      </c>
      <c r="D494">
        <v>132.05000000000001</v>
      </c>
      <c r="E494">
        <v>13.21</v>
      </c>
      <c r="F494">
        <v>0</v>
      </c>
      <c r="G494">
        <v>0.1</v>
      </c>
      <c r="H494" t="s">
        <v>622</v>
      </c>
      <c r="J494" t="s">
        <v>623</v>
      </c>
      <c r="K494" s="1"/>
      <c r="L494" s="1">
        <v>46000.414317129631</v>
      </c>
      <c r="M494" s="2">
        <v>46000</v>
      </c>
      <c r="N494" t="s">
        <v>633</v>
      </c>
      <c r="O494" t="s">
        <v>625</v>
      </c>
      <c r="P494">
        <v>1</v>
      </c>
      <c r="Q494">
        <v>0</v>
      </c>
      <c r="R494">
        <v>132.05000000000001</v>
      </c>
      <c r="S494" t="s">
        <v>76</v>
      </c>
      <c r="T494" t="s">
        <v>777</v>
      </c>
    </row>
    <row r="495" spans="1:20" x14ac:dyDescent="0.3">
      <c r="A495">
        <v>494</v>
      </c>
      <c r="B495">
        <v>202</v>
      </c>
      <c r="C495">
        <v>3</v>
      </c>
      <c r="D495">
        <v>40.74</v>
      </c>
      <c r="E495">
        <v>4.07</v>
      </c>
      <c r="F495">
        <v>0</v>
      </c>
      <c r="G495">
        <v>0.1</v>
      </c>
      <c r="H495" t="s">
        <v>622</v>
      </c>
      <c r="J495" t="s">
        <v>623</v>
      </c>
      <c r="K495" s="1"/>
      <c r="L495" s="1">
        <v>46000.426851851851</v>
      </c>
      <c r="M495" s="2">
        <v>46000</v>
      </c>
      <c r="N495" t="s">
        <v>633</v>
      </c>
      <c r="O495" t="s">
        <v>625</v>
      </c>
      <c r="P495">
        <v>1</v>
      </c>
      <c r="Q495">
        <v>0</v>
      </c>
      <c r="R495">
        <v>40.74</v>
      </c>
      <c r="S495" t="s">
        <v>399</v>
      </c>
      <c r="T495" t="s">
        <v>777</v>
      </c>
    </row>
    <row r="496" spans="1:20" x14ac:dyDescent="0.3">
      <c r="A496">
        <v>495</v>
      </c>
      <c r="B496">
        <v>262</v>
      </c>
      <c r="C496">
        <v>4</v>
      </c>
      <c r="D496">
        <v>121.23</v>
      </c>
      <c r="E496">
        <v>12.12</v>
      </c>
      <c r="F496">
        <v>0</v>
      </c>
      <c r="G496">
        <v>0.1</v>
      </c>
      <c r="H496" t="s">
        <v>622</v>
      </c>
      <c r="J496" t="s">
        <v>623</v>
      </c>
      <c r="K496" s="1"/>
      <c r="L496" s="1">
        <v>46000.513958333337</v>
      </c>
      <c r="M496" s="2">
        <v>46000</v>
      </c>
      <c r="N496" t="s">
        <v>633</v>
      </c>
      <c r="O496" t="s">
        <v>625</v>
      </c>
      <c r="P496">
        <v>1</v>
      </c>
      <c r="Q496">
        <v>0</v>
      </c>
      <c r="R496">
        <v>121.23</v>
      </c>
      <c r="S496" t="s">
        <v>519</v>
      </c>
      <c r="T496" t="s">
        <v>778</v>
      </c>
    </row>
    <row r="497" spans="1:20" x14ac:dyDescent="0.3">
      <c r="A497">
        <v>496</v>
      </c>
      <c r="B497">
        <v>39</v>
      </c>
      <c r="C497">
        <v>2</v>
      </c>
      <c r="D497">
        <v>193.92</v>
      </c>
      <c r="E497">
        <v>19.39</v>
      </c>
      <c r="F497">
        <v>0</v>
      </c>
      <c r="G497">
        <v>0.1</v>
      </c>
      <c r="H497" t="s">
        <v>622</v>
      </c>
      <c r="J497" t="s">
        <v>623</v>
      </c>
      <c r="K497" s="1"/>
      <c r="L497" s="1">
        <v>46000.580381944441</v>
      </c>
      <c r="M497" s="2">
        <v>46000</v>
      </c>
      <c r="N497" t="s">
        <v>633</v>
      </c>
      <c r="O497" t="s">
        <v>625</v>
      </c>
      <c r="P497">
        <v>1</v>
      </c>
      <c r="Q497">
        <v>0</v>
      </c>
      <c r="R497">
        <v>193.92</v>
      </c>
      <c r="S497" t="s">
        <v>74</v>
      </c>
      <c r="T497" t="s">
        <v>776</v>
      </c>
    </row>
    <row r="498" spans="1:20" x14ac:dyDescent="0.3">
      <c r="A498">
        <v>497</v>
      </c>
      <c r="B498">
        <v>117</v>
      </c>
      <c r="C498">
        <v>3</v>
      </c>
      <c r="D498">
        <v>61.47</v>
      </c>
      <c r="E498">
        <v>6.15</v>
      </c>
      <c r="F498">
        <v>0</v>
      </c>
      <c r="G498">
        <v>0.1</v>
      </c>
      <c r="H498" t="s">
        <v>622</v>
      </c>
      <c r="J498" t="s">
        <v>623</v>
      </c>
      <c r="K498" s="1"/>
      <c r="L498" s="1">
        <v>46000.658321759256</v>
      </c>
      <c r="M498" s="2">
        <v>46000</v>
      </c>
      <c r="N498" t="s">
        <v>633</v>
      </c>
      <c r="O498" t="s">
        <v>625</v>
      </c>
      <c r="P498">
        <v>1</v>
      </c>
      <c r="Q498">
        <v>0</v>
      </c>
      <c r="R498">
        <v>61.47</v>
      </c>
      <c r="S498" t="s">
        <v>229</v>
      </c>
      <c r="T498" t="s">
        <v>777</v>
      </c>
    </row>
    <row r="499" spans="1:20" x14ac:dyDescent="0.3">
      <c r="A499">
        <v>498</v>
      </c>
      <c r="B499">
        <v>117</v>
      </c>
      <c r="C499">
        <v>3</v>
      </c>
      <c r="D499">
        <v>41.21</v>
      </c>
      <c r="E499">
        <v>4.12</v>
      </c>
      <c r="F499">
        <v>0</v>
      </c>
      <c r="G499">
        <v>0.1</v>
      </c>
      <c r="H499" t="s">
        <v>622</v>
      </c>
      <c r="J499" t="s">
        <v>623</v>
      </c>
      <c r="K499" s="1"/>
      <c r="L499" s="1">
        <v>46000.699594907404</v>
      </c>
      <c r="M499" s="2">
        <v>46000</v>
      </c>
      <c r="N499" t="s">
        <v>633</v>
      </c>
      <c r="O499" t="s">
        <v>625</v>
      </c>
      <c r="P499">
        <v>1</v>
      </c>
      <c r="Q499">
        <v>0</v>
      </c>
      <c r="R499">
        <v>41.21</v>
      </c>
      <c r="S499" t="s">
        <v>229</v>
      </c>
      <c r="T499" t="s">
        <v>777</v>
      </c>
    </row>
    <row r="500" spans="1:20" x14ac:dyDescent="0.3">
      <c r="A500">
        <v>499</v>
      </c>
      <c r="B500">
        <v>141</v>
      </c>
      <c r="C500">
        <v>3</v>
      </c>
      <c r="D500">
        <v>177.83</v>
      </c>
      <c r="E500">
        <v>17.78</v>
      </c>
      <c r="F500">
        <v>0</v>
      </c>
      <c r="G500">
        <v>0.1</v>
      </c>
      <c r="H500" t="s">
        <v>622</v>
      </c>
      <c r="J500" t="s">
        <v>623</v>
      </c>
      <c r="K500" s="1"/>
      <c r="L500" s="1">
        <v>46000.732152777775</v>
      </c>
      <c r="M500" s="2">
        <v>46000</v>
      </c>
      <c r="N500" t="s">
        <v>633</v>
      </c>
      <c r="O500" t="s">
        <v>625</v>
      </c>
      <c r="P500">
        <v>1</v>
      </c>
      <c r="Q500">
        <v>0</v>
      </c>
      <c r="R500">
        <v>177.83</v>
      </c>
      <c r="S500" t="s">
        <v>277</v>
      </c>
      <c r="T500" t="s">
        <v>777</v>
      </c>
    </row>
    <row r="501" spans="1:20" x14ac:dyDescent="0.3">
      <c r="A501">
        <v>500</v>
      </c>
      <c r="B501">
        <v>57</v>
      </c>
      <c r="C501">
        <v>5</v>
      </c>
      <c r="D501">
        <v>193.24</v>
      </c>
      <c r="E501">
        <v>19.32</v>
      </c>
      <c r="F501">
        <v>0</v>
      </c>
      <c r="G501">
        <v>0.1</v>
      </c>
      <c r="H501" t="s">
        <v>622</v>
      </c>
      <c r="J501" t="s">
        <v>623</v>
      </c>
      <c r="K501" s="1"/>
      <c r="L501" s="1">
        <v>46000.752557870372</v>
      </c>
      <c r="M501" s="2">
        <v>46000</v>
      </c>
      <c r="N501" t="s">
        <v>633</v>
      </c>
      <c r="O501" t="s">
        <v>625</v>
      </c>
      <c r="P501">
        <v>1</v>
      </c>
      <c r="Q501">
        <v>0</v>
      </c>
      <c r="R501">
        <v>193.24</v>
      </c>
      <c r="S501" t="s">
        <v>110</v>
      </c>
      <c r="T501" t="s">
        <v>779</v>
      </c>
    </row>
    <row r="502" spans="1:20" x14ac:dyDescent="0.3">
      <c r="A502">
        <v>501</v>
      </c>
      <c r="B502">
        <v>144</v>
      </c>
      <c r="C502">
        <v>4</v>
      </c>
      <c r="D502">
        <v>70.540000000000006</v>
      </c>
      <c r="E502">
        <v>7.05</v>
      </c>
      <c r="F502">
        <v>0</v>
      </c>
      <c r="G502">
        <v>0.1</v>
      </c>
      <c r="H502" t="s">
        <v>622</v>
      </c>
      <c r="J502" t="s">
        <v>623</v>
      </c>
      <c r="K502" s="1"/>
      <c r="L502" s="1">
        <v>46001.355833333335</v>
      </c>
      <c r="M502" s="2">
        <v>46001</v>
      </c>
      <c r="N502" t="s">
        <v>633</v>
      </c>
      <c r="O502" t="s">
        <v>625</v>
      </c>
      <c r="P502">
        <v>1</v>
      </c>
      <c r="Q502">
        <v>0</v>
      </c>
      <c r="R502">
        <v>70.540000000000006</v>
      </c>
      <c r="S502" t="s">
        <v>283</v>
      </c>
      <c r="T502" t="s">
        <v>778</v>
      </c>
    </row>
    <row r="503" spans="1:20" x14ac:dyDescent="0.3">
      <c r="A503">
        <v>502</v>
      </c>
      <c r="B503">
        <v>55</v>
      </c>
      <c r="C503">
        <v>2</v>
      </c>
      <c r="D503">
        <v>29.4</v>
      </c>
      <c r="E503">
        <v>2.94</v>
      </c>
      <c r="F503">
        <v>0</v>
      </c>
      <c r="G503">
        <v>0.1</v>
      </c>
      <c r="H503" t="s">
        <v>622</v>
      </c>
      <c r="J503" t="s">
        <v>623</v>
      </c>
      <c r="K503" s="1"/>
      <c r="L503" s="1">
        <v>46001.372974537036</v>
      </c>
      <c r="M503" s="2">
        <v>46001</v>
      </c>
      <c r="N503" t="s">
        <v>633</v>
      </c>
      <c r="O503" t="s">
        <v>625</v>
      </c>
      <c r="P503">
        <v>1</v>
      </c>
      <c r="Q503">
        <v>0</v>
      </c>
      <c r="R503">
        <v>29.4</v>
      </c>
      <c r="S503" t="s">
        <v>106</v>
      </c>
      <c r="T503" t="s">
        <v>776</v>
      </c>
    </row>
    <row r="504" spans="1:20" x14ac:dyDescent="0.3">
      <c r="A504">
        <v>503</v>
      </c>
      <c r="B504">
        <v>65</v>
      </c>
      <c r="C504">
        <v>2</v>
      </c>
      <c r="D504">
        <v>30.34</v>
      </c>
      <c r="E504">
        <v>3.03</v>
      </c>
      <c r="F504">
        <v>0</v>
      </c>
      <c r="G504">
        <v>0.1</v>
      </c>
      <c r="H504" t="s">
        <v>622</v>
      </c>
      <c r="J504" t="s">
        <v>623</v>
      </c>
      <c r="K504" s="1"/>
      <c r="L504" s="1">
        <v>46001.374062499999</v>
      </c>
      <c r="M504" s="2">
        <v>46001</v>
      </c>
      <c r="N504" t="s">
        <v>633</v>
      </c>
      <c r="O504" t="s">
        <v>625</v>
      </c>
      <c r="P504">
        <v>1</v>
      </c>
      <c r="Q504">
        <v>0</v>
      </c>
      <c r="R504">
        <v>30.34</v>
      </c>
      <c r="S504" t="s">
        <v>126</v>
      </c>
      <c r="T504" t="s">
        <v>776</v>
      </c>
    </row>
    <row r="505" spans="1:20" x14ac:dyDescent="0.3">
      <c r="A505">
        <v>504</v>
      </c>
      <c r="B505">
        <v>23</v>
      </c>
      <c r="C505">
        <v>3</v>
      </c>
      <c r="D505">
        <v>230.54</v>
      </c>
      <c r="E505">
        <v>23.05</v>
      </c>
      <c r="F505">
        <v>0</v>
      </c>
      <c r="G505">
        <v>0.1</v>
      </c>
      <c r="H505" t="s">
        <v>626</v>
      </c>
      <c r="I505">
        <v>3</v>
      </c>
      <c r="J505" t="s">
        <v>631</v>
      </c>
      <c r="K505" s="1">
        <v>46001.76489583333</v>
      </c>
      <c r="L505" s="1">
        <v>46001.431562500002</v>
      </c>
      <c r="M505" s="2">
        <v>46001</v>
      </c>
      <c r="N505" t="s">
        <v>633</v>
      </c>
      <c r="O505" t="s">
        <v>625</v>
      </c>
      <c r="P505">
        <v>1</v>
      </c>
      <c r="Q505">
        <v>1</v>
      </c>
      <c r="R505">
        <v>0</v>
      </c>
      <c r="S505" t="s">
        <v>42</v>
      </c>
      <c r="T505" t="s">
        <v>777</v>
      </c>
    </row>
    <row r="506" spans="1:20" x14ac:dyDescent="0.3">
      <c r="A506">
        <v>505</v>
      </c>
      <c r="B506">
        <v>72</v>
      </c>
      <c r="C506">
        <v>2</v>
      </c>
      <c r="D506">
        <v>17.04</v>
      </c>
      <c r="E506">
        <v>1.7</v>
      </c>
      <c r="F506">
        <v>0</v>
      </c>
      <c r="G506">
        <v>0.1</v>
      </c>
      <c r="H506" t="s">
        <v>622</v>
      </c>
      <c r="J506" t="s">
        <v>623</v>
      </c>
      <c r="K506" s="1"/>
      <c r="L506" s="1">
        <v>46001.575011574074</v>
      </c>
      <c r="M506" s="2">
        <v>46001</v>
      </c>
      <c r="N506" t="s">
        <v>633</v>
      </c>
      <c r="O506" t="s">
        <v>625</v>
      </c>
      <c r="P506">
        <v>1</v>
      </c>
      <c r="Q506">
        <v>0</v>
      </c>
      <c r="R506">
        <v>17.04</v>
      </c>
      <c r="S506" t="s">
        <v>140</v>
      </c>
      <c r="T506" t="s">
        <v>776</v>
      </c>
    </row>
    <row r="507" spans="1:20" x14ac:dyDescent="0.3">
      <c r="A507">
        <v>506</v>
      </c>
      <c r="B507">
        <v>150</v>
      </c>
      <c r="C507">
        <v>3</v>
      </c>
      <c r="D507">
        <v>87.93</v>
      </c>
      <c r="E507">
        <v>8.7899999999999991</v>
      </c>
      <c r="F507">
        <v>0</v>
      </c>
      <c r="G507">
        <v>0.1</v>
      </c>
      <c r="H507" t="s">
        <v>622</v>
      </c>
      <c r="J507" t="s">
        <v>623</v>
      </c>
      <c r="K507" s="1"/>
      <c r="L507" s="1">
        <v>46001.582094907404</v>
      </c>
      <c r="M507" s="2">
        <v>46001</v>
      </c>
      <c r="N507" t="s">
        <v>633</v>
      </c>
      <c r="O507" t="s">
        <v>625</v>
      </c>
      <c r="P507">
        <v>1</v>
      </c>
      <c r="Q507">
        <v>0</v>
      </c>
      <c r="R507">
        <v>87.93</v>
      </c>
      <c r="S507" t="s">
        <v>295</v>
      </c>
      <c r="T507" t="s">
        <v>777</v>
      </c>
    </row>
    <row r="508" spans="1:20" x14ac:dyDescent="0.3">
      <c r="A508">
        <v>507</v>
      </c>
      <c r="B508">
        <v>290</v>
      </c>
      <c r="C508">
        <v>4</v>
      </c>
      <c r="D508">
        <v>30.84</v>
      </c>
      <c r="E508">
        <v>3.08</v>
      </c>
      <c r="F508">
        <v>0</v>
      </c>
      <c r="G508">
        <v>0.1</v>
      </c>
      <c r="H508" t="s">
        <v>622</v>
      </c>
      <c r="J508" t="s">
        <v>623</v>
      </c>
      <c r="K508" s="1"/>
      <c r="L508" s="1">
        <v>46001.584768518522</v>
      </c>
      <c r="M508" s="2">
        <v>46001</v>
      </c>
      <c r="N508" t="s">
        <v>633</v>
      </c>
      <c r="O508" t="s">
        <v>625</v>
      </c>
      <c r="P508">
        <v>1</v>
      </c>
      <c r="Q508">
        <v>0</v>
      </c>
      <c r="R508">
        <v>30.84</v>
      </c>
      <c r="S508" t="s">
        <v>575</v>
      </c>
      <c r="T508" t="s">
        <v>778</v>
      </c>
    </row>
    <row r="509" spans="1:20" x14ac:dyDescent="0.3">
      <c r="A509">
        <v>508</v>
      </c>
      <c r="B509">
        <v>211</v>
      </c>
      <c r="C509">
        <v>5</v>
      </c>
      <c r="D509">
        <v>109.97</v>
      </c>
      <c r="E509">
        <v>11</v>
      </c>
      <c r="F509">
        <v>0</v>
      </c>
      <c r="G509">
        <v>0.1</v>
      </c>
      <c r="H509" t="s">
        <v>622</v>
      </c>
      <c r="J509" t="s">
        <v>623</v>
      </c>
      <c r="K509" s="1"/>
      <c r="L509" s="1">
        <v>46001.603634259256</v>
      </c>
      <c r="M509" s="2">
        <v>46001</v>
      </c>
      <c r="N509" t="s">
        <v>633</v>
      </c>
      <c r="O509" t="s">
        <v>625</v>
      </c>
      <c r="P509">
        <v>1</v>
      </c>
      <c r="Q509">
        <v>0</v>
      </c>
      <c r="R509">
        <v>109.97</v>
      </c>
      <c r="S509" t="s">
        <v>417</v>
      </c>
      <c r="T509" t="s">
        <v>779</v>
      </c>
    </row>
    <row r="510" spans="1:20" x14ac:dyDescent="0.3">
      <c r="A510">
        <v>509</v>
      </c>
      <c r="B510">
        <v>79</v>
      </c>
      <c r="C510">
        <v>3</v>
      </c>
      <c r="D510">
        <v>23.21</v>
      </c>
      <c r="E510">
        <v>2.3199999999999998</v>
      </c>
      <c r="F510">
        <v>0</v>
      </c>
      <c r="G510">
        <v>0.1</v>
      </c>
      <c r="H510" t="s">
        <v>626</v>
      </c>
      <c r="I510">
        <v>4</v>
      </c>
      <c r="J510" t="s">
        <v>628</v>
      </c>
      <c r="K510" s="1">
        <v>46001.904305555552</v>
      </c>
      <c r="L510" s="1">
        <v>46001.612638888888</v>
      </c>
      <c r="M510" s="2">
        <v>46001</v>
      </c>
      <c r="N510" t="s">
        <v>633</v>
      </c>
      <c r="O510" t="s">
        <v>625</v>
      </c>
      <c r="P510">
        <v>1</v>
      </c>
      <c r="Q510">
        <v>1</v>
      </c>
      <c r="R510">
        <v>0</v>
      </c>
      <c r="S510" t="s">
        <v>154</v>
      </c>
      <c r="T510" t="s">
        <v>777</v>
      </c>
    </row>
    <row r="511" spans="1:20" x14ac:dyDescent="0.3">
      <c r="A511">
        <v>510</v>
      </c>
      <c r="B511">
        <v>137</v>
      </c>
      <c r="C511">
        <v>3</v>
      </c>
      <c r="D511">
        <v>49.24</v>
      </c>
      <c r="E511">
        <v>4.92</v>
      </c>
      <c r="F511">
        <v>0</v>
      </c>
      <c r="G511">
        <v>0.1</v>
      </c>
      <c r="H511" t="s">
        <v>622</v>
      </c>
      <c r="J511" t="s">
        <v>623</v>
      </c>
      <c r="K511" s="1"/>
      <c r="L511" s="1">
        <v>46001.629120370373</v>
      </c>
      <c r="M511" s="2">
        <v>46001</v>
      </c>
      <c r="N511" t="s">
        <v>633</v>
      </c>
      <c r="O511" t="s">
        <v>625</v>
      </c>
      <c r="P511">
        <v>1</v>
      </c>
      <c r="Q511">
        <v>0</v>
      </c>
      <c r="R511">
        <v>49.24</v>
      </c>
      <c r="S511" t="s">
        <v>269</v>
      </c>
      <c r="T511" t="s">
        <v>777</v>
      </c>
    </row>
    <row r="512" spans="1:20" x14ac:dyDescent="0.3">
      <c r="A512">
        <v>511</v>
      </c>
      <c r="B512">
        <v>136</v>
      </c>
      <c r="C512">
        <v>3</v>
      </c>
      <c r="D512">
        <v>81.06</v>
      </c>
      <c r="E512">
        <v>8.11</v>
      </c>
      <c r="F512">
        <v>0</v>
      </c>
      <c r="G512">
        <v>0.1</v>
      </c>
      <c r="H512" t="s">
        <v>622</v>
      </c>
      <c r="J512" t="s">
        <v>623</v>
      </c>
      <c r="K512" s="1"/>
      <c r="L512" s="1">
        <v>46001.650902777779</v>
      </c>
      <c r="M512" s="2">
        <v>46001</v>
      </c>
      <c r="N512" t="s">
        <v>633</v>
      </c>
      <c r="O512" t="s">
        <v>625</v>
      </c>
      <c r="P512">
        <v>1</v>
      </c>
      <c r="Q512">
        <v>0</v>
      </c>
      <c r="R512">
        <v>81.06</v>
      </c>
      <c r="S512" t="s">
        <v>267</v>
      </c>
      <c r="T512" t="s">
        <v>777</v>
      </c>
    </row>
    <row r="513" spans="1:20" x14ac:dyDescent="0.3">
      <c r="A513">
        <v>512</v>
      </c>
      <c r="B513">
        <v>61</v>
      </c>
      <c r="C513">
        <v>4</v>
      </c>
      <c r="D513">
        <v>50.57</v>
      </c>
      <c r="E513">
        <v>5.0599999999999996</v>
      </c>
      <c r="F513">
        <v>0</v>
      </c>
      <c r="G513">
        <v>0.1</v>
      </c>
      <c r="H513" t="s">
        <v>622</v>
      </c>
      <c r="J513" t="s">
        <v>623</v>
      </c>
      <c r="K513" s="1"/>
      <c r="L513" s="1">
        <v>46001.683946759258</v>
      </c>
      <c r="M513" s="2">
        <v>46001</v>
      </c>
      <c r="N513" t="s">
        <v>633</v>
      </c>
      <c r="O513" t="s">
        <v>625</v>
      </c>
      <c r="P513">
        <v>1</v>
      </c>
      <c r="Q513">
        <v>0</v>
      </c>
      <c r="R513">
        <v>50.57</v>
      </c>
      <c r="S513" t="s">
        <v>118</v>
      </c>
      <c r="T513" t="s">
        <v>778</v>
      </c>
    </row>
    <row r="514" spans="1:20" x14ac:dyDescent="0.3">
      <c r="A514">
        <v>513</v>
      </c>
      <c r="B514">
        <v>104</v>
      </c>
      <c r="C514">
        <v>5</v>
      </c>
      <c r="D514">
        <v>240.49</v>
      </c>
      <c r="E514">
        <v>24.05</v>
      </c>
      <c r="F514">
        <v>0</v>
      </c>
      <c r="G514">
        <v>0.1</v>
      </c>
      <c r="H514" t="s">
        <v>622</v>
      </c>
      <c r="J514" t="s">
        <v>623</v>
      </c>
      <c r="K514" s="1"/>
      <c r="L514" s="1">
        <v>46001.690416666665</v>
      </c>
      <c r="M514" s="2">
        <v>46001</v>
      </c>
      <c r="N514" t="s">
        <v>633</v>
      </c>
      <c r="O514" t="s">
        <v>625</v>
      </c>
      <c r="P514">
        <v>1</v>
      </c>
      <c r="Q514">
        <v>0</v>
      </c>
      <c r="R514">
        <v>240.49</v>
      </c>
      <c r="S514" t="s">
        <v>203</v>
      </c>
      <c r="T514" t="s">
        <v>779</v>
      </c>
    </row>
    <row r="515" spans="1:20" x14ac:dyDescent="0.3">
      <c r="A515">
        <v>514</v>
      </c>
      <c r="B515">
        <v>150</v>
      </c>
      <c r="C515">
        <v>2</v>
      </c>
      <c r="D515">
        <v>54.83</v>
      </c>
      <c r="E515">
        <v>5.48</v>
      </c>
      <c r="F515">
        <v>0</v>
      </c>
      <c r="G515">
        <v>0.1</v>
      </c>
      <c r="H515" t="s">
        <v>622</v>
      </c>
      <c r="J515" t="s">
        <v>623</v>
      </c>
      <c r="K515" s="1"/>
      <c r="L515" s="1">
        <v>46001.741585648146</v>
      </c>
      <c r="M515" s="2">
        <v>46001</v>
      </c>
      <c r="N515" t="s">
        <v>633</v>
      </c>
      <c r="O515" t="s">
        <v>625</v>
      </c>
      <c r="P515">
        <v>1</v>
      </c>
      <c r="Q515">
        <v>0</v>
      </c>
      <c r="R515">
        <v>54.83</v>
      </c>
      <c r="S515" t="s">
        <v>295</v>
      </c>
      <c r="T515" t="s">
        <v>776</v>
      </c>
    </row>
    <row r="516" spans="1:20" x14ac:dyDescent="0.3">
      <c r="A516">
        <v>515</v>
      </c>
      <c r="B516">
        <v>20</v>
      </c>
      <c r="C516">
        <v>3</v>
      </c>
      <c r="D516">
        <v>20.75</v>
      </c>
      <c r="E516">
        <v>2.08</v>
      </c>
      <c r="F516">
        <v>0</v>
      </c>
      <c r="G516">
        <v>0.1</v>
      </c>
      <c r="H516" t="s">
        <v>622</v>
      </c>
      <c r="J516" t="s">
        <v>623</v>
      </c>
      <c r="K516" s="1"/>
      <c r="L516" s="1">
        <v>46001.792256944442</v>
      </c>
      <c r="M516" s="2">
        <v>46001</v>
      </c>
      <c r="N516" t="s">
        <v>633</v>
      </c>
      <c r="O516" t="s">
        <v>625</v>
      </c>
      <c r="P516">
        <v>1</v>
      </c>
      <c r="Q516">
        <v>0</v>
      </c>
      <c r="R516">
        <v>20.75</v>
      </c>
      <c r="S516" t="s">
        <v>36</v>
      </c>
      <c r="T516" t="s">
        <v>777</v>
      </c>
    </row>
    <row r="517" spans="1:20" x14ac:dyDescent="0.3">
      <c r="A517">
        <v>516</v>
      </c>
      <c r="B517">
        <v>207</v>
      </c>
      <c r="C517">
        <v>4</v>
      </c>
      <c r="D517">
        <v>16.850000000000001</v>
      </c>
      <c r="E517">
        <v>1.69</v>
      </c>
      <c r="F517">
        <v>0</v>
      </c>
      <c r="G517">
        <v>0.1</v>
      </c>
      <c r="H517" t="s">
        <v>622</v>
      </c>
      <c r="J517" t="s">
        <v>623</v>
      </c>
      <c r="K517" s="1"/>
      <c r="L517" s="1">
        <v>46001.802372685182</v>
      </c>
      <c r="M517" s="2">
        <v>46001</v>
      </c>
      <c r="N517" t="s">
        <v>633</v>
      </c>
      <c r="O517" t="s">
        <v>625</v>
      </c>
      <c r="P517">
        <v>1</v>
      </c>
      <c r="Q517">
        <v>0</v>
      </c>
      <c r="R517">
        <v>16.850000000000001</v>
      </c>
      <c r="S517" t="s">
        <v>409</v>
      </c>
      <c r="T517" t="s">
        <v>778</v>
      </c>
    </row>
    <row r="518" spans="1:20" x14ac:dyDescent="0.3">
      <c r="A518">
        <v>517</v>
      </c>
      <c r="B518">
        <v>59</v>
      </c>
      <c r="C518">
        <v>5</v>
      </c>
      <c r="D518">
        <v>29.26</v>
      </c>
      <c r="E518">
        <v>2.93</v>
      </c>
      <c r="F518">
        <v>0</v>
      </c>
      <c r="G518">
        <v>0.1</v>
      </c>
      <c r="H518" t="s">
        <v>622</v>
      </c>
      <c r="J518" t="s">
        <v>623</v>
      </c>
      <c r="K518" s="1"/>
      <c r="L518" s="1">
        <v>46002.343032407407</v>
      </c>
      <c r="M518" s="2">
        <v>46002</v>
      </c>
      <c r="N518" t="s">
        <v>633</v>
      </c>
      <c r="O518" t="s">
        <v>625</v>
      </c>
      <c r="P518">
        <v>1</v>
      </c>
      <c r="Q518">
        <v>0</v>
      </c>
      <c r="R518">
        <v>29.26</v>
      </c>
      <c r="S518" t="s">
        <v>114</v>
      </c>
      <c r="T518" t="s">
        <v>779</v>
      </c>
    </row>
    <row r="519" spans="1:20" x14ac:dyDescent="0.3">
      <c r="A519">
        <v>518</v>
      </c>
      <c r="B519">
        <v>137</v>
      </c>
      <c r="C519">
        <v>5</v>
      </c>
      <c r="D519">
        <v>20.09</v>
      </c>
      <c r="E519">
        <v>2.0099999999999998</v>
      </c>
      <c r="F519">
        <v>0</v>
      </c>
      <c r="G519">
        <v>0.1</v>
      </c>
      <c r="H519" t="s">
        <v>622</v>
      </c>
      <c r="J519" t="s">
        <v>623</v>
      </c>
      <c r="K519" s="1"/>
      <c r="L519" s="1">
        <v>46002.366689814815</v>
      </c>
      <c r="M519" s="2">
        <v>46002</v>
      </c>
      <c r="N519" t="s">
        <v>633</v>
      </c>
      <c r="O519" t="s">
        <v>625</v>
      </c>
      <c r="P519">
        <v>1</v>
      </c>
      <c r="Q519">
        <v>0</v>
      </c>
      <c r="R519">
        <v>20.09</v>
      </c>
      <c r="S519" t="s">
        <v>269</v>
      </c>
      <c r="T519" t="s">
        <v>779</v>
      </c>
    </row>
    <row r="520" spans="1:20" x14ac:dyDescent="0.3">
      <c r="A520">
        <v>519</v>
      </c>
      <c r="B520">
        <v>22</v>
      </c>
      <c r="C520">
        <v>2</v>
      </c>
      <c r="D520">
        <v>76.84</v>
      </c>
      <c r="E520">
        <v>7.68</v>
      </c>
      <c r="F520">
        <v>0</v>
      </c>
      <c r="G520">
        <v>0.1</v>
      </c>
      <c r="H520" t="s">
        <v>622</v>
      </c>
      <c r="J520" t="s">
        <v>623</v>
      </c>
      <c r="K520" s="1"/>
      <c r="L520" s="1">
        <v>46002.384918981479</v>
      </c>
      <c r="M520" s="2">
        <v>46002</v>
      </c>
      <c r="N520" t="s">
        <v>633</v>
      </c>
      <c r="O520" t="s">
        <v>625</v>
      </c>
      <c r="P520">
        <v>1</v>
      </c>
      <c r="Q520">
        <v>0</v>
      </c>
      <c r="R520">
        <v>76.84</v>
      </c>
      <c r="S520" t="s">
        <v>40</v>
      </c>
      <c r="T520" t="s">
        <v>776</v>
      </c>
    </row>
    <row r="521" spans="1:20" x14ac:dyDescent="0.3">
      <c r="A521">
        <v>520</v>
      </c>
      <c r="B521">
        <v>61</v>
      </c>
      <c r="C521">
        <v>4</v>
      </c>
      <c r="D521">
        <v>76.680000000000007</v>
      </c>
      <c r="E521">
        <v>7.67</v>
      </c>
      <c r="F521">
        <v>0</v>
      </c>
      <c r="G521">
        <v>0.1</v>
      </c>
      <c r="H521" t="s">
        <v>622</v>
      </c>
      <c r="J521" t="s">
        <v>623</v>
      </c>
      <c r="K521" s="1"/>
      <c r="L521" s="1">
        <v>46002.389317129629</v>
      </c>
      <c r="M521" s="2">
        <v>46002</v>
      </c>
      <c r="N521" t="s">
        <v>633</v>
      </c>
      <c r="O521" t="s">
        <v>625</v>
      </c>
      <c r="P521">
        <v>1</v>
      </c>
      <c r="Q521">
        <v>0</v>
      </c>
      <c r="R521">
        <v>76.680000000000007</v>
      </c>
      <c r="S521" t="s">
        <v>118</v>
      </c>
      <c r="T521" t="s">
        <v>778</v>
      </c>
    </row>
    <row r="522" spans="1:20" x14ac:dyDescent="0.3">
      <c r="A522">
        <v>521</v>
      </c>
      <c r="B522">
        <v>280</v>
      </c>
      <c r="C522">
        <v>5</v>
      </c>
      <c r="D522">
        <v>32.19</v>
      </c>
      <c r="E522">
        <v>3.22</v>
      </c>
      <c r="F522">
        <v>0</v>
      </c>
      <c r="G522">
        <v>0.1</v>
      </c>
      <c r="H522" t="s">
        <v>622</v>
      </c>
      <c r="J522" t="s">
        <v>623</v>
      </c>
      <c r="K522" s="1"/>
      <c r="L522" s="1">
        <v>46002.393611111111</v>
      </c>
      <c r="M522" s="2">
        <v>46002</v>
      </c>
      <c r="N522" t="s">
        <v>633</v>
      </c>
      <c r="O522" t="s">
        <v>625</v>
      </c>
      <c r="P522">
        <v>1</v>
      </c>
      <c r="Q522">
        <v>0</v>
      </c>
      <c r="R522">
        <v>32.19</v>
      </c>
      <c r="S522" t="s">
        <v>555</v>
      </c>
      <c r="T522" t="s">
        <v>779</v>
      </c>
    </row>
    <row r="523" spans="1:20" x14ac:dyDescent="0.3">
      <c r="A523">
        <v>522</v>
      </c>
      <c r="B523">
        <v>28</v>
      </c>
      <c r="C523">
        <v>4</v>
      </c>
      <c r="D523">
        <v>29.92</v>
      </c>
      <c r="E523">
        <v>2.99</v>
      </c>
      <c r="F523">
        <v>0</v>
      </c>
      <c r="G523">
        <v>0.1</v>
      </c>
      <c r="H523" t="s">
        <v>622</v>
      </c>
      <c r="J523" t="s">
        <v>623</v>
      </c>
      <c r="K523" s="1"/>
      <c r="L523" s="1">
        <v>46002.400717592594</v>
      </c>
      <c r="M523" s="2">
        <v>46002</v>
      </c>
      <c r="N523" t="s">
        <v>633</v>
      </c>
      <c r="O523" t="s">
        <v>625</v>
      </c>
      <c r="P523">
        <v>1</v>
      </c>
      <c r="Q523">
        <v>0</v>
      </c>
      <c r="R523">
        <v>29.92</v>
      </c>
      <c r="S523" t="s">
        <v>52</v>
      </c>
      <c r="T523" t="s">
        <v>778</v>
      </c>
    </row>
    <row r="524" spans="1:20" x14ac:dyDescent="0.3">
      <c r="A524">
        <v>523</v>
      </c>
      <c r="B524">
        <v>54</v>
      </c>
      <c r="C524">
        <v>2</v>
      </c>
      <c r="D524">
        <v>55.64</v>
      </c>
      <c r="E524">
        <v>5.56</v>
      </c>
      <c r="F524">
        <v>0</v>
      </c>
      <c r="G524">
        <v>0.1</v>
      </c>
      <c r="H524" t="s">
        <v>622</v>
      </c>
      <c r="J524" t="s">
        <v>623</v>
      </c>
      <c r="K524" s="1"/>
      <c r="L524" s="1">
        <v>46002.406828703701</v>
      </c>
      <c r="M524" s="2">
        <v>46002</v>
      </c>
      <c r="N524" t="s">
        <v>633</v>
      </c>
      <c r="O524" t="s">
        <v>625</v>
      </c>
      <c r="P524">
        <v>1</v>
      </c>
      <c r="Q524">
        <v>0</v>
      </c>
      <c r="R524">
        <v>55.64</v>
      </c>
      <c r="S524" t="s">
        <v>104</v>
      </c>
      <c r="T524" t="s">
        <v>776</v>
      </c>
    </row>
    <row r="525" spans="1:20" x14ac:dyDescent="0.3">
      <c r="A525">
        <v>524</v>
      </c>
      <c r="B525">
        <v>296</v>
      </c>
      <c r="C525">
        <v>5</v>
      </c>
      <c r="D525">
        <v>84.85</v>
      </c>
      <c r="E525">
        <v>8.49</v>
      </c>
      <c r="F525">
        <v>0</v>
      </c>
      <c r="G525">
        <v>0.1</v>
      </c>
      <c r="H525" t="s">
        <v>622</v>
      </c>
      <c r="J525" t="s">
        <v>623</v>
      </c>
      <c r="K525" s="1"/>
      <c r="L525" s="1">
        <v>46002.420856481483</v>
      </c>
      <c r="M525" s="2">
        <v>46002</v>
      </c>
      <c r="N525" t="s">
        <v>633</v>
      </c>
      <c r="O525" t="s">
        <v>625</v>
      </c>
      <c r="P525">
        <v>1</v>
      </c>
      <c r="Q525">
        <v>0</v>
      </c>
      <c r="R525">
        <v>84.85</v>
      </c>
      <c r="S525" t="s">
        <v>587</v>
      </c>
      <c r="T525" t="s">
        <v>779</v>
      </c>
    </row>
    <row r="526" spans="1:20" x14ac:dyDescent="0.3">
      <c r="A526">
        <v>525</v>
      </c>
      <c r="B526">
        <v>21</v>
      </c>
      <c r="C526">
        <v>5</v>
      </c>
      <c r="D526">
        <v>24.45</v>
      </c>
      <c r="E526">
        <v>2.4500000000000002</v>
      </c>
      <c r="F526">
        <v>0</v>
      </c>
      <c r="G526">
        <v>0.1</v>
      </c>
      <c r="H526" t="s">
        <v>622</v>
      </c>
      <c r="J526" t="s">
        <v>623</v>
      </c>
      <c r="K526" s="1"/>
      <c r="L526" s="1">
        <v>46002.444907407407</v>
      </c>
      <c r="M526" s="2">
        <v>46002</v>
      </c>
      <c r="N526" t="s">
        <v>633</v>
      </c>
      <c r="O526" t="s">
        <v>625</v>
      </c>
      <c r="P526">
        <v>1</v>
      </c>
      <c r="Q526">
        <v>0</v>
      </c>
      <c r="R526">
        <v>24.45</v>
      </c>
      <c r="S526" t="s">
        <v>38</v>
      </c>
      <c r="T526" t="s">
        <v>779</v>
      </c>
    </row>
    <row r="527" spans="1:20" x14ac:dyDescent="0.3">
      <c r="A527">
        <v>526</v>
      </c>
      <c r="B527">
        <v>52</v>
      </c>
      <c r="C527">
        <v>2</v>
      </c>
      <c r="D527">
        <v>21.44</v>
      </c>
      <c r="E527">
        <v>2.14</v>
      </c>
      <c r="F527">
        <v>0</v>
      </c>
      <c r="G527">
        <v>0.1</v>
      </c>
      <c r="H527" t="s">
        <v>622</v>
      </c>
      <c r="J527" t="s">
        <v>623</v>
      </c>
      <c r="K527" s="1"/>
      <c r="L527" s="1">
        <v>46002.463101851848</v>
      </c>
      <c r="M527" s="2">
        <v>46002</v>
      </c>
      <c r="N527" t="s">
        <v>633</v>
      </c>
      <c r="O527" t="s">
        <v>625</v>
      </c>
      <c r="P527">
        <v>1</v>
      </c>
      <c r="Q527">
        <v>0</v>
      </c>
      <c r="R527">
        <v>21.44</v>
      </c>
      <c r="S527" t="s">
        <v>100</v>
      </c>
      <c r="T527" t="s">
        <v>776</v>
      </c>
    </row>
    <row r="528" spans="1:20" x14ac:dyDescent="0.3">
      <c r="A528">
        <v>527</v>
      </c>
      <c r="B528">
        <v>141</v>
      </c>
      <c r="C528">
        <v>5</v>
      </c>
      <c r="D528">
        <v>107.33</v>
      </c>
      <c r="E528">
        <v>10.73</v>
      </c>
      <c r="F528">
        <v>0</v>
      </c>
      <c r="G528">
        <v>0.1</v>
      </c>
      <c r="H528" t="s">
        <v>622</v>
      </c>
      <c r="J528" t="s">
        <v>623</v>
      </c>
      <c r="K528" s="1"/>
      <c r="L528" s="1">
        <v>46002.608807870369</v>
      </c>
      <c r="M528" s="2">
        <v>46002</v>
      </c>
      <c r="N528" t="s">
        <v>633</v>
      </c>
      <c r="O528" t="s">
        <v>625</v>
      </c>
      <c r="P528">
        <v>1</v>
      </c>
      <c r="Q528">
        <v>0</v>
      </c>
      <c r="R528">
        <v>107.33</v>
      </c>
      <c r="S528" t="s">
        <v>277</v>
      </c>
      <c r="T528" t="s">
        <v>779</v>
      </c>
    </row>
    <row r="529" spans="1:20" x14ac:dyDescent="0.3">
      <c r="A529">
        <v>528</v>
      </c>
      <c r="B529">
        <v>137</v>
      </c>
      <c r="C529">
        <v>3</v>
      </c>
      <c r="D529">
        <v>26.35</v>
      </c>
      <c r="E529">
        <v>0</v>
      </c>
      <c r="F529">
        <v>1</v>
      </c>
      <c r="G529">
        <v>0.1</v>
      </c>
      <c r="H529" t="s">
        <v>622</v>
      </c>
      <c r="J529" t="s">
        <v>623</v>
      </c>
      <c r="K529" s="1"/>
      <c r="L529" s="1">
        <v>46002.629918981482</v>
      </c>
      <c r="M529" s="2">
        <v>46002</v>
      </c>
      <c r="N529" t="s">
        <v>633</v>
      </c>
      <c r="O529" t="s">
        <v>629</v>
      </c>
      <c r="P529">
        <v>1</v>
      </c>
      <c r="Q529">
        <v>0</v>
      </c>
      <c r="R529">
        <v>26.35</v>
      </c>
      <c r="S529" t="s">
        <v>269</v>
      </c>
      <c r="T529" t="s">
        <v>777</v>
      </c>
    </row>
    <row r="530" spans="1:20" x14ac:dyDescent="0.3">
      <c r="A530">
        <v>529</v>
      </c>
      <c r="B530">
        <v>175</v>
      </c>
      <c r="C530">
        <v>4</v>
      </c>
      <c r="D530">
        <v>26.65</v>
      </c>
      <c r="E530">
        <v>2.67</v>
      </c>
      <c r="F530">
        <v>0</v>
      </c>
      <c r="G530">
        <v>0.1</v>
      </c>
      <c r="H530" t="s">
        <v>622</v>
      </c>
      <c r="J530" t="s">
        <v>623</v>
      </c>
      <c r="K530" s="1"/>
      <c r="L530" s="1">
        <v>46002.664895833332</v>
      </c>
      <c r="M530" s="2">
        <v>46002</v>
      </c>
      <c r="N530" t="s">
        <v>633</v>
      </c>
      <c r="O530" t="s">
        <v>625</v>
      </c>
      <c r="P530">
        <v>1</v>
      </c>
      <c r="Q530">
        <v>0</v>
      </c>
      <c r="R530">
        <v>26.65</v>
      </c>
      <c r="S530" t="s">
        <v>345</v>
      </c>
      <c r="T530" t="s">
        <v>778</v>
      </c>
    </row>
    <row r="531" spans="1:20" x14ac:dyDescent="0.3">
      <c r="A531">
        <v>530</v>
      </c>
      <c r="B531">
        <v>252</v>
      </c>
      <c r="C531">
        <v>4</v>
      </c>
      <c r="D531">
        <v>24.12</v>
      </c>
      <c r="E531">
        <v>2.41</v>
      </c>
      <c r="F531">
        <v>0</v>
      </c>
      <c r="G531">
        <v>0.1</v>
      </c>
      <c r="H531" t="s">
        <v>622</v>
      </c>
      <c r="J531" t="s">
        <v>623</v>
      </c>
      <c r="K531" s="1"/>
      <c r="L531" s="1">
        <v>46002.722268518519</v>
      </c>
      <c r="M531" s="2">
        <v>46002</v>
      </c>
      <c r="N531" t="s">
        <v>633</v>
      </c>
      <c r="O531" t="s">
        <v>625</v>
      </c>
      <c r="P531">
        <v>1</v>
      </c>
      <c r="Q531">
        <v>0</v>
      </c>
      <c r="R531">
        <v>24.12</v>
      </c>
      <c r="S531" t="s">
        <v>499</v>
      </c>
      <c r="T531" t="s">
        <v>778</v>
      </c>
    </row>
    <row r="532" spans="1:20" x14ac:dyDescent="0.3">
      <c r="A532">
        <v>531</v>
      </c>
      <c r="B532">
        <v>136</v>
      </c>
      <c r="C532">
        <v>2</v>
      </c>
      <c r="D532">
        <v>81.11</v>
      </c>
      <c r="E532">
        <v>8.11</v>
      </c>
      <c r="F532">
        <v>0</v>
      </c>
      <c r="G532">
        <v>0.1</v>
      </c>
      <c r="H532" t="s">
        <v>622</v>
      </c>
      <c r="J532" t="s">
        <v>623</v>
      </c>
      <c r="K532" s="1"/>
      <c r="L532" s="1">
        <v>46002.773206018515</v>
      </c>
      <c r="M532" s="2">
        <v>46002</v>
      </c>
      <c r="N532" t="s">
        <v>633</v>
      </c>
      <c r="O532" t="s">
        <v>625</v>
      </c>
      <c r="P532">
        <v>1</v>
      </c>
      <c r="Q532">
        <v>0</v>
      </c>
      <c r="R532">
        <v>81.11</v>
      </c>
      <c r="S532" t="s">
        <v>267</v>
      </c>
      <c r="T532" t="s">
        <v>776</v>
      </c>
    </row>
    <row r="533" spans="1:20" x14ac:dyDescent="0.3">
      <c r="A533">
        <v>532</v>
      </c>
      <c r="B533">
        <v>37</v>
      </c>
      <c r="C533">
        <v>4</v>
      </c>
      <c r="D533">
        <v>61.27</v>
      </c>
      <c r="E533">
        <v>6.13</v>
      </c>
      <c r="F533">
        <v>0</v>
      </c>
      <c r="G533">
        <v>0.1</v>
      </c>
      <c r="H533" t="s">
        <v>622</v>
      </c>
      <c r="J533" t="s">
        <v>623</v>
      </c>
      <c r="K533" s="1"/>
      <c r="L533" s="1">
        <v>46002.802465277775</v>
      </c>
      <c r="M533" s="2">
        <v>46002</v>
      </c>
      <c r="N533" t="s">
        <v>633</v>
      </c>
      <c r="O533" t="s">
        <v>625</v>
      </c>
      <c r="P533">
        <v>1</v>
      </c>
      <c r="Q533">
        <v>0</v>
      </c>
      <c r="R533">
        <v>61.27</v>
      </c>
      <c r="S533" t="s">
        <v>70</v>
      </c>
      <c r="T533" t="s">
        <v>778</v>
      </c>
    </row>
    <row r="534" spans="1:20" x14ac:dyDescent="0.3">
      <c r="A534">
        <v>533</v>
      </c>
      <c r="B534">
        <v>138</v>
      </c>
      <c r="C534">
        <v>5</v>
      </c>
      <c r="D534">
        <v>23.23</v>
      </c>
      <c r="E534">
        <v>2.3199999999999998</v>
      </c>
      <c r="F534">
        <v>0</v>
      </c>
      <c r="G534">
        <v>0.1</v>
      </c>
      <c r="H534" t="s">
        <v>622</v>
      </c>
      <c r="J534" t="s">
        <v>623</v>
      </c>
      <c r="K534" s="1"/>
      <c r="L534" s="1">
        <v>46003.408055555556</v>
      </c>
      <c r="M534" s="2">
        <v>46003</v>
      </c>
      <c r="N534" t="s">
        <v>633</v>
      </c>
      <c r="O534" t="s">
        <v>625</v>
      </c>
      <c r="P534">
        <v>1</v>
      </c>
      <c r="Q534">
        <v>0</v>
      </c>
      <c r="R534">
        <v>23.23</v>
      </c>
      <c r="S534" t="s">
        <v>271</v>
      </c>
      <c r="T534" t="s">
        <v>779</v>
      </c>
    </row>
    <row r="535" spans="1:20" x14ac:dyDescent="0.3">
      <c r="A535">
        <v>534</v>
      </c>
      <c r="B535">
        <v>240</v>
      </c>
      <c r="C535">
        <v>4</v>
      </c>
      <c r="D535">
        <v>200.29</v>
      </c>
      <c r="E535">
        <v>20.03</v>
      </c>
      <c r="F535">
        <v>0</v>
      </c>
      <c r="G535">
        <v>0.1</v>
      </c>
      <c r="H535" t="s">
        <v>622</v>
      </c>
      <c r="J535" t="s">
        <v>623</v>
      </c>
      <c r="K535" s="1"/>
      <c r="L535" s="1">
        <v>46003.423344907409</v>
      </c>
      <c r="M535" s="2">
        <v>46003</v>
      </c>
      <c r="N535" t="s">
        <v>633</v>
      </c>
      <c r="O535" t="s">
        <v>625</v>
      </c>
      <c r="P535">
        <v>1</v>
      </c>
      <c r="Q535">
        <v>0</v>
      </c>
      <c r="R535">
        <v>200.29</v>
      </c>
      <c r="S535" t="s">
        <v>475</v>
      </c>
      <c r="T535" t="s">
        <v>778</v>
      </c>
    </row>
    <row r="536" spans="1:20" x14ac:dyDescent="0.3">
      <c r="A536">
        <v>535</v>
      </c>
      <c r="B536">
        <v>34</v>
      </c>
      <c r="C536">
        <v>2</v>
      </c>
      <c r="D536">
        <v>169.47</v>
      </c>
      <c r="E536">
        <v>16.95</v>
      </c>
      <c r="F536">
        <v>0</v>
      </c>
      <c r="G536">
        <v>0.1</v>
      </c>
      <c r="H536" t="s">
        <v>622</v>
      </c>
      <c r="J536" t="s">
        <v>623</v>
      </c>
      <c r="K536" s="1"/>
      <c r="L536" s="1">
        <v>46003.428078703706</v>
      </c>
      <c r="M536" s="2">
        <v>46003</v>
      </c>
      <c r="N536" t="s">
        <v>633</v>
      </c>
      <c r="O536" t="s">
        <v>625</v>
      </c>
      <c r="P536">
        <v>1</v>
      </c>
      <c r="Q536">
        <v>0</v>
      </c>
      <c r="R536">
        <v>169.47</v>
      </c>
      <c r="S536" t="s">
        <v>64</v>
      </c>
      <c r="T536" t="s">
        <v>776</v>
      </c>
    </row>
    <row r="537" spans="1:20" x14ac:dyDescent="0.3">
      <c r="A537">
        <v>536</v>
      </c>
      <c r="B537">
        <v>136</v>
      </c>
      <c r="C537">
        <v>2</v>
      </c>
      <c r="D537">
        <v>70.150000000000006</v>
      </c>
      <c r="E537">
        <v>7.02</v>
      </c>
      <c r="F537">
        <v>0</v>
      </c>
      <c r="G537">
        <v>0.1</v>
      </c>
      <c r="H537" t="s">
        <v>622</v>
      </c>
      <c r="J537" t="s">
        <v>623</v>
      </c>
      <c r="K537" s="1"/>
      <c r="L537" s="1">
        <v>46003.433506944442</v>
      </c>
      <c r="M537" s="2">
        <v>46003</v>
      </c>
      <c r="N537" t="s">
        <v>633</v>
      </c>
      <c r="O537" t="s">
        <v>625</v>
      </c>
      <c r="P537">
        <v>1</v>
      </c>
      <c r="Q537">
        <v>0</v>
      </c>
      <c r="R537">
        <v>70.150000000000006</v>
      </c>
      <c r="S537" t="s">
        <v>267</v>
      </c>
      <c r="T537" t="s">
        <v>776</v>
      </c>
    </row>
    <row r="538" spans="1:20" x14ac:dyDescent="0.3">
      <c r="A538">
        <v>537</v>
      </c>
      <c r="B538">
        <v>44</v>
      </c>
      <c r="C538">
        <v>4</v>
      </c>
      <c r="D538">
        <v>37.590000000000003</v>
      </c>
      <c r="E538">
        <v>0</v>
      </c>
      <c r="F538">
        <v>1</v>
      </c>
      <c r="G538">
        <v>0.1</v>
      </c>
      <c r="H538" t="s">
        <v>622</v>
      </c>
      <c r="J538" t="s">
        <v>623</v>
      </c>
      <c r="K538" s="1"/>
      <c r="L538" s="1">
        <v>46003.436562499999</v>
      </c>
      <c r="M538" s="2">
        <v>46003</v>
      </c>
      <c r="N538" t="s">
        <v>633</v>
      </c>
      <c r="O538" t="s">
        <v>629</v>
      </c>
      <c r="P538">
        <v>1</v>
      </c>
      <c r="Q538">
        <v>0</v>
      </c>
      <c r="R538">
        <v>37.590000000000003</v>
      </c>
      <c r="S538" t="s">
        <v>84</v>
      </c>
      <c r="T538" t="s">
        <v>778</v>
      </c>
    </row>
    <row r="539" spans="1:20" x14ac:dyDescent="0.3">
      <c r="A539">
        <v>538</v>
      </c>
      <c r="B539">
        <v>155</v>
      </c>
      <c r="C539">
        <v>4</v>
      </c>
      <c r="D539">
        <v>33.22</v>
      </c>
      <c r="E539">
        <v>3.32</v>
      </c>
      <c r="F539">
        <v>0</v>
      </c>
      <c r="G539">
        <v>0.1</v>
      </c>
      <c r="H539" t="s">
        <v>622</v>
      </c>
      <c r="J539" t="s">
        <v>623</v>
      </c>
      <c r="K539" s="1"/>
      <c r="L539" s="1">
        <v>46003.451550925929</v>
      </c>
      <c r="M539" s="2">
        <v>46003</v>
      </c>
      <c r="N539" t="s">
        <v>633</v>
      </c>
      <c r="O539" t="s">
        <v>625</v>
      </c>
      <c r="P539">
        <v>1</v>
      </c>
      <c r="Q539">
        <v>0</v>
      </c>
      <c r="R539">
        <v>33.22</v>
      </c>
      <c r="S539" t="s">
        <v>305</v>
      </c>
      <c r="T539" t="s">
        <v>778</v>
      </c>
    </row>
    <row r="540" spans="1:20" x14ac:dyDescent="0.3">
      <c r="A540">
        <v>539</v>
      </c>
      <c r="B540">
        <v>137</v>
      </c>
      <c r="C540">
        <v>2</v>
      </c>
      <c r="D540">
        <v>50.91</v>
      </c>
      <c r="E540">
        <v>5.09</v>
      </c>
      <c r="F540">
        <v>0</v>
      </c>
      <c r="G540">
        <v>0.1</v>
      </c>
      <c r="H540" t="s">
        <v>622</v>
      </c>
      <c r="J540" t="s">
        <v>623</v>
      </c>
      <c r="K540" s="1"/>
      <c r="L540" s="1">
        <v>46003.451898148145</v>
      </c>
      <c r="M540" s="2">
        <v>46003</v>
      </c>
      <c r="N540" t="s">
        <v>633</v>
      </c>
      <c r="O540" t="s">
        <v>625</v>
      </c>
      <c r="P540">
        <v>1</v>
      </c>
      <c r="Q540">
        <v>0</v>
      </c>
      <c r="R540">
        <v>50.91</v>
      </c>
      <c r="S540" t="s">
        <v>269</v>
      </c>
      <c r="T540" t="s">
        <v>776</v>
      </c>
    </row>
    <row r="541" spans="1:20" x14ac:dyDescent="0.3">
      <c r="A541">
        <v>540</v>
      </c>
      <c r="B541">
        <v>44</v>
      </c>
      <c r="C541">
        <v>5</v>
      </c>
      <c r="D541">
        <v>24.33</v>
      </c>
      <c r="E541">
        <v>2.4300000000000002</v>
      </c>
      <c r="F541">
        <v>0</v>
      </c>
      <c r="G541">
        <v>0.1</v>
      </c>
      <c r="H541" t="s">
        <v>622</v>
      </c>
      <c r="J541" t="s">
        <v>623</v>
      </c>
      <c r="K541" s="1"/>
      <c r="L541" s="1">
        <v>46003.477523148147</v>
      </c>
      <c r="M541" s="2">
        <v>46003</v>
      </c>
      <c r="N541" t="s">
        <v>633</v>
      </c>
      <c r="O541" t="s">
        <v>625</v>
      </c>
      <c r="P541">
        <v>1</v>
      </c>
      <c r="Q541">
        <v>0</v>
      </c>
      <c r="R541">
        <v>24.33</v>
      </c>
      <c r="S541" t="s">
        <v>84</v>
      </c>
      <c r="T541" t="s">
        <v>779</v>
      </c>
    </row>
    <row r="542" spans="1:20" x14ac:dyDescent="0.3">
      <c r="A542">
        <v>541</v>
      </c>
      <c r="B542">
        <v>196</v>
      </c>
      <c r="C542">
        <v>2</v>
      </c>
      <c r="D542">
        <v>22.31</v>
      </c>
      <c r="E542">
        <v>2.23</v>
      </c>
      <c r="F542">
        <v>0</v>
      </c>
      <c r="G542">
        <v>0.1</v>
      </c>
      <c r="H542" t="s">
        <v>622</v>
      </c>
      <c r="J542" t="s">
        <v>623</v>
      </c>
      <c r="K542" s="1"/>
      <c r="L542" s="1">
        <v>46003.497696759259</v>
      </c>
      <c r="M542" s="2">
        <v>46003</v>
      </c>
      <c r="N542" t="s">
        <v>633</v>
      </c>
      <c r="O542" t="s">
        <v>625</v>
      </c>
      <c r="P542">
        <v>1</v>
      </c>
      <c r="Q542">
        <v>0</v>
      </c>
      <c r="R542">
        <v>22.31</v>
      </c>
      <c r="S542" t="s">
        <v>387</v>
      </c>
      <c r="T542" t="s">
        <v>776</v>
      </c>
    </row>
    <row r="543" spans="1:20" x14ac:dyDescent="0.3">
      <c r="A543">
        <v>542</v>
      </c>
      <c r="B543">
        <v>252</v>
      </c>
      <c r="C543">
        <v>5</v>
      </c>
      <c r="D543">
        <v>36.01</v>
      </c>
      <c r="E543">
        <v>3.6</v>
      </c>
      <c r="F543">
        <v>0</v>
      </c>
      <c r="G543">
        <v>0.1</v>
      </c>
      <c r="H543" t="s">
        <v>622</v>
      </c>
      <c r="J543" t="s">
        <v>623</v>
      </c>
      <c r="K543" s="1"/>
      <c r="L543" s="1">
        <v>46003.54965277778</v>
      </c>
      <c r="M543" s="2">
        <v>46003</v>
      </c>
      <c r="N543" t="s">
        <v>633</v>
      </c>
      <c r="O543" t="s">
        <v>625</v>
      </c>
      <c r="P543">
        <v>1</v>
      </c>
      <c r="Q543">
        <v>0</v>
      </c>
      <c r="R543">
        <v>36.01</v>
      </c>
      <c r="S543" t="s">
        <v>499</v>
      </c>
      <c r="T543" t="s">
        <v>779</v>
      </c>
    </row>
    <row r="544" spans="1:20" x14ac:dyDescent="0.3">
      <c r="A544">
        <v>543</v>
      </c>
      <c r="B544">
        <v>194</v>
      </c>
      <c r="C544">
        <v>4</v>
      </c>
      <c r="D544">
        <v>220</v>
      </c>
      <c r="E544">
        <v>22</v>
      </c>
      <c r="F544">
        <v>0</v>
      </c>
      <c r="G544">
        <v>0.1</v>
      </c>
      <c r="H544" t="s">
        <v>622</v>
      </c>
      <c r="J544" t="s">
        <v>623</v>
      </c>
      <c r="K544" s="1"/>
      <c r="L544" s="1">
        <v>46003.688287037039</v>
      </c>
      <c r="M544" s="2">
        <v>46003</v>
      </c>
      <c r="N544" t="s">
        <v>633</v>
      </c>
      <c r="O544" t="s">
        <v>625</v>
      </c>
      <c r="P544">
        <v>1</v>
      </c>
      <c r="Q544">
        <v>0</v>
      </c>
      <c r="R544">
        <v>220</v>
      </c>
      <c r="S544" t="s">
        <v>383</v>
      </c>
      <c r="T544" t="s">
        <v>778</v>
      </c>
    </row>
    <row r="545" spans="1:20" x14ac:dyDescent="0.3">
      <c r="A545">
        <v>544</v>
      </c>
      <c r="B545">
        <v>44</v>
      </c>
      <c r="C545">
        <v>5</v>
      </c>
      <c r="D545">
        <v>34.020000000000003</v>
      </c>
      <c r="E545">
        <v>3.4</v>
      </c>
      <c r="F545">
        <v>0</v>
      </c>
      <c r="G545">
        <v>0.1</v>
      </c>
      <c r="H545" t="s">
        <v>622</v>
      </c>
      <c r="J545" t="s">
        <v>623</v>
      </c>
      <c r="K545" s="1"/>
      <c r="L545" s="1">
        <v>46003.717037037037</v>
      </c>
      <c r="M545" s="2">
        <v>46003</v>
      </c>
      <c r="N545" t="s">
        <v>633</v>
      </c>
      <c r="O545" t="s">
        <v>625</v>
      </c>
      <c r="P545">
        <v>1</v>
      </c>
      <c r="Q545">
        <v>0</v>
      </c>
      <c r="R545">
        <v>34.020000000000003</v>
      </c>
      <c r="S545" t="s">
        <v>84</v>
      </c>
      <c r="T545" t="s">
        <v>779</v>
      </c>
    </row>
    <row r="546" spans="1:20" x14ac:dyDescent="0.3">
      <c r="A546">
        <v>545</v>
      </c>
      <c r="B546">
        <v>136</v>
      </c>
      <c r="C546">
        <v>4</v>
      </c>
      <c r="D546">
        <v>114.76</v>
      </c>
      <c r="E546">
        <v>11.48</v>
      </c>
      <c r="F546">
        <v>0</v>
      </c>
      <c r="G546">
        <v>0.1</v>
      </c>
      <c r="H546" t="s">
        <v>622</v>
      </c>
      <c r="J546" t="s">
        <v>623</v>
      </c>
      <c r="K546" s="1"/>
      <c r="L546" s="1">
        <v>46003.737187500003</v>
      </c>
      <c r="M546" s="2">
        <v>46003</v>
      </c>
      <c r="N546" t="s">
        <v>633</v>
      </c>
      <c r="O546" t="s">
        <v>625</v>
      </c>
      <c r="P546">
        <v>1</v>
      </c>
      <c r="Q546">
        <v>0</v>
      </c>
      <c r="R546">
        <v>114.76</v>
      </c>
      <c r="S546" t="s">
        <v>267</v>
      </c>
      <c r="T546" t="s">
        <v>778</v>
      </c>
    </row>
    <row r="547" spans="1:20" x14ac:dyDescent="0.3">
      <c r="A547">
        <v>546</v>
      </c>
      <c r="B547">
        <v>7</v>
      </c>
      <c r="C547">
        <v>3</v>
      </c>
      <c r="D547">
        <v>113.18</v>
      </c>
      <c r="E547">
        <v>11.32</v>
      </c>
      <c r="F547">
        <v>0</v>
      </c>
      <c r="G547">
        <v>0.1</v>
      </c>
      <c r="H547" t="s">
        <v>622</v>
      </c>
      <c r="J547" t="s">
        <v>623</v>
      </c>
      <c r="K547" s="1"/>
      <c r="L547" s="1">
        <v>46004.297731481478</v>
      </c>
      <c r="M547" s="2">
        <v>46004</v>
      </c>
      <c r="N547" t="s">
        <v>633</v>
      </c>
      <c r="O547" t="s">
        <v>625</v>
      </c>
      <c r="P547">
        <v>1</v>
      </c>
      <c r="Q547">
        <v>0</v>
      </c>
      <c r="R547">
        <v>113.18</v>
      </c>
      <c r="S547" t="s">
        <v>10</v>
      </c>
      <c r="T547" t="s">
        <v>777</v>
      </c>
    </row>
    <row r="548" spans="1:20" x14ac:dyDescent="0.3">
      <c r="A548">
        <v>547</v>
      </c>
      <c r="B548">
        <v>137</v>
      </c>
      <c r="C548">
        <v>4</v>
      </c>
      <c r="D548">
        <v>32.04</v>
      </c>
      <c r="E548">
        <v>3.2</v>
      </c>
      <c r="F548">
        <v>0</v>
      </c>
      <c r="G548">
        <v>0.1</v>
      </c>
      <c r="H548" t="s">
        <v>622</v>
      </c>
      <c r="J548" t="s">
        <v>623</v>
      </c>
      <c r="K548" s="1"/>
      <c r="L548" s="1">
        <v>46004.331273148149</v>
      </c>
      <c r="M548" s="2">
        <v>46004</v>
      </c>
      <c r="N548" t="s">
        <v>633</v>
      </c>
      <c r="O548" t="s">
        <v>625</v>
      </c>
      <c r="P548">
        <v>1</v>
      </c>
      <c r="Q548">
        <v>0</v>
      </c>
      <c r="R548">
        <v>32.04</v>
      </c>
      <c r="S548" t="s">
        <v>269</v>
      </c>
      <c r="T548" t="s">
        <v>778</v>
      </c>
    </row>
    <row r="549" spans="1:20" x14ac:dyDescent="0.3">
      <c r="A549">
        <v>548</v>
      </c>
      <c r="B549">
        <v>12</v>
      </c>
      <c r="C549">
        <v>5</v>
      </c>
      <c r="D549">
        <v>22.24</v>
      </c>
      <c r="E549">
        <v>2.2200000000000002</v>
      </c>
      <c r="F549">
        <v>0</v>
      </c>
      <c r="G549">
        <v>0.1</v>
      </c>
      <c r="H549" t="s">
        <v>622</v>
      </c>
      <c r="J549" t="s">
        <v>623</v>
      </c>
      <c r="K549" s="1"/>
      <c r="L549" s="1">
        <v>46004.41914351852</v>
      </c>
      <c r="M549" s="2">
        <v>46004</v>
      </c>
      <c r="N549" t="s">
        <v>633</v>
      </c>
      <c r="O549" t="s">
        <v>625</v>
      </c>
      <c r="P549">
        <v>1</v>
      </c>
      <c r="Q549">
        <v>0</v>
      </c>
      <c r="R549">
        <v>22.24</v>
      </c>
      <c r="S549" t="s">
        <v>20</v>
      </c>
      <c r="T549" t="s">
        <v>779</v>
      </c>
    </row>
    <row r="550" spans="1:20" x14ac:dyDescent="0.3">
      <c r="A550">
        <v>549</v>
      </c>
      <c r="B550">
        <v>64</v>
      </c>
      <c r="C550">
        <v>3</v>
      </c>
      <c r="D550">
        <v>25.11</v>
      </c>
      <c r="E550">
        <v>2.5099999999999998</v>
      </c>
      <c r="F550">
        <v>0</v>
      </c>
      <c r="G550">
        <v>0.1</v>
      </c>
      <c r="H550" t="s">
        <v>622</v>
      </c>
      <c r="J550" t="s">
        <v>623</v>
      </c>
      <c r="K550" s="1"/>
      <c r="L550" s="1">
        <v>46004.472222222219</v>
      </c>
      <c r="M550" s="2">
        <v>46004</v>
      </c>
      <c r="N550" t="s">
        <v>633</v>
      </c>
      <c r="O550" t="s">
        <v>625</v>
      </c>
      <c r="P550">
        <v>1</v>
      </c>
      <c r="Q550">
        <v>0</v>
      </c>
      <c r="R550">
        <v>25.11</v>
      </c>
      <c r="S550" t="s">
        <v>124</v>
      </c>
      <c r="T550" t="s">
        <v>777</v>
      </c>
    </row>
    <row r="551" spans="1:20" x14ac:dyDescent="0.3">
      <c r="A551">
        <v>550</v>
      </c>
      <c r="B551">
        <v>144</v>
      </c>
      <c r="C551">
        <v>3</v>
      </c>
      <c r="D551">
        <v>99.39</v>
      </c>
      <c r="E551">
        <v>9.94</v>
      </c>
      <c r="F551">
        <v>0</v>
      </c>
      <c r="G551">
        <v>0.1</v>
      </c>
      <c r="H551" t="s">
        <v>622</v>
      </c>
      <c r="J551" t="s">
        <v>623</v>
      </c>
      <c r="K551" s="1"/>
      <c r="L551" s="1">
        <v>46004.485856481479</v>
      </c>
      <c r="M551" s="2">
        <v>46004</v>
      </c>
      <c r="N551" t="s">
        <v>633</v>
      </c>
      <c r="O551" t="s">
        <v>625</v>
      </c>
      <c r="P551">
        <v>1</v>
      </c>
      <c r="Q551">
        <v>0</v>
      </c>
      <c r="R551">
        <v>99.39</v>
      </c>
      <c r="S551" t="s">
        <v>283</v>
      </c>
      <c r="T551" t="s">
        <v>777</v>
      </c>
    </row>
    <row r="552" spans="1:20" x14ac:dyDescent="0.3">
      <c r="A552">
        <v>551</v>
      </c>
      <c r="B552">
        <v>244</v>
      </c>
      <c r="C552">
        <v>4</v>
      </c>
      <c r="D552">
        <v>64.959999999999994</v>
      </c>
      <c r="E552">
        <v>6.5</v>
      </c>
      <c r="F552">
        <v>0</v>
      </c>
      <c r="G552">
        <v>0.1</v>
      </c>
      <c r="H552" t="s">
        <v>622</v>
      </c>
      <c r="J552" t="s">
        <v>623</v>
      </c>
      <c r="K552" s="1"/>
      <c r="L552" s="1">
        <v>46004.530844907407</v>
      </c>
      <c r="M552" s="2">
        <v>46004</v>
      </c>
      <c r="N552" t="s">
        <v>633</v>
      </c>
      <c r="O552" t="s">
        <v>625</v>
      </c>
      <c r="P552">
        <v>1</v>
      </c>
      <c r="Q552">
        <v>0</v>
      </c>
      <c r="R552">
        <v>64.959999999999994</v>
      </c>
      <c r="S552" t="s">
        <v>483</v>
      </c>
      <c r="T552" t="s">
        <v>778</v>
      </c>
    </row>
    <row r="553" spans="1:20" x14ac:dyDescent="0.3">
      <c r="A553">
        <v>552</v>
      </c>
      <c r="B553">
        <v>70</v>
      </c>
      <c r="C553">
        <v>5</v>
      </c>
      <c r="D553">
        <v>87.5</v>
      </c>
      <c r="E553">
        <v>8.75</v>
      </c>
      <c r="F553">
        <v>0</v>
      </c>
      <c r="G553">
        <v>0.1</v>
      </c>
      <c r="H553" t="s">
        <v>622</v>
      </c>
      <c r="J553" t="s">
        <v>623</v>
      </c>
      <c r="K553" s="1"/>
      <c r="L553" s="1">
        <v>46004.558356481481</v>
      </c>
      <c r="M553" s="2">
        <v>46004</v>
      </c>
      <c r="N553" t="s">
        <v>633</v>
      </c>
      <c r="O553" t="s">
        <v>625</v>
      </c>
      <c r="P553">
        <v>1</v>
      </c>
      <c r="Q553">
        <v>0</v>
      </c>
      <c r="R553">
        <v>87.5</v>
      </c>
      <c r="S553" t="s">
        <v>136</v>
      </c>
      <c r="T553" t="s">
        <v>779</v>
      </c>
    </row>
    <row r="554" spans="1:20" x14ac:dyDescent="0.3">
      <c r="A554">
        <v>553</v>
      </c>
      <c r="B554">
        <v>39</v>
      </c>
      <c r="C554">
        <v>2</v>
      </c>
      <c r="D554">
        <v>176.77</v>
      </c>
      <c r="E554">
        <v>17.68</v>
      </c>
      <c r="F554">
        <v>0</v>
      </c>
      <c r="G554">
        <v>0.1</v>
      </c>
      <c r="H554" t="s">
        <v>622</v>
      </c>
      <c r="J554" t="s">
        <v>623</v>
      </c>
      <c r="K554" s="1"/>
      <c r="L554" s="1">
        <v>46004.57707175926</v>
      </c>
      <c r="M554" s="2">
        <v>46004</v>
      </c>
      <c r="N554" t="s">
        <v>633</v>
      </c>
      <c r="O554" t="s">
        <v>625</v>
      </c>
      <c r="P554">
        <v>1</v>
      </c>
      <c r="Q554">
        <v>0</v>
      </c>
      <c r="R554">
        <v>176.77</v>
      </c>
      <c r="S554" t="s">
        <v>74</v>
      </c>
      <c r="T554" t="s">
        <v>776</v>
      </c>
    </row>
    <row r="555" spans="1:20" x14ac:dyDescent="0.3">
      <c r="A555">
        <v>554</v>
      </c>
      <c r="B555">
        <v>21</v>
      </c>
      <c r="C555">
        <v>4</v>
      </c>
      <c r="D555">
        <v>43.12</v>
      </c>
      <c r="E555">
        <v>4.3099999999999996</v>
      </c>
      <c r="F555">
        <v>0</v>
      </c>
      <c r="G555">
        <v>0.1</v>
      </c>
      <c r="H555" t="s">
        <v>622</v>
      </c>
      <c r="J555" t="s">
        <v>623</v>
      </c>
      <c r="K555" s="1"/>
      <c r="L555" s="1">
        <v>46004.591122685182</v>
      </c>
      <c r="M555" s="2">
        <v>46004</v>
      </c>
      <c r="N555" t="s">
        <v>633</v>
      </c>
      <c r="O555" t="s">
        <v>625</v>
      </c>
      <c r="P555">
        <v>1</v>
      </c>
      <c r="Q555">
        <v>0</v>
      </c>
      <c r="R555">
        <v>43.12</v>
      </c>
      <c r="S555" t="s">
        <v>38</v>
      </c>
      <c r="T555" t="s">
        <v>778</v>
      </c>
    </row>
    <row r="556" spans="1:20" x14ac:dyDescent="0.3">
      <c r="A556">
        <v>555</v>
      </c>
      <c r="B556">
        <v>137</v>
      </c>
      <c r="C556">
        <v>3</v>
      </c>
      <c r="D556">
        <v>38.39</v>
      </c>
      <c r="E556">
        <v>3.84</v>
      </c>
      <c r="F556">
        <v>0</v>
      </c>
      <c r="G556">
        <v>0.1</v>
      </c>
      <c r="H556" t="s">
        <v>622</v>
      </c>
      <c r="J556" t="s">
        <v>623</v>
      </c>
      <c r="K556" s="1"/>
      <c r="L556" s="1">
        <v>46004.615405092591</v>
      </c>
      <c r="M556" s="2">
        <v>46004</v>
      </c>
      <c r="N556" t="s">
        <v>633</v>
      </c>
      <c r="O556" t="s">
        <v>625</v>
      </c>
      <c r="P556">
        <v>1</v>
      </c>
      <c r="Q556">
        <v>0</v>
      </c>
      <c r="R556">
        <v>38.39</v>
      </c>
      <c r="S556" t="s">
        <v>269</v>
      </c>
      <c r="T556" t="s">
        <v>777</v>
      </c>
    </row>
    <row r="557" spans="1:20" x14ac:dyDescent="0.3">
      <c r="A557">
        <v>556</v>
      </c>
      <c r="B557">
        <v>223</v>
      </c>
      <c r="C557">
        <v>4</v>
      </c>
      <c r="D557">
        <v>39.06</v>
      </c>
      <c r="E557">
        <v>3.91</v>
      </c>
      <c r="F557">
        <v>0</v>
      </c>
      <c r="G557">
        <v>0.1</v>
      </c>
      <c r="H557" t="s">
        <v>622</v>
      </c>
      <c r="J557" t="s">
        <v>623</v>
      </c>
      <c r="K557" s="1"/>
      <c r="L557" s="1">
        <v>46004.638622685183</v>
      </c>
      <c r="M557" s="2">
        <v>46004</v>
      </c>
      <c r="N557" t="s">
        <v>633</v>
      </c>
      <c r="O557" t="s">
        <v>625</v>
      </c>
      <c r="P557">
        <v>1</v>
      </c>
      <c r="Q557">
        <v>0</v>
      </c>
      <c r="R557">
        <v>39.06</v>
      </c>
      <c r="S557" t="s">
        <v>441</v>
      </c>
      <c r="T557" t="s">
        <v>778</v>
      </c>
    </row>
    <row r="558" spans="1:20" x14ac:dyDescent="0.3">
      <c r="A558">
        <v>557</v>
      </c>
      <c r="B558">
        <v>255</v>
      </c>
      <c r="C558">
        <v>3</v>
      </c>
      <c r="D558">
        <v>37.6</v>
      </c>
      <c r="E558">
        <v>3.76</v>
      </c>
      <c r="F558">
        <v>0</v>
      </c>
      <c r="G558">
        <v>0.1</v>
      </c>
      <c r="H558" t="s">
        <v>622</v>
      </c>
      <c r="J558" t="s">
        <v>623</v>
      </c>
      <c r="K558" s="1"/>
      <c r="L558" s="1">
        <v>46004.660636574074</v>
      </c>
      <c r="M558" s="2">
        <v>46004</v>
      </c>
      <c r="N558" t="s">
        <v>633</v>
      </c>
      <c r="O558" t="s">
        <v>625</v>
      </c>
      <c r="P558">
        <v>1</v>
      </c>
      <c r="Q558">
        <v>0</v>
      </c>
      <c r="R558">
        <v>37.6</v>
      </c>
      <c r="S558" t="s">
        <v>505</v>
      </c>
      <c r="T558" t="s">
        <v>777</v>
      </c>
    </row>
    <row r="559" spans="1:20" x14ac:dyDescent="0.3">
      <c r="A559">
        <v>558</v>
      </c>
      <c r="B559">
        <v>45</v>
      </c>
      <c r="C559">
        <v>4</v>
      </c>
      <c r="D559">
        <v>74.53</v>
      </c>
      <c r="E559">
        <v>7.45</v>
      </c>
      <c r="F559">
        <v>0</v>
      </c>
      <c r="G559">
        <v>0.1</v>
      </c>
      <c r="H559" t="s">
        <v>622</v>
      </c>
      <c r="J559" t="s">
        <v>623</v>
      </c>
      <c r="K559" s="1"/>
      <c r="L559" s="1">
        <v>46004.664409722223</v>
      </c>
      <c r="M559" s="2">
        <v>46004</v>
      </c>
      <c r="N559" t="s">
        <v>633</v>
      </c>
      <c r="O559" t="s">
        <v>625</v>
      </c>
      <c r="P559">
        <v>1</v>
      </c>
      <c r="Q559">
        <v>0</v>
      </c>
      <c r="R559">
        <v>74.53</v>
      </c>
      <c r="S559" t="s">
        <v>86</v>
      </c>
      <c r="T559" t="s">
        <v>778</v>
      </c>
    </row>
    <row r="560" spans="1:20" x14ac:dyDescent="0.3">
      <c r="A560">
        <v>559</v>
      </c>
      <c r="B560">
        <v>137</v>
      </c>
      <c r="C560">
        <v>5</v>
      </c>
      <c r="D560">
        <v>19.22</v>
      </c>
      <c r="E560">
        <v>1.92</v>
      </c>
      <c r="F560">
        <v>0</v>
      </c>
      <c r="G560">
        <v>0.1</v>
      </c>
      <c r="H560" t="s">
        <v>622</v>
      </c>
      <c r="J560" t="s">
        <v>623</v>
      </c>
      <c r="K560" s="1"/>
      <c r="L560" s="1">
        <v>46004.671111111114</v>
      </c>
      <c r="M560" s="2">
        <v>46004</v>
      </c>
      <c r="N560" t="s">
        <v>633</v>
      </c>
      <c r="O560" t="s">
        <v>625</v>
      </c>
      <c r="P560">
        <v>1</v>
      </c>
      <c r="Q560">
        <v>0</v>
      </c>
      <c r="R560">
        <v>19.22</v>
      </c>
      <c r="S560" t="s">
        <v>269</v>
      </c>
      <c r="T560" t="s">
        <v>779</v>
      </c>
    </row>
    <row r="561" spans="1:20" x14ac:dyDescent="0.3">
      <c r="A561">
        <v>560</v>
      </c>
      <c r="B561">
        <v>138</v>
      </c>
      <c r="C561">
        <v>2</v>
      </c>
      <c r="D561">
        <v>31.8</v>
      </c>
      <c r="E561">
        <v>3.18</v>
      </c>
      <c r="F561">
        <v>0</v>
      </c>
      <c r="G561">
        <v>0.1</v>
      </c>
      <c r="H561" t="s">
        <v>622</v>
      </c>
      <c r="J561" t="s">
        <v>623</v>
      </c>
      <c r="K561" s="1"/>
      <c r="L561" s="1">
        <v>46004.682175925926</v>
      </c>
      <c r="M561" s="2">
        <v>46004</v>
      </c>
      <c r="N561" t="s">
        <v>633</v>
      </c>
      <c r="O561" t="s">
        <v>625</v>
      </c>
      <c r="P561">
        <v>1</v>
      </c>
      <c r="Q561">
        <v>0</v>
      </c>
      <c r="R561">
        <v>31.8</v>
      </c>
      <c r="S561" t="s">
        <v>271</v>
      </c>
      <c r="T561" t="s">
        <v>776</v>
      </c>
    </row>
    <row r="562" spans="1:20" x14ac:dyDescent="0.3">
      <c r="A562">
        <v>561</v>
      </c>
      <c r="B562">
        <v>52</v>
      </c>
      <c r="C562">
        <v>3</v>
      </c>
      <c r="D562">
        <v>43.05</v>
      </c>
      <c r="E562">
        <v>4.3099999999999996</v>
      </c>
      <c r="F562">
        <v>0</v>
      </c>
      <c r="G562">
        <v>0.1</v>
      </c>
      <c r="H562" t="s">
        <v>622</v>
      </c>
      <c r="J562" t="s">
        <v>623</v>
      </c>
      <c r="K562" s="1"/>
      <c r="L562" s="1">
        <v>46004.790416666663</v>
      </c>
      <c r="M562" s="2">
        <v>46004</v>
      </c>
      <c r="N562" t="s">
        <v>633</v>
      </c>
      <c r="O562" t="s">
        <v>625</v>
      </c>
      <c r="P562">
        <v>1</v>
      </c>
      <c r="Q562">
        <v>0</v>
      </c>
      <c r="R562">
        <v>43.05</v>
      </c>
      <c r="S562" t="s">
        <v>100</v>
      </c>
      <c r="T562" t="s">
        <v>777</v>
      </c>
    </row>
    <row r="563" spans="1:20" x14ac:dyDescent="0.3">
      <c r="A563">
        <v>562</v>
      </c>
      <c r="B563">
        <v>253</v>
      </c>
      <c r="C563">
        <v>4</v>
      </c>
      <c r="D563">
        <v>36.450000000000003</v>
      </c>
      <c r="E563">
        <v>3.65</v>
      </c>
      <c r="F563">
        <v>0</v>
      </c>
      <c r="G563">
        <v>0.1</v>
      </c>
      <c r="H563" t="s">
        <v>622</v>
      </c>
      <c r="J563" t="s">
        <v>623</v>
      </c>
      <c r="K563" s="1"/>
      <c r="L563" s="1">
        <v>46005.488912037035</v>
      </c>
      <c r="M563" s="2">
        <v>46005</v>
      </c>
      <c r="N563" t="s">
        <v>633</v>
      </c>
      <c r="O563" t="s">
        <v>625</v>
      </c>
      <c r="P563">
        <v>1</v>
      </c>
      <c r="Q563">
        <v>0</v>
      </c>
      <c r="R563">
        <v>36.450000000000003</v>
      </c>
      <c r="S563" t="s">
        <v>501</v>
      </c>
      <c r="T563" t="s">
        <v>778</v>
      </c>
    </row>
    <row r="564" spans="1:20" x14ac:dyDescent="0.3">
      <c r="A564">
        <v>563</v>
      </c>
      <c r="B564">
        <v>262</v>
      </c>
      <c r="C564">
        <v>4</v>
      </c>
      <c r="D564">
        <v>125.29</v>
      </c>
      <c r="E564">
        <v>12.53</v>
      </c>
      <c r="F564">
        <v>0</v>
      </c>
      <c r="G564">
        <v>0.1</v>
      </c>
      <c r="H564" t="s">
        <v>622</v>
      </c>
      <c r="J564" t="s">
        <v>623</v>
      </c>
      <c r="K564" s="1"/>
      <c r="L564" s="1">
        <v>46005.525960648149</v>
      </c>
      <c r="M564" s="2">
        <v>46005</v>
      </c>
      <c r="N564" t="s">
        <v>633</v>
      </c>
      <c r="O564" t="s">
        <v>625</v>
      </c>
      <c r="P564">
        <v>1</v>
      </c>
      <c r="Q564">
        <v>0</v>
      </c>
      <c r="R564">
        <v>125.29</v>
      </c>
      <c r="S564" t="s">
        <v>519</v>
      </c>
      <c r="T564" t="s">
        <v>778</v>
      </c>
    </row>
    <row r="565" spans="1:20" x14ac:dyDescent="0.3">
      <c r="A565">
        <v>564</v>
      </c>
      <c r="B565">
        <v>155</v>
      </c>
      <c r="C565">
        <v>3</v>
      </c>
      <c r="D565">
        <v>20.66</v>
      </c>
      <c r="E565">
        <v>2.0699999999999998</v>
      </c>
      <c r="F565">
        <v>0</v>
      </c>
      <c r="G565">
        <v>0.1</v>
      </c>
      <c r="H565" t="s">
        <v>622</v>
      </c>
      <c r="J565" t="s">
        <v>623</v>
      </c>
      <c r="K565" s="1"/>
      <c r="L565" s="1">
        <v>46005.569675925923</v>
      </c>
      <c r="M565" s="2">
        <v>46005</v>
      </c>
      <c r="N565" t="s">
        <v>633</v>
      </c>
      <c r="O565" t="s">
        <v>625</v>
      </c>
      <c r="P565">
        <v>1</v>
      </c>
      <c r="Q565">
        <v>0</v>
      </c>
      <c r="R565">
        <v>20.66</v>
      </c>
      <c r="S565" t="s">
        <v>305</v>
      </c>
      <c r="T565" t="s">
        <v>777</v>
      </c>
    </row>
    <row r="566" spans="1:20" x14ac:dyDescent="0.3">
      <c r="A566">
        <v>565</v>
      </c>
      <c r="B566">
        <v>44</v>
      </c>
      <c r="C566">
        <v>4</v>
      </c>
      <c r="D566">
        <v>25.49</v>
      </c>
      <c r="E566">
        <v>0</v>
      </c>
      <c r="F566">
        <v>1</v>
      </c>
      <c r="G566">
        <v>0.1</v>
      </c>
      <c r="H566" t="s">
        <v>622</v>
      </c>
      <c r="J566" t="s">
        <v>623</v>
      </c>
      <c r="K566" s="1"/>
      <c r="L566" s="1">
        <v>46005.583657407406</v>
      </c>
      <c r="M566" s="2">
        <v>46005</v>
      </c>
      <c r="N566" t="s">
        <v>633</v>
      </c>
      <c r="O566" t="s">
        <v>629</v>
      </c>
      <c r="P566">
        <v>1</v>
      </c>
      <c r="Q566">
        <v>0</v>
      </c>
      <c r="R566">
        <v>25.49</v>
      </c>
      <c r="S566" t="s">
        <v>84</v>
      </c>
      <c r="T566" t="s">
        <v>778</v>
      </c>
    </row>
    <row r="567" spans="1:20" x14ac:dyDescent="0.3">
      <c r="A567">
        <v>566</v>
      </c>
      <c r="B567">
        <v>137</v>
      </c>
      <c r="C567">
        <v>5</v>
      </c>
      <c r="D567">
        <v>37.39</v>
      </c>
      <c r="E567">
        <v>3.74</v>
      </c>
      <c r="F567">
        <v>0</v>
      </c>
      <c r="G567">
        <v>0.1</v>
      </c>
      <c r="H567" t="s">
        <v>622</v>
      </c>
      <c r="J567" t="s">
        <v>623</v>
      </c>
      <c r="K567" s="1"/>
      <c r="L567" s="1">
        <v>46005.616689814815</v>
      </c>
      <c r="M567" s="2">
        <v>46005</v>
      </c>
      <c r="N567" t="s">
        <v>633</v>
      </c>
      <c r="O567" t="s">
        <v>625</v>
      </c>
      <c r="P567">
        <v>1</v>
      </c>
      <c r="Q567">
        <v>0</v>
      </c>
      <c r="R567">
        <v>37.39</v>
      </c>
      <c r="S567" t="s">
        <v>269</v>
      </c>
      <c r="T567" t="s">
        <v>779</v>
      </c>
    </row>
    <row r="568" spans="1:20" x14ac:dyDescent="0.3">
      <c r="A568">
        <v>567</v>
      </c>
      <c r="B568">
        <v>26</v>
      </c>
      <c r="C568">
        <v>5</v>
      </c>
      <c r="D568">
        <v>43.33</v>
      </c>
      <c r="E568">
        <v>4.33</v>
      </c>
      <c r="F568">
        <v>0</v>
      </c>
      <c r="G568">
        <v>0.1</v>
      </c>
      <c r="H568" t="s">
        <v>622</v>
      </c>
      <c r="J568" t="s">
        <v>623</v>
      </c>
      <c r="K568" s="1"/>
      <c r="L568" s="1">
        <v>46005.697222222225</v>
      </c>
      <c r="M568" s="2">
        <v>46005</v>
      </c>
      <c r="N568" t="s">
        <v>633</v>
      </c>
      <c r="O568" t="s">
        <v>625</v>
      </c>
      <c r="P568">
        <v>1</v>
      </c>
      <c r="Q568">
        <v>0</v>
      </c>
      <c r="R568">
        <v>43.33</v>
      </c>
      <c r="S568" t="s">
        <v>48</v>
      </c>
      <c r="T568" t="s">
        <v>779</v>
      </c>
    </row>
    <row r="569" spans="1:20" x14ac:dyDescent="0.3">
      <c r="A569">
        <v>568</v>
      </c>
      <c r="B569">
        <v>57</v>
      </c>
      <c r="C569">
        <v>4</v>
      </c>
      <c r="D569">
        <v>96.13</v>
      </c>
      <c r="E569">
        <v>9.61</v>
      </c>
      <c r="F569">
        <v>0</v>
      </c>
      <c r="G569">
        <v>0.1</v>
      </c>
      <c r="H569" t="s">
        <v>622</v>
      </c>
      <c r="J569" t="s">
        <v>623</v>
      </c>
      <c r="K569" s="1"/>
      <c r="L569" s="1">
        <v>46005.734432870369</v>
      </c>
      <c r="M569" s="2">
        <v>46005</v>
      </c>
      <c r="N569" t="s">
        <v>633</v>
      </c>
      <c r="O569" t="s">
        <v>625</v>
      </c>
      <c r="P569">
        <v>1</v>
      </c>
      <c r="Q569">
        <v>0</v>
      </c>
      <c r="R569">
        <v>96.13</v>
      </c>
      <c r="S569" t="s">
        <v>110</v>
      </c>
      <c r="T569" t="s">
        <v>778</v>
      </c>
    </row>
    <row r="570" spans="1:20" x14ac:dyDescent="0.3">
      <c r="A570">
        <v>569</v>
      </c>
      <c r="B570">
        <v>136</v>
      </c>
      <c r="C570">
        <v>3</v>
      </c>
      <c r="D570">
        <v>193.48</v>
      </c>
      <c r="E570">
        <v>19.350000000000001</v>
      </c>
      <c r="F570">
        <v>0</v>
      </c>
      <c r="G570">
        <v>0.1</v>
      </c>
      <c r="H570" t="s">
        <v>622</v>
      </c>
      <c r="J570" t="s">
        <v>623</v>
      </c>
      <c r="K570" s="1"/>
      <c r="L570" s="1">
        <v>46006.299791666665</v>
      </c>
      <c r="M570" s="2">
        <v>46006</v>
      </c>
      <c r="N570" t="s">
        <v>633</v>
      </c>
      <c r="O570" t="s">
        <v>625</v>
      </c>
      <c r="P570">
        <v>1</v>
      </c>
      <c r="Q570">
        <v>0</v>
      </c>
      <c r="R570">
        <v>193.48</v>
      </c>
      <c r="S570" t="s">
        <v>267</v>
      </c>
      <c r="T570" t="s">
        <v>777</v>
      </c>
    </row>
    <row r="571" spans="1:20" x14ac:dyDescent="0.3">
      <c r="A571">
        <v>570</v>
      </c>
      <c r="B571">
        <v>253</v>
      </c>
      <c r="C571">
        <v>5</v>
      </c>
      <c r="D571">
        <v>14.18</v>
      </c>
      <c r="E571">
        <v>1.42</v>
      </c>
      <c r="F571">
        <v>0</v>
      </c>
      <c r="G571">
        <v>0.1</v>
      </c>
      <c r="H571" t="s">
        <v>622</v>
      </c>
      <c r="J571" t="s">
        <v>623</v>
      </c>
      <c r="K571" s="1"/>
      <c r="L571" s="1">
        <v>46006.328657407408</v>
      </c>
      <c r="M571" s="2">
        <v>46006</v>
      </c>
      <c r="N571" t="s">
        <v>633</v>
      </c>
      <c r="O571" t="s">
        <v>625</v>
      </c>
      <c r="P571">
        <v>1</v>
      </c>
      <c r="Q571">
        <v>0</v>
      </c>
      <c r="R571">
        <v>14.18</v>
      </c>
      <c r="S571" t="s">
        <v>501</v>
      </c>
      <c r="T571" t="s">
        <v>779</v>
      </c>
    </row>
    <row r="572" spans="1:20" x14ac:dyDescent="0.3">
      <c r="A572">
        <v>571</v>
      </c>
      <c r="B572">
        <v>39</v>
      </c>
      <c r="C572">
        <v>4</v>
      </c>
      <c r="D572">
        <v>292.19</v>
      </c>
      <c r="E572">
        <v>29.22</v>
      </c>
      <c r="F572">
        <v>0</v>
      </c>
      <c r="G572">
        <v>0.1</v>
      </c>
      <c r="H572" t="s">
        <v>622</v>
      </c>
      <c r="J572" t="s">
        <v>623</v>
      </c>
      <c r="K572" s="1"/>
      <c r="L572" s="1">
        <v>46006.416967592595</v>
      </c>
      <c r="M572" s="2">
        <v>46006</v>
      </c>
      <c r="N572" t="s">
        <v>633</v>
      </c>
      <c r="O572" t="s">
        <v>625</v>
      </c>
      <c r="P572">
        <v>1</v>
      </c>
      <c r="Q572">
        <v>0</v>
      </c>
      <c r="R572">
        <v>292.19</v>
      </c>
      <c r="S572" t="s">
        <v>74</v>
      </c>
      <c r="T572" t="s">
        <v>778</v>
      </c>
    </row>
    <row r="573" spans="1:20" x14ac:dyDescent="0.3">
      <c r="A573">
        <v>572</v>
      </c>
      <c r="B573">
        <v>52</v>
      </c>
      <c r="C573">
        <v>3</v>
      </c>
      <c r="D573">
        <v>28.63</v>
      </c>
      <c r="E573">
        <v>2.86</v>
      </c>
      <c r="F573">
        <v>0</v>
      </c>
      <c r="G573">
        <v>0.1</v>
      </c>
      <c r="H573" t="s">
        <v>622</v>
      </c>
      <c r="J573" t="s">
        <v>623</v>
      </c>
      <c r="K573" s="1"/>
      <c r="L573" s="1">
        <v>46006.417685185188</v>
      </c>
      <c r="M573" s="2">
        <v>46006</v>
      </c>
      <c r="N573" t="s">
        <v>633</v>
      </c>
      <c r="O573" t="s">
        <v>625</v>
      </c>
      <c r="P573">
        <v>1</v>
      </c>
      <c r="Q573">
        <v>0</v>
      </c>
      <c r="R573">
        <v>28.63</v>
      </c>
      <c r="S573" t="s">
        <v>100</v>
      </c>
      <c r="T573" t="s">
        <v>777</v>
      </c>
    </row>
    <row r="574" spans="1:20" x14ac:dyDescent="0.3">
      <c r="A574">
        <v>573</v>
      </c>
      <c r="B574">
        <v>58</v>
      </c>
      <c r="C574">
        <v>3</v>
      </c>
      <c r="D574">
        <v>70.91</v>
      </c>
      <c r="E574">
        <v>7.09</v>
      </c>
      <c r="F574">
        <v>0</v>
      </c>
      <c r="G574">
        <v>0.1</v>
      </c>
      <c r="H574" t="s">
        <v>622</v>
      </c>
      <c r="J574" t="s">
        <v>623</v>
      </c>
      <c r="K574" s="1"/>
      <c r="L574" s="1">
        <v>46006.451516203706</v>
      </c>
      <c r="M574" s="2">
        <v>46006</v>
      </c>
      <c r="N574" t="s">
        <v>633</v>
      </c>
      <c r="O574" t="s">
        <v>625</v>
      </c>
      <c r="P574">
        <v>1</v>
      </c>
      <c r="Q574">
        <v>0</v>
      </c>
      <c r="R574">
        <v>70.91</v>
      </c>
      <c r="S574" t="s">
        <v>112</v>
      </c>
      <c r="T574" t="s">
        <v>777</v>
      </c>
    </row>
    <row r="575" spans="1:20" x14ac:dyDescent="0.3">
      <c r="A575">
        <v>574</v>
      </c>
      <c r="B575">
        <v>150</v>
      </c>
      <c r="C575">
        <v>3</v>
      </c>
      <c r="D575">
        <v>68.48</v>
      </c>
      <c r="E575">
        <v>6.85</v>
      </c>
      <c r="F575">
        <v>0</v>
      </c>
      <c r="G575">
        <v>0.1</v>
      </c>
      <c r="H575" t="s">
        <v>622</v>
      </c>
      <c r="J575" t="s">
        <v>623</v>
      </c>
      <c r="K575" s="1"/>
      <c r="L575" s="1">
        <v>46006.498402777775</v>
      </c>
      <c r="M575" s="2">
        <v>46006</v>
      </c>
      <c r="N575" t="s">
        <v>633</v>
      </c>
      <c r="O575" t="s">
        <v>625</v>
      </c>
      <c r="P575">
        <v>1</v>
      </c>
      <c r="Q575">
        <v>0</v>
      </c>
      <c r="R575">
        <v>68.48</v>
      </c>
      <c r="S575" t="s">
        <v>295</v>
      </c>
      <c r="T575" t="s">
        <v>777</v>
      </c>
    </row>
    <row r="576" spans="1:20" x14ac:dyDescent="0.3">
      <c r="A576">
        <v>575</v>
      </c>
      <c r="B576">
        <v>97</v>
      </c>
      <c r="C576">
        <v>2</v>
      </c>
      <c r="D576">
        <v>70.97</v>
      </c>
      <c r="E576">
        <v>7.1</v>
      </c>
      <c r="F576">
        <v>0</v>
      </c>
      <c r="G576">
        <v>0.1</v>
      </c>
      <c r="H576" t="s">
        <v>622</v>
      </c>
      <c r="J576" t="s">
        <v>623</v>
      </c>
      <c r="K576" s="1"/>
      <c r="L576" s="1">
        <v>46006.519444444442</v>
      </c>
      <c r="M576" s="2">
        <v>46006</v>
      </c>
      <c r="N576" t="s">
        <v>633</v>
      </c>
      <c r="O576" t="s">
        <v>625</v>
      </c>
      <c r="P576">
        <v>1</v>
      </c>
      <c r="Q576">
        <v>0</v>
      </c>
      <c r="R576">
        <v>70.97</v>
      </c>
      <c r="S576" t="s">
        <v>189</v>
      </c>
      <c r="T576" t="s">
        <v>776</v>
      </c>
    </row>
    <row r="577" spans="1:20" x14ac:dyDescent="0.3">
      <c r="A577">
        <v>576</v>
      </c>
      <c r="B577">
        <v>47</v>
      </c>
      <c r="C577">
        <v>2</v>
      </c>
      <c r="D577">
        <v>35.21</v>
      </c>
      <c r="E577">
        <v>3.52</v>
      </c>
      <c r="F577">
        <v>0</v>
      </c>
      <c r="G577">
        <v>0.1</v>
      </c>
      <c r="H577" t="s">
        <v>622</v>
      </c>
      <c r="J577" t="s">
        <v>623</v>
      </c>
      <c r="K577" s="1"/>
      <c r="L577" s="1">
        <v>46006.597986111112</v>
      </c>
      <c r="M577" s="2">
        <v>46006</v>
      </c>
      <c r="N577" t="s">
        <v>633</v>
      </c>
      <c r="O577" t="s">
        <v>625</v>
      </c>
      <c r="P577">
        <v>1</v>
      </c>
      <c r="Q577">
        <v>0</v>
      </c>
      <c r="R577">
        <v>35.21</v>
      </c>
      <c r="S577" t="s">
        <v>90</v>
      </c>
      <c r="T577" t="s">
        <v>776</v>
      </c>
    </row>
    <row r="578" spans="1:20" x14ac:dyDescent="0.3">
      <c r="A578">
        <v>577</v>
      </c>
      <c r="B578">
        <v>70</v>
      </c>
      <c r="C578">
        <v>4</v>
      </c>
      <c r="D578">
        <v>230.91</v>
      </c>
      <c r="E578">
        <v>23.09</v>
      </c>
      <c r="F578">
        <v>0</v>
      </c>
      <c r="G578">
        <v>0.1</v>
      </c>
      <c r="H578" t="s">
        <v>622</v>
      </c>
      <c r="J578" t="s">
        <v>623</v>
      </c>
      <c r="K578" s="1"/>
      <c r="L578" s="1">
        <v>46007.331909722219</v>
      </c>
      <c r="M578" s="2">
        <v>46007</v>
      </c>
      <c r="N578" t="s">
        <v>633</v>
      </c>
      <c r="O578" t="s">
        <v>625</v>
      </c>
      <c r="P578">
        <v>1</v>
      </c>
      <c r="Q578">
        <v>0</v>
      </c>
      <c r="R578">
        <v>230.91</v>
      </c>
      <c r="S578" t="s">
        <v>136</v>
      </c>
      <c r="T578" t="s">
        <v>778</v>
      </c>
    </row>
    <row r="579" spans="1:20" x14ac:dyDescent="0.3">
      <c r="A579">
        <v>578</v>
      </c>
      <c r="B579">
        <v>27</v>
      </c>
      <c r="C579">
        <v>4</v>
      </c>
      <c r="D579">
        <v>45.4</v>
      </c>
      <c r="E579">
        <v>4.54</v>
      </c>
      <c r="F579">
        <v>0</v>
      </c>
      <c r="G579">
        <v>0.1</v>
      </c>
      <c r="H579" t="s">
        <v>622</v>
      </c>
      <c r="J579" t="s">
        <v>623</v>
      </c>
      <c r="K579" s="1"/>
      <c r="L579" s="1">
        <v>46007.334756944445</v>
      </c>
      <c r="M579" s="2">
        <v>46007</v>
      </c>
      <c r="N579" t="s">
        <v>633</v>
      </c>
      <c r="O579" t="s">
        <v>625</v>
      </c>
      <c r="P579">
        <v>1</v>
      </c>
      <c r="Q579">
        <v>0</v>
      </c>
      <c r="R579">
        <v>45.4</v>
      </c>
      <c r="S579" t="s">
        <v>50</v>
      </c>
      <c r="T579" t="s">
        <v>778</v>
      </c>
    </row>
    <row r="580" spans="1:20" x14ac:dyDescent="0.3">
      <c r="A580">
        <v>579</v>
      </c>
      <c r="B580">
        <v>117</v>
      </c>
      <c r="C580">
        <v>3</v>
      </c>
      <c r="D580">
        <v>67.23</v>
      </c>
      <c r="E580">
        <v>6.72</v>
      </c>
      <c r="F580">
        <v>0</v>
      </c>
      <c r="G580">
        <v>0.1</v>
      </c>
      <c r="H580" t="s">
        <v>622</v>
      </c>
      <c r="J580" t="s">
        <v>623</v>
      </c>
      <c r="K580" s="1"/>
      <c r="L580" s="1">
        <v>46007.366782407407</v>
      </c>
      <c r="M580" s="2">
        <v>46007</v>
      </c>
      <c r="N580" t="s">
        <v>633</v>
      </c>
      <c r="O580" t="s">
        <v>625</v>
      </c>
      <c r="P580">
        <v>1</v>
      </c>
      <c r="Q580">
        <v>0</v>
      </c>
      <c r="R580">
        <v>67.23</v>
      </c>
      <c r="S580" t="s">
        <v>229</v>
      </c>
      <c r="T580" t="s">
        <v>777</v>
      </c>
    </row>
    <row r="581" spans="1:20" x14ac:dyDescent="0.3">
      <c r="A581">
        <v>580</v>
      </c>
      <c r="B581">
        <v>76</v>
      </c>
      <c r="C581">
        <v>5</v>
      </c>
      <c r="D581">
        <v>94.7</v>
      </c>
      <c r="E581">
        <v>9.4700000000000006</v>
      </c>
      <c r="F581">
        <v>0</v>
      </c>
      <c r="G581">
        <v>0.1</v>
      </c>
      <c r="H581" t="s">
        <v>622</v>
      </c>
      <c r="J581" t="s">
        <v>623</v>
      </c>
      <c r="K581" s="1"/>
      <c r="L581" s="1">
        <v>46007.404699074075</v>
      </c>
      <c r="M581" s="2">
        <v>46007</v>
      </c>
      <c r="N581" t="s">
        <v>633</v>
      </c>
      <c r="O581" t="s">
        <v>625</v>
      </c>
      <c r="P581">
        <v>1</v>
      </c>
      <c r="Q581">
        <v>0</v>
      </c>
      <c r="R581">
        <v>94.7</v>
      </c>
      <c r="S581" t="s">
        <v>148</v>
      </c>
      <c r="T581" t="s">
        <v>779</v>
      </c>
    </row>
    <row r="582" spans="1:20" x14ac:dyDescent="0.3">
      <c r="A582">
        <v>581</v>
      </c>
      <c r="B582">
        <v>240</v>
      </c>
      <c r="C582">
        <v>2</v>
      </c>
      <c r="D582">
        <v>157.16</v>
      </c>
      <c r="E582">
        <v>15.72</v>
      </c>
      <c r="F582">
        <v>0</v>
      </c>
      <c r="G582">
        <v>0.1</v>
      </c>
      <c r="H582" t="s">
        <v>622</v>
      </c>
      <c r="J582" t="s">
        <v>623</v>
      </c>
      <c r="K582" s="1"/>
      <c r="L582" s="1">
        <v>46007.420243055552</v>
      </c>
      <c r="M582" s="2">
        <v>46007</v>
      </c>
      <c r="N582" t="s">
        <v>633</v>
      </c>
      <c r="O582" t="s">
        <v>625</v>
      </c>
      <c r="P582">
        <v>1</v>
      </c>
      <c r="Q582">
        <v>0</v>
      </c>
      <c r="R582">
        <v>157.16</v>
      </c>
      <c r="S582" t="s">
        <v>475</v>
      </c>
      <c r="T582" t="s">
        <v>776</v>
      </c>
    </row>
    <row r="583" spans="1:20" x14ac:dyDescent="0.3">
      <c r="A583">
        <v>582</v>
      </c>
      <c r="B583">
        <v>137</v>
      </c>
      <c r="C583">
        <v>4</v>
      </c>
      <c r="D583">
        <v>37.11</v>
      </c>
      <c r="E583">
        <v>3.71</v>
      </c>
      <c r="F583">
        <v>0</v>
      </c>
      <c r="G583">
        <v>0.1</v>
      </c>
      <c r="H583" t="s">
        <v>622</v>
      </c>
      <c r="J583" t="s">
        <v>623</v>
      </c>
      <c r="K583" s="1"/>
      <c r="L583" s="1">
        <v>46007.444780092592</v>
      </c>
      <c r="M583" s="2">
        <v>46007</v>
      </c>
      <c r="N583" t="s">
        <v>633</v>
      </c>
      <c r="O583" t="s">
        <v>625</v>
      </c>
      <c r="P583">
        <v>1</v>
      </c>
      <c r="Q583">
        <v>0</v>
      </c>
      <c r="R583">
        <v>37.11</v>
      </c>
      <c r="S583" t="s">
        <v>269</v>
      </c>
      <c r="T583" t="s">
        <v>778</v>
      </c>
    </row>
    <row r="584" spans="1:20" x14ac:dyDescent="0.3">
      <c r="A584">
        <v>583</v>
      </c>
      <c r="B584">
        <v>17</v>
      </c>
      <c r="C584">
        <v>5</v>
      </c>
      <c r="D584">
        <v>123.42</v>
      </c>
      <c r="E584">
        <v>12.34</v>
      </c>
      <c r="F584">
        <v>0</v>
      </c>
      <c r="G584">
        <v>0.1</v>
      </c>
      <c r="H584" t="s">
        <v>622</v>
      </c>
      <c r="J584" t="s">
        <v>623</v>
      </c>
      <c r="K584" s="1"/>
      <c r="L584" s="1">
        <v>46007.446516203701</v>
      </c>
      <c r="M584" s="2">
        <v>46007</v>
      </c>
      <c r="N584" t="s">
        <v>633</v>
      </c>
      <c r="O584" t="s">
        <v>625</v>
      </c>
      <c r="P584">
        <v>1</v>
      </c>
      <c r="Q584">
        <v>0</v>
      </c>
      <c r="R584">
        <v>123.42</v>
      </c>
      <c r="S584" t="s">
        <v>30</v>
      </c>
      <c r="T584" t="s">
        <v>779</v>
      </c>
    </row>
    <row r="585" spans="1:20" x14ac:dyDescent="0.3">
      <c r="A585">
        <v>584</v>
      </c>
      <c r="B585">
        <v>16</v>
      </c>
      <c r="C585">
        <v>2</v>
      </c>
      <c r="D585">
        <v>278.97000000000003</v>
      </c>
      <c r="E585">
        <v>27.9</v>
      </c>
      <c r="F585">
        <v>0</v>
      </c>
      <c r="G585">
        <v>0.1</v>
      </c>
      <c r="H585" t="s">
        <v>622</v>
      </c>
      <c r="J585" t="s">
        <v>623</v>
      </c>
      <c r="K585" s="1"/>
      <c r="L585" s="1">
        <v>46007.46565972222</v>
      </c>
      <c r="M585" s="2">
        <v>46007</v>
      </c>
      <c r="N585" t="s">
        <v>633</v>
      </c>
      <c r="O585" t="s">
        <v>625</v>
      </c>
      <c r="P585">
        <v>1</v>
      </c>
      <c r="Q585">
        <v>0</v>
      </c>
      <c r="R585">
        <v>278.97000000000003</v>
      </c>
      <c r="S585" t="s">
        <v>28</v>
      </c>
      <c r="T585" t="s">
        <v>776</v>
      </c>
    </row>
    <row r="586" spans="1:20" x14ac:dyDescent="0.3">
      <c r="A586">
        <v>585</v>
      </c>
      <c r="B586">
        <v>65</v>
      </c>
      <c r="C586">
        <v>4</v>
      </c>
      <c r="D586">
        <v>19.670000000000002</v>
      </c>
      <c r="E586">
        <v>1.97</v>
      </c>
      <c r="F586">
        <v>0</v>
      </c>
      <c r="G586">
        <v>0.1</v>
      </c>
      <c r="H586" t="s">
        <v>622</v>
      </c>
      <c r="J586" t="s">
        <v>623</v>
      </c>
      <c r="K586" s="1"/>
      <c r="L586" s="1">
        <v>46007.543495370373</v>
      </c>
      <c r="M586" s="2">
        <v>46007</v>
      </c>
      <c r="N586" t="s">
        <v>633</v>
      </c>
      <c r="O586" t="s">
        <v>625</v>
      </c>
      <c r="P586">
        <v>1</v>
      </c>
      <c r="Q586">
        <v>0</v>
      </c>
      <c r="R586">
        <v>19.670000000000002</v>
      </c>
      <c r="S586" t="s">
        <v>126</v>
      </c>
      <c r="T586" t="s">
        <v>778</v>
      </c>
    </row>
    <row r="587" spans="1:20" x14ac:dyDescent="0.3">
      <c r="A587">
        <v>586</v>
      </c>
      <c r="B587">
        <v>36</v>
      </c>
      <c r="C587">
        <v>5</v>
      </c>
      <c r="D587">
        <v>94.51</v>
      </c>
      <c r="E587">
        <v>9.4499999999999993</v>
      </c>
      <c r="F587">
        <v>0</v>
      </c>
      <c r="G587">
        <v>0.1</v>
      </c>
      <c r="H587" t="s">
        <v>622</v>
      </c>
      <c r="J587" t="s">
        <v>623</v>
      </c>
      <c r="K587" s="1"/>
      <c r="L587" s="1">
        <v>46007.584594907406</v>
      </c>
      <c r="M587" s="2">
        <v>46007</v>
      </c>
      <c r="N587" t="s">
        <v>633</v>
      </c>
      <c r="O587" t="s">
        <v>625</v>
      </c>
      <c r="P587">
        <v>1</v>
      </c>
      <c r="Q587">
        <v>0</v>
      </c>
      <c r="R587">
        <v>94.51</v>
      </c>
      <c r="S587" t="s">
        <v>68</v>
      </c>
      <c r="T587" t="s">
        <v>779</v>
      </c>
    </row>
    <row r="588" spans="1:20" x14ac:dyDescent="0.3">
      <c r="A588">
        <v>587</v>
      </c>
      <c r="B588">
        <v>106</v>
      </c>
      <c r="C588">
        <v>2</v>
      </c>
      <c r="D588">
        <v>65.260000000000005</v>
      </c>
      <c r="E588">
        <v>6.53</v>
      </c>
      <c r="F588">
        <v>0</v>
      </c>
      <c r="G588">
        <v>0.1</v>
      </c>
      <c r="H588" t="s">
        <v>622</v>
      </c>
      <c r="J588" t="s">
        <v>623</v>
      </c>
      <c r="K588" s="1"/>
      <c r="L588" s="1">
        <v>46007.586747685185</v>
      </c>
      <c r="M588" s="2">
        <v>46007</v>
      </c>
      <c r="N588" t="s">
        <v>633</v>
      </c>
      <c r="O588" t="s">
        <v>625</v>
      </c>
      <c r="P588">
        <v>1</v>
      </c>
      <c r="Q588">
        <v>0</v>
      </c>
      <c r="R588">
        <v>65.260000000000005</v>
      </c>
      <c r="S588" t="s">
        <v>207</v>
      </c>
      <c r="T588" t="s">
        <v>776</v>
      </c>
    </row>
    <row r="589" spans="1:20" x14ac:dyDescent="0.3">
      <c r="A589">
        <v>588</v>
      </c>
      <c r="B589">
        <v>65</v>
      </c>
      <c r="C589">
        <v>4</v>
      </c>
      <c r="D589">
        <v>22.56</v>
      </c>
      <c r="E589">
        <v>2.2599999999999998</v>
      </c>
      <c r="F589">
        <v>0</v>
      </c>
      <c r="G589">
        <v>0.1</v>
      </c>
      <c r="H589" t="s">
        <v>622</v>
      </c>
      <c r="J589" t="s">
        <v>623</v>
      </c>
      <c r="K589" s="1"/>
      <c r="L589" s="1">
        <v>46007.689085648148</v>
      </c>
      <c r="M589" s="2">
        <v>46007</v>
      </c>
      <c r="N589" t="s">
        <v>633</v>
      </c>
      <c r="O589" t="s">
        <v>625</v>
      </c>
      <c r="P589">
        <v>1</v>
      </c>
      <c r="Q589">
        <v>0</v>
      </c>
      <c r="R589">
        <v>22.56</v>
      </c>
      <c r="S589" t="s">
        <v>126</v>
      </c>
      <c r="T589" t="s">
        <v>778</v>
      </c>
    </row>
    <row r="590" spans="1:20" x14ac:dyDescent="0.3">
      <c r="A590">
        <v>589</v>
      </c>
      <c r="B590">
        <v>48</v>
      </c>
      <c r="C590">
        <v>3</v>
      </c>
      <c r="D590">
        <v>163.38999999999999</v>
      </c>
      <c r="E590">
        <v>16.34</v>
      </c>
      <c r="F590">
        <v>0</v>
      </c>
      <c r="G590">
        <v>0.1</v>
      </c>
      <c r="H590" t="s">
        <v>622</v>
      </c>
      <c r="J590" t="s">
        <v>623</v>
      </c>
      <c r="K590" s="1"/>
      <c r="L590" s="1">
        <v>46007.766215277778</v>
      </c>
      <c r="M590" s="2">
        <v>46007</v>
      </c>
      <c r="N590" t="s">
        <v>633</v>
      </c>
      <c r="O590" t="s">
        <v>625</v>
      </c>
      <c r="P590">
        <v>1</v>
      </c>
      <c r="Q590">
        <v>0</v>
      </c>
      <c r="R590">
        <v>163.38999999999999</v>
      </c>
      <c r="S590" t="s">
        <v>92</v>
      </c>
      <c r="T590" t="s">
        <v>777</v>
      </c>
    </row>
    <row r="591" spans="1:20" x14ac:dyDescent="0.3">
      <c r="A591">
        <v>590</v>
      </c>
      <c r="B591">
        <v>296</v>
      </c>
      <c r="C591">
        <v>2</v>
      </c>
      <c r="D591">
        <v>112.64</v>
      </c>
      <c r="E591">
        <v>11.26</v>
      </c>
      <c r="F591">
        <v>0</v>
      </c>
      <c r="G591">
        <v>0.1</v>
      </c>
      <c r="H591" t="s">
        <v>622</v>
      </c>
      <c r="J591" t="s">
        <v>623</v>
      </c>
      <c r="K591" s="1"/>
      <c r="L591" s="1">
        <v>46008.292893518519</v>
      </c>
      <c r="M591" s="2">
        <v>46008</v>
      </c>
      <c r="N591" t="s">
        <v>633</v>
      </c>
      <c r="O591" t="s">
        <v>625</v>
      </c>
      <c r="P591">
        <v>1</v>
      </c>
      <c r="Q591">
        <v>0</v>
      </c>
      <c r="R591">
        <v>112.64</v>
      </c>
      <c r="S591" t="s">
        <v>587</v>
      </c>
      <c r="T591" t="s">
        <v>776</v>
      </c>
    </row>
    <row r="592" spans="1:20" x14ac:dyDescent="0.3">
      <c r="A592">
        <v>591</v>
      </c>
      <c r="B592">
        <v>44</v>
      </c>
      <c r="C592">
        <v>2</v>
      </c>
      <c r="D592">
        <v>51.8</v>
      </c>
      <c r="E592">
        <v>5.18</v>
      </c>
      <c r="F592">
        <v>0</v>
      </c>
      <c r="G592">
        <v>0.1</v>
      </c>
      <c r="H592" t="s">
        <v>622</v>
      </c>
      <c r="J592" t="s">
        <v>623</v>
      </c>
      <c r="K592" s="1"/>
      <c r="L592" s="1">
        <v>46008.31144675926</v>
      </c>
      <c r="M592" s="2">
        <v>46008</v>
      </c>
      <c r="N592" t="s">
        <v>633</v>
      </c>
      <c r="O592" t="s">
        <v>625</v>
      </c>
      <c r="P592">
        <v>1</v>
      </c>
      <c r="Q592">
        <v>0</v>
      </c>
      <c r="R592">
        <v>51.8</v>
      </c>
      <c r="S592" t="s">
        <v>84</v>
      </c>
      <c r="T592" t="s">
        <v>776</v>
      </c>
    </row>
    <row r="593" spans="1:20" x14ac:dyDescent="0.3">
      <c r="A593">
        <v>592</v>
      </c>
      <c r="B593">
        <v>137</v>
      </c>
      <c r="C593">
        <v>5</v>
      </c>
      <c r="D593">
        <v>61.47</v>
      </c>
      <c r="E593">
        <v>6.15</v>
      </c>
      <c r="F593">
        <v>0</v>
      </c>
      <c r="G593">
        <v>0.1</v>
      </c>
      <c r="H593" t="s">
        <v>622</v>
      </c>
      <c r="J593" t="s">
        <v>623</v>
      </c>
      <c r="K593" s="1"/>
      <c r="L593" s="1">
        <v>46008.387187499997</v>
      </c>
      <c r="M593" s="2">
        <v>46008</v>
      </c>
      <c r="N593" t="s">
        <v>633</v>
      </c>
      <c r="O593" t="s">
        <v>625</v>
      </c>
      <c r="P593">
        <v>1</v>
      </c>
      <c r="Q593">
        <v>0</v>
      </c>
      <c r="R593">
        <v>61.47</v>
      </c>
      <c r="S593" t="s">
        <v>269</v>
      </c>
      <c r="T593" t="s">
        <v>779</v>
      </c>
    </row>
    <row r="594" spans="1:20" x14ac:dyDescent="0.3">
      <c r="A594">
        <v>593</v>
      </c>
      <c r="B594">
        <v>209</v>
      </c>
      <c r="C594">
        <v>2</v>
      </c>
      <c r="D594">
        <v>174.89</v>
      </c>
      <c r="E594">
        <v>17.489999999999998</v>
      </c>
      <c r="F594">
        <v>0</v>
      </c>
      <c r="G594">
        <v>0.1</v>
      </c>
      <c r="H594" t="s">
        <v>622</v>
      </c>
      <c r="J594" t="s">
        <v>623</v>
      </c>
      <c r="K594" s="1"/>
      <c r="L594" s="1">
        <v>46008.486840277779</v>
      </c>
      <c r="M594" s="2">
        <v>46008</v>
      </c>
      <c r="N594" t="s">
        <v>633</v>
      </c>
      <c r="O594" t="s">
        <v>625</v>
      </c>
      <c r="P594">
        <v>1</v>
      </c>
      <c r="Q594">
        <v>0</v>
      </c>
      <c r="R594">
        <v>174.89</v>
      </c>
      <c r="S594" t="s">
        <v>413</v>
      </c>
      <c r="T594" t="s">
        <v>776</v>
      </c>
    </row>
    <row r="595" spans="1:20" x14ac:dyDescent="0.3">
      <c r="A595">
        <v>594</v>
      </c>
      <c r="B595">
        <v>207</v>
      </c>
      <c r="C595">
        <v>2</v>
      </c>
      <c r="D595">
        <v>32.86</v>
      </c>
      <c r="E595">
        <v>3.29</v>
      </c>
      <c r="F595">
        <v>0</v>
      </c>
      <c r="G595">
        <v>0.1</v>
      </c>
      <c r="H595" t="s">
        <v>622</v>
      </c>
      <c r="J595" t="s">
        <v>623</v>
      </c>
      <c r="K595" s="1"/>
      <c r="L595" s="1">
        <v>46008.497442129628</v>
      </c>
      <c r="M595" s="2">
        <v>46008</v>
      </c>
      <c r="N595" t="s">
        <v>633</v>
      </c>
      <c r="O595" t="s">
        <v>625</v>
      </c>
      <c r="P595">
        <v>1</v>
      </c>
      <c r="Q595">
        <v>0</v>
      </c>
      <c r="R595">
        <v>32.86</v>
      </c>
      <c r="S595" t="s">
        <v>409</v>
      </c>
      <c r="T595" t="s">
        <v>776</v>
      </c>
    </row>
    <row r="596" spans="1:20" x14ac:dyDescent="0.3">
      <c r="A596">
        <v>595</v>
      </c>
      <c r="B596">
        <v>21</v>
      </c>
      <c r="C596">
        <v>4</v>
      </c>
      <c r="D596">
        <v>34.58</v>
      </c>
      <c r="E596">
        <v>3.46</v>
      </c>
      <c r="F596">
        <v>0</v>
      </c>
      <c r="G596">
        <v>0.1</v>
      </c>
      <c r="H596" t="s">
        <v>622</v>
      </c>
      <c r="J596" t="s">
        <v>623</v>
      </c>
      <c r="K596" s="1"/>
      <c r="L596" s="1">
        <v>46008.520983796298</v>
      </c>
      <c r="M596" s="2">
        <v>46008</v>
      </c>
      <c r="N596" t="s">
        <v>633</v>
      </c>
      <c r="O596" t="s">
        <v>625</v>
      </c>
      <c r="P596">
        <v>1</v>
      </c>
      <c r="Q596">
        <v>0</v>
      </c>
      <c r="R596">
        <v>34.58</v>
      </c>
      <c r="S596" t="s">
        <v>38</v>
      </c>
      <c r="T596" t="s">
        <v>778</v>
      </c>
    </row>
    <row r="597" spans="1:20" x14ac:dyDescent="0.3">
      <c r="A597">
        <v>596</v>
      </c>
      <c r="B597">
        <v>262</v>
      </c>
      <c r="C597">
        <v>2</v>
      </c>
      <c r="D597">
        <v>89.55</v>
      </c>
      <c r="E597">
        <v>8.9600000000000009</v>
      </c>
      <c r="F597">
        <v>0</v>
      </c>
      <c r="G597">
        <v>0.1</v>
      </c>
      <c r="H597" t="s">
        <v>622</v>
      </c>
      <c r="J597" t="s">
        <v>623</v>
      </c>
      <c r="K597" s="1"/>
      <c r="L597" s="1">
        <v>46008.584513888891</v>
      </c>
      <c r="M597" s="2">
        <v>46008</v>
      </c>
      <c r="N597" t="s">
        <v>633</v>
      </c>
      <c r="O597" t="s">
        <v>625</v>
      </c>
      <c r="P597">
        <v>1</v>
      </c>
      <c r="Q597">
        <v>0</v>
      </c>
      <c r="R597">
        <v>89.55</v>
      </c>
      <c r="S597" t="s">
        <v>519</v>
      </c>
      <c r="T597" t="s">
        <v>776</v>
      </c>
    </row>
    <row r="598" spans="1:20" x14ac:dyDescent="0.3">
      <c r="A598">
        <v>597</v>
      </c>
      <c r="B598">
        <v>296</v>
      </c>
      <c r="C598">
        <v>5</v>
      </c>
      <c r="D598">
        <v>112.96</v>
      </c>
      <c r="E598">
        <v>11.3</v>
      </c>
      <c r="F598">
        <v>0</v>
      </c>
      <c r="G598">
        <v>0.1</v>
      </c>
      <c r="H598" t="s">
        <v>622</v>
      </c>
      <c r="J598" t="s">
        <v>623</v>
      </c>
      <c r="K598" s="1"/>
      <c r="L598" s="1">
        <v>46008.660416666666</v>
      </c>
      <c r="M598" s="2">
        <v>46008</v>
      </c>
      <c r="N598" t="s">
        <v>633</v>
      </c>
      <c r="O598" t="s">
        <v>625</v>
      </c>
      <c r="P598">
        <v>1</v>
      </c>
      <c r="Q598">
        <v>0</v>
      </c>
      <c r="R598">
        <v>112.96</v>
      </c>
      <c r="S598" t="s">
        <v>587</v>
      </c>
      <c r="T598" t="s">
        <v>779</v>
      </c>
    </row>
    <row r="599" spans="1:20" x14ac:dyDescent="0.3">
      <c r="A599">
        <v>598</v>
      </c>
      <c r="B599">
        <v>37</v>
      </c>
      <c r="C599">
        <v>2</v>
      </c>
      <c r="D599">
        <v>78.680000000000007</v>
      </c>
      <c r="E599">
        <v>7.87</v>
      </c>
      <c r="F599">
        <v>0</v>
      </c>
      <c r="G599">
        <v>0.1</v>
      </c>
      <c r="H599" t="s">
        <v>622</v>
      </c>
      <c r="J599" t="s">
        <v>623</v>
      </c>
      <c r="K599" s="1"/>
      <c r="L599" s="1">
        <v>46008.681180555555</v>
      </c>
      <c r="M599" s="2">
        <v>46008</v>
      </c>
      <c r="N599" t="s">
        <v>633</v>
      </c>
      <c r="O599" t="s">
        <v>625</v>
      </c>
      <c r="P599">
        <v>1</v>
      </c>
      <c r="Q599">
        <v>0</v>
      </c>
      <c r="R599">
        <v>78.680000000000007</v>
      </c>
      <c r="S599" t="s">
        <v>70</v>
      </c>
      <c r="T599" t="s">
        <v>776</v>
      </c>
    </row>
    <row r="600" spans="1:20" x14ac:dyDescent="0.3">
      <c r="A600">
        <v>599</v>
      </c>
      <c r="B600">
        <v>39</v>
      </c>
      <c r="C600">
        <v>5</v>
      </c>
      <c r="D600">
        <v>253.28</v>
      </c>
      <c r="E600">
        <v>25.33</v>
      </c>
      <c r="F600">
        <v>0</v>
      </c>
      <c r="G600">
        <v>0.1</v>
      </c>
      <c r="H600" t="s">
        <v>622</v>
      </c>
      <c r="J600" t="s">
        <v>623</v>
      </c>
      <c r="K600" s="1"/>
      <c r="L600" s="1">
        <v>46009.304247685184</v>
      </c>
      <c r="M600" s="2">
        <v>46009</v>
      </c>
      <c r="N600" t="s">
        <v>633</v>
      </c>
      <c r="O600" t="s">
        <v>625</v>
      </c>
      <c r="P600">
        <v>1</v>
      </c>
      <c r="Q600">
        <v>0</v>
      </c>
      <c r="R600">
        <v>253.28</v>
      </c>
      <c r="S600" t="s">
        <v>74</v>
      </c>
      <c r="T600" t="s">
        <v>779</v>
      </c>
    </row>
    <row r="601" spans="1:20" x14ac:dyDescent="0.3">
      <c r="A601">
        <v>600</v>
      </c>
      <c r="B601">
        <v>240</v>
      </c>
      <c r="C601">
        <v>5</v>
      </c>
      <c r="D601">
        <v>233.49</v>
      </c>
      <c r="E601">
        <v>23.35</v>
      </c>
      <c r="F601">
        <v>0</v>
      </c>
      <c r="G601">
        <v>0.1</v>
      </c>
      <c r="H601" t="s">
        <v>622</v>
      </c>
      <c r="J601" t="s">
        <v>623</v>
      </c>
      <c r="K601" s="1"/>
      <c r="L601" s="1">
        <v>46009.335335648146</v>
      </c>
      <c r="M601" s="2">
        <v>46009</v>
      </c>
      <c r="N601" t="s">
        <v>633</v>
      </c>
      <c r="O601" t="s">
        <v>625</v>
      </c>
      <c r="P601">
        <v>1</v>
      </c>
      <c r="Q601">
        <v>0</v>
      </c>
      <c r="R601">
        <v>233.49</v>
      </c>
      <c r="S601" t="s">
        <v>475</v>
      </c>
      <c r="T601" t="s">
        <v>779</v>
      </c>
    </row>
    <row r="602" spans="1:20" x14ac:dyDescent="0.3">
      <c r="A602">
        <v>601</v>
      </c>
      <c r="B602">
        <v>101</v>
      </c>
      <c r="C602">
        <v>3</v>
      </c>
      <c r="D602">
        <v>23.32</v>
      </c>
      <c r="E602">
        <v>2.33</v>
      </c>
      <c r="F602">
        <v>0</v>
      </c>
      <c r="G602">
        <v>0.1</v>
      </c>
      <c r="H602" t="s">
        <v>622</v>
      </c>
      <c r="J602" t="s">
        <v>623</v>
      </c>
      <c r="K602" s="1"/>
      <c r="L602" s="1">
        <v>46009.41133101852</v>
      </c>
      <c r="M602" s="2">
        <v>46009</v>
      </c>
      <c r="N602" t="s">
        <v>633</v>
      </c>
      <c r="O602" t="s">
        <v>625</v>
      </c>
      <c r="P602">
        <v>1</v>
      </c>
      <c r="Q602">
        <v>0</v>
      </c>
      <c r="R602">
        <v>23.32</v>
      </c>
      <c r="S602" t="s">
        <v>197</v>
      </c>
      <c r="T602" t="s">
        <v>777</v>
      </c>
    </row>
    <row r="603" spans="1:20" x14ac:dyDescent="0.3">
      <c r="A603">
        <v>602</v>
      </c>
      <c r="B603">
        <v>117</v>
      </c>
      <c r="C603">
        <v>2</v>
      </c>
      <c r="D603">
        <v>38.83</v>
      </c>
      <c r="E603">
        <v>3.88</v>
      </c>
      <c r="F603">
        <v>0</v>
      </c>
      <c r="G603">
        <v>0.1</v>
      </c>
      <c r="H603" t="s">
        <v>622</v>
      </c>
      <c r="J603" t="s">
        <v>623</v>
      </c>
      <c r="K603" s="1"/>
      <c r="L603" s="1">
        <v>46009.456805555557</v>
      </c>
      <c r="M603" s="2">
        <v>46009</v>
      </c>
      <c r="N603" t="s">
        <v>633</v>
      </c>
      <c r="O603" t="s">
        <v>625</v>
      </c>
      <c r="P603">
        <v>1</v>
      </c>
      <c r="Q603">
        <v>0</v>
      </c>
      <c r="R603">
        <v>38.83</v>
      </c>
      <c r="S603" t="s">
        <v>229</v>
      </c>
      <c r="T603" t="s">
        <v>776</v>
      </c>
    </row>
    <row r="604" spans="1:20" x14ac:dyDescent="0.3">
      <c r="A604">
        <v>603</v>
      </c>
      <c r="B604">
        <v>227</v>
      </c>
      <c r="C604">
        <v>4</v>
      </c>
      <c r="D604">
        <v>17.350000000000001</v>
      </c>
      <c r="E604">
        <v>1.74</v>
      </c>
      <c r="F604">
        <v>0</v>
      </c>
      <c r="G604">
        <v>0.1</v>
      </c>
      <c r="H604" t="s">
        <v>626</v>
      </c>
      <c r="I604">
        <v>5</v>
      </c>
      <c r="J604" t="s">
        <v>628</v>
      </c>
      <c r="K604" s="1">
        <v>46010.487974537034</v>
      </c>
      <c r="L604" s="1">
        <v>46009.487974537034</v>
      </c>
      <c r="M604" s="2">
        <v>46009</v>
      </c>
      <c r="N604" t="s">
        <v>633</v>
      </c>
      <c r="O604" t="s">
        <v>625</v>
      </c>
      <c r="P604">
        <v>1</v>
      </c>
      <c r="Q604">
        <v>1</v>
      </c>
      <c r="R604">
        <v>0</v>
      </c>
      <c r="S604" t="s">
        <v>449</v>
      </c>
      <c r="T604" t="s">
        <v>778</v>
      </c>
    </row>
    <row r="605" spans="1:20" x14ac:dyDescent="0.3">
      <c r="A605">
        <v>604</v>
      </c>
      <c r="B605">
        <v>79</v>
      </c>
      <c r="C605">
        <v>2</v>
      </c>
      <c r="D605">
        <v>51.39</v>
      </c>
      <c r="E605">
        <v>5.14</v>
      </c>
      <c r="F605">
        <v>0</v>
      </c>
      <c r="G605">
        <v>0.1</v>
      </c>
      <c r="H605" t="s">
        <v>622</v>
      </c>
      <c r="J605" t="s">
        <v>623</v>
      </c>
      <c r="K605" s="1"/>
      <c r="L605" s="1">
        <v>46009.605173611111</v>
      </c>
      <c r="M605" s="2">
        <v>46009</v>
      </c>
      <c r="N605" t="s">
        <v>633</v>
      </c>
      <c r="O605" t="s">
        <v>625</v>
      </c>
      <c r="P605">
        <v>1</v>
      </c>
      <c r="Q605">
        <v>0</v>
      </c>
      <c r="R605">
        <v>51.39</v>
      </c>
      <c r="S605" t="s">
        <v>154</v>
      </c>
      <c r="T605" t="s">
        <v>776</v>
      </c>
    </row>
    <row r="606" spans="1:20" x14ac:dyDescent="0.3">
      <c r="A606">
        <v>605</v>
      </c>
      <c r="B606">
        <v>21</v>
      </c>
      <c r="C606">
        <v>5</v>
      </c>
      <c r="D606">
        <v>18.399999999999999</v>
      </c>
      <c r="E606">
        <v>1.84</v>
      </c>
      <c r="F606">
        <v>0</v>
      </c>
      <c r="G606">
        <v>0.1</v>
      </c>
      <c r="H606" t="s">
        <v>622</v>
      </c>
      <c r="J606" t="s">
        <v>623</v>
      </c>
      <c r="K606" s="1"/>
      <c r="L606" s="1">
        <v>46009.611597222225</v>
      </c>
      <c r="M606" s="2">
        <v>46009</v>
      </c>
      <c r="N606" t="s">
        <v>633</v>
      </c>
      <c r="O606" t="s">
        <v>625</v>
      </c>
      <c r="P606">
        <v>1</v>
      </c>
      <c r="Q606">
        <v>0</v>
      </c>
      <c r="R606">
        <v>18.399999999999999</v>
      </c>
      <c r="S606" t="s">
        <v>38</v>
      </c>
      <c r="T606" t="s">
        <v>779</v>
      </c>
    </row>
    <row r="607" spans="1:20" x14ac:dyDescent="0.3">
      <c r="A607">
        <v>606</v>
      </c>
      <c r="B607">
        <v>17</v>
      </c>
      <c r="C607">
        <v>3</v>
      </c>
      <c r="D607">
        <v>119.36</v>
      </c>
      <c r="E607">
        <v>11.94</v>
      </c>
      <c r="F607">
        <v>0</v>
      </c>
      <c r="G607">
        <v>0.1</v>
      </c>
      <c r="H607" t="s">
        <v>622</v>
      </c>
      <c r="J607" t="s">
        <v>623</v>
      </c>
      <c r="K607" s="1"/>
      <c r="L607" s="1">
        <v>46009.666041666664</v>
      </c>
      <c r="M607" s="2">
        <v>46009</v>
      </c>
      <c r="N607" t="s">
        <v>633</v>
      </c>
      <c r="O607" t="s">
        <v>625</v>
      </c>
      <c r="P607">
        <v>1</v>
      </c>
      <c r="Q607">
        <v>0</v>
      </c>
      <c r="R607">
        <v>119.36</v>
      </c>
      <c r="S607" t="s">
        <v>30</v>
      </c>
      <c r="T607" t="s">
        <v>777</v>
      </c>
    </row>
    <row r="608" spans="1:20" x14ac:dyDescent="0.3">
      <c r="A608">
        <v>607</v>
      </c>
      <c r="B608">
        <v>42</v>
      </c>
      <c r="C608">
        <v>5</v>
      </c>
      <c r="D608">
        <v>27.82</v>
      </c>
      <c r="E608">
        <v>2.78</v>
      </c>
      <c r="F608">
        <v>0</v>
      </c>
      <c r="G608">
        <v>0.1</v>
      </c>
      <c r="H608" t="s">
        <v>622</v>
      </c>
      <c r="J608" t="s">
        <v>623</v>
      </c>
      <c r="K608" s="1"/>
      <c r="L608" s="1">
        <v>46009.677627314813</v>
      </c>
      <c r="M608" s="2">
        <v>46009</v>
      </c>
      <c r="N608" t="s">
        <v>633</v>
      </c>
      <c r="O608" t="s">
        <v>625</v>
      </c>
      <c r="P608">
        <v>1</v>
      </c>
      <c r="Q608">
        <v>0</v>
      </c>
      <c r="R608">
        <v>27.82</v>
      </c>
      <c r="S608" t="s">
        <v>80</v>
      </c>
      <c r="T608" t="s">
        <v>779</v>
      </c>
    </row>
    <row r="609" spans="1:20" x14ac:dyDescent="0.3">
      <c r="A609">
        <v>608</v>
      </c>
      <c r="B609">
        <v>70</v>
      </c>
      <c r="C609">
        <v>3</v>
      </c>
      <c r="D609">
        <v>157.72</v>
      </c>
      <c r="E609">
        <v>15.77</v>
      </c>
      <c r="F609">
        <v>0</v>
      </c>
      <c r="G609">
        <v>0.1</v>
      </c>
      <c r="H609" t="s">
        <v>622</v>
      </c>
      <c r="J609" t="s">
        <v>623</v>
      </c>
      <c r="K609" s="1"/>
      <c r="L609" s="1">
        <v>46009.708854166667</v>
      </c>
      <c r="M609" s="2">
        <v>46009</v>
      </c>
      <c r="N609" t="s">
        <v>633</v>
      </c>
      <c r="O609" t="s">
        <v>625</v>
      </c>
      <c r="P609">
        <v>1</v>
      </c>
      <c r="Q609">
        <v>0</v>
      </c>
      <c r="R609">
        <v>157.72</v>
      </c>
      <c r="S609" t="s">
        <v>136</v>
      </c>
      <c r="T609" t="s">
        <v>777</v>
      </c>
    </row>
    <row r="610" spans="1:20" x14ac:dyDescent="0.3">
      <c r="A610">
        <v>609</v>
      </c>
      <c r="B610">
        <v>137</v>
      </c>
      <c r="C610">
        <v>2</v>
      </c>
      <c r="D610">
        <v>37.25</v>
      </c>
      <c r="E610">
        <v>3.73</v>
      </c>
      <c r="F610">
        <v>0</v>
      </c>
      <c r="G610">
        <v>0.1</v>
      </c>
      <c r="H610" t="s">
        <v>622</v>
      </c>
      <c r="J610" t="s">
        <v>623</v>
      </c>
      <c r="K610" s="1"/>
      <c r="L610" s="1">
        <v>46010.347800925927</v>
      </c>
      <c r="M610" s="2">
        <v>46010</v>
      </c>
      <c r="N610" t="s">
        <v>633</v>
      </c>
      <c r="O610" t="s">
        <v>625</v>
      </c>
      <c r="P610">
        <v>1</v>
      </c>
      <c r="Q610">
        <v>0</v>
      </c>
      <c r="R610">
        <v>37.25</v>
      </c>
      <c r="S610" t="s">
        <v>269</v>
      </c>
      <c r="T610" t="s">
        <v>776</v>
      </c>
    </row>
    <row r="611" spans="1:20" x14ac:dyDescent="0.3">
      <c r="A611">
        <v>610</v>
      </c>
      <c r="B611">
        <v>240</v>
      </c>
      <c r="C611">
        <v>4</v>
      </c>
      <c r="D611">
        <v>128.19</v>
      </c>
      <c r="E611">
        <v>12.82</v>
      </c>
      <c r="F611">
        <v>0</v>
      </c>
      <c r="G611">
        <v>0.1</v>
      </c>
      <c r="H611" t="s">
        <v>622</v>
      </c>
      <c r="J611" t="s">
        <v>623</v>
      </c>
      <c r="K611" s="1"/>
      <c r="L611" s="1">
        <v>46010.410833333335</v>
      </c>
      <c r="M611" s="2">
        <v>46010</v>
      </c>
      <c r="N611" t="s">
        <v>633</v>
      </c>
      <c r="O611" t="s">
        <v>625</v>
      </c>
      <c r="P611">
        <v>1</v>
      </c>
      <c r="Q611">
        <v>0</v>
      </c>
      <c r="R611">
        <v>128.19</v>
      </c>
      <c r="S611" t="s">
        <v>475</v>
      </c>
      <c r="T611" t="s">
        <v>778</v>
      </c>
    </row>
    <row r="612" spans="1:20" x14ac:dyDescent="0.3">
      <c r="A612">
        <v>611</v>
      </c>
      <c r="B612">
        <v>253</v>
      </c>
      <c r="C612">
        <v>5</v>
      </c>
      <c r="D612">
        <v>24.58</v>
      </c>
      <c r="E612">
        <v>2.46</v>
      </c>
      <c r="F612">
        <v>0</v>
      </c>
      <c r="G612">
        <v>0.1</v>
      </c>
      <c r="H612" t="s">
        <v>622</v>
      </c>
      <c r="J612" t="s">
        <v>623</v>
      </c>
      <c r="K612" s="1"/>
      <c r="L612" s="1">
        <v>46010.470011574071</v>
      </c>
      <c r="M612" s="2">
        <v>46010</v>
      </c>
      <c r="N612" t="s">
        <v>633</v>
      </c>
      <c r="O612" t="s">
        <v>625</v>
      </c>
      <c r="P612">
        <v>1</v>
      </c>
      <c r="Q612">
        <v>0</v>
      </c>
      <c r="R612">
        <v>24.58</v>
      </c>
      <c r="S612" t="s">
        <v>501</v>
      </c>
      <c r="T612" t="s">
        <v>779</v>
      </c>
    </row>
    <row r="613" spans="1:20" x14ac:dyDescent="0.3">
      <c r="A613">
        <v>612</v>
      </c>
      <c r="B613">
        <v>49</v>
      </c>
      <c r="C613">
        <v>5</v>
      </c>
      <c r="D613">
        <v>70.599999999999994</v>
      </c>
      <c r="E613">
        <v>7.06</v>
      </c>
      <c r="F613">
        <v>0</v>
      </c>
      <c r="G613">
        <v>0.1</v>
      </c>
      <c r="H613" t="s">
        <v>622</v>
      </c>
      <c r="J613" t="s">
        <v>623</v>
      </c>
      <c r="K613" s="1"/>
      <c r="L613" s="1">
        <v>46010.484895833331</v>
      </c>
      <c r="M613" s="2">
        <v>46010</v>
      </c>
      <c r="N613" t="s">
        <v>633</v>
      </c>
      <c r="O613" t="s">
        <v>625</v>
      </c>
      <c r="P613">
        <v>1</v>
      </c>
      <c r="Q613">
        <v>0</v>
      </c>
      <c r="R613">
        <v>70.599999999999994</v>
      </c>
      <c r="S613" t="s">
        <v>94</v>
      </c>
      <c r="T613" t="s">
        <v>779</v>
      </c>
    </row>
    <row r="614" spans="1:20" x14ac:dyDescent="0.3">
      <c r="A614">
        <v>613</v>
      </c>
      <c r="B614">
        <v>106</v>
      </c>
      <c r="C614">
        <v>5</v>
      </c>
      <c r="D614">
        <v>49.62</v>
      </c>
      <c r="E614">
        <v>4.96</v>
      </c>
      <c r="F614">
        <v>0</v>
      </c>
      <c r="G614">
        <v>0.1</v>
      </c>
      <c r="H614" t="s">
        <v>622</v>
      </c>
      <c r="J614" t="s">
        <v>623</v>
      </c>
      <c r="K614" s="1"/>
      <c r="L614" s="1">
        <v>46010.551134259258</v>
      </c>
      <c r="M614" s="2">
        <v>46010</v>
      </c>
      <c r="N614" t="s">
        <v>633</v>
      </c>
      <c r="O614" t="s">
        <v>625</v>
      </c>
      <c r="P614">
        <v>1</v>
      </c>
      <c r="Q614">
        <v>0</v>
      </c>
      <c r="R614">
        <v>49.62</v>
      </c>
      <c r="S614" t="s">
        <v>207</v>
      </c>
      <c r="T614" t="s">
        <v>779</v>
      </c>
    </row>
    <row r="615" spans="1:20" x14ac:dyDescent="0.3">
      <c r="A615">
        <v>614</v>
      </c>
      <c r="B615">
        <v>241</v>
      </c>
      <c r="C615">
        <v>3</v>
      </c>
      <c r="D615">
        <v>19.309999999999999</v>
      </c>
      <c r="E615">
        <v>1.93</v>
      </c>
      <c r="F615">
        <v>0</v>
      </c>
      <c r="G615">
        <v>0.1</v>
      </c>
      <c r="H615" t="s">
        <v>622</v>
      </c>
      <c r="J615" t="s">
        <v>623</v>
      </c>
      <c r="K615" s="1"/>
      <c r="L615" s="1">
        <v>46010.641504629632</v>
      </c>
      <c r="M615" s="2">
        <v>46010</v>
      </c>
      <c r="N615" t="s">
        <v>633</v>
      </c>
      <c r="O615" t="s">
        <v>625</v>
      </c>
      <c r="P615">
        <v>1</v>
      </c>
      <c r="Q615">
        <v>0</v>
      </c>
      <c r="R615">
        <v>19.309999999999999</v>
      </c>
      <c r="S615" t="s">
        <v>477</v>
      </c>
      <c r="T615" t="s">
        <v>777</v>
      </c>
    </row>
    <row r="616" spans="1:20" x14ac:dyDescent="0.3">
      <c r="A616">
        <v>615</v>
      </c>
      <c r="B616">
        <v>97</v>
      </c>
      <c r="C616">
        <v>2</v>
      </c>
      <c r="D616">
        <v>112.56</v>
      </c>
      <c r="E616">
        <v>11.26</v>
      </c>
      <c r="F616">
        <v>0</v>
      </c>
      <c r="G616">
        <v>0.1</v>
      </c>
      <c r="H616" t="s">
        <v>622</v>
      </c>
      <c r="J616" t="s">
        <v>623</v>
      </c>
      <c r="K616" s="1"/>
      <c r="L616" s="1">
        <v>46010.699247685188</v>
      </c>
      <c r="M616" s="2">
        <v>46010</v>
      </c>
      <c r="N616" t="s">
        <v>633</v>
      </c>
      <c r="O616" t="s">
        <v>625</v>
      </c>
      <c r="P616">
        <v>1</v>
      </c>
      <c r="Q616">
        <v>0</v>
      </c>
      <c r="R616">
        <v>112.56</v>
      </c>
      <c r="S616" t="s">
        <v>189</v>
      </c>
      <c r="T616" t="s">
        <v>776</v>
      </c>
    </row>
    <row r="617" spans="1:20" x14ac:dyDescent="0.3">
      <c r="A617">
        <v>616</v>
      </c>
      <c r="B617">
        <v>137</v>
      </c>
      <c r="C617">
        <v>2</v>
      </c>
      <c r="D617">
        <v>20.93</v>
      </c>
      <c r="E617">
        <v>2.09</v>
      </c>
      <c r="F617">
        <v>0</v>
      </c>
      <c r="G617">
        <v>0.1</v>
      </c>
      <c r="H617" t="s">
        <v>622</v>
      </c>
      <c r="J617" t="s">
        <v>623</v>
      </c>
      <c r="K617" s="1"/>
      <c r="L617" s="1">
        <v>46010.738078703704</v>
      </c>
      <c r="M617" s="2">
        <v>46010</v>
      </c>
      <c r="N617" t="s">
        <v>633</v>
      </c>
      <c r="O617" t="s">
        <v>625</v>
      </c>
      <c r="P617">
        <v>1</v>
      </c>
      <c r="Q617">
        <v>0</v>
      </c>
      <c r="R617">
        <v>20.93</v>
      </c>
      <c r="S617" t="s">
        <v>269</v>
      </c>
      <c r="T617" t="s">
        <v>776</v>
      </c>
    </row>
    <row r="618" spans="1:20" x14ac:dyDescent="0.3">
      <c r="A618">
        <v>617</v>
      </c>
      <c r="B618">
        <v>293</v>
      </c>
      <c r="C618">
        <v>2</v>
      </c>
      <c r="D618">
        <v>26.9</v>
      </c>
      <c r="E618">
        <v>2.69</v>
      </c>
      <c r="F618">
        <v>0</v>
      </c>
      <c r="G618">
        <v>0.1</v>
      </c>
      <c r="H618" t="s">
        <v>622</v>
      </c>
      <c r="J618" t="s">
        <v>623</v>
      </c>
      <c r="K618" s="1"/>
      <c r="L618" s="1">
        <v>46010.826249999998</v>
      </c>
      <c r="M618" s="2">
        <v>46010</v>
      </c>
      <c r="N618" t="s">
        <v>633</v>
      </c>
      <c r="O618" t="s">
        <v>625</v>
      </c>
      <c r="P618">
        <v>1</v>
      </c>
      <c r="Q618">
        <v>0</v>
      </c>
      <c r="R618">
        <v>26.9</v>
      </c>
      <c r="S618" t="s">
        <v>581</v>
      </c>
      <c r="T618" t="s">
        <v>776</v>
      </c>
    </row>
    <row r="619" spans="1:20" x14ac:dyDescent="0.3">
      <c r="A619">
        <v>618</v>
      </c>
      <c r="B619">
        <v>106</v>
      </c>
      <c r="C619">
        <v>4</v>
      </c>
      <c r="D619">
        <v>110.13</v>
      </c>
      <c r="E619">
        <v>11.01</v>
      </c>
      <c r="F619">
        <v>0</v>
      </c>
      <c r="G619">
        <v>0.1</v>
      </c>
      <c r="H619" t="s">
        <v>622</v>
      </c>
      <c r="J619" t="s">
        <v>623</v>
      </c>
      <c r="K619" s="1"/>
      <c r="L619" s="1">
        <v>46011.342152777775</v>
      </c>
      <c r="M619" s="2">
        <v>46011</v>
      </c>
      <c r="N619" t="s">
        <v>633</v>
      </c>
      <c r="O619" t="s">
        <v>625</v>
      </c>
      <c r="P619">
        <v>1</v>
      </c>
      <c r="Q619">
        <v>0</v>
      </c>
      <c r="R619">
        <v>110.13</v>
      </c>
      <c r="S619" t="s">
        <v>207</v>
      </c>
      <c r="T619" t="s">
        <v>778</v>
      </c>
    </row>
    <row r="620" spans="1:20" x14ac:dyDescent="0.3">
      <c r="A620">
        <v>619</v>
      </c>
      <c r="B620">
        <v>21</v>
      </c>
      <c r="C620">
        <v>5</v>
      </c>
      <c r="D620">
        <v>35.840000000000003</v>
      </c>
      <c r="E620">
        <v>3.58</v>
      </c>
      <c r="F620">
        <v>0</v>
      </c>
      <c r="G620">
        <v>0.1</v>
      </c>
      <c r="H620" t="s">
        <v>622</v>
      </c>
      <c r="J620" t="s">
        <v>623</v>
      </c>
      <c r="K620" s="1"/>
      <c r="L620" s="1">
        <v>46011.353715277779</v>
      </c>
      <c r="M620" s="2">
        <v>46011</v>
      </c>
      <c r="N620" t="s">
        <v>633</v>
      </c>
      <c r="O620" t="s">
        <v>625</v>
      </c>
      <c r="P620">
        <v>1</v>
      </c>
      <c r="Q620">
        <v>0</v>
      </c>
      <c r="R620">
        <v>35.840000000000003</v>
      </c>
      <c r="S620" t="s">
        <v>38</v>
      </c>
      <c r="T620" t="s">
        <v>779</v>
      </c>
    </row>
    <row r="621" spans="1:20" x14ac:dyDescent="0.3">
      <c r="A621">
        <v>620</v>
      </c>
      <c r="B621">
        <v>49</v>
      </c>
      <c r="C621">
        <v>2</v>
      </c>
      <c r="D621">
        <v>220</v>
      </c>
      <c r="E621">
        <v>22</v>
      </c>
      <c r="F621">
        <v>0</v>
      </c>
      <c r="G621">
        <v>0.1</v>
      </c>
      <c r="H621" t="s">
        <v>622</v>
      </c>
      <c r="J621" t="s">
        <v>623</v>
      </c>
      <c r="K621" s="1"/>
      <c r="L621" s="1">
        <v>46011.357777777775</v>
      </c>
      <c r="M621" s="2">
        <v>46011</v>
      </c>
      <c r="N621" t="s">
        <v>633</v>
      </c>
      <c r="O621" t="s">
        <v>625</v>
      </c>
      <c r="P621">
        <v>1</v>
      </c>
      <c r="Q621">
        <v>0</v>
      </c>
      <c r="R621">
        <v>220</v>
      </c>
      <c r="S621" t="s">
        <v>94</v>
      </c>
      <c r="T621" t="s">
        <v>776</v>
      </c>
    </row>
    <row r="622" spans="1:20" x14ac:dyDescent="0.3">
      <c r="A622">
        <v>621</v>
      </c>
      <c r="B622">
        <v>244</v>
      </c>
      <c r="C622">
        <v>5</v>
      </c>
      <c r="D622">
        <v>158.80000000000001</v>
      </c>
      <c r="E622">
        <v>15.88</v>
      </c>
      <c r="F622">
        <v>0</v>
      </c>
      <c r="G622">
        <v>0.1</v>
      </c>
      <c r="H622" t="s">
        <v>622</v>
      </c>
      <c r="J622" t="s">
        <v>623</v>
      </c>
      <c r="K622" s="1"/>
      <c r="L622" s="1">
        <v>46011.360393518517</v>
      </c>
      <c r="M622" s="2">
        <v>46011</v>
      </c>
      <c r="N622" t="s">
        <v>633</v>
      </c>
      <c r="O622" t="s">
        <v>625</v>
      </c>
      <c r="P622">
        <v>1</v>
      </c>
      <c r="Q622">
        <v>0</v>
      </c>
      <c r="R622">
        <v>158.80000000000001</v>
      </c>
      <c r="S622" t="s">
        <v>483</v>
      </c>
      <c r="T622" t="s">
        <v>779</v>
      </c>
    </row>
    <row r="623" spans="1:20" x14ac:dyDescent="0.3">
      <c r="A623">
        <v>622</v>
      </c>
      <c r="B623">
        <v>50</v>
      </c>
      <c r="C623">
        <v>4</v>
      </c>
      <c r="D623">
        <v>95.91</v>
      </c>
      <c r="E623">
        <v>9.59</v>
      </c>
      <c r="F623">
        <v>0</v>
      </c>
      <c r="G623">
        <v>0.1</v>
      </c>
      <c r="H623" t="s">
        <v>622</v>
      </c>
      <c r="J623" t="s">
        <v>623</v>
      </c>
      <c r="K623" s="1"/>
      <c r="L623" s="1">
        <v>46011.389768518522</v>
      </c>
      <c r="M623" s="2">
        <v>46011</v>
      </c>
      <c r="N623" t="s">
        <v>633</v>
      </c>
      <c r="O623" t="s">
        <v>625</v>
      </c>
      <c r="P623">
        <v>1</v>
      </c>
      <c r="Q623">
        <v>0</v>
      </c>
      <c r="R623">
        <v>95.91</v>
      </c>
      <c r="S623" t="s">
        <v>96</v>
      </c>
      <c r="T623" t="s">
        <v>778</v>
      </c>
    </row>
    <row r="624" spans="1:20" x14ac:dyDescent="0.3">
      <c r="A624">
        <v>623</v>
      </c>
      <c r="B624">
        <v>48</v>
      </c>
      <c r="C624">
        <v>4</v>
      </c>
      <c r="D624">
        <v>149.75</v>
      </c>
      <c r="E624">
        <v>14.98</v>
      </c>
      <c r="F624">
        <v>0</v>
      </c>
      <c r="G624">
        <v>0.1</v>
      </c>
      <c r="H624" t="s">
        <v>622</v>
      </c>
      <c r="J624" t="s">
        <v>623</v>
      </c>
      <c r="K624" s="1"/>
      <c r="L624" s="1">
        <v>46011.394942129627</v>
      </c>
      <c r="M624" s="2">
        <v>46011</v>
      </c>
      <c r="N624" t="s">
        <v>633</v>
      </c>
      <c r="O624" t="s">
        <v>625</v>
      </c>
      <c r="P624">
        <v>1</v>
      </c>
      <c r="Q624">
        <v>0</v>
      </c>
      <c r="R624">
        <v>149.75</v>
      </c>
      <c r="S624" t="s">
        <v>92</v>
      </c>
      <c r="T624" t="s">
        <v>778</v>
      </c>
    </row>
    <row r="625" spans="1:20" x14ac:dyDescent="0.3">
      <c r="A625">
        <v>624</v>
      </c>
      <c r="B625">
        <v>223</v>
      </c>
      <c r="C625">
        <v>5</v>
      </c>
      <c r="D625">
        <v>35.630000000000003</v>
      </c>
      <c r="E625">
        <v>3.56</v>
      </c>
      <c r="F625">
        <v>0</v>
      </c>
      <c r="G625">
        <v>0.1</v>
      </c>
      <c r="H625" t="s">
        <v>622</v>
      </c>
      <c r="J625" t="s">
        <v>623</v>
      </c>
      <c r="K625" s="1"/>
      <c r="L625" s="1">
        <v>46011.411493055559</v>
      </c>
      <c r="M625" s="2">
        <v>46011</v>
      </c>
      <c r="N625" t="s">
        <v>633</v>
      </c>
      <c r="O625" t="s">
        <v>625</v>
      </c>
      <c r="P625">
        <v>1</v>
      </c>
      <c r="Q625">
        <v>0</v>
      </c>
      <c r="R625">
        <v>35.630000000000003</v>
      </c>
      <c r="S625" t="s">
        <v>441</v>
      </c>
      <c r="T625" t="s">
        <v>779</v>
      </c>
    </row>
    <row r="626" spans="1:20" x14ac:dyDescent="0.3">
      <c r="A626">
        <v>625</v>
      </c>
      <c r="B626">
        <v>48</v>
      </c>
      <c r="C626">
        <v>3</v>
      </c>
      <c r="D626">
        <v>116.9</v>
      </c>
      <c r="E626">
        <v>11.69</v>
      </c>
      <c r="F626">
        <v>0</v>
      </c>
      <c r="G626">
        <v>0.1</v>
      </c>
      <c r="H626" t="s">
        <v>622</v>
      </c>
      <c r="J626" t="s">
        <v>623</v>
      </c>
      <c r="K626" s="1"/>
      <c r="L626" s="1">
        <v>46011.434259259258</v>
      </c>
      <c r="M626" s="2">
        <v>46011</v>
      </c>
      <c r="N626" t="s">
        <v>633</v>
      </c>
      <c r="O626" t="s">
        <v>625</v>
      </c>
      <c r="P626">
        <v>1</v>
      </c>
      <c r="Q626">
        <v>0</v>
      </c>
      <c r="R626">
        <v>116.9</v>
      </c>
      <c r="S626" t="s">
        <v>92</v>
      </c>
      <c r="T626" t="s">
        <v>777</v>
      </c>
    </row>
    <row r="627" spans="1:20" x14ac:dyDescent="0.3">
      <c r="A627">
        <v>626</v>
      </c>
      <c r="B627">
        <v>18</v>
      </c>
      <c r="C627">
        <v>3</v>
      </c>
      <c r="D627">
        <v>72.48</v>
      </c>
      <c r="E627">
        <v>7.25</v>
      </c>
      <c r="F627">
        <v>0</v>
      </c>
      <c r="G627">
        <v>0.1</v>
      </c>
      <c r="H627" t="s">
        <v>622</v>
      </c>
      <c r="J627" t="s">
        <v>623</v>
      </c>
      <c r="K627" s="1"/>
      <c r="L627" s="1">
        <v>46011.445601851854</v>
      </c>
      <c r="M627" s="2">
        <v>46011</v>
      </c>
      <c r="N627" t="s">
        <v>633</v>
      </c>
      <c r="O627" t="s">
        <v>625</v>
      </c>
      <c r="P627">
        <v>1</v>
      </c>
      <c r="Q627">
        <v>0</v>
      </c>
      <c r="R627">
        <v>72.48</v>
      </c>
      <c r="S627" t="s">
        <v>32</v>
      </c>
      <c r="T627" t="s">
        <v>777</v>
      </c>
    </row>
    <row r="628" spans="1:20" x14ac:dyDescent="0.3">
      <c r="A628">
        <v>627</v>
      </c>
      <c r="B628">
        <v>53</v>
      </c>
      <c r="C628">
        <v>5</v>
      </c>
      <c r="D628">
        <v>40.380000000000003</v>
      </c>
      <c r="E628">
        <v>4.04</v>
      </c>
      <c r="F628">
        <v>0</v>
      </c>
      <c r="G628">
        <v>0.1</v>
      </c>
      <c r="H628" t="s">
        <v>622</v>
      </c>
      <c r="J628" t="s">
        <v>623</v>
      </c>
      <c r="K628" s="1"/>
      <c r="L628" s="1">
        <v>46011.458993055552</v>
      </c>
      <c r="M628" s="2">
        <v>46011</v>
      </c>
      <c r="N628" t="s">
        <v>633</v>
      </c>
      <c r="O628" t="s">
        <v>625</v>
      </c>
      <c r="P628">
        <v>1</v>
      </c>
      <c r="Q628">
        <v>0</v>
      </c>
      <c r="R628">
        <v>40.380000000000003</v>
      </c>
      <c r="S628" t="s">
        <v>102</v>
      </c>
      <c r="T628" t="s">
        <v>779</v>
      </c>
    </row>
    <row r="629" spans="1:20" x14ac:dyDescent="0.3">
      <c r="A629">
        <v>628</v>
      </c>
      <c r="B629">
        <v>155</v>
      </c>
      <c r="C629">
        <v>5</v>
      </c>
      <c r="D629">
        <v>34.18</v>
      </c>
      <c r="E629">
        <v>3.42</v>
      </c>
      <c r="F629">
        <v>0</v>
      </c>
      <c r="G629">
        <v>0.1</v>
      </c>
      <c r="H629" t="s">
        <v>622</v>
      </c>
      <c r="J629" t="s">
        <v>623</v>
      </c>
      <c r="K629" s="1"/>
      <c r="L629" s="1">
        <v>46011.516689814816</v>
      </c>
      <c r="M629" s="2">
        <v>46011</v>
      </c>
      <c r="N629" t="s">
        <v>633</v>
      </c>
      <c r="O629" t="s">
        <v>625</v>
      </c>
      <c r="P629">
        <v>1</v>
      </c>
      <c r="Q629">
        <v>0</v>
      </c>
      <c r="R629">
        <v>34.18</v>
      </c>
      <c r="S629" t="s">
        <v>305</v>
      </c>
      <c r="T629" t="s">
        <v>779</v>
      </c>
    </row>
    <row r="630" spans="1:20" x14ac:dyDescent="0.3">
      <c r="A630">
        <v>629</v>
      </c>
      <c r="B630">
        <v>106</v>
      </c>
      <c r="C630">
        <v>2</v>
      </c>
      <c r="D630">
        <v>111.48</v>
      </c>
      <c r="E630">
        <v>11.15</v>
      </c>
      <c r="F630">
        <v>0</v>
      </c>
      <c r="G630">
        <v>0.1</v>
      </c>
      <c r="H630" t="s">
        <v>622</v>
      </c>
      <c r="J630" t="s">
        <v>623</v>
      </c>
      <c r="K630" s="1"/>
      <c r="L630" s="1">
        <v>46011.543402777781</v>
      </c>
      <c r="M630" s="2">
        <v>46011</v>
      </c>
      <c r="N630" t="s">
        <v>633</v>
      </c>
      <c r="O630" t="s">
        <v>625</v>
      </c>
      <c r="P630">
        <v>1</v>
      </c>
      <c r="Q630">
        <v>0</v>
      </c>
      <c r="R630">
        <v>111.48</v>
      </c>
      <c r="S630" t="s">
        <v>207</v>
      </c>
      <c r="T630" t="s">
        <v>776</v>
      </c>
    </row>
    <row r="631" spans="1:20" x14ac:dyDescent="0.3">
      <c r="A631">
        <v>630</v>
      </c>
      <c r="B631">
        <v>197</v>
      </c>
      <c r="C631">
        <v>2</v>
      </c>
      <c r="D631">
        <v>85.23</v>
      </c>
      <c r="E631">
        <v>8.52</v>
      </c>
      <c r="F631">
        <v>0</v>
      </c>
      <c r="G631">
        <v>0.1</v>
      </c>
      <c r="H631" t="s">
        <v>622</v>
      </c>
      <c r="J631" t="s">
        <v>623</v>
      </c>
      <c r="K631" s="1"/>
      <c r="L631" s="1">
        <v>46011.549768518518</v>
      </c>
      <c r="M631" s="2">
        <v>46011</v>
      </c>
      <c r="N631" t="s">
        <v>633</v>
      </c>
      <c r="O631" t="s">
        <v>625</v>
      </c>
      <c r="P631">
        <v>1</v>
      </c>
      <c r="Q631">
        <v>0</v>
      </c>
      <c r="R631">
        <v>85.23</v>
      </c>
      <c r="S631" t="s">
        <v>389</v>
      </c>
      <c r="T631" t="s">
        <v>776</v>
      </c>
    </row>
    <row r="632" spans="1:20" x14ac:dyDescent="0.3">
      <c r="A632">
        <v>631</v>
      </c>
      <c r="B632">
        <v>39</v>
      </c>
      <c r="C632">
        <v>2</v>
      </c>
      <c r="D632">
        <v>120.31</v>
      </c>
      <c r="E632">
        <v>12.03</v>
      </c>
      <c r="F632">
        <v>0</v>
      </c>
      <c r="G632">
        <v>0.1</v>
      </c>
      <c r="H632" t="s">
        <v>622</v>
      </c>
      <c r="J632" t="s">
        <v>623</v>
      </c>
      <c r="K632" s="1"/>
      <c r="L632" s="1">
        <v>46011.626481481479</v>
      </c>
      <c r="M632" s="2">
        <v>46011</v>
      </c>
      <c r="N632" t="s">
        <v>633</v>
      </c>
      <c r="O632" t="s">
        <v>625</v>
      </c>
      <c r="P632">
        <v>1</v>
      </c>
      <c r="Q632">
        <v>0</v>
      </c>
      <c r="R632">
        <v>120.31</v>
      </c>
      <c r="S632" t="s">
        <v>74</v>
      </c>
      <c r="T632" t="s">
        <v>776</v>
      </c>
    </row>
    <row r="633" spans="1:20" x14ac:dyDescent="0.3">
      <c r="A633">
        <v>632</v>
      </c>
      <c r="B633">
        <v>70</v>
      </c>
      <c r="C633">
        <v>4</v>
      </c>
      <c r="D633">
        <v>132.71</v>
      </c>
      <c r="E633">
        <v>13.27</v>
      </c>
      <c r="F633">
        <v>0</v>
      </c>
      <c r="G633">
        <v>0.1</v>
      </c>
      <c r="H633" t="s">
        <v>626</v>
      </c>
      <c r="I633">
        <v>2</v>
      </c>
      <c r="J633" t="s">
        <v>628</v>
      </c>
      <c r="K633" s="1">
        <v>46013.439386574071</v>
      </c>
      <c r="L633" s="1">
        <v>46011.731053240743</v>
      </c>
      <c r="M633" s="2">
        <v>46011</v>
      </c>
      <c r="N633" t="s">
        <v>633</v>
      </c>
      <c r="O633" t="s">
        <v>625</v>
      </c>
      <c r="P633">
        <v>1</v>
      </c>
      <c r="Q633">
        <v>1</v>
      </c>
      <c r="R633">
        <v>0</v>
      </c>
      <c r="S633" t="s">
        <v>136</v>
      </c>
      <c r="T633" t="s">
        <v>778</v>
      </c>
    </row>
    <row r="634" spans="1:20" x14ac:dyDescent="0.3">
      <c r="A634">
        <v>633</v>
      </c>
      <c r="B634">
        <v>51</v>
      </c>
      <c r="C634">
        <v>3</v>
      </c>
      <c r="D634">
        <v>220.9</v>
      </c>
      <c r="E634">
        <v>22.09</v>
      </c>
      <c r="F634">
        <v>0</v>
      </c>
      <c r="G634">
        <v>0.1</v>
      </c>
      <c r="H634" t="s">
        <v>622</v>
      </c>
      <c r="J634" t="s">
        <v>623</v>
      </c>
      <c r="K634" s="1"/>
      <c r="L634" s="1">
        <v>46012.356412037036</v>
      </c>
      <c r="M634" s="2">
        <v>46012</v>
      </c>
      <c r="N634" t="s">
        <v>633</v>
      </c>
      <c r="O634" t="s">
        <v>625</v>
      </c>
      <c r="P634">
        <v>1</v>
      </c>
      <c r="Q634">
        <v>0</v>
      </c>
      <c r="R634">
        <v>220.9</v>
      </c>
      <c r="S634" t="s">
        <v>98</v>
      </c>
      <c r="T634" t="s">
        <v>777</v>
      </c>
    </row>
    <row r="635" spans="1:20" x14ac:dyDescent="0.3">
      <c r="A635">
        <v>634</v>
      </c>
      <c r="B635">
        <v>277</v>
      </c>
      <c r="C635">
        <v>2</v>
      </c>
      <c r="D635">
        <v>83.75</v>
      </c>
      <c r="E635">
        <v>8.3800000000000008</v>
      </c>
      <c r="F635">
        <v>0</v>
      </c>
      <c r="G635">
        <v>0.1</v>
      </c>
      <c r="H635" t="s">
        <v>622</v>
      </c>
      <c r="J635" t="s">
        <v>623</v>
      </c>
      <c r="K635" s="1"/>
      <c r="L635" s="1">
        <v>46012.383321759262</v>
      </c>
      <c r="M635" s="2">
        <v>46012</v>
      </c>
      <c r="N635" t="s">
        <v>633</v>
      </c>
      <c r="O635" t="s">
        <v>625</v>
      </c>
      <c r="P635">
        <v>1</v>
      </c>
      <c r="Q635">
        <v>0</v>
      </c>
      <c r="R635">
        <v>83.75</v>
      </c>
      <c r="S635" t="s">
        <v>549</v>
      </c>
      <c r="T635" t="s">
        <v>776</v>
      </c>
    </row>
    <row r="636" spans="1:20" x14ac:dyDescent="0.3">
      <c r="A636">
        <v>635</v>
      </c>
      <c r="B636">
        <v>279</v>
      </c>
      <c r="C636">
        <v>5</v>
      </c>
      <c r="D636">
        <v>116.37</v>
      </c>
      <c r="E636">
        <v>11.64</v>
      </c>
      <c r="F636">
        <v>0</v>
      </c>
      <c r="G636">
        <v>0.1</v>
      </c>
      <c r="H636" t="s">
        <v>622</v>
      </c>
      <c r="J636" t="s">
        <v>623</v>
      </c>
      <c r="K636" s="1"/>
      <c r="L636" s="1">
        <v>46012.404363425929</v>
      </c>
      <c r="M636" s="2">
        <v>46012</v>
      </c>
      <c r="N636" t="s">
        <v>633</v>
      </c>
      <c r="O636" t="s">
        <v>625</v>
      </c>
      <c r="P636">
        <v>1</v>
      </c>
      <c r="Q636">
        <v>0</v>
      </c>
      <c r="R636">
        <v>116.37</v>
      </c>
      <c r="S636" t="s">
        <v>553</v>
      </c>
      <c r="T636" t="s">
        <v>779</v>
      </c>
    </row>
    <row r="637" spans="1:20" x14ac:dyDescent="0.3">
      <c r="A637">
        <v>636</v>
      </c>
      <c r="B637">
        <v>197</v>
      </c>
      <c r="C637">
        <v>5</v>
      </c>
      <c r="D637">
        <v>220</v>
      </c>
      <c r="E637">
        <v>22</v>
      </c>
      <c r="F637">
        <v>0</v>
      </c>
      <c r="G637">
        <v>0.1</v>
      </c>
      <c r="H637" t="s">
        <v>622</v>
      </c>
      <c r="J637" t="s">
        <v>623</v>
      </c>
      <c r="K637" s="1"/>
      <c r="L637" s="1">
        <v>46012.453587962962</v>
      </c>
      <c r="M637" s="2">
        <v>46012</v>
      </c>
      <c r="N637" t="s">
        <v>633</v>
      </c>
      <c r="O637" t="s">
        <v>625</v>
      </c>
      <c r="P637">
        <v>1</v>
      </c>
      <c r="Q637">
        <v>0</v>
      </c>
      <c r="R637">
        <v>220</v>
      </c>
      <c r="S637" t="s">
        <v>389</v>
      </c>
      <c r="T637" t="s">
        <v>779</v>
      </c>
    </row>
    <row r="638" spans="1:20" x14ac:dyDescent="0.3">
      <c r="A638">
        <v>637</v>
      </c>
      <c r="B638">
        <v>138</v>
      </c>
      <c r="C638">
        <v>5</v>
      </c>
      <c r="D638">
        <v>26.85</v>
      </c>
      <c r="E638">
        <v>2.69</v>
      </c>
      <c r="F638">
        <v>0</v>
      </c>
      <c r="G638">
        <v>0.1</v>
      </c>
      <c r="H638" t="s">
        <v>622</v>
      </c>
      <c r="J638" t="s">
        <v>623</v>
      </c>
      <c r="K638" s="1"/>
      <c r="L638" s="1">
        <v>46012.494652777779</v>
      </c>
      <c r="M638" s="2">
        <v>46012</v>
      </c>
      <c r="N638" t="s">
        <v>633</v>
      </c>
      <c r="O638" t="s">
        <v>625</v>
      </c>
      <c r="P638">
        <v>1</v>
      </c>
      <c r="Q638">
        <v>0</v>
      </c>
      <c r="R638">
        <v>26.85</v>
      </c>
      <c r="S638" t="s">
        <v>271</v>
      </c>
      <c r="T638" t="s">
        <v>779</v>
      </c>
    </row>
    <row r="639" spans="1:20" x14ac:dyDescent="0.3">
      <c r="A639">
        <v>638</v>
      </c>
      <c r="B639">
        <v>104</v>
      </c>
      <c r="C639">
        <v>5</v>
      </c>
      <c r="D639">
        <v>126.12</v>
      </c>
      <c r="E639">
        <v>12.61</v>
      </c>
      <c r="F639">
        <v>0</v>
      </c>
      <c r="G639">
        <v>0.1</v>
      </c>
      <c r="H639" t="s">
        <v>622</v>
      </c>
      <c r="J639" t="s">
        <v>623</v>
      </c>
      <c r="K639" s="1"/>
      <c r="L639" s="1">
        <v>46012.594444444447</v>
      </c>
      <c r="M639" s="2">
        <v>46012</v>
      </c>
      <c r="N639" t="s">
        <v>633</v>
      </c>
      <c r="O639" t="s">
        <v>625</v>
      </c>
      <c r="P639">
        <v>1</v>
      </c>
      <c r="Q639">
        <v>0</v>
      </c>
      <c r="R639">
        <v>126.12</v>
      </c>
      <c r="S639" t="s">
        <v>203</v>
      </c>
      <c r="T639" t="s">
        <v>779</v>
      </c>
    </row>
    <row r="640" spans="1:20" x14ac:dyDescent="0.3">
      <c r="A640">
        <v>639</v>
      </c>
      <c r="B640">
        <v>164</v>
      </c>
      <c r="C640">
        <v>2</v>
      </c>
      <c r="D640">
        <v>19.73</v>
      </c>
      <c r="E640">
        <v>1.97</v>
      </c>
      <c r="F640">
        <v>0</v>
      </c>
      <c r="G640">
        <v>0.1</v>
      </c>
      <c r="H640" t="s">
        <v>622</v>
      </c>
      <c r="J640" t="s">
        <v>623</v>
      </c>
      <c r="K640" s="1"/>
      <c r="L640" s="1">
        <v>46012.595601851855</v>
      </c>
      <c r="M640" s="2">
        <v>46012</v>
      </c>
      <c r="N640" t="s">
        <v>633</v>
      </c>
      <c r="O640" t="s">
        <v>625</v>
      </c>
      <c r="P640">
        <v>1</v>
      </c>
      <c r="Q640">
        <v>0</v>
      </c>
      <c r="R640">
        <v>19.73</v>
      </c>
      <c r="S640" t="s">
        <v>323</v>
      </c>
      <c r="T640" t="s">
        <v>776</v>
      </c>
    </row>
    <row r="641" spans="1:20" x14ac:dyDescent="0.3">
      <c r="A641">
        <v>640</v>
      </c>
      <c r="B641">
        <v>65</v>
      </c>
      <c r="C641">
        <v>3</v>
      </c>
      <c r="D641">
        <v>17.77</v>
      </c>
      <c r="E641">
        <v>1.78</v>
      </c>
      <c r="F641">
        <v>0</v>
      </c>
      <c r="G641">
        <v>0.1</v>
      </c>
      <c r="H641" t="s">
        <v>622</v>
      </c>
      <c r="J641" t="s">
        <v>623</v>
      </c>
      <c r="K641" s="1"/>
      <c r="L641" s="1">
        <v>46012.621388888889</v>
      </c>
      <c r="M641" s="2">
        <v>46012</v>
      </c>
      <c r="N641" t="s">
        <v>633</v>
      </c>
      <c r="O641" t="s">
        <v>625</v>
      </c>
      <c r="P641">
        <v>1</v>
      </c>
      <c r="Q641">
        <v>0</v>
      </c>
      <c r="R641">
        <v>17.77</v>
      </c>
      <c r="S641" t="s">
        <v>126</v>
      </c>
      <c r="T641" t="s">
        <v>777</v>
      </c>
    </row>
    <row r="642" spans="1:20" x14ac:dyDescent="0.3">
      <c r="A642">
        <v>641</v>
      </c>
      <c r="B642">
        <v>48</v>
      </c>
      <c r="C642">
        <v>4</v>
      </c>
      <c r="D642">
        <v>149.34</v>
      </c>
      <c r="E642">
        <v>14.93</v>
      </c>
      <c r="F642">
        <v>0</v>
      </c>
      <c r="G642">
        <v>0.1</v>
      </c>
      <c r="H642" t="s">
        <v>622</v>
      </c>
      <c r="J642" t="s">
        <v>623</v>
      </c>
      <c r="K642" s="1"/>
      <c r="L642" s="1">
        <v>46012.656689814816</v>
      </c>
      <c r="M642" s="2">
        <v>46012</v>
      </c>
      <c r="N642" t="s">
        <v>633</v>
      </c>
      <c r="O642" t="s">
        <v>625</v>
      </c>
      <c r="P642">
        <v>1</v>
      </c>
      <c r="Q642">
        <v>0</v>
      </c>
      <c r="R642">
        <v>149.34</v>
      </c>
      <c r="S642" t="s">
        <v>92</v>
      </c>
      <c r="T642" t="s">
        <v>778</v>
      </c>
    </row>
    <row r="643" spans="1:20" x14ac:dyDescent="0.3">
      <c r="A643">
        <v>642</v>
      </c>
      <c r="B643">
        <v>109</v>
      </c>
      <c r="C643">
        <v>5</v>
      </c>
      <c r="D643">
        <v>288.98</v>
      </c>
      <c r="E643">
        <v>28.9</v>
      </c>
      <c r="F643">
        <v>0</v>
      </c>
      <c r="G643">
        <v>0.1</v>
      </c>
      <c r="H643" t="s">
        <v>622</v>
      </c>
      <c r="J643" t="s">
        <v>623</v>
      </c>
      <c r="K643" s="1"/>
      <c r="L643" s="1">
        <v>46012.69253472222</v>
      </c>
      <c r="M643" s="2">
        <v>46012</v>
      </c>
      <c r="N643" t="s">
        <v>633</v>
      </c>
      <c r="O643" t="s">
        <v>625</v>
      </c>
      <c r="P643">
        <v>1</v>
      </c>
      <c r="Q643">
        <v>0</v>
      </c>
      <c r="R643">
        <v>288.98</v>
      </c>
      <c r="S643" t="s">
        <v>213</v>
      </c>
      <c r="T643" t="s">
        <v>779</v>
      </c>
    </row>
    <row r="644" spans="1:20" x14ac:dyDescent="0.3">
      <c r="A644">
        <v>643</v>
      </c>
      <c r="B644">
        <v>290</v>
      </c>
      <c r="C644">
        <v>4</v>
      </c>
      <c r="D644">
        <v>37.93</v>
      </c>
      <c r="E644">
        <v>3.79</v>
      </c>
      <c r="F644">
        <v>0</v>
      </c>
      <c r="G644">
        <v>0.1</v>
      </c>
      <c r="H644" t="s">
        <v>622</v>
      </c>
      <c r="J644" t="s">
        <v>623</v>
      </c>
      <c r="K644" s="1"/>
      <c r="L644" s="1">
        <v>46012.808032407411</v>
      </c>
      <c r="M644" s="2">
        <v>46012</v>
      </c>
      <c r="N644" t="s">
        <v>633</v>
      </c>
      <c r="O644" t="s">
        <v>625</v>
      </c>
      <c r="P644">
        <v>1</v>
      </c>
      <c r="Q644">
        <v>0</v>
      </c>
      <c r="R644">
        <v>37.93</v>
      </c>
      <c r="S644" t="s">
        <v>575</v>
      </c>
      <c r="T644" t="s">
        <v>778</v>
      </c>
    </row>
    <row r="645" spans="1:20" x14ac:dyDescent="0.3">
      <c r="A645">
        <v>644</v>
      </c>
      <c r="B645">
        <v>244</v>
      </c>
      <c r="C645">
        <v>2</v>
      </c>
      <c r="D645">
        <v>74.62</v>
      </c>
      <c r="E645">
        <v>0</v>
      </c>
      <c r="F645">
        <v>1</v>
      </c>
      <c r="G645">
        <v>0.1</v>
      </c>
      <c r="H645" t="s">
        <v>622</v>
      </c>
      <c r="J645" t="s">
        <v>623</v>
      </c>
      <c r="K645" s="1"/>
      <c r="L645" s="1">
        <v>46013.308854166666</v>
      </c>
      <c r="M645" s="2">
        <v>46013</v>
      </c>
      <c r="N645" t="s">
        <v>633</v>
      </c>
      <c r="O645" t="s">
        <v>629</v>
      </c>
      <c r="P645">
        <v>1</v>
      </c>
      <c r="Q645">
        <v>0</v>
      </c>
      <c r="R645">
        <v>74.62</v>
      </c>
      <c r="S645" t="s">
        <v>483</v>
      </c>
      <c r="T645" t="s">
        <v>776</v>
      </c>
    </row>
    <row r="646" spans="1:20" x14ac:dyDescent="0.3">
      <c r="A646">
        <v>645</v>
      </c>
      <c r="B646">
        <v>137</v>
      </c>
      <c r="C646">
        <v>5</v>
      </c>
      <c r="D646">
        <v>35.94</v>
      </c>
      <c r="E646">
        <v>3.59</v>
      </c>
      <c r="F646">
        <v>0</v>
      </c>
      <c r="G646">
        <v>0.1</v>
      </c>
      <c r="H646" t="s">
        <v>622</v>
      </c>
      <c r="J646" t="s">
        <v>623</v>
      </c>
      <c r="K646" s="1"/>
      <c r="L646" s="1">
        <v>46013.316817129627</v>
      </c>
      <c r="M646" s="2">
        <v>46013</v>
      </c>
      <c r="N646" t="s">
        <v>633</v>
      </c>
      <c r="O646" t="s">
        <v>625</v>
      </c>
      <c r="P646">
        <v>1</v>
      </c>
      <c r="Q646">
        <v>0</v>
      </c>
      <c r="R646">
        <v>35.94</v>
      </c>
      <c r="S646" t="s">
        <v>269</v>
      </c>
      <c r="T646" t="s">
        <v>779</v>
      </c>
    </row>
    <row r="647" spans="1:20" x14ac:dyDescent="0.3">
      <c r="A647">
        <v>646</v>
      </c>
      <c r="B647">
        <v>217</v>
      </c>
      <c r="C647">
        <v>3</v>
      </c>
      <c r="D647">
        <v>31.07</v>
      </c>
      <c r="E647">
        <v>3.11</v>
      </c>
      <c r="F647">
        <v>0</v>
      </c>
      <c r="G647">
        <v>0.1</v>
      </c>
      <c r="H647" t="s">
        <v>622</v>
      </c>
      <c r="J647" t="s">
        <v>623</v>
      </c>
      <c r="K647" s="1"/>
      <c r="L647" s="1">
        <v>46013.357442129629</v>
      </c>
      <c r="M647" s="2">
        <v>46013</v>
      </c>
      <c r="N647" t="s">
        <v>633</v>
      </c>
      <c r="O647" t="s">
        <v>625</v>
      </c>
      <c r="P647">
        <v>1</v>
      </c>
      <c r="Q647">
        <v>0</v>
      </c>
      <c r="R647">
        <v>31.07</v>
      </c>
      <c r="S647" t="s">
        <v>429</v>
      </c>
      <c r="T647" t="s">
        <v>777</v>
      </c>
    </row>
    <row r="648" spans="1:20" x14ac:dyDescent="0.3">
      <c r="A648">
        <v>647</v>
      </c>
      <c r="B648">
        <v>32</v>
      </c>
      <c r="C648">
        <v>2</v>
      </c>
      <c r="D648">
        <v>21.26</v>
      </c>
      <c r="E648">
        <v>2.13</v>
      </c>
      <c r="F648">
        <v>0</v>
      </c>
      <c r="G648">
        <v>0.1</v>
      </c>
      <c r="H648" t="s">
        <v>622</v>
      </c>
      <c r="J648" t="s">
        <v>623</v>
      </c>
      <c r="K648" s="1"/>
      <c r="L648" s="1">
        <v>46013.430752314816</v>
      </c>
      <c r="M648" s="2">
        <v>46013</v>
      </c>
      <c r="N648" t="s">
        <v>633</v>
      </c>
      <c r="O648" t="s">
        <v>625</v>
      </c>
      <c r="P648">
        <v>1</v>
      </c>
      <c r="Q648">
        <v>0</v>
      </c>
      <c r="R648">
        <v>21.26</v>
      </c>
      <c r="S648" t="s">
        <v>60</v>
      </c>
      <c r="T648" t="s">
        <v>776</v>
      </c>
    </row>
    <row r="649" spans="1:20" x14ac:dyDescent="0.3">
      <c r="A649">
        <v>648</v>
      </c>
      <c r="B649">
        <v>241</v>
      </c>
      <c r="C649">
        <v>5</v>
      </c>
      <c r="D649">
        <v>32.700000000000003</v>
      </c>
      <c r="E649">
        <v>3.27</v>
      </c>
      <c r="F649">
        <v>0</v>
      </c>
      <c r="G649">
        <v>0.1</v>
      </c>
      <c r="H649" t="s">
        <v>622</v>
      </c>
      <c r="J649" t="s">
        <v>623</v>
      </c>
      <c r="K649" s="1"/>
      <c r="L649" s="1">
        <v>46013.455347222225</v>
      </c>
      <c r="M649" s="2">
        <v>46013</v>
      </c>
      <c r="N649" t="s">
        <v>633</v>
      </c>
      <c r="O649" t="s">
        <v>625</v>
      </c>
      <c r="P649">
        <v>1</v>
      </c>
      <c r="Q649">
        <v>0</v>
      </c>
      <c r="R649">
        <v>32.700000000000003</v>
      </c>
      <c r="S649" t="s">
        <v>477</v>
      </c>
      <c r="T649" t="s">
        <v>779</v>
      </c>
    </row>
    <row r="650" spans="1:20" x14ac:dyDescent="0.3">
      <c r="A650">
        <v>649</v>
      </c>
      <c r="B650">
        <v>138</v>
      </c>
      <c r="C650">
        <v>2</v>
      </c>
      <c r="D650">
        <v>20.239999999999998</v>
      </c>
      <c r="E650">
        <v>2.02</v>
      </c>
      <c r="F650">
        <v>0</v>
      </c>
      <c r="G650">
        <v>0.1</v>
      </c>
      <c r="H650" t="s">
        <v>622</v>
      </c>
      <c r="J650" t="s">
        <v>623</v>
      </c>
      <c r="K650" s="1"/>
      <c r="L650" s="1">
        <v>46013.475902777776</v>
      </c>
      <c r="M650" s="2">
        <v>46013</v>
      </c>
      <c r="N650" t="s">
        <v>633</v>
      </c>
      <c r="O650" t="s">
        <v>625</v>
      </c>
      <c r="P650">
        <v>1</v>
      </c>
      <c r="Q650">
        <v>0</v>
      </c>
      <c r="R650">
        <v>20.239999999999998</v>
      </c>
      <c r="S650" t="s">
        <v>271</v>
      </c>
      <c r="T650" t="s">
        <v>776</v>
      </c>
    </row>
    <row r="651" spans="1:20" x14ac:dyDescent="0.3">
      <c r="A651">
        <v>650</v>
      </c>
      <c r="B651">
        <v>106</v>
      </c>
      <c r="C651">
        <v>3</v>
      </c>
      <c r="D651">
        <v>78.37</v>
      </c>
      <c r="E651">
        <v>7.84</v>
      </c>
      <c r="F651">
        <v>0</v>
      </c>
      <c r="G651">
        <v>0.1</v>
      </c>
      <c r="H651" t="s">
        <v>622</v>
      </c>
      <c r="J651" t="s">
        <v>623</v>
      </c>
      <c r="K651" s="1"/>
      <c r="L651" s="1">
        <v>46013.490069444444</v>
      </c>
      <c r="M651" s="2">
        <v>46013</v>
      </c>
      <c r="N651" t="s">
        <v>633</v>
      </c>
      <c r="O651" t="s">
        <v>625</v>
      </c>
      <c r="P651">
        <v>1</v>
      </c>
      <c r="Q651">
        <v>0</v>
      </c>
      <c r="R651">
        <v>78.37</v>
      </c>
      <c r="S651" t="s">
        <v>207</v>
      </c>
      <c r="T651" t="s">
        <v>777</v>
      </c>
    </row>
    <row r="652" spans="1:20" x14ac:dyDescent="0.3">
      <c r="A652">
        <v>651</v>
      </c>
      <c r="B652">
        <v>85</v>
      </c>
      <c r="C652">
        <v>2</v>
      </c>
      <c r="D652">
        <v>179.78</v>
      </c>
      <c r="E652">
        <v>17.98</v>
      </c>
      <c r="F652">
        <v>0</v>
      </c>
      <c r="G652">
        <v>0.1</v>
      </c>
      <c r="H652" t="s">
        <v>622</v>
      </c>
      <c r="J652" t="s">
        <v>623</v>
      </c>
      <c r="K652" s="1"/>
      <c r="L652" s="1">
        <v>46013.520902777775</v>
      </c>
      <c r="M652" s="2">
        <v>46013</v>
      </c>
      <c r="N652" t="s">
        <v>633</v>
      </c>
      <c r="O652" t="s">
        <v>625</v>
      </c>
      <c r="P652">
        <v>1</v>
      </c>
      <c r="Q652">
        <v>0</v>
      </c>
      <c r="R652">
        <v>179.78</v>
      </c>
      <c r="S652" t="s">
        <v>165</v>
      </c>
      <c r="T652" t="s">
        <v>776</v>
      </c>
    </row>
    <row r="653" spans="1:20" x14ac:dyDescent="0.3">
      <c r="A653">
        <v>652</v>
      </c>
      <c r="B653">
        <v>57</v>
      </c>
      <c r="C653">
        <v>2</v>
      </c>
      <c r="D653">
        <v>81.34</v>
      </c>
      <c r="E653">
        <v>8.1300000000000008</v>
      </c>
      <c r="F653">
        <v>0</v>
      </c>
      <c r="G653">
        <v>0.1</v>
      </c>
      <c r="H653" t="s">
        <v>622</v>
      </c>
      <c r="J653" t="s">
        <v>623</v>
      </c>
      <c r="K653" s="1"/>
      <c r="L653" s="1">
        <v>46013.652731481481</v>
      </c>
      <c r="M653" s="2">
        <v>46013</v>
      </c>
      <c r="N653" t="s">
        <v>633</v>
      </c>
      <c r="O653" t="s">
        <v>625</v>
      </c>
      <c r="P653">
        <v>1</v>
      </c>
      <c r="Q653">
        <v>0</v>
      </c>
      <c r="R653">
        <v>81.34</v>
      </c>
      <c r="S653" t="s">
        <v>110</v>
      </c>
      <c r="T653" t="s">
        <v>776</v>
      </c>
    </row>
    <row r="654" spans="1:20" x14ac:dyDescent="0.3">
      <c r="A654">
        <v>653</v>
      </c>
      <c r="B654">
        <v>287</v>
      </c>
      <c r="C654">
        <v>5</v>
      </c>
      <c r="D654">
        <v>18.809999999999999</v>
      </c>
      <c r="E654">
        <v>1.88</v>
      </c>
      <c r="F654">
        <v>0</v>
      </c>
      <c r="G654">
        <v>0.1</v>
      </c>
      <c r="H654" t="s">
        <v>622</v>
      </c>
      <c r="J654" t="s">
        <v>623</v>
      </c>
      <c r="K654" s="1"/>
      <c r="L654" s="1">
        <v>46013.654398148145</v>
      </c>
      <c r="M654" s="2">
        <v>46013</v>
      </c>
      <c r="N654" t="s">
        <v>633</v>
      </c>
      <c r="O654" t="s">
        <v>625</v>
      </c>
      <c r="P654">
        <v>1</v>
      </c>
      <c r="Q654">
        <v>0</v>
      </c>
      <c r="R654">
        <v>18.809999999999999</v>
      </c>
      <c r="S654" t="s">
        <v>569</v>
      </c>
      <c r="T654" t="s">
        <v>779</v>
      </c>
    </row>
    <row r="655" spans="1:20" x14ac:dyDescent="0.3">
      <c r="A655">
        <v>654</v>
      </c>
      <c r="B655">
        <v>50</v>
      </c>
      <c r="C655">
        <v>2</v>
      </c>
      <c r="D655">
        <v>98.5</v>
      </c>
      <c r="E655">
        <v>9.85</v>
      </c>
      <c r="F655">
        <v>0</v>
      </c>
      <c r="G655">
        <v>0.1</v>
      </c>
      <c r="H655" t="s">
        <v>622</v>
      </c>
      <c r="J655" t="s">
        <v>623</v>
      </c>
      <c r="K655" s="1"/>
      <c r="L655" s="1">
        <v>46013.699849537035</v>
      </c>
      <c r="M655" s="2">
        <v>46013</v>
      </c>
      <c r="N655" t="s">
        <v>633</v>
      </c>
      <c r="O655" t="s">
        <v>625</v>
      </c>
      <c r="P655">
        <v>1</v>
      </c>
      <c r="Q655">
        <v>0</v>
      </c>
      <c r="R655">
        <v>98.5</v>
      </c>
      <c r="S655" t="s">
        <v>96</v>
      </c>
      <c r="T655" t="s">
        <v>776</v>
      </c>
    </row>
    <row r="656" spans="1:20" x14ac:dyDescent="0.3">
      <c r="A656">
        <v>655</v>
      </c>
      <c r="B656">
        <v>215</v>
      </c>
      <c r="C656">
        <v>4</v>
      </c>
      <c r="D656">
        <v>33.590000000000003</v>
      </c>
      <c r="E656">
        <v>3.36</v>
      </c>
      <c r="F656">
        <v>0</v>
      </c>
      <c r="G656">
        <v>0.1</v>
      </c>
      <c r="H656" t="s">
        <v>622</v>
      </c>
      <c r="J656" t="s">
        <v>623</v>
      </c>
      <c r="K656" s="1"/>
      <c r="L656" s="1">
        <v>46013.721944444442</v>
      </c>
      <c r="M656" s="2">
        <v>46013</v>
      </c>
      <c r="N656" t="s">
        <v>633</v>
      </c>
      <c r="O656" t="s">
        <v>625</v>
      </c>
      <c r="P656">
        <v>1</v>
      </c>
      <c r="Q656">
        <v>0</v>
      </c>
      <c r="R656">
        <v>33.590000000000003</v>
      </c>
      <c r="S656" t="s">
        <v>425</v>
      </c>
      <c r="T656" t="s">
        <v>778</v>
      </c>
    </row>
    <row r="657" spans="1:20" x14ac:dyDescent="0.3">
      <c r="A657">
        <v>656</v>
      </c>
      <c r="B657">
        <v>61</v>
      </c>
      <c r="C657">
        <v>4</v>
      </c>
      <c r="D657">
        <v>49.71</v>
      </c>
      <c r="E657">
        <v>4.97</v>
      </c>
      <c r="F657">
        <v>0</v>
      </c>
      <c r="G657">
        <v>0.1</v>
      </c>
      <c r="H657" t="s">
        <v>622</v>
      </c>
      <c r="J657" t="s">
        <v>623</v>
      </c>
      <c r="K657" s="1"/>
      <c r="L657" s="1">
        <v>46013.730810185189</v>
      </c>
      <c r="M657" s="2">
        <v>46013</v>
      </c>
      <c r="N657" t="s">
        <v>633</v>
      </c>
      <c r="O657" t="s">
        <v>625</v>
      </c>
      <c r="P657">
        <v>1</v>
      </c>
      <c r="Q657">
        <v>0</v>
      </c>
      <c r="R657">
        <v>49.71</v>
      </c>
      <c r="S657" t="s">
        <v>118</v>
      </c>
      <c r="T657" t="s">
        <v>778</v>
      </c>
    </row>
    <row r="658" spans="1:20" x14ac:dyDescent="0.3">
      <c r="A658">
        <v>657</v>
      </c>
      <c r="B658">
        <v>207</v>
      </c>
      <c r="C658">
        <v>4</v>
      </c>
      <c r="D658">
        <v>19.47</v>
      </c>
      <c r="E658">
        <v>1.95</v>
      </c>
      <c r="F658">
        <v>0</v>
      </c>
      <c r="G658">
        <v>0.1</v>
      </c>
      <c r="H658" t="s">
        <v>622</v>
      </c>
      <c r="J658" t="s">
        <v>623</v>
      </c>
      <c r="K658" s="1"/>
      <c r="L658" s="1">
        <v>46013.747766203705</v>
      </c>
      <c r="M658" s="2">
        <v>46013</v>
      </c>
      <c r="N658" t="s">
        <v>633</v>
      </c>
      <c r="O658" t="s">
        <v>625</v>
      </c>
      <c r="P658">
        <v>1</v>
      </c>
      <c r="Q658">
        <v>0</v>
      </c>
      <c r="R658">
        <v>19.47</v>
      </c>
      <c r="S658" t="s">
        <v>409</v>
      </c>
      <c r="T658" t="s">
        <v>778</v>
      </c>
    </row>
    <row r="659" spans="1:20" x14ac:dyDescent="0.3">
      <c r="A659">
        <v>658</v>
      </c>
      <c r="B659">
        <v>245</v>
      </c>
      <c r="C659">
        <v>4</v>
      </c>
      <c r="D659">
        <v>15.49</v>
      </c>
      <c r="E659">
        <v>1.55</v>
      </c>
      <c r="F659">
        <v>0</v>
      </c>
      <c r="G659">
        <v>0.1</v>
      </c>
      <c r="H659" t="s">
        <v>622</v>
      </c>
      <c r="J659" t="s">
        <v>623</v>
      </c>
      <c r="K659" s="1"/>
      <c r="L659" s="1">
        <v>46014.292615740742</v>
      </c>
      <c r="M659" s="2">
        <v>46014</v>
      </c>
      <c r="N659" t="s">
        <v>633</v>
      </c>
      <c r="O659" t="s">
        <v>625</v>
      </c>
      <c r="P659">
        <v>1</v>
      </c>
      <c r="Q659">
        <v>0</v>
      </c>
      <c r="R659">
        <v>15.49</v>
      </c>
      <c r="S659" t="s">
        <v>485</v>
      </c>
      <c r="T659" t="s">
        <v>778</v>
      </c>
    </row>
    <row r="660" spans="1:20" x14ac:dyDescent="0.3">
      <c r="A660">
        <v>659</v>
      </c>
      <c r="B660">
        <v>244</v>
      </c>
      <c r="C660">
        <v>5</v>
      </c>
      <c r="D660">
        <v>63.95</v>
      </c>
      <c r="E660">
        <v>6.4</v>
      </c>
      <c r="F660">
        <v>0</v>
      </c>
      <c r="G660">
        <v>0.1</v>
      </c>
      <c r="H660" t="s">
        <v>622</v>
      </c>
      <c r="J660" t="s">
        <v>623</v>
      </c>
      <c r="K660" s="1"/>
      <c r="L660" s="1">
        <v>46014.359907407408</v>
      </c>
      <c r="M660" s="2">
        <v>46014</v>
      </c>
      <c r="N660" t="s">
        <v>633</v>
      </c>
      <c r="O660" t="s">
        <v>625</v>
      </c>
      <c r="P660">
        <v>1</v>
      </c>
      <c r="Q660">
        <v>0</v>
      </c>
      <c r="R660">
        <v>63.95</v>
      </c>
      <c r="S660" t="s">
        <v>483</v>
      </c>
      <c r="T660" t="s">
        <v>779</v>
      </c>
    </row>
    <row r="661" spans="1:20" x14ac:dyDescent="0.3">
      <c r="A661">
        <v>660</v>
      </c>
      <c r="B661">
        <v>137</v>
      </c>
      <c r="C661">
        <v>2</v>
      </c>
      <c r="D661">
        <v>37.03</v>
      </c>
      <c r="E661">
        <v>3.7</v>
      </c>
      <c r="F661">
        <v>0</v>
      </c>
      <c r="G661">
        <v>0.1</v>
      </c>
      <c r="H661" t="s">
        <v>622</v>
      </c>
      <c r="J661" t="s">
        <v>623</v>
      </c>
      <c r="K661" s="1"/>
      <c r="L661" s="1">
        <v>46014.362060185187</v>
      </c>
      <c r="M661" s="2">
        <v>46014</v>
      </c>
      <c r="N661" t="s">
        <v>633</v>
      </c>
      <c r="O661" t="s">
        <v>625</v>
      </c>
      <c r="P661">
        <v>1</v>
      </c>
      <c r="Q661">
        <v>0</v>
      </c>
      <c r="R661">
        <v>37.03</v>
      </c>
      <c r="S661" t="s">
        <v>269</v>
      </c>
      <c r="T661" t="s">
        <v>776</v>
      </c>
    </row>
    <row r="662" spans="1:20" x14ac:dyDescent="0.3">
      <c r="A662">
        <v>661</v>
      </c>
      <c r="B662">
        <v>70</v>
      </c>
      <c r="C662">
        <v>2</v>
      </c>
      <c r="D662">
        <v>158.77000000000001</v>
      </c>
      <c r="E662">
        <v>15.88</v>
      </c>
      <c r="F662">
        <v>0</v>
      </c>
      <c r="G662">
        <v>0.1</v>
      </c>
      <c r="H662" t="s">
        <v>622</v>
      </c>
      <c r="J662" t="s">
        <v>623</v>
      </c>
      <c r="K662" s="1"/>
      <c r="L662" s="1">
        <v>46014.363888888889</v>
      </c>
      <c r="M662" s="2">
        <v>46014</v>
      </c>
      <c r="N662" t="s">
        <v>633</v>
      </c>
      <c r="O662" t="s">
        <v>625</v>
      </c>
      <c r="P662">
        <v>1</v>
      </c>
      <c r="Q662">
        <v>0</v>
      </c>
      <c r="R662">
        <v>158.77000000000001</v>
      </c>
      <c r="S662" t="s">
        <v>136</v>
      </c>
      <c r="T662" t="s">
        <v>776</v>
      </c>
    </row>
    <row r="663" spans="1:20" x14ac:dyDescent="0.3">
      <c r="A663">
        <v>662</v>
      </c>
      <c r="B663">
        <v>44</v>
      </c>
      <c r="C663">
        <v>3</v>
      </c>
      <c r="D663">
        <v>18.91</v>
      </c>
      <c r="E663">
        <v>1.89</v>
      </c>
      <c r="F663">
        <v>0</v>
      </c>
      <c r="G663">
        <v>0.1</v>
      </c>
      <c r="H663" t="s">
        <v>622</v>
      </c>
      <c r="J663" t="s">
        <v>623</v>
      </c>
      <c r="K663" s="1"/>
      <c r="L663" s="1">
        <v>46014.393564814818</v>
      </c>
      <c r="M663" s="2">
        <v>46014</v>
      </c>
      <c r="N663" t="s">
        <v>633</v>
      </c>
      <c r="O663" t="s">
        <v>625</v>
      </c>
      <c r="P663">
        <v>1</v>
      </c>
      <c r="Q663">
        <v>0</v>
      </c>
      <c r="R663">
        <v>18.91</v>
      </c>
      <c r="S663" t="s">
        <v>84</v>
      </c>
      <c r="T663" t="s">
        <v>777</v>
      </c>
    </row>
    <row r="664" spans="1:20" x14ac:dyDescent="0.3">
      <c r="A664">
        <v>663</v>
      </c>
      <c r="B664">
        <v>251</v>
      </c>
      <c r="C664">
        <v>2</v>
      </c>
      <c r="D664">
        <v>119.57</v>
      </c>
      <c r="E664">
        <v>11.96</v>
      </c>
      <c r="F664">
        <v>0</v>
      </c>
      <c r="G664">
        <v>0.1</v>
      </c>
      <c r="H664" t="s">
        <v>622</v>
      </c>
      <c r="J664" t="s">
        <v>623</v>
      </c>
      <c r="K664" s="1"/>
      <c r="L664" s="1">
        <v>46014.402673611112</v>
      </c>
      <c r="M664" s="2">
        <v>46014</v>
      </c>
      <c r="N664" t="s">
        <v>633</v>
      </c>
      <c r="O664" t="s">
        <v>625</v>
      </c>
      <c r="P664">
        <v>1</v>
      </c>
      <c r="Q664">
        <v>0</v>
      </c>
      <c r="R664">
        <v>119.57</v>
      </c>
      <c r="S664" t="s">
        <v>497</v>
      </c>
      <c r="T664" t="s">
        <v>776</v>
      </c>
    </row>
    <row r="665" spans="1:20" x14ac:dyDescent="0.3">
      <c r="A665">
        <v>664</v>
      </c>
      <c r="B665">
        <v>41</v>
      </c>
      <c r="C665">
        <v>2</v>
      </c>
      <c r="D665">
        <v>300</v>
      </c>
      <c r="E665">
        <v>30</v>
      </c>
      <c r="F665">
        <v>0</v>
      </c>
      <c r="G665">
        <v>0.1</v>
      </c>
      <c r="H665" t="s">
        <v>622</v>
      </c>
      <c r="J665" t="s">
        <v>623</v>
      </c>
      <c r="K665" s="1"/>
      <c r="L665" s="1">
        <v>46014.435613425929</v>
      </c>
      <c r="M665" s="2">
        <v>46014</v>
      </c>
      <c r="N665" t="s">
        <v>633</v>
      </c>
      <c r="O665" t="s">
        <v>625</v>
      </c>
      <c r="P665">
        <v>1</v>
      </c>
      <c r="Q665">
        <v>0</v>
      </c>
      <c r="R665">
        <v>300</v>
      </c>
      <c r="S665" t="s">
        <v>78</v>
      </c>
      <c r="T665" t="s">
        <v>776</v>
      </c>
    </row>
    <row r="666" spans="1:20" x14ac:dyDescent="0.3">
      <c r="A666">
        <v>665</v>
      </c>
      <c r="B666">
        <v>196</v>
      </c>
      <c r="C666">
        <v>2</v>
      </c>
      <c r="D666">
        <v>25.9</v>
      </c>
      <c r="E666">
        <v>2.59</v>
      </c>
      <c r="F666">
        <v>0</v>
      </c>
      <c r="G666">
        <v>0.1</v>
      </c>
      <c r="H666" t="s">
        <v>622</v>
      </c>
      <c r="J666" t="s">
        <v>623</v>
      </c>
      <c r="K666" s="1"/>
      <c r="L666" s="1">
        <v>46014.448483796295</v>
      </c>
      <c r="M666" s="2">
        <v>46014</v>
      </c>
      <c r="N666" t="s">
        <v>633</v>
      </c>
      <c r="O666" t="s">
        <v>625</v>
      </c>
      <c r="P666">
        <v>1</v>
      </c>
      <c r="Q666">
        <v>0</v>
      </c>
      <c r="R666">
        <v>25.9</v>
      </c>
      <c r="S666" t="s">
        <v>387</v>
      </c>
      <c r="T666" t="s">
        <v>776</v>
      </c>
    </row>
    <row r="667" spans="1:20" x14ac:dyDescent="0.3">
      <c r="A667">
        <v>666</v>
      </c>
      <c r="B667">
        <v>35</v>
      </c>
      <c r="C667">
        <v>5</v>
      </c>
      <c r="D667">
        <v>20.62</v>
      </c>
      <c r="E667">
        <v>2.06</v>
      </c>
      <c r="F667">
        <v>0</v>
      </c>
      <c r="G667">
        <v>0.1</v>
      </c>
      <c r="H667" t="s">
        <v>622</v>
      </c>
      <c r="J667" t="s">
        <v>623</v>
      </c>
      <c r="K667" s="1"/>
      <c r="L667" s="1">
        <v>46014.501655092594</v>
      </c>
      <c r="M667" s="2">
        <v>46014</v>
      </c>
      <c r="N667" t="s">
        <v>633</v>
      </c>
      <c r="O667" t="s">
        <v>625</v>
      </c>
      <c r="P667">
        <v>1</v>
      </c>
      <c r="Q667">
        <v>0</v>
      </c>
      <c r="R667">
        <v>20.62</v>
      </c>
      <c r="S667" t="s">
        <v>66</v>
      </c>
      <c r="T667" t="s">
        <v>779</v>
      </c>
    </row>
    <row r="668" spans="1:20" x14ac:dyDescent="0.3">
      <c r="A668">
        <v>667</v>
      </c>
      <c r="B668">
        <v>18</v>
      </c>
      <c r="C668">
        <v>5</v>
      </c>
      <c r="D668">
        <v>139.83000000000001</v>
      </c>
      <c r="E668">
        <v>13.98</v>
      </c>
      <c r="F668">
        <v>0</v>
      </c>
      <c r="G668">
        <v>0.1</v>
      </c>
      <c r="H668" t="s">
        <v>622</v>
      </c>
      <c r="J668" t="s">
        <v>623</v>
      </c>
      <c r="K668" s="1"/>
      <c r="L668" s="1">
        <v>46014.539502314816</v>
      </c>
      <c r="M668" s="2">
        <v>46014</v>
      </c>
      <c r="N668" t="s">
        <v>633</v>
      </c>
      <c r="O668" t="s">
        <v>625</v>
      </c>
      <c r="P668">
        <v>1</v>
      </c>
      <c r="Q668">
        <v>0</v>
      </c>
      <c r="R668">
        <v>139.83000000000001</v>
      </c>
      <c r="S668" t="s">
        <v>32</v>
      </c>
      <c r="T668" t="s">
        <v>779</v>
      </c>
    </row>
    <row r="669" spans="1:20" x14ac:dyDescent="0.3">
      <c r="A669">
        <v>668</v>
      </c>
      <c r="B669">
        <v>22</v>
      </c>
      <c r="C669">
        <v>4</v>
      </c>
      <c r="D669">
        <v>99.59</v>
      </c>
      <c r="E669">
        <v>9.9600000000000009</v>
      </c>
      <c r="F669">
        <v>0</v>
      </c>
      <c r="G669">
        <v>0.1</v>
      </c>
      <c r="H669" t="s">
        <v>622</v>
      </c>
      <c r="J669" t="s">
        <v>623</v>
      </c>
      <c r="K669" s="1"/>
      <c r="L669" s="1">
        <v>46014.540717592594</v>
      </c>
      <c r="M669" s="2">
        <v>46014</v>
      </c>
      <c r="N669" t="s">
        <v>633</v>
      </c>
      <c r="O669" t="s">
        <v>625</v>
      </c>
      <c r="P669">
        <v>1</v>
      </c>
      <c r="Q669">
        <v>0</v>
      </c>
      <c r="R669">
        <v>99.59</v>
      </c>
      <c r="S669" t="s">
        <v>40</v>
      </c>
      <c r="T669" t="s">
        <v>778</v>
      </c>
    </row>
    <row r="670" spans="1:20" x14ac:dyDescent="0.3">
      <c r="A670">
        <v>669</v>
      </c>
      <c r="B670">
        <v>39</v>
      </c>
      <c r="C670">
        <v>4</v>
      </c>
      <c r="D670">
        <v>129.74</v>
      </c>
      <c r="E670">
        <v>12.97</v>
      </c>
      <c r="F670">
        <v>0</v>
      </c>
      <c r="G670">
        <v>0.1</v>
      </c>
      <c r="H670" t="s">
        <v>622</v>
      </c>
      <c r="J670" t="s">
        <v>623</v>
      </c>
      <c r="K670" s="1"/>
      <c r="L670" s="1">
        <v>46014.639004629629</v>
      </c>
      <c r="M670" s="2">
        <v>46014</v>
      </c>
      <c r="N670" t="s">
        <v>633</v>
      </c>
      <c r="O670" t="s">
        <v>625</v>
      </c>
      <c r="P670">
        <v>1</v>
      </c>
      <c r="Q670">
        <v>0</v>
      </c>
      <c r="R670">
        <v>129.74</v>
      </c>
      <c r="S670" t="s">
        <v>74</v>
      </c>
      <c r="T670" t="s">
        <v>778</v>
      </c>
    </row>
    <row r="671" spans="1:20" x14ac:dyDescent="0.3">
      <c r="A671">
        <v>670</v>
      </c>
      <c r="B671">
        <v>241</v>
      </c>
      <c r="C671">
        <v>4</v>
      </c>
      <c r="D671">
        <v>27.29</v>
      </c>
      <c r="E671">
        <v>2.73</v>
      </c>
      <c r="F671">
        <v>0</v>
      </c>
      <c r="G671">
        <v>0.1</v>
      </c>
      <c r="H671" t="s">
        <v>622</v>
      </c>
      <c r="J671" t="s">
        <v>623</v>
      </c>
      <c r="K671" s="1"/>
      <c r="L671" s="1">
        <v>46014.697476851848</v>
      </c>
      <c r="M671" s="2">
        <v>46014</v>
      </c>
      <c r="N671" t="s">
        <v>633</v>
      </c>
      <c r="O671" t="s">
        <v>625</v>
      </c>
      <c r="P671">
        <v>1</v>
      </c>
      <c r="Q671">
        <v>0</v>
      </c>
      <c r="R671">
        <v>27.29</v>
      </c>
      <c r="S671" t="s">
        <v>477</v>
      </c>
      <c r="T671" t="s">
        <v>778</v>
      </c>
    </row>
    <row r="672" spans="1:20" x14ac:dyDescent="0.3">
      <c r="A672">
        <v>671</v>
      </c>
      <c r="B672">
        <v>137</v>
      </c>
      <c r="C672">
        <v>2</v>
      </c>
      <c r="D672">
        <v>36.520000000000003</v>
      </c>
      <c r="E672">
        <v>3.65</v>
      </c>
      <c r="F672">
        <v>0</v>
      </c>
      <c r="G672">
        <v>0.1</v>
      </c>
      <c r="H672" t="s">
        <v>622</v>
      </c>
      <c r="J672" t="s">
        <v>623</v>
      </c>
      <c r="K672" s="1"/>
      <c r="L672" s="1">
        <v>46014.748935185184</v>
      </c>
      <c r="M672" s="2">
        <v>46014</v>
      </c>
      <c r="N672" t="s">
        <v>633</v>
      </c>
      <c r="O672" t="s">
        <v>625</v>
      </c>
      <c r="P672">
        <v>1</v>
      </c>
      <c r="Q672">
        <v>0</v>
      </c>
      <c r="R672">
        <v>36.520000000000003</v>
      </c>
      <c r="S672" t="s">
        <v>269</v>
      </c>
      <c r="T672" t="s">
        <v>776</v>
      </c>
    </row>
    <row r="673" spans="1:20" x14ac:dyDescent="0.3">
      <c r="A673">
        <v>672</v>
      </c>
      <c r="B673">
        <v>14</v>
      </c>
      <c r="C673">
        <v>2</v>
      </c>
      <c r="D673">
        <v>22.6</v>
      </c>
      <c r="E673">
        <v>2.2599999999999998</v>
      </c>
      <c r="F673">
        <v>0</v>
      </c>
      <c r="G673">
        <v>0.1</v>
      </c>
      <c r="H673" t="s">
        <v>622</v>
      </c>
      <c r="J673" t="s">
        <v>623</v>
      </c>
      <c r="K673" s="1"/>
      <c r="L673" s="1">
        <v>46014.79923611111</v>
      </c>
      <c r="M673" s="2">
        <v>46014</v>
      </c>
      <c r="N673" t="s">
        <v>633</v>
      </c>
      <c r="O673" t="s">
        <v>625</v>
      </c>
      <c r="P673">
        <v>1</v>
      </c>
      <c r="Q673">
        <v>0</v>
      </c>
      <c r="R673">
        <v>22.6</v>
      </c>
      <c r="S673" t="s">
        <v>24</v>
      </c>
      <c r="T673" t="s">
        <v>776</v>
      </c>
    </row>
    <row r="674" spans="1:20" x14ac:dyDescent="0.3">
      <c r="A674">
        <v>673</v>
      </c>
      <c r="B674">
        <v>16</v>
      </c>
      <c r="C674">
        <v>3</v>
      </c>
      <c r="D674">
        <v>300</v>
      </c>
      <c r="E674">
        <v>30</v>
      </c>
      <c r="F674">
        <v>0</v>
      </c>
      <c r="G674">
        <v>0.1</v>
      </c>
      <c r="H674" t="s">
        <v>622</v>
      </c>
      <c r="J674" t="s">
        <v>623</v>
      </c>
      <c r="K674" s="1"/>
      <c r="L674" s="1">
        <v>46015.29954861111</v>
      </c>
      <c r="M674" s="2">
        <v>46015</v>
      </c>
      <c r="N674" t="s">
        <v>633</v>
      </c>
      <c r="O674" t="s">
        <v>625</v>
      </c>
      <c r="P674">
        <v>1</v>
      </c>
      <c r="Q674">
        <v>0</v>
      </c>
      <c r="R674">
        <v>300</v>
      </c>
      <c r="S674" t="s">
        <v>28</v>
      </c>
      <c r="T674" t="s">
        <v>777</v>
      </c>
    </row>
    <row r="675" spans="1:20" x14ac:dyDescent="0.3">
      <c r="A675">
        <v>674</v>
      </c>
      <c r="B675">
        <v>244</v>
      </c>
      <c r="C675">
        <v>4</v>
      </c>
      <c r="D675">
        <v>182.5</v>
      </c>
      <c r="E675">
        <v>18.25</v>
      </c>
      <c r="F675">
        <v>0</v>
      </c>
      <c r="G675">
        <v>0.1</v>
      </c>
      <c r="H675" t="s">
        <v>622</v>
      </c>
      <c r="J675" t="s">
        <v>623</v>
      </c>
      <c r="K675" s="1"/>
      <c r="L675" s="1">
        <v>46015.434907407405</v>
      </c>
      <c r="M675" s="2">
        <v>46015</v>
      </c>
      <c r="N675" t="s">
        <v>633</v>
      </c>
      <c r="O675" t="s">
        <v>625</v>
      </c>
      <c r="P675">
        <v>1</v>
      </c>
      <c r="Q675">
        <v>0</v>
      </c>
      <c r="R675">
        <v>182.5</v>
      </c>
      <c r="S675" t="s">
        <v>483</v>
      </c>
      <c r="T675" t="s">
        <v>778</v>
      </c>
    </row>
    <row r="676" spans="1:20" x14ac:dyDescent="0.3">
      <c r="A676">
        <v>675</v>
      </c>
      <c r="B676">
        <v>57</v>
      </c>
      <c r="C676">
        <v>4</v>
      </c>
      <c r="D676">
        <v>60.67</v>
      </c>
      <c r="E676">
        <v>0</v>
      </c>
      <c r="F676">
        <v>1</v>
      </c>
      <c r="G676">
        <v>0.1</v>
      </c>
      <c r="H676" t="s">
        <v>622</v>
      </c>
      <c r="J676" t="s">
        <v>623</v>
      </c>
      <c r="K676" s="1"/>
      <c r="L676" s="1">
        <v>46015.534629629627</v>
      </c>
      <c r="M676" s="2">
        <v>46015</v>
      </c>
      <c r="N676" t="s">
        <v>633</v>
      </c>
      <c r="O676" t="s">
        <v>629</v>
      </c>
      <c r="P676">
        <v>1</v>
      </c>
      <c r="Q676">
        <v>0</v>
      </c>
      <c r="R676">
        <v>60.67</v>
      </c>
      <c r="S676" t="s">
        <v>110</v>
      </c>
      <c r="T676" t="s">
        <v>778</v>
      </c>
    </row>
    <row r="677" spans="1:20" x14ac:dyDescent="0.3">
      <c r="A677">
        <v>676</v>
      </c>
      <c r="B677">
        <v>137</v>
      </c>
      <c r="C677">
        <v>4</v>
      </c>
      <c r="D677">
        <v>33.770000000000003</v>
      </c>
      <c r="E677">
        <v>3.38</v>
      </c>
      <c r="F677">
        <v>0</v>
      </c>
      <c r="G677">
        <v>0.1</v>
      </c>
      <c r="H677" t="s">
        <v>622</v>
      </c>
      <c r="J677" t="s">
        <v>623</v>
      </c>
      <c r="K677" s="1"/>
      <c r="L677" s="1">
        <v>46015.707245370373</v>
      </c>
      <c r="M677" s="2">
        <v>46015</v>
      </c>
      <c r="N677" t="s">
        <v>633</v>
      </c>
      <c r="O677" t="s">
        <v>625</v>
      </c>
      <c r="P677">
        <v>1</v>
      </c>
      <c r="Q677">
        <v>0</v>
      </c>
      <c r="R677">
        <v>33.770000000000003</v>
      </c>
      <c r="S677" t="s">
        <v>269</v>
      </c>
      <c r="T677" t="s">
        <v>778</v>
      </c>
    </row>
    <row r="678" spans="1:20" x14ac:dyDescent="0.3">
      <c r="A678">
        <v>677</v>
      </c>
      <c r="B678">
        <v>36</v>
      </c>
      <c r="C678">
        <v>5</v>
      </c>
      <c r="D678">
        <v>219.27</v>
      </c>
      <c r="E678">
        <v>21.93</v>
      </c>
      <c r="F678">
        <v>0</v>
      </c>
      <c r="G678">
        <v>0.1</v>
      </c>
      <c r="H678" t="s">
        <v>622</v>
      </c>
      <c r="J678" t="s">
        <v>623</v>
      </c>
      <c r="K678" s="1"/>
      <c r="L678" s="1">
        <v>46015.720856481479</v>
      </c>
      <c r="M678" s="2">
        <v>46015</v>
      </c>
      <c r="N678" t="s">
        <v>633</v>
      </c>
      <c r="O678" t="s">
        <v>625</v>
      </c>
      <c r="P678">
        <v>1</v>
      </c>
      <c r="Q678">
        <v>0</v>
      </c>
      <c r="R678">
        <v>219.27</v>
      </c>
      <c r="S678" t="s">
        <v>68</v>
      </c>
      <c r="T678" t="s">
        <v>779</v>
      </c>
    </row>
    <row r="679" spans="1:20" x14ac:dyDescent="0.3">
      <c r="A679">
        <v>678</v>
      </c>
      <c r="B679">
        <v>160</v>
      </c>
      <c r="C679">
        <v>2</v>
      </c>
      <c r="D679">
        <v>26.38</v>
      </c>
      <c r="E679">
        <v>2.64</v>
      </c>
      <c r="F679">
        <v>0</v>
      </c>
      <c r="G679">
        <v>0.1</v>
      </c>
      <c r="H679" t="s">
        <v>622</v>
      </c>
      <c r="J679" t="s">
        <v>623</v>
      </c>
      <c r="K679" s="1"/>
      <c r="L679" s="1">
        <v>46015.762349537035</v>
      </c>
      <c r="M679" s="2">
        <v>46015</v>
      </c>
      <c r="N679" t="s">
        <v>633</v>
      </c>
      <c r="O679" t="s">
        <v>625</v>
      </c>
      <c r="P679">
        <v>1</v>
      </c>
      <c r="Q679">
        <v>0</v>
      </c>
      <c r="R679">
        <v>26.38</v>
      </c>
      <c r="S679" t="s">
        <v>315</v>
      </c>
      <c r="T679" t="s">
        <v>776</v>
      </c>
    </row>
    <row r="680" spans="1:20" x14ac:dyDescent="0.3">
      <c r="A680">
        <v>679</v>
      </c>
      <c r="B680">
        <v>106</v>
      </c>
      <c r="C680">
        <v>5</v>
      </c>
      <c r="D680">
        <v>133.58000000000001</v>
      </c>
      <c r="E680">
        <v>13.36</v>
      </c>
      <c r="F680">
        <v>0</v>
      </c>
      <c r="G680">
        <v>0.1</v>
      </c>
      <c r="H680" t="s">
        <v>622</v>
      </c>
      <c r="J680" t="s">
        <v>623</v>
      </c>
      <c r="K680" s="1"/>
      <c r="L680" s="1">
        <v>46016.347800925927</v>
      </c>
      <c r="M680" s="2">
        <v>46016</v>
      </c>
      <c r="N680" t="s">
        <v>633</v>
      </c>
      <c r="O680" t="s">
        <v>625</v>
      </c>
      <c r="P680">
        <v>1</v>
      </c>
      <c r="Q680">
        <v>0</v>
      </c>
      <c r="R680">
        <v>133.58000000000001</v>
      </c>
      <c r="S680" t="s">
        <v>207</v>
      </c>
      <c r="T680" t="s">
        <v>779</v>
      </c>
    </row>
    <row r="681" spans="1:20" x14ac:dyDescent="0.3">
      <c r="A681">
        <v>680</v>
      </c>
      <c r="B681">
        <v>31</v>
      </c>
      <c r="C681">
        <v>4</v>
      </c>
      <c r="D681">
        <v>34.729999999999997</v>
      </c>
      <c r="E681">
        <v>3.47</v>
      </c>
      <c r="F681">
        <v>0</v>
      </c>
      <c r="G681">
        <v>0.1</v>
      </c>
      <c r="H681" t="s">
        <v>622</v>
      </c>
      <c r="J681" t="s">
        <v>623</v>
      </c>
      <c r="K681" s="1"/>
      <c r="L681" s="1">
        <v>46016.381886574076</v>
      </c>
      <c r="M681" s="2">
        <v>46016</v>
      </c>
      <c r="N681" t="s">
        <v>633</v>
      </c>
      <c r="O681" t="s">
        <v>625</v>
      </c>
      <c r="P681">
        <v>1</v>
      </c>
      <c r="Q681">
        <v>0</v>
      </c>
      <c r="R681">
        <v>34.729999999999997</v>
      </c>
      <c r="S681" t="s">
        <v>58</v>
      </c>
      <c r="T681" t="s">
        <v>778</v>
      </c>
    </row>
    <row r="682" spans="1:20" x14ac:dyDescent="0.3">
      <c r="A682">
        <v>681</v>
      </c>
      <c r="B682">
        <v>29</v>
      </c>
      <c r="C682">
        <v>3</v>
      </c>
      <c r="D682">
        <v>30.91</v>
      </c>
      <c r="E682">
        <v>3.09</v>
      </c>
      <c r="F682">
        <v>0</v>
      </c>
      <c r="G682">
        <v>0.1</v>
      </c>
      <c r="H682" t="s">
        <v>622</v>
      </c>
      <c r="J682" t="s">
        <v>623</v>
      </c>
      <c r="K682" s="1"/>
      <c r="L682" s="1">
        <v>46016.400069444448</v>
      </c>
      <c r="M682" s="2">
        <v>46016</v>
      </c>
      <c r="N682" t="s">
        <v>633</v>
      </c>
      <c r="O682" t="s">
        <v>625</v>
      </c>
      <c r="P682">
        <v>1</v>
      </c>
      <c r="Q682">
        <v>0</v>
      </c>
      <c r="R682">
        <v>30.91</v>
      </c>
      <c r="S682" t="s">
        <v>54</v>
      </c>
      <c r="T682" t="s">
        <v>777</v>
      </c>
    </row>
    <row r="683" spans="1:20" x14ac:dyDescent="0.3">
      <c r="A683">
        <v>682</v>
      </c>
      <c r="B683">
        <v>155</v>
      </c>
      <c r="C683">
        <v>3</v>
      </c>
      <c r="D683">
        <v>18.739999999999998</v>
      </c>
      <c r="E683">
        <v>1.87</v>
      </c>
      <c r="F683">
        <v>0</v>
      </c>
      <c r="G683">
        <v>0.1</v>
      </c>
      <c r="H683" t="s">
        <v>622</v>
      </c>
      <c r="J683" t="s">
        <v>623</v>
      </c>
      <c r="K683" s="1"/>
      <c r="L683" s="1">
        <v>46016.406458333331</v>
      </c>
      <c r="M683" s="2">
        <v>46016</v>
      </c>
      <c r="N683" t="s">
        <v>633</v>
      </c>
      <c r="O683" t="s">
        <v>625</v>
      </c>
      <c r="P683">
        <v>1</v>
      </c>
      <c r="Q683">
        <v>0</v>
      </c>
      <c r="R683">
        <v>18.739999999999998</v>
      </c>
      <c r="S683" t="s">
        <v>305</v>
      </c>
      <c r="T683" t="s">
        <v>777</v>
      </c>
    </row>
    <row r="684" spans="1:20" x14ac:dyDescent="0.3">
      <c r="A684">
        <v>683</v>
      </c>
      <c r="B684">
        <v>66</v>
      </c>
      <c r="C684">
        <v>2</v>
      </c>
      <c r="D684">
        <v>65.790000000000006</v>
      </c>
      <c r="E684">
        <v>6.58</v>
      </c>
      <c r="F684">
        <v>0</v>
      </c>
      <c r="G684">
        <v>0.1</v>
      </c>
      <c r="H684" t="s">
        <v>622</v>
      </c>
      <c r="J684" t="s">
        <v>623</v>
      </c>
      <c r="K684" s="1"/>
      <c r="L684" s="1">
        <v>46016.413368055553</v>
      </c>
      <c r="M684" s="2">
        <v>46016</v>
      </c>
      <c r="N684" t="s">
        <v>633</v>
      </c>
      <c r="O684" t="s">
        <v>625</v>
      </c>
      <c r="P684">
        <v>1</v>
      </c>
      <c r="Q684">
        <v>0</v>
      </c>
      <c r="R684">
        <v>65.790000000000006</v>
      </c>
      <c r="S684" t="s">
        <v>128</v>
      </c>
      <c r="T684" t="s">
        <v>776</v>
      </c>
    </row>
    <row r="685" spans="1:20" x14ac:dyDescent="0.3">
      <c r="A685">
        <v>684</v>
      </c>
      <c r="B685">
        <v>186</v>
      </c>
      <c r="C685">
        <v>5</v>
      </c>
      <c r="D685">
        <v>39.78</v>
      </c>
      <c r="E685">
        <v>3.98</v>
      </c>
      <c r="F685">
        <v>0</v>
      </c>
      <c r="G685">
        <v>0.1</v>
      </c>
      <c r="H685" t="s">
        <v>622</v>
      </c>
      <c r="J685" t="s">
        <v>623</v>
      </c>
      <c r="K685" s="1"/>
      <c r="L685" s="1">
        <v>46016.426446759258</v>
      </c>
      <c r="M685" s="2">
        <v>46016</v>
      </c>
      <c r="N685" t="s">
        <v>633</v>
      </c>
      <c r="O685" t="s">
        <v>625</v>
      </c>
      <c r="P685">
        <v>1</v>
      </c>
      <c r="Q685">
        <v>0</v>
      </c>
      <c r="R685">
        <v>39.78</v>
      </c>
      <c r="S685" t="s">
        <v>367</v>
      </c>
      <c r="T685" t="s">
        <v>779</v>
      </c>
    </row>
    <row r="686" spans="1:20" x14ac:dyDescent="0.3">
      <c r="A686">
        <v>685</v>
      </c>
      <c r="B686">
        <v>117</v>
      </c>
      <c r="C686">
        <v>5</v>
      </c>
      <c r="D686">
        <v>95.04</v>
      </c>
      <c r="E686">
        <v>9.5</v>
      </c>
      <c r="F686">
        <v>0</v>
      </c>
      <c r="G686">
        <v>0.1</v>
      </c>
      <c r="H686" t="s">
        <v>622</v>
      </c>
      <c r="J686" t="s">
        <v>623</v>
      </c>
      <c r="K686" s="1"/>
      <c r="L686" s="1">
        <v>46016.458113425928</v>
      </c>
      <c r="M686" s="2">
        <v>46016</v>
      </c>
      <c r="N686" t="s">
        <v>633</v>
      </c>
      <c r="O686" t="s">
        <v>625</v>
      </c>
      <c r="P686">
        <v>1</v>
      </c>
      <c r="Q686">
        <v>0</v>
      </c>
      <c r="R686">
        <v>95.04</v>
      </c>
      <c r="S686" t="s">
        <v>229</v>
      </c>
      <c r="T686" t="s">
        <v>779</v>
      </c>
    </row>
    <row r="687" spans="1:20" x14ac:dyDescent="0.3">
      <c r="A687">
        <v>686</v>
      </c>
      <c r="B687">
        <v>29</v>
      </c>
      <c r="C687">
        <v>4</v>
      </c>
      <c r="D687">
        <v>36.200000000000003</v>
      </c>
      <c r="E687">
        <v>3.62</v>
      </c>
      <c r="F687">
        <v>0</v>
      </c>
      <c r="G687">
        <v>0.1</v>
      </c>
      <c r="H687" t="s">
        <v>622</v>
      </c>
      <c r="J687" t="s">
        <v>623</v>
      </c>
      <c r="K687" s="1"/>
      <c r="L687" s="1">
        <v>46016.458831018521</v>
      </c>
      <c r="M687" s="2">
        <v>46016</v>
      </c>
      <c r="N687" t="s">
        <v>633</v>
      </c>
      <c r="O687" t="s">
        <v>625</v>
      </c>
      <c r="P687">
        <v>1</v>
      </c>
      <c r="Q687">
        <v>0</v>
      </c>
      <c r="R687">
        <v>36.200000000000003</v>
      </c>
      <c r="S687" t="s">
        <v>54</v>
      </c>
      <c r="T687" t="s">
        <v>778</v>
      </c>
    </row>
    <row r="688" spans="1:20" x14ac:dyDescent="0.3">
      <c r="A688">
        <v>687</v>
      </c>
      <c r="B688">
        <v>277</v>
      </c>
      <c r="C688">
        <v>4</v>
      </c>
      <c r="D688">
        <v>90.29</v>
      </c>
      <c r="E688">
        <v>9.0299999999999994</v>
      </c>
      <c r="F688">
        <v>0</v>
      </c>
      <c r="G688">
        <v>0.1</v>
      </c>
      <c r="H688" t="s">
        <v>622</v>
      </c>
      <c r="J688" t="s">
        <v>623</v>
      </c>
      <c r="K688" s="1"/>
      <c r="L688" s="1">
        <v>46016.58871527778</v>
      </c>
      <c r="M688" s="2">
        <v>46016</v>
      </c>
      <c r="N688" t="s">
        <v>633</v>
      </c>
      <c r="O688" t="s">
        <v>625</v>
      </c>
      <c r="P688">
        <v>1</v>
      </c>
      <c r="Q688">
        <v>0</v>
      </c>
      <c r="R688">
        <v>90.29</v>
      </c>
      <c r="S688" t="s">
        <v>549</v>
      </c>
      <c r="T688" t="s">
        <v>778</v>
      </c>
    </row>
    <row r="689" spans="1:20" x14ac:dyDescent="0.3">
      <c r="A689">
        <v>688</v>
      </c>
      <c r="B689">
        <v>35</v>
      </c>
      <c r="C689">
        <v>2</v>
      </c>
      <c r="D689">
        <v>27.04</v>
      </c>
      <c r="E689">
        <v>2.7</v>
      </c>
      <c r="F689">
        <v>0</v>
      </c>
      <c r="G689">
        <v>0.1</v>
      </c>
      <c r="H689" t="s">
        <v>622</v>
      </c>
      <c r="J689" t="s">
        <v>623</v>
      </c>
      <c r="K689" s="1"/>
      <c r="L689" s="1">
        <v>46016.770798611113</v>
      </c>
      <c r="M689" s="2">
        <v>46016</v>
      </c>
      <c r="N689" t="s">
        <v>633</v>
      </c>
      <c r="O689" t="s">
        <v>625</v>
      </c>
      <c r="P689">
        <v>1</v>
      </c>
      <c r="Q689">
        <v>0</v>
      </c>
      <c r="R689">
        <v>27.04</v>
      </c>
      <c r="S689" t="s">
        <v>66</v>
      </c>
      <c r="T689" t="s">
        <v>776</v>
      </c>
    </row>
    <row r="690" spans="1:20" x14ac:dyDescent="0.3">
      <c r="A690">
        <v>689</v>
      </c>
      <c r="B690">
        <v>39</v>
      </c>
      <c r="C690">
        <v>4</v>
      </c>
      <c r="D690">
        <v>195.07</v>
      </c>
      <c r="E690">
        <v>19.510000000000002</v>
      </c>
      <c r="F690">
        <v>0</v>
      </c>
      <c r="G690">
        <v>0.1</v>
      </c>
      <c r="H690" t="s">
        <v>622</v>
      </c>
      <c r="J690" t="s">
        <v>623</v>
      </c>
      <c r="K690" s="1"/>
      <c r="L690" s="1">
        <v>46016.816874999997</v>
      </c>
      <c r="M690" s="2">
        <v>46016</v>
      </c>
      <c r="N690" t="s">
        <v>633</v>
      </c>
      <c r="O690" t="s">
        <v>625</v>
      </c>
      <c r="P690">
        <v>1</v>
      </c>
      <c r="Q690">
        <v>0</v>
      </c>
      <c r="R690">
        <v>195.07</v>
      </c>
      <c r="S690" t="s">
        <v>74</v>
      </c>
      <c r="T690" t="s">
        <v>778</v>
      </c>
    </row>
    <row r="691" spans="1:20" x14ac:dyDescent="0.3">
      <c r="A691">
        <v>690</v>
      </c>
      <c r="B691">
        <v>61</v>
      </c>
      <c r="C691">
        <v>3</v>
      </c>
      <c r="D691">
        <v>148.77000000000001</v>
      </c>
      <c r="E691">
        <v>14.88</v>
      </c>
      <c r="F691">
        <v>0</v>
      </c>
      <c r="G691">
        <v>0.1</v>
      </c>
      <c r="H691" t="s">
        <v>622</v>
      </c>
      <c r="J691" t="s">
        <v>623</v>
      </c>
      <c r="K691" s="1"/>
      <c r="L691" s="1">
        <v>46017.324155092596</v>
      </c>
      <c r="M691" s="2">
        <v>46017</v>
      </c>
      <c r="N691" t="s">
        <v>633</v>
      </c>
      <c r="O691" t="s">
        <v>625</v>
      </c>
      <c r="P691">
        <v>1</v>
      </c>
      <c r="Q691">
        <v>0</v>
      </c>
      <c r="R691">
        <v>148.77000000000001</v>
      </c>
      <c r="S691" t="s">
        <v>118</v>
      </c>
      <c r="T691" t="s">
        <v>777</v>
      </c>
    </row>
    <row r="692" spans="1:20" x14ac:dyDescent="0.3">
      <c r="A692">
        <v>691</v>
      </c>
      <c r="B692">
        <v>65</v>
      </c>
      <c r="C692">
        <v>5</v>
      </c>
      <c r="D692">
        <v>40.54</v>
      </c>
      <c r="E692">
        <v>4.05</v>
      </c>
      <c r="F692">
        <v>0</v>
      </c>
      <c r="G692">
        <v>0.1</v>
      </c>
      <c r="H692" t="s">
        <v>622</v>
      </c>
      <c r="J692" t="s">
        <v>623</v>
      </c>
      <c r="K692" s="1"/>
      <c r="L692" s="1">
        <v>46017.33525462963</v>
      </c>
      <c r="M692" s="2">
        <v>46017</v>
      </c>
      <c r="N692" t="s">
        <v>633</v>
      </c>
      <c r="O692" t="s">
        <v>625</v>
      </c>
      <c r="P692">
        <v>1</v>
      </c>
      <c r="Q692">
        <v>0</v>
      </c>
      <c r="R692">
        <v>40.54</v>
      </c>
      <c r="S692" t="s">
        <v>126</v>
      </c>
      <c r="T692" t="s">
        <v>779</v>
      </c>
    </row>
    <row r="693" spans="1:20" x14ac:dyDescent="0.3">
      <c r="A693">
        <v>692</v>
      </c>
      <c r="B693">
        <v>240</v>
      </c>
      <c r="C693">
        <v>2</v>
      </c>
      <c r="D693">
        <v>159.13</v>
      </c>
      <c r="E693">
        <v>15.91</v>
      </c>
      <c r="F693">
        <v>0</v>
      </c>
      <c r="G693">
        <v>0.1</v>
      </c>
      <c r="H693" t="s">
        <v>622</v>
      </c>
      <c r="J693" t="s">
        <v>623</v>
      </c>
      <c r="K693" s="1"/>
      <c r="L693" s="1">
        <v>46017.41505787037</v>
      </c>
      <c r="M693" s="2">
        <v>46017</v>
      </c>
      <c r="N693" t="s">
        <v>633</v>
      </c>
      <c r="O693" t="s">
        <v>625</v>
      </c>
      <c r="P693">
        <v>1</v>
      </c>
      <c r="Q693">
        <v>0</v>
      </c>
      <c r="R693">
        <v>159.13</v>
      </c>
      <c r="S693" t="s">
        <v>475</v>
      </c>
      <c r="T693" t="s">
        <v>776</v>
      </c>
    </row>
    <row r="694" spans="1:20" x14ac:dyDescent="0.3">
      <c r="A694">
        <v>693</v>
      </c>
      <c r="B694">
        <v>61</v>
      </c>
      <c r="C694">
        <v>3</v>
      </c>
      <c r="D694">
        <v>30.58</v>
      </c>
      <c r="E694">
        <v>3.06</v>
      </c>
      <c r="F694">
        <v>0</v>
      </c>
      <c r="G694">
        <v>0.1</v>
      </c>
      <c r="H694" t="s">
        <v>622</v>
      </c>
      <c r="J694" t="s">
        <v>623</v>
      </c>
      <c r="K694" s="1"/>
      <c r="L694" s="1">
        <v>46017.495081018518</v>
      </c>
      <c r="M694" s="2">
        <v>46017</v>
      </c>
      <c r="N694" t="s">
        <v>633</v>
      </c>
      <c r="O694" t="s">
        <v>625</v>
      </c>
      <c r="P694">
        <v>1</v>
      </c>
      <c r="Q694">
        <v>0</v>
      </c>
      <c r="R694">
        <v>30.58</v>
      </c>
      <c r="S694" t="s">
        <v>118</v>
      </c>
      <c r="T694" t="s">
        <v>777</v>
      </c>
    </row>
    <row r="695" spans="1:20" x14ac:dyDescent="0.3">
      <c r="A695">
        <v>694</v>
      </c>
      <c r="B695">
        <v>137</v>
      </c>
      <c r="C695">
        <v>3</v>
      </c>
      <c r="D695">
        <v>29.55</v>
      </c>
      <c r="E695">
        <v>2.96</v>
      </c>
      <c r="F695">
        <v>0</v>
      </c>
      <c r="G695">
        <v>0.1</v>
      </c>
      <c r="H695" t="s">
        <v>622</v>
      </c>
      <c r="J695" t="s">
        <v>623</v>
      </c>
      <c r="K695" s="1"/>
      <c r="L695" s="1">
        <v>46017.524872685186</v>
      </c>
      <c r="M695" s="2">
        <v>46017</v>
      </c>
      <c r="N695" t="s">
        <v>633</v>
      </c>
      <c r="O695" t="s">
        <v>625</v>
      </c>
      <c r="P695">
        <v>1</v>
      </c>
      <c r="Q695">
        <v>0</v>
      </c>
      <c r="R695">
        <v>29.55</v>
      </c>
      <c r="S695" t="s">
        <v>269</v>
      </c>
      <c r="T695" t="s">
        <v>777</v>
      </c>
    </row>
    <row r="696" spans="1:20" x14ac:dyDescent="0.3">
      <c r="A696">
        <v>695</v>
      </c>
      <c r="B696">
        <v>32</v>
      </c>
      <c r="C696">
        <v>3</v>
      </c>
      <c r="D696">
        <v>19.329999999999998</v>
      </c>
      <c r="E696">
        <v>1.93</v>
      </c>
      <c r="F696">
        <v>0</v>
      </c>
      <c r="G696">
        <v>0.1</v>
      </c>
      <c r="H696" t="s">
        <v>622</v>
      </c>
      <c r="J696" t="s">
        <v>623</v>
      </c>
      <c r="K696" s="1"/>
      <c r="L696" s="1">
        <v>46017.624664351853</v>
      </c>
      <c r="M696" s="2">
        <v>46017</v>
      </c>
      <c r="N696" t="s">
        <v>633</v>
      </c>
      <c r="O696" t="s">
        <v>625</v>
      </c>
      <c r="P696">
        <v>1</v>
      </c>
      <c r="Q696">
        <v>0</v>
      </c>
      <c r="R696">
        <v>19.329999999999998</v>
      </c>
      <c r="S696" t="s">
        <v>60</v>
      </c>
      <c r="T696" t="s">
        <v>777</v>
      </c>
    </row>
    <row r="697" spans="1:20" x14ac:dyDescent="0.3">
      <c r="A697">
        <v>696</v>
      </c>
      <c r="B697">
        <v>253</v>
      </c>
      <c r="C697">
        <v>5</v>
      </c>
      <c r="D697">
        <v>51.37</v>
      </c>
      <c r="E697">
        <v>5.14</v>
      </c>
      <c r="F697">
        <v>0</v>
      </c>
      <c r="G697">
        <v>0.1</v>
      </c>
      <c r="H697" t="s">
        <v>622</v>
      </c>
      <c r="J697" t="s">
        <v>623</v>
      </c>
      <c r="K697" s="1"/>
      <c r="L697" s="1">
        <v>46017.735601851855</v>
      </c>
      <c r="M697" s="2">
        <v>46017</v>
      </c>
      <c r="N697" t="s">
        <v>633</v>
      </c>
      <c r="O697" t="s">
        <v>625</v>
      </c>
      <c r="P697">
        <v>1</v>
      </c>
      <c r="Q697">
        <v>0</v>
      </c>
      <c r="R697">
        <v>51.37</v>
      </c>
      <c r="S697" t="s">
        <v>501</v>
      </c>
      <c r="T697" t="s">
        <v>779</v>
      </c>
    </row>
    <row r="698" spans="1:20" x14ac:dyDescent="0.3">
      <c r="A698">
        <v>697</v>
      </c>
      <c r="B698">
        <v>43</v>
      </c>
      <c r="C698">
        <v>2</v>
      </c>
      <c r="D698">
        <v>79.63</v>
      </c>
      <c r="E698">
        <v>7.96</v>
      </c>
      <c r="F698">
        <v>0</v>
      </c>
      <c r="G698">
        <v>0.1</v>
      </c>
      <c r="H698" t="s">
        <v>622</v>
      </c>
      <c r="J698" t="s">
        <v>623</v>
      </c>
      <c r="K698" s="1"/>
      <c r="L698" s="1">
        <v>46017.751261574071</v>
      </c>
      <c r="M698" s="2">
        <v>46017</v>
      </c>
      <c r="N698" t="s">
        <v>633</v>
      </c>
      <c r="O698" t="s">
        <v>625</v>
      </c>
      <c r="P698">
        <v>1</v>
      </c>
      <c r="Q698">
        <v>0</v>
      </c>
      <c r="R698">
        <v>79.63</v>
      </c>
      <c r="S698" t="s">
        <v>82</v>
      </c>
      <c r="T698" t="s">
        <v>776</v>
      </c>
    </row>
    <row r="699" spans="1:20" x14ac:dyDescent="0.3">
      <c r="A699">
        <v>698</v>
      </c>
      <c r="B699">
        <v>11</v>
      </c>
      <c r="C699">
        <v>4</v>
      </c>
      <c r="D699">
        <v>254.82</v>
      </c>
      <c r="E699">
        <v>25.48</v>
      </c>
      <c r="F699">
        <v>0</v>
      </c>
      <c r="G699">
        <v>0.1</v>
      </c>
      <c r="H699" t="s">
        <v>622</v>
      </c>
      <c r="J699" t="s">
        <v>623</v>
      </c>
      <c r="K699" s="1"/>
      <c r="L699" s="1">
        <v>46017.761944444443</v>
      </c>
      <c r="M699" s="2">
        <v>46017</v>
      </c>
      <c r="N699" t="s">
        <v>633</v>
      </c>
      <c r="O699" t="s">
        <v>625</v>
      </c>
      <c r="P699">
        <v>1</v>
      </c>
      <c r="Q699">
        <v>0</v>
      </c>
      <c r="R699">
        <v>254.82</v>
      </c>
      <c r="S699" t="s">
        <v>18</v>
      </c>
      <c r="T699" t="s">
        <v>778</v>
      </c>
    </row>
    <row r="700" spans="1:20" x14ac:dyDescent="0.3">
      <c r="A700">
        <v>699</v>
      </c>
      <c r="B700">
        <v>221</v>
      </c>
      <c r="C700">
        <v>4</v>
      </c>
      <c r="D700">
        <v>231.82</v>
      </c>
      <c r="E700">
        <v>23.18</v>
      </c>
      <c r="F700">
        <v>0</v>
      </c>
      <c r="G700">
        <v>0.1</v>
      </c>
      <c r="H700" t="s">
        <v>622</v>
      </c>
      <c r="J700" t="s">
        <v>623</v>
      </c>
      <c r="K700" s="1"/>
      <c r="L700" s="1">
        <v>46018.365937499999</v>
      </c>
      <c r="M700" s="2">
        <v>46018</v>
      </c>
      <c r="N700" t="s">
        <v>633</v>
      </c>
      <c r="O700" t="s">
        <v>625</v>
      </c>
      <c r="P700">
        <v>1</v>
      </c>
      <c r="Q700">
        <v>0</v>
      </c>
      <c r="R700">
        <v>231.82</v>
      </c>
      <c r="S700" t="s">
        <v>437</v>
      </c>
      <c r="T700" t="s">
        <v>778</v>
      </c>
    </row>
    <row r="701" spans="1:20" x14ac:dyDescent="0.3">
      <c r="A701">
        <v>700</v>
      </c>
      <c r="B701">
        <v>39</v>
      </c>
      <c r="C701">
        <v>2</v>
      </c>
      <c r="D701">
        <v>103.91</v>
      </c>
      <c r="E701">
        <v>0</v>
      </c>
      <c r="F701">
        <v>1</v>
      </c>
      <c r="G701">
        <v>0.1</v>
      </c>
      <c r="H701" t="s">
        <v>622</v>
      </c>
      <c r="J701" t="s">
        <v>623</v>
      </c>
      <c r="K701" s="1"/>
      <c r="L701" s="1">
        <v>46018.393692129626</v>
      </c>
      <c r="M701" s="2">
        <v>46018</v>
      </c>
      <c r="N701" t="s">
        <v>633</v>
      </c>
      <c r="O701" t="s">
        <v>629</v>
      </c>
      <c r="P701">
        <v>1</v>
      </c>
      <c r="Q701">
        <v>0</v>
      </c>
      <c r="R701">
        <v>103.91</v>
      </c>
      <c r="S701" t="s">
        <v>74</v>
      </c>
      <c r="T701" t="s">
        <v>776</v>
      </c>
    </row>
    <row r="702" spans="1:20" x14ac:dyDescent="0.3">
      <c r="A702">
        <v>701</v>
      </c>
      <c r="B702">
        <v>57</v>
      </c>
      <c r="C702">
        <v>5</v>
      </c>
      <c r="D702">
        <v>66.87</v>
      </c>
      <c r="E702">
        <v>6.69</v>
      </c>
      <c r="F702">
        <v>0</v>
      </c>
      <c r="G702">
        <v>0.1</v>
      </c>
      <c r="H702" t="s">
        <v>622</v>
      </c>
      <c r="J702" t="s">
        <v>623</v>
      </c>
      <c r="K702" s="1"/>
      <c r="L702" s="1">
        <v>46018.415810185186</v>
      </c>
      <c r="M702" s="2">
        <v>46018</v>
      </c>
      <c r="N702" t="s">
        <v>633</v>
      </c>
      <c r="O702" t="s">
        <v>625</v>
      </c>
      <c r="P702">
        <v>1</v>
      </c>
      <c r="Q702">
        <v>0</v>
      </c>
      <c r="R702">
        <v>66.87</v>
      </c>
      <c r="S702" t="s">
        <v>110</v>
      </c>
      <c r="T702" t="s">
        <v>779</v>
      </c>
    </row>
    <row r="703" spans="1:20" x14ac:dyDescent="0.3">
      <c r="A703">
        <v>702</v>
      </c>
      <c r="B703">
        <v>209</v>
      </c>
      <c r="C703">
        <v>5</v>
      </c>
      <c r="D703">
        <v>170.3</v>
      </c>
      <c r="E703">
        <v>17.03</v>
      </c>
      <c r="F703">
        <v>0</v>
      </c>
      <c r="G703">
        <v>0.1</v>
      </c>
      <c r="H703" t="s">
        <v>622</v>
      </c>
      <c r="J703" t="s">
        <v>623</v>
      </c>
      <c r="K703" s="1"/>
      <c r="L703" s="1">
        <v>46018.451226851852</v>
      </c>
      <c r="M703" s="2">
        <v>46018</v>
      </c>
      <c r="N703" t="s">
        <v>633</v>
      </c>
      <c r="O703" t="s">
        <v>625</v>
      </c>
      <c r="P703">
        <v>1</v>
      </c>
      <c r="Q703">
        <v>0</v>
      </c>
      <c r="R703">
        <v>170.3</v>
      </c>
      <c r="S703" t="s">
        <v>413</v>
      </c>
      <c r="T703" t="s">
        <v>779</v>
      </c>
    </row>
    <row r="704" spans="1:20" x14ac:dyDescent="0.3">
      <c r="A704">
        <v>703</v>
      </c>
      <c r="B704">
        <v>203</v>
      </c>
      <c r="C704">
        <v>2</v>
      </c>
      <c r="D704">
        <v>223.87</v>
      </c>
      <c r="E704">
        <v>22.39</v>
      </c>
      <c r="F704">
        <v>0</v>
      </c>
      <c r="G704">
        <v>0.1</v>
      </c>
      <c r="H704" t="s">
        <v>622</v>
      </c>
      <c r="J704" t="s">
        <v>623</v>
      </c>
      <c r="K704" s="1"/>
      <c r="L704" s="1">
        <v>46018.489490740743</v>
      </c>
      <c r="M704" s="2">
        <v>46018</v>
      </c>
      <c r="N704" t="s">
        <v>633</v>
      </c>
      <c r="O704" t="s">
        <v>625</v>
      </c>
      <c r="P704">
        <v>1</v>
      </c>
      <c r="Q704">
        <v>0</v>
      </c>
      <c r="R704">
        <v>223.87</v>
      </c>
      <c r="S704" t="s">
        <v>401</v>
      </c>
      <c r="T704" t="s">
        <v>776</v>
      </c>
    </row>
    <row r="705" spans="1:20" x14ac:dyDescent="0.3">
      <c r="A705">
        <v>704</v>
      </c>
      <c r="B705">
        <v>49</v>
      </c>
      <c r="C705">
        <v>5</v>
      </c>
      <c r="D705">
        <v>105.13</v>
      </c>
      <c r="E705">
        <v>10.51</v>
      </c>
      <c r="F705">
        <v>0</v>
      </c>
      <c r="G705">
        <v>0.1</v>
      </c>
      <c r="H705" t="s">
        <v>622</v>
      </c>
      <c r="J705" t="s">
        <v>623</v>
      </c>
      <c r="K705" s="1"/>
      <c r="L705" s="1">
        <v>46018.492002314815</v>
      </c>
      <c r="M705" s="2">
        <v>46018</v>
      </c>
      <c r="N705" t="s">
        <v>633</v>
      </c>
      <c r="O705" t="s">
        <v>625</v>
      </c>
      <c r="P705">
        <v>1</v>
      </c>
      <c r="Q705">
        <v>0</v>
      </c>
      <c r="R705">
        <v>105.13</v>
      </c>
      <c r="S705" t="s">
        <v>94</v>
      </c>
      <c r="T705" t="s">
        <v>779</v>
      </c>
    </row>
    <row r="706" spans="1:20" x14ac:dyDescent="0.3">
      <c r="A706">
        <v>705</v>
      </c>
      <c r="B706">
        <v>44</v>
      </c>
      <c r="C706">
        <v>2</v>
      </c>
      <c r="D706">
        <v>34.1</v>
      </c>
      <c r="E706">
        <v>3.41</v>
      </c>
      <c r="F706">
        <v>0</v>
      </c>
      <c r="G706">
        <v>0.1</v>
      </c>
      <c r="H706" t="s">
        <v>622</v>
      </c>
      <c r="J706" t="s">
        <v>623</v>
      </c>
      <c r="K706" s="1"/>
      <c r="L706" s="1">
        <v>46018.628449074073</v>
      </c>
      <c r="M706" s="2">
        <v>46018</v>
      </c>
      <c r="N706" t="s">
        <v>633</v>
      </c>
      <c r="O706" t="s">
        <v>625</v>
      </c>
      <c r="P706">
        <v>1</v>
      </c>
      <c r="Q706">
        <v>0</v>
      </c>
      <c r="R706">
        <v>34.1</v>
      </c>
      <c r="S706" t="s">
        <v>84</v>
      </c>
      <c r="T706" t="s">
        <v>776</v>
      </c>
    </row>
    <row r="707" spans="1:20" x14ac:dyDescent="0.3">
      <c r="A707">
        <v>706</v>
      </c>
      <c r="B707">
        <v>137</v>
      </c>
      <c r="C707">
        <v>5</v>
      </c>
      <c r="D707">
        <v>35.46</v>
      </c>
      <c r="E707">
        <v>0</v>
      </c>
      <c r="F707">
        <v>1</v>
      </c>
      <c r="G707">
        <v>0.1</v>
      </c>
      <c r="H707" t="s">
        <v>622</v>
      </c>
      <c r="J707" t="s">
        <v>623</v>
      </c>
      <c r="K707" s="1"/>
      <c r="L707" s="1">
        <v>46018.632002314815</v>
      </c>
      <c r="M707" s="2">
        <v>46018</v>
      </c>
      <c r="N707" t="s">
        <v>633</v>
      </c>
      <c r="O707" t="s">
        <v>629</v>
      </c>
      <c r="P707">
        <v>1</v>
      </c>
      <c r="Q707">
        <v>0</v>
      </c>
      <c r="R707">
        <v>35.46</v>
      </c>
      <c r="S707" t="s">
        <v>269</v>
      </c>
      <c r="T707" t="s">
        <v>779</v>
      </c>
    </row>
    <row r="708" spans="1:20" x14ac:dyDescent="0.3">
      <c r="A708">
        <v>707</v>
      </c>
      <c r="B708">
        <v>80</v>
      </c>
      <c r="C708">
        <v>5</v>
      </c>
      <c r="D708">
        <v>34.450000000000003</v>
      </c>
      <c r="E708">
        <v>3.45</v>
      </c>
      <c r="F708">
        <v>0</v>
      </c>
      <c r="G708">
        <v>0.1</v>
      </c>
      <c r="H708" t="s">
        <v>622</v>
      </c>
      <c r="J708" t="s">
        <v>623</v>
      </c>
      <c r="K708" s="1"/>
      <c r="L708" s="1">
        <v>46018.685393518521</v>
      </c>
      <c r="M708" s="2">
        <v>46018</v>
      </c>
      <c r="N708" t="s">
        <v>633</v>
      </c>
      <c r="O708" t="s">
        <v>625</v>
      </c>
      <c r="P708">
        <v>1</v>
      </c>
      <c r="Q708">
        <v>0</v>
      </c>
      <c r="R708">
        <v>34.450000000000003</v>
      </c>
      <c r="S708" t="s">
        <v>156</v>
      </c>
      <c r="T708" t="s">
        <v>779</v>
      </c>
    </row>
    <row r="709" spans="1:20" x14ac:dyDescent="0.3">
      <c r="A709">
        <v>708</v>
      </c>
      <c r="B709">
        <v>117</v>
      </c>
      <c r="C709">
        <v>4</v>
      </c>
      <c r="D709">
        <v>164.81</v>
      </c>
      <c r="E709">
        <v>16.48</v>
      </c>
      <c r="F709">
        <v>0</v>
      </c>
      <c r="G709">
        <v>0.1</v>
      </c>
      <c r="H709" t="s">
        <v>622</v>
      </c>
      <c r="J709" t="s">
        <v>623</v>
      </c>
      <c r="K709" s="1"/>
      <c r="L709" s="1">
        <v>46019.364884259259</v>
      </c>
      <c r="M709" s="2">
        <v>46019</v>
      </c>
      <c r="N709" t="s">
        <v>633</v>
      </c>
      <c r="O709" t="s">
        <v>625</v>
      </c>
      <c r="P709">
        <v>1</v>
      </c>
      <c r="Q709">
        <v>0</v>
      </c>
      <c r="R709">
        <v>164.81</v>
      </c>
      <c r="S709" t="s">
        <v>229</v>
      </c>
      <c r="T709" t="s">
        <v>778</v>
      </c>
    </row>
    <row r="710" spans="1:20" x14ac:dyDescent="0.3">
      <c r="A710">
        <v>709</v>
      </c>
      <c r="B710">
        <v>24</v>
      </c>
      <c r="C710">
        <v>3</v>
      </c>
      <c r="D710">
        <v>242.39</v>
      </c>
      <c r="E710">
        <v>24.24</v>
      </c>
      <c r="F710">
        <v>0</v>
      </c>
      <c r="G710">
        <v>0.1</v>
      </c>
      <c r="H710" t="s">
        <v>622</v>
      </c>
      <c r="J710" t="s">
        <v>623</v>
      </c>
      <c r="K710" s="1"/>
      <c r="L710" s="1">
        <v>46019.368819444448</v>
      </c>
      <c r="M710" s="2">
        <v>46019</v>
      </c>
      <c r="N710" t="s">
        <v>633</v>
      </c>
      <c r="O710" t="s">
        <v>625</v>
      </c>
      <c r="P710">
        <v>1</v>
      </c>
      <c r="Q710">
        <v>0</v>
      </c>
      <c r="R710">
        <v>242.39</v>
      </c>
      <c r="S710" t="s">
        <v>44</v>
      </c>
      <c r="T710" t="s">
        <v>777</v>
      </c>
    </row>
    <row r="711" spans="1:20" x14ac:dyDescent="0.3">
      <c r="A711">
        <v>710</v>
      </c>
      <c r="B711">
        <v>19</v>
      </c>
      <c r="C711">
        <v>4</v>
      </c>
      <c r="D711">
        <v>36.25</v>
      </c>
      <c r="E711">
        <v>3.63</v>
      </c>
      <c r="F711">
        <v>0</v>
      </c>
      <c r="G711">
        <v>0.1</v>
      </c>
      <c r="H711" t="s">
        <v>622</v>
      </c>
      <c r="J711" t="s">
        <v>623</v>
      </c>
      <c r="K711" s="1"/>
      <c r="L711" s="1">
        <v>46019.515787037039</v>
      </c>
      <c r="M711" s="2">
        <v>46019</v>
      </c>
      <c r="N711" t="s">
        <v>633</v>
      </c>
      <c r="O711" t="s">
        <v>625</v>
      </c>
      <c r="P711">
        <v>1</v>
      </c>
      <c r="Q711">
        <v>0</v>
      </c>
      <c r="R711">
        <v>36.25</v>
      </c>
      <c r="S711" t="s">
        <v>34</v>
      </c>
      <c r="T711" t="s">
        <v>778</v>
      </c>
    </row>
    <row r="712" spans="1:20" x14ac:dyDescent="0.3">
      <c r="A712">
        <v>711</v>
      </c>
      <c r="B712">
        <v>152</v>
      </c>
      <c r="C712">
        <v>2</v>
      </c>
      <c r="D712">
        <v>122.72</v>
      </c>
      <c r="E712">
        <v>12.27</v>
      </c>
      <c r="F712">
        <v>0</v>
      </c>
      <c r="G712">
        <v>0.1</v>
      </c>
      <c r="H712" t="s">
        <v>622</v>
      </c>
      <c r="J712" t="s">
        <v>623</v>
      </c>
      <c r="K712" s="1"/>
      <c r="L712" s="1">
        <v>46019.604178240741</v>
      </c>
      <c r="M712" s="2">
        <v>46019</v>
      </c>
      <c r="N712" t="s">
        <v>633</v>
      </c>
      <c r="O712" t="s">
        <v>625</v>
      </c>
      <c r="P712">
        <v>1</v>
      </c>
      <c r="Q712">
        <v>0</v>
      </c>
      <c r="R712">
        <v>122.72</v>
      </c>
      <c r="S712" t="s">
        <v>299</v>
      </c>
      <c r="T712" t="s">
        <v>776</v>
      </c>
    </row>
    <row r="713" spans="1:20" x14ac:dyDescent="0.3">
      <c r="A713">
        <v>712</v>
      </c>
      <c r="B713">
        <v>27</v>
      </c>
      <c r="C713">
        <v>2</v>
      </c>
      <c r="D713">
        <v>123.12</v>
      </c>
      <c r="E713">
        <v>12.31</v>
      </c>
      <c r="F713">
        <v>0</v>
      </c>
      <c r="G713">
        <v>0.1</v>
      </c>
      <c r="H713" t="s">
        <v>622</v>
      </c>
      <c r="J713" t="s">
        <v>623</v>
      </c>
      <c r="K713" s="1"/>
      <c r="L713" s="1">
        <v>46019.630925925929</v>
      </c>
      <c r="M713" s="2">
        <v>46019</v>
      </c>
      <c r="N713" t="s">
        <v>633</v>
      </c>
      <c r="O713" t="s">
        <v>625</v>
      </c>
      <c r="P713">
        <v>1</v>
      </c>
      <c r="Q713">
        <v>0</v>
      </c>
      <c r="R713">
        <v>123.12</v>
      </c>
      <c r="S713" t="s">
        <v>50</v>
      </c>
      <c r="T713" t="s">
        <v>776</v>
      </c>
    </row>
    <row r="714" spans="1:20" x14ac:dyDescent="0.3">
      <c r="A714">
        <v>713</v>
      </c>
      <c r="B714">
        <v>163</v>
      </c>
      <c r="C714">
        <v>5</v>
      </c>
      <c r="D714">
        <v>46.82</v>
      </c>
      <c r="E714">
        <v>4.68</v>
      </c>
      <c r="F714">
        <v>0</v>
      </c>
      <c r="G714">
        <v>0.1</v>
      </c>
      <c r="H714" t="s">
        <v>622</v>
      </c>
      <c r="J714" t="s">
        <v>623</v>
      </c>
      <c r="K714" s="1"/>
      <c r="L714" s="1">
        <v>46020.339432870373</v>
      </c>
      <c r="M714" s="2">
        <v>46020</v>
      </c>
      <c r="N714" t="s">
        <v>633</v>
      </c>
      <c r="O714" t="s">
        <v>625</v>
      </c>
      <c r="P714">
        <v>1</v>
      </c>
      <c r="Q714">
        <v>0</v>
      </c>
      <c r="R714">
        <v>46.82</v>
      </c>
      <c r="S714" t="s">
        <v>321</v>
      </c>
      <c r="T714" t="s">
        <v>779</v>
      </c>
    </row>
    <row r="715" spans="1:20" x14ac:dyDescent="0.3">
      <c r="A715">
        <v>714</v>
      </c>
      <c r="B715">
        <v>106</v>
      </c>
      <c r="C715">
        <v>4</v>
      </c>
      <c r="D715">
        <v>132.54</v>
      </c>
      <c r="E715">
        <v>13.25</v>
      </c>
      <c r="F715">
        <v>0</v>
      </c>
      <c r="G715">
        <v>0.1</v>
      </c>
      <c r="H715" t="s">
        <v>622</v>
      </c>
      <c r="J715" t="s">
        <v>623</v>
      </c>
      <c r="K715" s="1"/>
      <c r="L715" s="1">
        <v>46020.366076388891</v>
      </c>
      <c r="M715" s="2">
        <v>46020</v>
      </c>
      <c r="N715" t="s">
        <v>633</v>
      </c>
      <c r="O715" t="s">
        <v>625</v>
      </c>
      <c r="P715">
        <v>1</v>
      </c>
      <c r="Q715">
        <v>0</v>
      </c>
      <c r="R715">
        <v>132.54</v>
      </c>
      <c r="S715" t="s">
        <v>207</v>
      </c>
      <c r="T715" t="s">
        <v>778</v>
      </c>
    </row>
    <row r="716" spans="1:20" x14ac:dyDescent="0.3">
      <c r="A716">
        <v>715</v>
      </c>
      <c r="B716">
        <v>44</v>
      </c>
      <c r="C716">
        <v>4</v>
      </c>
      <c r="D716">
        <v>37.49</v>
      </c>
      <c r="E716">
        <v>3.75</v>
      </c>
      <c r="F716">
        <v>0</v>
      </c>
      <c r="G716">
        <v>0.1</v>
      </c>
      <c r="H716" t="s">
        <v>622</v>
      </c>
      <c r="J716" t="s">
        <v>623</v>
      </c>
      <c r="K716" s="1"/>
      <c r="L716" s="1">
        <v>46020.376655092594</v>
      </c>
      <c r="M716" s="2">
        <v>46020</v>
      </c>
      <c r="N716" t="s">
        <v>633</v>
      </c>
      <c r="O716" t="s">
        <v>625</v>
      </c>
      <c r="P716">
        <v>1</v>
      </c>
      <c r="Q716">
        <v>0</v>
      </c>
      <c r="R716">
        <v>37.49</v>
      </c>
      <c r="S716" t="s">
        <v>84</v>
      </c>
      <c r="T716" t="s">
        <v>778</v>
      </c>
    </row>
    <row r="717" spans="1:20" x14ac:dyDescent="0.3">
      <c r="A717">
        <v>716</v>
      </c>
      <c r="B717">
        <v>25</v>
      </c>
      <c r="C717">
        <v>5</v>
      </c>
      <c r="D717">
        <v>68.11</v>
      </c>
      <c r="E717">
        <v>0</v>
      </c>
      <c r="F717">
        <v>1</v>
      </c>
      <c r="G717">
        <v>0.1</v>
      </c>
      <c r="H717" t="s">
        <v>622</v>
      </c>
      <c r="J717" t="s">
        <v>623</v>
      </c>
      <c r="K717" s="1"/>
      <c r="L717" s="1">
        <v>46020.387557870374</v>
      </c>
      <c r="M717" s="2">
        <v>46020</v>
      </c>
      <c r="N717" t="s">
        <v>633</v>
      </c>
      <c r="O717" t="s">
        <v>629</v>
      </c>
      <c r="P717">
        <v>1</v>
      </c>
      <c r="Q717">
        <v>0</v>
      </c>
      <c r="R717">
        <v>68.11</v>
      </c>
      <c r="S717" t="s">
        <v>46</v>
      </c>
      <c r="T717" t="s">
        <v>779</v>
      </c>
    </row>
    <row r="718" spans="1:20" x14ac:dyDescent="0.3">
      <c r="A718">
        <v>717</v>
      </c>
      <c r="B718">
        <v>39</v>
      </c>
      <c r="C718">
        <v>4</v>
      </c>
      <c r="D718">
        <v>178.06</v>
      </c>
      <c r="E718">
        <v>17.809999999999999</v>
      </c>
      <c r="F718">
        <v>0</v>
      </c>
      <c r="G718">
        <v>0.1</v>
      </c>
      <c r="H718" t="s">
        <v>622</v>
      </c>
      <c r="J718" t="s">
        <v>623</v>
      </c>
      <c r="K718" s="1"/>
      <c r="L718" s="1">
        <v>46020.420104166667</v>
      </c>
      <c r="M718" s="2">
        <v>46020</v>
      </c>
      <c r="N718" t="s">
        <v>633</v>
      </c>
      <c r="O718" t="s">
        <v>625</v>
      </c>
      <c r="P718">
        <v>1</v>
      </c>
      <c r="Q718">
        <v>0</v>
      </c>
      <c r="R718">
        <v>178.06</v>
      </c>
      <c r="S718" t="s">
        <v>74</v>
      </c>
      <c r="T718" t="s">
        <v>778</v>
      </c>
    </row>
    <row r="719" spans="1:20" x14ac:dyDescent="0.3">
      <c r="A719">
        <v>718</v>
      </c>
      <c r="B719">
        <v>135</v>
      </c>
      <c r="C719">
        <v>2</v>
      </c>
      <c r="D719">
        <v>300</v>
      </c>
      <c r="E719">
        <v>30</v>
      </c>
      <c r="F719">
        <v>0</v>
      </c>
      <c r="G719">
        <v>0.1</v>
      </c>
      <c r="H719" t="s">
        <v>622</v>
      </c>
      <c r="J719" t="s">
        <v>623</v>
      </c>
      <c r="K719" s="1"/>
      <c r="L719" s="1">
        <v>46020.420983796299</v>
      </c>
      <c r="M719" s="2">
        <v>46020</v>
      </c>
      <c r="N719" t="s">
        <v>633</v>
      </c>
      <c r="O719" t="s">
        <v>625</v>
      </c>
      <c r="P719">
        <v>1</v>
      </c>
      <c r="Q719">
        <v>0</v>
      </c>
      <c r="R719">
        <v>300</v>
      </c>
      <c r="S719" t="s">
        <v>265</v>
      </c>
      <c r="T719" t="s">
        <v>776</v>
      </c>
    </row>
    <row r="720" spans="1:20" x14ac:dyDescent="0.3">
      <c r="A720">
        <v>719</v>
      </c>
      <c r="B720">
        <v>135</v>
      </c>
      <c r="C720">
        <v>3</v>
      </c>
      <c r="D720">
        <v>258.23</v>
      </c>
      <c r="E720">
        <v>25.82</v>
      </c>
      <c r="F720">
        <v>0</v>
      </c>
      <c r="G720">
        <v>0.1</v>
      </c>
      <c r="H720" t="s">
        <v>622</v>
      </c>
      <c r="J720" t="s">
        <v>623</v>
      </c>
      <c r="K720" s="1"/>
      <c r="L720" s="1">
        <v>46020.454027777778</v>
      </c>
      <c r="M720" s="2">
        <v>46020</v>
      </c>
      <c r="N720" t="s">
        <v>633</v>
      </c>
      <c r="O720" t="s">
        <v>625</v>
      </c>
      <c r="P720">
        <v>1</v>
      </c>
      <c r="Q720">
        <v>0</v>
      </c>
      <c r="R720">
        <v>258.23</v>
      </c>
      <c r="S720" t="s">
        <v>265</v>
      </c>
      <c r="T720" t="s">
        <v>777</v>
      </c>
    </row>
    <row r="721" spans="1:20" x14ac:dyDescent="0.3">
      <c r="A721">
        <v>720</v>
      </c>
      <c r="B721">
        <v>126</v>
      </c>
      <c r="C721">
        <v>3</v>
      </c>
      <c r="D721">
        <v>96.72</v>
      </c>
      <c r="E721">
        <v>9.67</v>
      </c>
      <c r="F721">
        <v>0</v>
      </c>
      <c r="G721">
        <v>0.1</v>
      </c>
      <c r="H721" t="s">
        <v>622</v>
      </c>
      <c r="J721" t="s">
        <v>623</v>
      </c>
      <c r="K721" s="1"/>
      <c r="L721" s="1">
        <v>46020.494525462964</v>
      </c>
      <c r="M721" s="2">
        <v>46020</v>
      </c>
      <c r="N721" t="s">
        <v>633</v>
      </c>
      <c r="O721" t="s">
        <v>625</v>
      </c>
      <c r="P721">
        <v>1</v>
      </c>
      <c r="Q721">
        <v>0</v>
      </c>
      <c r="R721">
        <v>96.72</v>
      </c>
      <c r="S721" t="s">
        <v>247</v>
      </c>
      <c r="T721" t="s">
        <v>777</v>
      </c>
    </row>
    <row r="722" spans="1:20" x14ac:dyDescent="0.3">
      <c r="A722">
        <v>721</v>
      </c>
      <c r="B722">
        <v>201</v>
      </c>
      <c r="C722">
        <v>4</v>
      </c>
      <c r="D722">
        <v>23.92</v>
      </c>
      <c r="E722">
        <v>2.39</v>
      </c>
      <c r="F722">
        <v>0</v>
      </c>
      <c r="G722">
        <v>0.1</v>
      </c>
      <c r="H722" t="s">
        <v>622</v>
      </c>
      <c r="J722" t="s">
        <v>623</v>
      </c>
      <c r="K722" s="1"/>
      <c r="L722" s="1">
        <v>46020.593356481484</v>
      </c>
      <c r="M722" s="2">
        <v>46020</v>
      </c>
      <c r="N722" t="s">
        <v>633</v>
      </c>
      <c r="O722" t="s">
        <v>625</v>
      </c>
      <c r="P722">
        <v>1</v>
      </c>
      <c r="Q722">
        <v>0</v>
      </c>
      <c r="R722">
        <v>23.92</v>
      </c>
      <c r="S722" t="s">
        <v>397</v>
      </c>
      <c r="T722" t="s">
        <v>778</v>
      </c>
    </row>
    <row r="723" spans="1:20" x14ac:dyDescent="0.3">
      <c r="A723">
        <v>722</v>
      </c>
      <c r="B723">
        <v>106</v>
      </c>
      <c r="C723">
        <v>5</v>
      </c>
      <c r="D723">
        <v>126.25</v>
      </c>
      <c r="E723">
        <v>0</v>
      </c>
      <c r="F723">
        <v>1</v>
      </c>
      <c r="G723">
        <v>0.1</v>
      </c>
      <c r="H723" t="s">
        <v>622</v>
      </c>
      <c r="J723" t="s">
        <v>623</v>
      </c>
      <c r="K723" s="1"/>
      <c r="L723" s="1">
        <v>46020.608194444445</v>
      </c>
      <c r="M723" s="2">
        <v>46020</v>
      </c>
      <c r="N723" t="s">
        <v>633</v>
      </c>
      <c r="O723" t="s">
        <v>629</v>
      </c>
      <c r="P723">
        <v>1</v>
      </c>
      <c r="Q723">
        <v>0</v>
      </c>
      <c r="R723">
        <v>126.25</v>
      </c>
      <c r="S723" t="s">
        <v>207</v>
      </c>
      <c r="T723" t="s">
        <v>779</v>
      </c>
    </row>
    <row r="724" spans="1:20" x14ac:dyDescent="0.3">
      <c r="A724">
        <v>723</v>
      </c>
      <c r="B724">
        <v>56</v>
      </c>
      <c r="C724">
        <v>2</v>
      </c>
      <c r="D724">
        <v>63.94</v>
      </c>
      <c r="E724">
        <v>6.39</v>
      </c>
      <c r="F724">
        <v>0</v>
      </c>
      <c r="G724">
        <v>0.1</v>
      </c>
      <c r="H724" t="s">
        <v>626</v>
      </c>
      <c r="I724">
        <v>3</v>
      </c>
      <c r="J724" t="s">
        <v>631</v>
      </c>
      <c r="K724" s="1">
        <v>46022.081331018519</v>
      </c>
      <c r="L724" s="1">
        <v>46020.622997685183</v>
      </c>
      <c r="M724" s="2">
        <v>46020</v>
      </c>
      <c r="N724" t="s">
        <v>633</v>
      </c>
      <c r="O724" t="s">
        <v>625</v>
      </c>
      <c r="P724">
        <v>1</v>
      </c>
      <c r="Q724">
        <v>1</v>
      </c>
      <c r="R724">
        <v>0</v>
      </c>
      <c r="S724" t="s">
        <v>108</v>
      </c>
      <c r="T724" t="s">
        <v>776</v>
      </c>
    </row>
    <row r="725" spans="1:20" x14ac:dyDescent="0.3">
      <c r="A725">
        <v>724</v>
      </c>
      <c r="B725">
        <v>16</v>
      </c>
      <c r="C725">
        <v>4</v>
      </c>
      <c r="D725">
        <v>159.74</v>
      </c>
      <c r="E725">
        <v>15.97</v>
      </c>
      <c r="F725">
        <v>0</v>
      </c>
      <c r="G725">
        <v>0.1</v>
      </c>
      <c r="H725" t="s">
        <v>622</v>
      </c>
      <c r="J725" t="s">
        <v>623</v>
      </c>
      <c r="K725" s="1"/>
      <c r="L725" s="1">
        <v>46020.628113425926</v>
      </c>
      <c r="M725" s="2">
        <v>46020</v>
      </c>
      <c r="N725" t="s">
        <v>633</v>
      </c>
      <c r="O725" t="s">
        <v>625</v>
      </c>
      <c r="P725">
        <v>1</v>
      </c>
      <c r="Q725">
        <v>0</v>
      </c>
      <c r="R725">
        <v>159.74</v>
      </c>
      <c r="S725" t="s">
        <v>28</v>
      </c>
      <c r="T725" t="s">
        <v>778</v>
      </c>
    </row>
    <row r="726" spans="1:20" x14ac:dyDescent="0.3">
      <c r="A726">
        <v>725</v>
      </c>
      <c r="B726">
        <v>189</v>
      </c>
      <c r="C726">
        <v>4</v>
      </c>
      <c r="D726">
        <v>63.82</v>
      </c>
      <c r="E726">
        <v>6.38</v>
      </c>
      <c r="F726">
        <v>0</v>
      </c>
      <c r="G726">
        <v>0.1</v>
      </c>
      <c r="H726" t="s">
        <v>622</v>
      </c>
      <c r="J726" t="s">
        <v>623</v>
      </c>
      <c r="K726" s="1"/>
      <c r="L726" s="1">
        <v>46020.631805555553</v>
      </c>
      <c r="M726" s="2">
        <v>46020</v>
      </c>
      <c r="N726" t="s">
        <v>633</v>
      </c>
      <c r="O726" t="s">
        <v>625</v>
      </c>
      <c r="P726">
        <v>1</v>
      </c>
      <c r="Q726">
        <v>0</v>
      </c>
      <c r="R726">
        <v>63.82</v>
      </c>
      <c r="S726" t="s">
        <v>373</v>
      </c>
      <c r="T726" t="s">
        <v>778</v>
      </c>
    </row>
    <row r="727" spans="1:20" x14ac:dyDescent="0.3">
      <c r="A727">
        <v>726</v>
      </c>
      <c r="B727">
        <v>20</v>
      </c>
      <c r="C727">
        <v>3</v>
      </c>
      <c r="D727">
        <v>19.670000000000002</v>
      </c>
      <c r="E727">
        <v>1.97</v>
      </c>
      <c r="F727">
        <v>0</v>
      </c>
      <c r="G727">
        <v>0.1</v>
      </c>
      <c r="H727" t="s">
        <v>622</v>
      </c>
      <c r="J727" t="s">
        <v>623</v>
      </c>
      <c r="K727" s="1"/>
      <c r="L727" s="1">
        <v>46020.6409375</v>
      </c>
      <c r="M727" s="2">
        <v>46020</v>
      </c>
      <c r="N727" t="s">
        <v>633</v>
      </c>
      <c r="O727" t="s">
        <v>625</v>
      </c>
      <c r="P727">
        <v>1</v>
      </c>
      <c r="Q727">
        <v>0</v>
      </c>
      <c r="R727">
        <v>19.670000000000002</v>
      </c>
      <c r="S727" t="s">
        <v>36</v>
      </c>
      <c r="T727" t="s">
        <v>777</v>
      </c>
    </row>
    <row r="728" spans="1:20" x14ac:dyDescent="0.3">
      <c r="A728">
        <v>727</v>
      </c>
      <c r="B728">
        <v>154</v>
      </c>
      <c r="C728">
        <v>4</v>
      </c>
      <c r="D728">
        <v>30.71</v>
      </c>
      <c r="E728">
        <v>3.07</v>
      </c>
      <c r="F728">
        <v>0</v>
      </c>
      <c r="G728">
        <v>0.1</v>
      </c>
      <c r="H728" t="s">
        <v>622</v>
      </c>
      <c r="J728" t="s">
        <v>623</v>
      </c>
      <c r="K728" s="1"/>
      <c r="L728" s="1">
        <v>46020.647210648145</v>
      </c>
      <c r="M728" s="2">
        <v>46020</v>
      </c>
      <c r="N728" t="s">
        <v>633</v>
      </c>
      <c r="O728" t="s">
        <v>625</v>
      </c>
      <c r="P728">
        <v>1</v>
      </c>
      <c r="Q728">
        <v>0</v>
      </c>
      <c r="R728">
        <v>30.71</v>
      </c>
      <c r="S728" t="s">
        <v>303</v>
      </c>
      <c r="T728" t="s">
        <v>778</v>
      </c>
    </row>
    <row r="729" spans="1:20" x14ac:dyDescent="0.3">
      <c r="A729">
        <v>728</v>
      </c>
      <c r="B729">
        <v>283</v>
      </c>
      <c r="C729">
        <v>5</v>
      </c>
      <c r="D729">
        <v>31.6</v>
      </c>
      <c r="E729">
        <v>3.16</v>
      </c>
      <c r="F729">
        <v>0</v>
      </c>
      <c r="G729">
        <v>0.1</v>
      </c>
      <c r="H729" t="s">
        <v>622</v>
      </c>
      <c r="J729" t="s">
        <v>623</v>
      </c>
      <c r="K729" s="1"/>
      <c r="L729" s="1">
        <v>46020.720543981479</v>
      </c>
      <c r="M729" s="2">
        <v>46020</v>
      </c>
      <c r="N729" t="s">
        <v>633</v>
      </c>
      <c r="O729" t="s">
        <v>625</v>
      </c>
      <c r="P729">
        <v>1</v>
      </c>
      <c r="Q729">
        <v>0</v>
      </c>
      <c r="R729">
        <v>31.6</v>
      </c>
      <c r="S729" t="s">
        <v>561</v>
      </c>
      <c r="T729" t="s">
        <v>779</v>
      </c>
    </row>
    <row r="730" spans="1:20" x14ac:dyDescent="0.3">
      <c r="A730">
        <v>729</v>
      </c>
      <c r="B730">
        <v>84</v>
      </c>
      <c r="C730">
        <v>2</v>
      </c>
      <c r="D730">
        <v>108.92</v>
      </c>
      <c r="E730">
        <v>10.89</v>
      </c>
      <c r="F730">
        <v>0</v>
      </c>
      <c r="G730">
        <v>0.1</v>
      </c>
      <c r="H730" t="s">
        <v>622</v>
      </c>
      <c r="J730" t="s">
        <v>623</v>
      </c>
      <c r="K730" s="1"/>
      <c r="L730" s="1">
        <v>46020.778715277775</v>
      </c>
      <c r="M730" s="2">
        <v>46020</v>
      </c>
      <c r="N730" t="s">
        <v>633</v>
      </c>
      <c r="O730" t="s">
        <v>625</v>
      </c>
      <c r="P730">
        <v>1</v>
      </c>
      <c r="Q730">
        <v>0</v>
      </c>
      <c r="R730">
        <v>108.92</v>
      </c>
      <c r="S730" t="s">
        <v>163</v>
      </c>
      <c r="T730" t="s">
        <v>776</v>
      </c>
    </row>
    <row r="731" spans="1:20" x14ac:dyDescent="0.3">
      <c r="A731">
        <v>730</v>
      </c>
      <c r="B731">
        <v>297</v>
      </c>
      <c r="C731">
        <v>5</v>
      </c>
      <c r="D731">
        <v>41.85</v>
      </c>
      <c r="E731">
        <v>4.1900000000000004</v>
      </c>
      <c r="F731">
        <v>0</v>
      </c>
      <c r="G731">
        <v>0.1</v>
      </c>
      <c r="H731" t="s">
        <v>622</v>
      </c>
      <c r="J731" t="s">
        <v>623</v>
      </c>
      <c r="K731" s="1"/>
      <c r="L731" s="1">
        <v>46021.351400462961</v>
      </c>
      <c r="M731" s="2">
        <v>46021</v>
      </c>
      <c r="N731" t="s">
        <v>633</v>
      </c>
      <c r="O731" t="s">
        <v>625</v>
      </c>
      <c r="P731">
        <v>1</v>
      </c>
      <c r="Q731">
        <v>0</v>
      </c>
      <c r="R731">
        <v>41.85</v>
      </c>
      <c r="S731" t="s">
        <v>589</v>
      </c>
      <c r="T731" t="s">
        <v>779</v>
      </c>
    </row>
    <row r="732" spans="1:20" x14ac:dyDescent="0.3">
      <c r="A732">
        <v>731</v>
      </c>
      <c r="B732">
        <v>137</v>
      </c>
      <c r="C732">
        <v>2</v>
      </c>
      <c r="D732">
        <v>57.45</v>
      </c>
      <c r="E732">
        <v>5.75</v>
      </c>
      <c r="F732">
        <v>0</v>
      </c>
      <c r="G732">
        <v>0.1</v>
      </c>
      <c r="H732" t="s">
        <v>622</v>
      </c>
      <c r="J732" t="s">
        <v>623</v>
      </c>
      <c r="K732" s="1"/>
      <c r="L732" s="1">
        <v>46021.356319444443</v>
      </c>
      <c r="M732" s="2">
        <v>46021</v>
      </c>
      <c r="N732" t="s">
        <v>633</v>
      </c>
      <c r="O732" t="s">
        <v>625</v>
      </c>
      <c r="P732">
        <v>1</v>
      </c>
      <c r="Q732">
        <v>0</v>
      </c>
      <c r="R732">
        <v>57.45</v>
      </c>
      <c r="S732" t="s">
        <v>269</v>
      </c>
      <c r="T732" t="s">
        <v>776</v>
      </c>
    </row>
    <row r="733" spans="1:20" x14ac:dyDescent="0.3">
      <c r="A733">
        <v>732</v>
      </c>
      <c r="B733">
        <v>137</v>
      </c>
      <c r="C733">
        <v>5</v>
      </c>
      <c r="D733">
        <v>31.97</v>
      </c>
      <c r="E733">
        <v>3.2</v>
      </c>
      <c r="F733">
        <v>0</v>
      </c>
      <c r="G733">
        <v>0.1</v>
      </c>
      <c r="H733" t="s">
        <v>622</v>
      </c>
      <c r="J733" t="s">
        <v>623</v>
      </c>
      <c r="K733" s="1"/>
      <c r="L733" s="1">
        <v>46021.358993055554</v>
      </c>
      <c r="M733" s="2">
        <v>46021</v>
      </c>
      <c r="N733" t="s">
        <v>633</v>
      </c>
      <c r="O733" t="s">
        <v>625</v>
      </c>
      <c r="P733">
        <v>1</v>
      </c>
      <c r="Q733">
        <v>0</v>
      </c>
      <c r="R733">
        <v>31.97</v>
      </c>
      <c r="S733" t="s">
        <v>269</v>
      </c>
      <c r="T733" t="s">
        <v>779</v>
      </c>
    </row>
    <row r="734" spans="1:20" x14ac:dyDescent="0.3">
      <c r="A734">
        <v>733</v>
      </c>
      <c r="B734">
        <v>27</v>
      </c>
      <c r="C734">
        <v>5</v>
      </c>
      <c r="D734">
        <v>71</v>
      </c>
      <c r="E734">
        <v>7.1</v>
      </c>
      <c r="F734">
        <v>0</v>
      </c>
      <c r="G734">
        <v>0.1</v>
      </c>
      <c r="H734" t="s">
        <v>622</v>
      </c>
      <c r="J734" t="s">
        <v>623</v>
      </c>
      <c r="K734" s="1"/>
      <c r="L734" s="1">
        <v>46021.416284722225</v>
      </c>
      <c r="M734" s="2">
        <v>46021</v>
      </c>
      <c r="N734" t="s">
        <v>633</v>
      </c>
      <c r="O734" t="s">
        <v>625</v>
      </c>
      <c r="P734">
        <v>1</v>
      </c>
      <c r="Q734">
        <v>0</v>
      </c>
      <c r="R734">
        <v>71</v>
      </c>
      <c r="S734" t="s">
        <v>50</v>
      </c>
      <c r="T734" t="s">
        <v>779</v>
      </c>
    </row>
    <row r="735" spans="1:20" x14ac:dyDescent="0.3">
      <c r="A735">
        <v>734</v>
      </c>
      <c r="B735">
        <v>106</v>
      </c>
      <c r="C735">
        <v>3</v>
      </c>
      <c r="D735">
        <v>87.88</v>
      </c>
      <c r="E735">
        <v>8.7899999999999991</v>
      </c>
      <c r="F735">
        <v>0</v>
      </c>
      <c r="G735">
        <v>0.1</v>
      </c>
      <c r="H735" t="s">
        <v>622</v>
      </c>
      <c r="J735" t="s">
        <v>623</v>
      </c>
      <c r="K735" s="1"/>
      <c r="L735" s="1">
        <v>46021.458749999998</v>
      </c>
      <c r="M735" s="2">
        <v>46021</v>
      </c>
      <c r="N735" t="s">
        <v>633</v>
      </c>
      <c r="O735" t="s">
        <v>625</v>
      </c>
      <c r="P735">
        <v>1</v>
      </c>
      <c r="Q735">
        <v>0</v>
      </c>
      <c r="R735">
        <v>87.88</v>
      </c>
      <c r="S735" t="s">
        <v>207</v>
      </c>
      <c r="T735" t="s">
        <v>777</v>
      </c>
    </row>
    <row r="736" spans="1:20" x14ac:dyDescent="0.3">
      <c r="A736">
        <v>735</v>
      </c>
      <c r="B736">
        <v>35</v>
      </c>
      <c r="C736">
        <v>5</v>
      </c>
      <c r="D736">
        <v>27.63</v>
      </c>
      <c r="E736">
        <v>2.76</v>
      </c>
      <c r="F736">
        <v>0</v>
      </c>
      <c r="G736">
        <v>0.1</v>
      </c>
      <c r="H736" t="s">
        <v>622</v>
      </c>
      <c r="J736" t="s">
        <v>623</v>
      </c>
      <c r="K736" s="1"/>
      <c r="L736" s="1">
        <v>46021.475138888891</v>
      </c>
      <c r="M736" s="2">
        <v>46021</v>
      </c>
      <c r="N736" t="s">
        <v>633</v>
      </c>
      <c r="O736" t="s">
        <v>625</v>
      </c>
      <c r="P736">
        <v>1</v>
      </c>
      <c r="Q736">
        <v>0</v>
      </c>
      <c r="R736">
        <v>27.63</v>
      </c>
      <c r="S736" t="s">
        <v>66</v>
      </c>
      <c r="T736" t="s">
        <v>779</v>
      </c>
    </row>
    <row r="737" spans="1:20" x14ac:dyDescent="0.3">
      <c r="A737">
        <v>736</v>
      </c>
      <c r="B737">
        <v>70</v>
      </c>
      <c r="C737">
        <v>2</v>
      </c>
      <c r="D737">
        <v>163.11000000000001</v>
      </c>
      <c r="E737">
        <v>16.309999999999999</v>
      </c>
      <c r="F737">
        <v>0</v>
      </c>
      <c r="G737">
        <v>0.1</v>
      </c>
      <c r="H737" t="s">
        <v>622</v>
      </c>
      <c r="J737" t="s">
        <v>623</v>
      </c>
      <c r="K737" s="1"/>
      <c r="L737" s="1">
        <v>46021.485902777778</v>
      </c>
      <c r="M737" s="2">
        <v>46021</v>
      </c>
      <c r="N737" t="s">
        <v>633</v>
      </c>
      <c r="O737" t="s">
        <v>625</v>
      </c>
      <c r="P737">
        <v>1</v>
      </c>
      <c r="Q737">
        <v>0</v>
      </c>
      <c r="R737">
        <v>163.11000000000001</v>
      </c>
      <c r="S737" t="s">
        <v>136</v>
      </c>
      <c r="T737" t="s">
        <v>776</v>
      </c>
    </row>
    <row r="738" spans="1:20" x14ac:dyDescent="0.3">
      <c r="A738">
        <v>737</v>
      </c>
      <c r="B738">
        <v>245</v>
      </c>
      <c r="C738">
        <v>5</v>
      </c>
      <c r="D738">
        <v>38.299999999999997</v>
      </c>
      <c r="E738">
        <v>3.83</v>
      </c>
      <c r="F738">
        <v>0</v>
      </c>
      <c r="G738">
        <v>0.1</v>
      </c>
      <c r="H738" t="s">
        <v>622</v>
      </c>
      <c r="J738" t="s">
        <v>623</v>
      </c>
      <c r="K738" s="1"/>
      <c r="L738" s="1">
        <v>46021.488576388889</v>
      </c>
      <c r="M738" s="2">
        <v>46021</v>
      </c>
      <c r="N738" t="s">
        <v>633</v>
      </c>
      <c r="O738" t="s">
        <v>625</v>
      </c>
      <c r="P738">
        <v>1</v>
      </c>
      <c r="Q738">
        <v>0</v>
      </c>
      <c r="R738">
        <v>38.299999999999997</v>
      </c>
      <c r="S738" t="s">
        <v>485</v>
      </c>
      <c r="T738" t="s">
        <v>779</v>
      </c>
    </row>
    <row r="739" spans="1:20" x14ac:dyDescent="0.3">
      <c r="A739">
        <v>738</v>
      </c>
      <c r="B739">
        <v>138</v>
      </c>
      <c r="C739">
        <v>3</v>
      </c>
      <c r="D739">
        <v>13.8</v>
      </c>
      <c r="E739">
        <v>1.38</v>
      </c>
      <c r="F739">
        <v>0</v>
      </c>
      <c r="G739">
        <v>0.1</v>
      </c>
      <c r="H739" t="s">
        <v>622</v>
      </c>
      <c r="J739" t="s">
        <v>623</v>
      </c>
      <c r="K739" s="1"/>
      <c r="L739" s="1">
        <v>46021.493449074071</v>
      </c>
      <c r="M739" s="2">
        <v>46021</v>
      </c>
      <c r="N739" t="s">
        <v>633</v>
      </c>
      <c r="O739" t="s">
        <v>625</v>
      </c>
      <c r="P739">
        <v>1</v>
      </c>
      <c r="Q739">
        <v>0</v>
      </c>
      <c r="R739">
        <v>13.8</v>
      </c>
      <c r="S739" t="s">
        <v>271</v>
      </c>
      <c r="T739" t="s">
        <v>777</v>
      </c>
    </row>
    <row r="740" spans="1:20" x14ac:dyDescent="0.3">
      <c r="A740">
        <v>739</v>
      </c>
      <c r="B740">
        <v>178</v>
      </c>
      <c r="C740">
        <v>4</v>
      </c>
      <c r="D740">
        <v>116.16</v>
      </c>
      <c r="E740">
        <v>11.62</v>
      </c>
      <c r="F740">
        <v>0</v>
      </c>
      <c r="G740">
        <v>0.1</v>
      </c>
      <c r="H740" t="s">
        <v>622</v>
      </c>
      <c r="J740" t="s">
        <v>623</v>
      </c>
      <c r="K740" s="1"/>
      <c r="L740" s="1">
        <v>46021.502187500002</v>
      </c>
      <c r="M740" s="2">
        <v>46021</v>
      </c>
      <c r="N740" t="s">
        <v>633</v>
      </c>
      <c r="O740" t="s">
        <v>625</v>
      </c>
      <c r="P740">
        <v>1</v>
      </c>
      <c r="Q740">
        <v>0</v>
      </c>
      <c r="R740">
        <v>116.16</v>
      </c>
      <c r="S740" t="s">
        <v>351</v>
      </c>
      <c r="T740" t="s">
        <v>778</v>
      </c>
    </row>
    <row r="741" spans="1:20" x14ac:dyDescent="0.3">
      <c r="A741">
        <v>740</v>
      </c>
      <c r="B741">
        <v>87</v>
      </c>
      <c r="C741">
        <v>2</v>
      </c>
      <c r="D741">
        <v>81.81</v>
      </c>
      <c r="E741">
        <v>8.18</v>
      </c>
      <c r="F741">
        <v>0</v>
      </c>
      <c r="G741">
        <v>0.1</v>
      </c>
      <c r="H741" t="s">
        <v>622</v>
      </c>
      <c r="J741" t="s">
        <v>623</v>
      </c>
      <c r="K741" s="1"/>
      <c r="L741" s="1">
        <v>46021.525925925926</v>
      </c>
      <c r="M741" s="2">
        <v>46021</v>
      </c>
      <c r="N741" t="s">
        <v>633</v>
      </c>
      <c r="O741" t="s">
        <v>625</v>
      </c>
      <c r="P741">
        <v>1</v>
      </c>
      <c r="Q741">
        <v>0</v>
      </c>
      <c r="R741">
        <v>81.81</v>
      </c>
      <c r="S741" t="s">
        <v>169</v>
      </c>
      <c r="T741" t="s">
        <v>776</v>
      </c>
    </row>
    <row r="742" spans="1:20" x14ac:dyDescent="0.3">
      <c r="A742">
        <v>741</v>
      </c>
      <c r="B742">
        <v>84</v>
      </c>
      <c r="C742">
        <v>2</v>
      </c>
      <c r="D742">
        <v>72.28</v>
      </c>
      <c r="E742">
        <v>7.23</v>
      </c>
      <c r="F742">
        <v>0</v>
      </c>
      <c r="G742">
        <v>0.1</v>
      </c>
      <c r="H742" t="s">
        <v>622</v>
      </c>
      <c r="J742" t="s">
        <v>623</v>
      </c>
      <c r="K742" s="1"/>
      <c r="L742" s="1">
        <v>46021.604502314818</v>
      </c>
      <c r="M742" s="2">
        <v>46021</v>
      </c>
      <c r="N742" t="s">
        <v>633</v>
      </c>
      <c r="O742" t="s">
        <v>625</v>
      </c>
      <c r="P742">
        <v>1</v>
      </c>
      <c r="Q742">
        <v>0</v>
      </c>
      <c r="R742">
        <v>72.28</v>
      </c>
      <c r="S742" t="s">
        <v>163</v>
      </c>
      <c r="T742" t="s">
        <v>776</v>
      </c>
    </row>
    <row r="743" spans="1:20" x14ac:dyDescent="0.3">
      <c r="A743">
        <v>742</v>
      </c>
      <c r="B743">
        <v>137</v>
      </c>
      <c r="C743">
        <v>3</v>
      </c>
      <c r="D743">
        <v>39.24</v>
      </c>
      <c r="E743">
        <v>3.92</v>
      </c>
      <c r="F743">
        <v>0</v>
      </c>
      <c r="G743">
        <v>0.1</v>
      </c>
      <c r="H743" t="s">
        <v>622</v>
      </c>
      <c r="J743" t="s">
        <v>623</v>
      </c>
      <c r="K743" s="1"/>
      <c r="L743" s="1">
        <v>46022.328043981484</v>
      </c>
      <c r="M743" s="2">
        <v>46022</v>
      </c>
      <c r="N743" t="s">
        <v>633</v>
      </c>
      <c r="O743" t="s">
        <v>625</v>
      </c>
      <c r="P743">
        <v>1</v>
      </c>
      <c r="Q743">
        <v>0</v>
      </c>
      <c r="R743">
        <v>39.24</v>
      </c>
      <c r="S743" t="s">
        <v>269</v>
      </c>
      <c r="T743" t="s">
        <v>777</v>
      </c>
    </row>
    <row r="744" spans="1:20" x14ac:dyDescent="0.3">
      <c r="A744">
        <v>743</v>
      </c>
      <c r="B744">
        <v>202</v>
      </c>
      <c r="C744">
        <v>2</v>
      </c>
      <c r="D744">
        <v>27.64</v>
      </c>
      <c r="E744">
        <v>2.76</v>
      </c>
      <c r="F744">
        <v>0</v>
      </c>
      <c r="G744">
        <v>0.1</v>
      </c>
      <c r="H744" t="s">
        <v>622</v>
      </c>
      <c r="J744" t="s">
        <v>623</v>
      </c>
      <c r="K744" s="1"/>
      <c r="L744" s="1">
        <v>46022.401805555557</v>
      </c>
      <c r="M744" s="2">
        <v>46022</v>
      </c>
      <c r="N744" t="s">
        <v>633</v>
      </c>
      <c r="O744" t="s">
        <v>625</v>
      </c>
      <c r="P744">
        <v>1</v>
      </c>
      <c r="Q744">
        <v>0</v>
      </c>
      <c r="R744">
        <v>27.64</v>
      </c>
      <c r="S744" t="s">
        <v>399</v>
      </c>
      <c r="T744" t="s">
        <v>776</v>
      </c>
    </row>
    <row r="745" spans="1:20" x14ac:dyDescent="0.3">
      <c r="A745">
        <v>744</v>
      </c>
      <c r="B745">
        <v>137</v>
      </c>
      <c r="C745">
        <v>2</v>
      </c>
      <c r="D745">
        <v>31.56</v>
      </c>
      <c r="E745">
        <v>3.16</v>
      </c>
      <c r="F745">
        <v>0</v>
      </c>
      <c r="G745">
        <v>0.1</v>
      </c>
      <c r="H745" t="s">
        <v>622</v>
      </c>
      <c r="J745" t="s">
        <v>623</v>
      </c>
      <c r="K745" s="1"/>
      <c r="L745" s="1">
        <v>46022.442997685182</v>
      </c>
      <c r="M745" s="2">
        <v>46022</v>
      </c>
      <c r="N745" t="s">
        <v>633</v>
      </c>
      <c r="O745" t="s">
        <v>625</v>
      </c>
      <c r="P745">
        <v>1</v>
      </c>
      <c r="Q745">
        <v>0</v>
      </c>
      <c r="R745">
        <v>31.56</v>
      </c>
      <c r="S745" t="s">
        <v>269</v>
      </c>
      <c r="T745" t="s">
        <v>776</v>
      </c>
    </row>
    <row r="746" spans="1:20" x14ac:dyDescent="0.3">
      <c r="A746">
        <v>745</v>
      </c>
      <c r="B746">
        <v>249</v>
      </c>
      <c r="C746">
        <v>5</v>
      </c>
      <c r="D746">
        <v>117.76</v>
      </c>
      <c r="E746">
        <v>11.78</v>
      </c>
      <c r="F746">
        <v>0</v>
      </c>
      <c r="G746">
        <v>0.1</v>
      </c>
      <c r="H746" t="s">
        <v>622</v>
      </c>
      <c r="J746" t="s">
        <v>623</v>
      </c>
      <c r="K746" s="1"/>
      <c r="L746" s="1">
        <v>46022.55363425926</v>
      </c>
      <c r="M746" s="2">
        <v>46022</v>
      </c>
      <c r="N746" t="s">
        <v>633</v>
      </c>
      <c r="O746" t="s">
        <v>625</v>
      </c>
      <c r="P746">
        <v>1</v>
      </c>
      <c r="Q746">
        <v>0</v>
      </c>
      <c r="R746">
        <v>117.76</v>
      </c>
      <c r="S746" t="s">
        <v>493</v>
      </c>
      <c r="T746" t="s">
        <v>779</v>
      </c>
    </row>
    <row r="747" spans="1:20" x14ac:dyDescent="0.3">
      <c r="A747">
        <v>746</v>
      </c>
      <c r="B747">
        <v>197</v>
      </c>
      <c r="C747">
        <v>4</v>
      </c>
      <c r="D747">
        <v>114.51</v>
      </c>
      <c r="E747">
        <v>11.45</v>
      </c>
      <c r="F747">
        <v>0</v>
      </c>
      <c r="G747">
        <v>0.1</v>
      </c>
      <c r="H747" t="s">
        <v>622</v>
      </c>
      <c r="J747" t="s">
        <v>623</v>
      </c>
      <c r="K747" s="1"/>
      <c r="L747" s="1">
        <v>46022.577060185184</v>
      </c>
      <c r="M747" s="2">
        <v>46022</v>
      </c>
      <c r="N747" t="s">
        <v>633</v>
      </c>
      <c r="O747" t="s">
        <v>625</v>
      </c>
      <c r="P747">
        <v>1</v>
      </c>
      <c r="Q747">
        <v>0</v>
      </c>
      <c r="R747">
        <v>114.51</v>
      </c>
      <c r="S747" t="s">
        <v>389</v>
      </c>
      <c r="T747" t="s">
        <v>778</v>
      </c>
    </row>
    <row r="748" spans="1:20" x14ac:dyDescent="0.3">
      <c r="A748">
        <v>747</v>
      </c>
      <c r="B748">
        <v>194</v>
      </c>
      <c r="C748">
        <v>5</v>
      </c>
      <c r="D748">
        <v>73.69</v>
      </c>
      <c r="E748">
        <v>7.37</v>
      </c>
      <c r="F748">
        <v>0</v>
      </c>
      <c r="G748">
        <v>0.1</v>
      </c>
      <c r="H748" t="s">
        <v>622</v>
      </c>
      <c r="J748" t="s">
        <v>623</v>
      </c>
      <c r="K748" s="1"/>
      <c r="L748" s="1">
        <v>46022.58384259259</v>
      </c>
      <c r="M748" s="2">
        <v>46022</v>
      </c>
      <c r="N748" t="s">
        <v>633</v>
      </c>
      <c r="O748" t="s">
        <v>625</v>
      </c>
      <c r="P748">
        <v>1</v>
      </c>
      <c r="Q748">
        <v>0</v>
      </c>
      <c r="R748">
        <v>73.69</v>
      </c>
      <c r="S748" t="s">
        <v>383</v>
      </c>
      <c r="T748" t="s">
        <v>779</v>
      </c>
    </row>
    <row r="749" spans="1:20" x14ac:dyDescent="0.3">
      <c r="A749">
        <v>748</v>
      </c>
      <c r="B749">
        <v>215</v>
      </c>
      <c r="C749">
        <v>2</v>
      </c>
      <c r="D749">
        <v>61.35</v>
      </c>
      <c r="E749">
        <v>6.14</v>
      </c>
      <c r="F749">
        <v>0</v>
      </c>
      <c r="G749">
        <v>0.1</v>
      </c>
      <c r="H749" t="s">
        <v>622</v>
      </c>
      <c r="J749" t="s">
        <v>623</v>
      </c>
      <c r="K749" s="1"/>
      <c r="L749" s="1">
        <v>46022.599722222221</v>
      </c>
      <c r="M749" s="2">
        <v>46022</v>
      </c>
      <c r="N749" t="s">
        <v>633</v>
      </c>
      <c r="O749" t="s">
        <v>625</v>
      </c>
      <c r="P749">
        <v>1</v>
      </c>
      <c r="Q749">
        <v>0</v>
      </c>
      <c r="R749">
        <v>61.35</v>
      </c>
      <c r="S749" t="s">
        <v>425</v>
      </c>
      <c r="T749" t="s">
        <v>776</v>
      </c>
    </row>
    <row r="750" spans="1:20" x14ac:dyDescent="0.3">
      <c r="A750">
        <v>749</v>
      </c>
      <c r="B750">
        <v>168</v>
      </c>
      <c r="C750">
        <v>2</v>
      </c>
      <c r="D750">
        <v>37.64</v>
      </c>
      <c r="E750">
        <v>3.76</v>
      </c>
      <c r="F750">
        <v>0</v>
      </c>
      <c r="G750">
        <v>0.1</v>
      </c>
      <c r="H750" t="s">
        <v>622</v>
      </c>
      <c r="J750" t="s">
        <v>623</v>
      </c>
      <c r="K750" s="1"/>
      <c r="L750" s="1">
        <v>46022.66265046296</v>
      </c>
      <c r="M750" s="2">
        <v>46022</v>
      </c>
      <c r="N750" t="s">
        <v>633</v>
      </c>
      <c r="O750" t="s">
        <v>625</v>
      </c>
      <c r="P750">
        <v>1</v>
      </c>
      <c r="Q750">
        <v>0</v>
      </c>
      <c r="R750">
        <v>37.64</v>
      </c>
      <c r="S750" t="s">
        <v>331</v>
      </c>
      <c r="T750" t="s">
        <v>776</v>
      </c>
    </row>
    <row r="751" spans="1:20" x14ac:dyDescent="0.3">
      <c r="A751">
        <v>750</v>
      </c>
      <c r="B751">
        <v>11</v>
      </c>
      <c r="C751">
        <v>3</v>
      </c>
      <c r="D751">
        <v>189.64</v>
      </c>
      <c r="E751">
        <v>18.96</v>
      </c>
      <c r="F751">
        <v>0</v>
      </c>
      <c r="G751">
        <v>0.1</v>
      </c>
      <c r="H751" t="s">
        <v>622</v>
      </c>
      <c r="J751" t="s">
        <v>623</v>
      </c>
      <c r="K751" s="1"/>
      <c r="L751" s="1">
        <v>46022.68408564815</v>
      </c>
      <c r="M751" s="2">
        <v>46022</v>
      </c>
      <c r="N751" t="s">
        <v>633</v>
      </c>
      <c r="O751" t="s">
        <v>625</v>
      </c>
      <c r="P751">
        <v>1</v>
      </c>
      <c r="Q751">
        <v>0</v>
      </c>
      <c r="R751">
        <v>189.64</v>
      </c>
      <c r="S751" t="s">
        <v>18</v>
      </c>
      <c r="T751" t="s">
        <v>777</v>
      </c>
    </row>
    <row r="752" spans="1:20" x14ac:dyDescent="0.3">
      <c r="A752">
        <v>751</v>
      </c>
      <c r="B752">
        <v>70</v>
      </c>
      <c r="C752">
        <v>3</v>
      </c>
      <c r="D752">
        <v>214.97</v>
      </c>
      <c r="E752">
        <v>21.5</v>
      </c>
      <c r="F752">
        <v>0</v>
      </c>
      <c r="G752">
        <v>0.1</v>
      </c>
      <c r="H752" t="s">
        <v>622</v>
      </c>
      <c r="J752" t="s">
        <v>623</v>
      </c>
      <c r="K752" s="1"/>
      <c r="L752" s="1">
        <v>46023.330787037034</v>
      </c>
      <c r="M752" s="2">
        <v>46023</v>
      </c>
      <c r="N752" t="s">
        <v>634</v>
      </c>
      <c r="O752" t="s">
        <v>625</v>
      </c>
      <c r="P752">
        <v>1</v>
      </c>
      <c r="Q752">
        <v>0</v>
      </c>
      <c r="R752">
        <v>214.97</v>
      </c>
      <c r="S752" t="s">
        <v>136</v>
      </c>
      <c r="T752" t="s">
        <v>777</v>
      </c>
    </row>
    <row r="753" spans="1:20" x14ac:dyDescent="0.3">
      <c r="A753">
        <v>752</v>
      </c>
      <c r="B753">
        <v>55</v>
      </c>
      <c r="C753">
        <v>2</v>
      </c>
      <c r="D753">
        <v>37.32</v>
      </c>
      <c r="E753">
        <v>3.73</v>
      </c>
      <c r="F753">
        <v>0</v>
      </c>
      <c r="G753">
        <v>0.1</v>
      </c>
      <c r="H753" t="s">
        <v>622</v>
      </c>
      <c r="J753" t="s">
        <v>623</v>
      </c>
      <c r="K753" s="1"/>
      <c r="L753" s="1">
        <v>46023.351053240738</v>
      </c>
      <c r="M753" s="2">
        <v>46023</v>
      </c>
      <c r="N753" t="s">
        <v>634</v>
      </c>
      <c r="O753" t="s">
        <v>625</v>
      </c>
      <c r="P753">
        <v>1</v>
      </c>
      <c r="Q753">
        <v>0</v>
      </c>
      <c r="R753">
        <v>37.32</v>
      </c>
      <c r="S753" t="s">
        <v>106</v>
      </c>
      <c r="T753" t="s">
        <v>776</v>
      </c>
    </row>
    <row r="754" spans="1:20" x14ac:dyDescent="0.3">
      <c r="A754">
        <v>753</v>
      </c>
      <c r="B754">
        <v>21</v>
      </c>
      <c r="C754">
        <v>2</v>
      </c>
      <c r="D754">
        <v>45.11</v>
      </c>
      <c r="E754">
        <v>4.51</v>
      </c>
      <c r="F754">
        <v>0</v>
      </c>
      <c r="G754">
        <v>0.1</v>
      </c>
      <c r="H754" t="s">
        <v>622</v>
      </c>
      <c r="J754" t="s">
        <v>623</v>
      </c>
      <c r="K754" s="1"/>
      <c r="L754" s="1">
        <v>46023.404675925929</v>
      </c>
      <c r="M754" s="2">
        <v>46023</v>
      </c>
      <c r="N754" t="s">
        <v>634</v>
      </c>
      <c r="O754" t="s">
        <v>625</v>
      </c>
      <c r="P754">
        <v>1</v>
      </c>
      <c r="Q754">
        <v>0</v>
      </c>
      <c r="R754">
        <v>45.11</v>
      </c>
      <c r="S754" t="s">
        <v>38</v>
      </c>
      <c r="T754" t="s">
        <v>776</v>
      </c>
    </row>
    <row r="755" spans="1:20" x14ac:dyDescent="0.3">
      <c r="A755">
        <v>754</v>
      </c>
      <c r="B755">
        <v>136</v>
      </c>
      <c r="C755">
        <v>5</v>
      </c>
      <c r="D755">
        <v>67.03</v>
      </c>
      <c r="E755">
        <v>6.7</v>
      </c>
      <c r="F755">
        <v>0</v>
      </c>
      <c r="G755">
        <v>0.1</v>
      </c>
      <c r="H755" t="s">
        <v>622</v>
      </c>
      <c r="J755" t="s">
        <v>623</v>
      </c>
      <c r="K755" s="1"/>
      <c r="L755" s="1">
        <v>46023.435370370367</v>
      </c>
      <c r="M755" s="2">
        <v>46023</v>
      </c>
      <c r="N755" t="s">
        <v>634</v>
      </c>
      <c r="O755" t="s">
        <v>625</v>
      </c>
      <c r="P755">
        <v>1</v>
      </c>
      <c r="Q755">
        <v>0</v>
      </c>
      <c r="R755">
        <v>67.03</v>
      </c>
      <c r="S755" t="s">
        <v>267</v>
      </c>
      <c r="T755" t="s">
        <v>779</v>
      </c>
    </row>
    <row r="756" spans="1:20" x14ac:dyDescent="0.3">
      <c r="A756">
        <v>755</v>
      </c>
      <c r="B756">
        <v>61</v>
      </c>
      <c r="C756">
        <v>2</v>
      </c>
      <c r="D756">
        <v>73.650000000000006</v>
      </c>
      <c r="E756">
        <v>0</v>
      </c>
      <c r="F756">
        <v>1</v>
      </c>
      <c r="G756">
        <v>0.1</v>
      </c>
      <c r="H756" t="s">
        <v>622</v>
      </c>
      <c r="J756" t="s">
        <v>623</v>
      </c>
      <c r="K756" s="1"/>
      <c r="L756" s="1">
        <v>46023.511180555557</v>
      </c>
      <c r="M756" s="2">
        <v>46023</v>
      </c>
      <c r="N756" t="s">
        <v>634</v>
      </c>
      <c r="O756" t="s">
        <v>629</v>
      </c>
      <c r="P756">
        <v>1</v>
      </c>
      <c r="Q756">
        <v>0</v>
      </c>
      <c r="R756">
        <v>73.650000000000006</v>
      </c>
      <c r="S756" t="s">
        <v>118</v>
      </c>
      <c r="T756" t="s">
        <v>776</v>
      </c>
    </row>
    <row r="757" spans="1:20" x14ac:dyDescent="0.3">
      <c r="A757">
        <v>756</v>
      </c>
      <c r="B757">
        <v>39</v>
      </c>
      <c r="C757">
        <v>5</v>
      </c>
      <c r="D757">
        <v>175.89</v>
      </c>
      <c r="E757">
        <v>17.59</v>
      </c>
      <c r="F757">
        <v>0</v>
      </c>
      <c r="G757">
        <v>0.1</v>
      </c>
      <c r="H757" t="s">
        <v>622</v>
      </c>
      <c r="J757" t="s">
        <v>623</v>
      </c>
      <c r="K757" s="1"/>
      <c r="L757" s="1">
        <v>46023.594328703701</v>
      </c>
      <c r="M757" s="2">
        <v>46023</v>
      </c>
      <c r="N757" t="s">
        <v>634</v>
      </c>
      <c r="O757" t="s">
        <v>625</v>
      </c>
      <c r="P757">
        <v>1</v>
      </c>
      <c r="Q757">
        <v>0</v>
      </c>
      <c r="R757">
        <v>175.89</v>
      </c>
      <c r="S757" t="s">
        <v>74</v>
      </c>
      <c r="T757" t="s">
        <v>779</v>
      </c>
    </row>
    <row r="758" spans="1:20" x14ac:dyDescent="0.3">
      <c r="A758">
        <v>757</v>
      </c>
      <c r="B758">
        <v>16</v>
      </c>
      <c r="C758">
        <v>2</v>
      </c>
      <c r="D758">
        <v>230.28</v>
      </c>
      <c r="E758">
        <v>23.03</v>
      </c>
      <c r="F758">
        <v>0</v>
      </c>
      <c r="G758">
        <v>0.1</v>
      </c>
      <c r="H758" t="s">
        <v>622</v>
      </c>
      <c r="J758" t="s">
        <v>623</v>
      </c>
      <c r="K758" s="1"/>
      <c r="L758" s="1">
        <v>46023.645266203705</v>
      </c>
      <c r="M758" s="2">
        <v>46023</v>
      </c>
      <c r="N758" t="s">
        <v>634</v>
      </c>
      <c r="O758" t="s">
        <v>625</v>
      </c>
      <c r="P758">
        <v>1</v>
      </c>
      <c r="Q758">
        <v>0</v>
      </c>
      <c r="R758">
        <v>230.28</v>
      </c>
      <c r="S758" t="s">
        <v>28</v>
      </c>
      <c r="T758" t="s">
        <v>776</v>
      </c>
    </row>
    <row r="759" spans="1:20" x14ac:dyDescent="0.3">
      <c r="A759">
        <v>758</v>
      </c>
      <c r="B759">
        <v>69</v>
      </c>
      <c r="C759">
        <v>2</v>
      </c>
      <c r="D759">
        <v>31.43</v>
      </c>
      <c r="E759">
        <v>3.14</v>
      </c>
      <c r="F759">
        <v>0</v>
      </c>
      <c r="G759">
        <v>0.1</v>
      </c>
      <c r="H759" t="s">
        <v>622</v>
      </c>
      <c r="J759" t="s">
        <v>623</v>
      </c>
      <c r="K759" s="1"/>
      <c r="L759" s="1">
        <v>46023.66306712963</v>
      </c>
      <c r="M759" s="2">
        <v>46023</v>
      </c>
      <c r="N759" t="s">
        <v>634</v>
      </c>
      <c r="O759" t="s">
        <v>625</v>
      </c>
      <c r="P759">
        <v>1</v>
      </c>
      <c r="Q759">
        <v>0</v>
      </c>
      <c r="R759">
        <v>31.43</v>
      </c>
      <c r="S759" t="s">
        <v>134</v>
      </c>
      <c r="T759" t="s">
        <v>776</v>
      </c>
    </row>
    <row r="760" spans="1:20" x14ac:dyDescent="0.3">
      <c r="A760">
        <v>759</v>
      </c>
      <c r="B760">
        <v>117</v>
      </c>
      <c r="C760">
        <v>2</v>
      </c>
      <c r="D760">
        <v>50.17</v>
      </c>
      <c r="E760">
        <v>5.0199999999999996</v>
      </c>
      <c r="F760">
        <v>0</v>
      </c>
      <c r="G760">
        <v>0.1</v>
      </c>
      <c r="H760" t="s">
        <v>622</v>
      </c>
      <c r="J760" t="s">
        <v>623</v>
      </c>
      <c r="K760" s="1"/>
      <c r="L760" s="1">
        <v>46023.681458333333</v>
      </c>
      <c r="M760" s="2">
        <v>46023</v>
      </c>
      <c r="N760" t="s">
        <v>634</v>
      </c>
      <c r="O760" t="s">
        <v>625</v>
      </c>
      <c r="P760">
        <v>1</v>
      </c>
      <c r="Q760">
        <v>0</v>
      </c>
      <c r="R760">
        <v>50.17</v>
      </c>
      <c r="S760" t="s">
        <v>229</v>
      </c>
      <c r="T760" t="s">
        <v>776</v>
      </c>
    </row>
    <row r="761" spans="1:20" x14ac:dyDescent="0.3">
      <c r="A761">
        <v>760</v>
      </c>
      <c r="B761">
        <v>107</v>
      </c>
      <c r="C761">
        <v>3</v>
      </c>
      <c r="D761">
        <v>22.32</v>
      </c>
      <c r="E761">
        <v>2.23</v>
      </c>
      <c r="F761">
        <v>0</v>
      </c>
      <c r="G761">
        <v>0.1</v>
      </c>
      <c r="H761" t="s">
        <v>626</v>
      </c>
      <c r="I761">
        <v>5</v>
      </c>
      <c r="J761" t="s">
        <v>632</v>
      </c>
      <c r="K761" s="1">
        <v>46025.659016203703</v>
      </c>
      <c r="L761" s="1">
        <v>46023.700682870367</v>
      </c>
      <c r="M761" s="2">
        <v>46023</v>
      </c>
      <c r="N761" t="s">
        <v>634</v>
      </c>
      <c r="O761" t="s">
        <v>625</v>
      </c>
      <c r="P761">
        <v>1</v>
      </c>
      <c r="Q761">
        <v>1</v>
      </c>
      <c r="R761">
        <v>0</v>
      </c>
      <c r="S761" t="s">
        <v>209</v>
      </c>
      <c r="T761" t="s">
        <v>777</v>
      </c>
    </row>
    <row r="762" spans="1:20" x14ac:dyDescent="0.3">
      <c r="A762">
        <v>761</v>
      </c>
      <c r="B762">
        <v>33</v>
      </c>
      <c r="C762">
        <v>5</v>
      </c>
      <c r="D762">
        <v>31.73</v>
      </c>
      <c r="E762">
        <v>3.17</v>
      </c>
      <c r="F762">
        <v>0</v>
      </c>
      <c r="G762">
        <v>0.1</v>
      </c>
      <c r="H762" t="s">
        <v>622</v>
      </c>
      <c r="J762" t="s">
        <v>623</v>
      </c>
      <c r="K762" s="1"/>
      <c r="L762" s="1">
        <v>46023.710960648146</v>
      </c>
      <c r="M762" s="2">
        <v>46023</v>
      </c>
      <c r="N762" t="s">
        <v>634</v>
      </c>
      <c r="O762" t="s">
        <v>625</v>
      </c>
      <c r="P762">
        <v>1</v>
      </c>
      <c r="Q762">
        <v>0</v>
      </c>
      <c r="R762">
        <v>31.73</v>
      </c>
      <c r="S762" t="s">
        <v>62</v>
      </c>
      <c r="T762" t="s">
        <v>779</v>
      </c>
    </row>
    <row r="763" spans="1:20" x14ac:dyDescent="0.3">
      <c r="A763">
        <v>762</v>
      </c>
      <c r="B763">
        <v>104</v>
      </c>
      <c r="C763">
        <v>5</v>
      </c>
      <c r="D763">
        <v>300</v>
      </c>
      <c r="E763">
        <v>30</v>
      </c>
      <c r="F763">
        <v>0</v>
      </c>
      <c r="G763">
        <v>0.1</v>
      </c>
      <c r="H763" t="s">
        <v>622</v>
      </c>
      <c r="J763" t="s">
        <v>623</v>
      </c>
      <c r="K763" s="1"/>
      <c r="L763" s="1">
        <v>46023.806400462963</v>
      </c>
      <c r="M763" s="2">
        <v>46023</v>
      </c>
      <c r="N763" t="s">
        <v>634</v>
      </c>
      <c r="O763" t="s">
        <v>625</v>
      </c>
      <c r="P763">
        <v>1</v>
      </c>
      <c r="Q763">
        <v>0</v>
      </c>
      <c r="R763">
        <v>300</v>
      </c>
      <c r="S763" t="s">
        <v>203</v>
      </c>
      <c r="T763" t="s">
        <v>779</v>
      </c>
    </row>
    <row r="764" spans="1:20" x14ac:dyDescent="0.3">
      <c r="A764">
        <v>763</v>
      </c>
      <c r="B764">
        <v>80</v>
      </c>
      <c r="C764">
        <v>2</v>
      </c>
      <c r="D764">
        <v>26.5</v>
      </c>
      <c r="E764">
        <v>2.65</v>
      </c>
      <c r="F764">
        <v>0</v>
      </c>
      <c r="G764">
        <v>0.1</v>
      </c>
      <c r="H764" t="s">
        <v>622</v>
      </c>
      <c r="J764" t="s">
        <v>623</v>
      </c>
      <c r="K764" s="1"/>
      <c r="L764" s="1">
        <v>46024.294942129629</v>
      </c>
      <c r="M764" s="2">
        <v>46024</v>
      </c>
      <c r="N764" t="s">
        <v>634</v>
      </c>
      <c r="O764" t="s">
        <v>625</v>
      </c>
      <c r="P764">
        <v>1</v>
      </c>
      <c r="Q764">
        <v>0</v>
      </c>
      <c r="R764">
        <v>26.5</v>
      </c>
      <c r="S764" t="s">
        <v>156</v>
      </c>
      <c r="T764" t="s">
        <v>776</v>
      </c>
    </row>
    <row r="765" spans="1:20" x14ac:dyDescent="0.3">
      <c r="A765">
        <v>764</v>
      </c>
      <c r="B765">
        <v>240</v>
      </c>
      <c r="C765">
        <v>5</v>
      </c>
      <c r="D765">
        <v>164.71</v>
      </c>
      <c r="E765">
        <v>0</v>
      </c>
      <c r="F765">
        <v>1</v>
      </c>
      <c r="G765">
        <v>0.1</v>
      </c>
      <c r="H765" t="s">
        <v>622</v>
      </c>
      <c r="J765" t="s">
        <v>623</v>
      </c>
      <c r="K765" s="1"/>
      <c r="L765" s="1">
        <v>46024.363738425927</v>
      </c>
      <c r="M765" s="2">
        <v>46024</v>
      </c>
      <c r="N765" t="s">
        <v>634</v>
      </c>
      <c r="O765" t="s">
        <v>629</v>
      </c>
      <c r="P765">
        <v>1</v>
      </c>
      <c r="Q765">
        <v>0</v>
      </c>
      <c r="R765">
        <v>164.71</v>
      </c>
      <c r="S765" t="s">
        <v>475</v>
      </c>
      <c r="T765" t="s">
        <v>779</v>
      </c>
    </row>
    <row r="766" spans="1:20" x14ac:dyDescent="0.3">
      <c r="A766">
        <v>765</v>
      </c>
      <c r="B766">
        <v>55</v>
      </c>
      <c r="C766">
        <v>2</v>
      </c>
      <c r="D766">
        <v>19.649999999999999</v>
      </c>
      <c r="E766">
        <v>1.97</v>
      </c>
      <c r="F766">
        <v>0</v>
      </c>
      <c r="G766">
        <v>0.1</v>
      </c>
      <c r="H766" t="s">
        <v>622</v>
      </c>
      <c r="J766" t="s">
        <v>623</v>
      </c>
      <c r="K766" s="1"/>
      <c r="L766" s="1">
        <v>46024.407430555555</v>
      </c>
      <c r="M766" s="2">
        <v>46024</v>
      </c>
      <c r="N766" t="s">
        <v>634</v>
      </c>
      <c r="O766" t="s">
        <v>625</v>
      </c>
      <c r="P766">
        <v>1</v>
      </c>
      <c r="Q766">
        <v>0</v>
      </c>
      <c r="R766">
        <v>19.649999999999999</v>
      </c>
      <c r="S766" t="s">
        <v>106</v>
      </c>
      <c r="T766" t="s">
        <v>776</v>
      </c>
    </row>
    <row r="767" spans="1:20" x14ac:dyDescent="0.3">
      <c r="A767">
        <v>766</v>
      </c>
      <c r="B767">
        <v>217</v>
      </c>
      <c r="C767">
        <v>5</v>
      </c>
      <c r="D767">
        <v>34.61</v>
      </c>
      <c r="E767">
        <v>3.46</v>
      </c>
      <c r="F767">
        <v>0</v>
      </c>
      <c r="G767">
        <v>0.1</v>
      </c>
      <c r="H767" t="s">
        <v>622</v>
      </c>
      <c r="J767" t="s">
        <v>623</v>
      </c>
      <c r="K767" s="1"/>
      <c r="L767" s="1">
        <v>46024.422129629631</v>
      </c>
      <c r="M767" s="2">
        <v>46024</v>
      </c>
      <c r="N767" t="s">
        <v>634</v>
      </c>
      <c r="O767" t="s">
        <v>625</v>
      </c>
      <c r="P767">
        <v>1</v>
      </c>
      <c r="Q767">
        <v>0</v>
      </c>
      <c r="R767">
        <v>34.61</v>
      </c>
      <c r="S767" t="s">
        <v>429</v>
      </c>
      <c r="T767" t="s">
        <v>779</v>
      </c>
    </row>
    <row r="768" spans="1:20" x14ac:dyDescent="0.3">
      <c r="A768">
        <v>767</v>
      </c>
      <c r="B768">
        <v>57</v>
      </c>
      <c r="C768">
        <v>2</v>
      </c>
      <c r="D768">
        <v>48.01</v>
      </c>
      <c r="E768">
        <v>4.8</v>
      </c>
      <c r="F768">
        <v>0</v>
      </c>
      <c r="G768">
        <v>0.1</v>
      </c>
      <c r="H768" t="s">
        <v>626</v>
      </c>
      <c r="I768">
        <v>5</v>
      </c>
      <c r="J768" t="s">
        <v>632</v>
      </c>
      <c r="K768" s="1">
        <v>46024.73300925926</v>
      </c>
      <c r="L768" s="1">
        <v>46024.441342592596</v>
      </c>
      <c r="M768" s="2">
        <v>46024</v>
      </c>
      <c r="N768" t="s">
        <v>634</v>
      </c>
      <c r="O768" t="s">
        <v>625</v>
      </c>
      <c r="P768">
        <v>1</v>
      </c>
      <c r="Q768">
        <v>1</v>
      </c>
      <c r="R768">
        <v>0</v>
      </c>
      <c r="S768" t="s">
        <v>110</v>
      </c>
      <c r="T768" t="s">
        <v>776</v>
      </c>
    </row>
    <row r="769" spans="1:20" x14ac:dyDescent="0.3">
      <c r="A769">
        <v>768</v>
      </c>
      <c r="B769">
        <v>240</v>
      </c>
      <c r="C769">
        <v>3</v>
      </c>
      <c r="D769">
        <v>109.76</v>
      </c>
      <c r="E769">
        <v>10.98</v>
      </c>
      <c r="F769">
        <v>0</v>
      </c>
      <c r="G769">
        <v>0.1</v>
      </c>
      <c r="H769" t="s">
        <v>626</v>
      </c>
      <c r="I769">
        <v>3</v>
      </c>
      <c r="J769" t="s">
        <v>631</v>
      </c>
      <c r="K769" s="1">
        <v>46025.692499999997</v>
      </c>
      <c r="L769" s="1">
        <v>46024.442499999997</v>
      </c>
      <c r="M769" s="2">
        <v>46024</v>
      </c>
      <c r="N769" t="s">
        <v>634</v>
      </c>
      <c r="O769" t="s">
        <v>625</v>
      </c>
      <c r="P769">
        <v>1</v>
      </c>
      <c r="Q769">
        <v>1</v>
      </c>
      <c r="R769">
        <v>0</v>
      </c>
      <c r="S769" t="s">
        <v>475</v>
      </c>
      <c r="T769" t="s">
        <v>777</v>
      </c>
    </row>
    <row r="770" spans="1:20" x14ac:dyDescent="0.3">
      <c r="A770">
        <v>769</v>
      </c>
      <c r="B770">
        <v>178</v>
      </c>
      <c r="C770">
        <v>2</v>
      </c>
      <c r="D770">
        <v>80</v>
      </c>
      <c r="E770">
        <v>8</v>
      </c>
      <c r="F770">
        <v>0</v>
      </c>
      <c r="G770">
        <v>0.1</v>
      </c>
      <c r="H770" t="s">
        <v>622</v>
      </c>
      <c r="J770" t="s">
        <v>623</v>
      </c>
      <c r="K770" s="1"/>
      <c r="L770" s="1">
        <v>46024.540543981479</v>
      </c>
      <c r="M770" s="2">
        <v>46024</v>
      </c>
      <c r="N770" t="s">
        <v>634</v>
      </c>
      <c r="O770" t="s">
        <v>625</v>
      </c>
      <c r="P770">
        <v>1</v>
      </c>
      <c r="Q770">
        <v>0</v>
      </c>
      <c r="R770">
        <v>80</v>
      </c>
      <c r="S770" t="s">
        <v>351</v>
      </c>
      <c r="T770" t="s">
        <v>776</v>
      </c>
    </row>
    <row r="771" spans="1:20" x14ac:dyDescent="0.3">
      <c r="A771">
        <v>770</v>
      </c>
      <c r="B771">
        <v>62</v>
      </c>
      <c r="C771">
        <v>2</v>
      </c>
      <c r="D771">
        <v>18</v>
      </c>
      <c r="E771">
        <v>1.8</v>
      </c>
      <c r="F771">
        <v>0</v>
      </c>
      <c r="G771">
        <v>0.1</v>
      </c>
      <c r="H771" t="s">
        <v>622</v>
      </c>
      <c r="J771" t="s">
        <v>623</v>
      </c>
      <c r="K771" s="1"/>
      <c r="L771" s="1">
        <v>46024.611724537041</v>
      </c>
      <c r="M771" s="2">
        <v>46024</v>
      </c>
      <c r="N771" t="s">
        <v>634</v>
      </c>
      <c r="O771" t="s">
        <v>625</v>
      </c>
      <c r="P771">
        <v>1</v>
      </c>
      <c r="Q771">
        <v>0</v>
      </c>
      <c r="R771">
        <v>18</v>
      </c>
      <c r="S771" t="s">
        <v>120</v>
      </c>
      <c r="T771" t="s">
        <v>776</v>
      </c>
    </row>
    <row r="772" spans="1:20" x14ac:dyDescent="0.3">
      <c r="A772">
        <v>771</v>
      </c>
      <c r="B772">
        <v>31</v>
      </c>
      <c r="C772">
        <v>5</v>
      </c>
      <c r="D772">
        <v>58.6</v>
      </c>
      <c r="E772">
        <v>5.86</v>
      </c>
      <c r="F772">
        <v>0</v>
      </c>
      <c r="G772">
        <v>0.1</v>
      </c>
      <c r="H772" t="s">
        <v>622</v>
      </c>
      <c r="J772" t="s">
        <v>623</v>
      </c>
      <c r="K772" s="1"/>
      <c r="L772" s="1">
        <v>46024.640497685185</v>
      </c>
      <c r="M772" s="2">
        <v>46024</v>
      </c>
      <c r="N772" t="s">
        <v>634</v>
      </c>
      <c r="O772" t="s">
        <v>625</v>
      </c>
      <c r="P772">
        <v>1</v>
      </c>
      <c r="Q772">
        <v>0</v>
      </c>
      <c r="R772">
        <v>58.6</v>
      </c>
      <c r="S772" t="s">
        <v>58</v>
      </c>
      <c r="T772" t="s">
        <v>779</v>
      </c>
    </row>
    <row r="773" spans="1:20" x14ac:dyDescent="0.3">
      <c r="A773">
        <v>772</v>
      </c>
      <c r="B773">
        <v>106</v>
      </c>
      <c r="C773">
        <v>2</v>
      </c>
      <c r="D773">
        <v>119.06</v>
      </c>
      <c r="E773">
        <v>11.91</v>
      </c>
      <c r="F773">
        <v>0</v>
      </c>
      <c r="G773">
        <v>0.1</v>
      </c>
      <c r="H773" t="s">
        <v>622</v>
      </c>
      <c r="J773" t="s">
        <v>623</v>
      </c>
      <c r="K773" s="1"/>
      <c r="L773" s="1">
        <v>46024.819780092592</v>
      </c>
      <c r="M773" s="2">
        <v>46024</v>
      </c>
      <c r="N773" t="s">
        <v>634</v>
      </c>
      <c r="O773" t="s">
        <v>625</v>
      </c>
      <c r="P773">
        <v>1</v>
      </c>
      <c r="Q773">
        <v>0</v>
      </c>
      <c r="R773">
        <v>119.06</v>
      </c>
      <c r="S773" t="s">
        <v>207</v>
      </c>
      <c r="T773" t="s">
        <v>776</v>
      </c>
    </row>
    <row r="774" spans="1:20" x14ac:dyDescent="0.3">
      <c r="A774">
        <v>773</v>
      </c>
      <c r="B774">
        <v>96</v>
      </c>
      <c r="C774">
        <v>4</v>
      </c>
      <c r="D774">
        <v>300</v>
      </c>
      <c r="E774">
        <v>30</v>
      </c>
      <c r="F774">
        <v>0</v>
      </c>
      <c r="G774">
        <v>0.1</v>
      </c>
      <c r="H774" t="s">
        <v>622</v>
      </c>
      <c r="J774" t="s">
        <v>623</v>
      </c>
      <c r="K774" s="1"/>
      <c r="L774" s="1">
        <v>46025.32435185185</v>
      </c>
      <c r="M774" s="2">
        <v>46025</v>
      </c>
      <c r="N774" t="s">
        <v>634</v>
      </c>
      <c r="O774" t="s">
        <v>625</v>
      </c>
      <c r="P774">
        <v>1</v>
      </c>
      <c r="Q774">
        <v>0</v>
      </c>
      <c r="R774">
        <v>300</v>
      </c>
      <c r="S774" t="s">
        <v>187</v>
      </c>
      <c r="T774" t="s">
        <v>778</v>
      </c>
    </row>
    <row r="775" spans="1:20" x14ac:dyDescent="0.3">
      <c r="A775">
        <v>774</v>
      </c>
      <c r="B775">
        <v>227</v>
      </c>
      <c r="C775">
        <v>3</v>
      </c>
      <c r="D775">
        <v>28.85</v>
      </c>
      <c r="E775">
        <v>2.89</v>
      </c>
      <c r="F775">
        <v>0</v>
      </c>
      <c r="G775">
        <v>0.1</v>
      </c>
      <c r="H775" t="s">
        <v>622</v>
      </c>
      <c r="J775" t="s">
        <v>623</v>
      </c>
      <c r="K775" s="1"/>
      <c r="L775" s="1">
        <v>46025.332395833335</v>
      </c>
      <c r="M775" s="2">
        <v>46025</v>
      </c>
      <c r="N775" t="s">
        <v>634</v>
      </c>
      <c r="O775" t="s">
        <v>625</v>
      </c>
      <c r="P775">
        <v>1</v>
      </c>
      <c r="Q775">
        <v>0</v>
      </c>
      <c r="R775">
        <v>28.85</v>
      </c>
      <c r="S775" t="s">
        <v>449</v>
      </c>
      <c r="T775" t="s">
        <v>777</v>
      </c>
    </row>
    <row r="776" spans="1:20" x14ac:dyDescent="0.3">
      <c r="A776">
        <v>775</v>
      </c>
      <c r="B776">
        <v>202</v>
      </c>
      <c r="C776">
        <v>3</v>
      </c>
      <c r="D776">
        <v>67.56</v>
      </c>
      <c r="E776">
        <v>6.76</v>
      </c>
      <c r="F776">
        <v>0</v>
      </c>
      <c r="G776">
        <v>0.1</v>
      </c>
      <c r="H776" t="s">
        <v>622</v>
      </c>
      <c r="J776" t="s">
        <v>623</v>
      </c>
      <c r="K776" s="1"/>
      <c r="L776" s="1">
        <v>46025.362500000003</v>
      </c>
      <c r="M776" s="2">
        <v>46025</v>
      </c>
      <c r="N776" t="s">
        <v>634</v>
      </c>
      <c r="O776" t="s">
        <v>625</v>
      </c>
      <c r="P776">
        <v>1</v>
      </c>
      <c r="Q776">
        <v>0</v>
      </c>
      <c r="R776">
        <v>67.56</v>
      </c>
      <c r="S776" t="s">
        <v>399</v>
      </c>
      <c r="T776" t="s">
        <v>777</v>
      </c>
    </row>
    <row r="777" spans="1:20" x14ac:dyDescent="0.3">
      <c r="A777">
        <v>776</v>
      </c>
      <c r="B777">
        <v>69</v>
      </c>
      <c r="C777">
        <v>3</v>
      </c>
      <c r="D777">
        <v>24.03</v>
      </c>
      <c r="E777">
        <v>2.4</v>
      </c>
      <c r="F777">
        <v>0</v>
      </c>
      <c r="G777">
        <v>0.1</v>
      </c>
      <c r="H777" t="s">
        <v>626</v>
      </c>
      <c r="I777">
        <v>3</v>
      </c>
      <c r="J777" t="s">
        <v>632</v>
      </c>
      <c r="K777" s="1">
        <v>46026.310995370368</v>
      </c>
      <c r="L777" s="1">
        <v>46025.394328703704</v>
      </c>
      <c r="M777" s="2">
        <v>46025</v>
      </c>
      <c r="N777" t="s">
        <v>634</v>
      </c>
      <c r="O777" t="s">
        <v>625</v>
      </c>
      <c r="P777">
        <v>1</v>
      </c>
      <c r="Q777">
        <v>1</v>
      </c>
      <c r="R777">
        <v>0</v>
      </c>
      <c r="S777" t="s">
        <v>134</v>
      </c>
      <c r="T777" t="s">
        <v>777</v>
      </c>
    </row>
    <row r="778" spans="1:20" x14ac:dyDescent="0.3">
      <c r="A778">
        <v>777</v>
      </c>
      <c r="B778">
        <v>254</v>
      </c>
      <c r="C778">
        <v>4</v>
      </c>
      <c r="D778">
        <v>215.21</v>
      </c>
      <c r="E778">
        <v>21.52</v>
      </c>
      <c r="F778">
        <v>0</v>
      </c>
      <c r="G778">
        <v>0.1</v>
      </c>
      <c r="H778" t="s">
        <v>622</v>
      </c>
      <c r="J778" t="s">
        <v>623</v>
      </c>
      <c r="K778" s="1"/>
      <c r="L778" s="1">
        <v>46025.395277777781</v>
      </c>
      <c r="M778" s="2">
        <v>46025</v>
      </c>
      <c r="N778" t="s">
        <v>634</v>
      </c>
      <c r="O778" t="s">
        <v>625</v>
      </c>
      <c r="P778">
        <v>1</v>
      </c>
      <c r="Q778">
        <v>0</v>
      </c>
      <c r="R778">
        <v>215.21</v>
      </c>
      <c r="S778" t="s">
        <v>503</v>
      </c>
      <c r="T778" t="s">
        <v>778</v>
      </c>
    </row>
    <row r="779" spans="1:20" x14ac:dyDescent="0.3">
      <c r="A779">
        <v>778</v>
      </c>
      <c r="B779">
        <v>150</v>
      </c>
      <c r="C779">
        <v>2</v>
      </c>
      <c r="D779">
        <v>97.72</v>
      </c>
      <c r="E779">
        <v>9.77</v>
      </c>
      <c r="F779">
        <v>0</v>
      </c>
      <c r="G779">
        <v>0.1</v>
      </c>
      <c r="H779" t="s">
        <v>622</v>
      </c>
      <c r="J779" t="s">
        <v>623</v>
      </c>
      <c r="K779" s="1"/>
      <c r="L779" s="1">
        <v>46025.396863425929</v>
      </c>
      <c r="M779" s="2">
        <v>46025</v>
      </c>
      <c r="N779" t="s">
        <v>634</v>
      </c>
      <c r="O779" t="s">
        <v>625</v>
      </c>
      <c r="P779">
        <v>1</v>
      </c>
      <c r="Q779">
        <v>0</v>
      </c>
      <c r="R779">
        <v>97.72</v>
      </c>
      <c r="S779" t="s">
        <v>295</v>
      </c>
      <c r="T779" t="s">
        <v>776</v>
      </c>
    </row>
    <row r="780" spans="1:20" x14ac:dyDescent="0.3">
      <c r="A780">
        <v>779</v>
      </c>
      <c r="B780">
        <v>244</v>
      </c>
      <c r="C780">
        <v>5</v>
      </c>
      <c r="D780">
        <v>137.16999999999999</v>
      </c>
      <c r="E780">
        <v>13.72</v>
      </c>
      <c r="F780">
        <v>0</v>
      </c>
      <c r="G780">
        <v>0.1</v>
      </c>
      <c r="H780" t="s">
        <v>622</v>
      </c>
      <c r="J780" t="s">
        <v>623</v>
      </c>
      <c r="K780" s="1"/>
      <c r="L780" s="1">
        <v>46025.429745370369</v>
      </c>
      <c r="M780" s="2">
        <v>46025</v>
      </c>
      <c r="N780" t="s">
        <v>634</v>
      </c>
      <c r="O780" t="s">
        <v>625</v>
      </c>
      <c r="P780">
        <v>1</v>
      </c>
      <c r="Q780">
        <v>0</v>
      </c>
      <c r="R780">
        <v>137.16999999999999</v>
      </c>
      <c r="S780" t="s">
        <v>483</v>
      </c>
      <c r="T780" t="s">
        <v>779</v>
      </c>
    </row>
    <row r="781" spans="1:20" x14ac:dyDescent="0.3">
      <c r="A781">
        <v>780</v>
      </c>
      <c r="B781">
        <v>293</v>
      </c>
      <c r="C781">
        <v>5</v>
      </c>
      <c r="D781">
        <v>34.21</v>
      </c>
      <c r="E781">
        <v>3.42</v>
      </c>
      <c r="F781">
        <v>0</v>
      </c>
      <c r="G781">
        <v>0.1</v>
      </c>
      <c r="H781" t="s">
        <v>622</v>
      </c>
      <c r="J781" t="s">
        <v>623</v>
      </c>
      <c r="K781" s="1"/>
      <c r="L781" s="1">
        <v>46025.458414351851</v>
      </c>
      <c r="M781" s="2">
        <v>46025</v>
      </c>
      <c r="N781" t="s">
        <v>634</v>
      </c>
      <c r="O781" t="s">
        <v>625</v>
      </c>
      <c r="P781">
        <v>1</v>
      </c>
      <c r="Q781">
        <v>0</v>
      </c>
      <c r="R781">
        <v>34.21</v>
      </c>
      <c r="S781" t="s">
        <v>581</v>
      </c>
      <c r="T781" t="s">
        <v>779</v>
      </c>
    </row>
    <row r="782" spans="1:20" x14ac:dyDescent="0.3">
      <c r="A782">
        <v>781</v>
      </c>
      <c r="B782">
        <v>65</v>
      </c>
      <c r="C782">
        <v>5</v>
      </c>
      <c r="D782">
        <v>25.65</v>
      </c>
      <c r="E782">
        <v>2.57</v>
      </c>
      <c r="F782">
        <v>0</v>
      </c>
      <c r="G782">
        <v>0.1</v>
      </c>
      <c r="H782" t="s">
        <v>622</v>
      </c>
      <c r="J782" t="s">
        <v>623</v>
      </c>
      <c r="K782" s="1"/>
      <c r="L782" s="1">
        <v>46025.486620370371</v>
      </c>
      <c r="M782" s="2">
        <v>46025</v>
      </c>
      <c r="N782" t="s">
        <v>634</v>
      </c>
      <c r="O782" t="s">
        <v>625</v>
      </c>
      <c r="P782">
        <v>1</v>
      </c>
      <c r="Q782">
        <v>0</v>
      </c>
      <c r="R782">
        <v>25.65</v>
      </c>
      <c r="S782" t="s">
        <v>126</v>
      </c>
      <c r="T782" t="s">
        <v>779</v>
      </c>
    </row>
    <row r="783" spans="1:20" x14ac:dyDescent="0.3">
      <c r="A783">
        <v>782</v>
      </c>
      <c r="B783">
        <v>18</v>
      </c>
      <c r="C783">
        <v>2</v>
      </c>
      <c r="D783">
        <v>70.760000000000005</v>
      </c>
      <c r="E783">
        <v>7.08</v>
      </c>
      <c r="F783">
        <v>0</v>
      </c>
      <c r="G783">
        <v>0.1</v>
      </c>
      <c r="H783" t="s">
        <v>622</v>
      </c>
      <c r="J783" t="s">
        <v>623</v>
      </c>
      <c r="K783" s="1"/>
      <c r="L783" s="1">
        <v>46025.56181712963</v>
      </c>
      <c r="M783" s="2">
        <v>46025</v>
      </c>
      <c r="N783" t="s">
        <v>634</v>
      </c>
      <c r="O783" t="s">
        <v>625</v>
      </c>
      <c r="P783">
        <v>1</v>
      </c>
      <c r="Q783">
        <v>0</v>
      </c>
      <c r="R783">
        <v>70.760000000000005</v>
      </c>
      <c r="S783" t="s">
        <v>32</v>
      </c>
      <c r="T783" t="s">
        <v>776</v>
      </c>
    </row>
    <row r="784" spans="1:20" x14ac:dyDescent="0.3">
      <c r="A784">
        <v>783</v>
      </c>
      <c r="B784">
        <v>247</v>
      </c>
      <c r="C784">
        <v>4</v>
      </c>
      <c r="D784">
        <v>17.190000000000001</v>
      </c>
      <c r="E784">
        <v>1.72</v>
      </c>
      <c r="F784">
        <v>0</v>
      </c>
      <c r="G784">
        <v>0.1</v>
      </c>
      <c r="H784" t="s">
        <v>622</v>
      </c>
      <c r="J784" t="s">
        <v>623</v>
      </c>
      <c r="K784" s="1"/>
      <c r="L784" s="1">
        <v>46025.62841435185</v>
      </c>
      <c r="M784" s="2">
        <v>46025</v>
      </c>
      <c r="N784" t="s">
        <v>634</v>
      </c>
      <c r="O784" t="s">
        <v>625</v>
      </c>
      <c r="P784">
        <v>1</v>
      </c>
      <c r="Q784">
        <v>0</v>
      </c>
      <c r="R784">
        <v>17.190000000000001</v>
      </c>
      <c r="S784" t="s">
        <v>489</v>
      </c>
      <c r="T784" t="s">
        <v>778</v>
      </c>
    </row>
    <row r="785" spans="1:20" x14ac:dyDescent="0.3">
      <c r="A785">
        <v>784</v>
      </c>
      <c r="B785">
        <v>16</v>
      </c>
      <c r="C785">
        <v>2</v>
      </c>
      <c r="D785">
        <v>127.25</v>
      </c>
      <c r="E785">
        <v>12.73</v>
      </c>
      <c r="F785">
        <v>0</v>
      </c>
      <c r="G785">
        <v>0.1</v>
      </c>
      <c r="H785" t="s">
        <v>622</v>
      </c>
      <c r="J785" t="s">
        <v>623</v>
      </c>
      <c r="K785" s="1"/>
      <c r="L785" s="1">
        <v>46025.669479166667</v>
      </c>
      <c r="M785" s="2">
        <v>46025</v>
      </c>
      <c r="N785" t="s">
        <v>634</v>
      </c>
      <c r="O785" t="s">
        <v>625</v>
      </c>
      <c r="P785">
        <v>1</v>
      </c>
      <c r="Q785">
        <v>0</v>
      </c>
      <c r="R785">
        <v>127.25</v>
      </c>
      <c r="S785" t="s">
        <v>28</v>
      </c>
      <c r="T785" t="s">
        <v>776</v>
      </c>
    </row>
    <row r="786" spans="1:20" x14ac:dyDescent="0.3">
      <c r="A786">
        <v>785</v>
      </c>
      <c r="B786">
        <v>137</v>
      </c>
      <c r="C786">
        <v>4</v>
      </c>
      <c r="D786">
        <v>60.79</v>
      </c>
      <c r="E786">
        <v>6.08</v>
      </c>
      <c r="F786">
        <v>0</v>
      </c>
      <c r="G786">
        <v>0.1</v>
      </c>
      <c r="H786" t="s">
        <v>622</v>
      </c>
      <c r="J786" t="s">
        <v>623</v>
      </c>
      <c r="K786" s="1"/>
      <c r="L786" s="1">
        <v>46025.709548611114</v>
      </c>
      <c r="M786" s="2">
        <v>46025</v>
      </c>
      <c r="N786" t="s">
        <v>634</v>
      </c>
      <c r="O786" t="s">
        <v>625</v>
      </c>
      <c r="P786">
        <v>1</v>
      </c>
      <c r="Q786">
        <v>0</v>
      </c>
      <c r="R786">
        <v>60.79</v>
      </c>
      <c r="S786" t="s">
        <v>269</v>
      </c>
      <c r="T786" t="s">
        <v>778</v>
      </c>
    </row>
    <row r="787" spans="1:20" x14ac:dyDescent="0.3">
      <c r="A787">
        <v>786</v>
      </c>
      <c r="B787">
        <v>235</v>
      </c>
      <c r="C787">
        <v>5</v>
      </c>
      <c r="D787">
        <v>19.760000000000002</v>
      </c>
      <c r="E787">
        <v>1.98</v>
      </c>
      <c r="F787">
        <v>0</v>
      </c>
      <c r="G787">
        <v>0.1</v>
      </c>
      <c r="H787" t="s">
        <v>622</v>
      </c>
      <c r="J787" t="s">
        <v>623</v>
      </c>
      <c r="K787" s="1"/>
      <c r="L787" s="1">
        <v>46026.338472222225</v>
      </c>
      <c r="M787" s="2">
        <v>46026</v>
      </c>
      <c r="N787" t="s">
        <v>634</v>
      </c>
      <c r="O787" t="s">
        <v>625</v>
      </c>
      <c r="P787">
        <v>1</v>
      </c>
      <c r="Q787">
        <v>0</v>
      </c>
      <c r="R787">
        <v>19.760000000000002</v>
      </c>
      <c r="S787" t="s">
        <v>465</v>
      </c>
      <c r="T787" t="s">
        <v>779</v>
      </c>
    </row>
    <row r="788" spans="1:20" x14ac:dyDescent="0.3">
      <c r="A788">
        <v>787</v>
      </c>
      <c r="B788">
        <v>44</v>
      </c>
      <c r="C788">
        <v>4</v>
      </c>
      <c r="D788">
        <v>25.76</v>
      </c>
      <c r="E788">
        <v>2.58</v>
      </c>
      <c r="F788">
        <v>0</v>
      </c>
      <c r="G788">
        <v>0.1</v>
      </c>
      <c r="H788" t="s">
        <v>622</v>
      </c>
      <c r="J788" t="s">
        <v>623</v>
      </c>
      <c r="K788" s="1"/>
      <c r="L788" s="1">
        <v>46026.37</v>
      </c>
      <c r="M788" s="2">
        <v>46026</v>
      </c>
      <c r="N788" t="s">
        <v>634</v>
      </c>
      <c r="O788" t="s">
        <v>625</v>
      </c>
      <c r="P788">
        <v>1</v>
      </c>
      <c r="Q788">
        <v>0</v>
      </c>
      <c r="R788">
        <v>25.76</v>
      </c>
      <c r="S788" t="s">
        <v>84</v>
      </c>
      <c r="T788" t="s">
        <v>778</v>
      </c>
    </row>
    <row r="789" spans="1:20" x14ac:dyDescent="0.3">
      <c r="A789">
        <v>788</v>
      </c>
      <c r="B789">
        <v>136</v>
      </c>
      <c r="C789">
        <v>2</v>
      </c>
      <c r="D789">
        <v>57.23</v>
      </c>
      <c r="E789">
        <v>5.72</v>
      </c>
      <c r="F789">
        <v>0</v>
      </c>
      <c r="G789">
        <v>0.1</v>
      </c>
      <c r="H789" t="s">
        <v>622</v>
      </c>
      <c r="J789" t="s">
        <v>623</v>
      </c>
      <c r="K789" s="1"/>
      <c r="L789" s="1">
        <v>46026.44195601852</v>
      </c>
      <c r="M789" s="2">
        <v>46026</v>
      </c>
      <c r="N789" t="s">
        <v>634</v>
      </c>
      <c r="O789" t="s">
        <v>625</v>
      </c>
      <c r="P789">
        <v>1</v>
      </c>
      <c r="Q789">
        <v>0</v>
      </c>
      <c r="R789">
        <v>57.23</v>
      </c>
      <c r="S789" t="s">
        <v>267</v>
      </c>
      <c r="T789" t="s">
        <v>776</v>
      </c>
    </row>
    <row r="790" spans="1:20" x14ac:dyDescent="0.3">
      <c r="A790">
        <v>789</v>
      </c>
      <c r="B790">
        <v>83</v>
      </c>
      <c r="C790">
        <v>5</v>
      </c>
      <c r="D790">
        <v>26.45</v>
      </c>
      <c r="E790">
        <v>2.65</v>
      </c>
      <c r="F790">
        <v>0</v>
      </c>
      <c r="G790">
        <v>0.1</v>
      </c>
      <c r="H790" t="s">
        <v>622</v>
      </c>
      <c r="J790" t="s">
        <v>623</v>
      </c>
      <c r="K790" s="1"/>
      <c r="L790" s="1">
        <v>46026.498032407406</v>
      </c>
      <c r="M790" s="2">
        <v>46026</v>
      </c>
      <c r="N790" t="s">
        <v>634</v>
      </c>
      <c r="O790" t="s">
        <v>625</v>
      </c>
      <c r="P790">
        <v>1</v>
      </c>
      <c r="Q790">
        <v>0</v>
      </c>
      <c r="R790">
        <v>26.45</v>
      </c>
      <c r="S790" t="s">
        <v>161</v>
      </c>
      <c r="T790" t="s">
        <v>779</v>
      </c>
    </row>
    <row r="791" spans="1:20" x14ac:dyDescent="0.3">
      <c r="A791">
        <v>790</v>
      </c>
      <c r="B791">
        <v>202</v>
      </c>
      <c r="C791">
        <v>3</v>
      </c>
      <c r="D791">
        <v>47.16</v>
      </c>
      <c r="E791">
        <v>4.72</v>
      </c>
      <c r="F791">
        <v>0</v>
      </c>
      <c r="G791">
        <v>0.1</v>
      </c>
      <c r="H791" t="s">
        <v>622</v>
      </c>
      <c r="J791" t="s">
        <v>623</v>
      </c>
      <c r="K791" s="1"/>
      <c r="L791" s="1">
        <v>46026.535694444443</v>
      </c>
      <c r="M791" s="2">
        <v>46026</v>
      </c>
      <c r="N791" t="s">
        <v>634</v>
      </c>
      <c r="O791" t="s">
        <v>625</v>
      </c>
      <c r="P791">
        <v>1</v>
      </c>
      <c r="Q791">
        <v>0</v>
      </c>
      <c r="R791">
        <v>47.16</v>
      </c>
      <c r="S791" t="s">
        <v>399</v>
      </c>
      <c r="T791" t="s">
        <v>777</v>
      </c>
    </row>
    <row r="792" spans="1:20" x14ac:dyDescent="0.3">
      <c r="A792">
        <v>791</v>
      </c>
      <c r="B792">
        <v>27</v>
      </c>
      <c r="C792">
        <v>4</v>
      </c>
      <c r="D792">
        <v>95.23</v>
      </c>
      <c r="E792">
        <v>9.52</v>
      </c>
      <c r="F792">
        <v>0</v>
      </c>
      <c r="G792">
        <v>0.1</v>
      </c>
      <c r="H792" t="s">
        <v>622</v>
      </c>
      <c r="J792" t="s">
        <v>623</v>
      </c>
      <c r="K792" s="1"/>
      <c r="L792" s="1">
        <v>46026.600868055553</v>
      </c>
      <c r="M792" s="2">
        <v>46026</v>
      </c>
      <c r="N792" t="s">
        <v>634</v>
      </c>
      <c r="O792" t="s">
        <v>625</v>
      </c>
      <c r="P792">
        <v>1</v>
      </c>
      <c r="Q792">
        <v>0</v>
      </c>
      <c r="R792">
        <v>95.23</v>
      </c>
      <c r="S792" t="s">
        <v>50</v>
      </c>
      <c r="T792" t="s">
        <v>778</v>
      </c>
    </row>
    <row r="793" spans="1:20" x14ac:dyDescent="0.3">
      <c r="A793">
        <v>792</v>
      </c>
      <c r="B793">
        <v>39</v>
      </c>
      <c r="C793">
        <v>2</v>
      </c>
      <c r="D793">
        <v>180.51</v>
      </c>
      <c r="E793">
        <v>18.05</v>
      </c>
      <c r="F793">
        <v>0</v>
      </c>
      <c r="G793">
        <v>0.1</v>
      </c>
      <c r="H793" t="s">
        <v>622</v>
      </c>
      <c r="J793" t="s">
        <v>623</v>
      </c>
      <c r="K793" s="1"/>
      <c r="L793" s="1">
        <v>46026.602511574078</v>
      </c>
      <c r="M793" s="2">
        <v>46026</v>
      </c>
      <c r="N793" t="s">
        <v>634</v>
      </c>
      <c r="O793" t="s">
        <v>625</v>
      </c>
      <c r="P793">
        <v>1</v>
      </c>
      <c r="Q793">
        <v>0</v>
      </c>
      <c r="R793">
        <v>180.51</v>
      </c>
      <c r="S793" t="s">
        <v>74</v>
      </c>
      <c r="T793" t="s">
        <v>776</v>
      </c>
    </row>
    <row r="794" spans="1:20" x14ac:dyDescent="0.3">
      <c r="A794">
        <v>793</v>
      </c>
      <c r="B794">
        <v>148</v>
      </c>
      <c r="C794">
        <v>4</v>
      </c>
      <c r="D794">
        <v>25.39</v>
      </c>
      <c r="E794">
        <v>2.54</v>
      </c>
      <c r="F794">
        <v>0</v>
      </c>
      <c r="G794">
        <v>0.1</v>
      </c>
      <c r="H794" t="s">
        <v>626</v>
      </c>
      <c r="I794">
        <v>3</v>
      </c>
      <c r="J794" t="s">
        <v>632</v>
      </c>
      <c r="K794" s="1">
        <v>46026.906238425923</v>
      </c>
      <c r="L794" s="1">
        <v>46026.697905092595</v>
      </c>
      <c r="M794" s="2">
        <v>46026</v>
      </c>
      <c r="N794" t="s">
        <v>634</v>
      </c>
      <c r="O794" t="s">
        <v>625</v>
      </c>
      <c r="P794">
        <v>1</v>
      </c>
      <c r="Q794">
        <v>1</v>
      </c>
      <c r="R794">
        <v>0</v>
      </c>
      <c r="S794" t="s">
        <v>291</v>
      </c>
      <c r="T794" t="s">
        <v>778</v>
      </c>
    </row>
    <row r="795" spans="1:20" x14ac:dyDescent="0.3">
      <c r="A795">
        <v>794</v>
      </c>
      <c r="B795">
        <v>245</v>
      </c>
      <c r="C795">
        <v>4</v>
      </c>
      <c r="D795">
        <v>23.98</v>
      </c>
      <c r="E795">
        <v>2.4</v>
      </c>
      <c r="F795">
        <v>0</v>
      </c>
      <c r="G795">
        <v>0.1</v>
      </c>
      <c r="H795" t="s">
        <v>626</v>
      </c>
      <c r="I795">
        <v>5</v>
      </c>
      <c r="J795" t="s">
        <v>632</v>
      </c>
      <c r="K795" s="1">
        <v>46028.713449074072</v>
      </c>
      <c r="L795" s="1">
        <v>46027.296782407408</v>
      </c>
      <c r="M795" s="2">
        <v>46027</v>
      </c>
      <c r="N795" t="s">
        <v>634</v>
      </c>
      <c r="O795" t="s">
        <v>625</v>
      </c>
      <c r="P795">
        <v>1</v>
      </c>
      <c r="Q795">
        <v>1</v>
      </c>
      <c r="R795">
        <v>0</v>
      </c>
      <c r="S795" t="s">
        <v>485</v>
      </c>
      <c r="T795" t="s">
        <v>778</v>
      </c>
    </row>
    <row r="796" spans="1:20" x14ac:dyDescent="0.3">
      <c r="A796">
        <v>795</v>
      </c>
      <c r="B796">
        <v>39</v>
      </c>
      <c r="C796">
        <v>4</v>
      </c>
      <c r="D796">
        <v>168.03</v>
      </c>
      <c r="E796">
        <v>16.8</v>
      </c>
      <c r="F796">
        <v>0</v>
      </c>
      <c r="G796">
        <v>0.1</v>
      </c>
      <c r="H796" t="s">
        <v>626</v>
      </c>
      <c r="I796">
        <v>2</v>
      </c>
      <c r="J796" t="s">
        <v>627</v>
      </c>
      <c r="K796" s="1">
        <v>46028.754560185182</v>
      </c>
      <c r="L796" s="1">
        <v>46027.337893518517</v>
      </c>
      <c r="M796" s="2">
        <v>46027</v>
      </c>
      <c r="N796" t="s">
        <v>634</v>
      </c>
      <c r="O796" t="s">
        <v>625</v>
      </c>
      <c r="P796">
        <v>1</v>
      </c>
      <c r="Q796">
        <v>1</v>
      </c>
      <c r="R796">
        <v>0</v>
      </c>
      <c r="S796" t="s">
        <v>74</v>
      </c>
      <c r="T796" t="s">
        <v>778</v>
      </c>
    </row>
    <row r="797" spans="1:20" x14ac:dyDescent="0.3">
      <c r="A797">
        <v>796</v>
      </c>
      <c r="B797">
        <v>61</v>
      </c>
      <c r="C797">
        <v>4</v>
      </c>
      <c r="D797">
        <v>133.01</v>
      </c>
      <c r="E797">
        <v>13.3</v>
      </c>
      <c r="F797">
        <v>0</v>
      </c>
      <c r="G797">
        <v>0.1</v>
      </c>
      <c r="H797" t="s">
        <v>622</v>
      </c>
      <c r="J797" t="s">
        <v>623</v>
      </c>
      <c r="K797" s="1"/>
      <c r="L797" s="1">
        <v>46027.405428240738</v>
      </c>
      <c r="M797" s="2">
        <v>46027</v>
      </c>
      <c r="N797" t="s">
        <v>634</v>
      </c>
      <c r="O797" t="s">
        <v>625</v>
      </c>
      <c r="P797">
        <v>1</v>
      </c>
      <c r="Q797">
        <v>0</v>
      </c>
      <c r="R797">
        <v>133.01</v>
      </c>
      <c r="S797" t="s">
        <v>118</v>
      </c>
      <c r="T797" t="s">
        <v>778</v>
      </c>
    </row>
    <row r="798" spans="1:20" x14ac:dyDescent="0.3">
      <c r="A798">
        <v>797</v>
      </c>
      <c r="B798">
        <v>235</v>
      </c>
      <c r="C798">
        <v>3</v>
      </c>
      <c r="D798">
        <v>19.54</v>
      </c>
      <c r="E798">
        <v>1.95</v>
      </c>
      <c r="F798">
        <v>0</v>
      </c>
      <c r="G798">
        <v>0.1</v>
      </c>
      <c r="H798" t="s">
        <v>622</v>
      </c>
      <c r="J798" t="s">
        <v>623</v>
      </c>
      <c r="K798" s="1"/>
      <c r="L798" s="1">
        <v>46027.417048611111</v>
      </c>
      <c r="M798" s="2">
        <v>46027</v>
      </c>
      <c r="N798" t="s">
        <v>634</v>
      </c>
      <c r="O798" t="s">
        <v>625</v>
      </c>
      <c r="P798">
        <v>1</v>
      </c>
      <c r="Q798">
        <v>0</v>
      </c>
      <c r="R798">
        <v>19.54</v>
      </c>
      <c r="S798" t="s">
        <v>465</v>
      </c>
      <c r="T798" t="s">
        <v>777</v>
      </c>
    </row>
    <row r="799" spans="1:20" x14ac:dyDescent="0.3">
      <c r="A799">
        <v>798</v>
      </c>
      <c r="B799">
        <v>95</v>
      </c>
      <c r="C799">
        <v>5</v>
      </c>
      <c r="D799">
        <v>262.43</v>
      </c>
      <c r="E799">
        <v>26.24</v>
      </c>
      <c r="F799">
        <v>0</v>
      </c>
      <c r="G799">
        <v>0.1</v>
      </c>
      <c r="H799" t="s">
        <v>622</v>
      </c>
      <c r="J799" t="s">
        <v>623</v>
      </c>
      <c r="K799" s="1"/>
      <c r="L799" s="1">
        <v>46027.486400462964</v>
      </c>
      <c r="M799" s="2">
        <v>46027</v>
      </c>
      <c r="N799" t="s">
        <v>634</v>
      </c>
      <c r="O799" t="s">
        <v>625</v>
      </c>
      <c r="P799">
        <v>1</v>
      </c>
      <c r="Q799">
        <v>0</v>
      </c>
      <c r="R799">
        <v>262.43</v>
      </c>
      <c r="S799" t="s">
        <v>185</v>
      </c>
      <c r="T799" t="s">
        <v>779</v>
      </c>
    </row>
    <row r="800" spans="1:20" x14ac:dyDescent="0.3">
      <c r="A800">
        <v>799</v>
      </c>
      <c r="B800">
        <v>247</v>
      </c>
      <c r="C800">
        <v>4</v>
      </c>
      <c r="D800">
        <v>48.8</v>
      </c>
      <c r="E800">
        <v>4.88</v>
      </c>
      <c r="F800">
        <v>0</v>
      </c>
      <c r="G800">
        <v>0.1</v>
      </c>
      <c r="H800" t="s">
        <v>622</v>
      </c>
      <c r="J800" t="s">
        <v>623</v>
      </c>
      <c r="K800" s="1"/>
      <c r="L800" s="1">
        <v>46027.491539351853</v>
      </c>
      <c r="M800" s="2">
        <v>46027</v>
      </c>
      <c r="N800" t="s">
        <v>634</v>
      </c>
      <c r="O800" t="s">
        <v>625</v>
      </c>
      <c r="P800">
        <v>1</v>
      </c>
      <c r="Q800">
        <v>0</v>
      </c>
      <c r="R800">
        <v>48.8</v>
      </c>
      <c r="S800" t="s">
        <v>489</v>
      </c>
      <c r="T800" t="s">
        <v>778</v>
      </c>
    </row>
    <row r="801" spans="1:20" x14ac:dyDescent="0.3">
      <c r="A801">
        <v>800</v>
      </c>
      <c r="B801">
        <v>18</v>
      </c>
      <c r="C801">
        <v>3</v>
      </c>
      <c r="D801">
        <v>136.68</v>
      </c>
      <c r="E801">
        <v>13.67</v>
      </c>
      <c r="F801">
        <v>0</v>
      </c>
      <c r="G801">
        <v>0.1</v>
      </c>
      <c r="H801" t="s">
        <v>622</v>
      </c>
      <c r="J801" t="s">
        <v>623</v>
      </c>
      <c r="K801" s="1"/>
      <c r="L801" s="1">
        <v>46027.674629629626</v>
      </c>
      <c r="M801" s="2">
        <v>46027</v>
      </c>
      <c r="N801" t="s">
        <v>634</v>
      </c>
      <c r="O801" t="s">
        <v>625</v>
      </c>
      <c r="P801">
        <v>1</v>
      </c>
      <c r="Q801">
        <v>0</v>
      </c>
      <c r="R801">
        <v>136.68</v>
      </c>
      <c r="S801" t="s">
        <v>32</v>
      </c>
      <c r="T801" t="s">
        <v>777</v>
      </c>
    </row>
    <row r="802" spans="1:20" x14ac:dyDescent="0.3">
      <c r="A802">
        <v>801</v>
      </c>
      <c r="B802">
        <v>241</v>
      </c>
      <c r="C802">
        <v>3</v>
      </c>
      <c r="D802">
        <v>25.28</v>
      </c>
      <c r="E802">
        <v>2.5299999999999998</v>
      </c>
      <c r="F802">
        <v>0</v>
      </c>
      <c r="G802">
        <v>0.1</v>
      </c>
      <c r="H802" t="s">
        <v>622</v>
      </c>
      <c r="J802" t="s">
        <v>623</v>
      </c>
      <c r="K802" s="1"/>
      <c r="L802" s="1">
        <v>46027.691134259258</v>
      </c>
      <c r="M802" s="2">
        <v>46027</v>
      </c>
      <c r="N802" t="s">
        <v>634</v>
      </c>
      <c r="O802" t="s">
        <v>625</v>
      </c>
      <c r="P802">
        <v>1</v>
      </c>
      <c r="Q802">
        <v>0</v>
      </c>
      <c r="R802">
        <v>25.28</v>
      </c>
      <c r="S802" t="s">
        <v>477</v>
      </c>
      <c r="T802" t="s">
        <v>777</v>
      </c>
    </row>
    <row r="803" spans="1:20" x14ac:dyDescent="0.3">
      <c r="A803">
        <v>802</v>
      </c>
      <c r="B803">
        <v>48</v>
      </c>
      <c r="C803">
        <v>4</v>
      </c>
      <c r="D803">
        <v>44.41</v>
      </c>
      <c r="E803">
        <v>4.4400000000000004</v>
      </c>
      <c r="F803">
        <v>0</v>
      </c>
      <c r="G803">
        <v>0.1</v>
      </c>
      <c r="H803" t="s">
        <v>622</v>
      </c>
      <c r="J803" t="s">
        <v>623</v>
      </c>
      <c r="K803" s="1"/>
      <c r="L803" s="1">
        <v>46028.306550925925</v>
      </c>
      <c r="M803" s="2">
        <v>46028</v>
      </c>
      <c r="N803" t="s">
        <v>634</v>
      </c>
      <c r="O803" t="s">
        <v>625</v>
      </c>
      <c r="P803">
        <v>1</v>
      </c>
      <c r="Q803">
        <v>0</v>
      </c>
      <c r="R803">
        <v>44.41</v>
      </c>
      <c r="S803" t="s">
        <v>92</v>
      </c>
      <c r="T803" t="s">
        <v>778</v>
      </c>
    </row>
    <row r="804" spans="1:20" x14ac:dyDescent="0.3">
      <c r="A804">
        <v>803</v>
      </c>
      <c r="B804">
        <v>252</v>
      </c>
      <c r="C804">
        <v>4</v>
      </c>
      <c r="D804">
        <v>30.09</v>
      </c>
      <c r="E804">
        <v>3.01</v>
      </c>
      <c r="F804">
        <v>0</v>
      </c>
      <c r="G804">
        <v>0.1</v>
      </c>
      <c r="H804" t="s">
        <v>622</v>
      </c>
      <c r="J804" t="s">
        <v>623</v>
      </c>
      <c r="K804" s="1"/>
      <c r="L804" s="1">
        <v>46028.348032407404</v>
      </c>
      <c r="M804" s="2">
        <v>46028</v>
      </c>
      <c r="N804" t="s">
        <v>634</v>
      </c>
      <c r="O804" t="s">
        <v>625</v>
      </c>
      <c r="P804">
        <v>1</v>
      </c>
      <c r="Q804">
        <v>0</v>
      </c>
      <c r="R804">
        <v>30.09</v>
      </c>
      <c r="S804" t="s">
        <v>499</v>
      </c>
      <c r="T804" t="s">
        <v>778</v>
      </c>
    </row>
    <row r="805" spans="1:20" x14ac:dyDescent="0.3">
      <c r="A805">
        <v>804</v>
      </c>
      <c r="B805">
        <v>136</v>
      </c>
      <c r="C805">
        <v>2</v>
      </c>
      <c r="D805">
        <v>67.459999999999994</v>
      </c>
      <c r="E805">
        <v>6.75</v>
      </c>
      <c r="F805">
        <v>0</v>
      </c>
      <c r="G805">
        <v>0.1</v>
      </c>
      <c r="H805" t="s">
        <v>626</v>
      </c>
      <c r="I805">
        <v>3</v>
      </c>
      <c r="J805" t="s">
        <v>628</v>
      </c>
      <c r="K805" s="1">
        <v>46029.403969907406</v>
      </c>
      <c r="L805" s="1">
        <v>46028.403969907406</v>
      </c>
      <c r="M805" s="2">
        <v>46028</v>
      </c>
      <c r="N805" t="s">
        <v>634</v>
      </c>
      <c r="O805" t="s">
        <v>625</v>
      </c>
      <c r="P805">
        <v>1</v>
      </c>
      <c r="Q805">
        <v>1</v>
      </c>
      <c r="R805">
        <v>0</v>
      </c>
      <c r="S805" t="s">
        <v>267</v>
      </c>
      <c r="T805" t="s">
        <v>776</v>
      </c>
    </row>
    <row r="806" spans="1:20" x14ac:dyDescent="0.3">
      <c r="A806">
        <v>805</v>
      </c>
      <c r="B806">
        <v>136</v>
      </c>
      <c r="C806">
        <v>3</v>
      </c>
      <c r="D806">
        <v>69.459999999999994</v>
      </c>
      <c r="E806">
        <v>6.95</v>
      </c>
      <c r="F806">
        <v>0</v>
      </c>
      <c r="G806">
        <v>0.1</v>
      </c>
      <c r="H806" t="s">
        <v>622</v>
      </c>
      <c r="J806" t="s">
        <v>623</v>
      </c>
      <c r="K806" s="1"/>
      <c r="L806" s="1">
        <v>46028.429988425924</v>
      </c>
      <c r="M806" s="2">
        <v>46028</v>
      </c>
      <c r="N806" t="s">
        <v>634</v>
      </c>
      <c r="O806" t="s">
        <v>625</v>
      </c>
      <c r="P806">
        <v>1</v>
      </c>
      <c r="Q806">
        <v>0</v>
      </c>
      <c r="R806">
        <v>69.459999999999994</v>
      </c>
      <c r="S806" t="s">
        <v>267</v>
      </c>
      <c r="T806" t="s">
        <v>777</v>
      </c>
    </row>
    <row r="807" spans="1:20" x14ac:dyDescent="0.3">
      <c r="A807">
        <v>806</v>
      </c>
      <c r="B807">
        <v>97</v>
      </c>
      <c r="C807">
        <v>4</v>
      </c>
      <c r="D807">
        <v>69.31</v>
      </c>
      <c r="E807">
        <v>6.93</v>
      </c>
      <c r="F807">
        <v>0</v>
      </c>
      <c r="G807">
        <v>0.1</v>
      </c>
      <c r="H807" t="s">
        <v>622</v>
      </c>
      <c r="J807" t="s">
        <v>623</v>
      </c>
      <c r="K807" s="1"/>
      <c r="L807" s="1">
        <v>46028.434618055559</v>
      </c>
      <c r="M807" s="2">
        <v>46028</v>
      </c>
      <c r="N807" t="s">
        <v>634</v>
      </c>
      <c r="O807" t="s">
        <v>625</v>
      </c>
      <c r="P807">
        <v>1</v>
      </c>
      <c r="Q807">
        <v>0</v>
      </c>
      <c r="R807">
        <v>69.31</v>
      </c>
      <c r="S807" t="s">
        <v>189</v>
      </c>
      <c r="T807" t="s">
        <v>778</v>
      </c>
    </row>
    <row r="808" spans="1:20" x14ac:dyDescent="0.3">
      <c r="A808">
        <v>807</v>
      </c>
      <c r="B808">
        <v>65</v>
      </c>
      <c r="C808">
        <v>2</v>
      </c>
      <c r="D808">
        <v>56.56</v>
      </c>
      <c r="E808">
        <v>5.66</v>
      </c>
      <c r="F808">
        <v>0</v>
      </c>
      <c r="G808">
        <v>0.1</v>
      </c>
      <c r="H808" t="s">
        <v>622</v>
      </c>
      <c r="J808" t="s">
        <v>623</v>
      </c>
      <c r="K808" s="1"/>
      <c r="L808" s="1">
        <v>46028.443993055553</v>
      </c>
      <c r="M808" s="2">
        <v>46028</v>
      </c>
      <c r="N808" t="s">
        <v>634</v>
      </c>
      <c r="O808" t="s">
        <v>625</v>
      </c>
      <c r="P808">
        <v>1</v>
      </c>
      <c r="Q808">
        <v>0</v>
      </c>
      <c r="R808">
        <v>56.56</v>
      </c>
      <c r="S808" t="s">
        <v>126</v>
      </c>
      <c r="T808" t="s">
        <v>776</v>
      </c>
    </row>
    <row r="809" spans="1:20" x14ac:dyDescent="0.3">
      <c r="A809">
        <v>808</v>
      </c>
      <c r="B809">
        <v>18</v>
      </c>
      <c r="C809">
        <v>3</v>
      </c>
      <c r="D809">
        <v>92.06</v>
      </c>
      <c r="E809">
        <v>9.2100000000000009</v>
      </c>
      <c r="F809">
        <v>0</v>
      </c>
      <c r="G809">
        <v>0.1</v>
      </c>
      <c r="H809" t="s">
        <v>622</v>
      </c>
      <c r="J809" t="s">
        <v>623</v>
      </c>
      <c r="K809" s="1"/>
      <c r="L809" s="1">
        <v>46028.462905092594</v>
      </c>
      <c r="M809" s="2">
        <v>46028</v>
      </c>
      <c r="N809" t="s">
        <v>634</v>
      </c>
      <c r="O809" t="s">
        <v>625</v>
      </c>
      <c r="P809">
        <v>1</v>
      </c>
      <c r="Q809">
        <v>0</v>
      </c>
      <c r="R809">
        <v>92.06</v>
      </c>
      <c r="S809" t="s">
        <v>32</v>
      </c>
      <c r="T809" t="s">
        <v>777</v>
      </c>
    </row>
    <row r="810" spans="1:20" x14ac:dyDescent="0.3">
      <c r="A810">
        <v>809</v>
      </c>
      <c r="B810">
        <v>207</v>
      </c>
      <c r="C810">
        <v>3</v>
      </c>
      <c r="D810">
        <v>47.26</v>
      </c>
      <c r="E810">
        <v>4.7300000000000004</v>
      </c>
      <c r="F810">
        <v>0</v>
      </c>
      <c r="G810">
        <v>0.1</v>
      </c>
      <c r="H810" t="s">
        <v>622</v>
      </c>
      <c r="J810" t="s">
        <v>623</v>
      </c>
      <c r="K810" s="1"/>
      <c r="L810" s="1">
        <v>46028.469131944446</v>
      </c>
      <c r="M810" s="2">
        <v>46028</v>
      </c>
      <c r="N810" t="s">
        <v>634</v>
      </c>
      <c r="O810" t="s">
        <v>625</v>
      </c>
      <c r="P810">
        <v>1</v>
      </c>
      <c r="Q810">
        <v>0</v>
      </c>
      <c r="R810">
        <v>47.26</v>
      </c>
      <c r="S810" t="s">
        <v>409</v>
      </c>
      <c r="T810" t="s">
        <v>777</v>
      </c>
    </row>
    <row r="811" spans="1:20" x14ac:dyDescent="0.3">
      <c r="A811">
        <v>810</v>
      </c>
      <c r="B811">
        <v>202</v>
      </c>
      <c r="C811">
        <v>2</v>
      </c>
      <c r="D811">
        <v>29.82</v>
      </c>
      <c r="E811">
        <v>2.98</v>
      </c>
      <c r="F811">
        <v>0</v>
      </c>
      <c r="G811">
        <v>0.1</v>
      </c>
      <c r="H811" t="s">
        <v>622</v>
      </c>
      <c r="J811" t="s">
        <v>623</v>
      </c>
      <c r="K811" s="1"/>
      <c r="L811" s="1">
        <v>46028.582986111112</v>
      </c>
      <c r="M811" s="2">
        <v>46028</v>
      </c>
      <c r="N811" t="s">
        <v>634</v>
      </c>
      <c r="O811" t="s">
        <v>625</v>
      </c>
      <c r="P811">
        <v>1</v>
      </c>
      <c r="Q811">
        <v>0</v>
      </c>
      <c r="R811">
        <v>29.82</v>
      </c>
      <c r="S811" t="s">
        <v>399</v>
      </c>
      <c r="T811" t="s">
        <v>776</v>
      </c>
    </row>
    <row r="812" spans="1:20" x14ac:dyDescent="0.3">
      <c r="A812">
        <v>811</v>
      </c>
      <c r="B812">
        <v>117</v>
      </c>
      <c r="C812">
        <v>4</v>
      </c>
      <c r="D812">
        <v>101.13</v>
      </c>
      <c r="E812">
        <v>10.11</v>
      </c>
      <c r="F812">
        <v>0</v>
      </c>
      <c r="G812">
        <v>0.1</v>
      </c>
      <c r="H812" t="s">
        <v>622</v>
      </c>
      <c r="J812" t="s">
        <v>623</v>
      </c>
      <c r="K812" s="1"/>
      <c r="L812" s="1">
        <v>46028.650439814817</v>
      </c>
      <c r="M812" s="2">
        <v>46028</v>
      </c>
      <c r="N812" t="s">
        <v>634</v>
      </c>
      <c r="O812" t="s">
        <v>625</v>
      </c>
      <c r="P812">
        <v>1</v>
      </c>
      <c r="Q812">
        <v>0</v>
      </c>
      <c r="R812">
        <v>101.13</v>
      </c>
      <c r="S812" t="s">
        <v>229</v>
      </c>
      <c r="T812" t="s">
        <v>778</v>
      </c>
    </row>
    <row r="813" spans="1:20" x14ac:dyDescent="0.3">
      <c r="A813">
        <v>812</v>
      </c>
      <c r="B813">
        <v>58</v>
      </c>
      <c r="C813">
        <v>3</v>
      </c>
      <c r="D813">
        <v>74.010000000000005</v>
      </c>
      <c r="E813">
        <v>7.4</v>
      </c>
      <c r="F813">
        <v>0</v>
      </c>
      <c r="G813">
        <v>0.1</v>
      </c>
      <c r="H813" t="s">
        <v>622</v>
      </c>
      <c r="J813" t="s">
        <v>623</v>
      </c>
      <c r="K813" s="1"/>
      <c r="L813" s="1">
        <v>46028.66505787037</v>
      </c>
      <c r="M813" s="2">
        <v>46028</v>
      </c>
      <c r="N813" t="s">
        <v>634</v>
      </c>
      <c r="O813" t="s">
        <v>625</v>
      </c>
      <c r="P813">
        <v>1</v>
      </c>
      <c r="Q813">
        <v>0</v>
      </c>
      <c r="R813">
        <v>74.010000000000005</v>
      </c>
      <c r="S813" t="s">
        <v>112</v>
      </c>
      <c r="T813" t="s">
        <v>777</v>
      </c>
    </row>
    <row r="814" spans="1:20" x14ac:dyDescent="0.3">
      <c r="A814">
        <v>813</v>
      </c>
      <c r="B814">
        <v>87</v>
      </c>
      <c r="C814">
        <v>2</v>
      </c>
      <c r="D814">
        <v>39.32</v>
      </c>
      <c r="E814">
        <v>3.93</v>
      </c>
      <c r="F814">
        <v>0</v>
      </c>
      <c r="G814">
        <v>0.1</v>
      </c>
      <c r="H814" t="s">
        <v>622</v>
      </c>
      <c r="J814" t="s">
        <v>623</v>
      </c>
      <c r="K814" s="1"/>
      <c r="L814" s="1">
        <v>46028.757754629631</v>
      </c>
      <c r="M814" s="2">
        <v>46028</v>
      </c>
      <c r="N814" t="s">
        <v>634</v>
      </c>
      <c r="O814" t="s">
        <v>625</v>
      </c>
      <c r="P814">
        <v>1</v>
      </c>
      <c r="Q814">
        <v>0</v>
      </c>
      <c r="R814">
        <v>39.32</v>
      </c>
      <c r="S814" t="s">
        <v>169</v>
      </c>
      <c r="T814" t="s">
        <v>776</v>
      </c>
    </row>
    <row r="815" spans="1:20" x14ac:dyDescent="0.3">
      <c r="A815">
        <v>814</v>
      </c>
      <c r="B815">
        <v>87</v>
      </c>
      <c r="C815">
        <v>5</v>
      </c>
      <c r="D815">
        <v>220</v>
      </c>
      <c r="E815">
        <v>22</v>
      </c>
      <c r="F815">
        <v>0</v>
      </c>
      <c r="G815">
        <v>0.1</v>
      </c>
      <c r="H815" t="s">
        <v>626</v>
      </c>
      <c r="I815">
        <v>3</v>
      </c>
      <c r="J815" t="s">
        <v>632</v>
      </c>
      <c r="K815" s="1">
        <v>46030.015625</v>
      </c>
      <c r="L815" s="1">
        <v>46028.765625</v>
      </c>
      <c r="M815" s="2">
        <v>46028</v>
      </c>
      <c r="N815" t="s">
        <v>634</v>
      </c>
      <c r="O815" t="s">
        <v>625</v>
      </c>
      <c r="P815">
        <v>1</v>
      </c>
      <c r="Q815">
        <v>1</v>
      </c>
      <c r="R815">
        <v>0</v>
      </c>
      <c r="S815" t="s">
        <v>169</v>
      </c>
      <c r="T815" t="s">
        <v>779</v>
      </c>
    </row>
    <row r="816" spans="1:20" x14ac:dyDescent="0.3">
      <c r="A816">
        <v>815</v>
      </c>
      <c r="B816">
        <v>151</v>
      </c>
      <c r="C816">
        <v>2</v>
      </c>
      <c r="D816">
        <v>141.72999999999999</v>
      </c>
      <c r="E816">
        <v>14.17</v>
      </c>
      <c r="F816">
        <v>0</v>
      </c>
      <c r="G816">
        <v>0.1</v>
      </c>
      <c r="H816" t="s">
        <v>622</v>
      </c>
      <c r="J816" t="s">
        <v>623</v>
      </c>
      <c r="K816" s="1"/>
      <c r="L816" s="1">
        <v>46028.773402777777</v>
      </c>
      <c r="M816" s="2">
        <v>46028</v>
      </c>
      <c r="N816" t="s">
        <v>634</v>
      </c>
      <c r="O816" t="s">
        <v>625</v>
      </c>
      <c r="P816">
        <v>1</v>
      </c>
      <c r="Q816">
        <v>0</v>
      </c>
      <c r="R816">
        <v>141.72999999999999</v>
      </c>
      <c r="S816" t="s">
        <v>297</v>
      </c>
      <c r="T816" t="s">
        <v>776</v>
      </c>
    </row>
    <row r="817" spans="1:20" x14ac:dyDescent="0.3">
      <c r="A817">
        <v>816</v>
      </c>
      <c r="B817">
        <v>59</v>
      </c>
      <c r="C817">
        <v>3</v>
      </c>
      <c r="D817">
        <v>30.75</v>
      </c>
      <c r="E817">
        <v>3.08</v>
      </c>
      <c r="F817">
        <v>0</v>
      </c>
      <c r="G817">
        <v>0.1</v>
      </c>
      <c r="H817" t="s">
        <v>622</v>
      </c>
      <c r="J817" t="s">
        <v>623</v>
      </c>
      <c r="K817" s="1"/>
      <c r="L817" s="1">
        <v>46029.295057870368</v>
      </c>
      <c r="M817" s="2">
        <v>46029</v>
      </c>
      <c r="N817" t="s">
        <v>634</v>
      </c>
      <c r="O817" t="s">
        <v>625</v>
      </c>
      <c r="P817">
        <v>1</v>
      </c>
      <c r="Q817">
        <v>0</v>
      </c>
      <c r="R817">
        <v>30.75</v>
      </c>
      <c r="S817" t="s">
        <v>114</v>
      </c>
      <c r="T817" t="s">
        <v>777</v>
      </c>
    </row>
    <row r="818" spans="1:20" x14ac:dyDescent="0.3">
      <c r="A818">
        <v>817</v>
      </c>
      <c r="B818">
        <v>136</v>
      </c>
      <c r="C818">
        <v>3</v>
      </c>
      <c r="D818">
        <v>98.84</v>
      </c>
      <c r="E818">
        <v>9.8800000000000008</v>
      </c>
      <c r="F818">
        <v>0</v>
      </c>
      <c r="G818">
        <v>0.1</v>
      </c>
      <c r="H818" t="s">
        <v>626</v>
      </c>
      <c r="I818">
        <v>4</v>
      </c>
      <c r="J818" t="s">
        <v>627</v>
      </c>
      <c r="K818" s="1">
        <v>46030.112650462965</v>
      </c>
      <c r="L818" s="1">
        <v>46029.404317129629</v>
      </c>
      <c r="M818" s="2">
        <v>46029</v>
      </c>
      <c r="N818" t="s">
        <v>634</v>
      </c>
      <c r="O818" t="s">
        <v>625</v>
      </c>
      <c r="P818">
        <v>1</v>
      </c>
      <c r="Q818">
        <v>1</v>
      </c>
      <c r="R818">
        <v>0</v>
      </c>
      <c r="S818" t="s">
        <v>267</v>
      </c>
      <c r="T818" t="s">
        <v>777</v>
      </c>
    </row>
    <row r="819" spans="1:20" x14ac:dyDescent="0.3">
      <c r="A819">
        <v>818</v>
      </c>
      <c r="B819">
        <v>240</v>
      </c>
      <c r="C819">
        <v>5</v>
      </c>
      <c r="D819">
        <v>231.19</v>
      </c>
      <c r="E819">
        <v>23.12</v>
      </c>
      <c r="F819">
        <v>0</v>
      </c>
      <c r="G819">
        <v>0.1</v>
      </c>
      <c r="H819" t="s">
        <v>622</v>
      </c>
      <c r="J819" t="s">
        <v>623</v>
      </c>
      <c r="K819" s="1"/>
      <c r="L819" s="1">
        <v>46029.411979166667</v>
      </c>
      <c r="M819" s="2">
        <v>46029</v>
      </c>
      <c r="N819" t="s">
        <v>634</v>
      </c>
      <c r="O819" t="s">
        <v>625</v>
      </c>
      <c r="P819">
        <v>1</v>
      </c>
      <c r="Q819">
        <v>0</v>
      </c>
      <c r="R819">
        <v>231.19</v>
      </c>
      <c r="S819" t="s">
        <v>475</v>
      </c>
      <c r="T819" t="s">
        <v>779</v>
      </c>
    </row>
    <row r="820" spans="1:20" x14ac:dyDescent="0.3">
      <c r="A820">
        <v>819</v>
      </c>
      <c r="B820">
        <v>240</v>
      </c>
      <c r="C820">
        <v>4</v>
      </c>
      <c r="D820">
        <v>119.34</v>
      </c>
      <c r="E820">
        <v>11.93</v>
      </c>
      <c r="F820">
        <v>0</v>
      </c>
      <c r="G820">
        <v>0.1</v>
      </c>
      <c r="H820" t="s">
        <v>622</v>
      </c>
      <c r="J820" t="s">
        <v>623</v>
      </c>
      <c r="K820" s="1"/>
      <c r="L820" s="1">
        <v>46029.475115740737</v>
      </c>
      <c r="M820" s="2">
        <v>46029</v>
      </c>
      <c r="N820" t="s">
        <v>634</v>
      </c>
      <c r="O820" t="s">
        <v>625</v>
      </c>
      <c r="P820">
        <v>1</v>
      </c>
      <c r="Q820">
        <v>0</v>
      </c>
      <c r="R820">
        <v>119.34</v>
      </c>
      <c r="S820" t="s">
        <v>475</v>
      </c>
      <c r="T820" t="s">
        <v>778</v>
      </c>
    </row>
    <row r="821" spans="1:20" x14ac:dyDescent="0.3">
      <c r="A821">
        <v>820</v>
      </c>
      <c r="B821">
        <v>217</v>
      </c>
      <c r="C821">
        <v>3</v>
      </c>
      <c r="D821">
        <v>28.19</v>
      </c>
      <c r="E821">
        <v>2.82</v>
      </c>
      <c r="F821">
        <v>0</v>
      </c>
      <c r="G821">
        <v>0.1</v>
      </c>
      <c r="H821" t="s">
        <v>622</v>
      </c>
      <c r="J821" t="s">
        <v>623</v>
      </c>
      <c r="K821" s="1"/>
      <c r="L821" s="1">
        <v>46029.608298611114</v>
      </c>
      <c r="M821" s="2">
        <v>46029</v>
      </c>
      <c r="N821" t="s">
        <v>634</v>
      </c>
      <c r="O821" t="s">
        <v>625</v>
      </c>
      <c r="P821">
        <v>1</v>
      </c>
      <c r="Q821">
        <v>0</v>
      </c>
      <c r="R821">
        <v>28.19</v>
      </c>
      <c r="S821" t="s">
        <v>429</v>
      </c>
      <c r="T821" t="s">
        <v>777</v>
      </c>
    </row>
    <row r="822" spans="1:20" x14ac:dyDescent="0.3">
      <c r="A822">
        <v>821</v>
      </c>
      <c r="B822">
        <v>106</v>
      </c>
      <c r="C822">
        <v>2</v>
      </c>
      <c r="D822">
        <v>67.680000000000007</v>
      </c>
      <c r="E822">
        <v>6.77</v>
      </c>
      <c r="F822">
        <v>0</v>
      </c>
      <c r="G822">
        <v>0.1</v>
      </c>
      <c r="H822" t="s">
        <v>622</v>
      </c>
      <c r="J822" t="s">
        <v>623</v>
      </c>
      <c r="K822" s="1"/>
      <c r="L822" s="1">
        <v>46029.640266203707</v>
      </c>
      <c r="M822" s="2">
        <v>46029</v>
      </c>
      <c r="N822" t="s">
        <v>634</v>
      </c>
      <c r="O822" t="s">
        <v>625</v>
      </c>
      <c r="P822">
        <v>1</v>
      </c>
      <c r="Q822">
        <v>0</v>
      </c>
      <c r="R822">
        <v>67.680000000000007</v>
      </c>
      <c r="S822" t="s">
        <v>207</v>
      </c>
      <c r="T822" t="s">
        <v>776</v>
      </c>
    </row>
    <row r="823" spans="1:20" x14ac:dyDescent="0.3">
      <c r="A823">
        <v>822</v>
      </c>
      <c r="B823">
        <v>16</v>
      </c>
      <c r="C823">
        <v>3</v>
      </c>
      <c r="D823">
        <v>269.41000000000003</v>
      </c>
      <c r="E823">
        <v>26.94</v>
      </c>
      <c r="F823">
        <v>0</v>
      </c>
      <c r="G823">
        <v>0.1</v>
      </c>
      <c r="H823" t="s">
        <v>622</v>
      </c>
      <c r="J823" t="s">
        <v>623</v>
      </c>
      <c r="K823" s="1"/>
      <c r="L823" s="1">
        <v>46029.647291666668</v>
      </c>
      <c r="M823" s="2">
        <v>46029</v>
      </c>
      <c r="N823" t="s">
        <v>634</v>
      </c>
      <c r="O823" t="s">
        <v>625</v>
      </c>
      <c r="P823">
        <v>1</v>
      </c>
      <c r="Q823">
        <v>0</v>
      </c>
      <c r="R823">
        <v>269.41000000000003</v>
      </c>
      <c r="S823" t="s">
        <v>28</v>
      </c>
      <c r="T823" t="s">
        <v>777</v>
      </c>
    </row>
    <row r="824" spans="1:20" x14ac:dyDescent="0.3">
      <c r="A824">
        <v>823</v>
      </c>
      <c r="B824">
        <v>297</v>
      </c>
      <c r="C824">
        <v>4</v>
      </c>
      <c r="D824">
        <v>96.45</v>
      </c>
      <c r="E824">
        <v>9.65</v>
      </c>
      <c r="F824">
        <v>0</v>
      </c>
      <c r="G824">
        <v>0.1</v>
      </c>
      <c r="H824" t="s">
        <v>622</v>
      </c>
      <c r="J824" t="s">
        <v>623</v>
      </c>
      <c r="K824" s="1"/>
      <c r="L824" s="1">
        <v>46029.650706018518</v>
      </c>
      <c r="M824" s="2">
        <v>46029</v>
      </c>
      <c r="N824" t="s">
        <v>634</v>
      </c>
      <c r="O824" t="s">
        <v>625</v>
      </c>
      <c r="P824">
        <v>1</v>
      </c>
      <c r="Q824">
        <v>0</v>
      </c>
      <c r="R824">
        <v>96.45</v>
      </c>
      <c r="S824" t="s">
        <v>589</v>
      </c>
      <c r="T824" t="s">
        <v>778</v>
      </c>
    </row>
    <row r="825" spans="1:20" x14ac:dyDescent="0.3">
      <c r="A825">
        <v>824</v>
      </c>
      <c r="B825">
        <v>87</v>
      </c>
      <c r="C825">
        <v>3</v>
      </c>
      <c r="D825">
        <v>64.13</v>
      </c>
      <c r="E825">
        <v>6.41</v>
      </c>
      <c r="F825">
        <v>0</v>
      </c>
      <c r="G825">
        <v>0.1</v>
      </c>
      <c r="H825" t="s">
        <v>622</v>
      </c>
      <c r="J825" t="s">
        <v>623</v>
      </c>
      <c r="K825" s="1"/>
      <c r="L825" s="1">
        <v>46029.664131944446</v>
      </c>
      <c r="M825" s="2">
        <v>46029</v>
      </c>
      <c r="N825" t="s">
        <v>634</v>
      </c>
      <c r="O825" t="s">
        <v>625</v>
      </c>
      <c r="P825">
        <v>1</v>
      </c>
      <c r="Q825">
        <v>0</v>
      </c>
      <c r="R825">
        <v>64.13</v>
      </c>
      <c r="S825" t="s">
        <v>169</v>
      </c>
      <c r="T825" t="s">
        <v>777</v>
      </c>
    </row>
    <row r="826" spans="1:20" x14ac:dyDescent="0.3">
      <c r="A826">
        <v>825</v>
      </c>
      <c r="B826">
        <v>230</v>
      </c>
      <c r="C826">
        <v>5</v>
      </c>
      <c r="D826">
        <v>203.69</v>
      </c>
      <c r="E826">
        <v>20.37</v>
      </c>
      <c r="F826">
        <v>0</v>
      </c>
      <c r="G826">
        <v>0.1</v>
      </c>
      <c r="H826" t="s">
        <v>626</v>
      </c>
      <c r="I826">
        <v>5</v>
      </c>
      <c r="J826" t="s">
        <v>631</v>
      </c>
      <c r="K826" s="1">
        <v>46030.831747685188</v>
      </c>
      <c r="L826" s="1">
        <v>46029.748414351852</v>
      </c>
      <c r="M826" s="2">
        <v>46029</v>
      </c>
      <c r="N826" t="s">
        <v>634</v>
      </c>
      <c r="O826" t="s">
        <v>625</v>
      </c>
      <c r="P826">
        <v>1</v>
      </c>
      <c r="Q826">
        <v>1</v>
      </c>
      <c r="R826">
        <v>0</v>
      </c>
      <c r="S826" t="s">
        <v>455</v>
      </c>
      <c r="T826" t="s">
        <v>779</v>
      </c>
    </row>
    <row r="827" spans="1:20" x14ac:dyDescent="0.3">
      <c r="A827">
        <v>826</v>
      </c>
      <c r="B827">
        <v>13</v>
      </c>
      <c r="C827">
        <v>3</v>
      </c>
      <c r="D827">
        <v>40.299999999999997</v>
      </c>
      <c r="E827">
        <v>4.03</v>
      </c>
      <c r="F827">
        <v>0</v>
      </c>
      <c r="G827">
        <v>0.1</v>
      </c>
      <c r="H827" t="s">
        <v>622</v>
      </c>
      <c r="J827" t="s">
        <v>623</v>
      </c>
      <c r="K827" s="1"/>
      <c r="L827" s="1">
        <v>46030.31821759259</v>
      </c>
      <c r="M827" s="2">
        <v>46030</v>
      </c>
      <c r="N827" t="s">
        <v>634</v>
      </c>
      <c r="O827" t="s">
        <v>625</v>
      </c>
      <c r="P827">
        <v>1</v>
      </c>
      <c r="Q827">
        <v>0</v>
      </c>
      <c r="R827">
        <v>40.299999999999997</v>
      </c>
      <c r="S827" t="s">
        <v>22</v>
      </c>
      <c r="T827" t="s">
        <v>777</v>
      </c>
    </row>
    <row r="828" spans="1:20" x14ac:dyDescent="0.3">
      <c r="A828">
        <v>827</v>
      </c>
      <c r="B828">
        <v>136</v>
      </c>
      <c r="C828">
        <v>5</v>
      </c>
      <c r="D828">
        <v>140.52000000000001</v>
      </c>
      <c r="E828">
        <v>14.05</v>
      </c>
      <c r="F828">
        <v>0</v>
      </c>
      <c r="G828">
        <v>0.1</v>
      </c>
      <c r="H828" t="s">
        <v>622</v>
      </c>
      <c r="J828" t="s">
        <v>623</v>
      </c>
      <c r="K828" s="1"/>
      <c r="L828" s="1">
        <v>46030.343078703707</v>
      </c>
      <c r="M828" s="2">
        <v>46030</v>
      </c>
      <c r="N828" t="s">
        <v>634</v>
      </c>
      <c r="O828" t="s">
        <v>625</v>
      </c>
      <c r="P828">
        <v>1</v>
      </c>
      <c r="Q828">
        <v>0</v>
      </c>
      <c r="R828">
        <v>140.52000000000001</v>
      </c>
      <c r="S828" t="s">
        <v>267</v>
      </c>
      <c r="T828" t="s">
        <v>779</v>
      </c>
    </row>
    <row r="829" spans="1:20" x14ac:dyDescent="0.3">
      <c r="A829">
        <v>828</v>
      </c>
      <c r="B829">
        <v>65</v>
      </c>
      <c r="C829">
        <v>4</v>
      </c>
      <c r="D829">
        <v>38.39</v>
      </c>
      <c r="E829">
        <v>3.84</v>
      </c>
      <c r="F829">
        <v>0</v>
      </c>
      <c r="G829">
        <v>0.1</v>
      </c>
      <c r="H829" t="s">
        <v>622</v>
      </c>
      <c r="J829" t="s">
        <v>623</v>
      </c>
      <c r="K829" s="1"/>
      <c r="L829" s="1">
        <v>46030.40865740741</v>
      </c>
      <c r="M829" s="2">
        <v>46030</v>
      </c>
      <c r="N829" t="s">
        <v>634</v>
      </c>
      <c r="O829" t="s">
        <v>625</v>
      </c>
      <c r="P829">
        <v>1</v>
      </c>
      <c r="Q829">
        <v>0</v>
      </c>
      <c r="R829">
        <v>38.39</v>
      </c>
      <c r="S829" t="s">
        <v>126</v>
      </c>
      <c r="T829" t="s">
        <v>778</v>
      </c>
    </row>
    <row r="830" spans="1:20" x14ac:dyDescent="0.3">
      <c r="A830">
        <v>829</v>
      </c>
      <c r="B830">
        <v>137</v>
      </c>
      <c r="C830">
        <v>3</v>
      </c>
      <c r="D830">
        <v>34.17</v>
      </c>
      <c r="E830">
        <v>3.42</v>
      </c>
      <c r="F830">
        <v>0</v>
      </c>
      <c r="G830">
        <v>0.1</v>
      </c>
      <c r="H830" t="s">
        <v>622</v>
      </c>
      <c r="J830" t="s">
        <v>623</v>
      </c>
      <c r="K830" s="1"/>
      <c r="L830" s="1">
        <v>46030.418564814812</v>
      </c>
      <c r="M830" s="2">
        <v>46030</v>
      </c>
      <c r="N830" t="s">
        <v>634</v>
      </c>
      <c r="O830" t="s">
        <v>625</v>
      </c>
      <c r="P830">
        <v>1</v>
      </c>
      <c r="Q830">
        <v>0</v>
      </c>
      <c r="R830">
        <v>34.17</v>
      </c>
      <c r="S830" t="s">
        <v>269</v>
      </c>
      <c r="T830" t="s">
        <v>777</v>
      </c>
    </row>
    <row r="831" spans="1:20" x14ac:dyDescent="0.3">
      <c r="A831">
        <v>830</v>
      </c>
      <c r="B831">
        <v>209</v>
      </c>
      <c r="C831">
        <v>2</v>
      </c>
      <c r="D831">
        <v>234.37</v>
      </c>
      <c r="E831">
        <v>23.44</v>
      </c>
      <c r="F831">
        <v>0</v>
      </c>
      <c r="G831">
        <v>0.1</v>
      </c>
      <c r="H831" t="s">
        <v>622</v>
      </c>
      <c r="J831" t="s">
        <v>623</v>
      </c>
      <c r="K831" s="1"/>
      <c r="L831" s="1">
        <v>46030.459664351853</v>
      </c>
      <c r="M831" s="2">
        <v>46030</v>
      </c>
      <c r="N831" t="s">
        <v>634</v>
      </c>
      <c r="O831" t="s">
        <v>625</v>
      </c>
      <c r="P831">
        <v>1</v>
      </c>
      <c r="Q831">
        <v>0</v>
      </c>
      <c r="R831">
        <v>234.37</v>
      </c>
      <c r="S831" t="s">
        <v>413</v>
      </c>
      <c r="T831" t="s">
        <v>776</v>
      </c>
    </row>
    <row r="832" spans="1:20" x14ac:dyDescent="0.3">
      <c r="A832">
        <v>831</v>
      </c>
      <c r="B832">
        <v>135</v>
      </c>
      <c r="C832">
        <v>3</v>
      </c>
      <c r="D832">
        <v>129.75</v>
      </c>
      <c r="E832">
        <v>12.98</v>
      </c>
      <c r="F832">
        <v>0</v>
      </c>
      <c r="G832">
        <v>0.1</v>
      </c>
      <c r="H832" t="s">
        <v>622</v>
      </c>
      <c r="J832" t="s">
        <v>623</v>
      </c>
      <c r="K832" s="1"/>
      <c r="L832" s="1">
        <v>46030.474895833337</v>
      </c>
      <c r="M832" s="2">
        <v>46030</v>
      </c>
      <c r="N832" t="s">
        <v>634</v>
      </c>
      <c r="O832" t="s">
        <v>625</v>
      </c>
      <c r="P832">
        <v>1</v>
      </c>
      <c r="Q832">
        <v>0</v>
      </c>
      <c r="R832">
        <v>129.75</v>
      </c>
      <c r="S832" t="s">
        <v>265</v>
      </c>
      <c r="T832" t="s">
        <v>777</v>
      </c>
    </row>
    <row r="833" spans="1:20" x14ac:dyDescent="0.3">
      <c r="A833">
        <v>832</v>
      </c>
      <c r="B833">
        <v>144</v>
      </c>
      <c r="C833">
        <v>2</v>
      </c>
      <c r="D833">
        <v>71.67</v>
      </c>
      <c r="E833">
        <v>7.17</v>
      </c>
      <c r="F833">
        <v>0</v>
      </c>
      <c r="G833">
        <v>0.1</v>
      </c>
      <c r="H833" t="s">
        <v>622</v>
      </c>
      <c r="J833" t="s">
        <v>623</v>
      </c>
      <c r="K833" s="1"/>
      <c r="L833" s="1">
        <v>46030.51054398148</v>
      </c>
      <c r="M833" s="2">
        <v>46030</v>
      </c>
      <c r="N833" t="s">
        <v>634</v>
      </c>
      <c r="O833" t="s">
        <v>625</v>
      </c>
      <c r="P833">
        <v>1</v>
      </c>
      <c r="Q833">
        <v>0</v>
      </c>
      <c r="R833">
        <v>71.67</v>
      </c>
      <c r="S833" t="s">
        <v>283</v>
      </c>
      <c r="T833" t="s">
        <v>776</v>
      </c>
    </row>
    <row r="834" spans="1:20" x14ac:dyDescent="0.3">
      <c r="A834">
        <v>833</v>
      </c>
      <c r="B834">
        <v>197</v>
      </c>
      <c r="C834">
        <v>3</v>
      </c>
      <c r="D834">
        <v>66.03</v>
      </c>
      <c r="E834">
        <v>6.6</v>
      </c>
      <c r="F834">
        <v>0</v>
      </c>
      <c r="G834">
        <v>0.1</v>
      </c>
      <c r="H834" t="s">
        <v>622</v>
      </c>
      <c r="J834" t="s">
        <v>623</v>
      </c>
      <c r="K834" s="1"/>
      <c r="L834" s="1">
        <v>46030.538460648146</v>
      </c>
      <c r="M834" s="2">
        <v>46030</v>
      </c>
      <c r="N834" t="s">
        <v>634</v>
      </c>
      <c r="O834" t="s">
        <v>625</v>
      </c>
      <c r="P834">
        <v>1</v>
      </c>
      <c r="Q834">
        <v>0</v>
      </c>
      <c r="R834">
        <v>66.03</v>
      </c>
      <c r="S834" t="s">
        <v>389</v>
      </c>
      <c r="T834" t="s">
        <v>777</v>
      </c>
    </row>
    <row r="835" spans="1:20" x14ac:dyDescent="0.3">
      <c r="A835">
        <v>834</v>
      </c>
      <c r="B835">
        <v>44</v>
      </c>
      <c r="C835">
        <v>4</v>
      </c>
      <c r="D835">
        <v>22.86</v>
      </c>
      <c r="E835">
        <v>2.29</v>
      </c>
      <c r="F835">
        <v>0</v>
      </c>
      <c r="G835">
        <v>0.1</v>
      </c>
      <c r="H835" t="s">
        <v>626</v>
      </c>
      <c r="I835">
        <v>4</v>
      </c>
      <c r="J835" t="s">
        <v>628</v>
      </c>
      <c r="K835" s="1">
        <v>46031.634212962963</v>
      </c>
      <c r="L835" s="1">
        <v>46030.550879629627</v>
      </c>
      <c r="M835" s="2">
        <v>46030</v>
      </c>
      <c r="N835" t="s">
        <v>634</v>
      </c>
      <c r="O835" t="s">
        <v>625</v>
      </c>
      <c r="P835">
        <v>1</v>
      </c>
      <c r="Q835">
        <v>1</v>
      </c>
      <c r="R835">
        <v>0</v>
      </c>
      <c r="S835" t="s">
        <v>84</v>
      </c>
      <c r="T835" t="s">
        <v>778</v>
      </c>
    </row>
    <row r="836" spans="1:20" x14ac:dyDescent="0.3">
      <c r="A836">
        <v>835</v>
      </c>
      <c r="B836">
        <v>209</v>
      </c>
      <c r="C836">
        <v>5</v>
      </c>
      <c r="D836">
        <v>258.8</v>
      </c>
      <c r="E836">
        <v>25.88</v>
      </c>
      <c r="F836">
        <v>0</v>
      </c>
      <c r="G836">
        <v>0.1</v>
      </c>
      <c r="H836" t="s">
        <v>622</v>
      </c>
      <c r="J836" t="s">
        <v>623</v>
      </c>
      <c r="K836" s="1"/>
      <c r="L836" s="1">
        <v>46030.690358796295</v>
      </c>
      <c r="M836" s="2">
        <v>46030</v>
      </c>
      <c r="N836" t="s">
        <v>634</v>
      </c>
      <c r="O836" t="s">
        <v>625</v>
      </c>
      <c r="P836">
        <v>1</v>
      </c>
      <c r="Q836">
        <v>0</v>
      </c>
      <c r="R836">
        <v>258.8</v>
      </c>
      <c r="S836" t="s">
        <v>413</v>
      </c>
      <c r="T836" t="s">
        <v>779</v>
      </c>
    </row>
    <row r="837" spans="1:20" x14ac:dyDescent="0.3">
      <c r="A837">
        <v>836</v>
      </c>
      <c r="B837">
        <v>297</v>
      </c>
      <c r="C837">
        <v>3</v>
      </c>
      <c r="D837">
        <v>71.08</v>
      </c>
      <c r="E837">
        <v>7.11</v>
      </c>
      <c r="F837">
        <v>0</v>
      </c>
      <c r="G837">
        <v>0.1</v>
      </c>
      <c r="H837" t="s">
        <v>622</v>
      </c>
      <c r="J837" t="s">
        <v>623</v>
      </c>
      <c r="K837" s="1"/>
      <c r="L837" s="1">
        <v>46030.6953125</v>
      </c>
      <c r="M837" s="2">
        <v>46030</v>
      </c>
      <c r="N837" t="s">
        <v>634</v>
      </c>
      <c r="O837" t="s">
        <v>625</v>
      </c>
      <c r="P837">
        <v>1</v>
      </c>
      <c r="Q837">
        <v>0</v>
      </c>
      <c r="R837">
        <v>71.08</v>
      </c>
      <c r="S837" t="s">
        <v>589</v>
      </c>
      <c r="T837" t="s">
        <v>777</v>
      </c>
    </row>
    <row r="838" spans="1:20" x14ac:dyDescent="0.3">
      <c r="A838">
        <v>837</v>
      </c>
      <c r="B838">
        <v>244</v>
      </c>
      <c r="C838">
        <v>3</v>
      </c>
      <c r="D838">
        <v>124.67</v>
      </c>
      <c r="E838">
        <v>12.47</v>
      </c>
      <c r="F838">
        <v>0</v>
      </c>
      <c r="G838">
        <v>0.1</v>
      </c>
      <c r="H838" t="s">
        <v>622</v>
      </c>
      <c r="J838" t="s">
        <v>623</v>
      </c>
      <c r="K838" s="1"/>
      <c r="L838" s="1">
        <v>46030.737766203703</v>
      </c>
      <c r="M838" s="2">
        <v>46030</v>
      </c>
      <c r="N838" t="s">
        <v>634</v>
      </c>
      <c r="O838" t="s">
        <v>625</v>
      </c>
      <c r="P838">
        <v>1</v>
      </c>
      <c r="Q838">
        <v>0</v>
      </c>
      <c r="R838">
        <v>124.67</v>
      </c>
      <c r="S838" t="s">
        <v>483</v>
      </c>
      <c r="T838" t="s">
        <v>777</v>
      </c>
    </row>
    <row r="839" spans="1:20" x14ac:dyDescent="0.3">
      <c r="A839">
        <v>838</v>
      </c>
      <c r="B839">
        <v>14</v>
      </c>
      <c r="C839">
        <v>2</v>
      </c>
      <c r="D839">
        <v>49.35</v>
      </c>
      <c r="E839">
        <v>4.9400000000000004</v>
      </c>
      <c r="F839">
        <v>0</v>
      </c>
      <c r="G839">
        <v>0.1</v>
      </c>
      <c r="H839" t="s">
        <v>626</v>
      </c>
      <c r="I839">
        <v>2</v>
      </c>
      <c r="J839" t="s">
        <v>627</v>
      </c>
      <c r="K839" s="1">
        <v>46031.066932870373</v>
      </c>
      <c r="L839" s="1">
        <v>46030.775266203702</v>
      </c>
      <c r="M839" s="2">
        <v>46030</v>
      </c>
      <c r="N839" t="s">
        <v>634</v>
      </c>
      <c r="O839" t="s">
        <v>625</v>
      </c>
      <c r="P839">
        <v>1</v>
      </c>
      <c r="Q839">
        <v>1</v>
      </c>
      <c r="R839">
        <v>0</v>
      </c>
      <c r="S839" t="s">
        <v>24</v>
      </c>
      <c r="T839" t="s">
        <v>776</v>
      </c>
    </row>
    <row r="840" spans="1:20" x14ac:dyDescent="0.3">
      <c r="A840">
        <v>839</v>
      </c>
      <c r="B840">
        <v>186</v>
      </c>
      <c r="C840">
        <v>3</v>
      </c>
      <c r="D840">
        <v>80.62</v>
      </c>
      <c r="E840">
        <v>8.06</v>
      </c>
      <c r="F840">
        <v>0</v>
      </c>
      <c r="G840">
        <v>0.1</v>
      </c>
      <c r="H840" t="s">
        <v>622</v>
      </c>
      <c r="J840" t="s">
        <v>623</v>
      </c>
      <c r="K840" s="1"/>
      <c r="L840" s="1">
        <v>46031.311388888891</v>
      </c>
      <c r="M840" s="2">
        <v>46031</v>
      </c>
      <c r="N840" t="s">
        <v>634</v>
      </c>
      <c r="O840" t="s">
        <v>625</v>
      </c>
      <c r="P840">
        <v>1</v>
      </c>
      <c r="Q840">
        <v>0</v>
      </c>
      <c r="R840">
        <v>80.62</v>
      </c>
      <c r="S840" t="s">
        <v>367</v>
      </c>
      <c r="T840" t="s">
        <v>777</v>
      </c>
    </row>
    <row r="841" spans="1:20" x14ac:dyDescent="0.3">
      <c r="A841">
        <v>840</v>
      </c>
      <c r="B841">
        <v>49</v>
      </c>
      <c r="C841">
        <v>3</v>
      </c>
      <c r="D841">
        <v>104.62</v>
      </c>
      <c r="E841">
        <v>10.46</v>
      </c>
      <c r="F841">
        <v>0</v>
      </c>
      <c r="G841">
        <v>0.1</v>
      </c>
      <c r="H841" t="s">
        <v>622</v>
      </c>
      <c r="J841" t="s">
        <v>623</v>
      </c>
      <c r="K841" s="1"/>
      <c r="L841" s="1">
        <v>46031.452152777776</v>
      </c>
      <c r="M841" s="2">
        <v>46031</v>
      </c>
      <c r="N841" t="s">
        <v>634</v>
      </c>
      <c r="O841" t="s">
        <v>625</v>
      </c>
      <c r="P841">
        <v>1</v>
      </c>
      <c r="Q841">
        <v>0</v>
      </c>
      <c r="R841">
        <v>104.62</v>
      </c>
      <c r="S841" t="s">
        <v>94</v>
      </c>
      <c r="T841" t="s">
        <v>777</v>
      </c>
    </row>
    <row r="842" spans="1:20" x14ac:dyDescent="0.3">
      <c r="A842">
        <v>841</v>
      </c>
      <c r="B842">
        <v>106</v>
      </c>
      <c r="C842">
        <v>5</v>
      </c>
      <c r="D842">
        <v>89.77</v>
      </c>
      <c r="E842">
        <v>8.98</v>
      </c>
      <c r="F842">
        <v>0</v>
      </c>
      <c r="G842">
        <v>0.1</v>
      </c>
      <c r="H842" t="s">
        <v>622</v>
      </c>
      <c r="J842" t="s">
        <v>623</v>
      </c>
      <c r="K842" s="1"/>
      <c r="L842" s="1">
        <v>46031.549178240741</v>
      </c>
      <c r="M842" s="2">
        <v>46031</v>
      </c>
      <c r="N842" t="s">
        <v>634</v>
      </c>
      <c r="O842" t="s">
        <v>625</v>
      </c>
      <c r="P842">
        <v>1</v>
      </c>
      <c r="Q842">
        <v>0</v>
      </c>
      <c r="R842">
        <v>89.77</v>
      </c>
      <c r="S842" t="s">
        <v>207</v>
      </c>
      <c r="T842" t="s">
        <v>779</v>
      </c>
    </row>
    <row r="843" spans="1:20" x14ac:dyDescent="0.3">
      <c r="A843">
        <v>842</v>
      </c>
      <c r="B843">
        <v>11</v>
      </c>
      <c r="C843">
        <v>5</v>
      </c>
      <c r="D843">
        <v>115.7</v>
      </c>
      <c r="E843">
        <v>11.57</v>
      </c>
      <c r="F843">
        <v>0</v>
      </c>
      <c r="G843">
        <v>0.1</v>
      </c>
      <c r="H843" t="s">
        <v>622</v>
      </c>
      <c r="J843" t="s">
        <v>623</v>
      </c>
      <c r="K843" s="1"/>
      <c r="L843" s="1">
        <v>46031.591898148145</v>
      </c>
      <c r="M843" s="2">
        <v>46031</v>
      </c>
      <c r="N843" t="s">
        <v>634</v>
      </c>
      <c r="O843" t="s">
        <v>625</v>
      </c>
      <c r="P843">
        <v>1</v>
      </c>
      <c r="Q843">
        <v>0</v>
      </c>
      <c r="R843">
        <v>115.7</v>
      </c>
      <c r="S843" t="s">
        <v>18</v>
      </c>
      <c r="T843" t="s">
        <v>779</v>
      </c>
    </row>
    <row r="844" spans="1:20" x14ac:dyDescent="0.3">
      <c r="A844">
        <v>843</v>
      </c>
      <c r="B844">
        <v>80</v>
      </c>
      <c r="C844">
        <v>2</v>
      </c>
      <c r="D844">
        <v>38.43</v>
      </c>
      <c r="E844">
        <v>3.84</v>
      </c>
      <c r="F844">
        <v>0</v>
      </c>
      <c r="G844">
        <v>0.1</v>
      </c>
      <c r="H844" t="s">
        <v>622</v>
      </c>
      <c r="J844" t="s">
        <v>623</v>
      </c>
      <c r="K844" s="1"/>
      <c r="L844" s="1">
        <v>46031.674120370371</v>
      </c>
      <c r="M844" s="2">
        <v>46031</v>
      </c>
      <c r="N844" t="s">
        <v>634</v>
      </c>
      <c r="O844" t="s">
        <v>625</v>
      </c>
      <c r="P844">
        <v>1</v>
      </c>
      <c r="Q844">
        <v>0</v>
      </c>
      <c r="R844">
        <v>38.43</v>
      </c>
      <c r="S844" t="s">
        <v>156</v>
      </c>
      <c r="T844" t="s">
        <v>776</v>
      </c>
    </row>
    <row r="845" spans="1:20" x14ac:dyDescent="0.3">
      <c r="A845">
        <v>844</v>
      </c>
      <c r="B845">
        <v>152</v>
      </c>
      <c r="C845">
        <v>2</v>
      </c>
      <c r="D845">
        <v>199.12</v>
      </c>
      <c r="E845">
        <v>19.91</v>
      </c>
      <c r="F845">
        <v>0</v>
      </c>
      <c r="G845">
        <v>0.1</v>
      </c>
      <c r="H845" t="s">
        <v>622</v>
      </c>
      <c r="J845" t="s">
        <v>623</v>
      </c>
      <c r="K845" s="1"/>
      <c r="L845" s="1">
        <v>46031.68917824074</v>
      </c>
      <c r="M845" s="2">
        <v>46031</v>
      </c>
      <c r="N845" t="s">
        <v>634</v>
      </c>
      <c r="O845" t="s">
        <v>625</v>
      </c>
      <c r="P845">
        <v>1</v>
      </c>
      <c r="Q845">
        <v>0</v>
      </c>
      <c r="R845">
        <v>199.12</v>
      </c>
      <c r="S845" t="s">
        <v>299</v>
      </c>
      <c r="T845" t="s">
        <v>776</v>
      </c>
    </row>
    <row r="846" spans="1:20" x14ac:dyDescent="0.3">
      <c r="A846">
        <v>845</v>
      </c>
      <c r="B846">
        <v>252</v>
      </c>
      <c r="C846">
        <v>2</v>
      </c>
      <c r="D846">
        <v>39.42</v>
      </c>
      <c r="E846">
        <v>3.94</v>
      </c>
      <c r="F846">
        <v>0</v>
      </c>
      <c r="G846">
        <v>0.1</v>
      </c>
      <c r="H846" t="s">
        <v>622</v>
      </c>
      <c r="J846" t="s">
        <v>623</v>
      </c>
      <c r="K846" s="1"/>
      <c r="L846" s="1">
        <v>46031.689259259256</v>
      </c>
      <c r="M846" s="2">
        <v>46031</v>
      </c>
      <c r="N846" t="s">
        <v>634</v>
      </c>
      <c r="O846" t="s">
        <v>625</v>
      </c>
      <c r="P846">
        <v>1</v>
      </c>
      <c r="Q846">
        <v>0</v>
      </c>
      <c r="R846">
        <v>39.42</v>
      </c>
      <c r="S846" t="s">
        <v>499</v>
      </c>
      <c r="T846" t="s">
        <v>776</v>
      </c>
    </row>
    <row r="847" spans="1:20" x14ac:dyDescent="0.3">
      <c r="A847">
        <v>846</v>
      </c>
      <c r="B847">
        <v>12</v>
      </c>
      <c r="C847">
        <v>5</v>
      </c>
      <c r="D847">
        <v>39.99</v>
      </c>
      <c r="E847">
        <v>4</v>
      </c>
      <c r="F847">
        <v>0</v>
      </c>
      <c r="G847">
        <v>0.1</v>
      </c>
      <c r="H847" t="s">
        <v>626</v>
      </c>
      <c r="I847">
        <v>2</v>
      </c>
      <c r="J847" t="s">
        <v>632</v>
      </c>
      <c r="K847" s="1">
        <v>46032.674131944441</v>
      </c>
      <c r="L847" s="1">
        <v>46032.340798611112</v>
      </c>
      <c r="M847" s="2">
        <v>46032</v>
      </c>
      <c r="N847" t="s">
        <v>634</v>
      </c>
      <c r="O847" t="s">
        <v>625</v>
      </c>
      <c r="P847">
        <v>1</v>
      </c>
      <c r="Q847">
        <v>1</v>
      </c>
      <c r="R847">
        <v>0</v>
      </c>
      <c r="S847" t="s">
        <v>20</v>
      </c>
      <c r="T847" t="s">
        <v>779</v>
      </c>
    </row>
    <row r="848" spans="1:20" x14ac:dyDescent="0.3">
      <c r="A848">
        <v>847</v>
      </c>
      <c r="B848">
        <v>244</v>
      </c>
      <c r="C848">
        <v>5</v>
      </c>
      <c r="D848">
        <v>76.31</v>
      </c>
      <c r="E848">
        <v>7.63</v>
      </c>
      <c r="F848">
        <v>0</v>
      </c>
      <c r="G848">
        <v>0.1</v>
      </c>
      <c r="H848" t="s">
        <v>622</v>
      </c>
      <c r="J848" t="s">
        <v>623</v>
      </c>
      <c r="K848" s="1"/>
      <c r="L848" s="1">
        <v>46032.345335648148</v>
      </c>
      <c r="M848" s="2">
        <v>46032</v>
      </c>
      <c r="N848" t="s">
        <v>634</v>
      </c>
      <c r="O848" t="s">
        <v>625</v>
      </c>
      <c r="P848">
        <v>1</v>
      </c>
      <c r="Q848">
        <v>0</v>
      </c>
      <c r="R848">
        <v>76.31</v>
      </c>
      <c r="S848" t="s">
        <v>483</v>
      </c>
      <c r="T848" t="s">
        <v>779</v>
      </c>
    </row>
    <row r="849" spans="1:20" x14ac:dyDescent="0.3">
      <c r="A849">
        <v>848</v>
      </c>
      <c r="B849">
        <v>304</v>
      </c>
      <c r="C849">
        <v>5</v>
      </c>
      <c r="D849">
        <v>53.27</v>
      </c>
      <c r="E849">
        <v>5.33</v>
      </c>
      <c r="F849">
        <v>0</v>
      </c>
      <c r="G849">
        <v>0.1</v>
      </c>
      <c r="H849" t="s">
        <v>622</v>
      </c>
      <c r="J849" t="s">
        <v>623</v>
      </c>
      <c r="K849" s="1"/>
      <c r="L849" s="1">
        <v>46032.350243055553</v>
      </c>
      <c r="M849" s="2">
        <v>46032</v>
      </c>
      <c r="N849" t="s">
        <v>634</v>
      </c>
      <c r="O849" t="s">
        <v>625</v>
      </c>
      <c r="P849">
        <v>1</v>
      </c>
      <c r="Q849">
        <v>0</v>
      </c>
      <c r="R849">
        <v>53.27</v>
      </c>
      <c r="S849" t="s">
        <v>603</v>
      </c>
      <c r="T849" t="s">
        <v>779</v>
      </c>
    </row>
    <row r="850" spans="1:20" x14ac:dyDescent="0.3">
      <c r="A850">
        <v>849</v>
      </c>
      <c r="B850">
        <v>8</v>
      </c>
      <c r="C850">
        <v>2</v>
      </c>
      <c r="D850">
        <v>27.77</v>
      </c>
      <c r="E850">
        <v>2.78</v>
      </c>
      <c r="F850">
        <v>0</v>
      </c>
      <c r="G850">
        <v>0.1</v>
      </c>
      <c r="H850" t="s">
        <v>622</v>
      </c>
      <c r="J850" t="s">
        <v>623</v>
      </c>
      <c r="K850" s="1"/>
      <c r="L850" s="1">
        <v>46032.376608796294</v>
      </c>
      <c r="M850" s="2">
        <v>46032</v>
      </c>
      <c r="N850" t="s">
        <v>634</v>
      </c>
      <c r="O850" t="s">
        <v>625</v>
      </c>
      <c r="P850">
        <v>1</v>
      </c>
      <c r="Q850">
        <v>0</v>
      </c>
      <c r="R850">
        <v>27.77</v>
      </c>
      <c r="S850" t="s">
        <v>12</v>
      </c>
      <c r="T850" t="s">
        <v>776</v>
      </c>
    </row>
    <row r="851" spans="1:20" x14ac:dyDescent="0.3">
      <c r="A851">
        <v>850</v>
      </c>
      <c r="B851">
        <v>117</v>
      </c>
      <c r="C851">
        <v>3</v>
      </c>
      <c r="D851">
        <v>60.12</v>
      </c>
      <c r="E851">
        <v>0</v>
      </c>
      <c r="F851">
        <v>1</v>
      </c>
      <c r="G851">
        <v>0.1</v>
      </c>
      <c r="H851" t="s">
        <v>626</v>
      </c>
      <c r="I851">
        <v>2</v>
      </c>
      <c r="J851" t="s">
        <v>631</v>
      </c>
      <c r="K851" s="1">
        <v>46034.31753472222</v>
      </c>
      <c r="L851" s="1">
        <v>46032.44253472222</v>
      </c>
      <c r="M851" s="2">
        <v>46032</v>
      </c>
      <c r="N851" t="s">
        <v>634</v>
      </c>
      <c r="O851" t="s">
        <v>629</v>
      </c>
      <c r="P851">
        <v>1</v>
      </c>
      <c r="Q851">
        <v>1</v>
      </c>
      <c r="R851">
        <v>0</v>
      </c>
      <c r="S851" t="s">
        <v>229</v>
      </c>
      <c r="T851" t="s">
        <v>777</v>
      </c>
    </row>
    <row r="852" spans="1:20" x14ac:dyDescent="0.3">
      <c r="A852">
        <v>851</v>
      </c>
      <c r="B852">
        <v>29</v>
      </c>
      <c r="C852">
        <v>3</v>
      </c>
      <c r="D852">
        <v>22.7</v>
      </c>
      <c r="E852">
        <v>2.27</v>
      </c>
      <c r="F852">
        <v>0</v>
      </c>
      <c r="G852">
        <v>0.1</v>
      </c>
      <c r="H852" t="s">
        <v>622</v>
      </c>
      <c r="J852" t="s">
        <v>623</v>
      </c>
      <c r="K852" s="1"/>
      <c r="L852" s="1">
        <v>46032.499513888892</v>
      </c>
      <c r="M852" s="2">
        <v>46032</v>
      </c>
      <c r="N852" t="s">
        <v>634</v>
      </c>
      <c r="O852" t="s">
        <v>625</v>
      </c>
      <c r="P852">
        <v>1</v>
      </c>
      <c r="Q852">
        <v>0</v>
      </c>
      <c r="R852">
        <v>22.7</v>
      </c>
      <c r="S852" t="s">
        <v>54</v>
      </c>
      <c r="T852" t="s">
        <v>777</v>
      </c>
    </row>
    <row r="853" spans="1:20" x14ac:dyDescent="0.3">
      <c r="A853">
        <v>852</v>
      </c>
      <c r="B853">
        <v>39</v>
      </c>
      <c r="C853">
        <v>5</v>
      </c>
      <c r="D853">
        <v>134.28</v>
      </c>
      <c r="E853">
        <v>0</v>
      </c>
      <c r="F853">
        <v>1</v>
      </c>
      <c r="G853">
        <v>0.1</v>
      </c>
      <c r="H853" t="s">
        <v>622</v>
      </c>
      <c r="J853" t="s">
        <v>623</v>
      </c>
      <c r="K853" s="1"/>
      <c r="L853" s="1">
        <v>46032.516863425924</v>
      </c>
      <c r="M853" s="2">
        <v>46032</v>
      </c>
      <c r="N853" t="s">
        <v>634</v>
      </c>
      <c r="O853" t="s">
        <v>629</v>
      </c>
      <c r="P853">
        <v>1</v>
      </c>
      <c r="Q853">
        <v>0</v>
      </c>
      <c r="R853">
        <v>134.28</v>
      </c>
      <c r="S853" t="s">
        <v>74</v>
      </c>
      <c r="T853" t="s">
        <v>779</v>
      </c>
    </row>
    <row r="854" spans="1:20" x14ac:dyDescent="0.3">
      <c r="A854">
        <v>853</v>
      </c>
      <c r="B854">
        <v>18</v>
      </c>
      <c r="C854">
        <v>4</v>
      </c>
      <c r="D854">
        <v>162.28</v>
      </c>
      <c r="E854">
        <v>16.23</v>
      </c>
      <c r="F854">
        <v>0</v>
      </c>
      <c r="G854">
        <v>0.1</v>
      </c>
      <c r="H854" t="s">
        <v>622</v>
      </c>
      <c r="J854" t="s">
        <v>623</v>
      </c>
      <c r="K854" s="1"/>
      <c r="L854" s="1">
        <v>46032.56046296296</v>
      </c>
      <c r="M854" s="2">
        <v>46032</v>
      </c>
      <c r="N854" t="s">
        <v>634</v>
      </c>
      <c r="O854" t="s">
        <v>625</v>
      </c>
      <c r="P854">
        <v>1</v>
      </c>
      <c r="Q854">
        <v>0</v>
      </c>
      <c r="R854">
        <v>162.28</v>
      </c>
      <c r="S854" t="s">
        <v>32</v>
      </c>
      <c r="T854" t="s">
        <v>778</v>
      </c>
    </row>
    <row r="855" spans="1:20" x14ac:dyDescent="0.3">
      <c r="A855">
        <v>854</v>
      </c>
      <c r="B855">
        <v>244</v>
      </c>
      <c r="C855">
        <v>3</v>
      </c>
      <c r="D855">
        <v>141.41</v>
      </c>
      <c r="E855">
        <v>14.14</v>
      </c>
      <c r="F855">
        <v>0</v>
      </c>
      <c r="G855">
        <v>0.1</v>
      </c>
      <c r="H855" t="s">
        <v>622</v>
      </c>
      <c r="J855" t="s">
        <v>623</v>
      </c>
      <c r="K855" s="1"/>
      <c r="L855" s="1">
        <v>46032.622812499998</v>
      </c>
      <c r="M855" s="2">
        <v>46032</v>
      </c>
      <c r="N855" t="s">
        <v>634</v>
      </c>
      <c r="O855" t="s">
        <v>625</v>
      </c>
      <c r="P855">
        <v>1</v>
      </c>
      <c r="Q855">
        <v>0</v>
      </c>
      <c r="R855">
        <v>141.41</v>
      </c>
      <c r="S855" t="s">
        <v>483</v>
      </c>
      <c r="T855" t="s">
        <v>777</v>
      </c>
    </row>
    <row r="856" spans="1:20" x14ac:dyDescent="0.3">
      <c r="A856">
        <v>855</v>
      </c>
      <c r="B856">
        <v>247</v>
      </c>
      <c r="C856">
        <v>4</v>
      </c>
      <c r="D856">
        <v>41.29</v>
      </c>
      <c r="E856">
        <v>4.13</v>
      </c>
      <c r="F856">
        <v>0</v>
      </c>
      <c r="G856">
        <v>0.1</v>
      </c>
      <c r="H856" t="s">
        <v>626</v>
      </c>
      <c r="I856">
        <v>4</v>
      </c>
      <c r="J856" t="s">
        <v>628</v>
      </c>
      <c r="K856" s="1">
        <v>46033.10496527778</v>
      </c>
      <c r="L856" s="1">
        <v>46032.646631944444</v>
      </c>
      <c r="M856" s="2">
        <v>46032</v>
      </c>
      <c r="N856" t="s">
        <v>634</v>
      </c>
      <c r="O856" t="s">
        <v>625</v>
      </c>
      <c r="P856">
        <v>1</v>
      </c>
      <c r="Q856">
        <v>1</v>
      </c>
      <c r="R856">
        <v>0</v>
      </c>
      <c r="S856" t="s">
        <v>489</v>
      </c>
      <c r="T856" t="s">
        <v>778</v>
      </c>
    </row>
    <row r="857" spans="1:20" x14ac:dyDescent="0.3">
      <c r="A857">
        <v>856</v>
      </c>
      <c r="B857">
        <v>34</v>
      </c>
      <c r="C857">
        <v>3</v>
      </c>
      <c r="D857">
        <v>221.42</v>
      </c>
      <c r="E857">
        <v>22.14</v>
      </c>
      <c r="F857">
        <v>0</v>
      </c>
      <c r="G857">
        <v>0.1</v>
      </c>
      <c r="H857" t="s">
        <v>622</v>
      </c>
      <c r="J857" t="s">
        <v>623</v>
      </c>
      <c r="K857" s="1"/>
      <c r="L857" s="1">
        <v>46032.656192129631</v>
      </c>
      <c r="M857" s="2">
        <v>46032</v>
      </c>
      <c r="N857" t="s">
        <v>634</v>
      </c>
      <c r="O857" t="s">
        <v>625</v>
      </c>
      <c r="P857">
        <v>1</v>
      </c>
      <c r="Q857">
        <v>0</v>
      </c>
      <c r="R857">
        <v>221.42</v>
      </c>
      <c r="S857" t="s">
        <v>64</v>
      </c>
      <c r="T857" t="s">
        <v>777</v>
      </c>
    </row>
    <row r="858" spans="1:20" x14ac:dyDescent="0.3">
      <c r="A858">
        <v>857</v>
      </c>
      <c r="B858">
        <v>148</v>
      </c>
      <c r="C858">
        <v>3</v>
      </c>
      <c r="D858">
        <v>38.229999999999997</v>
      </c>
      <c r="E858">
        <v>3.82</v>
      </c>
      <c r="F858">
        <v>0</v>
      </c>
      <c r="G858">
        <v>0.1</v>
      </c>
      <c r="H858" t="s">
        <v>622</v>
      </c>
      <c r="J858" t="s">
        <v>623</v>
      </c>
      <c r="K858" s="1"/>
      <c r="L858" s="1">
        <v>46032.710173611114</v>
      </c>
      <c r="M858" s="2">
        <v>46032</v>
      </c>
      <c r="N858" t="s">
        <v>634</v>
      </c>
      <c r="O858" t="s">
        <v>625</v>
      </c>
      <c r="P858">
        <v>1</v>
      </c>
      <c r="Q858">
        <v>0</v>
      </c>
      <c r="R858">
        <v>38.229999999999997</v>
      </c>
      <c r="S858" t="s">
        <v>291</v>
      </c>
      <c r="T858" t="s">
        <v>777</v>
      </c>
    </row>
    <row r="859" spans="1:20" x14ac:dyDescent="0.3">
      <c r="A859">
        <v>858</v>
      </c>
      <c r="B859">
        <v>152</v>
      </c>
      <c r="C859">
        <v>5</v>
      </c>
      <c r="D859">
        <v>220.28</v>
      </c>
      <c r="E859">
        <v>22.03</v>
      </c>
      <c r="F859">
        <v>0</v>
      </c>
      <c r="G859">
        <v>0.1</v>
      </c>
      <c r="H859" t="s">
        <v>622</v>
      </c>
      <c r="J859" t="s">
        <v>623</v>
      </c>
      <c r="K859" s="1"/>
      <c r="L859" s="1">
        <v>46032.714050925926</v>
      </c>
      <c r="M859" s="2">
        <v>46032</v>
      </c>
      <c r="N859" t="s">
        <v>634</v>
      </c>
      <c r="O859" t="s">
        <v>625</v>
      </c>
      <c r="P859">
        <v>1</v>
      </c>
      <c r="Q859">
        <v>0</v>
      </c>
      <c r="R859">
        <v>220.28</v>
      </c>
      <c r="S859" t="s">
        <v>299</v>
      </c>
      <c r="T859" t="s">
        <v>779</v>
      </c>
    </row>
    <row r="860" spans="1:20" x14ac:dyDescent="0.3">
      <c r="A860">
        <v>859</v>
      </c>
      <c r="B860">
        <v>87</v>
      </c>
      <c r="C860">
        <v>2</v>
      </c>
      <c r="D860">
        <v>78.5</v>
      </c>
      <c r="E860">
        <v>7.85</v>
      </c>
      <c r="F860">
        <v>0</v>
      </c>
      <c r="G860">
        <v>0.1</v>
      </c>
      <c r="H860" t="s">
        <v>622</v>
      </c>
      <c r="J860" t="s">
        <v>623</v>
      </c>
      <c r="K860" s="1"/>
      <c r="L860" s="1">
        <v>46032.767569444448</v>
      </c>
      <c r="M860" s="2">
        <v>46032</v>
      </c>
      <c r="N860" t="s">
        <v>634</v>
      </c>
      <c r="O860" t="s">
        <v>625</v>
      </c>
      <c r="P860">
        <v>1</v>
      </c>
      <c r="Q860">
        <v>0</v>
      </c>
      <c r="R860">
        <v>78.5</v>
      </c>
      <c r="S860" t="s">
        <v>169</v>
      </c>
      <c r="T860" t="s">
        <v>776</v>
      </c>
    </row>
    <row r="861" spans="1:20" x14ac:dyDescent="0.3">
      <c r="A861">
        <v>860</v>
      </c>
      <c r="B861">
        <v>96</v>
      </c>
      <c r="C861">
        <v>3</v>
      </c>
      <c r="D861">
        <v>121.98</v>
      </c>
      <c r="E861">
        <v>12.2</v>
      </c>
      <c r="F861">
        <v>0</v>
      </c>
      <c r="G861">
        <v>0.1</v>
      </c>
      <c r="H861" t="s">
        <v>622</v>
      </c>
      <c r="J861" t="s">
        <v>623</v>
      </c>
      <c r="K861" s="1"/>
      <c r="L861" s="1">
        <v>46033.353807870371</v>
      </c>
      <c r="M861" s="2">
        <v>46033</v>
      </c>
      <c r="N861" t="s">
        <v>634</v>
      </c>
      <c r="O861" t="s">
        <v>625</v>
      </c>
      <c r="P861">
        <v>1</v>
      </c>
      <c r="Q861">
        <v>0</v>
      </c>
      <c r="R861">
        <v>121.98</v>
      </c>
      <c r="S861" t="s">
        <v>187</v>
      </c>
      <c r="T861" t="s">
        <v>777</v>
      </c>
    </row>
    <row r="862" spans="1:20" x14ac:dyDescent="0.3">
      <c r="A862">
        <v>861</v>
      </c>
      <c r="B862">
        <v>39</v>
      </c>
      <c r="C862">
        <v>2</v>
      </c>
      <c r="D862">
        <v>137.87</v>
      </c>
      <c r="E862">
        <v>13.79</v>
      </c>
      <c r="F862">
        <v>0</v>
      </c>
      <c r="G862">
        <v>0.1</v>
      </c>
      <c r="H862" t="s">
        <v>622</v>
      </c>
      <c r="J862" t="s">
        <v>623</v>
      </c>
      <c r="K862" s="1"/>
      <c r="L862" s="1">
        <v>46033.420185185183</v>
      </c>
      <c r="M862" s="2">
        <v>46033</v>
      </c>
      <c r="N862" t="s">
        <v>634</v>
      </c>
      <c r="O862" t="s">
        <v>625</v>
      </c>
      <c r="P862">
        <v>1</v>
      </c>
      <c r="Q862">
        <v>0</v>
      </c>
      <c r="R862">
        <v>137.87</v>
      </c>
      <c r="S862" t="s">
        <v>74</v>
      </c>
      <c r="T862" t="s">
        <v>776</v>
      </c>
    </row>
    <row r="863" spans="1:20" x14ac:dyDescent="0.3">
      <c r="A863">
        <v>862</v>
      </c>
      <c r="B863">
        <v>64</v>
      </c>
      <c r="C863">
        <v>4</v>
      </c>
      <c r="D863">
        <v>39.68</v>
      </c>
      <c r="E863">
        <v>3.97</v>
      </c>
      <c r="F863">
        <v>0</v>
      </c>
      <c r="G863">
        <v>0.1</v>
      </c>
      <c r="H863" t="s">
        <v>622</v>
      </c>
      <c r="J863" t="s">
        <v>623</v>
      </c>
      <c r="K863" s="1"/>
      <c r="L863" s="1">
        <v>46033.434895833336</v>
      </c>
      <c r="M863" s="2">
        <v>46033</v>
      </c>
      <c r="N863" t="s">
        <v>634</v>
      </c>
      <c r="O863" t="s">
        <v>625</v>
      </c>
      <c r="P863">
        <v>1</v>
      </c>
      <c r="Q863">
        <v>0</v>
      </c>
      <c r="R863">
        <v>39.68</v>
      </c>
      <c r="S863" t="s">
        <v>124</v>
      </c>
      <c r="T863" t="s">
        <v>778</v>
      </c>
    </row>
    <row r="864" spans="1:20" x14ac:dyDescent="0.3">
      <c r="A864">
        <v>863</v>
      </c>
      <c r="B864">
        <v>24</v>
      </c>
      <c r="C864">
        <v>2</v>
      </c>
      <c r="D864">
        <v>300</v>
      </c>
      <c r="E864">
        <v>30</v>
      </c>
      <c r="F864">
        <v>0</v>
      </c>
      <c r="G864">
        <v>0.1</v>
      </c>
      <c r="H864" t="s">
        <v>622</v>
      </c>
      <c r="J864" t="s">
        <v>623</v>
      </c>
      <c r="K864" s="1"/>
      <c r="L864" s="1">
        <v>46033.687662037039</v>
      </c>
      <c r="M864" s="2">
        <v>46033</v>
      </c>
      <c r="N864" t="s">
        <v>634</v>
      </c>
      <c r="O864" t="s">
        <v>625</v>
      </c>
      <c r="P864">
        <v>1</v>
      </c>
      <c r="Q864">
        <v>0</v>
      </c>
      <c r="R864">
        <v>300</v>
      </c>
      <c r="S864" t="s">
        <v>44</v>
      </c>
      <c r="T864" t="s">
        <v>776</v>
      </c>
    </row>
    <row r="865" spans="1:20" x14ac:dyDescent="0.3">
      <c r="A865">
        <v>864</v>
      </c>
      <c r="B865">
        <v>40</v>
      </c>
      <c r="C865">
        <v>4</v>
      </c>
      <c r="D865">
        <v>90.27</v>
      </c>
      <c r="E865">
        <v>9.0299999999999994</v>
      </c>
      <c r="F865">
        <v>0</v>
      </c>
      <c r="G865">
        <v>0.1</v>
      </c>
      <c r="H865" t="s">
        <v>622</v>
      </c>
      <c r="J865" t="s">
        <v>623</v>
      </c>
      <c r="K865" s="1"/>
      <c r="L865" s="1">
        <v>46033.706643518519</v>
      </c>
      <c r="M865" s="2">
        <v>46033</v>
      </c>
      <c r="N865" t="s">
        <v>634</v>
      </c>
      <c r="O865" t="s">
        <v>625</v>
      </c>
      <c r="P865">
        <v>1</v>
      </c>
      <c r="Q865">
        <v>0</v>
      </c>
      <c r="R865">
        <v>90.27</v>
      </c>
      <c r="S865" t="s">
        <v>76</v>
      </c>
      <c r="T865" t="s">
        <v>778</v>
      </c>
    </row>
    <row r="866" spans="1:20" x14ac:dyDescent="0.3">
      <c r="A866">
        <v>865</v>
      </c>
      <c r="B866">
        <v>287</v>
      </c>
      <c r="C866">
        <v>4</v>
      </c>
      <c r="D866">
        <v>23.05</v>
      </c>
      <c r="E866">
        <v>2.31</v>
      </c>
      <c r="F866">
        <v>0</v>
      </c>
      <c r="G866">
        <v>0.1</v>
      </c>
      <c r="H866" t="s">
        <v>622</v>
      </c>
      <c r="J866" t="s">
        <v>623</v>
      </c>
      <c r="K866" s="1"/>
      <c r="L866" s="1">
        <v>46034.317824074074</v>
      </c>
      <c r="M866" s="2">
        <v>46034</v>
      </c>
      <c r="N866" t="s">
        <v>634</v>
      </c>
      <c r="O866" t="s">
        <v>625</v>
      </c>
      <c r="P866">
        <v>1</v>
      </c>
      <c r="Q866">
        <v>0</v>
      </c>
      <c r="R866">
        <v>23.05</v>
      </c>
      <c r="S866" t="s">
        <v>569</v>
      </c>
      <c r="T866" t="s">
        <v>778</v>
      </c>
    </row>
    <row r="867" spans="1:20" x14ac:dyDescent="0.3">
      <c r="A867">
        <v>866</v>
      </c>
      <c r="B867">
        <v>300</v>
      </c>
      <c r="C867">
        <v>5</v>
      </c>
      <c r="D867">
        <v>113.09</v>
      </c>
      <c r="E867">
        <v>11.31</v>
      </c>
      <c r="F867">
        <v>0</v>
      </c>
      <c r="G867">
        <v>0.1</v>
      </c>
      <c r="H867" t="s">
        <v>622</v>
      </c>
      <c r="J867" t="s">
        <v>623</v>
      </c>
      <c r="K867" s="1"/>
      <c r="L867" s="1">
        <v>46034.353217592594</v>
      </c>
      <c r="M867" s="2">
        <v>46034</v>
      </c>
      <c r="N867" t="s">
        <v>634</v>
      </c>
      <c r="O867" t="s">
        <v>625</v>
      </c>
      <c r="P867">
        <v>1</v>
      </c>
      <c r="Q867">
        <v>0</v>
      </c>
      <c r="R867">
        <v>113.09</v>
      </c>
      <c r="S867" t="s">
        <v>595</v>
      </c>
      <c r="T867" t="s">
        <v>779</v>
      </c>
    </row>
    <row r="868" spans="1:20" x14ac:dyDescent="0.3">
      <c r="A868">
        <v>867</v>
      </c>
      <c r="B868">
        <v>51</v>
      </c>
      <c r="C868">
        <v>4</v>
      </c>
      <c r="D868">
        <v>126</v>
      </c>
      <c r="E868">
        <v>12.6</v>
      </c>
      <c r="F868">
        <v>0</v>
      </c>
      <c r="G868">
        <v>0.1</v>
      </c>
      <c r="H868" t="s">
        <v>622</v>
      </c>
      <c r="J868" t="s">
        <v>623</v>
      </c>
      <c r="K868" s="1"/>
      <c r="L868" s="1">
        <v>46034.360347222224</v>
      </c>
      <c r="M868" s="2">
        <v>46034</v>
      </c>
      <c r="N868" t="s">
        <v>634</v>
      </c>
      <c r="O868" t="s">
        <v>625</v>
      </c>
      <c r="P868">
        <v>1</v>
      </c>
      <c r="Q868">
        <v>0</v>
      </c>
      <c r="R868">
        <v>126</v>
      </c>
      <c r="S868" t="s">
        <v>98</v>
      </c>
      <c r="T868" t="s">
        <v>778</v>
      </c>
    </row>
    <row r="869" spans="1:20" x14ac:dyDescent="0.3">
      <c r="A869">
        <v>868</v>
      </c>
      <c r="B869">
        <v>137</v>
      </c>
      <c r="C869">
        <v>2</v>
      </c>
      <c r="D869">
        <v>41.13</v>
      </c>
      <c r="E869">
        <v>4.1100000000000003</v>
      </c>
      <c r="F869">
        <v>0</v>
      </c>
      <c r="G869">
        <v>0.1</v>
      </c>
      <c r="H869" t="s">
        <v>622</v>
      </c>
      <c r="J869" t="s">
        <v>623</v>
      </c>
      <c r="K869" s="1"/>
      <c r="L869" s="1">
        <v>46034.465902777774</v>
      </c>
      <c r="M869" s="2">
        <v>46034</v>
      </c>
      <c r="N869" t="s">
        <v>634</v>
      </c>
      <c r="O869" t="s">
        <v>625</v>
      </c>
      <c r="P869">
        <v>1</v>
      </c>
      <c r="Q869">
        <v>0</v>
      </c>
      <c r="R869">
        <v>41.13</v>
      </c>
      <c r="S869" t="s">
        <v>269</v>
      </c>
      <c r="T869" t="s">
        <v>776</v>
      </c>
    </row>
    <row r="870" spans="1:20" x14ac:dyDescent="0.3">
      <c r="A870">
        <v>869</v>
      </c>
      <c r="B870">
        <v>138</v>
      </c>
      <c r="C870">
        <v>3</v>
      </c>
      <c r="D870">
        <v>29.07</v>
      </c>
      <c r="E870">
        <v>2.91</v>
      </c>
      <c r="F870">
        <v>0</v>
      </c>
      <c r="G870">
        <v>0.1</v>
      </c>
      <c r="H870" t="s">
        <v>622</v>
      </c>
      <c r="J870" t="s">
        <v>623</v>
      </c>
      <c r="K870" s="1"/>
      <c r="L870" s="1">
        <v>46034.544594907406</v>
      </c>
      <c r="M870" s="2">
        <v>46034</v>
      </c>
      <c r="N870" t="s">
        <v>634</v>
      </c>
      <c r="O870" t="s">
        <v>625</v>
      </c>
      <c r="P870">
        <v>1</v>
      </c>
      <c r="Q870">
        <v>0</v>
      </c>
      <c r="R870">
        <v>29.07</v>
      </c>
      <c r="S870" t="s">
        <v>271</v>
      </c>
      <c r="T870" t="s">
        <v>777</v>
      </c>
    </row>
    <row r="871" spans="1:20" x14ac:dyDescent="0.3">
      <c r="A871">
        <v>870</v>
      </c>
      <c r="B871">
        <v>31</v>
      </c>
      <c r="C871">
        <v>2</v>
      </c>
      <c r="D871">
        <v>25.99</v>
      </c>
      <c r="E871">
        <v>2.6</v>
      </c>
      <c r="F871">
        <v>0</v>
      </c>
      <c r="G871">
        <v>0.1</v>
      </c>
      <c r="H871" t="s">
        <v>622</v>
      </c>
      <c r="J871" t="s">
        <v>623</v>
      </c>
      <c r="K871" s="1"/>
      <c r="L871" s="1">
        <v>46034.588055555556</v>
      </c>
      <c r="M871" s="2">
        <v>46034</v>
      </c>
      <c r="N871" t="s">
        <v>634</v>
      </c>
      <c r="O871" t="s">
        <v>625</v>
      </c>
      <c r="P871">
        <v>1</v>
      </c>
      <c r="Q871">
        <v>0</v>
      </c>
      <c r="R871">
        <v>25.99</v>
      </c>
      <c r="S871" t="s">
        <v>58</v>
      </c>
      <c r="T871" t="s">
        <v>776</v>
      </c>
    </row>
    <row r="872" spans="1:20" x14ac:dyDescent="0.3">
      <c r="A872">
        <v>871</v>
      </c>
      <c r="B872">
        <v>240</v>
      </c>
      <c r="C872">
        <v>2</v>
      </c>
      <c r="D872">
        <v>160.68</v>
      </c>
      <c r="E872">
        <v>16.07</v>
      </c>
      <c r="F872">
        <v>0</v>
      </c>
      <c r="G872">
        <v>0.1</v>
      </c>
      <c r="H872" t="s">
        <v>622</v>
      </c>
      <c r="J872" t="s">
        <v>623</v>
      </c>
      <c r="K872" s="1"/>
      <c r="L872" s="1">
        <v>46034.589270833334</v>
      </c>
      <c r="M872" s="2">
        <v>46034</v>
      </c>
      <c r="N872" t="s">
        <v>634</v>
      </c>
      <c r="O872" t="s">
        <v>625</v>
      </c>
      <c r="P872">
        <v>1</v>
      </c>
      <c r="Q872">
        <v>0</v>
      </c>
      <c r="R872">
        <v>160.68</v>
      </c>
      <c r="S872" t="s">
        <v>475</v>
      </c>
      <c r="T872" t="s">
        <v>776</v>
      </c>
    </row>
    <row r="873" spans="1:20" x14ac:dyDescent="0.3">
      <c r="A873">
        <v>872</v>
      </c>
      <c r="B873">
        <v>293</v>
      </c>
      <c r="C873">
        <v>5</v>
      </c>
      <c r="D873">
        <v>30.18</v>
      </c>
      <c r="E873">
        <v>3.02</v>
      </c>
      <c r="F873">
        <v>0</v>
      </c>
      <c r="G873">
        <v>0.1</v>
      </c>
      <c r="H873" t="s">
        <v>622</v>
      </c>
      <c r="J873" t="s">
        <v>623</v>
      </c>
      <c r="K873" s="1"/>
      <c r="L873" s="1">
        <v>46034.597025462965</v>
      </c>
      <c r="M873" s="2">
        <v>46034</v>
      </c>
      <c r="N873" t="s">
        <v>634</v>
      </c>
      <c r="O873" t="s">
        <v>625</v>
      </c>
      <c r="P873">
        <v>1</v>
      </c>
      <c r="Q873">
        <v>0</v>
      </c>
      <c r="R873">
        <v>30.18</v>
      </c>
      <c r="S873" t="s">
        <v>581</v>
      </c>
      <c r="T873" t="s">
        <v>779</v>
      </c>
    </row>
    <row r="874" spans="1:20" x14ac:dyDescent="0.3">
      <c r="A874">
        <v>873</v>
      </c>
      <c r="B874">
        <v>155</v>
      </c>
      <c r="C874">
        <v>2</v>
      </c>
      <c r="D874">
        <v>69.39</v>
      </c>
      <c r="E874">
        <v>6.94</v>
      </c>
      <c r="F874">
        <v>0</v>
      </c>
      <c r="G874">
        <v>0.1</v>
      </c>
      <c r="H874" t="s">
        <v>622</v>
      </c>
      <c r="J874" t="s">
        <v>623</v>
      </c>
      <c r="K874" s="1"/>
      <c r="L874" s="1">
        <v>46034.655173611114</v>
      </c>
      <c r="M874" s="2">
        <v>46034</v>
      </c>
      <c r="N874" t="s">
        <v>634</v>
      </c>
      <c r="O874" t="s">
        <v>625</v>
      </c>
      <c r="P874">
        <v>1</v>
      </c>
      <c r="Q874">
        <v>0</v>
      </c>
      <c r="R874">
        <v>69.39</v>
      </c>
      <c r="S874" t="s">
        <v>305</v>
      </c>
      <c r="T874" t="s">
        <v>776</v>
      </c>
    </row>
    <row r="875" spans="1:20" x14ac:dyDescent="0.3">
      <c r="A875">
        <v>874</v>
      </c>
      <c r="B875">
        <v>297</v>
      </c>
      <c r="C875">
        <v>5</v>
      </c>
      <c r="D875">
        <v>56.32</v>
      </c>
      <c r="E875">
        <v>5.63</v>
      </c>
      <c r="F875">
        <v>0</v>
      </c>
      <c r="G875">
        <v>0.1</v>
      </c>
      <c r="H875" t="s">
        <v>622</v>
      </c>
      <c r="J875" t="s">
        <v>623</v>
      </c>
      <c r="K875" s="1"/>
      <c r="L875" s="1">
        <v>46034.662916666668</v>
      </c>
      <c r="M875" s="2">
        <v>46034</v>
      </c>
      <c r="N875" t="s">
        <v>634</v>
      </c>
      <c r="O875" t="s">
        <v>625</v>
      </c>
      <c r="P875">
        <v>1</v>
      </c>
      <c r="Q875">
        <v>0</v>
      </c>
      <c r="R875">
        <v>56.32</v>
      </c>
      <c r="S875" t="s">
        <v>589</v>
      </c>
      <c r="T875" t="s">
        <v>779</v>
      </c>
    </row>
    <row r="876" spans="1:20" x14ac:dyDescent="0.3">
      <c r="A876">
        <v>875</v>
      </c>
      <c r="B876">
        <v>265</v>
      </c>
      <c r="C876">
        <v>4</v>
      </c>
      <c r="D876">
        <v>124.32</v>
      </c>
      <c r="E876">
        <v>12.43</v>
      </c>
      <c r="F876">
        <v>0</v>
      </c>
      <c r="G876">
        <v>0.1</v>
      </c>
      <c r="H876" t="s">
        <v>622</v>
      </c>
      <c r="J876" t="s">
        <v>623</v>
      </c>
      <c r="K876" s="1"/>
      <c r="L876" s="1">
        <v>46034.700486111113</v>
      </c>
      <c r="M876" s="2">
        <v>46034</v>
      </c>
      <c r="N876" t="s">
        <v>634</v>
      </c>
      <c r="O876" t="s">
        <v>625</v>
      </c>
      <c r="P876">
        <v>1</v>
      </c>
      <c r="Q876">
        <v>0</v>
      </c>
      <c r="R876">
        <v>124.32</v>
      </c>
      <c r="S876" t="s">
        <v>525</v>
      </c>
      <c r="T876" t="s">
        <v>778</v>
      </c>
    </row>
    <row r="877" spans="1:20" x14ac:dyDescent="0.3">
      <c r="A877">
        <v>876</v>
      </c>
      <c r="B877">
        <v>39</v>
      </c>
      <c r="C877">
        <v>4</v>
      </c>
      <c r="D877">
        <v>175.53</v>
      </c>
      <c r="E877">
        <v>17.55</v>
      </c>
      <c r="F877">
        <v>0</v>
      </c>
      <c r="G877">
        <v>0.1</v>
      </c>
      <c r="H877" t="s">
        <v>622</v>
      </c>
      <c r="J877" t="s">
        <v>623</v>
      </c>
      <c r="K877" s="1"/>
      <c r="L877" s="1">
        <v>46034.726574074077</v>
      </c>
      <c r="M877" s="2">
        <v>46034</v>
      </c>
      <c r="N877" t="s">
        <v>634</v>
      </c>
      <c r="O877" t="s">
        <v>625</v>
      </c>
      <c r="P877">
        <v>1</v>
      </c>
      <c r="Q877">
        <v>0</v>
      </c>
      <c r="R877">
        <v>175.53</v>
      </c>
      <c r="S877" t="s">
        <v>74</v>
      </c>
      <c r="T877" t="s">
        <v>778</v>
      </c>
    </row>
    <row r="878" spans="1:20" x14ac:dyDescent="0.3">
      <c r="A878">
        <v>877</v>
      </c>
      <c r="B878">
        <v>192</v>
      </c>
      <c r="C878">
        <v>5</v>
      </c>
      <c r="D878">
        <v>63.37</v>
      </c>
      <c r="E878">
        <v>6.34</v>
      </c>
      <c r="F878">
        <v>0</v>
      </c>
      <c r="G878">
        <v>0.1</v>
      </c>
      <c r="H878" t="s">
        <v>622</v>
      </c>
      <c r="J878" t="s">
        <v>623</v>
      </c>
      <c r="K878" s="1"/>
      <c r="L878" s="1">
        <v>46034.769178240742</v>
      </c>
      <c r="M878" s="2">
        <v>46034</v>
      </c>
      <c r="N878" t="s">
        <v>634</v>
      </c>
      <c r="O878" t="s">
        <v>625</v>
      </c>
      <c r="P878">
        <v>1</v>
      </c>
      <c r="Q878">
        <v>0</v>
      </c>
      <c r="R878">
        <v>63.37</v>
      </c>
      <c r="S878" t="s">
        <v>379</v>
      </c>
      <c r="T878" t="s">
        <v>779</v>
      </c>
    </row>
    <row r="879" spans="1:20" x14ac:dyDescent="0.3">
      <c r="A879">
        <v>878</v>
      </c>
      <c r="B879">
        <v>136</v>
      </c>
      <c r="C879">
        <v>2</v>
      </c>
      <c r="D879">
        <v>88.82</v>
      </c>
      <c r="E879">
        <v>8.8800000000000008</v>
      </c>
      <c r="F879">
        <v>0</v>
      </c>
      <c r="G879">
        <v>0.1</v>
      </c>
      <c r="H879" t="s">
        <v>626</v>
      </c>
      <c r="I879">
        <v>5</v>
      </c>
      <c r="J879" t="s">
        <v>628</v>
      </c>
      <c r="K879" s="1">
        <v>46035.818425925929</v>
      </c>
      <c r="L879" s="1">
        <v>46035.318425925929</v>
      </c>
      <c r="M879" s="2">
        <v>46035</v>
      </c>
      <c r="N879" t="s">
        <v>634</v>
      </c>
      <c r="O879" t="s">
        <v>625</v>
      </c>
      <c r="P879">
        <v>1</v>
      </c>
      <c r="Q879">
        <v>1</v>
      </c>
      <c r="R879">
        <v>0</v>
      </c>
      <c r="S879" t="s">
        <v>267</v>
      </c>
      <c r="T879" t="s">
        <v>776</v>
      </c>
    </row>
    <row r="880" spans="1:20" x14ac:dyDescent="0.3">
      <c r="A880">
        <v>879</v>
      </c>
      <c r="B880">
        <v>234</v>
      </c>
      <c r="C880">
        <v>2</v>
      </c>
      <c r="D880">
        <v>271.67</v>
      </c>
      <c r="E880">
        <v>27.17</v>
      </c>
      <c r="F880">
        <v>0</v>
      </c>
      <c r="G880">
        <v>0.1</v>
      </c>
      <c r="H880" t="s">
        <v>622</v>
      </c>
      <c r="J880" t="s">
        <v>623</v>
      </c>
      <c r="K880" s="1"/>
      <c r="L880" s="1">
        <v>46035.349641203706</v>
      </c>
      <c r="M880" s="2">
        <v>46035</v>
      </c>
      <c r="N880" t="s">
        <v>634</v>
      </c>
      <c r="O880" t="s">
        <v>625</v>
      </c>
      <c r="P880">
        <v>1</v>
      </c>
      <c r="Q880">
        <v>0</v>
      </c>
      <c r="R880">
        <v>271.67</v>
      </c>
      <c r="S880" t="s">
        <v>463</v>
      </c>
      <c r="T880" t="s">
        <v>776</v>
      </c>
    </row>
    <row r="881" spans="1:20" x14ac:dyDescent="0.3">
      <c r="A881">
        <v>880</v>
      </c>
      <c r="B881">
        <v>241</v>
      </c>
      <c r="C881">
        <v>3</v>
      </c>
      <c r="D881">
        <v>27.59</v>
      </c>
      <c r="E881">
        <v>2.76</v>
      </c>
      <c r="F881">
        <v>0</v>
      </c>
      <c r="G881">
        <v>0.1</v>
      </c>
      <c r="H881" t="s">
        <v>622</v>
      </c>
      <c r="J881" t="s">
        <v>623</v>
      </c>
      <c r="K881" s="1"/>
      <c r="L881" s="1">
        <v>46035.35560185185</v>
      </c>
      <c r="M881" s="2">
        <v>46035</v>
      </c>
      <c r="N881" t="s">
        <v>634</v>
      </c>
      <c r="O881" t="s">
        <v>625</v>
      </c>
      <c r="P881">
        <v>1</v>
      </c>
      <c r="Q881">
        <v>0</v>
      </c>
      <c r="R881">
        <v>27.59</v>
      </c>
      <c r="S881" t="s">
        <v>477</v>
      </c>
      <c r="T881" t="s">
        <v>777</v>
      </c>
    </row>
    <row r="882" spans="1:20" x14ac:dyDescent="0.3">
      <c r="A882">
        <v>881</v>
      </c>
      <c r="B882">
        <v>262</v>
      </c>
      <c r="C882">
        <v>5</v>
      </c>
      <c r="D882">
        <v>111.35</v>
      </c>
      <c r="E882">
        <v>11.14</v>
      </c>
      <c r="F882">
        <v>0</v>
      </c>
      <c r="G882">
        <v>0.1</v>
      </c>
      <c r="H882" t="s">
        <v>622</v>
      </c>
      <c r="J882" t="s">
        <v>623</v>
      </c>
      <c r="K882" s="1"/>
      <c r="L882" s="1">
        <v>46035.38795138889</v>
      </c>
      <c r="M882" s="2">
        <v>46035</v>
      </c>
      <c r="N882" t="s">
        <v>634</v>
      </c>
      <c r="O882" t="s">
        <v>625</v>
      </c>
      <c r="P882">
        <v>1</v>
      </c>
      <c r="Q882">
        <v>0</v>
      </c>
      <c r="R882">
        <v>111.35</v>
      </c>
      <c r="S882" t="s">
        <v>519</v>
      </c>
      <c r="T882" t="s">
        <v>779</v>
      </c>
    </row>
    <row r="883" spans="1:20" x14ac:dyDescent="0.3">
      <c r="A883">
        <v>882</v>
      </c>
      <c r="B883">
        <v>101</v>
      </c>
      <c r="C883">
        <v>4</v>
      </c>
      <c r="D883">
        <v>28.55</v>
      </c>
      <c r="E883">
        <v>2.86</v>
      </c>
      <c r="F883">
        <v>0</v>
      </c>
      <c r="G883">
        <v>0.1</v>
      </c>
      <c r="H883" t="s">
        <v>622</v>
      </c>
      <c r="J883" t="s">
        <v>623</v>
      </c>
      <c r="K883" s="1"/>
      <c r="L883" s="1">
        <v>46035.420439814814</v>
      </c>
      <c r="M883" s="2">
        <v>46035</v>
      </c>
      <c r="N883" t="s">
        <v>634</v>
      </c>
      <c r="O883" t="s">
        <v>625</v>
      </c>
      <c r="P883">
        <v>1</v>
      </c>
      <c r="Q883">
        <v>0</v>
      </c>
      <c r="R883">
        <v>28.55</v>
      </c>
      <c r="S883" t="s">
        <v>197</v>
      </c>
      <c r="T883" t="s">
        <v>778</v>
      </c>
    </row>
    <row r="884" spans="1:20" x14ac:dyDescent="0.3">
      <c r="A884">
        <v>883</v>
      </c>
      <c r="B884">
        <v>39</v>
      </c>
      <c r="C884">
        <v>3</v>
      </c>
      <c r="D884">
        <v>300</v>
      </c>
      <c r="E884">
        <v>30</v>
      </c>
      <c r="F884">
        <v>0</v>
      </c>
      <c r="G884">
        <v>0.1</v>
      </c>
      <c r="H884" t="s">
        <v>622</v>
      </c>
      <c r="J884" t="s">
        <v>623</v>
      </c>
      <c r="K884" s="1"/>
      <c r="L884" s="1">
        <v>46035.510370370372</v>
      </c>
      <c r="M884" s="2">
        <v>46035</v>
      </c>
      <c r="N884" t="s">
        <v>634</v>
      </c>
      <c r="O884" t="s">
        <v>625</v>
      </c>
      <c r="P884">
        <v>1</v>
      </c>
      <c r="Q884">
        <v>0</v>
      </c>
      <c r="R884">
        <v>300</v>
      </c>
      <c r="S884" t="s">
        <v>74</v>
      </c>
      <c r="T884" t="s">
        <v>777</v>
      </c>
    </row>
    <row r="885" spans="1:20" x14ac:dyDescent="0.3">
      <c r="A885">
        <v>884</v>
      </c>
      <c r="B885">
        <v>255</v>
      </c>
      <c r="C885">
        <v>5</v>
      </c>
      <c r="D885">
        <v>28.62</v>
      </c>
      <c r="E885">
        <v>2.86</v>
      </c>
      <c r="F885">
        <v>0</v>
      </c>
      <c r="G885">
        <v>0.1</v>
      </c>
      <c r="H885" t="s">
        <v>622</v>
      </c>
      <c r="J885" t="s">
        <v>623</v>
      </c>
      <c r="K885" s="1"/>
      <c r="L885" s="1">
        <v>46035.556238425925</v>
      </c>
      <c r="M885" s="2">
        <v>46035</v>
      </c>
      <c r="N885" t="s">
        <v>634</v>
      </c>
      <c r="O885" t="s">
        <v>625</v>
      </c>
      <c r="P885">
        <v>1</v>
      </c>
      <c r="Q885">
        <v>0</v>
      </c>
      <c r="R885">
        <v>28.62</v>
      </c>
      <c r="S885" t="s">
        <v>505</v>
      </c>
      <c r="T885" t="s">
        <v>779</v>
      </c>
    </row>
    <row r="886" spans="1:20" x14ac:dyDescent="0.3">
      <c r="A886">
        <v>885</v>
      </c>
      <c r="B886">
        <v>39</v>
      </c>
      <c r="C886">
        <v>5</v>
      </c>
      <c r="D886">
        <v>300</v>
      </c>
      <c r="E886">
        <v>30</v>
      </c>
      <c r="F886">
        <v>0</v>
      </c>
      <c r="G886">
        <v>0.1</v>
      </c>
      <c r="H886" t="s">
        <v>622</v>
      </c>
      <c r="J886" t="s">
        <v>623</v>
      </c>
      <c r="K886" s="1"/>
      <c r="L886" s="1">
        <v>46035.590219907404</v>
      </c>
      <c r="M886" s="2">
        <v>46035</v>
      </c>
      <c r="N886" t="s">
        <v>634</v>
      </c>
      <c r="O886" t="s">
        <v>625</v>
      </c>
      <c r="P886">
        <v>1</v>
      </c>
      <c r="Q886">
        <v>0</v>
      </c>
      <c r="R886">
        <v>300</v>
      </c>
      <c r="S886" t="s">
        <v>74</v>
      </c>
      <c r="T886" t="s">
        <v>779</v>
      </c>
    </row>
    <row r="887" spans="1:20" x14ac:dyDescent="0.3">
      <c r="A887">
        <v>886</v>
      </c>
      <c r="B887">
        <v>249</v>
      </c>
      <c r="C887">
        <v>2</v>
      </c>
      <c r="D887">
        <v>137.31</v>
      </c>
      <c r="E887">
        <v>13.73</v>
      </c>
      <c r="F887">
        <v>0</v>
      </c>
      <c r="G887">
        <v>0.1</v>
      </c>
      <c r="H887" t="s">
        <v>622</v>
      </c>
      <c r="J887" t="s">
        <v>623</v>
      </c>
      <c r="K887" s="1"/>
      <c r="L887" s="1">
        <v>46035.683518518519</v>
      </c>
      <c r="M887" s="2">
        <v>46035</v>
      </c>
      <c r="N887" t="s">
        <v>634</v>
      </c>
      <c r="O887" t="s">
        <v>625</v>
      </c>
      <c r="P887">
        <v>1</v>
      </c>
      <c r="Q887">
        <v>0</v>
      </c>
      <c r="R887">
        <v>137.31</v>
      </c>
      <c r="S887" t="s">
        <v>493</v>
      </c>
      <c r="T887" t="s">
        <v>776</v>
      </c>
    </row>
    <row r="888" spans="1:20" x14ac:dyDescent="0.3">
      <c r="A888">
        <v>887</v>
      </c>
      <c r="B888">
        <v>64</v>
      </c>
      <c r="C888">
        <v>3</v>
      </c>
      <c r="D888">
        <v>15.9</v>
      </c>
      <c r="E888">
        <v>1.59</v>
      </c>
      <c r="F888">
        <v>0</v>
      </c>
      <c r="G888">
        <v>0.1</v>
      </c>
      <c r="H888" t="s">
        <v>622</v>
      </c>
      <c r="J888" t="s">
        <v>623</v>
      </c>
      <c r="K888" s="1"/>
      <c r="L888" s="1">
        <v>46035.683831018519</v>
      </c>
      <c r="M888" s="2">
        <v>46035</v>
      </c>
      <c r="N888" t="s">
        <v>634</v>
      </c>
      <c r="O888" t="s">
        <v>625</v>
      </c>
      <c r="P888">
        <v>1</v>
      </c>
      <c r="Q888">
        <v>0</v>
      </c>
      <c r="R888">
        <v>15.9</v>
      </c>
      <c r="S888" t="s">
        <v>124</v>
      </c>
      <c r="T888" t="s">
        <v>777</v>
      </c>
    </row>
    <row r="889" spans="1:20" x14ac:dyDescent="0.3">
      <c r="A889">
        <v>888</v>
      </c>
      <c r="B889">
        <v>14</v>
      </c>
      <c r="C889">
        <v>4</v>
      </c>
      <c r="D889">
        <v>32.270000000000003</v>
      </c>
      <c r="E889">
        <v>3.23</v>
      </c>
      <c r="F889">
        <v>0</v>
      </c>
      <c r="G889">
        <v>0.1</v>
      </c>
      <c r="H889" t="s">
        <v>622</v>
      </c>
      <c r="J889" t="s">
        <v>623</v>
      </c>
      <c r="K889" s="1"/>
      <c r="L889" s="1">
        <v>46035.685856481483</v>
      </c>
      <c r="M889" s="2">
        <v>46035</v>
      </c>
      <c r="N889" t="s">
        <v>634</v>
      </c>
      <c r="O889" t="s">
        <v>625</v>
      </c>
      <c r="P889">
        <v>1</v>
      </c>
      <c r="Q889">
        <v>0</v>
      </c>
      <c r="R889">
        <v>32.270000000000003</v>
      </c>
      <c r="S889" t="s">
        <v>24</v>
      </c>
      <c r="T889" t="s">
        <v>778</v>
      </c>
    </row>
    <row r="890" spans="1:20" x14ac:dyDescent="0.3">
      <c r="A890">
        <v>889</v>
      </c>
      <c r="B890">
        <v>156</v>
      </c>
      <c r="C890">
        <v>2</v>
      </c>
      <c r="D890">
        <v>45.11</v>
      </c>
      <c r="E890">
        <v>4.51</v>
      </c>
      <c r="F890">
        <v>0</v>
      </c>
      <c r="G890">
        <v>0.1</v>
      </c>
      <c r="H890" t="s">
        <v>622</v>
      </c>
      <c r="J890" t="s">
        <v>623</v>
      </c>
      <c r="K890" s="1"/>
      <c r="L890" s="1">
        <v>46035.822627314818</v>
      </c>
      <c r="M890" s="2">
        <v>46035</v>
      </c>
      <c r="N890" t="s">
        <v>634</v>
      </c>
      <c r="O890" t="s">
        <v>625</v>
      </c>
      <c r="P890">
        <v>1</v>
      </c>
      <c r="Q890">
        <v>0</v>
      </c>
      <c r="R890">
        <v>45.11</v>
      </c>
      <c r="S890" t="s">
        <v>307</v>
      </c>
      <c r="T890" t="s">
        <v>776</v>
      </c>
    </row>
    <row r="891" spans="1:20" x14ac:dyDescent="0.3">
      <c r="A891">
        <v>890</v>
      </c>
      <c r="B891">
        <v>48</v>
      </c>
      <c r="C891">
        <v>4</v>
      </c>
      <c r="D891">
        <v>84.38</v>
      </c>
      <c r="E891">
        <v>8.44</v>
      </c>
      <c r="F891">
        <v>0</v>
      </c>
      <c r="G891">
        <v>0.1</v>
      </c>
      <c r="H891" t="s">
        <v>622</v>
      </c>
      <c r="J891" t="s">
        <v>623</v>
      </c>
      <c r="K891" s="1"/>
      <c r="L891" s="1">
        <v>46036.33289351852</v>
      </c>
      <c r="M891" s="2">
        <v>46036</v>
      </c>
      <c r="N891" t="s">
        <v>634</v>
      </c>
      <c r="O891" t="s">
        <v>625</v>
      </c>
      <c r="P891">
        <v>1</v>
      </c>
      <c r="Q891">
        <v>0</v>
      </c>
      <c r="R891">
        <v>84.38</v>
      </c>
      <c r="S891" t="s">
        <v>92</v>
      </c>
      <c r="T891" t="s">
        <v>778</v>
      </c>
    </row>
    <row r="892" spans="1:20" x14ac:dyDescent="0.3">
      <c r="A892">
        <v>891</v>
      </c>
      <c r="B892">
        <v>28</v>
      </c>
      <c r="C892">
        <v>5</v>
      </c>
      <c r="D892">
        <v>29.99</v>
      </c>
      <c r="E892">
        <v>3</v>
      </c>
      <c r="F892">
        <v>0</v>
      </c>
      <c r="G892">
        <v>0.1</v>
      </c>
      <c r="H892" t="s">
        <v>622</v>
      </c>
      <c r="J892" t="s">
        <v>623</v>
      </c>
      <c r="K892" s="1"/>
      <c r="L892" s="1">
        <v>46036.359039351853</v>
      </c>
      <c r="M892" s="2">
        <v>46036</v>
      </c>
      <c r="N892" t="s">
        <v>634</v>
      </c>
      <c r="O892" t="s">
        <v>625</v>
      </c>
      <c r="P892">
        <v>1</v>
      </c>
      <c r="Q892">
        <v>0</v>
      </c>
      <c r="R892">
        <v>29.99</v>
      </c>
      <c r="S892" t="s">
        <v>52</v>
      </c>
      <c r="T892" t="s">
        <v>779</v>
      </c>
    </row>
    <row r="893" spans="1:20" x14ac:dyDescent="0.3">
      <c r="A893">
        <v>892</v>
      </c>
      <c r="B893">
        <v>288</v>
      </c>
      <c r="C893">
        <v>2</v>
      </c>
      <c r="D893">
        <v>43.83</v>
      </c>
      <c r="E893">
        <v>4.38</v>
      </c>
      <c r="F893">
        <v>0</v>
      </c>
      <c r="G893">
        <v>0.1</v>
      </c>
      <c r="H893" t="s">
        <v>622</v>
      </c>
      <c r="J893" t="s">
        <v>623</v>
      </c>
      <c r="K893" s="1"/>
      <c r="L893" s="1">
        <v>46036.399328703701</v>
      </c>
      <c r="M893" s="2">
        <v>46036</v>
      </c>
      <c r="N893" t="s">
        <v>634</v>
      </c>
      <c r="O893" t="s">
        <v>625</v>
      </c>
      <c r="P893">
        <v>1</v>
      </c>
      <c r="Q893">
        <v>0</v>
      </c>
      <c r="R893">
        <v>43.83</v>
      </c>
      <c r="S893" t="s">
        <v>571</v>
      </c>
      <c r="T893" t="s">
        <v>776</v>
      </c>
    </row>
    <row r="894" spans="1:20" x14ac:dyDescent="0.3">
      <c r="A894">
        <v>893</v>
      </c>
      <c r="B894">
        <v>202</v>
      </c>
      <c r="C894">
        <v>4</v>
      </c>
      <c r="D894">
        <v>23.16</v>
      </c>
      <c r="E894">
        <v>2.3199999999999998</v>
      </c>
      <c r="F894">
        <v>0</v>
      </c>
      <c r="G894">
        <v>0.1</v>
      </c>
      <c r="H894" t="s">
        <v>622</v>
      </c>
      <c r="J894" t="s">
        <v>623</v>
      </c>
      <c r="K894" s="1"/>
      <c r="L894" s="1">
        <v>46036.401365740741</v>
      </c>
      <c r="M894" s="2">
        <v>46036</v>
      </c>
      <c r="N894" t="s">
        <v>634</v>
      </c>
      <c r="O894" t="s">
        <v>625</v>
      </c>
      <c r="P894">
        <v>1</v>
      </c>
      <c r="Q894">
        <v>0</v>
      </c>
      <c r="R894">
        <v>23.16</v>
      </c>
      <c r="S894" t="s">
        <v>399</v>
      </c>
      <c r="T894" t="s">
        <v>778</v>
      </c>
    </row>
    <row r="895" spans="1:20" x14ac:dyDescent="0.3">
      <c r="A895">
        <v>894</v>
      </c>
      <c r="B895">
        <v>255</v>
      </c>
      <c r="C895">
        <v>3</v>
      </c>
      <c r="D895">
        <v>29.01</v>
      </c>
      <c r="E895">
        <v>2.9</v>
      </c>
      <c r="F895">
        <v>0</v>
      </c>
      <c r="G895">
        <v>0.1</v>
      </c>
      <c r="H895" t="s">
        <v>622</v>
      </c>
      <c r="J895" t="s">
        <v>623</v>
      </c>
      <c r="K895" s="1"/>
      <c r="L895" s="1">
        <v>46036.402407407404</v>
      </c>
      <c r="M895" s="2">
        <v>46036</v>
      </c>
      <c r="N895" t="s">
        <v>634</v>
      </c>
      <c r="O895" t="s">
        <v>625</v>
      </c>
      <c r="P895">
        <v>1</v>
      </c>
      <c r="Q895">
        <v>0</v>
      </c>
      <c r="R895">
        <v>29.01</v>
      </c>
      <c r="S895" t="s">
        <v>505</v>
      </c>
      <c r="T895" t="s">
        <v>777</v>
      </c>
    </row>
    <row r="896" spans="1:20" x14ac:dyDescent="0.3">
      <c r="A896">
        <v>895</v>
      </c>
      <c r="B896">
        <v>89</v>
      </c>
      <c r="C896">
        <v>3</v>
      </c>
      <c r="D896">
        <v>177.85</v>
      </c>
      <c r="E896">
        <v>17.79</v>
      </c>
      <c r="F896">
        <v>0</v>
      </c>
      <c r="G896">
        <v>0.1</v>
      </c>
      <c r="H896" t="s">
        <v>622</v>
      </c>
      <c r="J896" t="s">
        <v>623</v>
      </c>
      <c r="K896" s="1"/>
      <c r="L896" s="1">
        <v>46036.535185185188</v>
      </c>
      <c r="M896" s="2">
        <v>46036</v>
      </c>
      <c r="N896" t="s">
        <v>634</v>
      </c>
      <c r="O896" t="s">
        <v>625</v>
      </c>
      <c r="P896">
        <v>1</v>
      </c>
      <c r="Q896">
        <v>0</v>
      </c>
      <c r="R896">
        <v>177.85</v>
      </c>
      <c r="S896" t="s">
        <v>173</v>
      </c>
      <c r="T896" t="s">
        <v>777</v>
      </c>
    </row>
    <row r="897" spans="1:20" x14ac:dyDescent="0.3">
      <c r="A897">
        <v>896</v>
      </c>
      <c r="B897">
        <v>87</v>
      </c>
      <c r="C897">
        <v>4</v>
      </c>
      <c r="D897">
        <v>110.32</v>
      </c>
      <c r="E897">
        <v>11.03</v>
      </c>
      <c r="F897">
        <v>0</v>
      </c>
      <c r="G897">
        <v>0.1</v>
      </c>
      <c r="H897" t="s">
        <v>622</v>
      </c>
      <c r="J897" t="s">
        <v>623</v>
      </c>
      <c r="K897" s="1"/>
      <c r="L897" s="1">
        <v>46036.601006944446</v>
      </c>
      <c r="M897" s="2">
        <v>46036</v>
      </c>
      <c r="N897" t="s">
        <v>634</v>
      </c>
      <c r="O897" t="s">
        <v>625</v>
      </c>
      <c r="P897">
        <v>1</v>
      </c>
      <c r="Q897">
        <v>0</v>
      </c>
      <c r="R897">
        <v>110.32</v>
      </c>
      <c r="S897" t="s">
        <v>169</v>
      </c>
      <c r="T897" t="s">
        <v>778</v>
      </c>
    </row>
    <row r="898" spans="1:20" x14ac:dyDescent="0.3">
      <c r="A898">
        <v>897</v>
      </c>
      <c r="B898">
        <v>264</v>
      </c>
      <c r="C898">
        <v>2</v>
      </c>
      <c r="D898">
        <v>171.38</v>
      </c>
      <c r="E898">
        <v>17.14</v>
      </c>
      <c r="F898">
        <v>0</v>
      </c>
      <c r="G898">
        <v>0.1</v>
      </c>
      <c r="H898" t="s">
        <v>622</v>
      </c>
      <c r="J898" t="s">
        <v>623</v>
      </c>
      <c r="K898" s="1"/>
      <c r="L898" s="1">
        <v>46036.664085648146</v>
      </c>
      <c r="M898" s="2">
        <v>46036</v>
      </c>
      <c r="N898" t="s">
        <v>634</v>
      </c>
      <c r="O898" t="s">
        <v>625</v>
      </c>
      <c r="P898">
        <v>1</v>
      </c>
      <c r="Q898">
        <v>0</v>
      </c>
      <c r="R898">
        <v>171.38</v>
      </c>
      <c r="S898" t="s">
        <v>523</v>
      </c>
      <c r="T898" t="s">
        <v>776</v>
      </c>
    </row>
    <row r="899" spans="1:20" x14ac:dyDescent="0.3">
      <c r="A899">
        <v>898</v>
      </c>
      <c r="B899">
        <v>113</v>
      </c>
      <c r="C899">
        <v>4</v>
      </c>
      <c r="D899">
        <v>21.86</v>
      </c>
      <c r="E899">
        <v>2.19</v>
      </c>
      <c r="F899">
        <v>0</v>
      </c>
      <c r="G899">
        <v>0.1</v>
      </c>
      <c r="H899" t="s">
        <v>622</v>
      </c>
      <c r="J899" t="s">
        <v>623</v>
      </c>
      <c r="K899" s="1"/>
      <c r="L899" s="1">
        <v>46036.717777777776</v>
      </c>
      <c r="M899" s="2">
        <v>46036</v>
      </c>
      <c r="N899" t="s">
        <v>634</v>
      </c>
      <c r="O899" t="s">
        <v>625</v>
      </c>
      <c r="P899">
        <v>1</v>
      </c>
      <c r="Q899">
        <v>0</v>
      </c>
      <c r="R899">
        <v>21.86</v>
      </c>
      <c r="S899" t="s">
        <v>221</v>
      </c>
      <c r="T899" t="s">
        <v>778</v>
      </c>
    </row>
    <row r="900" spans="1:20" x14ac:dyDescent="0.3">
      <c r="A900">
        <v>899</v>
      </c>
      <c r="B900">
        <v>136</v>
      </c>
      <c r="C900">
        <v>5</v>
      </c>
      <c r="D900">
        <v>121.45</v>
      </c>
      <c r="E900">
        <v>12.15</v>
      </c>
      <c r="F900">
        <v>0</v>
      </c>
      <c r="G900">
        <v>0.1</v>
      </c>
      <c r="H900" t="s">
        <v>622</v>
      </c>
      <c r="J900" t="s">
        <v>623</v>
      </c>
      <c r="K900" s="1"/>
      <c r="L900" s="1">
        <v>46037.372361111113</v>
      </c>
      <c r="M900" s="2">
        <v>46037</v>
      </c>
      <c r="N900" t="s">
        <v>634</v>
      </c>
      <c r="O900" t="s">
        <v>625</v>
      </c>
      <c r="P900">
        <v>1</v>
      </c>
      <c r="Q900">
        <v>0</v>
      </c>
      <c r="R900">
        <v>121.45</v>
      </c>
      <c r="S900" t="s">
        <v>267</v>
      </c>
      <c r="T900" t="s">
        <v>779</v>
      </c>
    </row>
    <row r="901" spans="1:20" x14ac:dyDescent="0.3">
      <c r="A901">
        <v>900</v>
      </c>
      <c r="B901">
        <v>6</v>
      </c>
      <c r="C901">
        <v>5</v>
      </c>
      <c r="D901">
        <v>21.9</v>
      </c>
      <c r="E901">
        <v>2.19</v>
      </c>
      <c r="F901">
        <v>0</v>
      </c>
      <c r="G901">
        <v>0.1</v>
      </c>
      <c r="H901" t="s">
        <v>622</v>
      </c>
      <c r="J901" t="s">
        <v>623</v>
      </c>
      <c r="K901" s="1"/>
      <c r="L901" s="1">
        <v>46037.39130787037</v>
      </c>
      <c r="M901" s="2">
        <v>46037</v>
      </c>
      <c r="N901" t="s">
        <v>634</v>
      </c>
      <c r="O901" t="s">
        <v>625</v>
      </c>
      <c r="P901">
        <v>1</v>
      </c>
      <c r="Q901">
        <v>0</v>
      </c>
      <c r="R901">
        <v>21.9</v>
      </c>
      <c r="S901" t="s">
        <v>8</v>
      </c>
      <c r="T901" t="s">
        <v>779</v>
      </c>
    </row>
    <row r="902" spans="1:20" x14ac:dyDescent="0.3">
      <c r="A902">
        <v>901</v>
      </c>
      <c r="B902">
        <v>39</v>
      </c>
      <c r="C902">
        <v>5</v>
      </c>
      <c r="D902">
        <v>222.39</v>
      </c>
      <c r="E902">
        <v>22.24</v>
      </c>
      <c r="F902">
        <v>0</v>
      </c>
      <c r="G902">
        <v>0.1</v>
      </c>
      <c r="H902" t="s">
        <v>622</v>
      </c>
      <c r="J902" t="s">
        <v>623</v>
      </c>
      <c r="K902" s="1"/>
      <c r="L902" s="1">
        <v>46037.404907407406</v>
      </c>
      <c r="M902" s="2">
        <v>46037</v>
      </c>
      <c r="N902" t="s">
        <v>634</v>
      </c>
      <c r="O902" t="s">
        <v>625</v>
      </c>
      <c r="P902">
        <v>1</v>
      </c>
      <c r="Q902">
        <v>0</v>
      </c>
      <c r="R902">
        <v>222.39</v>
      </c>
      <c r="S902" t="s">
        <v>74</v>
      </c>
      <c r="T902" t="s">
        <v>779</v>
      </c>
    </row>
    <row r="903" spans="1:20" x14ac:dyDescent="0.3">
      <c r="A903">
        <v>902</v>
      </c>
      <c r="B903">
        <v>137</v>
      </c>
      <c r="C903">
        <v>2</v>
      </c>
      <c r="D903">
        <v>25.89</v>
      </c>
      <c r="E903">
        <v>2.59</v>
      </c>
      <c r="F903">
        <v>0</v>
      </c>
      <c r="G903">
        <v>0.1</v>
      </c>
      <c r="H903" t="s">
        <v>622</v>
      </c>
      <c r="J903" t="s">
        <v>623</v>
      </c>
      <c r="K903" s="1"/>
      <c r="L903" s="1">
        <v>46037.408101851855</v>
      </c>
      <c r="M903" s="2">
        <v>46037</v>
      </c>
      <c r="N903" t="s">
        <v>634</v>
      </c>
      <c r="O903" t="s">
        <v>625</v>
      </c>
      <c r="P903">
        <v>1</v>
      </c>
      <c r="Q903">
        <v>0</v>
      </c>
      <c r="R903">
        <v>25.89</v>
      </c>
      <c r="S903" t="s">
        <v>269</v>
      </c>
      <c r="T903" t="s">
        <v>776</v>
      </c>
    </row>
    <row r="904" spans="1:20" x14ac:dyDescent="0.3">
      <c r="A904">
        <v>903</v>
      </c>
      <c r="B904">
        <v>137</v>
      </c>
      <c r="C904">
        <v>2</v>
      </c>
      <c r="D904">
        <v>25.66</v>
      </c>
      <c r="E904">
        <v>2.57</v>
      </c>
      <c r="F904">
        <v>0</v>
      </c>
      <c r="G904">
        <v>0.1</v>
      </c>
      <c r="H904" t="s">
        <v>622</v>
      </c>
      <c r="J904" t="s">
        <v>623</v>
      </c>
      <c r="K904" s="1"/>
      <c r="L904" s="1">
        <v>46037.522407407407</v>
      </c>
      <c r="M904" s="2">
        <v>46037</v>
      </c>
      <c r="N904" t="s">
        <v>634</v>
      </c>
      <c r="O904" t="s">
        <v>625</v>
      </c>
      <c r="P904">
        <v>1</v>
      </c>
      <c r="Q904">
        <v>0</v>
      </c>
      <c r="R904">
        <v>25.66</v>
      </c>
      <c r="S904" t="s">
        <v>269</v>
      </c>
      <c r="T904" t="s">
        <v>776</v>
      </c>
    </row>
    <row r="905" spans="1:20" x14ac:dyDescent="0.3">
      <c r="A905">
        <v>904</v>
      </c>
      <c r="B905">
        <v>37</v>
      </c>
      <c r="C905">
        <v>3</v>
      </c>
      <c r="D905">
        <v>71.180000000000007</v>
      </c>
      <c r="E905">
        <v>7.12</v>
      </c>
      <c r="F905">
        <v>0</v>
      </c>
      <c r="G905">
        <v>0.1</v>
      </c>
      <c r="H905" t="s">
        <v>622</v>
      </c>
      <c r="J905" t="s">
        <v>623</v>
      </c>
      <c r="K905" s="1"/>
      <c r="L905" s="1">
        <v>46037.578773148147</v>
      </c>
      <c r="M905" s="2">
        <v>46037</v>
      </c>
      <c r="N905" t="s">
        <v>634</v>
      </c>
      <c r="O905" t="s">
        <v>625</v>
      </c>
      <c r="P905">
        <v>1</v>
      </c>
      <c r="Q905">
        <v>0</v>
      </c>
      <c r="R905">
        <v>71.180000000000007</v>
      </c>
      <c r="S905" t="s">
        <v>70</v>
      </c>
      <c r="T905" t="s">
        <v>777</v>
      </c>
    </row>
    <row r="906" spans="1:20" x14ac:dyDescent="0.3">
      <c r="A906">
        <v>905</v>
      </c>
      <c r="B906">
        <v>39</v>
      </c>
      <c r="C906">
        <v>5</v>
      </c>
      <c r="D906">
        <v>135.62</v>
      </c>
      <c r="E906">
        <v>13.56</v>
      </c>
      <c r="F906">
        <v>0</v>
      </c>
      <c r="G906">
        <v>0.1</v>
      </c>
      <c r="H906" t="s">
        <v>622</v>
      </c>
      <c r="J906" t="s">
        <v>623</v>
      </c>
      <c r="K906" s="1"/>
      <c r="L906" s="1">
        <v>46037.633750000001</v>
      </c>
      <c r="M906" s="2">
        <v>46037</v>
      </c>
      <c r="N906" t="s">
        <v>634</v>
      </c>
      <c r="O906" t="s">
        <v>625</v>
      </c>
      <c r="P906">
        <v>1</v>
      </c>
      <c r="Q906">
        <v>0</v>
      </c>
      <c r="R906">
        <v>135.62</v>
      </c>
      <c r="S906" t="s">
        <v>74</v>
      </c>
      <c r="T906" t="s">
        <v>779</v>
      </c>
    </row>
    <row r="907" spans="1:20" x14ac:dyDescent="0.3">
      <c r="A907">
        <v>906</v>
      </c>
      <c r="B907">
        <v>117</v>
      </c>
      <c r="C907">
        <v>2</v>
      </c>
      <c r="D907">
        <v>172.55</v>
      </c>
      <c r="E907">
        <v>0</v>
      </c>
      <c r="F907">
        <v>1</v>
      </c>
      <c r="G907">
        <v>0.1</v>
      </c>
      <c r="H907" t="s">
        <v>622</v>
      </c>
      <c r="J907" t="s">
        <v>623</v>
      </c>
      <c r="K907" s="1"/>
      <c r="L907" s="1">
        <v>46037.777465277781</v>
      </c>
      <c r="M907" s="2">
        <v>46037</v>
      </c>
      <c r="N907" t="s">
        <v>634</v>
      </c>
      <c r="O907" t="s">
        <v>629</v>
      </c>
      <c r="P907">
        <v>1</v>
      </c>
      <c r="Q907">
        <v>0</v>
      </c>
      <c r="R907">
        <v>172.55</v>
      </c>
      <c r="S907" t="s">
        <v>229</v>
      </c>
      <c r="T907" t="s">
        <v>776</v>
      </c>
    </row>
    <row r="908" spans="1:20" x14ac:dyDescent="0.3">
      <c r="A908">
        <v>907</v>
      </c>
      <c r="B908">
        <v>136</v>
      </c>
      <c r="C908">
        <v>4</v>
      </c>
      <c r="D908">
        <v>74.05</v>
      </c>
      <c r="E908">
        <v>7.41</v>
      </c>
      <c r="F908">
        <v>0</v>
      </c>
      <c r="G908">
        <v>0.1</v>
      </c>
      <c r="H908" t="s">
        <v>622</v>
      </c>
      <c r="J908" t="s">
        <v>623</v>
      </c>
      <c r="K908" s="1"/>
      <c r="L908" s="1">
        <v>46037.780057870368</v>
      </c>
      <c r="M908" s="2">
        <v>46037</v>
      </c>
      <c r="N908" t="s">
        <v>634</v>
      </c>
      <c r="O908" t="s">
        <v>625</v>
      </c>
      <c r="P908">
        <v>1</v>
      </c>
      <c r="Q908">
        <v>0</v>
      </c>
      <c r="R908">
        <v>74.05</v>
      </c>
      <c r="S908" t="s">
        <v>267</v>
      </c>
      <c r="T908" t="s">
        <v>778</v>
      </c>
    </row>
    <row r="909" spans="1:20" x14ac:dyDescent="0.3">
      <c r="A909">
        <v>908</v>
      </c>
      <c r="B909">
        <v>279</v>
      </c>
      <c r="C909">
        <v>4</v>
      </c>
      <c r="D909">
        <v>99.51</v>
      </c>
      <c r="E909">
        <v>9.9499999999999993</v>
      </c>
      <c r="F909">
        <v>0</v>
      </c>
      <c r="G909">
        <v>0.1</v>
      </c>
      <c r="H909" t="s">
        <v>622</v>
      </c>
      <c r="J909" t="s">
        <v>623</v>
      </c>
      <c r="K909" s="1"/>
      <c r="L909" s="1">
        <v>46037.785787037035</v>
      </c>
      <c r="M909" s="2">
        <v>46037</v>
      </c>
      <c r="N909" t="s">
        <v>634</v>
      </c>
      <c r="O909" t="s">
        <v>625</v>
      </c>
      <c r="P909">
        <v>1</v>
      </c>
      <c r="Q909">
        <v>0</v>
      </c>
      <c r="R909">
        <v>99.51</v>
      </c>
      <c r="S909" t="s">
        <v>553</v>
      </c>
      <c r="T909" t="s">
        <v>778</v>
      </c>
    </row>
    <row r="910" spans="1:20" x14ac:dyDescent="0.3">
      <c r="A910">
        <v>909</v>
      </c>
      <c r="B910">
        <v>39</v>
      </c>
      <c r="C910">
        <v>5</v>
      </c>
      <c r="D910">
        <v>178.42</v>
      </c>
      <c r="E910">
        <v>17.84</v>
      </c>
      <c r="F910">
        <v>0</v>
      </c>
      <c r="G910">
        <v>0.1</v>
      </c>
      <c r="H910" t="s">
        <v>622</v>
      </c>
      <c r="J910" t="s">
        <v>623</v>
      </c>
      <c r="K910" s="1"/>
      <c r="L910" s="1">
        <v>46038.304398148146</v>
      </c>
      <c r="M910" s="2">
        <v>46038</v>
      </c>
      <c r="N910" t="s">
        <v>634</v>
      </c>
      <c r="O910" t="s">
        <v>625</v>
      </c>
      <c r="P910">
        <v>1</v>
      </c>
      <c r="Q910">
        <v>0</v>
      </c>
      <c r="R910">
        <v>178.42</v>
      </c>
      <c r="S910" t="s">
        <v>74</v>
      </c>
      <c r="T910" t="s">
        <v>779</v>
      </c>
    </row>
    <row r="911" spans="1:20" x14ac:dyDescent="0.3">
      <c r="A911">
        <v>910</v>
      </c>
      <c r="B911">
        <v>138</v>
      </c>
      <c r="C911">
        <v>2</v>
      </c>
      <c r="D911">
        <v>38.47</v>
      </c>
      <c r="E911">
        <v>3.85</v>
      </c>
      <c r="F911">
        <v>0</v>
      </c>
      <c r="G911">
        <v>0.1</v>
      </c>
      <c r="H911" t="s">
        <v>622</v>
      </c>
      <c r="J911" t="s">
        <v>623</v>
      </c>
      <c r="K911" s="1"/>
      <c r="L911" s="1">
        <v>46038.448993055557</v>
      </c>
      <c r="M911" s="2">
        <v>46038</v>
      </c>
      <c r="N911" t="s">
        <v>634</v>
      </c>
      <c r="O911" t="s">
        <v>625</v>
      </c>
      <c r="P911">
        <v>1</v>
      </c>
      <c r="Q911">
        <v>0</v>
      </c>
      <c r="R911">
        <v>38.47</v>
      </c>
      <c r="S911" t="s">
        <v>271</v>
      </c>
      <c r="T911" t="s">
        <v>776</v>
      </c>
    </row>
    <row r="912" spans="1:20" x14ac:dyDescent="0.3">
      <c r="A912">
        <v>911</v>
      </c>
      <c r="B912">
        <v>47</v>
      </c>
      <c r="C912">
        <v>5</v>
      </c>
      <c r="D912">
        <v>38.130000000000003</v>
      </c>
      <c r="E912">
        <v>3.81</v>
      </c>
      <c r="F912">
        <v>0</v>
      </c>
      <c r="G912">
        <v>0.1</v>
      </c>
      <c r="H912" t="s">
        <v>622</v>
      </c>
      <c r="J912" t="s">
        <v>623</v>
      </c>
      <c r="K912" s="1"/>
      <c r="L912" s="1">
        <v>46038.508240740739</v>
      </c>
      <c r="M912" s="2">
        <v>46038</v>
      </c>
      <c r="N912" t="s">
        <v>634</v>
      </c>
      <c r="O912" t="s">
        <v>625</v>
      </c>
      <c r="P912">
        <v>1</v>
      </c>
      <c r="Q912">
        <v>0</v>
      </c>
      <c r="R912">
        <v>38.130000000000003</v>
      </c>
      <c r="S912" t="s">
        <v>90</v>
      </c>
      <c r="T912" t="s">
        <v>779</v>
      </c>
    </row>
    <row r="913" spans="1:20" x14ac:dyDescent="0.3">
      <c r="A913">
        <v>912</v>
      </c>
      <c r="B913">
        <v>279</v>
      </c>
      <c r="C913">
        <v>4</v>
      </c>
      <c r="D913">
        <v>161.43</v>
      </c>
      <c r="E913">
        <v>16.14</v>
      </c>
      <c r="F913">
        <v>0</v>
      </c>
      <c r="G913">
        <v>0.1</v>
      </c>
      <c r="H913" t="s">
        <v>622</v>
      </c>
      <c r="J913" t="s">
        <v>623</v>
      </c>
      <c r="K913" s="1"/>
      <c r="L913" s="1">
        <v>46038.674317129633</v>
      </c>
      <c r="M913" s="2">
        <v>46038</v>
      </c>
      <c r="N913" t="s">
        <v>634</v>
      </c>
      <c r="O913" t="s">
        <v>625</v>
      </c>
      <c r="P913">
        <v>1</v>
      </c>
      <c r="Q913">
        <v>0</v>
      </c>
      <c r="R913">
        <v>161.43</v>
      </c>
      <c r="S913" t="s">
        <v>553</v>
      </c>
      <c r="T913" t="s">
        <v>778</v>
      </c>
    </row>
    <row r="914" spans="1:20" x14ac:dyDescent="0.3">
      <c r="A914">
        <v>913</v>
      </c>
      <c r="B914">
        <v>16</v>
      </c>
      <c r="C914">
        <v>4</v>
      </c>
      <c r="D914">
        <v>181.35</v>
      </c>
      <c r="E914">
        <v>18.14</v>
      </c>
      <c r="F914">
        <v>0</v>
      </c>
      <c r="G914">
        <v>0.1</v>
      </c>
      <c r="H914" t="s">
        <v>626</v>
      </c>
      <c r="I914">
        <v>5</v>
      </c>
      <c r="J914" t="s">
        <v>628</v>
      </c>
      <c r="K914" s="1">
        <v>46040.742349537039</v>
      </c>
      <c r="L914" s="1">
        <v>46038.742349537039</v>
      </c>
      <c r="M914" s="2">
        <v>46038</v>
      </c>
      <c r="N914" t="s">
        <v>634</v>
      </c>
      <c r="O914" t="s">
        <v>625</v>
      </c>
      <c r="P914">
        <v>1</v>
      </c>
      <c r="Q914">
        <v>1</v>
      </c>
      <c r="R914">
        <v>0</v>
      </c>
      <c r="S914" t="s">
        <v>28</v>
      </c>
      <c r="T914" t="s">
        <v>778</v>
      </c>
    </row>
    <row r="915" spans="1:20" x14ac:dyDescent="0.3">
      <c r="A915">
        <v>914</v>
      </c>
      <c r="B915">
        <v>52</v>
      </c>
      <c r="C915">
        <v>5</v>
      </c>
      <c r="D915">
        <v>34.64</v>
      </c>
      <c r="E915">
        <v>3.46</v>
      </c>
      <c r="F915">
        <v>0</v>
      </c>
      <c r="G915">
        <v>0.1</v>
      </c>
      <c r="H915" t="s">
        <v>622</v>
      </c>
      <c r="J915" t="s">
        <v>623</v>
      </c>
      <c r="K915" s="1"/>
      <c r="L915" s="1">
        <v>46038.797731481478</v>
      </c>
      <c r="M915" s="2">
        <v>46038</v>
      </c>
      <c r="N915" t="s">
        <v>634</v>
      </c>
      <c r="O915" t="s">
        <v>625</v>
      </c>
      <c r="P915">
        <v>1</v>
      </c>
      <c r="Q915">
        <v>0</v>
      </c>
      <c r="R915">
        <v>34.64</v>
      </c>
      <c r="S915" t="s">
        <v>100</v>
      </c>
      <c r="T915" t="s">
        <v>779</v>
      </c>
    </row>
    <row r="916" spans="1:20" x14ac:dyDescent="0.3">
      <c r="A916">
        <v>915</v>
      </c>
      <c r="B916">
        <v>186</v>
      </c>
      <c r="C916">
        <v>2</v>
      </c>
      <c r="D916">
        <v>61.14</v>
      </c>
      <c r="E916">
        <v>6.11</v>
      </c>
      <c r="F916">
        <v>0</v>
      </c>
      <c r="G916">
        <v>0.1</v>
      </c>
      <c r="H916" t="s">
        <v>622</v>
      </c>
      <c r="J916" t="s">
        <v>623</v>
      </c>
      <c r="K916" s="1"/>
      <c r="L916" s="1">
        <v>46039.306527777779</v>
      </c>
      <c r="M916" s="2">
        <v>46039</v>
      </c>
      <c r="N916" t="s">
        <v>634</v>
      </c>
      <c r="O916" t="s">
        <v>625</v>
      </c>
      <c r="P916">
        <v>1</v>
      </c>
      <c r="Q916">
        <v>0</v>
      </c>
      <c r="R916">
        <v>61.14</v>
      </c>
      <c r="S916" t="s">
        <v>367</v>
      </c>
      <c r="T916" t="s">
        <v>776</v>
      </c>
    </row>
    <row r="917" spans="1:20" x14ac:dyDescent="0.3">
      <c r="A917">
        <v>916</v>
      </c>
      <c r="B917">
        <v>39</v>
      </c>
      <c r="C917">
        <v>3</v>
      </c>
      <c r="D917">
        <v>160.82</v>
      </c>
      <c r="E917">
        <v>16.079999999999998</v>
      </c>
      <c r="F917">
        <v>0</v>
      </c>
      <c r="G917">
        <v>0.1</v>
      </c>
      <c r="H917" t="s">
        <v>626</v>
      </c>
      <c r="I917">
        <v>3</v>
      </c>
      <c r="J917" t="s">
        <v>628</v>
      </c>
      <c r="K917" s="1">
        <v>46039.808807870373</v>
      </c>
      <c r="L917" s="1">
        <v>46039.350474537037</v>
      </c>
      <c r="M917" s="2">
        <v>46039</v>
      </c>
      <c r="N917" t="s">
        <v>634</v>
      </c>
      <c r="O917" t="s">
        <v>625</v>
      </c>
      <c r="P917">
        <v>1</v>
      </c>
      <c r="Q917">
        <v>1</v>
      </c>
      <c r="R917">
        <v>0</v>
      </c>
      <c r="S917" t="s">
        <v>74</v>
      </c>
      <c r="T917" t="s">
        <v>777</v>
      </c>
    </row>
    <row r="918" spans="1:20" x14ac:dyDescent="0.3">
      <c r="A918">
        <v>917</v>
      </c>
      <c r="B918">
        <v>106</v>
      </c>
      <c r="C918">
        <v>2</v>
      </c>
      <c r="D918">
        <v>67.77</v>
      </c>
      <c r="E918">
        <v>6.78</v>
      </c>
      <c r="F918">
        <v>0</v>
      </c>
      <c r="G918">
        <v>0.1</v>
      </c>
      <c r="H918" t="s">
        <v>622</v>
      </c>
      <c r="J918" t="s">
        <v>623</v>
      </c>
      <c r="K918" s="1"/>
      <c r="L918" s="1">
        <v>46039.367349537039</v>
      </c>
      <c r="M918" s="2">
        <v>46039</v>
      </c>
      <c r="N918" t="s">
        <v>634</v>
      </c>
      <c r="O918" t="s">
        <v>625</v>
      </c>
      <c r="P918">
        <v>1</v>
      </c>
      <c r="Q918">
        <v>0</v>
      </c>
      <c r="R918">
        <v>67.77</v>
      </c>
      <c r="S918" t="s">
        <v>207</v>
      </c>
      <c r="T918" t="s">
        <v>776</v>
      </c>
    </row>
    <row r="919" spans="1:20" x14ac:dyDescent="0.3">
      <c r="A919">
        <v>918</v>
      </c>
      <c r="B919">
        <v>279</v>
      </c>
      <c r="C919">
        <v>4</v>
      </c>
      <c r="D919">
        <v>208.71</v>
      </c>
      <c r="E919">
        <v>20.87</v>
      </c>
      <c r="F919">
        <v>0</v>
      </c>
      <c r="G919">
        <v>0.1</v>
      </c>
      <c r="H919" t="s">
        <v>622</v>
      </c>
      <c r="J919" t="s">
        <v>623</v>
      </c>
      <c r="K919" s="1"/>
      <c r="L919" s="1">
        <v>46039.40284722222</v>
      </c>
      <c r="M919" s="2">
        <v>46039</v>
      </c>
      <c r="N919" t="s">
        <v>634</v>
      </c>
      <c r="O919" t="s">
        <v>625</v>
      </c>
      <c r="P919">
        <v>1</v>
      </c>
      <c r="Q919">
        <v>0</v>
      </c>
      <c r="R919">
        <v>208.71</v>
      </c>
      <c r="S919" t="s">
        <v>553</v>
      </c>
      <c r="T919" t="s">
        <v>778</v>
      </c>
    </row>
    <row r="920" spans="1:20" x14ac:dyDescent="0.3">
      <c r="A920">
        <v>919</v>
      </c>
      <c r="B920">
        <v>215</v>
      </c>
      <c r="C920">
        <v>3</v>
      </c>
      <c r="D920">
        <v>41.28</v>
      </c>
      <c r="E920">
        <v>4.13</v>
      </c>
      <c r="F920">
        <v>0</v>
      </c>
      <c r="G920">
        <v>0.1</v>
      </c>
      <c r="H920" t="s">
        <v>622</v>
      </c>
      <c r="J920" t="s">
        <v>623</v>
      </c>
      <c r="K920" s="1"/>
      <c r="L920" s="1">
        <v>46039.406006944446</v>
      </c>
      <c r="M920" s="2">
        <v>46039</v>
      </c>
      <c r="N920" t="s">
        <v>634</v>
      </c>
      <c r="O920" t="s">
        <v>625</v>
      </c>
      <c r="P920">
        <v>1</v>
      </c>
      <c r="Q920">
        <v>0</v>
      </c>
      <c r="R920">
        <v>41.28</v>
      </c>
      <c r="S920" t="s">
        <v>425</v>
      </c>
      <c r="T920" t="s">
        <v>777</v>
      </c>
    </row>
    <row r="921" spans="1:20" x14ac:dyDescent="0.3">
      <c r="A921">
        <v>920</v>
      </c>
      <c r="B921">
        <v>65</v>
      </c>
      <c r="C921">
        <v>5</v>
      </c>
      <c r="D921">
        <v>24.93</v>
      </c>
      <c r="E921">
        <v>2.4900000000000002</v>
      </c>
      <c r="F921">
        <v>0</v>
      </c>
      <c r="G921">
        <v>0.1</v>
      </c>
      <c r="H921" t="s">
        <v>622</v>
      </c>
      <c r="J921" t="s">
        <v>623</v>
      </c>
      <c r="K921" s="1"/>
      <c r="L921" s="1">
        <v>46039.417754629627</v>
      </c>
      <c r="M921" s="2">
        <v>46039</v>
      </c>
      <c r="N921" t="s">
        <v>634</v>
      </c>
      <c r="O921" t="s">
        <v>625</v>
      </c>
      <c r="P921">
        <v>1</v>
      </c>
      <c r="Q921">
        <v>0</v>
      </c>
      <c r="R921">
        <v>24.93</v>
      </c>
      <c r="S921" t="s">
        <v>126</v>
      </c>
      <c r="T921" t="s">
        <v>779</v>
      </c>
    </row>
    <row r="922" spans="1:20" x14ac:dyDescent="0.3">
      <c r="A922">
        <v>921</v>
      </c>
      <c r="B922">
        <v>10</v>
      </c>
      <c r="C922">
        <v>4</v>
      </c>
      <c r="D922">
        <v>119.57</v>
      </c>
      <c r="E922">
        <v>11.96</v>
      </c>
      <c r="F922">
        <v>0</v>
      </c>
      <c r="G922">
        <v>0.1</v>
      </c>
      <c r="H922" t="s">
        <v>622</v>
      </c>
      <c r="J922" t="s">
        <v>623</v>
      </c>
      <c r="K922" s="1"/>
      <c r="L922" s="1">
        <v>46039.452291666668</v>
      </c>
      <c r="M922" s="2">
        <v>46039</v>
      </c>
      <c r="N922" t="s">
        <v>634</v>
      </c>
      <c r="O922" t="s">
        <v>625</v>
      </c>
      <c r="P922">
        <v>1</v>
      </c>
      <c r="Q922">
        <v>0</v>
      </c>
      <c r="R922">
        <v>119.57</v>
      </c>
      <c r="S922" t="s">
        <v>16</v>
      </c>
      <c r="T922" t="s">
        <v>778</v>
      </c>
    </row>
    <row r="923" spans="1:20" x14ac:dyDescent="0.3">
      <c r="A923">
        <v>922</v>
      </c>
      <c r="B923">
        <v>227</v>
      </c>
      <c r="C923">
        <v>3</v>
      </c>
      <c r="D923">
        <v>22.08</v>
      </c>
      <c r="E923">
        <v>2.21</v>
      </c>
      <c r="F923">
        <v>0</v>
      </c>
      <c r="G923">
        <v>0.1</v>
      </c>
      <c r="H923" t="s">
        <v>622</v>
      </c>
      <c r="J923" t="s">
        <v>623</v>
      </c>
      <c r="K923" s="1"/>
      <c r="L923" s="1">
        <v>46039.457638888889</v>
      </c>
      <c r="M923" s="2">
        <v>46039</v>
      </c>
      <c r="N923" t="s">
        <v>634</v>
      </c>
      <c r="O923" t="s">
        <v>625</v>
      </c>
      <c r="P923">
        <v>1</v>
      </c>
      <c r="Q923">
        <v>0</v>
      </c>
      <c r="R923">
        <v>22.08</v>
      </c>
      <c r="S923" t="s">
        <v>449</v>
      </c>
      <c r="T923" t="s">
        <v>777</v>
      </c>
    </row>
    <row r="924" spans="1:20" x14ac:dyDescent="0.3">
      <c r="A924">
        <v>923</v>
      </c>
      <c r="B924">
        <v>156</v>
      </c>
      <c r="C924">
        <v>4</v>
      </c>
      <c r="D924">
        <v>32.28</v>
      </c>
      <c r="E924">
        <v>3.23</v>
      </c>
      <c r="F924">
        <v>0</v>
      </c>
      <c r="G924">
        <v>0.1</v>
      </c>
      <c r="H924" t="s">
        <v>626</v>
      </c>
      <c r="I924">
        <v>4</v>
      </c>
      <c r="J924" t="s">
        <v>627</v>
      </c>
      <c r="K924" s="1">
        <v>46039.962430555555</v>
      </c>
      <c r="L924" s="1">
        <v>46039.462430555555</v>
      </c>
      <c r="M924" s="2">
        <v>46039</v>
      </c>
      <c r="N924" t="s">
        <v>634</v>
      </c>
      <c r="O924" t="s">
        <v>625</v>
      </c>
      <c r="P924">
        <v>1</v>
      </c>
      <c r="Q924">
        <v>1</v>
      </c>
      <c r="R924">
        <v>0</v>
      </c>
      <c r="S924" t="s">
        <v>307</v>
      </c>
      <c r="T924" t="s">
        <v>778</v>
      </c>
    </row>
    <row r="925" spans="1:20" x14ac:dyDescent="0.3">
      <c r="A925">
        <v>924</v>
      </c>
      <c r="B925">
        <v>288</v>
      </c>
      <c r="C925">
        <v>3</v>
      </c>
      <c r="D925">
        <v>43.28</v>
      </c>
      <c r="E925">
        <v>4.33</v>
      </c>
      <c r="F925">
        <v>0</v>
      </c>
      <c r="G925">
        <v>0.1</v>
      </c>
      <c r="H925" t="s">
        <v>622</v>
      </c>
      <c r="J925" t="s">
        <v>623</v>
      </c>
      <c r="K925" s="1"/>
      <c r="L925" s="1">
        <v>46039.474398148152</v>
      </c>
      <c r="M925" s="2">
        <v>46039</v>
      </c>
      <c r="N925" t="s">
        <v>634</v>
      </c>
      <c r="O925" t="s">
        <v>625</v>
      </c>
      <c r="P925">
        <v>1</v>
      </c>
      <c r="Q925">
        <v>0</v>
      </c>
      <c r="R925">
        <v>43.28</v>
      </c>
      <c r="S925" t="s">
        <v>571</v>
      </c>
      <c r="T925" t="s">
        <v>777</v>
      </c>
    </row>
    <row r="926" spans="1:20" x14ac:dyDescent="0.3">
      <c r="A926">
        <v>925</v>
      </c>
      <c r="B926">
        <v>87</v>
      </c>
      <c r="C926">
        <v>3</v>
      </c>
      <c r="D926">
        <v>60.59</v>
      </c>
      <c r="E926">
        <v>6.06</v>
      </c>
      <c r="F926">
        <v>0</v>
      </c>
      <c r="G926">
        <v>0.1</v>
      </c>
      <c r="H926" t="s">
        <v>622</v>
      </c>
      <c r="J926" t="s">
        <v>623</v>
      </c>
      <c r="K926" s="1"/>
      <c r="L926" s="1">
        <v>46039.549386574072</v>
      </c>
      <c r="M926" s="2">
        <v>46039</v>
      </c>
      <c r="N926" t="s">
        <v>634</v>
      </c>
      <c r="O926" t="s">
        <v>625</v>
      </c>
      <c r="P926">
        <v>1</v>
      </c>
      <c r="Q926">
        <v>0</v>
      </c>
      <c r="R926">
        <v>60.59</v>
      </c>
      <c r="S926" t="s">
        <v>169</v>
      </c>
      <c r="T926" t="s">
        <v>777</v>
      </c>
    </row>
    <row r="927" spans="1:20" x14ac:dyDescent="0.3">
      <c r="A927">
        <v>926</v>
      </c>
      <c r="B927">
        <v>178</v>
      </c>
      <c r="C927">
        <v>4</v>
      </c>
      <c r="D927">
        <v>137.62</v>
      </c>
      <c r="E927">
        <v>13.76</v>
      </c>
      <c r="F927">
        <v>0</v>
      </c>
      <c r="G927">
        <v>0.1</v>
      </c>
      <c r="H927" t="s">
        <v>622</v>
      </c>
      <c r="J927" t="s">
        <v>623</v>
      </c>
      <c r="K927" s="1"/>
      <c r="L927" s="1">
        <v>46039.594710648147</v>
      </c>
      <c r="M927" s="2">
        <v>46039</v>
      </c>
      <c r="N927" t="s">
        <v>634</v>
      </c>
      <c r="O927" t="s">
        <v>625</v>
      </c>
      <c r="P927">
        <v>1</v>
      </c>
      <c r="Q927">
        <v>0</v>
      </c>
      <c r="R927">
        <v>137.62</v>
      </c>
      <c r="S927" t="s">
        <v>351</v>
      </c>
      <c r="T927" t="s">
        <v>778</v>
      </c>
    </row>
    <row r="928" spans="1:20" x14ac:dyDescent="0.3">
      <c r="A928">
        <v>927</v>
      </c>
      <c r="B928">
        <v>13</v>
      </c>
      <c r="C928">
        <v>4</v>
      </c>
      <c r="D928">
        <v>29.44</v>
      </c>
      <c r="E928">
        <v>2.94</v>
      </c>
      <c r="F928">
        <v>0</v>
      </c>
      <c r="G928">
        <v>0.1</v>
      </c>
      <c r="H928" t="s">
        <v>622</v>
      </c>
      <c r="J928" t="s">
        <v>623</v>
      </c>
      <c r="K928" s="1"/>
      <c r="L928" s="1">
        <v>46039.603634259256</v>
      </c>
      <c r="M928" s="2">
        <v>46039</v>
      </c>
      <c r="N928" t="s">
        <v>634</v>
      </c>
      <c r="O928" t="s">
        <v>625</v>
      </c>
      <c r="P928">
        <v>1</v>
      </c>
      <c r="Q928">
        <v>0</v>
      </c>
      <c r="R928">
        <v>29.44</v>
      </c>
      <c r="S928" t="s">
        <v>22</v>
      </c>
      <c r="T928" t="s">
        <v>778</v>
      </c>
    </row>
    <row r="929" spans="1:20" x14ac:dyDescent="0.3">
      <c r="A929">
        <v>928</v>
      </c>
      <c r="B929">
        <v>106</v>
      </c>
      <c r="C929">
        <v>5</v>
      </c>
      <c r="D929">
        <v>74.44</v>
      </c>
      <c r="E929">
        <v>7.44</v>
      </c>
      <c r="F929">
        <v>0</v>
      </c>
      <c r="G929">
        <v>0.1</v>
      </c>
      <c r="H929" t="s">
        <v>622</v>
      </c>
      <c r="J929" t="s">
        <v>623</v>
      </c>
      <c r="K929" s="1"/>
      <c r="L929" s="1">
        <v>46039.650092592594</v>
      </c>
      <c r="M929" s="2">
        <v>46039</v>
      </c>
      <c r="N929" t="s">
        <v>634</v>
      </c>
      <c r="O929" t="s">
        <v>625</v>
      </c>
      <c r="P929">
        <v>1</v>
      </c>
      <c r="Q929">
        <v>0</v>
      </c>
      <c r="R929">
        <v>74.44</v>
      </c>
      <c r="S929" t="s">
        <v>207</v>
      </c>
      <c r="T929" t="s">
        <v>779</v>
      </c>
    </row>
    <row r="930" spans="1:20" x14ac:dyDescent="0.3">
      <c r="A930">
        <v>929</v>
      </c>
      <c r="B930">
        <v>247</v>
      </c>
      <c r="C930">
        <v>5</v>
      </c>
      <c r="D930">
        <v>35.36</v>
      </c>
      <c r="E930">
        <v>3.54</v>
      </c>
      <c r="F930">
        <v>0</v>
      </c>
      <c r="G930">
        <v>0.1</v>
      </c>
      <c r="H930" t="s">
        <v>622</v>
      </c>
      <c r="J930" t="s">
        <v>623</v>
      </c>
      <c r="K930" s="1"/>
      <c r="L930" s="1">
        <v>46039.674270833333</v>
      </c>
      <c r="M930" s="2">
        <v>46039</v>
      </c>
      <c r="N930" t="s">
        <v>634</v>
      </c>
      <c r="O930" t="s">
        <v>625</v>
      </c>
      <c r="P930">
        <v>1</v>
      </c>
      <c r="Q930">
        <v>0</v>
      </c>
      <c r="R930">
        <v>35.36</v>
      </c>
      <c r="S930" t="s">
        <v>489</v>
      </c>
      <c r="T930" t="s">
        <v>779</v>
      </c>
    </row>
    <row r="931" spans="1:20" x14ac:dyDescent="0.3">
      <c r="A931">
        <v>930</v>
      </c>
      <c r="B931">
        <v>18</v>
      </c>
      <c r="C931">
        <v>4</v>
      </c>
      <c r="D931">
        <v>128.01</v>
      </c>
      <c r="E931">
        <v>12.8</v>
      </c>
      <c r="F931">
        <v>0</v>
      </c>
      <c r="G931">
        <v>0.1</v>
      </c>
      <c r="H931" t="s">
        <v>622</v>
      </c>
      <c r="J931" t="s">
        <v>623</v>
      </c>
      <c r="K931" s="1"/>
      <c r="L931" s="1">
        <v>46039.814826388887</v>
      </c>
      <c r="M931" s="2">
        <v>46039</v>
      </c>
      <c r="N931" t="s">
        <v>634</v>
      </c>
      <c r="O931" t="s">
        <v>625</v>
      </c>
      <c r="P931">
        <v>1</v>
      </c>
      <c r="Q931">
        <v>0</v>
      </c>
      <c r="R931">
        <v>128.01</v>
      </c>
      <c r="S931" t="s">
        <v>32</v>
      </c>
      <c r="T931" t="s">
        <v>778</v>
      </c>
    </row>
    <row r="932" spans="1:20" x14ac:dyDescent="0.3">
      <c r="A932">
        <v>931</v>
      </c>
      <c r="B932">
        <v>117</v>
      </c>
      <c r="C932">
        <v>4</v>
      </c>
      <c r="D932">
        <v>37.6</v>
      </c>
      <c r="E932">
        <v>3.76</v>
      </c>
      <c r="F932">
        <v>0</v>
      </c>
      <c r="G932">
        <v>0.1</v>
      </c>
      <c r="H932" t="s">
        <v>622</v>
      </c>
      <c r="J932" t="s">
        <v>623</v>
      </c>
      <c r="K932" s="1"/>
      <c r="L932" s="1">
        <v>46040.441412037035</v>
      </c>
      <c r="M932" s="2">
        <v>46040</v>
      </c>
      <c r="N932" t="s">
        <v>634</v>
      </c>
      <c r="O932" t="s">
        <v>625</v>
      </c>
      <c r="P932">
        <v>1</v>
      </c>
      <c r="Q932">
        <v>0</v>
      </c>
      <c r="R932">
        <v>37.6</v>
      </c>
      <c r="S932" t="s">
        <v>229</v>
      </c>
      <c r="T932" t="s">
        <v>778</v>
      </c>
    </row>
    <row r="933" spans="1:20" x14ac:dyDescent="0.3">
      <c r="A933">
        <v>932</v>
      </c>
      <c r="B933">
        <v>192</v>
      </c>
      <c r="C933">
        <v>4</v>
      </c>
      <c r="D933">
        <v>30.57</v>
      </c>
      <c r="E933">
        <v>3.06</v>
      </c>
      <c r="F933">
        <v>0</v>
      </c>
      <c r="G933">
        <v>0.1</v>
      </c>
      <c r="H933" t="s">
        <v>622</v>
      </c>
      <c r="J933" t="s">
        <v>623</v>
      </c>
      <c r="K933" s="1"/>
      <c r="L933" s="1">
        <v>46040.448206018518</v>
      </c>
      <c r="M933" s="2">
        <v>46040</v>
      </c>
      <c r="N933" t="s">
        <v>634</v>
      </c>
      <c r="O933" t="s">
        <v>625</v>
      </c>
      <c r="P933">
        <v>1</v>
      </c>
      <c r="Q933">
        <v>0</v>
      </c>
      <c r="R933">
        <v>30.57</v>
      </c>
      <c r="S933" t="s">
        <v>379</v>
      </c>
      <c r="T933" t="s">
        <v>778</v>
      </c>
    </row>
    <row r="934" spans="1:20" x14ac:dyDescent="0.3">
      <c r="A934">
        <v>933</v>
      </c>
      <c r="B934">
        <v>6</v>
      </c>
      <c r="C934">
        <v>3</v>
      </c>
      <c r="D934">
        <v>20.85</v>
      </c>
      <c r="E934">
        <v>0</v>
      </c>
      <c r="F934">
        <v>1</v>
      </c>
      <c r="G934">
        <v>0.1</v>
      </c>
      <c r="H934" t="s">
        <v>622</v>
      </c>
      <c r="J934" t="s">
        <v>623</v>
      </c>
      <c r="K934" s="1"/>
      <c r="L934" s="1">
        <v>46040.488113425927</v>
      </c>
      <c r="M934" s="2">
        <v>46040</v>
      </c>
      <c r="N934" t="s">
        <v>634</v>
      </c>
      <c r="O934" t="s">
        <v>629</v>
      </c>
      <c r="P934">
        <v>1</v>
      </c>
      <c r="Q934">
        <v>0</v>
      </c>
      <c r="R934">
        <v>20.85</v>
      </c>
      <c r="S934" t="s">
        <v>8</v>
      </c>
      <c r="T934" t="s">
        <v>777</v>
      </c>
    </row>
    <row r="935" spans="1:20" x14ac:dyDescent="0.3">
      <c r="A935">
        <v>934</v>
      </c>
      <c r="B935">
        <v>50</v>
      </c>
      <c r="C935">
        <v>4</v>
      </c>
      <c r="D935">
        <v>120.49</v>
      </c>
      <c r="E935">
        <v>12.05</v>
      </c>
      <c r="F935">
        <v>0</v>
      </c>
      <c r="G935">
        <v>0.1</v>
      </c>
      <c r="H935" t="s">
        <v>622</v>
      </c>
      <c r="J935" t="s">
        <v>623</v>
      </c>
      <c r="K935" s="1"/>
      <c r="L935" s="1">
        <v>46040.588310185187</v>
      </c>
      <c r="M935" s="2">
        <v>46040</v>
      </c>
      <c r="N935" t="s">
        <v>634</v>
      </c>
      <c r="O935" t="s">
        <v>625</v>
      </c>
      <c r="P935">
        <v>1</v>
      </c>
      <c r="Q935">
        <v>0</v>
      </c>
      <c r="R935">
        <v>120.49</v>
      </c>
      <c r="S935" t="s">
        <v>96</v>
      </c>
      <c r="T935" t="s">
        <v>778</v>
      </c>
    </row>
    <row r="936" spans="1:20" x14ac:dyDescent="0.3">
      <c r="A936">
        <v>935</v>
      </c>
      <c r="B936">
        <v>53</v>
      </c>
      <c r="C936">
        <v>4</v>
      </c>
      <c r="D936">
        <v>38.03</v>
      </c>
      <c r="E936">
        <v>3.8</v>
      </c>
      <c r="F936">
        <v>0</v>
      </c>
      <c r="G936">
        <v>0.1</v>
      </c>
      <c r="H936" t="s">
        <v>622</v>
      </c>
      <c r="J936" t="s">
        <v>623</v>
      </c>
      <c r="K936" s="1"/>
      <c r="L936" s="1">
        <v>46040.624224537038</v>
      </c>
      <c r="M936" s="2">
        <v>46040</v>
      </c>
      <c r="N936" t="s">
        <v>634</v>
      </c>
      <c r="O936" t="s">
        <v>625</v>
      </c>
      <c r="P936">
        <v>1</v>
      </c>
      <c r="Q936">
        <v>0</v>
      </c>
      <c r="R936">
        <v>38.03</v>
      </c>
      <c r="S936" t="s">
        <v>102</v>
      </c>
      <c r="T936" t="s">
        <v>778</v>
      </c>
    </row>
    <row r="937" spans="1:20" x14ac:dyDescent="0.3">
      <c r="A937">
        <v>936</v>
      </c>
      <c r="B937">
        <v>156</v>
      </c>
      <c r="C937">
        <v>2</v>
      </c>
      <c r="D937">
        <v>36.869999999999997</v>
      </c>
      <c r="E937">
        <v>3.69</v>
      </c>
      <c r="F937">
        <v>0</v>
      </c>
      <c r="G937">
        <v>0.1</v>
      </c>
      <c r="H937" t="s">
        <v>622</v>
      </c>
      <c r="J937" t="s">
        <v>623</v>
      </c>
      <c r="K937" s="1"/>
      <c r="L937" s="1">
        <v>46040.688784722224</v>
      </c>
      <c r="M937" s="2">
        <v>46040</v>
      </c>
      <c r="N937" t="s">
        <v>634</v>
      </c>
      <c r="O937" t="s">
        <v>625</v>
      </c>
      <c r="P937">
        <v>1</v>
      </c>
      <c r="Q937">
        <v>0</v>
      </c>
      <c r="R937">
        <v>36.869999999999997</v>
      </c>
      <c r="S937" t="s">
        <v>307</v>
      </c>
      <c r="T937" t="s">
        <v>776</v>
      </c>
    </row>
    <row r="938" spans="1:20" x14ac:dyDescent="0.3">
      <c r="A938">
        <v>937</v>
      </c>
      <c r="B938">
        <v>87</v>
      </c>
      <c r="C938">
        <v>5</v>
      </c>
      <c r="D938">
        <v>89.2</v>
      </c>
      <c r="E938">
        <v>8.92</v>
      </c>
      <c r="F938">
        <v>0</v>
      </c>
      <c r="G938">
        <v>0.1</v>
      </c>
      <c r="H938" t="s">
        <v>622</v>
      </c>
      <c r="J938" t="s">
        <v>623</v>
      </c>
      <c r="K938" s="1"/>
      <c r="L938" s="1">
        <v>46040.692083333335</v>
      </c>
      <c r="M938" s="2">
        <v>46040</v>
      </c>
      <c r="N938" t="s">
        <v>634</v>
      </c>
      <c r="O938" t="s">
        <v>625</v>
      </c>
      <c r="P938">
        <v>1</v>
      </c>
      <c r="Q938">
        <v>0</v>
      </c>
      <c r="R938">
        <v>89.2</v>
      </c>
      <c r="S938" t="s">
        <v>169</v>
      </c>
      <c r="T938" t="s">
        <v>779</v>
      </c>
    </row>
    <row r="939" spans="1:20" x14ac:dyDescent="0.3">
      <c r="A939">
        <v>938</v>
      </c>
      <c r="B939">
        <v>268</v>
      </c>
      <c r="C939">
        <v>3</v>
      </c>
      <c r="D939">
        <v>43.7</v>
      </c>
      <c r="E939">
        <v>4.37</v>
      </c>
      <c r="F939">
        <v>0</v>
      </c>
      <c r="G939">
        <v>0.1</v>
      </c>
      <c r="H939" t="s">
        <v>622</v>
      </c>
      <c r="J939" t="s">
        <v>623</v>
      </c>
      <c r="K939" s="1"/>
      <c r="L939" s="1">
        <v>46040.733449074076</v>
      </c>
      <c r="M939" s="2">
        <v>46040</v>
      </c>
      <c r="N939" t="s">
        <v>634</v>
      </c>
      <c r="O939" t="s">
        <v>625</v>
      </c>
      <c r="P939">
        <v>1</v>
      </c>
      <c r="Q939">
        <v>0</v>
      </c>
      <c r="R939">
        <v>43.7</v>
      </c>
      <c r="S939" t="s">
        <v>531</v>
      </c>
      <c r="T939" t="s">
        <v>777</v>
      </c>
    </row>
    <row r="940" spans="1:20" x14ac:dyDescent="0.3">
      <c r="A940">
        <v>939</v>
      </c>
      <c r="B940">
        <v>156</v>
      </c>
      <c r="C940">
        <v>2</v>
      </c>
      <c r="D940">
        <v>24</v>
      </c>
      <c r="E940">
        <v>2.4</v>
      </c>
      <c r="F940">
        <v>0</v>
      </c>
      <c r="G940">
        <v>0.1</v>
      </c>
      <c r="H940" t="s">
        <v>622</v>
      </c>
      <c r="J940" t="s">
        <v>623</v>
      </c>
      <c r="K940" s="1"/>
      <c r="L940" s="1">
        <v>46040.748912037037</v>
      </c>
      <c r="M940" s="2">
        <v>46040</v>
      </c>
      <c r="N940" t="s">
        <v>634</v>
      </c>
      <c r="O940" t="s">
        <v>625</v>
      </c>
      <c r="P940">
        <v>1</v>
      </c>
      <c r="Q940">
        <v>0</v>
      </c>
      <c r="R940">
        <v>24</v>
      </c>
      <c r="S940" t="s">
        <v>307</v>
      </c>
      <c r="T940" t="s">
        <v>776</v>
      </c>
    </row>
    <row r="941" spans="1:20" x14ac:dyDescent="0.3">
      <c r="A941">
        <v>940</v>
      </c>
      <c r="B941">
        <v>105</v>
      </c>
      <c r="C941">
        <v>4</v>
      </c>
      <c r="D941">
        <v>139.1</v>
      </c>
      <c r="E941">
        <v>13.91</v>
      </c>
      <c r="F941">
        <v>0</v>
      </c>
      <c r="G941">
        <v>0.1</v>
      </c>
      <c r="H941" t="s">
        <v>622</v>
      </c>
      <c r="J941" t="s">
        <v>623</v>
      </c>
      <c r="K941" s="1"/>
      <c r="L941" s="1">
        <v>46040.820335648146</v>
      </c>
      <c r="M941" s="2">
        <v>46040</v>
      </c>
      <c r="N941" t="s">
        <v>634</v>
      </c>
      <c r="O941" t="s">
        <v>625</v>
      </c>
      <c r="P941">
        <v>1</v>
      </c>
      <c r="Q941">
        <v>0</v>
      </c>
      <c r="R941">
        <v>139.1</v>
      </c>
      <c r="S941" t="s">
        <v>205</v>
      </c>
      <c r="T941" t="s">
        <v>778</v>
      </c>
    </row>
    <row r="942" spans="1:20" x14ac:dyDescent="0.3">
      <c r="A942">
        <v>941</v>
      </c>
      <c r="B942">
        <v>51</v>
      </c>
      <c r="C942">
        <v>3</v>
      </c>
      <c r="D942">
        <v>277.13</v>
      </c>
      <c r="E942">
        <v>27.71</v>
      </c>
      <c r="F942">
        <v>0</v>
      </c>
      <c r="G942">
        <v>0.1</v>
      </c>
      <c r="H942" t="s">
        <v>622</v>
      </c>
      <c r="J942" t="s">
        <v>623</v>
      </c>
      <c r="K942" s="1"/>
      <c r="L942" s="1">
        <v>46041.349976851852</v>
      </c>
      <c r="M942" s="2">
        <v>46041</v>
      </c>
      <c r="N942" t="s">
        <v>634</v>
      </c>
      <c r="O942" t="s">
        <v>625</v>
      </c>
      <c r="P942">
        <v>1</v>
      </c>
      <c r="Q942">
        <v>0</v>
      </c>
      <c r="R942">
        <v>277.13</v>
      </c>
      <c r="S942" t="s">
        <v>98</v>
      </c>
      <c r="T942" t="s">
        <v>777</v>
      </c>
    </row>
    <row r="943" spans="1:20" x14ac:dyDescent="0.3">
      <c r="A943">
        <v>942</v>
      </c>
      <c r="B943">
        <v>65</v>
      </c>
      <c r="C943">
        <v>5</v>
      </c>
      <c r="D943">
        <v>38.22</v>
      </c>
      <c r="E943">
        <v>3.82</v>
      </c>
      <c r="F943">
        <v>0</v>
      </c>
      <c r="G943">
        <v>0.1</v>
      </c>
      <c r="H943" t="s">
        <v>622</v>
      </c>
      <c r="J943" t="s">
        <v>623</v>
      </c>
      <c r="K943" s="1"/>
      <c r="L943" s="1">
        <v>46041.361087962963</v>
      </c>
      <c r="M943" s="2">
        <v>46041</v>
      </c>
      <c r="N943" t="s">
        <v>634</v>
      </c>
      <c r="O943" t="s">
        <v>625</v>
      </c>
      <c r="P943">
        <v>1</v>
      </c>
      <c r="Q943">
        <v>0</v>
      </c>
      <c r="R943">
        <v>38.22</v>
      </c>
      <c r="S943" t="s">
        <v>126</v>
      </c>
      <c r="T943" t="s">
        <v>779</v>
      </c>
    </row>
    <row r="944" spans="1:20" x14ac:dyDescent="0.3">
      <c r="A944">
        <v>943</v>
      </c>
      <c r="B944">
        <v>163</v>
      </c>
      <c r="C944">
        <v>4</v>
      </c>
      <c r="D944">
        <v>27.97</v>
      </c>
      <c r="E944">
        <v>2.8</v>
      </c>
      <c r="F944">
        <v>0</v>
      </c>
      <c r="G944">
        <v>0.1</v>
      </c>
      <c r="H944" t="s">
        <v>622</v>
      </c>
      <c r="J944" t="s">
        <v>623</v>
      </c>
      <c r="K944" s="1"/>
      <c r="L944" s="1">
        <v>46041.484791666669</v>
      </c>
      <c r="M944" s="2">
        <v>46041</v>
      </c>
      <c r="N944" t="s">
        <v>634</v>
      </c>
      <c r="O944" t="s">
        <v>625</v>
      </c>
      <c r="P944">
        <v>1</v>
      </c>
      <c r="Q944">
        <v>0</v>
      </c>
      <c r="R944">
        <v>27.97</v>
      </c>
      <c r="S944" t="s">
        <v>321</v>
      </c>
      <c r="T944" t="s">
        <v>778</v>
      </c>
    </row>
    <row r="945" spans="1:20" x14ac:dyDescent="0.3">
      <c r="A945">
        <v>944</v>
      </c>
      <c r="B945">
        <v>106</v>
      </c>
      <c r="C945">
        <v>4</v>
      </c>
      <c r="D945">
        <v>103.39</v>
      </c>
      <c r="E945">
        <v>10.34</v>
      </c>
      <c r="F945">
        <v>0</v>
      </c>
      <c r="G945">
        <v>0.1</v>
      </c>
      <c r="H945" t="s">
        <v>622</v>
      </c>
      <c r="J945" t="s">
        <v>623</v>
      </c>
      <c r="K945" s="1"/>
      <c r="L945" s="1">
        <v>46041.495300925926</v>
      </c>
      <c r="M945" s="2">
        <v>46041</v>
      </c>
      <c r="N945" t="s">
        <v>634</v>
      </c>
      <c r="O945" t="s">
        <v>625</v>
      </c>
      <c r="P945">
        <v>1</v>
      </c>
      <c r="Q945">
        <v>0</v>
      </c>
      <c r="R945">
        <v>103.39</v>
      </c>
      <c r="S945" t="s">
        <v>207</v>
      </c>
      <c r="T945" t="s">
        <v>778</v>
      </c>
    </row>
    <row r="946" spans="1:20" x14ac:dyDescent="0.3">
      <c r="A946">
        <v>945</v>
      </c>
      <c r="B946">
        <v>44</v>
      </c>
      <c r="C946">
        <v>5</v>
      </c>
      <c r="D946">
        <v>23.68</v>
      </c>
      <c r="E946">
        <v>2.37</v>
      </c>
      <c r="F946">
        <v>0</v>
      </c>
      <c r="G946">
        <v>0.1</v>
      </c>
      <c r="H946" t="s">
        <v>622</v>
      </c>
      <c r="J946" t="s">
        <v>623</v>
      </c>
      <c r="K946" s="1"/>
      <c r="L946" s="1">
        <v>46041.524363425924</v>
      </c>
      <c r="M946" s="2">
        <v>46041</v>
      </c>
      <c r="N946" t="s">
        <v>634</v>
      </c>
      <c r="O946" t="s">
        <v>625</v>
      </c>
      <c r="P946">
        <v>1</v>
      </c>
      <c r="Q946">
        <v>0</v>
      </c>
      <c r="R946">
        <v>23.68</v>
      </c>
      <c r="S946" t="s">
        <v>84</v>
      </c>
      <c r="T946" t="s">
        <v>779</v>
      </c>
    </row>
    <row r="947" spans="1:20" x14ac:dyDescent="0.3">
      <c r="A947">
        <v>946</v>
      </c>
      <c r="B947">
        <v>39</v>
      </c>
      <c r="C947">
        <v>2</v>
      </c>
      <c r="D947">
        <v>185.64</v>
      </c>
      <c r="E947">
        <v>18.559999999999999</v>
      </c>
      <c r="F947">
        <v>0</v>
      </c>
      <c r="G947">
        <v>0.1</v>
      </c>
      <c r="H947" t="s">
        <v>622</v>
      </c>
      <c r="J947" t="s">
        <v>623</v>
      </c>
      <c r="K947" s="1"/>
      <c r="L947" s="1">
        <v>46041.55128472222</v>
      </c>
      <c r="M947" s="2">
        <v>46041</v>
      </c>
      <c r="N947" t="s">
        <v>634</v>
      </c>
      <c r="O947" t="s">
        <v>625</v>
      </c>
      <c r="P947">
        <v>1</v>
      </c>
      <c r="Q947">
        <v>0</v>
      </c>
      <c r="R947">
        <v>185.64</v>
      </c>
      <c r="S947" t="s">
        <v>74</v>
      </c>
      <c r="T947" t="s">
        <v>776</v>
      </c>
    </row>
    <row r="948" spans="1:20" x14ac:dyDescent="0.3">
      <c r="A948">
        <v>947</v>
      </c>
      <c r="B948">
        <v>7</v>
      </c>
      <c r="C948">
        <v>5</v>
      </c>
      <c r="D948">
        <v>76.239999999999995</v>
      </c>
      <c r="E948">
        <v>7.62</v>
      </c>
      <c r="F948">
        <v>0</v>
      </c>
      <c r="G948">
        <v>0.1</v>
      </c>
      <c r="H948" t="s">
        <v>622</v>
      </c>
      <c r="J948" t="s">
        <v>623</v>
      </c>
      <c r="K948" s="1"/>
      <c r="L948" s="1">
        <v>46041.556122685186</v>
      </c>
      <c r="M948" s="2">
        <v>46041</v>
      </c>
      <c r="N948" t="s">
        <v>634</v>
      </c>
      <c r="O948" t="s">
        <v>625</v>
      </c>
      <c r="P948">
        <v>1</v>
      </c>
      <c r="Q948">
        <v>0</v>
      </c>
      <c r="R948">
        <v>76.239999999999995</v>
      </c>
      <c r="S948" t="s">
        <v>10</v>
      </c>
      <c r="T948" t="s">
        <v>779</v>
      </c>
    </row>
    <row r="949" spans="1:20" x14ac:dyDescent="0.3">
      <c r="A949">
        <v>948</v>
      </c>
      <c r="B949">
        <v>141</v>
      </c>
      <c r="C949">
        <v>4</v>
      </c>
      <c r="D949">
        <v>188.34</v>
      </c>
      <c r="E949">
        <v>18.829999999999998</v>
      </c>
      <c r="F949">
        <v>0</v>
      </c>
      <c r="G949">
        <v>0.1</v>
      </c>
      <c r="H949" t="s">
        <v>622</v>
      </c>
      <c r="J949" t="s">
        <v>623</v>
      </c>
      <c r="K949" s="1"/>
      <c r="L949" s="1">
        <v>46041.610497685186</v>
      </c>
      <c r="M949" s="2">
        <v>46041</v>
      </c>
      <c r="N949" t="s">
        <v>634</v>
      </c>
      <c r="O949" t="s">
        <v>625</v>
      </c>
      <c r="P949">
        <v>1</v>
      </c>
      <c r="Q949">
        <v>0</v>
      </c>
      <c r="R949">
        <v>188.34</v>
      </c>
      <c r="S949" t="s">
        <v>277</v>
      </c>
      <c r="T949" t="s">
        <v>778</v>
      </c>
    </row>
    <row r="950" spans="1:20" x14ac:dyDescent="0.3">
      <c r="A950">
        <v>949</v>
      </c>
      <c r="B950">
        <v>55</v>
      </c>
      <c r="C950">
        <v>3</v>
      </c>
      <c r="D950">
        <v>24.31</v>
      </c>
      <c r="E950">
        <v>2.4300000000000002</v>
      </c>
      <c r="F950">
        <v>0</v>
      </c>
      <c r="G950">
        <v>0.1</v>
      </c>
      <c r="H950" t="s">
        <v>622</v>
      </c>
      <c r="J950" t="s">
        <v>623</v>
      </c>
      <c r="K950" s="1"/>
      <c r="L950" s="1">
        <v>46041.739606481482</v>
      </c>
      <c r="M950" s="2">
        <v>46041</v>
      </c>
      <c r="N950" t="s">
        <v>634</v>
      </c>
      <c r="O950" t="s">
        <v>625</v>
      </c>
      <c r="P950">
        <v>1</v>
      </c>
      <c r="Q950">
        <v>0</v>
      </c>
      <c r="R950">
        <v>24.31</v>
      </c>
      <c r="S950" t="s">
        <v>106</v>
      </c>
      <c r="T950" t="s">
        <v>777</v>
      </c>
    </row>
    <row r="951" spans="1:20" x14ac:dyDescent="0.3">
      <c r="A951">
        <v>950</v>
      </c>
      <c r="B951">
        <v>280</v>
      </c>
      <c r="C951">
        <v>2</v>
      </c>
      <c r="D951">
        <v>46.51</v>
      </c>
      <c r="E951">
        <v>4.6500000000000004</v>
      </c>
      <c r="F951">
        <v>0</v>
      </c>
      <c r="G951">
        <v>0.1</v>
      </c>
      <c r="H951" t="s">
        <v>622</v>
      </c>
      <c r="J951" t="s">
        <v>623</v>
      </c>
      <c r="K951" s="1"/>
      <c r="L951" s="1">
        <v>46041.825208333335</v>
      </c>
      <c r="M951" s="2">
        <v>46041</v>
      </c>
      <c r="N951" t="s">
        <v>634</v>
      </c>
      <c r="O951" t="s">
        <v>625</v>
      </c>
      <c r="P951">
        <v>1</v>
      </c>
      <c r="Q951">
        <v>0</v>
      </c>
      <c r="R951">
        <v>46.51</v>
      </c>
      <c r="S951" t="s">
        <v>555</v>
      </c>
      <c r="T951" t="s">
        <v>776</v>
      </c>
    </row>
    <row r="952" spans="1:20" x14ac:dyDescent="0.3">
      <c r="A952">
        <v>951</v>
      </c>
      <c r="B952">
        <v>156</v>
      </c>
      <c r="C952">
        <v>2</v>
      </c>
      <c r="D952">
        <v>12.89</v>
      </c>
      <c r="E952">
        <v>1.29</v>
      </c>
      <c r="F952">
        <v>0</v>
      </c>
      <c r="G952">
        <v>0.1</v>
      </c>
      <c r="H952" t="s">
        <v>622</v>
      </c>
      <c r="J952" t="s">
        <v>623</v>
      </c>
      <c r="K952" s="1"/>
      <c r="L952" s="1">
        <v>46042.316817129627</v>
      </c>
      <c r="M952" s="2">
        <v>46042</v>
      </c>
      <c r="N952" t="s">
        <v>634</v>
      </c>
      <c r="O952" t="s">
        <v>625</v>
      </c>
      <c r="P952">
        <v>1</v>
      </c>
      <c r="Q952">
        <v>0</v>
      </c>
      <c r="R952">
        <v>12.89</v>
      </c>
      <c r="S952" t="s">
        <v>307</v>
      </c>
      <c r="T952" t="s">
        <v>776</v>
      </c>
    </row>
    <row r="953" spans="1:20" x14ac:dyDescent="0.3">
      <c r="A953">
        <v>952</v>
      </c>
      <c r="B953">
        <v>202</v>
      </c>
      <c r="C953">
        <v>4</v>
      </c>
      <c r="D953">
        <v>28.5</v>
      </c>
      <c r="E953">
        <v>2.85</v>
      </c>
      <c r="F953">
        <v>0</v>
      </c>
      <c r="G953">
        <v>0.1</v>
      </c>
      <c r="H953" t="s">
        <v>622</v>
      </c>
      <c r="J953" t="s">
        <v>623</v>
      </c>
      <c r="K953" s="1"/>
      <c r="L953" s="1">
        <v>46042.338460648149</v>
      </c>
      <c r="M953" s="2">
        <v>46042</v>
      </c>
      <c r="N953" t="s">
        <v>634</v>
      </c>
      <c r="O953" t="s">
        <v>625</v>
      </c>
      <c r="P953">
        <v>1</v>
      </c>
      <c r="Q953">
        <v>0</v>
      </c>
      <c r="R953">
        <v>28.5</v>
      </c>
      <c r="S953" t="s">
        <v>399</v>
      </c>
      <c r="T953" t="s">
        <v>778</v>
      </c>
    </row>
    <row r="954" spans="1:20" x14ac:dyDescent="0.3">
      <c r="A954">
        <v>953</v>
      </c>
      <c r="B954">
        <v>202</v>
      </c>
      <c r="C954">
        <v>2</v>
      </c>
      <c r="D954">
        <v>21.79</v>
      </c>
      <c r="E954">
        <v>2.1800000000000002</v>
      </c>
      <c r="F954">
        <v>0</v>
      </c>
      <c r="G954">
        <v>0.1</v>
      </c>
      <c r="H954" t="s">
        <v>622</v>
      </c>
      <c r="J954" t="s">
        <v>623</v>
      </c>
      <c r="K954" s="1"/>
      <c r="L954" s="1">
        <v>46042.341157407405</v>
      </c>
      <c r="M954" s="2">
        <v>46042</v>
      </c>
      <c r="N954" t="s">
        <v>634</v>
      </c>
      <c r="O954" t="s">
        <v>625</v>
      </c>
      <c r="P954">
        <v>1</v>
      </c>
      <c r="Q954">
        <v>0</v>
      </c>
      <c r="R954">
        <v>21.79</v>
      </c>
      <c r="S954" t="s">
        <v>399</v>
      </c>
      <c r="T954" t="s">
        <v>776</v>
      </c>
    </row>
    <row r="955" spans="1:20" x14ac:dyDescent="0.3">
      <c r="A955">
        <v>954</v>
      </c>
      <c r="B955">
        <v>109</v>
      </c>
      <c r="C955">
        <v>3</v>
      </c>
      <c r="D955">
        <v>131.68</v>
      </c>
      <c r="E955">
        <v>13.17</v>
      </c>
      <c r="F955">
        <v>0</v>
      </c>
      <c r="G955">
        <v>0.1</v>
      </c>
      <c r="H955" t="s">
        <v>622</v>
      </c>
      <c r="J955" t="s">
        <v>623</v>
      </c>
      <c r="K955" s="1"/>
      <c r="L955" s="1">
        <v>46042.351759259262</v>
      </c>
      <c r="M955" s="2">
        <v>46042</v>
      </c>
      <c r="N955" t="s">
        <v>634</v>
      </c>
      <c r="O955" t="s">
        <v>625</v>
      </c>
      <c r="P955">
        <v>1</v>
      </c>
      <c r="Q955">
        <v>0</v>
      </c>
      <c r="R955">
        <v>131.68</v>
      </c>
      <c r="S955" t="s">
        <v>213</v>
      </c>
      <c r="T955" t="s">
        <v>777</v>
      </c>
    </row>
    <row r="956" spans="1:20" x14ac:dyDescent="0.3">
      <c r="A956">
        <v>955</v>
      </c>
      <c r="B956">
        <v>106</v>
      </c>
      <c r="C956">
        <v>3</v>
      </c>
      <c r="D956">
        <v>89.1</v>
      </c>
      <c r="E956">
        <v>8.91</v>
      </c>
      <c r="F956">
        <v>0</v>
      </c>
      <c r="G956">
        <v>0.1</v>
      </c>
      <c r="H956" t="s">
        <v>622</v>
      </c>
      <c r="J956" t="s">
        <v>623</v>
      </c>
      <c r="K956" s="1"/>
      <c r="L956" s="1">
        <v>46042.375844907408</v>
      </c>
      <c r="M956" s="2">
        <v>46042</v>
      </c>
      <c r="N956" t="s">
        <v>634</v>
      </c>
      <c r="O956" t="s">
        <v>625</v>
      </c>
      <c r="P956">
        <v>1</v>
      </c>
      <c r="Q956">
        <v>0</v>
      </c>
      <c r="R956">
        <v>89.1</v>
      </c>
      <c r="S956" t="s">
        <v>207</v>
      </c>
      <c r="T956" t="s">
        <v>777</v>
      </c>
    </row>
    <row r="957" spans="1:20" x14ac:dyDescent="0.3">
      <c r="A957">
        <v>956</v>
      </c>
      <c r="B957">
        <v>252</v>
      </c>
      <c r="C957">
        <v>5</v>
      </c>
      <c r="D957">
        <v>27.59</v>
      </c>
      <c r="E957">
        <v>2.76</v>
      </c>
      <c r="F957">
        <v>0</v>
      </c>
      <c r="G957">
        <v>0.1</v>
      </c>
      <c r="H957" t="s">
        <v>622</v>
      </c>
      <c r="J957" t="s">
        <v>623</v>
      </c>
      <c r="K957" s="1"/>
      <c r="L957" s="1">
        <v>46042.453101851854</v>
      </c>
      <c r="M957" s="2">
        <v>46042</v>
      </c>
      <c r="N957" t="s">
        <v>634</v>
      </c>
      <c r="O957" t="s">
        <v>625</v>
      </c>
      <c r="P957">
        <v>1</v>
      </c>
      <c r="Q957">
        <v>0</v>
      </c>
      <c r="R957">
        <v>27.59</v>
      </c>
      <c r="S957" t="s">
        <v>499</v>
      </c>
      <c r="T957" t="s">
        <v>779</v>
      </c>
    </row>
    <row r="958" spans="1:20" x14ac:dyDescent="0.3">
      <c r="A958">
        <v>957</v>
      </c>
      <c r="B958">
        <v>59</v>
      </c>
      <c r="C958">
        <v>2</v>
      </c>
      <c r="D958">
        <v>19.48</v>
      </c>
      <c r="E958">
        <v>1.95</v>
      </c>
      <c r="F958">
        <v>0</v>
      </c>
      <c r="G958">
        <v>0.1</v>
      </c>
      <c r="H958" t="s">
        <v>622</v>
      </c>
      <c r="J958" t="s">
        <v>623</v>
      </c>
      <c r="K958" s="1"/>
      <c r="L958" s="1">
        <v>46042.469270833331</v>
      </c>
      <c r="M958" s="2">
        <v>46042</v>
      </c>
      <c r="N958" t="s">
        <v>634</v>
      </c>
      <c r="O958" t="s">
        <v>625</v>
      </c>
      <c r="P958">
        <v>1</v>
      </c>
      <c r="Q958">
        <v>0</v>
      </c>
      <c r="R958">
        <v>19.48</v>
      </c>
      <c r="S958" t="s">
        <v>114</v>
      </c>
      <c r="T958" t="s">
        <v>776</v>
      </c>
    </row>
    <row r="959" spans="1:20" x14ac:dyDescent="0.3">
      <c r="A959">
        <v>958</v>
      </c>
      <c r="B959">
        <v>118</v>
      </c>
      <c r="C959">
        <v>5</v>
      </c>
      <c r="D959">
        <v>58.6</v>
      </c>
      <c r="E959">
        <v>5.86</v>
      </c>
      <c r="F959">
        <v>0</v>
      </c>
      <c r="G959">
        <v>0.1</v>
      </c>
      <c r="H959" t="s">
        <v>622</v>
      </c>
      <c r="J959" t="s">
        <v>623</v>
      </c>
      <c r="K959" s="1"/>
      <c r="L959" s="1">
        <v>46042.497210648151</v>
      </c>
      <c r="M959" s="2">
        <v>46042</v>
      </c>
      <c r="N959" t="s">
        <v>634</v>
      </c>
      <c r="O959" t="s">
        <v>625</v>
      </c>
      <c r="P959">
        <v>1</v>
      </c>
      <c r="Q959">
        <v>0</v>
      </c>
      <c r="R959">
        <v>58.6</v>
      </c>
      <c r="S959" t="s">
        <v>231</v>
      </c>
      <c r="T959" t="s">
        <v>779</v>
      </c>
    </row>
    <row r="960" spans="1:20" x14ac:dyDescent="0.3">
      <c r="A960">
        <v>959</v>
      </c>
      <c r="B960">
        <v>50</v>
      </c>
      <c r="C960">
        <v>3</v>
      </c>
      <c r="D960">
        <v>112.38</v>
      </c>
      <c r="E960">
        <v>11.24</v>
      </c>
      <c r="F960">
        <v>0</v>
      </c>
      <c r="G960">
        <v>0.1</v>
      </c>
      <c r="H960" t="s">
        <v>622</v>
      </c>
      <c r="J960" t="s">
        <v>623</v>
      </c>
      <c r="K960" s="1"/>
      <c r="L960" s="1">
        <v>46042.542210648149</v>
      </c>
      <c r="M960" s="2">
        <v>46042</v>
      </c>
      <c r="N960" t="s">
        <v>634</v>
      </c>
      <c r="O960" t="s">
        <v>625</v>
      </c>
      <c r="P960">
        <v>1</v>
      </c>
      <c r="Q960">
        <v>0</v>
      </c>
      <c r="R960">
        <v>112.38</v>
      </c>
      <c r="S960" t="s">
        <v>96</v>
      </c>
      <c r="T960" t="s">
        <v>777</v>
      </c>
    </row>
    <row r="961" spans="1:20" x14ac:dyDescent="0.3">
      <c r="A961">
        <v>960</v>
      </c>
      <c r="B961">
        <v>109</v>
      </c>
      <c r="C961">
        <v>4</v>
      </c>
      <c r="D961">
        <v>155.91999999999999</v>
      </c>
      <c r="E961">
        <v>15.59</v>
      </c>
      <c r="F961">
        <v>0</v>
      </c>
      <c r="G961">
        <v>0.1</v>
      </c>
      <c r="H961" t="s">
        <v>622</v>
      </c>
      <c r="J961" t="s">
        <v>623</v>
      </c>
      <c r="K961" s="1"/>
      <c r="L961" s="1">
        <v>46042.658819444441</v>
      </c>
      <c r="M961" s="2">
        <v>46042</v>
      </c>
      <c r="N961" t="s">
        <v>634</v>
      </c>
      <c r="O961" t="s">
        <v>625</v>
      </c>
      <c r="P961">
        <v>1</v>
      </c>
      <c r="Q961">
        <v>0</v>
      </c>
      <c r="R961">
        <v>155.91999999999999</v>
      </c>
      <c r="S961" t="s">
        <v>213</v>
      </c>
      <c r="T961" t="s">
        <v>778</v>
      </c>
    </row>
    <row r="962" spans="1:20" x14ac:dyDescent="0.3">
      <c r="A962">
        <v>961</v>
      </c>
      <c r="B962">
        <v>39</v>
      </c>
      <c r="C962">
        <v>3</v>
      </c>
      <c r="D962">
        <v>222.44</v>
      </c>
      <c r="E962">
        <v>22.24</v>
      </c>
      <c r="F962">
        <v>0</v>
      </c>
      <c r="G962">
        <v>0.1</v>
      </c>
      <c r="H962" t="s">
        <v>622</v>
      </c>
      <c r="J962" t="s">
        <v>623</v>
      </c>
      <c r="K962" s="1"/>
      <c r="L962" s="1">
        <v>46042.66138888889</v>
      </c>
      <c r="M962" s="2">
        <v>46042</v>
      </c>
      <c r="N962" t="s">
        <v>634</v>
      </c>
      <c r="O962" t="s">
        <v>625</v>
      </c>
      <c r="P962">
        <v>1</v>
      </c>
      <c r="Q962">
        <v>0</v>
      </c>
      <c r="R962">
        <v>222.44</v>
      </c>
      <c r="S962" t="s">
        <v>74</v>
      </c>
      <c r="T962" t="s">
        <v>777</v>
      </c>
    </row>
    <row r="963" spans="1:20" x14ac:dyDescent="0.3">
      <c r="A963">
        <v>962</v>
      </c>
      <c r="B963">
        <v>178</v>
      </c>
      <c r="C963">
        <v>2</v>
      </c>
      <c r="D963">
        <v>245.53</v>
      </c>
      <c r="E963">
        <v>24.55</v>
      </c>
      <c r="F963">
        <v>0</v>
      </c>
      <c r="G963">
        <v>0.1</v>
      </c>
      <c r="H963" t="s">
        <v>622</v>
      </c>
      <c r="J963" t="s">
        <v>623</v>
      </c>
      <c r="K963" s="1"/>
      <c r="L963" s="1">
        <v>46042.69321759259</v>
      </c>
      <c r="M963" s="2">
        <v>46042</v>
      </c>
      <c r="N963" t="s">
        <v>634</v>
      </c>
      <c r="O963" t="s">
        <v>625</v>
      </c>
      <c r="P963">
        <v>1</v>
      </c>
      <c r="Q963">
        <v>0</v>
      </c>
      <c r="R963">
        <v>245.53</v>
      </c>
      <c r="S963" t="s">
        <v>351</v>
      </c>
      <c r="T963" t="s">
        <v>776</v>
      </c>
    </row>
    <row r="964" spans="1:20" x14ac:dyDescent="0.3">
      <c r="A964">
        <v>963</v>
      </c>
      <c r="B964">
        <v>227</v>
      </c>
      <c r="C964">
        <v>5</v>
      </c>
      <c r="D964">
        <v>30.81</v>
      </c>
      <c r="E964">
        <v>3.08</v>
      </c>
      <c r="F964">
        <v>0</v>
      </c>
      <c r="G964">
        <v>0.1</v>
      </c>
      <c r="H964" t="s">
        <v>622</v>
      </c>
      <c r="J964" t="s">
        <v>623</v>
      </c>
      <c r="K964" s="1"/>
      <c r="L964" s="1">
        <v>46042.741249999999</v>
      </c>
      <c r="M964" s="2">
        <v>46042</v>
      </c>
      <c r="N964" t="s">
        <v>634</v>
      </c>
      <c r="O964" t="s">
        <v>625</v>
      </c>
      <c r="P964">
        <v>1</v>
      </c>
      <c r="Q964">
        <v>0</v>
      </c>
      <c r="R964">
        <v>30.81</v>
      </c>
      <c r="S964" t="s">
        <v>449</v>
      </c>
      <c r="T964" t="s">
        <v>779</v>
      </c>
    </row>
    <row r="965" spans="1:20" x14ac:dyDescent="0.3">
      <c r="A965">
        <v>964</v>
      </c>
      <c r="B965">
        <v>265</v>
      </c>
      <c r="C965">
        <v>2</v>
      </c>
      <c r="D965">
        <v>75.62</v>
      </c>
      <c r="E965">
        <v>7.56</v>
      </c>
      <c r="F965">
        <v>0</v>
      </c>
      <c r="G965">
        <v>0.1</v>
      </c>
      <c r="H965" t="s">
        <v>622</v>
      </c>
      <c r="J965" t="s">
        <v>623</v>
      </c>
      <c r="K965" s="1"/>
      <c r="L965" s="1">
        <v>46042.768819444442</v>
      </c>
      <c r="M965" s="2">
        <v>46042</v>
      </c>
      <c r="N965" t="s">
        <v>634</v>
      </c>
      <c r="O965" t="s">
        <v>625</v>
      </c>
      <c r="P965">
        <v>1</v>
      </c>
      <c r="Q965">
        <v>0</v>
      </c>
      <c r="R965">
        <v>75.62</v>
      </c>
      <c r="S965" t="s">
        <v>525</v>
      </c>
      <c r="T965" t="s">
        <v>776</v>
      </c>
    </row>
    <row r="966" spans="1:20" x14ac:dyDescent="0.3">
      <c r="A966">
        <v>965</v>
      </c>
      <c r="B966">
        <v>87</v>
      </c>
      <c r="C966">
        <v>5</v>
      </c>
      <c r="D966">
        <v>134.59</v>
      </c>
      <c r="E966">
        <v>13.46</v>
      </c>
      <c r="F966">
        <v>0</v>
      </c>
      <c r="G966">
        <v>0.1</v>
      </c>
      <c r="H966" t="s">
        <v>622</v>
      </c>
      <c r="J966" t="s">
        <v>623</v>
      </c>
      <c r="K966" s="1"/>
      <c r="L966" s="1">
        <v>46043.32167824074</v>
      </c>
      <c r="M966" s="2">
        <v>46043</v>
      </c>
      <c r="N966" t="s">
        <v>634</v>
      </c>
      <c r="O966" t="s">
        <v>625</v>
      </c>
      <c r="P966">
        <v>1</v>
      </c>
      <c r="Q966">
        <v>0</v>
      </c>
      <c r="R966">
        <v>134.59</v>
      </c>
      <c r="S966" t="s">
        <v>169</v>
      </c>
      <c r="T966" t="s">
        <v>779</v>
      </c>
    </row>
    <row r="967" spans="1:20" x14ac:dyDescent="0.3">
      <c r="A967">
        <v>966</v>
      </c>
      <c r="B967">
        <v>48</v>
      </c>
      <c r="C967">
        <v>5</v>
      </c>
      <c r="D967">
        <v>168.1</v>
      </c>
      <c r="E967">
        <v>16.809999999999999</v>
      </c>
      <c r="F967">
        <v>0</v>
      </c>
      <c r="G967">
        <v>0.1</v>
      </c>
      <c r="H967" t="s">
        <v>622</v>
      </c>
      <c r="J967" t="s">
        <v>623</v>
      </c>
      <c r="K967" s="1"/>
      <c r="L967" s="1">
        <v>46043.400312500002</v>
      </c>
      <c r="M967" s="2">
        <v>46043</v>
      </c>
      <c r="N967" t="s">
        <v>634</v>
      </c>
      <c r="O967" t="s">
        <v>625</v>
      </c>
      <c r="P967">
        <v>1</v>
      </c>
      <c r="Q967">
        <v>0</v>
      </c>
      <c r="R967">
        <v>168.1</v>
      </c>
      <c r="S967" t="s">
        <v>92</v>
      </c>
      <c r="T967" t="s">
        <v>779</v>
      </c>
    </row>
    <row r="968" spans="1:20" x14ac:dyDescent="0.3">
      <c r="A968">
        <v>967</v>
      </c>
      <c r="B968">
        <v>207</v>
      </c>
      <c r="C968">
        <v>3</v>
      </c>
      <c r="D968">
        <v>32.03</v>
      </c>
      <c r="E968">
        <v>3.2</v>
      </c>
      <c r="F968">
        <v>0</v>
      </c>
      <c r="G968">
        <v>0.1</v>
      </c>
      <c r="H968" t="s">
        <v>622</v>
      </c>
      <c r="J968" t="s">
        <v>623</v>
      </c>
      <c r="K968" s="1"/>
      <c r="L968" s="1">
        <v>46043.420543981483</v>
      </c>
      <c r="M968" s="2">
        <v>46043</v>
      </c>
      <c r="N968" t="s">
        <v>634</v>
      </c>
      <c r="O968" t="s">
        <v>625</v>
      </c>
      <c r="P968">
        <v>1</v>
      </c>
      <c r="Q968">
        <v>0</v>
      </c>
      <c r="R968">
        <v>32.03</v>
      </c>
      <c r="S968" t="s">
        <v>409</v>
      </c>
      <c r="T968" t="s">
        <v>777</v>
      </c>
    </row>
    <row r="969" spans="1:20" x14ac:dyDescent="0.3">
      <c r="A969">
        <v>968</v>
      </c>
      <c r="B969">
        <v>223</v>
      </c>
      <c r="C969">
        <v>5</v>
      </c>
      <c r="D969">
        <v>22.85</v>
      </c>
      <c r="E969">
        <v>2.29</v>
      </c>
      <c r="F969">
        <v>0</v>
      </c>
      <c r="G969">
        <v>0.1</v>
      </c>
      <c r="H969" t="s">
        <v>622</v>
      </c>
      <c r="J969" t="s">
        <v>623</v>
      </c>
      <c r="K969" s="1"/>
      <c r="L969" s="1">
        <v>46043.425034722219</v>
      </c>
      <c r="M969" s="2">
        <v>46043</v>
      </c>
      <c r="N969" t="s">
        <v>634</v>
      </c>
      <c r="O969" t="s">
        <v>625</v>
      </c>
      <c r="P969">
        <v>1</v>
      </c>
      <c r="Q969">
        <v>0</v>
      </c>
      <c r="R969">
        <v>22.85</v>
      </c>
      <c r="S969" t="s">
        <v>441</v>
      </c>
      <c r="T969" t="s">
        <v>779</v>
      </c>
    </row>
    <row r="970" spans="1:20" x14ac:dyDescent="0.3">
      <c r="A970">
        <v>969</v>
      </c>
      <c r="B970">
        <v>156</v>
      </c>
      <c r="C970">
        <v>3</v>
      </c>
      <c r="D970">
        <v>30.03</v>
      </c>
      <c r="E970">
        <v>3</v>
      </c>
      <c r="F970">
        <v>0</v>
      </c>
      <c r="G970">
        <v>0.1</v>
      </c>
      <c r="H970" t="s">
        <v>622</v>
      </c>
      <c r="J970" t="s">
        <v>623</v>
      </c>
      <c r="K970" s="1"/>
      <c r="L970" s="1">
        <v>46043.428912037038</v>
      </c>
      <c r="M970" s="2">
        <v>46043</v>
      </c>
      <c r="N970" t="s">
        <v>634</v>
      </c>
      <c r="O970" t="s">
        <v>625</v>
      </c>
      <c r="P970">
        <v>1</v>
      </c>
      <c r="Q970">
        <v>0</v>
      </c>
      <c r="R970">
        <v>30.03</v>
      </c>
      <c r="S970" t="s">
        <v>307</v>
      </c>
      <c r="T970" t="s">
        <v>777</v>
      </c>
    </row>
    <row r="971" spans="1:20" x14ac:dyDescent="0.3">
      <c r="A971">
        <v>970</v>
      </c>
      <c r="B971">
        <v>137</v>
      </c>
      <c r="C971">
        <v>2</v>
      </c>
      <c r="D971">
        <v>38.9</v>
      </c>
      <c r="E971">
        <v>3.89</v>
      </c>
      <c r="F971">
        <v>0</v>
      </c>
      <c r="G971">
        <v>0.1</v>
      </c>
      <c r="H971" t="s">
        <v>622</v>
      </c>
      <c r="J971" t="s">
        <v>623</v>
      </c>
      <c r="K971" s="1"/>
      <c r="L971" s="1">
        <v>46043.825104166666</v>
      </c>
      <c r="M971" s="2">
        <v>46043</v>
      </c>
      <c r="N971" t="s">
        <v>634</v>
      </c>
      <c r="O971" t="s">
        <v>625</v>
      </c>
      <c r="P971">
        <v>1</v>
      </c>
      <c r="Q971">
        <v>0</v>
      </c>
      <c r="R971">
        <v>38.9</v>
      </c>
      <c r="S971" t="s">
        <v>269</v>
      </c>
      <c r="T971" t="s">
        <v>776</v>
      </c>
    </row>
    <row r="972" spans="1:20" x14ac:dyDescent="0.3">
      <c r="A972">
        <v>971</v>
      </c>
      <c r="B972">
        <v>290</v>
      </c>
      <c r="C972">
        <v>3</v>
      </c>
      <c r="D972">
        <v>26.77</v>
      </c>
      <c r="E972">
        <v>2.68</v>
      </c>
      <c r="F972">
        <v>0</v>
      </c>
      <c r="G972">
        <v>0.1</v>
      </c>
      <c r="H972" t="s">
        <v>622</v>
      </c>
      <c r="J972" t="s">
        <v>623</v>
      </c>
      <c r="K972" s="1"/>
      <c r="L972" s="1">
        <v>46044.33761574074</v>
      </c>
      <c r="M972" s="2">
        <v>46044</v>
      </c>
      <c r="N972" t="s">
        <v>634</v>
      </c>
      <c r="O972" t="s">
        <v>625</v>
      </c>
      <c r="P972">
        <v>1</v>
      </c>
      <c r="Q972">
        <v>0</v>
      </c>
      <c r="R972">
        <v>26.77</v>
      </c>
      <c r="S972" t="s">
        <v>575</v>
      </c>
      <c r="T972" t="s">
        <v>777</v>
      </c>
    </row>
    <row r="973" spans="1:20" x14ac:dyDescent="0.3">
      <c r="A973">
        <v>972</v>
      </c>
      <c r="B973">
        <v>175</v>
      </c>
      <c r="C973">
        <v>3</v>
      </c>
      <c r="D973">
        <v>31.08</v>
      </c>
      <c r="E973">
        <v>3.11</v>
      </c>
      <c r="F973">
        <v>0</v>
      </c>
      <c r="G973">
        <v>0.1</v>
      </c>
      <c r="H973" t="s">
        <v>622</v>
      </c>
      <c r="J973" t="s">
        <v>623</v>
      </c>
      <c r="K973" s="1"/>
      <c r="L973" s="1">
        <v>46044.364178240743</v>
      </c>
      <c r="M973" s="2">
        <v>46044</v>
      </c>
      <c r="N973" t="s">
        <v>634</v>
      </c>
      <c r="O973" t="s">
        <v>625</v>
      </c>
      <c r="P973">
        <v>1</v>
      </c>
      <c r="Q973">
        <v>0</v>
      </c>
      <c r="R973">
        <v>31.08</v>
      </c>
      <c r="S973" t="s">
        <v>345</v>
      </c>
      <c r="T973" t="s">
        <v>777</v>
      </c>
    </row>
    <row r="974" spans="1:20" x14ac:dyDescent="0.3">
      <c r="A974">
        <v>973</v>
      </c>
      <c r="B974">
        <v>186</v>
      </c>
      <c r="C974">
        <v>2</v>
      </c>
      <c r="D974">
        <v>97.97</v>
      </c>
      <c r="E974">
        <v>9.8000000000000007</v>
      </c>
      <c r="F974">
        <v>0</v>
      </c>
      <c r="G974">
        <v>0.1</v>
      </c>
      <c r="H974" t="s">
        <v>622</v>
      </c>
      <c r="J974" t="s">
        <v>623</v>
      </c>
      <c r="K974" s="1"/>
      <c r="L974" s="1">
        <v>46044.467152777775</v>
      </c>
      <c r="M974" s="2">
        <v>46044</v>
      </c>
      <c r="N974" t="s">
        <v>634</v>
      </c>
      <c r="O974" t="s">
        <v>625</v>
      </c>
      <c r="P974">
        <v>1</v>
      </c>
      <c r="Q974">
        <v>0</v>
      </c>
      <c r="R974">
        <v>97.97</v>
      </c>
      <c r="S974" t="s">
        <v>367</v>
      </c>
      <c r="T974" t="s">
        <v>776</v>
      </c>
    </row>
    <row r="975" spans="1:20" x14ac:dyDescent="0.3">
      <c r="A975">
        <v>974</v>
      </c>
      <c r="B975">
        <v>230</v>
      </c>
      <c r="C975">
        <v>4</v>
      </c>
      <c r="D975">
        <v>148.15</v>
      </c>
      <c r="E975">
        <v>14.82</v>
      </c>
      <c r="F975">
        <v>0</v>
      </c>
      <c r="G975">
        <v>0.1</v>
      </c>
      <c r="H975" t="s">
        <v>622</v>
      </c>
      <c r="J975" t="s">
        <v>623</v>
      </c>
      <c r="K975" s="1"/>
      <c r="L975" s="1">
        <v>46044.474178240744</v>
      </c>
      <c r="M975" s="2">
        <v>46044</v>
      </c>
      <c r="N975" t="s">
        <v>634</v>
      </c>
      <c r="O975" t="s">
        <v>625</v>
      </c>
      <c r="P975">
        <v>1</v>
      </c>
      <c r="Q975">
        <v>0</v>
      </c>
      <c r="R975">
        <v>148.15</v>
      </c>
      <c r="S975" t="s">
        <v>455</v>
      </c>
      <c r="T975" t="s">
        <v>778</v>
      </c>
    </row>
    <row r="976" spans="1:20" x14ac:dyDescent="0.3">
      <c r="A976">
        <v>975</v>
      </c>
      <c r="B976">
        <v>92</v>
      </c>
      <c r="C976">
        <v>4</v>
      </c>
      <c r="D976">
        <v>14.52</v>
      </c>
      <c r="E976">
        <v>1.45</v>
      </c>
      <c r="F976">
        <v>0</v>
      </c>
      <c r="G976">
        <v>0.1</v>
      </c>
      <c r="H976" t="s">
        <v>622</v>
      </c>
      <c r="J976" t="s">
        <v>623</v>
      </c>
      <c r="K976" s="1"/>
      <c r="L976" s="1">
        <v>46044.486597222225</v>
      </c>
      <c r="M976" s="2">
        <v>46044</v>
      </c>
      <c r="N976" t="s">
        <v>634</v>
      </c>
      <c r="O976" t="s">
        <v>625</v>
      </c>
      <c r="P976">
        <v>1</v>
      </c>
      <c r="Q976">
        <v>0</v>
      </c>
      <c r="R976">
        <v>14.52</v>
      </c>
      <c r="S976" t="s">
        <v>179</v>
      </c>
      <c r="T976" t="s">
        <v>778</v>
      </c>
    </row>
    <row r="977" spans="1:20" x14ac:dyDescent="0.3">
      <c r="A977">
        <v>976</v>
      </c>
      <c r="B977">
        <v>240</v>
      </c>
      <c r="C977">
        <v>2</v>
      </c>
      <c r="D977">
        <v>191.67</v>
      </c>
      <c r="E977">
        <v>19.170000000000002</v>
      </c>
      <c r="F977">
        <v>0</v>
      </c>
      <c r="G977">
        <v>0.1</v>
      </c>
      <c r="H977" t="s">
        <v>622</v>
      </c>
      <c r="J977" t="s">
        <v>623</v>
      </c>
      <c r="K977" s="1"/>
      <c r="L977" s="1">
        <v>46044.527361111112</v>
      </c>
      <c r="M977" s="2">
        <v>46044</v>
      </c>
      <c r="N977" t="s">
        <v>634</v>
      </c>
      <c r="O977" t="s">
        <v>625</v>
      </c>
      <c r="P977">
        <v>1</v>
      </c>
      <c r="Q977">
        <v>0</v>
      </c>
      <c r="R977">
        <v>191.67</v>
      </c>
      <c r="S977" t="s">
        <v>475</v>
      </c>
      <c r="T977" t="s">
        <v>776</v>
      </c>
    </row>
    <row r="978" spans="1:20" x14ac:dyDescent="0.3">
      <c r="A978">
        <v>977</v>
      </c>
      <c r="B978">
        <v>41</v>
      </c>
      <c r="C978">
        <v>5</v>
      </c>
      <c r="D978">
        <v>106.1</v>
      </c>
      <c r="E978">
        <v>10.61</v>
      </c>
      <c r="F978">
        <v>0</v>
      </c>
      <c r="G978">
        <v>0.1</v>
      </c>
      <c r="H978" t="s">
        <v>622</v>
      </c>
      <c r="J978" t="s">
        <v>623</v>
      </c>
      <c r="K978" s="1"/>
      <c r="L978" s="1">
        <v>46044.563101851854</v>
      </c>
      <c r="M978" s="2">
        <v>46044</v>
      </c>
      <c r="N978" t="s">
        <v>634</v>
      </c>
      <c r="O978" t="s">
        <v>625</v>
      </c>
      <c r="P978">
        <v>1</v>
      </c>
      <c r="Q978">
        <v>0</v>
      </c>
      <c r="R978">
        <v>106.1</v>
      </c>
      <c r="S978" t="s">
        <v>78</v>
      </c>
      <c r="T978" t="s">
        <v>779</v>
      </c>
    </row>
    <row r="979" spans="1:20" x14ac:dyDescent="0.3">
      <c r="A979">
        <v>978</v>
      </c>
      <c r="B979">
        <v>171</v>
      </c>
      <c r="C979">
        <v>2</v>
      </c>
      <c r="D979">
        <v>69.38</v>
      </c>
      <c r="E979">
        <v>6.94</v>
      </c>
      <c r="F979">
        <v>0</v>
      </c>
      <c r="G979">
        <v>0.1</v>
      </c>
      <c r="H979" t="s">
        <v>622</v>
      </c>
      <c r="J979" t="s">
        <v>623</v>
      </c>
      <c r="K979" s="1"/>
      <c r="L979" s="1">
        <v>46044.597592592596</v>
      </c>
      <c r="M979" s="2">
        <v>46044</v>
      </c>
      <c r="N979" t="s">
        <v>634</v>
      </c>
      <c r="O979" t="s">
        <v>625</v>
      </c>
      <c r="P979">
        <v>1</v>
      </c>
      <c r="Q979">
        <v>0</v>
      </c>
      <c r="R979">
        <v>69.38</v>
      </c>
      <c r="S979" t="s">
        <v>337</v>
      </c>
      <c r="T979" t="s">
        <v>776</v>
      </c>
    </row>
    <row r="980" spans="1:20" x14ac:dyDescent="0.3">
      <c r="A980">
        <v>979</v>
      </c>
      <c r="B980">
        <v>241</v>
      </c>
      <c r="C980">
        <v>2</v>
      </c>
      <c r="D980">
        <v>31.42</v>
      </c>
      <c r="E980">
        <v>3.14</v>
      </c>
      <c r="F980">
        <v>0</v>
      </c>
      <c r="G980">
        <v>0.1</v>
      </c>
      <c r="H980" t="s">
        <v>622</v>
      </c>
      <c r="J980" t="s">
        <v>623</v>
      </c>
      <c r="K980" s="1"/>
      <c r="L980" s="1">
        <v>46044.673252314817</v>
      </c>
      <c r="M980" s="2">
        <v>46044</v>
      </c>
      <c r="N980" t="s">
        <v>634</v>
      </c>
      <c r="O980" t="s">
        <v>625</v>
      </c>
      <c r="P980">
        <v>1</v>
      </c>
      <c r="Q980">
        <v>0</v>
      </c>
      <c r="R980">
        <v>31.42</v>
      </c>
      <c r="S980" t="s">
        <v>477</v>
      </c>
      <c r="T980" t="s">
        <v>776</v>
      </c>
    </row>
    <row r="981" spans="1:20" x14ac:dyDescent="0.3">
      <c r="A981">
        <v>980</v>
      </c>
      <c r="B981">
        <v>251</v>
      </c>
      <c r="C981">
        <v>3</v>
      </c>
      <c r="D981">
        <v>110.05</v>
      </c>
      <c r="E981">
        <v>11.01</v>
      </c>
      <c r="F981">
        <v>0</v>
      </c>
      <c r="G981">
        <v>0.1</v>
      </c>
      <c r="H981" t="s">
        <v>622</v>
      </c>
      <c r="J981" t="s">
        <v>623</v>
      </c>
      <c r="K981" s="1"/>
      <c r="L981" s="1">
        <v>46044.681261574071</v>
      </c>
      <c r="M981" s="2">
        <v>46044</v>
      </c>
      <c r="N981" t="s">
        <v>634</v>
      </c>
      <c r="O981" t="s">
        <v>625</v>
      </c>
      <c r="P981">
        <v>1</v>
      </c>
      <c r="Q981">
        <v>0</v>
      </c>
      <c r="R981">
        <v>110.05</v>
      </c>
      <c r="S981" t="s">
        <v>497</v>
      </c>
      <c r="T981" t="s">
        <v>777</v>
      </c>
    </row>
    <row r="982" spans="1:20" x14ac:dyDescent="0.3">
      <c r="A982">
        <v>981</v>
      </c>
      <c r="B982">
        <v>136</v>
      </c>
      <c r="C982">
        <v>2</v>
      </c>
      <c r="D982">
        <v>79.099999999999994</v>
      </c>
      <c r="E982">
        <v>7.91</v>
      </c>
      <c r="F982">
        <v>0</v>
      </c>
      <c r="G982">
        <v>0.1</v>
      </c>
      <c r="H982" t="s">
        <v>622</v>
      </c>
      <c r="J982" t="s">
        <v>623</v>
      </c>
      <c r="K982" s="1"/>
      <c r="L982" s="1">
        <v>46044.818703703706</v>
      </c>
      <c r="M982" s="2">
        <v>46044</v>
      </c>
      <c r="N982" t="s">
        <v>634</v>
      </c>
      <c r="O982" t="s">
        <v>625</v>
      </c>
      <c r="P982">
        <v>1</v>
      </c>
      <c r="Q982">
        <v>0</v>
      </c>
      <c r="R982">
        <v>79.099999999999994</v>
      </c>
      <c r="S982" t="s">
        <v>267</v>
      </c>
      <c r="T982" t="s">
        <v>776</v>
      </c>
    </row>
    <row r="983" spans="1:20" x14ac:dyDescent="0.3">
      <c r="A983">
        <v>982</v>
      </c>
      <c r="B983">
        <v>150</v>
      </c>
      <c r="C983">
        <v>2</v>
      </c>
      <c r="D983">
        <v>85.14</v>
      </c>
      <c r="E983">
        <v>8.51</v>
      </c>
      <c r="F983">
        <v>0</v>
      </c>
      <c r="G983">
        <v>0.1</v>
      </c>
      <c r="H983" t="s">
        <v>622</v>
      </c>
      <c r="J983" t="s">
        <v>623</v>
      </c>
      <c r="K983" s="1"/>
      <c r="L983" s="1">
        <v>46045.333101851851</v>
      </c>
      <c r="M983" s="2">
        <v>46045</v>
      </c>
      <c r="N983" t="s">
        <v>634</v>
      </c>
      <c r="O983" t="s">
        <v>625</v>
      </c>
      <c r="P983">
        <v>1</v>
      </c>
      <c r="Q983">
        <v>0</v>
      </c>
      <c r="R983">
        <v>85.14</v>
      </c>
      <c r="S983" t="s">
        <v>295</v>
      </c>
      <c r="T983" t="s">
        <v>776</v>
      </c>
    </row>
    <row r="984" spans="1:20" x14ac:dyDescent="0.3">
      <c r="A984">
        <v>983</v>
      </c>
      <c r="B984">
        <v>32</v>
      </c>
      <c r="C984">
        <v>4</v>
      </c>
      <c r="D984">
        <v>21.6</v>
      </c>
      <c r="E984">
        <v>2.16</v>
      </c>
      <c r="F984">
        <v>0</v>
      </c>
      <c r="G984">
        <v>0.1</v>
      </c>
      <c r="H984" t="s">
        <v>622</v>
      </c>
      <c r="J984" t="s">
        <v>623</v>
      </c>
      <c r="K984" s="1"/>
      <c r="L984" s="1">
        <v>46045.387233796297</v>
      </c>
      <c r="M984" s="2">
        <v>46045</v>
      </c>
      <c r="N984" t="s">
        <v>634</v>
      </c>
      <c r="O984" t="s">
        <v>625</v>
      </c>
      <c r="P984">
        <v>1</v>
      </c>
      <c r="Q984">
        <v>0</v>
      </c>
      <c r="R984">
        <v>21.6</v>
      </c>
      <c r="S984" t="s">
        <v>60</v>
      </c>
      <c r="T984" t="s">
        <v>778</v>
      </c>
    </row>
    <row r="985" spans="1:20" x14ac:dyDescent="0.3">
      <c r="A985">
        <v>984</v>
      </c>
      <c r="B985">
        <v>261</v>
      </c>
      <c r="C985">
        <v>5</v>
      </c>
      <c r="D985">
        <v>61.58</v>
      </c>
      <c r="E985">
        <v>6.16</v>
      </c>
      <c r="F985">
        <v>0</v>
      </c>
      <c r="G985">
        <v>0.1</v>
      </c>
      <c r="H985" t="s">
        <v>622</v>
      </c>
      <c r="J985" t="s">
        <v>623</v>
      </c>
      <c r="K985" s="1"/>
      <c r="L985" s="1">
        <v>46045.409618055557</v>
      </c>
      <c r="M985" s="2">
        <v>46045</v>
      </c>
      <c r="N985" t="s">
        <v>634</v>
      </c>
      <c r="O985" t="s">
        <v>625</v>
      </c>
      <c r="P985">
        <v>1</v>
      </c>
      <c r="Q985">
        <v>0</v>
      </c>
      <c r="R985">
        <v>61.58</v>
      </c>
      <c r="S985" t="s">
        <v>517</v>
      </c>
      <c r="T985" t="s">
        <v>779</v>
      </c>
    </row>
    <row r="986" spans="1:20" x14ac:dyDescent="0.3">
      <c r="A986">
        <v>985</v>
      </c>
      <c r="B986">
        <v>106</v>
      </c>
      <c r="C986">
        <v>2</v>
      </c>
      <c r="D986">
        <v>70.209999999999994</v>
      </c>
      <c r="E986">
        <v>7.02</v>
      </c>
      <c r="F986">
        <v>0</v>
      </c>
      <c r="G986">
        <v>0.1</v>
      </c>
      <c r="H986" t="s">
        <v>622</v>
      </c>
      <c r="J986" t="s">
        <v>623</v>
      </c>
      <c r="K986" s="1"/>
      <c r="L986" s="1">
        <v>46045.492129629631</v>
      </c>
      <c r="M986" s="2">
        <v>46045</v>
      </c>
      <c r="N986" t="s">
        <v>634</v>
      </c>
      <c r="O986" t="s">
        <v>625</v>
      </c>
      <c r="P986">
        <v>1</v>
      </c>
      <c r="Q986">
        <v>0</v>
      </c>
      <c r="R986">
        <v>70.209999999999994</v>
      </c>
      <c r="S986" t="s">
        <v>207</v>
      </c>
      <c r="T986" t="s">
        <v>776</v>
      </c>
    </row>
    <row r="987" spans="1:20" x14ac:dyDescent="0.3">
      <c r="A987">
        <v>986</v>
      </c>
      <c r="B987">
        <v>16</v>
      </c>
      <c r="C987">
        <v>3</v>
      </c>
      <c r="D987">
        <v>135.07</v>
      </c>
      <c r="E987">
        <v>13.51</v>
      </c>
      <c r="F987">
        <v>0</v>
      </c>
      <c r="G987">
        <v>0.1</v>
      </c>
      <c r="H987" t="s">
        <v>622</v>
      </c>
      <c r="J987" t="s">
        <v>623</v>
      </c>
      <c r="K987" s="1"/>
      <c r="L987" s="1">
        <v>46045.497939814813</v>
      </c>
      <c r="M987" s="2">
        <v>46045</v>
      </c>
      <c r="N987" t="s">
        <v>634</v>
      </c>
      <c r="O987" t="s">
        <v>625</v>
      </c>
      <c r="P987">
        <v>1</v>
      </c>
      <c r="Q987">
        <v>0</v>
      </c>
      <c r="R987">
        <v>135.07</v>
      </c>
      <c r="S987" t="s">
        <v>28</v>
      </c>
      <c r="T987" t="s">
        <v>777</v>
      </c>
    </row>
    <row r="988" spans="1:20" x14ac:dyDescent="0.3">
      <c r="A988">
        <v>987</v>
      </c>
      <c r="B988">
        <v>138</v>
      </c>
      <c r="C988">
        <v>2</v>
      </c>
      <c r="D988">
        <v>43.01</v>
      </c>
      <c r="E988">
        <v>4.3</v>
      </c>
      <c r="F988">
        <v>0</v>
      </c>
      <c r="G988">
        <v>0.1</v>
      </c>
      <c r="H988" t="s">
        <v>622</v>
      </c>
      <c r="J988" t="s">
        <v>623</v>
      </c>
      <c r="K988" s="1"/>
      <c r="L988" s="1">
        <v>46045.562974537039</v>
      </c>
      <c r="M988" s="2">
        <v>46045</v>
      </c>
      <c r="N988" t="s">
        <v>634</v>
      </c>
      <c r="O988" t="s">
        <v>625</v>
      </c>
      <c r="P988">
        <v>1</v>
      </c>
      <c r="Q988">
        <v>0</v>
      </c>
      <c r="R988">
        <v>43.01</v>
      </c>
      <c r="S988" t="s">
        <v>271</v>
      </c>
      <c r="T988" t="s">
        <v>776</v>
      </c>
    </row>
    <row r="989" spans="1:20" x14ac:dyDescent="0.3">
      <c r="A989">
        <v>988</v>
      </c>
      <c r="B989">
        <v>117</v>
      </c>
      <c r="C989">
        <v>3</v>
      </c>
      <c r="D989">
        <v>68.95</v>
      </c>
      <c r="E989">
        <v>6.9</v>
      </c>
      <c r="F989">
        <v>0</v>
      </c>
      <c r="G989">
        <v>0.1</v>
      </c>
      <c r="H989" t="s">
        <v>622</v>
      </c>
      <c r="J989" t="s">
        <v>623</v>
      </c>
      <c r="K989" s="1"/>
      <c r="L989" s="1">
        <v>46045.629988425928</v>
      </c>
      <c r="M989" s="2">
        <v>46045</v>
      </c>
      <c r="N989" t="s">
        <v>634</v>
      </c>
      <c r="O989" t="s">
        <v>625</v>
      </c>
      <c r="P989">
        <v>1</v>
      </c>
      <c r="Q989">
        <v>0</v>
      </c>
      <c r="R989">
        <v>68.95</v>
      </c>
      <c r="S989" t="s">
        <v>229</v>
      </c>
      <c r="T989" t="s">
        <v>777</v>
      </c>
    </row>
    <row r="990" spans="1:20" x14ac:dyDescent="0.3">
      <c r="A990">
        <v>989</v>
      </c>
      <c r="B990">
        <v>136</v>
      </c>
      <c r="C990">
        <v>4</v>
      </c>
      <c r="D990">
        <v>147.09</v>
      </c>
      <c r="E990">
        <v>14.71</v>
      </c>
      <c r="F990">
        <v>0</v>
      </c>
      <c r="G990">
        <v>0.1</v>
      </c>
      <c r="H990" t="s">
        <v>622</v>
      </c>
      <c r="J990" t="s">
        <v>623</v>
      </c>
      <c r="K990" s="1"/>
      <c r="L990" s="1">
        <v>46045.668703703705</v>
      </c>
      <c r="M990" s="2">
        <v>46045</v>
      </c>
      <c r="N990" t="s">
        <v>634</v>
      </c>
      <c r="O990" t="s">
        <v>625</v>
      </c>
      <c r="P990">
        <v>1</v>
      </c>
      <c r="Q990">
        <v>0</v>
      </c>
      <c r="R990">
        <v>147.09</v>
      </c>
      <c r="S990" t="s">
        <v>267</v>
      </c>
      <c r="T990" t="s">
        <v>778</v>
      </c>
    </row>
    <row r="991" spans="1:20" x14ac:dyDescent="0.3">
      <c r="A991">
        <v>990</v>
      </c>
      <c r="B991">
        <v>122</v>
      </c>
      <c r="C991">
        <v>5</v>
      </c>
      <c r="D991">
        <v>146.46</v>
      </c>
      <c r="E991">
        <v>14.65</v>
      </c>
      <c r="F991">
        <v>0</v>
      </c>
      <c r="G991">
        <v>0.1</v>
      </c>
      <c r="H991" t="s">
        <v>622</v>
      </c>
      <c r="J991" t="s">
        <v>623</v>
      </c>
      <c r="K991" s="1"/>
      <c r="L991" s="1">
        <v>46046.43787037037</v>
      </c>
      <c r="M991" s="2">
        <v>46046</v>
      </c>
      <c r="N991" t="s">
        <v>634</v>
      </c>
      <c r="O991" t="s">
        <v>625</v>
      </c>
      <c r="P991">
        <v>1</v>
      </c>
      <c r="Q991">
        <v>0</v>
      </c>
      <c r="R991">
        <v>146.46</v>
      </c>
      <c r="S991" t="s">
        <v>239</v>
      </c>
      <c r="T991" t="s">
        <v>779</v>
      </c>
    </row>
    <row r="992" spans="1:20" x14ac:dyDescent="0.3">
      <c r="A992">
        <v>991</v>
      </c>
      <c r="B992">
        <v>202</v>
      </c>
      <c r="C992">
        <v>2</v>
      </c>
      <c r="D992">
        <v>22.85</v>
      </c>
      <c r="E992">
        <v>2.29</v>
      </c>
      <c r="F992">
        <v>0</v>
      </c>
      <c r="G992">
        <v>0.1</v>
      </c>
      <c r="H992" t="s">
        <v>622</v>
      </c>
      <c r="J992" t="s">
        <v>623</v>
      </c>
      <c r="K992" s="1"/>
      <c r="L992" s="1">
        <v>46046.443819444445</v>
      </c>
      <c r="M992" s="2">
        <v>46046</v>
      </c>
      <c r="N992" t="s">
        <v>634</v>
      </c>
      <c r="O992" t="s">
        <v>625</v>
      </c>
      <c r="P992">
        <v>1</v>
      </c>
      <c r="Q992">
        <v>0</v>
      </c>
      <c r="R992">
        <v>22.85</v>
      </c>
      <c r="S992" t="s">
        <v>399</v>
      </c>
      <c r="T992" t="s">
        <v>776</v>
      </c>
    </row>
    <row r="993" spans="1:20" x14ac:dyDescent="0.3">
      <c r="A993">
        <v>992</v>
      </c>
      <c r="B993">
        <v>202</v>
      </c>
      <c r="C993">
        <v>3</v>
      </c>
      <c r="D993">
        <v>44.08</v>
      </c>
      <c r="E993">
        <v>4.41</v>
      </c>
      <c r="F993">
        <v>0</v>
      </c>
      <c r="G993">
        <v>0.1</v>
      </c>
      <c r="H993" t="s">
        <v>622</v>
      </c>
      <c r="J993" t="s">
        <v>623</v>
      </c>
      <c r="K993" s="1"/>
      <c r="L993" s="1">
        <v>46046.445717592593</v>
      </c>
      <c r="M993" s="2">
        <v>46046</v>
      </c>
      <c r="N993" t="s">
        <v>634</v>
      </c>
      <c r="O993" t="s">
        <v>625</v>
      </c>
      <c r="P993">
        <v>1</v>
      </c>
      <c r="Q993">
        <v>0</v>
      </c>
      <c r="R993">
        <v>44.08</v>
      </c>
      <c r="S993" t="s">
        <v>399</v>
      </c>
      <c r="T993" t="s">
        <v>777</v>
      </c>
    </row>
    <row r="994" spans="1:20" x14ac:dyDescent="0.3">
      <c r="A994">
        <v>993</v>
      </c>
      <c r="B994">
        <v>91</v>
      </c>
      <c r="C994">
        <v>5</v>
      </c>
      <c r="D994">
        <v>51.71</v>
      </c>
      <c r="E994">
        <v>5.17</v>
      </c>
      <c r="F994">
        <v>0</v>
      </c>
      <c r="G994">
        <v>0.1</v>
      </c>
      <c r="H994" t="s">
        <v>622</v>
      </c>
      <c r="J994" t="s">
        <v>623</v>
      </c>
      <c r="K994" s="1"/>
      <c r="L994" s="1">
        <v>46046.446608796294</v>
      </c>
      <c r="M994" s="2">
        <v>46046</v>
      </c>
      <c r="N994" t="s">
        <v>634</v>
      </c>
      <c r="O994" t="s">
        <v>625</v>
      </c>
      <c r="P994">
        <v>1</v>
      </c>
      <c r="Q994">
        <v>0</v>
      </c>
      <c r="R994">
        <v>51.71</v>
      </c>
      <c r="S994" t="s">
        <v>177</v>
      </c>
      <c r="T994" t="s">
        <v>779</v>
      </c>
    </row>
    <row r="995" spans="1:20" x14ac:dyDescent="0.3">
      <c r="A995">
        <v>994</v>
      </c>
      <c r="B995">
        <v>244</v>
      </c>
      <c r="C995">
        <v>3</v>
      </c>
      <c r="D995">
        <v>67.959999999999994</v>
      </c>
      <c r="E995">
        <v>6.8</v>
      </c>
      <c r="F995">
        <v>0</v>
      </c>
      <c r="G995">
        <v>0.1</v>
      </c>
      <c r="H995" t="s">
        <v>622</v>
      </c>
      <c r="J995" t="s">
        <v>623</v>
      </c>
      <c r="K995" s="1"/>
      <c r="L995" s="1">
        <v>46046.453379629631</v>
      </c>
      <c r="M995" s="2">
        <v>46046</v>
      </c>
      <c r="N995" t="s">
        <v>634</v>
      </c>
      <c r="O995" t="s">
        <v>625</v>
      </c>
      <c r="P995">
        <v>1</v>
      </c>
      <c r="Q995">
        <v>0</v>
      </c>
      <c r="R995">
        <v>67.959999999999994</v>
      </c>
      <c r="S995" t="s">
        <v>483</v>
      </c>
      <c r="T995" t="s">
        <v>777</v>
      </c>
    </row>
    <row r="996" spans="1:20" x14ac:dyDescent="0.3">
      <c r="A996">
        <v>995</v>
      </c>
      <c r="B996">
        <v>240</v>
      </c>
      <c r="C996">
        <v>5</v>
      </c>
      <c r="D996">
        <v>300</v>
      </c>
      <c r="E996">
        <v>30</v>
      </c>
      <c r="F996">
        <v>0</v>
      </c>
      <c r="G996">
        <v>0.1</v>
      </c>
      <c r="H996" t="s">
        <v>622</v>
      </c>
      <c r="J996" t="s">
        <v>623</v>
      </c>
      <c r="K996" s="1"/>
      <c r="L996" s="1">
        <v>46046.506481481483</v>
      </c>
      <c r="M996" s="2">
        <v>46046</v>
      </c>
      <c r="N996" t="s">
        <v>634</v>
      </c>
      <c r="O996" t="s">
        <v>625</v>
      </c>
      <c r="P996">
        <v>1</v>
      </c>
      <c r="Q996">
        <v>0</v>
      </c>
      <c r="R996">
        <v>300</v>
      </c>
      <c r="S996" t="s">
        <v>475</v>
      </c>
      <c r="T996" t="s">
        <v>779</v>
      </c>
    </row>
    <row r="997" spans="1:20" x14ac:dyDescent="0.3">
      <c r="A997">
        <v>996</v>
      </c>
      <c r="B997">
        <v>276</v>
      </c>
      <c r="C997">
        <v>5</v>
      </c>
      <c r="D997">
        <v>18.87</v>
      </c>
      <c r="E997">
        <v>1.89</v>
      </c>
      <c r="F997">
        <v>0</v>
      </c>
      <c r="G997">
        <v>0.1</v>
      </c>
      <c r="H997" t="s">
        <v>622</v>
      </c>
      <c r="J997" t="s">
        <v>623</v>
      </c>
      <c r="K997" s="1"/>
      <c r="L997" s="1">
        <v>46046.509768518517</v>
      </c>
      <c r="M997" s="2">
        <v>46046</v>
      </c>
      <c r="N997" t="s">
        <v>634</v>
      </c>
      <c r="O997" t="s">
        <v>625</v>
      </c>
      <c r="P997">
        <v>1</v>
      </c>
      <c r="Q997">
        <v>0</v>
      </c>
      <c r="R997">
        <v>18.87</v>
      </c>
      <c r="S997" t="s">
        <v>547</v>
      </c>
      <c r="T997" t="s">
        <v>779</v>
      </c>
    </row>
    <row r="998" spans="1:20" x14ac:dyDescent="0.3">
      <c r="A998">
        <v>997</v>
      </c>
      <c r="B998">
        <v>43</v>
      </c>
      <c r="C998">
        <v>2</v>
      </c>
      <c r="D998">
        <v>83.07</v>
      </c>
      <c r="E998">
        <v>8.31</v>
      </c>
      <c r="F998">
        <v>0</v>
      </c>
      <c r="G998">
        <v>0.1</v>
      </c>
      <c r="H998" t="s">
        <v>622</v>
      </c>
      <c r="J998" t="s">
        <v>623</v>
      </c>
      <c r="K998" s="1"/>
      <c r="L998" s="1">
        <v>46046.541932870372</v>
      </c>
      <c r="M998" s="2">
        <v>46046</v>
      </c>
      <c r="N998" t="s">
        <v>634</v>
      </c>
      <c r="O998" t="s">
        <v>625</v>
      </c>
      <c r="P998">
        <v>1</v>
      </c>
      <c r="Q998">
        <v>0</v>
      </c>
      <c r="R998">
        <v>83.07</v>
      </c>
      <c r="S998" t="s">
        <v>82</v>
      </c>
      <c r="T998" t="s">
        <v>776</v>
      </c>
    </row>
    <row r="999" spans="1:20" x14ac:dyDescent="0.3">
      <c r="A999">
        <v>998</v>
      </c>
      <c r="B999">
        <v>137</v>
      </c>
      <c r="C999">
        <v>2</v>
      </c>
      <c r="D999">
        <v>22.89</v>
      </c>
      <c r="E999">
        <v>2.29</v>
      </c>
      <c r="F999">
        <v>0</v>
      </c>
      <c r="G999">
        <v>0.1</v>
      </c>
      <c r="H999" t="s">
        <v>622</v>
      </c>
      <c r="J999" t="s">
        <v>623</v>
      </c>
      <c r="K999" s="1"/>
      <c r="L999" s="1">
        <v>46046.546701388892</v>
      </c>
      <c r="M999" s="2">
        <v>46046</v>
      </c>
      <c r="N999" t="s">
        <v>634</v>
      </c>
      <c r="O999" t="s">
        <v>625</v>
      </c>
      <c r="P999">
        <v>1</v>
      </c>
      <c r="Q999">
        <v>0</v>
      </c>
      <c r="R999">
        <v>22.89</v>
      </c>
      <c r="S999" t="s">
        <v>269</v>
      </c>
      <c r="T999" t="s">
        <v>776</v>
      </c>
    </row>
    <row r="1000" spans="1:20" x14ac:dyDescent="0.3">
      <c r="A1000">
        <v>999</v>
      </c>
      <c r="B1000">
        <v>156</v>
      </c>
      <c r="C1000">
        <v>2</v>
      </c>
      <c r="D1000">
        <v>38.119999999999997</v>
      </c>
      <c r="E1000">
        <v>3.81</v>
      </c>
      <c r="F1000">
        <v>0</v>
      </c>
      <c r="G1000">
        <v>0.1</v>
      </c>
      <c r="H1000" t="s">
        <v>622</v>
      </c>
      <c r="J1000" t="s">
        <v>623</v>
      </c>
      <c r="K1000" s="1"/>
      <c r="L1000" s="1">
        <v>46046.617280092592</v>
      </c>
      <c r="M1000" s="2">
        <v>46046</v>
      </c>
      <c r="N1000" t="s">
        <v>634</v>
      </c>
      <c r="O1000" t="s">
        <v>625</v>
      </c>
      <c r="P1000">
        <v>1</v>
      </c>
      <c r="Q1000">
        <v>0</v>
      </c>
      <c r="R1000">
        <v>38.119999999999997</v>
      </c>
      <c r="S1000" t="s">
        <v>307</v>
      </c>
      <c r="T1000" t="s">
        <v>776</v>
      </c>
    </row>
    <row r="1001" spans="1:20" x14ac:dyDescent="0.3">
      <c r="A1001">
        <v>1000</v>
      </c>
      <c r="B1001">
        <v>39</v>
      </c>
      <c r="C1001">
        <v>2</v>
      </c>
      <c r="D1001">
        <v>191.87</v>
      </c>
      <c r="E1001">
        <v>19.190000000000001</v>
      </c>
      <c r="F1001">
        <v>0</v>
      </c>
      <c r="G1001">
        <v>0.1</v>
      </c>
      <c r="H1001" t="s">
        <v>622</v>
      </c>
      <c r="J1001" t="s">
        <v>623</v>
      </c>
      <c r="K1001" s="1"/>
      <c r="L1001" s="1">
        <v>46046.631273148145</v>
      </c>
      <c r="M1001" s="2">
        <v>46046</v>
      </c>
      <c r="N1001" t="s">
        <v>634</v>
      </c>
      <c r="O1001" t="s">
        <v>625</v>
      </c>
      <c r="P1001">
        <v>1</v>
      </c>
      <c r="Q1001">
        <v>0</v>
      </c>
      <c r="R1001">
        <v>191.87</v>
      </c>
      <c r="S1001" t="s">
        <v>74</v>
      </c>
      <c r="T1001" t="s">
        <v>776</v>
      </c>
    </row>
    <row r="1002" spans="1:20" x14ac:dyDescent="0.3">
      <c r="A1002">
        <v>1001</v>
      </c>
      <c r="B1002">
        <v>137</v>
      </c>
      <c r="C1002">
        <v>3</v>
      </c>
      <c r="D1002">
        <v>37.14</v>
      </c>
      <c r="E1002">
        <v>0</v>
      </c>
      <c r="F1002">
        <v>1</v>
      </c>
      <c r="G1002">
        <v>0.1</v>
      </c>
      <c r="H1002" t="s">
        <v>622</v>
      </c>
      <c r="J1002" t="s">
        <v>623</v>
      </c>
      <c r="K1002" s="1"/>
      <c r="L1002" s="1">
        <v>46046.649606481478</v>
      </c>
      <c r="M1002" s="2">
        <v>46046</v>
      </c>
      <c r="N1002" t="s">
        <v>634</v>
      </c>
      <c r="O1002" t="s">
        <v>629</v>
      </c>
      <c r="P1002">
        <v>1</v>
      </c>
      <c r="Q1002">
        <v>0</v>
      </c>
      <c r="R1002">
        <v>37.14</v>
      </c>
      <c r="S1002" t="s">
        <v>269</v>
      </c>
      <c r="T1002" t="s">
        <v>777</v>
      </c>
    </row>
    <row r="1003" spans="1:20" x14ac:dyDescent="0.3">
      <c r="A1003">
        <v>1002</v>
      </c>
      <c r="B1003">
        <v>156</v>
      </c>
      <c r="C1003">
        <v>2</v>
      </c>
      <c r="D1003">
        <v>33.64</v>
      </c>
      <c r="E1003">
        <v>3.36</v>
      </c>
      <c r="F1003">
        <v>0</v>
      </c>
      <c r="G1003">
        <v>0.1</v>
      </c>
      <c r="H1003" t="s">
        <v>622</v>
      </c>
      <c r="J1003" t="s">
        <v>623</v>
      </c>
      <c r="K1003" s="1"/>
      <c r="L1003" s="1">
        <v>46046.657476851855</v>
      </c>
      <c r="M1003" s="2">
        <v>46046</v>
      </c>
      <c r="N1003" t="s">
        <v>634</v>
      </c>
      <c r="O1003" t="s">
        <v>625</v>
      </c>
      <c r="P1003">
        <v>1</v>
      </c>
      <c r="Q1003">
        <v>0</v>
      </c>
      <c r="R1003">
        <v>33.64</v>
      </c>
      <c r="S1003" t="s">
        <v>307</v>
      </c>
      <c r="T1003" t="s">
        <v>776</v>
      </c>
    </row>
    <row r="1004" spans="1:20" x14ac:dyDescent="0.3">
      <c r="A1004">
        <v>1003</v>
      </c>
      <c r="B1004">
        <v>65</v>
      </c>
      <c r="C1004">
        <v>5</v>
      </c>
      <c r="D1004">
        <v>31.93</v>
      </c>
      <c r="E1004">
        <v>3.19</v>
      </c>
      <c r="F1004">
        <v>0</v>
      </c>
      <c r="G1004">
        <v>0.1</v>
      </c>
      <c r="H1004" t="s">
        <v>622</v>
      </c>
      <c r="J1004" t="s">
        <v>623</v>
      </c>
      <c r="K1004" s="1"/>
      <c r="L1004" s="1">
        <v>46046.810902777775</v>
      </c>
      <c r="M1004" s="2">
        <v>46046</v>
      </c>
      <c r="N1004" t="s">
        <v>634</v>
      </c>
      <c r="O1004" t="s">
        <v>625</v>
      </c>
      <c r="P1004">
        <v>1</v>
      </c>
      <c r="Q1004">
        <v>0</v>
      </c>
      <c r="R1004">
        <v>31.93</v>
      </c>
      <c r="S1004" t="s">
        <v>126</v>
      </c>
      <c r="T1004" t="s">
        <v>779</v>
      </c>
    </row>
    <row r="1005" spans="1:20" x14ac:dyDescent="0.3">
      <c r="A1005">
        <v>1004</v>
      </c>
      <c r="B1005">
        <v>39</v>
      </c>
      <c r="C1005">
        <v>3</v>
      </c>
      <c r="D1005">
        <v>191.54</v>
      </c>
      <c r="E1005">
        <v>19.149999999999999</v>
      </c>
      <c r="F1005">
        <v>0</v>
      </c>
      <c r="G1005">
        <v>0.1</v>
      </c>
      <c r="H1005" t="s">
        <v>622</v>
      </c>
      <c r="J1005" t="s">
        <v>623</v>
      </c>
      <c r="K1005" s="1"/>
      <c r="L1005" s="1">
        <v>46047.311840277776</v>
      </c>
      <c r="M1005" s="2">
        <v>46047</v>
      </c>
      <c r="N1005" t="s">
        <v>634</v>
      </c>
      <c r="O1005" t="s">
        <v>625</v>
      </c>
      <c r="P1005">
        <v>1</v>
      </c>
      <c r="Q1005">
        <v>0</v>
      </c>
      <c r="R1005">
        <v>191.54</v>
      </c>
      <c r="S1005" t="s">
        <v>74</v>
      </c>
      <c r="T1005" t="s">
        <v>777</v>
      </c>
    </row>
    <row r="1006" spans="1:20" x14ac:dyDescent="0.3">
      <c r="A1006">
        <v>1005</v>
      </c>
      <c r="B1006">
        <v>277</v>
      </c>
      <c r="C1006">
        <v>5</v>
      </c>
      <c r="D1006">
        <v>96.76</v>
      </c>
      <c r="E1006">
        <v>9.68</v>
      </c>
      <c r="F1006">
        <v>0</v>
      </c>
      <c r="G1006">
        <v>0.1</v>
      </c>
      <c r="H1006" t="s">
        <v>622</v>
      </c>
      <c r="J1006" t="s">
        <v>623</v>
      </c>
      <c r="K1006" s="1"/>
      <c r="L1006" s="1">
        <v>46047.320972222224</v>
      </c>
      <c r="M1006" s="2">
        <v>46047</v>
      </c>
      <c r="N1006" t="s">
        <v>634</v>
      </c>
      <c r="O1006" t="s">
        <v>625</v>
      </c>
      <c r="P1006">
        <v>1</v>
      </c>
      <c r="Q1006">
        <v>0</v>
      </c>
      <c r="R1006">
        <v>96.76</v>
      </c>
      <c r="S1006" t="s">
        <v>549</v>
      </c>
      <c r="T1006" t="s">
        <v>779</v>
      </c>
    </row>
    <row r="1007" spans="1:20" x14ac:dyDescent="0.3">
      <c r="A1007">
        <v>1006</v>
      </c>
      <c r="B1007">
        <v>173</v>
      </c>
      <c r="C1007">
        <v>3</v>
      </c>
      <c r="D1007">
        <v>194.39</v>
      </c>
      <c r="E1007">
        <v>19.440000000000001</v>
      </c>
      <c r="F1007">
        <v>0</v>
      </c>
      <c r="G1007">
        <v>0.1</v>
      </c>
      <c r="H1007" t="s">
        <v>622</v>
      </c>
      <c r="J1007" t="s">
        <v>623</v>
      </c>
      <c r="K1007" s="1"/>
      <c r="L1007" s="1">
        <v>46047.351111111115</v>
      </c>
      <c r="M1007" s="2">
        <v>46047</v>
      </c>
      <c r="N1007" t="s">
        <v>634</v>
      </c>
      <c r="O1007" t="s">
        <v>625</v>
      </c>
      <c r="P1007">
        <v>1</v>
      </c>
      <c r="Q1007">
        <v>0</v>
      </c>
      <c r="R1007">
        <v>194.39</v>
      </c>
      <c r="S1007" t="s">
        <v>341</v>
      </c>
      <c r="T1007" t="s">
        <v>777</v>
      </c>
    </row>
    <row r="1008" spans="1:20" x14ac:dyDescent="0.3">
      <c r="A1008">
        <v>1007</v>
      </c>
      <c r="B1008">
        <v>166</v>
      </c>
      <c r="C1008">
        <v>4</v>
      </c>
      <c r="D1008">
        <v>103.97</v>
      </c>
      <c r="E1008">
        <v>10.4</v>
      </c>
      <c r="F1008">
        <v>0</v>
      </c>
      <c r="G1008">
        <v>0.1</v>
      </c>
      <c r="H1008" t="s">
        <v>622</v>
      </c>
      <c r="J1008" t="s">
        <v>623</v>
      </c>
      <c r="K1008" s="1"/>
      <c r="L1008" s="1">
        <v>46047.377476851849</v>
      </c>
      <c r="M1008" s="2">
        <v>46047</v>
      </c>
      <c r="N1008" t="s">
        <v>634</v>
      </c>
      <c r="O1008" t="s">
        <v>625</v>
      </c>
      <c r="P1008">
        <v>1</v>
      </c>
      <c r="Q1008">
        <v>0</v>
      </c>
      <c r="R1008">
        <v>103.97</v>
      </c>
      <c r="S1008" t="s">
        <v>327</v>
      </c>
      <c r="T1008" t="s">
        <v>778</v>
      </c>
    </row>
    <row r="1009" spans="1:20" x14ac:dyDescent="0.3">
      <c r="A1009">
        <v>1008</v>
      </c>
      <c r="B1009">
        <v>59</v>
      </c>
      <c r="C1009">
        <v>2</v>
      </c>
      <c r="D1009">
        <v>28.7</v>
      </c>
      <c r="E1009">
        <v>2.87</v>
      </c>
      <c r="F1009">
        <v>0</v>
      </c>
      <c r="G1009">
        <v>0.1</v>
      </c>
      <c r="H1009" t="s">
        <v>622</v>
      </c>
      <c r="J1009" t="s">
        <v>623</v>
      </c>
      <c r="K1009" s="1"/>
      <c r="L1009" s="1">
        <v>46047.452291666668</v>
      </c>
      <c r="M1009" s="2">
        <v>46047</v>
      </c>
      <c r="N1009" t="s">
        <v>634</v>
      </c>
      <c r="O1009" t="s">
        <v>625</v>
      </c>
      <c r="P1009">
        <v>1</v>
      </c>
      <c r="Q1009">
        <v>0</v>
      </c>
      <c r="R1009">
        <v>28.7</v>
      </c>
      <c r="S1009" t="s">
        <v>114</v>
      </c>
      <c r="T1009" t="s">
        <v>776</v>
      </c>
    </row>
    <row r="1010" spans="1:20" x14ac:dyDescent="0.3">
      <c r="A1010">
        <v>1009</v>
      </c>
      <c r="B1010">
        <v>207</v>
      </c>
      <c r="C1010">
        <v>2</v>
      </c>
      <c r="D1010">
        <v>26.89</v>
      </c>
      <c r="E1010">
        <v>2.69</v>
      </c>
      <c r="F1010">
        <v>0</v>
      </c>
      <c r="G1010">
        <v>0.1</v>
      </c>
      <c r="H1010" t="s">
        <v>622</v>
      </c>
      <c r="J1010" t="s">
        <v>623</v>
      </c>
      <c r="K1010" s="1"/>
      <c r="L1010" s="1">
        <v>46047.519699074073</v>
      </c>
      <c r="M1010" s="2">
        <v>46047</v>
      </c>
      <c r="N1010" t="s">
        <v>634</v>
      </c>
      <c r="O1010" t="s">
        <v>625</v>
      </c>
      <c r="P1010">
        <v>1</v>
      </c>
      <c r="Q1010">
        <v>0</v>
      </c>
      <c r="R1010">
        <v>26.89</v>
      </c>
      <c r="S1010" t="s">
        <v>409</v>
      </c>
      <c r="T1010" t="s">
        <v>776</v>
      </c>
    </row>
    <row r="1011" spans="1:20" x14ac:dyDescent="0.3">
      <c r="A1011">
        <v>1010</v>
      </c>
      <c r="B1011">
        <v>207</v>
      </c>
      <c r="C1011">
        <v>2</v>
      </c>
      <c r="D1011">
        <v>23.03</v>
      </c>
      <c r="E1011">
        <v>2.2999999999999998</v>
      </c>
      <c r="F1011">
        <v>0</v>
      </c>
      <c r="G1011">
        <v>0.1</v>
      </c>
      <c r="H1011" t="s">
        <v>622</v>
      </c>
      <c r="J1011" t="s">
        <v>623</v>
      </c>
      <c r="K1011" s="1"/>
      <c r="L1011" s="1">
        <v>46047.683182870373</v>
      </c>
      <c r="M1011" s="2">
        <v>46047</v>
      </c>
      <c r="N1011" t="s">
        <v>634</v>
      </c>
      <c r="O1011" t="s">
        <v>625</v>
      </c>
      <c r="P1011">
        <v>1</v>
      </c>
      <c r="Q1011">
        <v>0</v>
      </c>
      <c r="R1011">
        <v>23.03</v>
      </c>
      <c r="S1011" t="s">
        <v>409</v>
      </c>
      <c r="T1011" t="s">
        <v>776</v>
      </c>
    </row>
    <row r="1012" spans="1:20" x14ac:dyDescent="0.3">
      <c r="A1012">
        <v>1011</v>
      </c>
      <c r="B1012">
        <v>137</v>
      </c>
      <c r="C1012">
        <v>2</v>
      </c>
      <c r="D1012">
        <v>15.17</v>
      </c>
      <c r="E1012">
        <v>1.52</v>
      </c>
      <c r="F1012">
        <v>0</v>
      </c>
      <c r="G1012">
        <v>0.1</v>
      </c>
      <c r="H1012" t="s">
        <v>622</v>
      </c>
      <c r="J1012" t="s">
        <v>623</v>
      </c>
      <c r="K1012" s="1"/>
      <c r="L1012" s="1">
        <v>46047.810231481482</v>
      </c>
      <c r="M1012" s="2">
        <v>46047</v>
      </c>
      <c r="N1012" t="s">
        <v>634</v>
      </c>
      <c r="O1012" t="s">
        <v>625</v>
      </c>
      <c r="P1012">
        <v>1</v>
      </c>
      <c r="Q1012">
        <v>0</v>
      </c>
      <c r="R1012">
        <v>15.17</v>
      </c>
      <c r="S1012" t="s">
        <v>269</v>
      </c>
      <c r="T1012" t="s">
        <v>776</v>
      </c>
    </row>
    <row r="1013" spans="1:20" x14ac:dyDescent="0.3">
      <c r="A1013">
        <v>1012</v>
      </c>
      <c r="B1013">
        <v>166</v>
      </c>
      <c r="C1013">
        <v>2</v>
      </c>
      <c r="D1013">
        <v>77.7</v>
      </c>
      <c r="E1013">
        <v>7.77</v>
      </c>
      <c r="F1013">
        <v>0</v>
      </c>
      <c r="G1013">
        <v>0.1</v>
      </c>
      <c r="H1013" t="s">
        <v>622</v>
      </c>
      <c r="J1013" t="s">
        <v>623</v>
      </c>
      <c r="K1013" s="1"/>
      <c r="L1013" s="1">
        <v>46048.300868055558</v>
      </c>
      <c r="M1013" s="2">
        <v>46048</v>
      </c>
      <c r="N1013" t="s">
        <v>634</v>
      </c>
      <c r="O1013" t="s">
        <v>625</v>
      </c>
      <c r="P1013">
        <v>1</v>
      </c>
      <c r="Q1013">
        <v>0</v>
      </c>
      <c r="R1013">
        <v>77.7</v>
      </c>
      <c r="S1013" t="s">
        <v>327</v>
      </c>
      <c r="T1013" t="s">
        <v>776</v>
      </c>
    </row>
    <row r="1014" spans="1:20" x14ac:dyDescent="0.3">
      <c r="A1014">
        <v>1013</v>
      </c>
      <c r="B1014">
        <v>48</v>
      </c>
      <c r="C1014">
        <v>5</v>
      </c>
      <c r="D1014">
        <v>41.98</v>
      </c>
      <c r="E1014">
        <v>4.2</v>
      </c>
      <c r="F1014">
        <v>0</v>
      </c>
      <c r="G1014">
        <v>0.1</v>
      </c>
      <c r="H1014" t="s">
        <v>622</v>
      </c>
      <c r="J1014" t="s">
        <v>623</v>
      </c>
      <c r="K1014" s="1"/>
      <c r="L1014" s="1">
        <v>46048.379513888889</v>
      </c>
      <c r="M1014" s="2">
        <v>46048</v>
      </c>
      <c r="N1014" t="s">
        <v>634</v>
      </c>
      <c r="O1014" t="s">
        <v>625</v>
      </c>
      <c r="P1014">
        <v>1</v>
      </c>
      <c r="Q1014">
        <v>0</v>
      </c>
      <c r="R1014">
        <v>41.98</v>
      </c>
      <c r="S1014" t="s">
        <v>92</v>
      </c>
      <c r="T1014" t="s">
        <v>779</v>
      </c>
    </row>
    <row r="1015" spans="1:20" x14ac:dyDescent="0.3">
      <c r="A1015">
        <v>1014</v>
      </c>
      <c r="B1015">
        <v>197</v>
      </c>
      <c r="C1015">
        <v>2</v>
      </c>
      <c r="D1015">
        <v>86.58</v>
      </c>
      <c r="E1015">
        <v>8.66</v>
      </c>
      <c r="F1015">
        <v>0</v>
      </c>
      <c r="G1015">
        <v>0.1</v>
      </c>
      <c r="H1015" t="s">
        <v>622</v>
      </c>
      <c r="J1015" t="s">
        <v>623</v>
      </c>
      <c r="K1015" s="1"/>
      <c r="L1015" s="1">
        <v>46048.43712962963</v>
      </c>
      <c r="M1015" s="2">
        <v>46048</v>
      </c>
      <c r="N1015" t="s">
        <v>634</v>
      </c>
      <c r="O1015" t="s">
        <v>625</v>
      </c>
      <c r="P1015">
        <v>1</v>
      </c>
      <c r="Q1015">
        <v>0</v>
      </c>
      <c r="R1015">
        <v>86.58</v>
      </c>
      <c r="S1015" t="s">
        <v>389</v>
      </c>
      <c r="T1015" t="s">
        <v>776</v>
      </c>
    </row>
    <row r="1016" spans="1:20" x14ac:dyDescent="0.3">
      <c r="A1016">
        <v>1015</v>
      </c>
      <c r="B1016">
        <v>265</v>
      </c>
      <c r="C1016">
        <v>2</v>
      </c>
      <c r="D1016">
        <v>101.33</v>
      </c>
      <c r="E1016">
        <v>10.130000000000001</v>
      </c>
      <c r="F1016">
        <v>0</v>
      </c>
      <c r="G1016">
        <v>0.1</v>
      </c>
      <c r="H1016" t="s">
        <v>622</v>
      </c>
      <c r="J1016" t="s">
        <v>623</v>
      </c>
      <c r="K1016" s="1"/>
      <c r="L1016" s="1">
        <v>46048.441377314812</v>
      </c>
      <c r="M1016" s="2">
        <v>46048</v>
      </c>
      <c r="N1016" t="s">
        <v>634</v>
      </c>
      <c r="O1016" t="s">
        <v>625</v>
      </c>
      <c r="P1016">
        <v>1</v>
      </c>
      <c r="Q1016">
        <v>0</v>
      </c>
      <c r="R1016">
        <v>101.33</v>
      </c>
      <c r="S1016" t="s">
        <v>525</v>
      </c>
      <c r="T1016" t="s">
        <v>776</v>
      </c>
    </row>
    <row r="1017" spans="1:20" x14ac:dyDescent="0.3">
      <c r="A1017">
        <v>1016</v>
      </c>
      <c r="B1017">
        <v>22</v>
      </c>
      <c r="C1017">
        <v>3</v>
      </c>
      <c r="D1017">
        <v>78.05</v>
      </c>
      <c r="E1017">
        <v>7.81</v>
      </c>
      <c r="F1017">
        <v>0</v>
      </c>
      <c r="G1017">
        <v>0.1</v>
      </c>
      <c r="H1017" t="s">
        <v>622</v>
      </c>
      <c r="J1017" t="s">
        <v>623</v>
      </c>
      <c r="K1017" s="1"/>
      <c r="L1017" s="1">
        <v>46048.458310185182</v>
      </c>
      <c r="M1017" s="2">
        <v>46048</v>
      </c>
      <c r="N1017" t="s">
        <v>634</v>
      </c>
      <c r="O1017" t="s">
        <v>625</v>
      </c>
      <c r="P1017">
        <v>1</v>
      </c>
      <c r="Q1017">
        <v>0</v>
      </c>
      <c r="R1017">
        <v>78.05</v>
      </c>
      <c r="S1017" t="s">
        <v>40</v>
      </c>
      <c r="T1017" t="s">
        <v>777</v>
      </c>
    </row>
    <row r="1018" spans="1:20" x14ac:dyDescent="0.3">
      <c r="A1018">
        <v>1017</v>
      </c>
      <c r="B1018">
        <v>52</v>
      </c>
      <c r="C1018">
        <v>3</v>
      </c>
      <c r="D1018">
        <v>44.56</v>
      </c>
      <c r="E1018">
        <v>4.46</v>
      </c>
      <c r="F1018">
        <v>0</v>
      </c>
      <c r="G1018">
        <v>0.1</v>
      </c>
      <c r="H1018" t="s">
        <v>622</v>
      </c>
      <c r="J1018" t="s">
        <v>623</v>
      </c>
      <c r="K1018" s="1"/>
      <c r="L1018" s="1">
        <v>46048.5156712963</v>
      </c>
      <c r="M1018" s="2">
        <v>46048</v>
      </c>
      <c r="N1018" t="s">
        <v>634</v>
      </c>
      <c r="O1018" t="s">
        <v>625</v>
      </c>
      <c r="P1018">
        <v>1</v>
      </c>
      <c r="Q1018">
        <v>0</v>
      </c>
      <c r="R1018">
        <v>44.56</v>
      </c>
      <c r="S1018" t="s">
        <v>100</v>
      </c>
      <c r="T1018" t="s">
        <v>777</v>
      </c>
    </row>
    <row r="1019" spans="1:20" x14ac:dyDescent="0.3">
      <c r="A1019">
        <v>1018</v>
      </c>
      <c r="B1019">
        <v>87</v>
      </c>
      <c r="C1019">
        <v>4</v>
      </c>
      <c r="D1019">
        <v>140.26</v>
      </c>
      <c r="E1019">
        <v>14.03</v>
      </c>
      <c r="F1019">
        <v>0</v>
      </c>
      <c r="G1019">
        <v>0.1</v>
      </c>
      <c r="H1019" t="s">
        <v>622</v>
      </c>
      <c r="J1019" t="s">
        <v>623</v>
      </c>
      <c r="K1019" s="1"/>
      <c r="L1019" s="1">
        <v>46048.609351851854</v>
      </c>
      <c r="M1019" s="2">
        <v>46048</v>
      </c>
      <c r="N1019" t="s">
        <v>634</v>
      </c>
      <c r="O1019" t="s">
        <v>625</v>
      </c>
      <c r="P1019">
        <v>1</v>
      </c>
      <c r="Q1019">
        <v>0</v>
      </c>
      <c r="R1019">
        <v>140.26</v>
      </c>
      <c r="S1019" t="s">
        <v>169</v>
      </c>
      <c r="T1019" t="s">
        <v>778</v>
      </c>
    </row>
    <row r="1020" spans="1:20" x14ac:dyDescent="0.3">
      <c r="A1020">
        <v>1019</v>
      </c>
      <c r="B1020">
        <v>261</v>
      </c>
      <c r="C1020">
        <v>4</v>
      </c>
      <c r="D1020">
        <v>118.29</v>
      </c>
      <c r="E1020">
        <v>11.83</v>
      </c>
      <c r="F1020">
        <v>0</v>
      </c>
      <c r="G1020">
        <v>0.1</v>
      </c>
      <c r="H1020" t="s">
        <v>622</v>
      </c>
      <c r="J1020" t="s">
        <v>623</v>
      </c>
      <c r="K1020" s="1"/>
      <c r="L1020" s="1">
        <v>46048.633437500001</v>
      </c>
      <c r="M1020" s="2">
        <v>46048</v>
      </c>
      <c r="N1020" t="s">
        <v>634</v>
      </c>
      <c r="O1020" t="s">
        <v>625</v>
      </c>
      <c r="P1020">
        <v>1</v>
      </c>
      <c r="Q1020">
        <v>0</v>
      </c>
      <c r="R1020">
        <v>118.29</v>
      </c>
      <c r="S1020" t="s">
        <v>517</v>
      </c>
      <c r="T1020" t="s">
        <v>778</v>
      </c>
    </row>
    <row r="1021" spans="1:20" x14ac:dyDescent="0.3">
      <c r="A1021">
        <v>1020</v>
      </c>
      <c r="B1021">
        <v>141</v>
      </c>
      <c r="C1021">
        <v>2</v>
      </c>
      <c r="D1021">
        <v>79.06</v>
      </c>
      <c r="E1021">
        <v>7.91</v>
      </c>
      <c r="F1021">
        <v>0</v>
      </c>
      <c r="G1021">
        <v>0.1</v>
      </c>
      <c r="H1021" t="s">
        <v>622</v>
      </c>
      <c r="J1021" t="s">
        <v>623</v>
      </c>
      <c r="K1021" s="1"/>
      <c r="L1021" s="1">
        <v>46048.636990740742</v>
      </c>
      <c r="M1021" s="2">
        <v>46048</v>
      </c>
      <c r="N1021" t="s">
        <v>634</v>
      </c>
      <c r="O1021" t="s">
        <v>625</v>
      </c>
      <c r="P1021">
        <v>1</v>
      </c>
      <c r="Q1021">
        <v>0</v>
      </c>
      <c r="R1021">
        <v>79.06</v>
      </c>
      <c r="S1021" t="s">
        <v>277</v>
      </c>
      <c r="T1021" t="s">
        <v>776</v>
      </c>
    </row>
    <row r="1022" spans="1:20" x14ac:dyDescent="0.3">
      <c r="A1022">
        <v>1021</v>
      </c>
      <c r="B1022">
        <v>137</v>
      </c>
      <c r="C1022">
        <v>5</v>
      </c>
      <c r="D1022">
        <v>38.9</v>
      </c>
      <c r="E1022">
        <v>3.89</v>
      </c>
      <c r="F1022">
        <v>0</v>
      </c>
      <c r="G1022">
        <v>0.1</v>
      </c>
      <c r="H1022" t="s">
        <v>622</v>
      </c>
      <c r="J1022" t="s">
        <v>623</v>
      </c>
      <c r="K1022" s="1"/>
      <c r="L1022" s="1">
        <v>46048.672372685185</v>
      </c>
      <c r="M1022" s="2">
        <v>46048</v>
      </c>
      <c r="N1022" t="s">
        <v>634</v>
      </c>
      <c r="O1022" t="s">
        <v>625</v>
      </c>
      <c r="P1022">
        <v>1</v>
      </c>
      <c r="Q1022">
        <v>0</v>
      </c>
      <c r="R1022">
        <v>38.9</v>
      </c>
      <c r="S1022" t="s">
        <v>269</v>
      </c>
      <c r="T1022" t="s">
        <v>779</v>
      </c>
    </row>
    <row r="1023" spans="1:20" x14ac:dyDescent="0.3">
      <c r="A1023">
        <v>1022</v>
      </c>
      <c r="B1023">
        <v>195</v>
      </c>
      <c r="C1023">
        <v>2</v>
      </c>
      <c r="D1023">
        <v>193.72</v>
      </c>
      <c r="E1023">
        <v>19.37</v>
      </c>
      <c r="F1023">
        <v>0</v>
      </c>
      <c r="G1023">
        <v>0.1</v>
      </c>
      <c r="H1023" t="s">
        <v>622</v>
      </c>
      <c r="J1023" t="s">
        <v>623</v>
      </c>
      <c r="K1023" s="1"/>
      <c r="L1023" s="1">
        <v>46048.68540509259</v>
      </c>
      <c r="M1023" s="2">
        <v>46048</v>
      </c>
      <c r="N1023" t="s">
        <v>634</v>
      </c>
      <c r="O1023" t="s">
        <v>625</v>
      </c>
      <c r="P1023">
        <v>1</v>
      </c>
      <c r="Q1023">
        <v>0</v>
      </c>
      <c r="R1023">
        <v>193.72</v>
      </c>
      <c r="S1023" t="s">
        <v>385</v>
      </c>
      <c r="T1023" t="s">
        <v>776</v>
      </c>
    </row>
    <row r="1024" spans="1:20" x14ac:dyDescent="0.3">
      <c r="A1024">
        <v>1023</v>
      </c>
      <c r="B1024">
        <v>297</v>
      </c>
      <c r="C1024">
        <v>2</v>
      </c>
      <c r="D1024">
        <v>82.89</v>
      </c>
      <c r="E1024">
        <v>8.2899999999999991</v>
      </c>
      <c r="F1024">
        <v>0</v>
      </c>
      <c r="G1024">
        <v>0.1</v>
      </c>
      <c r="H1024" t="s">
        <v>622</v>
      </c>
      <c r="J1024" t="s">
        <v>623</v>
      </c>
      <c r="K1024" s="1"/>
      <c r="L1024" s="1">
        <v>46048.743761574071</v>
      </c>
      <c r="M1024" s="2">
        <v>46048</v>
      </c>
      <c r="N1024" t="s">
        <v>634</v>
      </c>
      <c r="O1024" t="s">
        <v>625</v>
      </c>
      <c r="P1024">
        <v>1</v>
      </c>
      <c r="Q1024">
        <v>0</v>
      </c>
      <c r="R1024">
        <v>82.89</v>
      </c>
      <c r="S1024" t="s">
        <v>589</v>
      </c>
      <c r="T1024" t="s">
        <v>776</v>
      </c>
    </row>
    <row r="1025" spans="1:20" x14ac:dyDescent="0.3">
      <c r="A1025">
        <v>1024</v>
      </c>
      <c r="B1025">
        <v>106</v>
      </c>
      <c r="C1025">
        <v>5</v>
      </c>
      <c r="D1025">
        <v>72.150000000000006</v>
      </c>
      <c r="E1025">
        <v>7.22</v>
      </c>
      <c r="F1025">
        <v>0</v>
      </c>
      <c r="G1025">
        <v>0.1</v>
      </c>
      <c r="H1025" t="s">
        <v>622</v>
      </c>
      <c r="J1025" t="s">
        <v>623</v>
      </c>
      <c r="K1025" s="1"/>
      <c r="L1025" s="1">
        <v>46049.321481481478</v>
      </c>
      <c r="M1025" s="2">
        <v>46049</v>
      </c>
      <c r="N1025" t="s">
        <v>634</v>
      </c>
      <c r="O1025" t="s">
        <v>625</v>
      </c>
      <c r="P1025">
        <v>1</v>
      </c>
      <c r="Q1025">
        <v>0</v>
      </c>
      <c r="R1025">
        <v>72.150000000000006</v>
      </c>
      <c r="S1025" t="s">
        <v>207</v>
      </c>
      <c r="T1025" t="s">
        <v>779</v>
      </c>
    </row>
    <row r="1026" spans="1:20" x14ac:dyDescent="0.3">
      <c r="A1026">
        <v>1025</v>
      </c>
      <c r="B1026">
        <v>39</v>
      </c>
      <c r="C1026">
        <v>3</v>
      </c>
      <c r="D1026">
        <v>204.57</v>
      </c>
      <c r="E1026">
        <v>20.46</v>
      </c>
      <c r="F1026">
        <v>0</v>
      </c>
      <c r="G1026">
        <v>0.1</v>
      </c>
      <c r="H1026" t="s">
        <v>622</v>
      </c>
      <c r="J1026" t="s">
        <v>623</v>
      </c>
      <c r="K1026" s="1"/>
      <c r="L1026" s="1">
        <v>46049.349351851852</v>
      </c>
      <c r="M1026" s="2">
        <v>46049</v>
      </c>
      <c r="N1026" t="s">
        <v>634</v>
      </c>
      <c r="O1026" t="s">
        <v>625</v>
      </c>
      <c r="P1026">
        <v>1</v>
      </c>
      <c r="Q1026">
        <v>0</v>
      </c>
      <c r="R1026">
        <v>204.57</v>
      </c>
      <c r="S1026" t="s">
        <v>74</v>
      </c>
      <c r="T1026" t="s">
        <v>777</v>
      </c>
    </row>
    <row r="1027" spans="1:20" x14ac:dyDescent="0.3">
      <c r="A1027">
        <v>1026</v>
      </c>
      <c r="B1027">
        <v>44</v>
      </c>
      <c r="C1027">
        <v>5</v>
      </c>
      <c r="D1027">
        <v>23.22</v>
      </c>
      <c r="E1027">
        <v>2.3199999999999998</v>
      </c>
      <c r="F1027">
        <v>0</v>
      </c>
      <c r="G1027">
        <v>0.1</v>
      </c>
      <c r="H1027" t="s">
        <v>622</v>
      </c>
      <c r="J1027" t="s">
        <v>623</v>
      </c>
      <c r="K1027" s="1"/>
      <c r="L1027" s="1">
        <v>46049.40421296296</v>
      </c>
      <c r="M1027" s="2">
        <v>46049</v>
      </c>
      <c r="N1027" t="s">
        <v>634</v>
      </c>
      <c r="O1027" t="s">
        <v>625</v>
      </c>
      <c r="P1027">
        <v>1</v>
      </c>
      <c r="Q1027">
        <v>0</v>
      </c>
      <c r="R1027">
        <v>23.22</v>
      </c>
      <c r="S1027" t="s">
        <v>84</v>
      </c>
      <c r="T1027" t="s">
        <v>779</v>
      </c>
    </row>
    <row r="1028" spans="1:20" x14ac:dyDescent="0.3">
      <c r="A1028">
        <v>1027</v>
      </c>
      <c r="B1028">
        <v>137</v>
      </c>
      <c r="C1028">
        <v>2</v>
      </c>
      <c r="D1028">
        <v>69.44</v>
      </c>
      <c r="E1028">
        <v>6.94</v>
      </c>
      <c r="F1028">
        <v>0</v>
      </c>
      <c r="G1028">
        <v>0.1</v>
      </c>
      <c r="H1028" t="s">
        <v>622</v>
      </c>
      <c r="J1028" t="s">
        <v>623</v>
      </c>
      <c r="K1028" s="1"/>
      <c r="L1028" s="1">
        <v>46049.452789351853</v>
      </c>
      <c r="M1028" s="2">
        <v>46049</v>
      </c>
      <c r="N1028" t="s">
        <v>634</v>
      </c>
      <c r="O1028" t="s">
        <v>625</v>
      </c>
      <c r="P1028">
        <v>1</v>
      </c>
      <c r="Q1028">
        <v>0</v>
      </c>
      <c r="R1028">
        <v>69.44</v>
      </c>
      <c r="S1028" t="s">
        <v>269</v>
      </c>
      <c r="T1028" t="s">
        <v>776</v>
      </c>
    </row>
    <row r="1029" spans="1:20" x14ac:dyDescent="0.3">
      <c r="A1029">
        <v>1028</v>
      </c>
      <c r="B1029">
        <v>39</v>
      </c>
      <c r="C1029">
        <v>4</v>
      </c>
      <c r="D1029">
        <v>149.65</v>
      </c>
      <c r="E1029">
        <v>14.97</v>
      </c>
      <c r="F1029">
        <v>0</v>
      </c>
      <c r="G1029">
        <v>0.1</v>
      </c>
      <c r="H1029" t="s">
        <v>622</v>
      </c>
      <c r="J1029" t="s">
        <v>623</v>
      </c>
      <c r="K1029" s="1"/>
      <c r="L1029" s="1">
        <v>46049.482557870368</v>
      </c>
      <c r="M1029" s="2">
        <v>46049</v>
      </c>
      <c r="N1029" t="s">
        <v>634</v>
      </c>
      <c r="O1029" t="s">
        <v>625</v>
      </c>
      <c r="P1029">
        <v>1</v>
      </c>
      <c r="Q1029">
        <v>0</v>
      </c>
      <c r="R1029">
        <v>149.65</v>
      </c>
      <c r="S1029" t="s">
        <v>74</v>
      </c>
      <c r="T1029" t="s">
        <v>778</v>
      </c>
    </row>
    <row r="1030" spans="1:20" x14ac:dyDescent="0.3">
      <c r="A1030">
        <v>1029</v>
      </c>
      <c r="B1030">
        <v>83</v>
      </c>
      <c r="C1030">
        <v>5</v>
      </c>
      <c r="D1030">
        <v>35.29</v>
      </c>
      <c r="E1030">
        <v>3.53</v>
      </c>
      <c r="F1030">
        <v>0</v>
      </c>
      <c r="G1030">
        <v>0.1</v>
      </c>
      <c r="H1030" t="s">
        <v>622</v>
      </c>
      <c r="J1030" t="s">
        <v>623</v>
      </c>
      <c r="K1030" s="1"/>
      <c r="L1030" s="1">
        <v>46049.485613425924</v>
      </c>
      <c r="M1030" s="2">
        <v>46049</v>
      </c>
      <c r="N1030" t="s">
        <v>634</v>
      </c>
      <c r="O1030" t="s">
        <v>625</v>
      </c>
      <c r="P1030">
        <v>1</v>
      </c>
      <c r="Q1030">
        <v>0</v>
      </c>
      <c r="R1030">
        <v>35.29</v>
      </c>
      <c r="S1030" t="s">
        <v>161</v>
      </c>
      <c r="T1030" t="s">
        <v>779</v>
      </c>
    </row>
    <row r="1031" spans="1:20" x14ac:dyDescent="0.3">
      <c r="A1031">
        <v>1030</v>
      </c>
      <c r="B1031">
        <v>240</v>
      </c>
      <c r="C1031">
        <v>3</v>
      </c>
      <c r="D1031">
        <v>165.12</v>
      </c>
      <c r="E1031">
        <v>16.510000000000002</v>
      </c>
      <c r="F1031">
        <v>0</v>
      </c>
      <c r="G1031">
        <v>0.1</v>
      </c>
      <c r="H1031" t="s">
        <v>622</v>
      </c>
      <c r="J1031" t="s">
        <v>623</v>
      </c>
      <c r="K1031" s="1"/>
      <c r="L1031" s="1">
        <v>46049.495671296296</v>
      </c>
      <c r="M1031" s="2">
        <v>46049</v>
      </c>
      <c r="N1031" t="s">
        <v>634</v>
      </c>
      <c r="O1031" t="s">
        <v>625</v>
      </c>
      <c r="P1031">
        <v>1</v>
      </c>
      <c r="Q1031">
        <v>0</v>
      </c>
      <c r="R1031">
        <v>165.12</v>
      </c>
      <c r="S1031" t="s">
        <v>475</v>
      </c>
      <c r="T1031" t="s">
        <v>777</v>
      </c>
    </row>
    <row r="1032" spans="1:20" x14ac:dyDescent="0.3">
      <c r="A1032">
        <v>1031</v>
      </c>
      <c r="B1032">
        <v>176</v>
      </c>
      <c r="C1032">
        <v>2</v>
      </c>
      <c r="D1032">
        <v>160.56</v>
      </c>
      <c r="E1032">
        <v>16.059999999999999</v>
      </c>
      <c r="F1032">
        <v>0</v>
      </c>
      <c r="G1032">
        <v>0.1</v>
      </c>
      <c r="H1032" t="s">
        <v>622</v>
      </c>
      <c r="J1032" t="s">
        <v>623</v>
      </c>
      <c r="K1032" s="1"/>
      <c r="L1032" s="1">
        <v>46049.57271990741</v>
      </c>
      <c r="M1032" s="2">
        <v>46049</v>
      </c>
      <c r="N1032" t="s">
        <v>634</v>
      </c>
      <c r="O1032" t="s">
        <v>625</v>
      </c>
      <c r="P1032">
        <v>1</v>
      </c>
      <c r="Q1032">
        <v>0</v>
      </c>
      <c r="R1032">
        <v>160.56</v>
      </c>
      <c r="S1032" t="s">
        <v>347</v>
      </c>
      <c r="T1032" t="s">
        <v>776</v>
      </c>
    </row>
    <row r="1033" spans="1:20" x14ac:dyDescent="0.3">
      <c r="A1033">
        <v>1032</v>
      </c>
      <c r="B1033">
        <v>235</v>
      </c>
      <c r="C1033">
        <v>2</v>
      </c>
      <c r="D1033">
        <v>57.43</v>
      </c>
      <c r="E1033">
        <v>5.74</v>
      </c>
      <c r="F1033">
        <v>0</v>
      </c>
      <c r="G1033">
        <v>0.1</v>
      </c>
      <c r="H1033" t="s">
        <v>622</v>
      </c>
      <c r="J1033" t="s">
        <v>623</v>
      </c>
      <c r="K1033" s="1"/>
      <c r="L1033" s="1">
        <v>46049.572766203702</v>
      </c>
      <c r="M1033" s="2">
        <v>46049</v>
      </c>
      <c r="N1033" t="s">
        <v>634</v>
      </c>
      <c r="O1033" t="s">
        <v>625</v>
      </c>
      <c r="P1033">
        <v>1</v>
      </c>
      <c r="Q1033">
        <v>0</v>
      </c>
      <c r="R1033">
        <v>57.43</v>
      </c>
      <c r="S1033" t="s">
        <v>465</v>
      </c>
      <c r="T1033" t="s">
        <v>776</v>
      </c>
    </row>
    <row r="1034" spans="1:20" x14ac:dyDescent="0.3">
      <c r="A1034">
        <v>1033</v>
      </c>
      <c r="B1034">
        <v>125</v>
      </c>
      <c r="C1034">
        <v>4</v>
      </c>
      <c r="D1034">
        <v>30.21</v>
      </c>
      <c r="E1034">
        <v>3.02</v>
      </c>
      <c r="F1034">
        <v>0</v>
      </c>
      <c r="G1034">
        <v>0.1</v>
      </c>
      <c r="H1034" t="s">
        <v>622</v>
      </c>
      <c r="J1034" t="s">
        <v>623</v>
      </c>
      <c r="K1034" s="1"/>
      <c r="L1034" s="1">
        <v>46049.608958333331</v>
      </c>
      <c r="M1034" s="2">
        <v>46049</v>
      </c>
      <c r="N1034" t="s">
        <v>634</v>
      </c>
      <c r="O1034" t="s">
        <v>625</v>
      </c>
      <c r="P1034">
        <v>1</v>
      </c>
      <c r="Q1034">
        <v>0</v>
      </c>
      <c r="R1034">
        <v>30.21</v>
      </c>
      <c r="S1034" t="s">
        <v>245</v>
      </c>
      <c r="T1034" t="s">
        <v>778</v>
      </c>
    </row>
    <row r="1035" spans="1:20" x14ac:dyDescent="0.3">
      <c r="A1035">
        <v>1034</v>
      </c>
      <c r="B1035">
        <v>156</v>
      </c>
      <c r="C1035">
        <v>5</v>
      </c>
      <c r="D1035">
        <v>27.95</v>
      </c>
      <c r="E1035">
        <v>2.8</v>
      </c>
      <c r="F1035">
        <v>0</v>
      </c>
      <c r="G1035">
        <v>0.1</v>
      </c>
      <c r="H1035" t="s">
        <v>622</v>
      </c>
      <c r="J1035" t="s">
        <v>623</v>
      </c>
      <c r="K1035" s="1"/>
      <c r="L1035" s="1">
        <v>46049.620659722219</v>
      </c>
      <c r="M1035" s="2">
        <v>46049</v>
      </c>
      <c r="N1035" t="s">
        <v>634</v>
      </c>
      <c r="O1035" t="s">
        <v>625</v>
      </c>
      <c r="P1035">
        <v>1</v>
      </c>
      <c r="Q1035">
        <v>0</v>
      </c>
      <c r="R1035">
        <v>27.95</v>
      </c>
      <c r="S1035" t="s">
        <v>307</v>
      </c>
      <c r="T1035" t="s">
        <v>779</v>
      </c>
    </row>
    <row r="1036" spans="1:20" x14ac:dyDescent="0.3">
      <c r="A1036">
        <v>1035</v>
      </c>
      <c r="B1036">
        <v>136</v>
      </c>
      <c r="C1036">
        <v>5</v>
      </c>
      <c r="D1036">
        <v>52.94</v>
      </c>
      <c r="E1036">
        <v>5.29</v>
      </c>
      <c r="F1036">
        <v>0</v>
      </c>
      <c r="G1036">
        <v>0.1</v>
      </c>
      <c r="H1036" t="s">
        <v>622</v>
      </c>
      <c r="J1036" t="s">
        <v>623</v>
      </c>
      <c r="K1036" s="1"/>
      <c r="L1036" s="1">
        <v>46049.639976851853</v>
      </c>
      <c r="M1036" s="2">
        <v>46049</v>
      </c>
      <c r="N1036" t="s">
        <v>634</v>
      </c>
      <c r="O1036" t="s">
        <v>625</v>
      </c>
      <c r="P1036">
        <v>1</v>
      </c>
      <c r="Q1036">
        <v>0</v>
      </c>
      <c r="R1036">
        <v>52.94</v>
      </c>
      <c r="S1036" t="s">
        <v>267</v>
      </c>
      <c r="T1036" t="s">
        <v>779</v>
      </c>
    </row>
    <row r="1037" spans="1:20" x14ac:dyDescent="0.3">
      <c r="A1037">
        <v>1036</v>
      </c>
      <c r="B1037">
        <v>91</v>
      </c>
      <c r="C1037">
        <v>5</v>
      </c>
      <c r="D1037">
        <v>26.08</v>
      </c>
      <c r="E1037">
        <v>2.61</v>
      </c>
      <c r="F1037">
        <v>0</v>
      </c>
      <c r="G1037">
        <v>0.1</v>
      </c>
      <c r="H1037" t="s">
        <v>622</v>
      </c>
      <c r="J1037" t="s">
        <v>623</v>
      </c>
      <c r="K1037" s="1"/>
      <c r="L1037" s="1">
        <v>46049.640833333331</v>
      </c>
      <c r="M1037" s="2">
        <v>46049</v>
      </c>
      <c r="N1037" t="s">
        <v>634</v>
      </c>
      <c r="O1037" t="s">
        <v>625</v>
      </c>
      <c r="P1037">
        <v>1</v>
      </c>
      <c r="Q1037">
        <v>0</v>
      </c>
      <c r="R1037">
        <v>26.08</v>
      </c>
      <c r="S1037" t="s">
        <v>177</v>
      </c>
      <c r="T1037" t="s">
        <v>779</v>
      </c>
    </row>
    <row r="1038" spans="1:20" x14ac:dyDescent="0.3">
      <c r="A1038">
        <v>1037</v>
      </c>
      <c r="B1038">
        <v>240</v>
      </c>
      <c r="C1038">
        <v>5</v>
      </c>
      <c r="D1038">
        <v>203.18</v>
      </c>
      <c r="E1038">
        <v>20.32</v>
      </c>
      <c r="F1038">
        <v>0</v>
      </c>
      <c r="G1038">
        <v>0.1</v>
      </c>
      <c r="H1038" t="s">
        <v>622</v>
      </c>
      <c r="J1038" t="s">
        <v>623</v>
      </c>
      <c r="K1038" s="1"/>
      <c r="L1038" s="1">
        <v>46049.68005787037</v>
      </c>
      <c r="M1038" s="2">
        <v>46049</v>
      </c>
      <c r="N1038" t="s">
        <v>634</v>
      </c>
      <c r="O1038" t="s">
        <v>625</v>
      </c>
      <c r="P1038">
        <v>1</v>
      </c>
      <c r="Q1038">
        <v>0</v>
      </c>
      <c r="R1038">
        <v>203.18</v>
      </c>
      <c r="S1038" t="s">
        <v>475</v>
      </c>
      <c r="T1038" t="s">
        <v>779</v>
      </c>
    </row>
    <row r="1039" spans="1:20" x14ac:dyDescent="0.3">
      <c r="A1039">
        <v>1038</v>
      </c>
      <c r="B1039">
        <v>101</v>
      </c>
      <c r="C1039">
        <v>3</v>
      </c>
      <c r="D1039">
        <v>33.24</v>
      </c>
      <c r="E1039">
        <v>3.32</v>
      </c>
      <c r="F1039">
        <v>0</v>
      </c>
      <c r="G1039">
        <v>0.1</v>
      </c>
      <c r="H1039" t="s">
        <v>622</v>
      </c>
      <c r="J1039" t="s">
        <v>623</v>
      </c>
      <c r="K1039" s="1"/>
      <c r="L1039" s="1">
        <v>46049.680185185185</v>
      </c>
      <c r="M1039" s="2">
        <v>46049</v>
      </c>
      <c r="N1039" t="s">
        <v>634</v>
      </c>
      <c r="O1039" t="s">
        <v>625</v>
      </c>
      <c r="P1039">
        <v>1</v>
      </c>
      <c r="Q1039">
        <v>0</v>
      </c>
      <c r="R1039">
        <v>33.24</v>
      </c>
      <c r="S1039" t="s">
        <v>197</v>
      </c>
      <c r="T1039" t="s">
        <v>777</v>
      </c>
    </row>
    <row r="1040" spans="1:20" x14ac:dyDescent="0.3">
      <c r="A1040">
        <v>1039</v>
      </c>
      <c r="B1040">
        <v>59</v>
      </c>
      <c r="C1040">
        <v>3</v>
      </c>
      <c r="D1040">
        <v>18.13</v>
      </c>
      <c r="E1040">
        <v>0</v>
      </c>
      <c r="F1040">
        <v>1</v>
      </c>
      <c r="G1040">
        <v>0.1</v>
      </c>
      <c r="H1040" t="s">
        <v>622</v>
      </c>
      <c r="J1040" t="s">
        <v>623</v>
      </c>
      <c r="K1040" s="1"/>
      <c r="L1040" s="1">
        <v>46049.697222222225</v>
      </c>
      <c r="M1040" s="2">
        <v>46049</v>
      </c>
      <c r="N1040" t="s">
        <v>634</v>
      </c>
      <c r="O1040" t="s">
        <v>629</v>
      </c>
      <c r="P1040">
        <v>1</v>
      </c>
      <c r="Q1040">
        <v>0</v>
      </c>
      <c r="R1040">
        <v>18.13</v>
      </c>
      <c r="S1040" t="s">
        <v>114</v>
      </c>
      <c r="T1040" t="s">
        <v>777</v>
      </c>
    </row>
    <row r="1041" spans="1:20" x14ac:dyDescent="0.3">
      <c r="A1041">
        <v>1040</v>
      </c>
      <c r="B1041">
        <v>304</v>
      </c>
      <c r="C1041">
        <v>5</v>
      </c>
      <c r="D1041">
        <v>33.54</v>
      </c>
      <c r="E1041">
        <v>3.35</v>
      </c>
      <c r="F1041">
        <v>0</v>
      </c>
      <c r="G1041">
        <v>0.1</v>
      </c>
      <c r="H1041" t="s">
        <v>622</v>
      </c>
      <c r="J1041" t="s">
        <v>623</v>
      </c>
      <c r="K1041" s="1"/>
      <c r="L1041" s="1">
        <v>46049.714131944442</v>
      </c>
      <c r="M1041" s="2">
        <v>46049</v>
      </c>
      <c r="N1041" t="s">
        <v>634</v>
      </c>
      <c r="O1041" t="s">
        <v>625</v>
      </c>
      <c r="P1041">
        <v>1</v>
      </c>
      <c r="Q1041">
        <v>0</v>
      </c>
      <c r="R1041">
        <v>33.54</v>
      </c>
      <c r="S1041" t="s">
        <v>603</v>
      </c>
      <c r="T1041" t="s">
        <v>779</v>
      </c>
    </row>
    <row r="1042" spans="1:20" x14ac:dyDescent="0.3">
      <c r="A1042">
        <v>1041</v>
      </c>
      <c r="B1042">
        <v>81</v>
      </c>
      <c r="C1042">
        <v>3</v>
      </c>
      <c r="D1042">
        <v>15.08</v>
      </c>
      <c r="E1042">
        <v>1.51</v>
      </c>
      <c r="F1042">
        <v>0</v>
      </c>
      <c r="G1042">
        <v>0.1</v>
      </c>
      <c r="H1042" t="s">
        <v>622</v>
      </c>
      <c r="J1042" t="s">
        <v>623</v>
      </c>
      <c r="K1042" s="1"/>
      <c r="L1042" s="1">
        <v>46049.716643518521</v>
      </c>
      <c r="M1042" s="2">
        <v>46049</v>
      </c>
      <c r="N1042" t="s">
        <v>634</v>
      </c>
      <c r="O1042" t="s">
        <v>625</v>
      </c>
      <c r="P1042">
        <v>1</v>
      </c>
      <c r="Q1042">
        <v>0</v>
      </c>
      <c r="R1042">
        <v>15.08</v>
      </c>
      <c r="S1042" t="s">
        <v>84</v>
      </c>
      <c r="T1042" t="s">
        <v>777</v>
      </c>
    </row>
    <row r="1043" spans="1:20" x14ac:dyDescent="0.3">
      <c r="A1043">
        <v>1042</v>
      </c>
      <c r="B1043">
        <v>70</v>
      </c>
      <c r="C1043">
        <v>5</v>
      </c>
      <c r="D1043">
        <v>191.65</v>
      </c>
      <c r="E1043">
        <v>19.170000000000002</v>
      </c>
      <c r="F1043">
        <v>0</v>
      </c>
      <c r="G1043">
        <v>0.1</v>
      </c>
      <c r="H1043" t="s">
        <v>622</v>
      </c>
      <c r="J1043" t="s">
        <v>623</v>
      </c>
      <c r="K1043" s="1"/>
      <c r="L1043" s="1">
        <v>46049.799490740741</v>
      </c>
      <c r="M1043" s="2">
        <v>46049</v>
      </c>
      <c r="N1043" t="s">
        <v>634</v>
      </c>
      <c r="O1043" t="s">
        <v>625</v>
      </c>
      <c r="P1043">
        <v>1</v>
      </c>
      <c r="Q1043">
        <v>0</v>
      </c>
      <c r="R1043">
        <v>191.65</v>
      </c>
      <c r="S1043" t="s">
        <v>136</v>
      </c>
      <c r="T1043" t="s">
        <v>779</v>
      </c>
    </row>
    <row r="1044" spans="1:20" x14ac:dyDescent="0.3">
      <c r="A1044">
        <v>1043</v>
      </c>
      <c r="B1044">
        <v>221</v>
      </c>
      <c r="C1044">
        <v>4</v>
      </c>
      <c r="D1044">
        <v>279.92</v>
      </c>
      <c r="E1044">
        <v>27.99</v>
      </c>
      <c r="F1044">
        <v>0</v>
      </c>
      <c r="G1044">
        <v>0.1</v>
      </c>
      <c r="H1044" t="s">
        <v>622</v>
      </c>
      <c r="J1044" t="s">
        <v>623</v>
      </c>
      <c r="K1044" s="1"/>
      <c r="L1044" s="1">
        <v>46050.306631944448</v>
      </c>
      <c r="M1044" s="2">
        <v>46050</v>
      </c>
      <c r="N1044" t="s">
        <v>634</v>
      </c>
      <c r="O1044" t="s">
        <v>625</v>
      </c>
      <c r="P1044">
        <v>1</v>
      </c>
      <c r="Q1044">
        <v>0</v>
      </c>
      <c r="R1044">
        <v>279.92</v>
      </c>
      <c r="S1044" t="s">
        <v>437</v>
      </c>
      <c r="T1044" t="s">
        <v>778</v>
      </c>
    </row>
    <row r="1045" spans="1:20" x14ac:dyDescent="0.3">
      <c r="A1045">
        <v>1044</v>
      </c>
      <c r="B1045">
        <v>270</v>
      </c>
      <c r="C1045">
        <v>3</v>
      </c>
      <c r="D1045">
        <v>36.93</v>
      </c>
      <c r="E1045">
        <v>3.69</v>
      </c>
      <c r="F1045">
        <v>0</v>
      </c>
      <c r="G1045">
        <v>0.1</v>
      </c>
      <c r="H1045" t="s">
        <v>622</v>
      </c>
      <c r="J1045" t="s">
        <v>623</v>
      </c>
      <c r="K1045" s="1"/>
      <c r="L1045" s="1">
        <v>46050.34002314815</v>
      </c>
      <c r="M1045" s="2">
        <v>46050</v>
      </c>
      <c r="N1045" t="s">
        <v>634</v>
      </c>
      <c r="O1045" t="s">
        <v>625</v>
      </c>
      <c r="P1045">
        <v>1</v>
      </c>
      <c r="Q1045">
        <v>0</v>
      </c>
      <c r="R1045">
        <v>36.93</v>
      </c>
      <c r="S1045" t="s">
        <v>535</v>
      </c>
      <c r="T1045" t="s">
        <v>777</v>
      </c>
    </row>
    <row r="1046" spans="1:20" x14ac:dyDescent="0.3">
      <c r="A1046">
        <v>1045</v>
      </c>
      <c r="B1046">
        <v>115</v>
      </c>
      <c r="C1046">
        <v>3</v>
      </c>
      <c r="D1046">
        <v>23.67</v>
      </c>
      <c r="E1046">
        <v>2.37</v>
      </c>
      <c r="F1046">
        <v>0</v>
      </c>
      <c r="G1046">
        <v>0.1</v>
      </c>
      <c r="H1046" t="s">
        <v>626</v>
      </c>
      <c r="I1046">
        <v>4</v>
      </c>
      <c r="J1046" t="s">
        <v>628</v>
      </c>
      <c r="K1046" s="1">
        <v>46050.6171875</v>
      </c>
      <c r="L1046" s="1">
        <v>46050.408854166664</v>
      </c>
      <c r="M1046" s="2">
        <v>46050</v>
      </c>
      <c r="N1046" t="s">
        <v>634</v>
      </c>
      <c r="O1046" t="s">
        <v>625</v>
      </c>
      <c r="P1046">
        <v>1</v>
      </c>
      <c r="Q1046">
        <v>1</v>
      </c>
      <c r="R1046">
        <v>0</v>
      </c>
      <c r="S1046" t="s">
        <v>225</v>
      </c>
      <c r="T1046" t="s">
        <v>777</v>
      </c>
    </row>
    <row r="1047" spans="1:20" x14ac:dyDescent="0.3">
      <c r="A1047">
        <v>1046</v>
      </c>
      <c r="B1047">
        <v>240</v>
      </c>
      <c r="C1047">
        <v>2</v>
      </c>
      <c r="D1047">
        <v>235.25</v>
      </c>
      <c r="E1047">
        <v>23.53</v>
      </c>
      <c r="F1047">
        <v>0</v>
      </c>
      <c r="G1047">
        <v>0.1</v>
      </c>
      <c r="H1047" t="s">
        <v>622</v>
      </c>
      <c r="J1047" t="s">
        <v>623</v>
      </c>
      <c r="K1047" s="1"/>
      <c r="L1047" s="1">
        <v>46050.418333333335</v>
      </c>
      <c r="M1047" s="2">
        <v>46050</v>
      </c>
      <c r="N1047" t="s">
        <v>634</v>
      </c>
      <c r="O1047" t="s">
        <v>625</v>
      </c>
      <c r="P1047">
        <v>1</v>
      </c>
      <c r="Q1047">
        <v>0</v>
      </c>
      <c r="R1047">
        <v>235.25</v>
      </c>
      <c r="S1047" t="s">
        <v>475</v>
      </c>
      <c r="T1047" t="s">
        <v>776</v>
      </c>
    </row>
    <row r="1048" spans="1:20" x14ac:dyDescent="0.3">
      <c r="A1048">
        <v>1047</v>
      </c>
      <c r="B1048">
        <v>37</v>
      </c>
      <c r="C1048">
        <v>2</v>
      </c>
      <c r="D1048">
        <v>141.26</v>
      </c>
      <c r="E1048">
        <v>14.13</v>
      </c>
      <c r="F1048">
        <v>0</v>
      </c>
      <c r="G1048">
        <v>0.1</v>
      </c>
      <c r="H1048" t="s">
        <v>622</v>
      </c>
      <c r="J1048" t="s">
        <v>623</v>
      </c>
      <c r="K1048" s="1"/>
      <c r="L1048" s="1">
        <v>46050.452175925922</v>
      </c>
      <c r="M1048" s="2">
        <v>46050</v>
      </c>
      <c r="N1048" t="s">
        <v>634</v>
      </c>
      <c r="O1048" t="s">
        <v>625</v>
      </c>
      <c r="P1048">
        <v>1</v>
      </c>
      <c r="Q1048">
        <v>0</v>
      </c>
      <c r="R1048">
        <v>141.26</v>
      </c>
      <c r="S1048" t="s">
        <v>70</v>
      </c>
      <c r="T1048" t="s">
        <v>776</v>
      </c>
    </row>
    <row r="1049" spans="1:20" x14ac:dyDescent="0.3">
      <c r="A1049">
        <v>1048</v>
      </c>
      <c r="B1049">
        <v>156</v>
      </c>
      <c r="C1049">
        <v>2</v>
      </c>
      <c r="D1049">
        <v>31.51</v>
      </c>
      <c r="E1049">
        <v>3.15</v>
      </c>
      <c r="F1049">
        <v>0</v>
      </c>
      <c r="G1049">
        <v>0.1</v>
      </c>
      <c r="H1049" t="s">
        <v>622</v>
      </c>
      <c r="J1049" t="s">
        <v>623</v>
      </c>
      <c r="K1049" s="1"/>
      <c r="L1049" s="1">
        <v>46050.506782407407</v>
      </c>
      <c r="M1049" s="2">
        <v>46050</v>
      </c>
      <c r="N1049" t="s">
        <v>634</v>
      </c>
      <c r="O1049" t="s">
        <v>625</v>
      </c>
      <c r="P1049">
        <v>1</v>
      </c>
      <c r="Q1049">
        <v>0</v>
      </c>
      <c r="R1049">
        <v>31.51</v>
      </c>
      <c r="S1049" t="s">
        <v>307</v>
      </c>
      <c r="T1049" t="s">
        <v>776</v>
      </c>
    </row>
    <row r="1050" spans="1:20" x14ac:dyDescent="0.3">
      <c r="A1050">
        <v>1049</v>
      </c>
      <c r="B1050">
        <v>274</v>
      </c>
      <c r="C1050">
        <v>5</v>
      </c>
      <c r="D1050">
        <v>44.28</v>
      </c>
      <c r="E1050">
        <v>4.43</v>
      </c>
      <c r="F1050">
        <v>0</v>
      </c>
      <c r="G1050">
        <v>0.1</v>
      </c>
      <c r="H1050" t="s">
        <v>622</v>
      </c>
      <c r="J1050" t="s">
        <v>623</v>
      </c>
      <c r="K1050" s="1"/>
      <c r="L1050" s="1">
        <v>46050.592210648145</v>
      </c>
      <c r="M1050" s="2">
        <v>46050</v>
      </c>
      <c r="N1050" t="s">
        <v>634</v>
      </c>
      <c r="O1050" t="s">
        <v>625</v>
      </c>
      <c r="P1050">
        <v>1</v>
      </c>
      <c r="Q1050">
        <v>0</v>
      </c>
      <c r="R1050">
        <v>44.28</v>
      </c>
      <c r="S1050" t="s">
        <v>543</v>
      </c>
      <c r="T1050" t="s">
        <v>779</v>
      </c>
    </row>
    <row r="1051" spans="1:20" x14ac:dyDescent="0.3">
      <c r="A1051">
        <v>1050</v>
      </c>
      <c r="B1051">
        <v>197</v>
      </c>
      <c r="C1051">
        <v>5</v>
      </c>
      <c r="D1051">
        <v>162.82</v>
      </c>
      <c r="E1051">
        <v>16.28</v>
      </c>
      <c r="F1051">
        <v>0</v>
      </c>
      <c r="G1051">
        <v>0.1</v>
      </c>
      <c r="H1051" t="s">
        <v>622</v>
      </c>
      <c r="J1051" t="s">
        <v>623</v>
      </c>
      <c r="K1051" s="1"/>
      <c r="L1051" s="1">
        <v>46050.592870370368</v>
      </c>
      <c r="M1051" s="2">
        <v>46050</v>
      </c>
      <c r="N1051" t="s">
        <v>634</v>
      </c>
      <c r="O1051" t="s">
        <v>625</v>
      </c>
      <c r="P1051">
        <v>1</v>
      </c>
      <c r="Q1051">
        <v>0</v>
      </c>
      <c r="R1051">
        <v>162.82</v>
      </c>
      <c r="S1051" t="s">
        <v>389</v>
      </c>
      <c r="T1051" t="s">
        <v>779</v>
      </c>
    </row>
    <row r="1052" spans="1:20" x14ac:dyDescent="0.3">
      <c r="A1052">
        <v>1051</v>
      </c>
      <c r="B1052">
        <v>137</v>
      </c>
      <c r="C1052">
        <v>4</v>
      </c>
      <c r="D1052">
        <v>38.53</v>
      </c>
      <c r="E1052">
        <v>3.85</v>
      </c>
      <c r="F1052">
        <v>0</v>
      </c>
      <c r="G1052">
        <v>0.1</v>
      </c>
      <c r="H1052" t="s">
        <v>622</v>
      </c>
      <c r="J1052" t="s">
        <v>623</v>
      </c>
      <c r="K1052" s="1"/>
      <c r="L1052" s="1">
        <v>46050.613946759258</v>
      </c>
      <c r="M1052" s="2">
        <v>46050</v>
      </c>
      <c r="N1052" t="s">
        <v>634</v>
      </c>
      <c r="O1052" t="s">
        <v>625</v>
      </c>
      <c r="P1052">
        <v>1</v>
      </c>
      <c r="Q1052">
        <v>0</v>
      </c>
      <c r="R1052">
        <v>38.53</v>
      </c>
      <c r="S1052" t="s">
        <v>269</v>
      </c>
      <c r="T1052" t="s">
        <v>778</v>
      </c>
    </row>
    <row r="1053" spans="1:20" x14ac:dyDescent="0.3">
      <c r="A1053">
        <v>1052</v>
      </c>
      <c r="B1053">
        <v>27</v>
      </c>
      <c r="C1053">
        <v>3</v>
      </c>
      <c r="D1053">
        <v>77.790000000000006</v>
      </c>
      <c r="E1053">
        <v>7.78</v>
      </c>
      <c r="F1053">
        <v>0</v>
      </c>
      <c r="G1053">
        <v>0.1</v>
      </c>
      <c r="H1053" t="s">
        <v>622</v>
      </c>
      <c r="J1053" t="s">
        <v>623</v>
      </c>
      <c r="K1053" s="1"/>
      <c r="L1053" s="1">
        <v>46050.627106481479</v>
      </c>
      <c r="M1053" s="2">
        <v>46050</v>
      </c>
      <c r="N1053" t="s">
        <v>634</v>
      </c>
      <c r="O1053" t="s">
        <v>625</v>
      </c>
      <c r="P1053">
        <v>1</v>
      </c>
      <c r="Q1053">
        <v>0</v>
      </c>
      <c r="R1053">
        <v>77.790000000000006</v>
      </c>
      <c r="S1053" t="s">
        <v>50</v>
      </c>
      <c r="T1053" t="s">
        <v>777</v>
      </c>
    </row>
    <row r="1054" spans="1:20" x14ac:dyDescent="0.3">
      <c r="A1054">
        <v>1053</v>
      </c>
      <c r="B1054">
        <v>157</v>
      </c>
      <c r="C1054">
        <v>5</v>
      </c>
      <c r="D1054">
        <v>38.21</v>
      </c>
      <c r="E1054">
        <v>3.82</v>
      </c>
      <c r="F1054">
        <v>0</v>
      </c>
      <c r="G1054">
        <v>0.1</v>
      </c>
      <c r="H1054" t="s">
        <v>622</v>
      </c>
      <c r="J1054" t="s">
        <v>623</v>
      </c>
      <c r="K1054" s="1"/>
      <c r="L1054" s="1">
        <v>46050.633125</v>
      </c>
      <c r="M1054" s="2">
        <v>46050</v>
      </c>
      <c r="N1054" t="s">
        <v>634</v>
      </c>
      <c r="O1054" t="s">
        <v>625</v>
      </c>
      <c r="P1054">
        <v>1</v>
      </c>
      <c r="Q1054">
        <v>0</v>
      </c>
      <c r="R1054">
        <v>38.21</v>
      </c>
      <c r="S1054" t="s">
        <v>309</v>
      </c>
      <c r="T1054" t="s">
        <v>779</v>
      </c>
    </row>
    <row r="1055" spans="1:20" x14ac:dyDescent="0.3">
      <c r="A1055">
        <v>1054</v>
      </c>
      <c r="B1055">
        <v>144</v>
      </c>
      <c r="C1055">
        <v>5</v>
      </c>
      <c r="D1055">
        <v>220</v>
      </c>
      <c r="E1055">
        <v>22</v>
      </c>
      <c r="F1055">
        <v>0</v>
      </c>
      <c r="G1055">
        <v>0.1</v>
      </c>
      <c r="H1055" t="s">
        <v>622</v>
      </c>
      <c r="J1055" t="s">
        <v>623</v>
      </c>
      <c r="K1055" s="1"/>
      <c r="L1055" s="1">
        <v>46050.639247685183</v>
      </c>
      <c r="M1055" s="2">
        <v>46050</v>
      </c>
      <c r="N1055" t="s">
        <v>634</v>
      </c>
      <c r="O1055" t="s">
        <v>625</v>
      </c>
      <c r="P1055">
        <v>1</v>
      </c>
      <c r="Q1055">
        <v>0</v>
      </c>
      <c r="R1055">
        <v>220</v>
      </c>
      <c r="S1055" t="s">
        <v>283</v>
      </c>
      <c r="T1055" t="s">
        <v>779</v>
      </c>
    </row>
    <row r="1056" spans="1:20" x14ac:dyDescent="0.3">
      <c r="A1056">
        <v>1055</v>
      </c>
      <c r="B1056">
        <v>42</v>
      </c>
      <c r="C1056">
        <v>4</v>
      </c>
      <c r="D1056">
        <v>28.04</v>
      </c>
      <c r="E1056">
        <v>2.8</v>
      </c>
      <c r="F1056">
        <v>0</v>
      </c>
      <c r="G1056">
        <v>0.1</v>
      </c>
      <c r="H1056" t="s">
        <v>622</v>
      </c>
      <c r="J1056" t="s">
        <v>623</v>
      </c>
      <c r="K1056" s="1"/>
      <c r="L1056" s="1">
        <v>46050.661238425928</v>
      </c>
      <c r="M1056" s="2">
        <v>46050</v>
      </c>
      <c r="N1056" t="s">
        <v>634</v>
      </c>
      <c r="O1056" t="s">
        <v>625</v>
      </c>
      <c r="P1056">
        <v>1</v>
      </c>
      <c r="Q1056">
        <v>0</v>
      </c>
      <c r="R1056">
        <v>28.04</v>
      </c>
      <c r="S1056" t="s">
        <v>80</v>
      </c>
      <c r="T1056" t="s">
        <v>778</v>
      </c>
    </row>
    <row r="1057" spans="1:20" x14ac:dyDescent="0.3">
      <c r="A1057">
        <v>1056</v>
      </c>
      <c r="B1057">
        <v>106</v>
      </c>
      <c r="C1057">
        <v>4</v>
      </c>
      <c r="D1057">
        <v>84.79</v>
      </c>
      <c r="E1057">
        <v>0</v>
      </c>
      <c r="F1057">
        <v>1</v>
      </c>
      <c r="G1057">
        <v>0.1</v>
      </c>
      <c r="H1057" t="s">
        <v>622</v>
      </c>
      <c r="J1057" t="s">
        <v>623</v>
      </c>
      <c r="K1057" s="1"/>
      <c r="L1057" s="1">
        <v>46050.727719907409</v>
      </c>
      <c r="M1057" s="2">
        <v>46050</v>
      </c>
      <c r="N1057" t="s">
        <v>634</v>
      </c>
      <c r="O1057" t="s">
        <v>629</v>
      </c>
      <c r="P1057">
        <v>1</v>
      </c>
      <c r="Q1057">
        <v>0</v>
      </c>
      <c r="R1057">
        <v>84.79</v>
      </c>
      <c r="S1057" t="s">
        <v>207</v>
      </c>
      <c r="T1057" t="s">
        <v>778</v>
      </c>
    </row>
    <row r="1058" spans="1:20" x14ac:dyDescent="0.3">
      <c r="A1058">
        <v>1057</v>
      </c>
      <c r="B1058">
        <v>197</v>
      </c>
      <c r="C1058">
        <v>4</v>
      </c>
      <c r="D1058">
        <v>137.78</v>
      </c>
      <c r="E1058">
        <v>13.78</v>
      </c>
      <c r="F1058">
        <v>0</v>
      </c>
      <c r="G1058">
        <v>0.1</v>
      </c>
      <c r="H1058" t="s">
        <v>626</v>
      </c>
      <c r="I1058">
        <v>4</v>
      </c>
      <c r="J1058" t="s">
        <v>631</v>
      </c>
      <c r="K1058" s="1">
        <v>46051.483252314814</v>
      </c>
      <c r="L1058" s="1">
        <v>46050.81658564815</v>
      </c>
      <c r="M1058" s="2">
        <v>46050</v>
      </c>
      <c r="N1058" t="s">
        <v>634</v>
      </c>
      <c r="O1058" t="s">
        <v>625</v>
      </c>
      <c r="P1058">
        <v>1</v>
      </c>
      <c r="Q1058">
        <v>1</v>
      </c>
      <c r="R1058">
        <v>0</v>
      </c>
      <c r="S1058" t="s">
        <v>389</v>
      </c>
      <c r="T1058" t="s">
        <v>778</v>
      </c>
    </row>
    <row r="1059" spans="1:20" x14ac:dyDescent="0.3">
      <c r="A1059">
        <v>1058</v>
      </c>
      <c r="B1059">
        <v>59</v>
      </c>
      <c r="C1059">
        <v>4</v>
      </c>
      <c r="D1059">
        <v>22.85</v>
      </c>
      <c r="E1059">
        <v>2.29</v>
      </c>
      <c r="F1059">
        <v>0</v>
      </c>
      <c r="G1059">
        <v>0.1</v>
      </c>
      <c r="H1059" t="s">
        <v>622</v>
      </c>
      <c r="J1059" t="s">
        <v>623</v>
      </c>
      <c r="K1059" s="1"/>
      <c r="L1059" s="1">
        <v>46051.383692129632</v>
      </c>
      <c r="M1059" s="2">
        <v>46051</v>
      </c>
      <c r="N1059" t="s">
        <v>634</v>
      </c>
      <c r="O1059" t="s">
        <v>625</v>
      </c>
      <c r="P1059">
        <v>1</v>
      </c>
      <c r="Q1059">
        <v>0</v>
      </c>
      <c r="R1059">
        <v>22.85</v>
      </c>
      <c r="S1059" t="s">
        <v>114</v>
      </c>
      <c r="T1059" t="s">
        <v>778</v>
      </c>
    </row>
    <row r="1060" spans="1:20" x14ac:dyDescent="0.3">
      <c r="A1060">
        <v>1059</v>
      </c>
      <c r="B1060">
        <v>261</v>
      </c>
      <c r="C1060">
        <v>3</v>
      </c>
      <c r="D1060">
        <v>87.16</v>
      </c>
      <c r="E1060">
        <v>8.7200000000000006</v>
      </c>
      <c r="F1060">
        <v>0</v>
      </c>
      <c r="G1060">
        <v>0.1</v>
      </c>
      <c r="H1060" t="s">
        <v>622</v>
      </c>
      <c r="J1060" t="s">
        <v>623</v>
      </c>
      <c r="K1060" s="1"/>
      <c r="L1060" s="1">
        <v>46051.385150462964</v>
      </c>
      <c r="M1060" s="2">
        <v>46051</v>
      </c>
      <c r="N1060" t="s">
        <v>634</v>
      </c>
      <c r="O1060" t="s">
        <v>625</v>
      </c>
      <c r="P1060">
        <v>1</v>
      </c>
      <c r="Q1060">
        <v>0</v>
      </c>
      <c r="R1060">
        <v>87.16</v>
      </c>
      <c r="S1060" t="s">
        <v>517</v>
      </c>
      <c r="T1060" t="s">
        <v>777</v>
      </c>
    </row>
    <row r="1061" spans="1:20" x14ac:dyDescent="0.3">
      <c r="A1061">
        <v>1060</v>
      </c>
      <c r="B1061">
        <v>262</v>
      </c>
      <c r="C1061">
        <v>2</v>
      </c>
      <c r="D1061">
        <v>89.54</v>
      </c>
      <c r="E1061">
        <v>8.9499999999999993</v>
      </c>
      <c r="F1061">
        <v>0</v>
      </c>
      <c r="G1061">
        <v>0.1</v>
      </c>
      <c r="H1061" t="s">
        <v>622</v>
      </c>
      <c r="J1061" t="s">
        <v>623</v>
      </c>
      <c r="K1061" s="1"/>
      <c r="L1061" s="1">
        <v>46051.403923611113</v>
      </c>
      <c r="M1061" s="2">
        <v>46051</v>
      </c>
      <c r="N1061" t="s">
        <v>634</v>
      </c>
      <c r="O1061" t="s">
        <v>625</v>
      </c>
      <c r="P1061">
        <v>1</v>
      </c>
      <c r="Q1061">
        <v>0</v>
      </c>
      <c r="R1061">
        <v>89.54</v>
      </c>
      <c r="S1061" t="s">
        <v>519</v>
      </c>
      <c r="T1061" t="s">
        <v>776</v>
      </c>
    </row>
    <row r="1062" spans="1:20" x14ac:dyDescent="0.3">
      <c r="A1062">
        <v>1061</v>
      </c>
      <c r="B1062">
        <v>227</v>
      </c>
      <c r="C1062">
        <v>4</v>
      </c>
      <c r="D1062">
        <v>19.079999999999998</v>
      </c>
      <c r="E1062">
        <v>1.91</v>
      </c>
      <c r="F1062">
        <v>0</v>
      </c>
      <c r="G1062">
        <v>0.1</v>
      </c>
      <c r="H1062" t="s">
        <v>622</v>
      </c>
      <c r="J1062" t="s">
        <v>623</v>
      </c>
      <c r="K1062" s="1"/>
      <c r="L1062" s="1">
        <v>46051.432673611111</v>
      </c>
      <c r="M1062" s="2">
        <v>46051</v>
      </c>
      <c r="N1062" t="s">
        <v>634</v>
      </c>
      <c r="O1062" t="s">
        <v>625</v>
      </c>
      <c r="P1062">
        <v>1</v>
      </c>
      <c r="Q1062">
        <v>0</v>
      </c>
      <c r="R1062">
        <v>19.079999999999998</v>
      </c>
      <c r="S1062" t="s">
        <v>449</v>
      </c>
      <c r="T1062" t="s">
        <v>778</v>
      </c>
    </row>
    <row r="1063" spans="1:20" x14ac:dyDescent="0.3">
      <c r="A1063">
        <v>1062</v>
      </c>
      <c r="B1063">
        <v>48</v>
      </c>
      <c r="C1063">
        <v>3</v>
      </c>
      <c r="D1063">
        <v>66.53</v>
      </c>
      <c r="E1063">
        <v>6.65</v>
      </c>
      <c r="F1063">
        <v>0</v>
      </c>
      <c r="G1063">
        <v>0.1</v>
      </c>
      <c r="H1063" t="s">
        <v>622</v>
      </c>
      <c r="J1063" t="s">
        <v>623</v>
      </c>
      <c r="K1063" s="1"/>
      <c r="L1063" s="1">
        <v>46051.444664351853</v>
      </c>
      <c r="M1063" s="2">
        <v>46051</v>
      </c>
      <c r="N1063" t="s">
        <v>634</v>
      </c>
      <c r="O1063" t="s">
        <v>625</v>
      </c>
      <c r="P1063">
        <v>1</v>
      </c>
      <c r="Q1063">
        <v>0</v>
      </c>
      <c r="R1063">
        <v>66.53</v>
      </c>
      <c r="S1063" t="s">
        <v>92</v>
      </c>
      <c r="T1063" t="s">
        <v>777</v>
      </c>
    </row>
    <row r="1064" spans="1:20" x14ac:dyDescent="0.3">
      <c r="A1064">
        <v>1063</v>
      </c>
      <c r="B1064">
        <v>233</v>
      </c>
      <c r="C1064">
        <v>2</v>
      </c>
      <c r="D1064">
        <v>102.35</v>
      </c>
      <c r="E1064">
        <v>10.24</v>
      </c>
      <c r="F1064">
        <v>0</v>
      </c>
      <c r="G1064">
        <v>0.1</v>
      </c>
      <c r="H1064" t="s">
        <v>622</v>
      </c>
      <c r="J1064" t="s">
        <v>623</v>
      </c>
      <c r="K1064" s="1"/>
      <c r="L1064" s="1">
        <v>46051.694305555553</v>
      </c>
      <c r="M1064" s="2">
        <v>46051</v>
      </c>
      <c r="N1064" t="s">
        <v>634</v>
      </c>
      <c r="O1064" t="s">
        <v>625</v>
      </c>
      <c r="P1064">
        <v>1</v>
      </c>
      <c r="Q1064">
        <v>0</v>
      </c>
      <c r="R1064">
        <v>102.35</v>
      </c>
      <c r="S1064" t="s">
        <v>461</v>
      </c>
      <c r="T1064" t="s">
        <v>776</v>
      </c>
    </row>
    <row r="1065" spans="1:20" x14ac:dyDescent="0.3">
      <c r="A1065">
        <v>1064</v>
      </c>
      <c r="B1065">
        <v>124</v>
      </c>
      <c r="C1065">
        <v>3</v>
      </c>
      <c r="D1065">
        <v>25.86</v>
      </c>
      <c r="E1065">
        <v>2.59</v>
      </c>
      <c r="F1065">
        <v>0</v>
      </c>
      <c r="G1065">
        <v>0.1</v>
      </c>
      <c r="H1065" t="s">
        <v>622</v>
      </c>
      <c r="J1065" t="s">
        <v>623</v>
      </c>
      <c r="K1065" s="1"/>
      <c r="L1065" s="1">
        <v>46052.415462962963</v>
      </c>
      <c r="M1065" s="2">
        <v>46052</v>
      </c>
      <c r="N1065" t="s">
        <v>634</v>
      </c>
      <c r="O1065" t="s">
        <v>625</v>
      </c>
      <c r="P1065">
        <v>1</v>
      </c>
      <c r="Q1065">
        <v>0</v>
      </c>
      <c r="R1065">
        <v>25.86</v>
      </c>
      <c r="S1065" t="s">
        <v>243</v>
      </c>
      <c r="T1065" t="s">
        <v>777</v>
      </c>
    </row>
    <row r="1066" spans="1:20" x14ac:dyDescent="0.3">
      <c r="A1066">
        <v>1065</v>
      </c>
      <c r="B1066">
        <v>233</v>
      </c>
      <c r="C1066">
        <v>4</v>
      </c>
      <c r="D1066">
        <v>125.62</v>
      </c>
      <c r="E1066">
        <v>12.56</v>
      </c>
      <c r="F1066">
        <v>0</v>
      </c>
      <c r="G1066">
        <v>0.1</v>
      </c>
      <c r="H1066" t="s">
        <v>622</v>
      </c>
      <c r="J1066" t="s">
        <v>623</v>
      </c>
      <c r="K1066" s="1"/>
      <c r="L1066" s="1">
        <v>46052.524270833332</v>
      </c>
      <c r="M1066" s="2">
        <v>46052</v>
      </c>
      <c r="N1066" t="s">
        <v>634</v>
      </c>
      <c r="O1066" t="s">
        <v>625</v>
      </c>
      <c r="P1066">
        <v>1</v>
      </c>
      <c r="Q1066">
        <v>0</v>
      </c>
      <c r="R1066">
        <v>125.62</v>
      </c>
      <c r="S1066" t="s">
        <v>461</v>
      </c>
      <c r="T1066" t="s">
        <v>778</v>
      </c>
    </row>
    <row r="1067" spans="1:20" x14ac:dyDescent="0.3">
      <c r="A1067">
        <v>1066</v>
      </c>
      <c r="B1067">
        <v>197</v>
      </c>
      <c r="C1067">
        <v>5</v>
      </c>
      <c r="D1067">
        <v>82.68</v>
      </c>
      <c r="E1067">
        <v>8.27</v>
      </c>
      <c r="F1067">
        <v>0</v>
      </c>
      <c r="G1067">
        <v>0.1</v>
      </c>
      <c r="H1067" t="s">
        <v>622</v>
      </c>
      <c r="J1067" t="s">
        <v>623</v>
      </c>
      <c r="K1067" s="1"/>
      <c r="L1067" s="1">
        <v>46052.554502314815</v>
      </c>
      <c r="M1067" s="2">
        <v>46052</v>
      </c>
      <c r="N1067" t="s">
        <v>634</v>
      </c>
      <c r="O1067" t="s">
        <v>625</v>
      </c>
      <c r="P1067">
        <v>1</v>
      </c>
      <c r="Q1067">
        <v>0</v>
      </c>
      <c r="R1067">
        <v>82.68</v>
      </c>
      <c r="S1067" t="s">
        <v>389</v>
      </c>
      <c r="T1067" t="s">
        <v>779</v>
      </c>
    </row>
    <row r="1068" spans="1:20" x14ac:dyDescent="0.3">
      <c r="A1068">
        <v>1067</v>
      </c>
      <c r="B1068">
        <v>172</v>
      </c>
      <c r="C1068">
        <v>3</v>
      </c>
      <c r="D1068">
        <v>38.159999999999997</v>
      </c>
      <c r="E1068">
        <v>3.82</v>
      </c>
      <c r="F1068">
        <v>0</v>
      </c>
      <c r="G1068">
        <v>0.1</v>
      </c>
      <c r="H1068" t="s">
        <v>622</v>
      </c>
      <c r="J1068" t="s">
        <v>623</v>
      </c>
      <c r="K1068" s="1"/>
      <c r="L1068" s="1">
        <v>46052.644583333335</v>
      </c>
      <c r="M1068" s="2">
        <v>46052</v>
      </c>
      <c r="N1068" t="s">
        <v>634</v>
      </c>
      <c r="O1068" t="s">
        <v>625</v>
      </c>
      <c r="P1068">
        <v>1</v>
      </c>
      <c r="Q1068">
        <v>0</v>
      </c>
      <c r="R1068">
        <v>38.159999999999997</v>
      </c>
      <c r="S1068" t="s">
        <v>339</v>
      </c>
      <c r="T1068" t="s">
        <v>777</v>
      </c>
    </row>
    <row r="1069" spans="1:20" x14ac:dyDescent="0.3">
      <c r="A1069">
        <v>1068</v>
      </c>
      <c r="B1069">
        <v>240</v>
      </c>
      <c r="C1069">
        <v>2</v>
      </c>
      <c r="D1069">
        <v>223.73</v>
      </c>
      <c r="E1069">
        <v>22.37</v>
      </c>
      <c r="F1069">
        <v>0</v>
      </c>
      <c r="G1069">
        <v>0.1</v>
      </c>
      <c r="H1069" t="s">
        <v>622</v>
      </c>
      <c r="J1069" t="s">
        <v>623</v>
      </c>
      <c r="K1069" s="1"/>
      <c r="L1069" s="1">
        <v>46052.679108796299</v>
      </c>
      <c r="M1069" s="2">
        <v>46052</v>
      </c>
      <c r="N1069" t="s">
        <v>634</v>
      </c>
      <c r="O1069" t="s">
        <v>625</v>
      </c>
      <c r="P1069">
        <v>1</v>
      </c>
      <c r="Q1069">
        <v>0</v>
      </c>
      <c r="R1069">
        <v>223.73</v>
      </c>
      <c r="S1069" t="s">
        <v>475</v>
      </c>
      <c r="T1069" t="s">
        <v>776</v>
      </c>
    </row>
    <row r="1070" spans="1:20" x14ac:dyDescent="0.3">
      <c r="A1070">
        <v>1069</v>
      </c>
      <c r="B1070">
        <v>257</v>
      </c>
      <c r="C1070">
        <v>2</v>
      </c>
      <c r="D1070">
        <v>153.06</v>
      </c>
      <c r="E1070">
        <v>15.31</v>
      </c>
      <c r="F1070">
        <v>0</v>
      </c>
      <c r="G1070">
        <v>0.1</v>
      </c>
      <c r="H1070" t="s">
        <v>622</v>
      </c>
      <c r="J1070" t="s">
        <v>623</v>
      </c>
      <c r="K1070" s="1"/>
      <c r="L1070" s="1">
        <v>46052.687106481484</v>
      </c>
      <c r="M1070" s="2">
        <v>46052</v>
      </c>
      <c r="N1070" t="s">
        <v>634</v>
      </c>
      <c r="O1070" t="s">
        <v>625</v>
      </c>
      <c r="P1070">
        <v>1</v>
      </c>
      <c r="Q1070">
        <v>0</v>
      </c>
      <c r="R1070">
        <v>153.06</v>
      </c>
      <c r="S1070" t="s">
        <v>509</v>
      </c>
      <c r="T1070" t="s">
        <v>776</v>
      </c>
    </row>
    <row r="1071" spans="1:20" x14ac:dyDescent="0.3">
      <c r="A1071">
        <v>1070</v>
      </c>
      <c r="B1071">
        <v>16</v>
      </c>
      <c r="C1071">
        <v>4</v>
      </c>
      <c r="D1071">
        <v>186.44</v>
      </c>
      <c r="E1071">
        <v>18.64</v>
      </c>
      <c r="F1071">
        <v>0</v>
      </c>
      <c r="G1071">
        <v>0.1</v>
      </c>
      <c r="H1071" t="s">
        <v>622</v>
      </c>
      <c r="J1071" t="s">
        <v>623</v>
      </c>
      <c r="K1071" s="1"/>
      <c r="L1071" s="1">
        <v>46052.698611111111</v>
      </c>
      <c r="M1071" s="2">
        <v>46052</v>
      </c>
      <c r="N1071" t="s">
        <v>634</v>
      </c>
      <c r="O1071" t="s">
        <v>625</v>
      </c>
      <c r="P1071">
        <v>1</v>
      </c>
      <c r="Q1071">
        <v>0</v>
      </c>
      <c r="R1071">
        <v>186.44</v>
      </c>
      <c r="S1071" t="s">
        <v>28</v>
      </c>
      <c r="T1071" t="s">
        <v>778</v>
      </c>
    </row>
    <row r="1072" spans="1:20" x14ac:dyDescent="0.3">
      <c r="A1072">
        <v>1071</v>
      </c>
      <c r="B1072">
        <v>69</v>
      </c>
      <c r="C1072">
        <v>4</v>
      </c>
      <c r="D1072">
        <v>31.67</v>
      </c>
      <c r="E1072">
        <v>3.17</v>
      </c>
      <c r="F1072">
        <v>0</v>
      </c>
      <c r="G1072">
        <v>0.1</v>
      </c>
      <c r="H1072" t="s">
        <v>622</v>
      </c>
      <c r="J1072" t="s">
        <v>623</v>
      </c>
      <c r="K1072" s="1"/>
      <c r="L1072" s="1">
        <v>46052.737743055557</v>
      </c>
      <c r="M1072" s="2">
        <v>46052</v>
      </c>
      <c r="N1072" t="s">
        <v>634</v>
      </c>
      <c r="O1072" t="s">
        <v>625</v>
      </c>
      <c r="P1072">
        <v>1</v>
      </c>
      <c r="Q1072">
        <v>0</v>
      </c>
      <c r="R1072">
        <v>31.67</v>
      </c>
      <c r="S1072" t="s">
        <v>134</v>
      </c>
      <c r="T1072" t="s">
        <v>778</v>
      </c>
    </row>
    <row r="1073" spans="1:20" x14ac:dyDescent="0.3">
      <c r="A1073">
        <v>1072</v>
      </c>
      <c r="B1073">
        <v>279</v>
      </c>
      <c r="C1073">
        <v>2</v>
      </c>
      <c r="D1073">
        <v>300</v>
      </c>
      <c r="E1073">
        <v>30</v>
      </c>
      <c r="F1073">
        <v>0</v>
      </c>
      <c r="G1073">
        <v>0.1</v>
      </c>
      <c r="H1073" t="s">
        <v>622</v>
      </c>
      <c r="J1073" t="s">
        <v>623</v>
      </c>
      <c r="K1073" s="1"/>
      <c r="L1073" s="1">
        <v>46052.780277777776</v>
      </c>
      <c r="M1073" s="2">
        <v>46052</v>
      </c>
      <c r="N1073" t="s">
        <v>634</v>
      </c>
      <c r="O1073" t="s">
        <v>625</v>
      </c>
      <c r="P1073">
        <v>1</v>
      </c>
      <c r="Q1073">
        <v>0</v>
      </c>
      <c r="R1073">
        <v>300</v>
      </c>
      <c r="S1073" t="s">
        <v>553</v>
      </c>
      <c r="T1073" t="s">
        <v>776</v>
      </c>
    </row>
    <row r="1074" spans="1:20" x14ac:dyDescent="0.3">
      <c r="A1074">
        <v>1073</v>
      </c>
      <c r="B1074">
        <v>202</v>
      </c>
      <c r="C1074">
        <v>4</v>
      </c>
      <c r="D1074">
        <v>15.06</v>
      </c>
      <c r="E1074">
        <v>1.51</v>
      </c>
      <c r="F1074">
        <v>0</v>
      </c>
      <c r="G1074">
        <v>0.1</v>
      </c>
      <c r="H1074" t="s">
        <v>622</v>
      </c>
      <c r="J1074" t="s">
        <v>623</v>
      </c>
      <c r="K1074" s="1"/>
      <c r="L1074" s="1">
        <v>46053.394247685188</v>
      </c>
      <c r="M1074" s="2">
        <v>46053</v>
      </c>
      <c r="N1074" t="s">
        <v>634</v>
      </c>
      <c r="O1074" t="s">
        <v>625</v>
      </c>
      <c r="P1074">
        <v>1</v>
      </c>
      <c r="Q1074">
        <v>0</v>
      </c>
      <c r="R1074">
        <v>15.06</v>
      </c>
      <c r="S1074" t="s">
        <v>399</v>
      </c>
      <c r="T1074" t="s">
        <v>778</v>
      </c>
    </row>
    <row r="1075" spans="1:20" x14ac:dyDescent="0.3">
      <c r="A1075">
        <v>1074</v>
      </c>
      <c r="B1075">
        <v>59</v>
      </c>
      <c r="C1075">
        <v>2</v>
      </c>
      <c r="D1075">
        <v>29.72</v>
      </c>
      <c r="E1075">
        <v>2.97</v>
      </c>
      <c r="F1075">
        <v>0</v>
      </c>
      <c r="G1075">
        <v>0.1</v>
      </c>
      <c r="H1075" t="s">
        <v>626</v>
      </c>
      <c r="I1075">
        <v>2</v>
      </c>
      <c r="J1075" t="s">
        <v>628</v>
      </c>
      <c r="K1075" s="1">
        <v>46054.081689814811</v>
      </c>
      <c r="L1075" s="1">
        <v>46053.415023148147</v>
      </c>
      <c r="M1075" s="2">
        <v>46053</v>
      </c>
      <c r="N1075" t="s">
        <v>634</v>
      </c>
      <c r="O1075" t="s">
        <v>625</v>
      </c>
      <c r="P1075">
        <v>1</v>
      </c>
      <c r="Q1075">
        <v>1</v>
      </c>
      <c r="R1075">
        <v>0</v>
      </c>
      <c r="S1075" t="s">
        <v>114</v>
      </c>
      <c r="T1075" t="s">
        <v>776</v>
      </c>
    </row>
    <row r="1076" spans="1:20" x14ac:dyDescent="0.3">
      <c r="A1076">
        <v>1075</v>
      </c>
      <c r="B1076">
        <v>136</v>
      </c>
      <c r="C1076">
        <v>4</v>
      </c>
      <c r="D1076">
        <v>141.54</v>
      </c>
      <c r="E1076">
        <v>14.15</v>
      </c>
      <c r="F1076">
        <v>0</v>
      </c>
      <c r="G1076">
        <v>0.1</v>
      </c>
      <c r="H1076" t="s">
        <v>622</v>
      </c>
      <c r="J1076" t="s">
        <v>623</v>
      </c>
      <c r="K1076" s="1"/>
      <c r="L1076" s="1">
        <v>46053.451168981483</v>
      </c>
      <c r="M1076" s="2">
        <v>46053</v>
      </c>
      <c r="N1076" t="s">
        <v>634</v>
      </c>
      <c r="O1076" t="s">
        <v>625</v>
      </c>
      <c r="P1076">
        <v>1</v>
      </c>
      <c r="Q1076">
        <v>0</v>
      </c>
      <c r="R1076">
        <v>141.54</v>
      </c>
      <c r="S1076" t="s">
        <v>267</v>
      </c>
      <c r="T1076" t="s">
        <v>778</v>
      </c>
    </row>
    <row r="1077" spans="1:20" x14ac:dyDescent="0.3">
      <c r="A1077">
        <v>1076</v>
      </c>
      <c r="B1077">
        <v>296</v>
      </c>
      <c r="C1077">
        <v>3</v>
      </c>
      <c r="D1077">
        <v>48.23</v>
      </c>
      <c r="E1077">
        <v>4.82</v>
      </c>
      <c r="F1077">
        <v>0</v>
      </c>
      <c r="G1077">
        <v>0.1</v>
      </c>
      <c r="H1077" t="s">
        <v>622</v>
      </c>
      <c r="J1077" t="s">
        <v>623</v>
      </c>
      <c r="K1077" s="1"/>
      <c r="L1077" s="1">
        <v>46053.502164351848</v>
      </c>
      <c r="M1077" s="2">
        <v>46053</v>
      </c>
      <c r="N1077" t="s">
        <v>634</v>
      </c>
      <c r="O1077" t="s">
        <v>625</v>
      </c>
      <c r="P1077">
        <v>1</v>
      </c>
      <c r="Q1077">
        <v>0</v>
      </c>
      <c r="R1077">
        <v>48.23</v>
      </c>
      <c r="S1077" t="s">
        <v>587</v>
      </c>
      <c r="T1077" t="s">
        <v>777</v>
      </c>
    </row>
    <row r="1078" spans="1:20" x14ac:dyDescent="0.3">
      <c r="A1078">
        <v>1077</v>
      </c>
      <c r="B1078">
        <v>207</v>
      </c>
      <c r="C1078">
        <v>5</v>
      </c>
      <c r="D1078">
        <v>60.03</v>
      </c>
      <c r="E1078">
        <v>6</v>
      </c>
      <c r="F1078">
        <v>0</v>
      </c>
      <c r="G1078">
        <v>0.1</v>
      </c>
      <c r="H1078" t="s">
        <v>622</v>
      </c>
      <c r="J1078" t="s">
        <v>623</v>
      </c>
      <c r="K1078" s="1"/>
      <c r="L1078" s="1">
        <v>46053.507152777776</v>
      </c>
      <c r="M1078" s="2">
        <v>46053</v>
      </c>
      <c r="N1078" t="s">
        <v>634</v>
      </c>
      <c r="O1078" t="s">
        <v>625</v>
      </c>
      <c r="P1078">
        <v>1</v>
      </c>
      <c r="Q1078">
        <v>0</v>
      </c>
      <c r="R1078">
        <v>60.03</v>
      </c>
      <c r="S1078" t="s">
        <v>409</v>
      </c>
      <c r="T1078" t="s">
        <v>779</v>
      </c>
    </row>
    <row r="1079" spans="1:20" x14ac:dyDescent="0.3">
      <c r="A1079">
        <v>1078</v>
      </c>
      <c r="B1079">
        <v>265</v>
      </c>
      <c r="C1079">
        <v>4</v>
      </c>
      <c r="D1079">
        <v>168.14</v>
      </c>
      <c r="E1079">
        <v>16.809999999999999</v>
      </c>
      <c r="F1079">
        <v>0</v>
      </c>
      <c r="G1079">
        <v>0.1</v>
      </c>
      <c r="H1079" t="s">
        <v>622</v>
      </c>
      <c r="J1079" t="s">
        <v>623</v>
      </c>
      <c r="K1079" s="1"/>
      <c r="L1079" s="1">
        <v>46053.507395833331</v>
      </c>
      <c r="M1079" s="2">
        <v>46053</v>
      </c>
      <c r="N1079" t="s">
        <v>634</v>
      </c>
      <c r="O1079" t="s">
        <v>625</v>
      </c>
      <c r="P1079">
        <v>1</v>
      </c>
      <c r="Q1079">
        <v>0</v>
      </c>
      <c r="R1079">
        <v>168.14</v>
      </c>
      <c r="S1079" t="s">
        <v>525</v>
      </c>
      <c r="T1079" t="s">
        <v>778</v>
      </c>
    </row>
    <row r="1080" spans="1:20" x14ac:dyDescent="0.3">
      <c r="A1080">
        <v>1079</v>
      </c>
      <c r="B1080">
        <v>279</v>
      </c>
      <c r="C1080">
        <v>2</v>
      </c>
      <c r="D1080">
        <v>221.25</v>
      </c>
      <c r="E1080">
        <v>22.13</v>
      </c>
      <c r="F1080">
        <v>0</v>
      </c>
      <c r="G1080">
        <v>0.1</v>
      </c>
      <c r="H1080" t="s">
        <v>622</v>
      </c>
      <c r="J1080" t="s">
        <v>623</v>
      </c>
      <c r="K1080" s="1"/>
      <c r="L1080" s="1">
        <v>46053.512696759259</v>
      </c>
      <c r="M1080" s="2">
        <v>46053</v>
      </c>
      <c r="N1080" t="s">
        <v>634</v>
      </c>
      <c r="O1080" t="s">
        <v>625</v>
      </c>
      <c r="P1080">
        <v>1</v>
      </c>
      <c r="Q1080">
        <v>0</v>
      </c>
      <c r="R1080">
        <v>221.25</v>
      </c>
      <c r="S1080" t="s">
        <v>553</v>
      </c>
      <c r="T1080" t="s">
        <v>776</v>
      </c>
    </row>
    <row r="1081" spans="1:20" x14ac:dyDescent="0.3">
      <c r="A1081">
        <v>1080</v>
      </c>
      <c r="B1081">
        <v>27</v>
      </c>
      <c r="C1081">
        <v>3</v>
      </c>
      <c r="D1081">
        <v>100.67</v>
      </c>
      <c r="E1081">
        <v>10.07</v>
      </c>
      <c r="F1081">
        <v>0</v>
      </c>
      <c r="G1081">
        <v>0.1</v>
      </c>
      <c r="H1081" t="s">
        <v>622</v>
      </c>
      <c r="J1081" t="s">
        <v>623</v>
      </c>
      <c r="K1081" s="1"/>
      <c r="L1081" s="1">
        <v>46053.551203703704</v>
      </c>
      <c r="M1081" s="2">
        <v>46053</v>
      </c>
      <c r="N1081" t="s">
        <v>634</v>
      </c>
      <c r="O1081" t="s">
        <v>625</v>
      </c>
      <c r="P1081">
        <v>1</v>
      </c>
      <c r="Q1081">
        <v>0</v>
      </c>
      <c r="R1081">
        <v>100.67</v>
      </c>
      <c r="S1081" t="s">
        <v>50</v>
      </c>
      <c r="T1081" t="s">
        <v>777</v>
      </c>
    </row>
    <row r="1082" spans="1:20" x14ac:dyDescent="0.3">
      <c r="A1082">
        <v>1081</v>
      </c>
      <c r="B1082">
        <v>156</v>
      </c>
      <c r="C1082">
        <v>5</v>
      </c>
      <c r="D1082">
        <v>35.15</v>
      </c>
      <c r="E1082">
        <v>3.52</v>
      </c>
      <c r="F1082">
        <v>0</v>
      </c>
      <c r="G1082">
        <v>0.1</v>
      </c>
      <c r="H1082" t="s">
        <v>622</v>
      </c>
      <c r="J1082" t="s">
        <v>623</v>
      </c>
      <c r="K1082" s="1"/>
      <c r="L1082" s="1">
        <v>46053.58221064815</v>
      </c>
      <c r="M1082" s="2">
        <v>46053</v>
      </c>
      <c r="N1082" t="s">
        <v>634</v>
      </c>
      <c r="O1082" t="s">
        <v>625</v>
      </c>
      <c r="P1082">
        <v>1</v>
      </c>
      <c r="Q1082">
        <v>0</v>
      </c>
      <c r="R1082">
        <v>35.15</v>
      </c>
      <c r="S1082" t="s">
        <v>307</v>
      </c>
      <c r="T1082" t="s">
        <v>779</v>
      </c>
    </row>
    <row r="1083" spans="1:20" x14ac:dyDescent="0.3">
      <c r="A1083">
        <v>1082</v>
      </c>
      <c r="B1083">
        <v>15</v>
      </c>
      <c r="C1083">
        <v>5</v>
      </c>
      <c r="D1083">
        <v>36.04</v>
      </c>
      <c r="E1083">
        <v>3.6</v>
      </c>
      <c r="F1083">
        <v>0</v>
      </c>
      <c r="G1083">
        <v>0.1</v>
      </c>
      <c r="H1083" t="s">
        <v>622</v>
      </c>
      <c r="J1083" t="s">
        <v>623</v>
      </c>
      <c r="K1083" s="1"/>
      <c r="L1083" s="1">
        <v>46053.636250000003</v>
      </c>
      <c r="M1083" s="2">
        <v>46053</v>
      </c>
      <c r="N1083" t="s">
        <v>634</v>
      </c>
      <c r="O1083" t="s">
        <v>625</v>
      </c>
      <c r="P1083">
        <v>1</v>
      </c>
      <c r="Q1083">
        <v>0</v>
      </c>
      <c r="R1083">
        <v>36.04</v>
      </c>
      <c r="S1083" t="s">
        <v>26</v>
      </c>
      <c r="T1083" t="s">
        <v>779</v>
      </c>
    </row>
    <row r="1084" spans="1:20" x14ac:dyDescent="0.3">
      <c r="A1084">
        <v>1083</v>
      </c>
      <c r="B1084">
        <v>84</v>
      </c>
      <c r="C1084">
        <v>2</v>
      </c>
      <c r="D1084">
        <v>88.44</v>
      </c>
      <c r="E1084">
        <v>8.84</v>
      </c>
      <c r="F1084">
        <v>0</v>
      </c>
      <c r="G1084">
        <v>0.1</v>
      </c>
      <c r="H1084" t="s">
        <v>622</v>
      </c>
      <c r="J1084" t="s">
        <v>623</v>
      </c>
      <c r="K1084" s="1"/>
      <c r="L1084" s="1">
        <v>46053.703217592592</v>
      </c>
      <c r="M1084" s="2">
        <v>46053</v>
      </c>
      <c r="N1084" t="s">
        <v>634</v>
      </c>
      <c r="O1084" t="s">
        <v>625</v>
      </c>
      <c r="P1084">
        <v>1</v>
      </c>
      <c r="Q1084">
        <v>0</v>
      </c>
      <c r="R1084">
        <v>88.44</v>
      </c>
      <c r="S1084" t="s">
        <v>163</v>
      </c>
      <c r="T1084" t="s">
        <v>776</v>
      </c>
    </row>
    <row r="1085" spans="1:20" x14ac:dyDescent="0.3">
      <c r="A1085">
        <v>1084</v>
      </c>
      <c r="B1085">
        <v>156</v>
      </c>
      <c r="C1085">
        <v>2</v>
      </c>
      <c r="D1085">
        <v>31.87</v>
      </c>
      <c r="E1085">
        <v>3.19</v>
      </c>
      <c r="F1085">
        <v>0</v>
      </c>
      <c r="G1085">
        <v>0.1</v>
      </c>
      <c r="H1085" t="s">
        <v>622</v>
      </c>
      <c r="J1085" t="s">
        <v>623</v>
      </c>
      <c r="K1085" s="1"/>
      <c r="L1085" s="1">
        <v>46053.736087962963</v>
      </c>
      <c r="M1085" s="2">
        <v>46053</v>
      </c>
      <c r="N1085" t="s">
        <v>634</v>
      </c>
      <c r="O1085" t="s">
        <v>625</v>
      </c>
      <c r="P1085">
        <v>1</v>
      </c>
      <c r="Q1085">
        <v>0</v>
      </c>
      <c r="R1085">
        <v>31.87</v>
      </c>
      <c r="S1085" t="s">
        <v>307</v>
      </c>
      <c r="T1085" t="s">
        <v>776</v>
      </c>
    </row>
    <row r="1086" spans="1:20" x14ac:dyDescent="0.3">
      <c r="A1086">
        <v>1085</v>
      </c>
      <c r="B1086">
        <v>39</v>
      </c>
      <c r="C1086">
        <v>2</v>
      </c>
      <c r="D1086">
        <v>196.66</v>
      </c>
      <c r="E1086">
        <v>19.670000000000002</v>
      </c>
      <c r="F1086">
        <v>0</v>
      </c>
      <c r="G1086">
        <v>0.1</v>
      </c>
      <c r="H1086" t="s">
        <v>622</v>
      </c>
      <c r="J1086" t="s">
        <v>623</v>
      </c>
      <c r="K1086" s="1"/>
      <c r="L1086" s="1">
        <v>46053.746944444443</v>
      </c>
      <c r="M1086" s="2">
        <v>46053</v>
      </c>
      <c r="N1086" t="s">
        <v>634</v>
      </c>
      <c r="O1086" t="s">
        <v>625</v>
      </c>
      <c r="P1086">
        <v>1</v>
      </c>
      <c r="Q1086">
        <v>0</v>
      </c>
      <c r="R1086">
        <v>196.66</v>
      </c>
      <c r="S1086" t="s">
        <v>74</v>
      </c>
      <c r="T1086" t="s">
        <v>776</v>
      </c>
    </row>
    <row r="1087" spans="1:20" x14ac:dyDescent="0.3">
      <c r="A1087">
        <v>1086</v>
      </c>
      <c r="B1087">
        <v>126</v>
      </c>
      <c r="C1087">
        <v>4</v>
      </c>
      <c r="D1087">
        <v>60.39</v>
      </c>
      <c r="E1087">
        <v>6.04</v>
      </c>
      <c r="F1087">
        <v>0</v>
      </c>
      <c r="G1087">
        <v>0.1</v>
      </c>
      <c r="H1087" t="s">
        <v>622</v>
      </c>
      <c r="J1087" t="s">
        <v>623</v>
      </c>
      <c r="K1087" s="1"/>
      <c r="L1087" s="1">
        <v>46054.323506944442</v>
      </c>
      <c r="M1087" s="2">
        <v>46054</v>
      </c>
      <c r="N1087" t="s">
        <v>635</v>
      </c>
      <c r="O1087" t="s">
        <v>625</v>
      </c>
      <c r="P1087">
        <v>1</v>
      </c>
      <c r="Q1087">
        <v>0</v>
      </c>
      <c r="R1087">
        <v>60.39</v>
      </c>
      <c r="S1087" t="s">
        <v>247</v>
      </c>
      <c r="T1087" t="s">
        <v>778</v>
      </c>
    </row>
    <row r="1088" spans="1:20" x14ac:dyDescent="0.3">
      <c r="A1088">
        <v>1087</v>
      </c>
      <c r="B1088">
        <v>253</v>
      </c>
      <c r="C1088">
        <v>4</v>
      </c>
      <c r="D1088">
        <v>32.28</v>
      </c>
      <c r="E1088">
        <v>3.23</v>
      </c>
      <c r="F1088">
        <v>0</v>
      </c>
      <c r="G1088">
        <v>0.1</v>
      </c>
      <c r="H1088" t="s">
        <v>622</v>
      </c>
      <c r="J1088" t="s">
        <v>623</v>
      </c>
      <c r="K1088" s="1"/>
      <c r="L1088" s="1">
        <v>46054.411747685182</v>
      </c>
      <c r="M1088" s="2">
        <v>46054</v>
      </c>
      <c r="N1088" t="s">
        <v>635</v>
      </c>
      <c r="O1088" t="s">
        <v>625</v>
      </c>
      <c r="P1088">
        <v>1</v>
      </c>
      <c r="Q1088">
        <v>0</v>
      </c>
      <c r="R1088">
        <v>32.28</v>
      </c>
      <c r="S1088" t="s">
        <v>501</v>
      </c>
      <c r="T1088" t="s">
        <v>778</v>
      </c>
    </row>
    <row r="1089" spans="1:20" x14ac:dyDescent="0.3">
      <c r="A1089">
        <v>1088</v>
      </c>
      <c r="B1089">
        <v>52</v>
      </c>
      <c r="C1089">
        <v>3</v>
      </c>
      <c r="D1089">
        <v>24.23</v>
      </c>
      <c r="E1089">
        <v>2.42</v>
      </c>
      <c r="F1089">
        <v>0</v>
      </c>
      <c r="G1089">
        <v>0.1</v>
      </c>
      <c r="H1089" t="s">
        <v>622</v>
      </c>
      <c r="J1089" t="s">
        <v>623</v>
      </c>
      <c r="K1089" s="1"/>
      <c r="L1089" s="1">
        <v>46054.446006944447</v>
      </c>
      <c r="M1089" s="2">
        <v>46054</v>
      </c>
      <c r="N1089" t="s">
        <v>635</v>
      </c>
      <c r="O1089" t="s">
        <v>625</v>
      </c>
      <c r="P1089">
        <v>1</v>
      </c>
      <c r="Q1089">
        <v>0</v>
      </c>
      <c r="R1089">
        <v>24.23</v>
      </c>
      <c r="S1089" t="s">
        <v>100</v>
      </c>
      <c r="T1089" t="s">
        <v>777</v>
      </c>
    </row>
    <row r="1090" spans="1:20" x14ac:dyDescent="0.3">
      <c r="A1090">
        <v>1089</v>
      </c>
      <c r="B1090">
        <v>31</v>
      </c>
      <c r="C1090">
        <v>4</v>
      </c>
      <c r="D1090">
        <v>33.93</v>
      </c>
      <c r="E1090">
        <v>3.39</v>
      </c>
      <c r="F1090">
        <v>0</v>
      </c>
      <c r="G1090">
        <v>0.1</v>
      </c>
      <c r="H1090" t="s">
        <v>622</v>
      </c>
      <c r="J1090" t="s">
        <v>623</v>
      </c>
      <c r="K1090" s="1"/>
      <c r="L1090" s="1">
        <v>46054.504328703704</v>
      </c>
      <c r="M1090" s="2">
        <v>46054</v>
      </c>
      <c r="N1090" t="s">
        <v>635</v>
      </c>
      <c r="O1090" t="s">
        <v>625</v>
      </c>
      <c r="P1090">
        <v>1</v>
      </c>
      <c r="Q1090">
        <v>0</v>
      </c>
      <c r="R1090">
        <v>33.93</v>
      </c>
      <c r="S1090" t="s">
        <v>58</v>
      </c>
      <c r="T1090" t="s">
        <v>778</v>
      </c>
    </row>
    <row r="1091" spans="1:20" x14ac:dyDescent="0.3">
      <c r="A1091">
        <v>1090</v>
      </c>
      <c r="B1091">
        <v>91</v>
      </c>
      <c r="C1091">
        <v>5</v>
      </c>
      <c r="D1091">
        <v>36.79</v>
      </c>
      <c r="E1091">
        <v>3.68</v>
      </c>
      <c r="F1091">
        <v>0</v>
      </c>
      <c r="G1091">
        <v>0.1</v>
      </c>
      <c r="H1091" t="s">
        <v>622</v>
      </c>
      <c r="J1091" t="s">
        <v>623</v>
      </c>
      <c r="K1091" s="1"/>
      <c r="L1091" s="1">
        <v>46054.661238425928</v>
      </c>
      <c r="M1091" s="2">
        <v>46054</v>
      </c>
      <c r="N1091" t="s">
        <v>635</v>
      </c>
      <c r="O1091" t="s">
        <v>625</v>
      </c>
      <c r="P1091">
        <v>1</v>
      </c>
      <c r="Q1091">
        <v>0</v>
      </c>
      <c r="R1091">
        <v>36.79</v>
      </c>
      <c r="S1091" t="s">
        <v>177</v>
      </c>
      <c r="T1091" t="s">
        <v>779</v>
      </c>
    </row>
    <row r="1092" spans="1:20" x14ac:dyDescent="0.3">
      <c r="A1092">
        <v>1091</v>
      </c>
      <c r="B1092">
        <v>21</v>
      </c>
      <c r="C1092">
        <v>4</v>
      </c>
      <c r="D1092">
        <v>19.18</v>
      </c>
      <c r="E1092">
        <v>1.92</v>
      </c>
      <c r="F1092">
        <v>0</v>
      </c>
      <c r="G1092">
        <v>0.1</v>
      </c>
      <c r="H1092" t="s">
        <v>622</v>
      </c>
      <c r="J1092" t="s">
        <v>623</v>
      </c>
      <c r="K1092" s="1"/>
      <c r="L1092" s="1">
        <v>46054.672199074077</v>
      </c>
      <c r="M1092" s="2">
        <v>46054</v>
      </c>
      <c r="N1092" t="s">
        <v>635</v>
      </c>
      <c r="O1092" t="s">
        <v>625</v>
      </c>
      <c r="P1092">
        <v>1</v>
      </c>
      <c r="Q1092">
        <v>0</v>
      </c>
      <c r="R1092">
        <v>19.18</v>
      </c>
      <c r="S1092" t="s">
        <v>38</v>
      </c>
      <c r="T1092" t="s">
        <v>778</v>
      </c>
    </row>
    <row r="1093" spans="1:20" x14ac:dyDescent="0.3">
      <c r="A1093">
        <v>1092</v>
      </c>
      <c r="B1093">
        <v>44</v>
      </c>
      <c r="C1093">
        <v>3</v>
      </c>
      <c r="D1093">
        <v>18.23</v>
      </c>
      <c r="E1093">
        <v>1.82</v>
      </c>
      <c r="F1093">
        <v>0</v>
      </c>
      <c r="G1093">
        <v>0.1</v>
      </c>
      <c r="H1093" t="s">
        <v>622</v>
      </c>
      <c r="J1093" t="s">
        <v>623</v>
      </c>
      <c r="K1093" s="1"/>
      <c r="L1093" s="1">
        <v>46055.349675925929</v>
      </c>
      <c r="M1093" s="2">
        <v>46055</v>
      </c>
      <c r="N1093" t="s">
        <v>635</v>
      </c>
      <c r="O1093" t="s">
        <v>625</v>
      </c>
      <c r="P1093">
        <v>1</v>
      </c>
      <c r="Q1093">
        <v>0</v>
      </c>
      <c r="R1093">
        <v>18.23</v>
      </c>
      <c r="S1093" t="s">
        <v>84</v>
      </c>
      <c r="T1093" t="s">
        <v>777</v>
      </c>
    </row>
    <row r="1094" spans="1:20" x14ac:dyDescent="0.3">
      <c r="A1094">
        <v>1093</v>
      </c>
      <c r="B1094">
        <v>45</v>
      </c>
      <c r="C1094">
        <v>3</v>
      </c>
      <c r="D1094">
        <v>98.55</v>
      </c>
      <c r="E1094">
        <v>9.86</v>
      </c>
      <c r="F1094">
        <v>0</v>
      </c>
      <c r="G1094">
        <v>0.1</v>
      </c>
      <c r="H1094" t="s">
        <v>622</v>
      </c>
      <c r="J1094" t="s">
        <v>623</v>
      </c>
      <c r="K1094" s="1"/>
      <c r="L1094" s="1">
        <v>46055.357233796298</v>
      </c>
      <c r="M1094" s="2">
        <v>46055</v>
      </c>
      <c r="N1094" t="s">
        <v>635</v>
      </c>
      <c r="O1094" t="s">
        <v>625</v>
      </c>
      <c r="P1094">
        <v>1</v>
      </c>
      <c r="Q1094">
        <v>0</v>
      </c>
      <c r="R1094">
        <v>98.55</v>
      </c>
      <c r="S1094" t="s">
        <v>86</v>
      </c>
      <c r="T1094" t="s">
        <v>777</v>
      </c>
    </row>
    <row r="1095" spans="1:20" x14ac:dyDescent="0.3">
      <c r="A1095">
        <v>1094</v>
      </c>
      <c r="B1095">
        <v>21</v>
      </c>
      <c r="C1095">
        <v>5</v>
      </c>
      <c r="D1095">
        <v>20.67</v>
      </c>
      <c r="E1095">
        <v>2.0699999999999998</v>
      </c>
      <c r="F1095">
        <v>0</v>
      </c>
      <c r="G1095">
        <v>0.1</v>
      </c>
      <c r="H1095" t="s">
        <v>622</v>
      </c>
      <c r="J1095" t="s">
        <v>623</v>
      </c>
      <c r="K1095" s="1"/>
      <c r="L1095" s="1">
        <v>46055.360729166663</v>
      </c>
      <c r="M1095" s="2">
        <v>46055</v>
      </c>
      <c r="N1095" t="s">
        <v>635</v>
      </c>
      <c r="O1095" t="s">
        <v>625</v>
      </c>
      <c r="P1095">
        <v>1</v>
      </c>
      <c r="Q1095">
        <v>0</v>
      </c>
      <c r="R1095">
        <v>20.67</v>
      </c>
      <c r="S1095" t="s">
        <v>38</v>
      </c>
      <c r="T1095" t="s">
        <v>779</v>
      </c>
    </row>
    <row r="1096" spans="1:20" x14ac:dyDescent="0.3">
      <c r="A1096">
        <v>1095</v>
      </c>
      <c r="B1096">
        <v>240</v>
      </c>
      <c r="C1096">
        <v>5</v>
      </c>
      <c r="D1096">
        <v>268.2</v>
      </c>
      <c r="E1096">
        <v>26.82</v>
      </c>
      <c r="F1096">
        <v>0</v>
      </c>
      <c r="G1096">
        <v>0.1</v>
      </c>
      <c r="H1096" t="s">
        <v>622</v>
      </c>
      <c r="J1096" t="s">
        <v>623</v>
      </c>
      <c r="K1096" s="1"/>
      <c r="L1096" s="1">
        <v>46055.364895833336</v>
      </c>
      <c r="M1096" s="2">
        <v>46055</v>
      </c>
      <c r="N1096" t="s">
        <v>635</v>
      </c>
      <c r="O1096" t="s">
        <v>625</v>
      </c>
      <c r="P1096">
        <v>1</v>
      </c>
      <c r="Q1096">
        <v>0</v>
      </c>
      <c r="R1096">
        <v>268.2</v>
      </c>
      <c r="S1096" t="s">
        <v>475</v>
      </c>
      <c r="T1096" t="s">
        <v>779</v>
      </c>
    </row>
    <row r="1097" spans="1:20" x14ac:dyDescent="0.3">
      <c r="A1097">
        <v>1096</v>
      </c>
      <c r="B1097">
        <v>63</v>
      </c>
      <c r="C1097">
        <v>5</v>
      </c>
      <c r="D1097">
        <v>17.309999999999999</v>
      </c>
      <c r="E1097">
        <v>1.73</v>
      </c>
      <c r="F1097">
        <v>0</v>
      </c>
      <c r="G1097">
        <v>0.1</v>
      </c>
      <c r="H1097" t="s">
        <v>622</v>
      </c>
      <c r="J1097" t="s">
        <v>623</v>
      </c>
      <c r="K1097" s="1"/>
      <c r="L1097" s="1">
        <v>46055.41474537037</v>
      </c>
      <c r="M1097" s="2">
        <v>46055</v>
      </c>
      <c r="N1097" t="s">
        <v>635</v>
      </c>
      <c r="O1097" t="s">
        <v>625</v>
      </c>
      <c r="P1097">
        <v>1</v>
      </c>
      <c r="Q1097">
        <v>0</v>
      </c>
      <c r="R1097">
        <v>17.309999999999999</v>
      </c>
      <c r="S1097" t="s">
        <v>122</v>
      </c>
      <c r="T1097" t="s">
        <v>779</v>
      </c>
    </row>
    <row r="1098" spans="1:20" x14ac:dyDescent="0.3">
      <c r="A1098">
        <v>1097</v>
      </c>
      <c r="B1098">
        <v>252</v>
      </c>
      <c r="C1098">
        <v>5</v>
      </c>
      <c r="D1098">
        <v>30.32</v>
      </c>
      <c r="E1098">
        <v>3.03</v>
      </c>
      <c r="F1098">
        <v>0</v>
      </c>
      <c r="G1098">
        <v>0.1</v>
      </c>
      <c r="H1098" t="s">
        <v>622</v>
      </c>
      <c r="J1098" t="s">
        <v>623</v>
      </c>
      <c r="K1098" s="1"/>
      <c r="L1098" s="1">
        <v>46055.484907407408</v>
      </c>
      <c r="M1098" s="2">
        <v>46055</v>
      </c>
      <c r="N1098" t="s">
        <v>635</v>
      </c>
      <c r="O1098" t="s">
        <v>625</v>
      </c>
      <c r="P1098">
        <v>1</v>
      </c>
      <c r="Q1098">
        <v>0</v>
      </c>
      <c r="R1098">
        <v>30.32</v>
      </c>
      <c r="S1098" t="s">
        <v>499</v>
      </c>
      <c r="T1098" t="s">
        <v>779</v>
      </c>
    </row>
    <row r="1099" spans="1:20" x14ac:dyDescent="0.3">
      <c r="A1099">
        <v>1098</v>
      </c>
      <c r="B1099">
        <v>293</v>
      </c>
      <c r="C1099">
        <v>3</v>
      </c>
      <c r="D1099">
        <v>19.02</v>
      </c>
      <c r="E1099">
        <v>1.9</v>
      </c>
      <c r="F1099">
        <v>0</v>
      </c>
      <c r="G1099">
        <v>0.1</v>
      </c>
      <c r="H1099" t="s">
        <v>626</v>
      </c>
      <c r="I1099">
        <v>3</v>
      </c>
      <c r="J1099" t="s">
        <v>627</v>
      </c>
      <c r="K1099" s="1">
        <v>46055.610451388886</v>
      </c>
      <c r="L1099" s="1">
        <v>46055.485451388886</v>
      </c>
      <c r="M1099" s="2">
        <v>46055</v>
      </c>
      <c r="N1099" t="s">
        <v>635</v>
      </c>
      <c r="O1099" t="s">
        <v>625</v>
      </c>
      <c r="P1099">
        <v>1</v>
      </c>
      <c r="Q1099">
        <v>1</v>
      </c>
      <c r="R1099">
        <v>0</v>
      </c>
      <c r="S1099" t="s">
        <v>581</v>
      </c>
      <c r="T1099" t="s">
        <v>777</v>
      </c>
    </row>
    <row r="1100" spans="1:20" x14ac:dyDescent="0.3">
      <c r="A1100">
        <v>1099</v>
      </c>
      <c r="B1100">
        <v>163</v>
      </c>
      <c r="C1100">
        <v>5</v>
      </c>
      <c r="D1100">
        <v>30.94</v>
      </c>
      <c r="E1100">
        <v>3.09</v>
      </c>
      <c r="F1100">
        <v>0</v>
      </c>
      <c r="G1100">
        <v>0.1</v>
      </c>
      <c r="H1100" t="s">
        <v>622</v>
      </c>
      <c r="J1100" t="s">
        <v>623</v>
      </c>
      <c r="K1100" s="1"/>
      <c r="L1100" s="1">
        <v>46055.527719907404</v>
      </c>
      <c r="M1100" s="2">
        <v>46055</v>
      </c>
      <c r="N1100" t="s">
        <v>635</v>
      </c>
      <c r="O1100" t="s">
        <v>625</v>
      </c>
      <c r="P1100">
        <v>1</v>
      </c>
      <c r="Q1100">
        <v>0</v>
      </c>
      <c r="R1100">
        <v>30.94</v>
      </c>
      <c r="S1100" t="s">
        <v>321</v>
      </c>
      <c r="T1100" t="s">
        <v>779</v>
      </c>
    </row>
    <row r="1101" spans="1:20" x14ac:dyDescent="0.3">
      <c r="A1101">
        <v>1100</v>
      </c>
      <c r="B1101">
        <v>60</v>
      </c>
      <c r="C1101">
        <v>2</v>
      </c>
      <c r="D1101">
        <v>268.69</v>
      </c>
      <c r="E1101">
        <v>26.87</v>
      </c>
      <c r="F1101">
        <v>0</v>
      </c>
      <c r="G1101">
        <v>0.1</v>
      </c>
      <c r="H1101" t="s">
        <v>622</v>
      </c>
      <c r="J1101" t="s">
        <v>623</v>
      </c>
      <c r="K1101" s="1"/>
      <c r="L1101" s="1">
        <v>46055.6403125</v>
      </c>
      <c r="M1101" s="2">
        <v>46055</v>
      </c>
      <c r="N1101" t="s">
        <v>635</v>
      </c>
      <c r="O1101" t="s">
        <v>625</v>
      </c>
      <c r="P1101">
        <v>1</v>
      </c>
      <c r="Q1101">
        <v>0</v>
      </c>
      <c r="R1101">
        <v>268.69</v>
      </c>
      <c r="S1101" t="s">
        <v>116</v>
      </c>
      <c r="T1101" t="s">
        <v>776</v>
      </c>
    </row>
    <row r="1102" spans="1:20" x14ac:dyDescent="0.3">
      <c r="A1102">
        <v>1101</v>
      </c>
      <c r="B1102">
        <v>57</v>
      </c>
      <c r="C1102">
        <v>4</v>
      </c>
      <c r="D1102">
        <v>63.12</v>
      </c>
      <c r="E1102">
        <v>6.31</v>
      </c>
      <c r="F1102">
        <v>0</v>
      </c>
      <c r="G1102">
        <v>0.1</v>
      </c>
      <c r="H1102" t="s">
        <v>622</v>
      </c>
      <c r="J1102" t="s">
        <v>623</v>
      </c>
      <c r="K1102" s="1"/>
      <c r="L1102" s="1">
        <v>46055.640451388892</v>
      </c>
      <c r="M1102" s="2">
        <v>46055</v>
      </c>
      <c r="N1102" t="s">
        <v>635</v>
      </c>
      <c r="O1102" t="s">
        <v>625</v>
      </c>
      <c r="P1102">
        <v>1</v>
      </c>
      <c r="Q1102">
        <v>0</v>
      </c>
      <c r="R1102">
        <v>63.12</v>
      </c>
      <c r="S1102" t="s">
        <v>110</v>
      </c>
      <c r="T1102" t="s">
        <v>778</v>
      </c>
    </row>
    <row r="1103" spans="1:20" x14ac:dyDescent="0.3">
      <c r="A1103">
        <v>1102</v>
      </c>
      <c r="B1103">
        <v>117</v>
      </c>
      <c r="C1103">
        <v>4</v>
      </c>
      <c r="D1103">
        <v>105.04</v>
      </c>
      <c r="E1103">
        <v>10.5</v>
      </c>
      <c r="F1103">
        <v>0</v>
      </c>
      <c r="G1103">
        <v>0.1</v>
      </c>
      <c r="H1103" t="s">
        <v>622</v>
      </c>
      <c r="J1103" t="s">
        <v>623</v>
      </c>
      <c r="K1103" s="1"/>
      <c r="L1103" s="1">
        <v>46055.715578703705</v>
      </c>
      <c r="M1103" s="2">
        <v>46055</v>
      </c>
      <c r="N1103" t="s">
        <v>635</v>
      </c>
      <c r="O1103" t="s">
        <v>625</v>
      </c>
      <c r="P1103">
        <v>1</v>
      </c>
      <c r="Q1103">
        <v>0</v>
      </c>
      <c r="R1103">
        <v>105.04</v>
      </c>
      <c r="S1103" t="s">
        <v>229</v>
      </c>
      <c r="T1103" t="s">
        <v>778</v>
      </c>
    </row>
    <row r="1104" spans="1:20" x14ac:dyDescent="0.3">
      <c r="A1104">
        <v>1103</v>
      </c>
      <c r="B1104">
        <v>37</v>
      </c>
      <c r="C1104">
        <v>3</v>
      </c>
      <c r="D1104">
        <v>107.89</v>
      </c>
      <c r="E1104">
        <v>10.79</v>
      </c>
      <c r="F1104">
        <v>0</v>
      </c>
      <c r="G1104">
        <v>0.1</v>
      </c>
      <c r="H1104" t="s">
        <v>622</v>
      </c>
      <c r="J1104" t="s">
        <v>623</v>
      </c>
      <c r="K1104" s="1"/>
      <c r="L1104" s="1">
        <v>46055.742962962962</v>
      </c>
      <c r="M1104" s="2">
        <v>46055</v>
      </c>
      <c r="N1104" t="s">
        <v>635</v>
      </c>
      <c r="O1104" t="s">
        <v>625</v>
      </c>
      <c r="P1104">
        <v>1</v>
      </c>
      <c r="Q1104">
        <v>0</v>
      </c>
      <c r="R1104">
        <v>107.89</v>
      </c>
      <c r="S1104" t="s">
        <v>70</v>
      </c>
      <c r="T1104" t="s">
        <v>777</v>
      </c>
    </row>
    <row r="1105" spans="1:20" x14ac:dyDescent="0.3">
      <c r="A1105">
        <v>1104</v>
      </c>
      <c r="B1105">
        <v>44</v>
      </c>
      <c r="C1105">
        <v>5</v>
      </c>
      <c r="D1105">
        <v>18.38</v>
      </c>
      <c r="E1105">
        <v>1.84</v>
      </c>
      <c r="F1105">
        <v>0</v>
      </c>
      <c r="G1105">
        <v>0.1</v>
      </c>
      <c r="H1105" t="s">
        <v>622</v>
      </c>
      <c r="J1105" t="s">
        <v>623</v>
      </c>
      <c r="K1105" s="1"/>
      <c r="L1105" s="1">
        <v>46055.809861111113</v>
      </c>
      <c r="M1105" s="2">
        <v>46055</v>
      </c>
      <c r="N1105" t="s">
        <v>635</v>
      </c>
      <c r="O1105" t="s">
        <v>625</v>
      </c>
      <c r="P1105">
        <v>1</v>
      </c>
      <c r="Q1105">
        <v>0</v>
      </c>
      <c r="R1105">
        <v>18.38</v>
      </c>
      <c r="S1105" t="s">
        <v>84</v>
      </c>
      <c r="T1105" t="s">
        <v>779</v>
      </c>
    </row>
    <row r="1106" spans="1:20" x14ac:dyDescent="0.3">
      <c r="A1106">
        <v>1105</v>
      </c>
      <c r="B1106">
        <v>87</v>
      </c>
      <c r="C1106">
        <v>4</v>
      </c>
      <c r="D1106">
        <v>71.599999999999994</v>
      </c>
      <c r="E1106">
        <v>7.16</v>
      </c>
      <c r="F1106">
        <v>0</v>
      </c>
      <c r="G1106">
        <v>0.1</v>
      </c>
      <c r="H1106" t="s">
        <v>622</v>
      </c>
      <c r="J1106" t="s">
        <v>623</v>
      </c>
      <c r="K1106" s="1"/>
      <c r="L1106" s="1">
        <v>46055.831724537034</v>
      </c>
      <c r="M1106" s="2">
        <v>46055</v>
      </c>
      <c r="N1106" t="s">
        <v>635</v>
      </c>
      <c r="O1106" t="s">
        <v>625</v>
      </c>
      <c r="P1106">
        <v>1</v>
      </c>
      <c r="Q1106">
        <v>0</v>
      </c>
      <c r="R1106">
        <v>71.599999999999994</v>
      </c>
      <c r="S1106" t="s">
        <v>169</v>
      </c>
      <c r="T1106" t="s">
        <v>778</v>
      </c>
    </row>
    <row r="1107" spans="1:20" x14ac:dyDescent="0.3">
      <c r="A1107">
        <v>1106</v>
      </c>
      <c r="B1107">
        <v>31</v>
      </c>
      <c r="C1107">
        <v>2</v>
      </c>
      <c r="D1107">
        <v>19.52</v>
      </c>
      <c r="E1107">
        <v>1.95</v>
      </c>
      <c r="F1107">
        <v>0</v>
      </c>
      <c r="G1107">
        <v>0.1</v>
      </c>
      <c r="H1107" t="s">
        <v>622</v>
      </c>
      <c r="J1107" t="s">
        <v>623</v>
      </c>
      <c r="K1107" s="1"/>
      <c r="L1107" s="1">
        <v>46056.334432870368</v>
      </c>
      <c r="M1107" s="2">
        <v>46056</v>
      </c>
      <c r="N1107" t="s">
        <v>635</v>
      </c>
      <c r="O1107" t="s">
        <v>625</v>
      </c>
      <c r="P1107">
        <v>1</v>
      </c>
      <c r="Q1107">
        <v>0</v>
      </c>
      <c r="R1107">
        <v>19.52</v>
      </c>
      <c r="S1107" t="s">
        <v>58</v>
      </c>
      <c r="T1107" t="s">
        <v>776</v>
      </c>
    </row>
    <row r="1108" spans="1:20" x14ac:dyDescent="0.3">
      <c r="A1108">
        <v>1107</v>
      </c>
      <c r="B1108">
        <v>52</v>
      </c>
      <c r="C1108">
        <v>4</v>
      </c>
      <c r="D1108">
        <v>41.72</v>
      </c>
      <c r="E1108">
        <v>0</v>
      </c>
      <c r="F1108">
        <v>1</v>
      </c>
      <c r="G1108">
        <v>0.1</v>
      </c>
      <c r="H1108" t="s">
        <v>622</v>
      </c>
      <c r="J1108" t="s">
        <v>623</v>
      </c>
      <c r="K1108" s="1"/>
      <c r="L1108" s="1">
        <v>46056.403900462959</v>
      </c>
      <c r="M1108" s="2">
        <v>46056</v>
      </c>
      <c r="N1108" t="s">
        <v>635</v>
      </c>
      <c r="O1108" t="s">
        <v>629</v>
      </c>
      <c r="P1108">
        <v>1</v>
      </c>
      <c r="Q1108">
        <v>0</v>
      </c>
      <c r="R1108">
        <v>41.72</v>
      </c>
      <c r="S1108" t="s">
        <v>100</v>
      </c>
      <c r="T1108" t="s">
        <v>778</v>
      </c>
    </row>
    <row r="1109" spans="1:20" x14ac:dyDescent="0.3">
      <c r="A1109">
        <v>1108</v>
      </c>
      <c r="B1109">
        <v>52</v>
      </c>
      <c r="C1109">
        <v>2</v>
      </c>
      <c r="D1109">
        <v>41.48</v>
      </c>
      <c r="E1109">
        <v>4.1500000000000004</v>
      </c>
      <c r="F1109">
        <v>0</v>
      </c>
      <c r="G1109">
        <v>0.1</v>
      </c>
      <c r="H1109" t="s">
        <v>622</v>
      </c>
      <c r="J1109" t="s">
        <v>623</v>
      </c>
      <c r="K1109" s="1"/>
      <c r="L1109" s="1">
        <v>46056.406435185185</v>
      </c>
      <c r="M1109" s="2">
        <v>46056</v>
      </c>
      <c r="N1109" t="s">
        <v>635</v>
      </c>
      <c r="O1109" t="s">
        <v>625</v>
      </c>
      <c r="P1109">
        <v>1</v>
      </c>
      <c r="Q1109">
        <v>0</v>
      </c>
      <c r="R1109">
        <v>41.48</v>
      </c>
      <c r="S1109" t="s">
        <v>100</v>
      </c>
      <c r="T1109" t="s">
        <v>776</v>
      </c>
    </row>
    <row r="1110" spans="1:20" x14ac:dyDescent="0.3">
      <c r="A1110">
        <v>1109</v>
      </c>
      <c r="B1110">
        <v>84</v>
      </c>
      <c r="C1110">
        <v>3</v>
      </c>
      <c r="D1110">
        <v>35.76</v>
      </c>
      <c r="E1110">
        <v>3.58</v>
      </c>
      <c r="F1110">
        <v>0</v>
      </c>
      <c r="G1110">
        <v>0.1</v>
      </c>
      <c r="H1110" t="s">
        <v>622</v>
      </c>
      <c r="J1110" t="s">
        <v>623</v>
      </c>
      <c r="K1110" s="1"/>
      <c r="L1110" s="1">
        <v>46056.412511574075</v>
      </c>
      <c r="M1110" s="2">
        <v>46056</v>
      </c>
      <c r="N1110" t="s">
        <v>635</v>
      </c>
      <c r="O1110" t="s">
        <v>625</v>
      </c>
      <c r="P1110">
        <v>1</v>
      </c>
      <c r="Q1110">
        <v>0</v>
      </c>
      <c r="R1110">
        <v>35.76</v>
      </c>
      <c r="S1110" t="s">
        <v>163</v>
      </c>
      <c r="T1110" t="s">
        <v>777</v>
      </c>
    </row>
    <row r="1111" spans="1:20" x14ac:dyDescent="0.3">
      <c r="A1111">
        <v>1110</v>
      </c>
      <c r="B1111">
        <v>151</v>
      </c>
      <c r="C1111">
        <v>5</v>
      </c>
      <c r="D1111">
        <v>140.53</v>
      </c>
      <c r="E1111">
        <v>14.05</v>
      </c>
      <c r="F1111">
        <v>0</v>
      </c>
      <c r="G1111">
        <v>0.1</v>
      </c>
      <c r="H1111" t="s">
        <v>622</v>
      </c>
      <c r="J1111" t="s">
        <v>623</v>
      </c>
      <c r="K1111" s="1"/>
      <c r="L1111" s="1">
        <v>46056.435347222221</v>
      </c>
      <c r="M1111" s="2">
        <v>46056</v>
      </c>
      <c r="N1111" t="s">
        <v>635</v>
      </c>
      <c r="O1111" t="s">
        <v>625</v>
      </c>
      <c r="P1111">
        <v>1</v>
      </c>
      <c r="Q1111">
        <v>0</v>
      </c>
      <c r="R1111">
        <v>140.53</v>
      </c>
      <c r="S1111" t="s">
        <v>297</v>
      </c>
      <c r="T1111" t="s">
        <v>779</v>
      </c>
    </row>
    <row r="1112" spans="1:20" x14ac:dyDescent="0.3">
      <c r="A1112">
        <v>1111</v>
      </c>
      <c r="B1112">
        <v>112</v>
      </c>
      <c r="C1112">
        <v>2</v>
      </c>
      <c r="D1112">
        <v>29.76</v>
      </c>
      <c r="E1112">
        <v>2.98</v>
      </c>
      <c r="F1112">
        <v>0</v>
      </c>
      <c r="G1112">
        <v>0.1</v>
      </c>
      <c r="H1112" t="s">
        <v>622</v>
      </c>
      <c r="J1112" t="s">
        <v>623</v>
      </c>
      <c r="K1112" s="1"/>
      <c r="L1112" s="1">
        <v>46056.483460648145</v>
      </c>
      <c r="M1112" s="2">
        <v>46056</v>
      </c>
      <c r="N1112" t="s">
        <v>635</v>
      </c>
      <c r="O1112" t="s">
        <v>625</v>
      </c>
      <c r="P1112">
        <v>1</v>
      </c>
      <c r="Q1112">
        <v>0</v>
      </c>
      <c r="R1112">
        <v>29.76</v>
      </c>
      <c r="S1112" t="s">
        <v>219</v>
      </c>
      <c r="T1112" t="s">
        <v>776</v>
      </c>
    </row>
    <row r="1113" spans="1:20" x14ac:dyDescent="0.3">
      <c r="A1113">
        <v>1112</v>
      </c>
      <c r="B1113">
        <v>137</v>
      </c>
      <c r="C1113">
        <v>2</v>
      </c>
      <c r="D1113">
        <v>12.88</v>
      </c>
      <c r="E1113">
        <v>0</v>
      </c>
      <c r="F1113">
        <v>1</v>
      </c>
      <c r="G1113">
        <v>0.1</v>
      </c>
      <c r="H1113" t="s">
        <v>622</v>
      </c>
      <c r="J1113" t="s">
        <v>623</v>
      </c>
      <c r="K1113" s="1"/>
      <c r="L1113" s="1">
        <v>46056.654907407406</v>
      </c>
      <c r="M1113" s="2">
        <v>46056</v>
      </c>
      <c r="N1113" t="s">
        <v>635</v>
      </c>
      <c r="O1113" t="s">
        <v>629</v>
      </c>
      <c r="P1113">
        <v>1</v>
      </c>
      <c r="Q1113">
        <v>0</v>
      </c>
      <c r="R1113">
        <v>12.88</v>
      </c>
      <c r="S1113" t="s">
        <v>269</v>
      </c>
      <c r="T1113" t="s">
        <v>776</v>
      </c>
    </row>
    <row r="1114" spans="1:20" x14ac:dyDescent="0.3">
      <c r="A1114">
        <v>1113</v>
      </c>
      <c r="B1114">
        <v>56</v>
      </c>
      <c r="C1114">
        <v>3</v>
      </c>
      <c r="D1114">
        <v>71.760000000000005</v>
      </c>
      <c r="E1114">
        <v>7.18</v>
      </c>
      <c r="F1114">
        <v>0</v>
      </c>
      <c r="G1114">
        <v>0.1</v>
      </c>
      <c r="H1114" t="s">
        <v>622</v>
      </c>
      <c r="J1114" t="s">
        <v>623</v>
      </c>
      <c r="K1114" s="1"/>
      <c r="L1114" s="1">
        <v>46056.732534722221</v>
      </c>
      <c r="M1114" s="2">
        <v>46056</v>
      </c>
      <c r="N1114" t="s">
        <v>635</v>
      </c>
      <c r="O1114" t="s">
        <v>625</v>
      </c>
      <c r="P1114">
        <v>1</v>
      </c>
      <c r="Q1114">
        <v>0</v>
      </c>
      <c r="R1114">
        <v>71.760000000000005</v>
      </c>
      <c r="S1114" t="s">
        <v>108</v>
      </c>
      <c r="T1114" t="s">
        <v>777</v>
      </c>
    </row>
    <row r="1115" spans="1:20" x14ac:dyDescent="0.3">
      <c r="A1115">
        <v>1114</v>
      </c>
      <c r="B1115">
        <v>280</v>
      </c>
      <c r="C1115">
        <v>3</v>
      </c>
      <c r="D1115">
        <v>28.12</v>
      </c>
      <c r="E1115">
        <v>2.81</v>
      </c>
      <c r="F1115">
        <v>0</v>
      </c>
      <c r="G1115">
        <v>0.1</v>
      </c>
      <c r="H1115" t="s">
        <v>622</v>
      </c>
      <c r="J1115" t="s">
        <v>623</v>
      </c>
      <c r="K1115" s="1"/>
      <c r="L1115" s="1">
        <v>46056.758321759262</v>
      </c>
      <c r="M1115" s="2">
        <v>46056</v>
      </c>
      <c r="N1115" t="s">
        <v>635</v>
      </c>
      <c r="O1115" t="s">
        <v>625</v>
      </c>
      <c r="P1115">
        <v>1</v>
      </c>
      <c r="Q1115">
        <v>0</v>
      </c>
      <c r="R1115">
        <v>28.12</v>
      </c>
      <c r="S1115" t="s">
        <v>555</v>
      </c>
      <c r="T1115" t="s">
        <v>777</v>
      </c>
    </row>
    <row r="1116" spans="1:20" x14ac:dyDescent="0.3">
      <c r="A1116">
        <v>1115</v>
      </c>
      <c r="B1116">
        <v>156</v>
      </c>
      <c r="C1116">
        <v>4</v>
      </c>
      <c r="D1116">
        <v>30.07</v>
      </c>
      <c r="E1116">
        <v>3.01</v>
      </c>
      <c r="F1116">
        <v>0</v>
      </c>
      <c r="G1116">
        <v>0.1</v>
      </c>
      <c r="H1116" t="s">
        <v>622</v>
      </c>
      <c r="J1116" t="s">
        <v>623</v>
      </c>
      <c r="K1116" s="1"/>
      <c r="L1116" s="1">
        <v>46057.321886574071</v>
      </c>
      <c r="M1116" s="2">
        <v>46057</v>
      </c>
      <c r="N1116" t="s">
        <v>635</v>
      </c>
      <c r="O1116" t="s">
        <v>625</v>
      </c>
      <c r="P1116">
        <v>1</v>
      </c>
      <c r="Q1116">
        <v>0</v>
      </c>
      <c r="R1116">
        <v>30.07</v>
      </c>
      <c r="S1116" t="s">
        <v>307</v>
      </c>
      <c r="T1116" t="s">
        <v>778</v>
      </c>
    </row>
    <row r="1117" spans="1:20" x14ac:dyDescent="0.3">
      <c r="A1117">
        <v>1116</v>
      </c>
      <c r="B1117">
        <v>38</v>
      </c>
      <c r="C1117">
        <v>2</v>
      </c>
      <c r="D1117">
        <v>21.41</v>
      </c>
      <c r="E1117">
        <v>2.14</v>
      </c>
      <c r="F1117">
        <v>0</v>
      </c>
      <c r="G1117">
        <v>0.1</v>
      </c>
      <c r="H1117" t="s">
        <v>622</v>
      </c>
      <c r="J1117" t="s">
        <v>623</v>
      </c>
      <c r="K1117" s="1"/>
      <c r="L1117" s="1">
        <v>46057.327303240738</v>
      </c>
      <c r="M1117" s="2">
        <v>46057</v>
      </c>
      <c r="N1117" t="s">
        <v>635</v>
      </c>
      <c r="O1117" t="s">
        <v>625</v>
      </c>
      <c r="P1117">
        <v>1</v>
      </c>
      <c r="Q1117">
        <v>0</v>
      </c>
      <c r="R1117">
        <v>21.41</v>
      </c>
      <c r="S1117" t="s">
        <v>72</v>
      </c>
      <c r="T1117" t="s">
        <v>776</v>
      </c>
    </row>
    <row r="1118" spans="1:20" x14ac:dyDescent="0.3">
      <c r="A1118">
        <v>1117</v>
      </c>
      <c r="B1118">
        <v>137</v>
      </c>
      <c r="C1118">
        <v>5</v>
      </c>
      <c r="D1118">
        <v>29.94</v>
      </c>
      <c r="E1118">
        <v>2.99</v>
      </c>
      <c r="F1118">
        <v>0</v>
      </c>
      <c r="G1118">
        <v>0.1</v>
      </c>
      <c r="H1118" t="s">
        <v>622</v>
      </c>
      <c r="J1118" t="s">
        <v>623</v>
      </c>
      <c r="K1118" s="1"/>
      <c r="L1118" s="1">
        <v>46057.336111111108</v>
      </c>
      <c r="M1118" s="2">
        <v>46057</v>
      </c>
      <c r="N1118" t="s">
        <v>635</v>
      </c>
      <c r="O1118" t="s">
        <v>625</v>
      </c>
      <c r="P1118">
        <v>1</v>
      </c>
      <c r="Q1118">
        <v>0</v>
      </c>
      <c r="R1118">
        <v>29.94</v>
      </c>
      <c r="S1118" t="s">
        <v>269</v>
      </c>
      <c r="T1118" t="s">
        <v>779</v>
      </c>
    </row>
    <row r="1119" spans="1:20" x14ac:dyDescent="0.3">
      <c r="A1119">
        <v>1118</v>
      </c>
      <c r="B1119">
        <v>94</v>
      </c>
      <c r="C1119">
        <v>5</v>
      </c>
      <c r="D1119">
        <v>192.87</v>
      </c>
      <c r="E1119">
        <v>19.29</v>
      </c>
      <c r="F1119">
        <v>0</v>
      </c>
      <c r="G1119">
        <v>0.1</v>
      </c>
      <c r="H1119" t="s">
        <v>622</v>
      </c>
      <c r="J1119" t="s">
        <v>623</v>
      </c>
      <c r="K1119" s="1"/>
      <c r="L1119" s="1">
        <v>46057.365069444444</v>
      </c>
      <c r="M1119" s="2">
        <v>46057</v>
      </c>
      <c r="N1119" t="s">
        <v>635</v>
      </c>
      <c r="O1119" t="s">
        <v>625</v>
      </c>
      <c r="P1119">
        <v>1</v>
      </c>
      <c r="Q1119">
        <v>0</v>
      </c>
      <c r="R1119">
        <v>192.87</v>
      </c>
      <c r="S1119" t="s">
        <v>183</v>
      </c>
      <c r="T1119" t="s">
        <v>779</v>
      </c>
    </row>
    <row r="1120" spans="1:20" x14ac:dyDescent="0.3">
      <c r="A1120">
        <v>1119</v>
      </c>
      <c r="B1120">
        <v>156</v>
      </c>
      <c r="C1120">
        <v>3</v>
      </c>
      <c r="D1120">
        <v>23.91</v>
      </c>
      <c r="E1120">
        <v>2.39</v>
      </c>
      <c r="F1120">
        <v>0</v>
      </c>
      <c r="G1120">
        <v>0.1</v>
      </c>
      <c r="H1120" t="s">
        <v>622</v>
      </c>
      <c r="J1120" t="s">
        <v>623</v>
      </c>
      <c r="K1120" s="1"/>
      <c r="L1120" s="1">
        <v>46057.380046296297</v>
      </c>
      <c r="M1120" s="2">
        <v>46057</v>
      </c>
      <c r="N1120" t="s">
        <v>635</v>
      </c>
      <c r="O1120" t="s">
        <v>625</v>
      </c>
      <c r="P1120">
        <v>1</v>
      </c>
      <c r="Q1120">
        <v>0</v>
      </c>
      <c r="R1120">
        <v>23.91</v>
      </c>
      <c r="S1120" t="s">
        <v>307</v>
      </c>
      <c r="T1120" t="s">
        <v>777</v>
      </c>
    </row>
    <row r="1121" spans="1:20" x14ac:dyDescent="0.3">
      <c r="A1121">
        <v>1120</v>
      </c>
      <c r="B1121">
        <v>156</v>
      </c>
      <c r="C1121">
        <v>5</v>
      </c>
      <c r="D1121">
        <v>27.43</v>
      </c>
      <c r="E1121">
        <v>2.74</v>
      </c>
      <c r="F1121">
        <v>0</v>
      </c>
      <c r="G1121">
        <v>0.1</v>
      </c>
      <c r="H1121" t="s">
        <v>622</v>
      </c>
      <c r="J1121" t="s">
        <v>623</v>
      </c>
      <c r="K1121" s="1"/>
      <c r="L1121" s="1">
        <v>46057.390717592592</v>
      </c>
      <c r="M1121" s="2">
        <v>46057</v>
      </c>
      <c r="N1121" t="s">
        <v>635</v>
      </c>
      <c r="O1121" t="s">
        <v>625</v>
      </c>
      <c r="P1121">
        <v>1</v>
      </c>
      <c r="Q1121">
        <v>0</v>
      </c>
      <c r="R1121">
        <v>27.43</v>
      </c>
      <c r="S1121" t="s">
        <v>307</v>
      </c>
      <c r="T1121" t="s">
        <v>779</v>
      </c>
    </row>
    <row r="1122" spans="1:20" x14ac:dyDescent="0.3">
      <c r="A1122">
        <v>1121</v>
      </c>
      <c r="B1122">
        <v>17</v>
      </c>
      <c r="C1122">
        <v>5</v>
      </c>
      <c r="D1122">
        <v>97.91</v>
      </c>
      <c r="E1122">
        <v>9.7899999999999991</v>
      </c>
      <c r="F1122">
        <v>0</v>
      </c>
      <c r="G1122">
        <v>0.1</v>
      </c>
      <c r="H1122" t="s">
        <v>622</v>
      </c>
      <c r="J1122" t="s">
        <v>623</v>
      </c>
      <c r="K1122" s="1"/>
      <c r="L1122" s="1">
        <v>46057.394421296296</v>
      </c>
      <c r="M1122" s="2">
        <v>46057</v>
      </c>
      <c r="N1122" t="s">
        <v>635</v>
      </c>
      <c r="O1122" t="s">
        <v>625</v>
      </c>
      <c r="P1122">
        <v>1</v>
      </c>
      <c r="Q1122">
        <v>0</v>
      </c>
      <c r="R1122">
        <v>97.91</v>
      </c>
      <c r="S1122" t="s">
        <v>30</v>
      </c>
      <c r="T1122" t="s">
        <v>779</v>
      </c>
    </row>
    <row r="1123" spans="1:20" x14ac:dyDescent="0.3">
      <c r="A1123">
        <v>1122</v>
      </c>
      <c r="B1123">
        <v>40</v>
      </c>
      <c r="C1123">
        <v>2</v>
      </c>
      <c r="D1123">
        <v>110.04</v>
      </c>
      <c r="E1123">
        <v>11</v>
      </c>
      <c r="F1123">
        <v>0</v>
      </c>
      <c r="G1123">
        <v>0.1</v>
      </c>
      <c r="H1123" t="s">
        <v>622</v>
      </c>
      <c r="J1123" t="s">
        <v>623</v>
      </c>
      <c r="K1123" s="1"/>
      <c r="L1123" s="1">
        <v>46057.411469907405</v>
      </c>
      <c r="M1123" s="2">
        <v>46057</v>
      </c>
      <c r="N1123" t="s">
        <v>635</v>
      </c>
      <c r="O1123" t="s">
        <v>625</v>
      </c>
      <c r="P1123">
        <v>1</v>
      </c>
      <c r="Q1123">
        <v>0</v>
      </c>
      <c r="R1123">
        <v>110.04</v>
      </c>
      <c r="S1123" t="s">
        <v>76</v>
      </c>
      <c r="T1123" t="s">
        <v>776</v>
      </c>
    </row>
    <row r="1124" spans="1:20" x14ac:dyDescent="0.3">
      <c r="A1124">
        <v>1123</v>
      </c>
      <c r="B1124">
        <v>227</v>
      </c>
      <c r="C1124">
        <v>4</v>
      </c>
      <c r="D1124">
        <v>42.6</v>
      </c>
      <c r="E1124">
        <v>4.26</v>
      </c>
      <c r="F1124">
        <v>0</v>
      </c>
      <c r="G1124">
        <v>0.1</v>
      </c>
      <c r="H1124" t="s">
        <v>622</v>
      </c>
      <c r="J1124" t="s">
        <v>623</v>
      </c>
      <c r="K1124" s="1"/>
      <c r="L1124" s="1">
        <v>46057.433900462966</v>
      </c>
      <c r="M1124" s="2">
        <v>46057</v>
      </c>
      <c r="N1124" t="s">
        <v>635</v>
      </c>
      <c r="O1124" t="s">
        <v>625</v>
      </c>
      <c r="P1124">
        <v>1</v>
      </c>
      <c r="Q1124">
        <v>0</v>
      </c>
      <c r="R1124">
        <v>42.6</v>
      </c>
      <c r="S1124" t="s">
        <v>449</v>
      </c>
      <c r="T1124" t="s">
        <v>778</v>
      </c>
    </row>
    <row r="1125" spans="1:20" x14ac:dyDescent="0.3">
      <c r="A1125">
        <v>1124</v>
      </c>
      <c r="B1125">
        <v>270</v>
      </c>
      <c r="C1125">
        <v>2</v>
      </c>
      <c r="D1125">
        <v>31.23</v>
      </c>
      <c r="E1125">
        <v>3.12</v>
      </c>
      <c r="F1125">
        <v>0</v>
      </c>
      <c r="G1125">
        <v>0.1</v>
      </c>
      <c r="H1125" t="s">
        <v>622</v>
      </c>
      <c r="J1125" t="s">
        <v>623</v>
      </c>
      <c r="K1125" s="1"/>
      <c r="L1125" s="1">
        <v>46057.586111111108</v>
      </c>
      <c r="M1125" s="2">
        <v>46057</v>
      </c>
      <c r="N1125" t="s">
        <v>635</v>
      </c>
      <c r="O1125" t="s">
        <v>625</v>
      </c>
      <c r="P1125">
        <v>1</v>
      </c>
      <c r="Q1125">
        <v>0</v>
      </c>
      <c r="R1125">
        <v>31.23</v>
      </c>
      <c r="S1125" t="s">
        <v>535</v>
      </c>
      <c r="T1125" t="s">
        <v>776</v>
      </c>
    </row>
    <row r="1126" spans="1:20" x14ac:dyDescent="0.3">
      <c r="A1126">
        <v>1125</v>
      </c>
      <c r="B1126">
        <v>136</v>
      </c>
      <c r="C1126">
        <v>4</v>
      </c>
      <c r="D1126">
        <v>109.73</v>
      </c>
      <c r="E1126">
        <v>10.97</v>
      </c>
      <c r="F1126">
        <v>0</v>
      </c>
      <c r="G1126">
        <v>0.1</v>
      </c>
      <c r="H1126" t="s">
        <v>622</v>
      </c>
      <c r="J1126" t="s">
        <v>623</v>
      </c>
      <c r="K1126" s="1"/>
      <c r="L1126" s="1">
        <v>46057.626215277778</v>
      </c>
      <c r="M1126" s="2">
        <v>46057</v>
      </c>
      <c r="N1126" t="s">
        <v>635</v>
      </c>
      <c r="O1126" t="s">
        <v>625</v>
      </c>
      <c r="P1126">
        <v>1</v>
      </c>
      <c r="Q1126">
        <v>0</v>
      </c>
      <c r="R1126">
        <v>109.73</v>
      </c>
      <c r="S1126" t="s">
        <v>267</v>
      </c>
      <c r="T1126" t="s">
        <v>778</v>
      </c>
    </row>
    <row r="1127" spans="1:20" x14ac:dyDescent="0.3">
      <c r="A1127">
        <v>1126</v>
      </c>
      <c r="B1127">
        <v>137</v>
      </c>
      <c r="C1127">
        <v>4</v>
      </c>
      <c r="D1127">
        <v>33.75</v>
      </c>
      <c r="E1127">
        <v>3.38</v>
      </c>
      <c r="F1127">
        <v>0</v>
      </c>
      <c r="G1127">
        <v>0.1</v>
      </c>
      <c r="H1127" t="s">
        <v>622</v>
      </c>
      <c r="J1127" t="s">
        <v>623</v>
      </c>
      <c r="K1127" s="1"/>
      <c r="L1127" s="1">
        <v>46057.6562962963</v>
      </c>
      <c r="M1127" s="2">
        <v>46057</v>
      </c>
      <c r="N1127" t="s">
        <v>635</v>
      </c>
      <c r="O1127" t="s">
        <v>625</v>
      </c>
      <c r="P1127">
        <v>1</v>
      </c>
      <c r="Q1127">
        <v>0</v>
      </c>
      <c r="R1127">
        <v>33.75</v>
      </c>
      <c r="S1127" t="s">
        <v>269</v>
      </c>
      <c r="T1127" t="s">
        <v>778</v>
      </c>
    </row>
    <row r="1128" spans="1:20" x14ac:dyDescent="0.3">
      <c r="A1128">
        <v>1127</v>
      </c>
      <c r="B1128">
        <v>279</v>
      </c>
      <c r="C1128">
        <v>5</v>
      </c>
      <c r="D1128">
        <v>128.61000000000001</v>
      </c>
      <c r="E1128">
        <v>12.86</v>
      </c>
      <c r="F1128">
        <v>0</v>
      </c>
      <c r="G1128">
        <v>0.1</v>
      </c>
      <c r="H1128" t="s">
        <v>622</v>
      </c>
      <c r="J1128" t="s">
        <v>623</v>
      </c>
      <c r="K1128" s="1"/>
      <c r="L1128" s="1">
        <v>46057.658680555556</v>
      </c>
      <c r="M1128" s="2">
        <v>46057</v>
      </c>
      <c r="N1128" t="s">
        <v>635</v>
      </c>
      <c r="O1128" t="s">
        <v>625</v>
      </c>
      <c r="P1128">
        <v>1</v>
      </c>
      <c r="Q1128">
        <v>0</v>
      </c>
      <c r="R1128">
        <v>128.61000000000001</v>
      </c>
      <c r="S1128" t="s">
        <v>553</v>
      </c>
      <c r="T1128" t="s">
        <v>779</v>
      </c>
    </row>
    <row r="1129" spans="1:20" x14ac:dyDescent="0.3">
      <c r="A1129">
        <v>1128</v>
      </c>
      <c r="B1129">
        <v>137</v>
      </c>
      <c r="C1129">
        <v>2</v>
      </c>
      <c r="D1129">
        <v>31.4</v>
      </c>
      <c r="E1129">
        <v>3.14</v>
      </c>
      <c r="F1129">
        <v>0</v>
      </c>
      <c r="G1129">
        <v>0.1</v>
      </c>
      <c r="H1129" t="s">
        <v>622</v>
      </c>
      <c r="J1129" t="s">
        <v>623</v>
      </c>
      <c r="K1129" s="1"/>
      <c r="L1129" s="1">
        <v>46057.707824074074</v>
      </c>
      <c r="M1129" s="2">
        <v>46057</v>
      </c>
      <c r="N1129" t="s">
        <v>635</v>
      </c>
      <c r="O1129" t="s">
        <v>625</v>
      </c>
      <c r="P1129">
        <v>1</v>
      </c>
      <c r="Q1129">
        <v>0</v>
      </c>
      <c r="R1129">
        <v>31.4</v>
      </c>
      <c r="S1129" t="s">
        <v>269</v>
      </c>
      <c r="T1129" t="s">
        <v>776</v>
      </c>
    </row>
    <row r="1130" spans="1:20" x14ac:dyDescent="0.3">
      <c r="A1130">
        <v>1129</v>
      </c>
      <c r="B1130">
        <v>52</v>
      </c>
      <c r="C1130">
        <v>3</v>
      </c>
      <c r="D1130">
        <v>14.47</v>
      </c>
      <c r="E1130">
        <v>1.45</v>
      </c>
      <c r="F1130">
        <v>0</v>
      </c>
      <c r="G1130">
        <v>0.1</v>
      </c>
      <c r="H1130" t="s">
        <v>622</v>
      </c>
      <c r="J1130" t="s">
        <v>623</v>
      </c>
      <c r="K1130" s="1"/>
      <c r="L1130" s="1">
        <v>46057.73846064815</v>
      </c>
      <c r="M1130" s="2">
        <v>46057</v>
      </c>
      <c r="N1130" t="s">
        <v>635</v>
      </c>
      <c r="O1130" t="s">
        <v>625</v>
      </c>
      <c r="P1130">
        <v>1</v>
      </c>
      <c r="Q1130">
        <v>0</v>
      </c>
      <c r="R1130">
        <v>14.47</v>
      </c>
      <c r="S1130" t="s">
        <v>100</v>
      </c>
      <c r="T1130" t="s">
        <v>777</v>
      </c>
    </row>
    <row r="1131" spans="1:20" x14ac:dyDescent="0.3">
      <c r="A1131">
        <v>1130</v>
      </c>
      <c r="B1131">
        <v>47</v>
      </c>
      <c r="C1131">
        <v>4</v>
      </c>
      <c r="D1131">
        <v>25.12</v>
      </c>
      <c r="E1131">
        <v>2.5099999999999998</v>
      </c>
      <c r="F1131">
        <v>0</v>
      </c>
      <c r="G1131">
        <v>0.1</v>
      </c>
      <c r="H1131" t="s">
        <v>622</v>
      </c>
      <c r="J1131" t="s">
        <v>623</v>
      </c>
      <c r="K1131" s="1"/>
      <c r="L1131" s="1">
        <v>46058.314895833333</v>
      </c>
      <c r="M1131" s="2">
        <v>46058</v>
      </c>
      <c r="N1131" t="s">
        <v>635</v>
      </c>
      <c r="O1131" t="s">
        <v>625</v>
      </c>
      <c r="P1131">
        <v>1</v>
      </c>
      <c r="Q1131">
        <v>0</v>
      </c>
      <c r="R1131">
        <v>25.12</v>
      </c>
      <c r="S1131" t="s">
        <v>90</v>
      </c>
      <c r="T1131" t="s">
        <v>778</v>
      </c>
    </row>
    <row r="1132" spans="1:20" x14ac:dyDescent="0.3">
      <c r="A1132">
        <v>1131</v>
      </c>
      <c r="B1132">
        <v>63</v>
      </c>
      <c r="C1132">
        <v>3</v>
      </c>
      <c r="D1132">
        <v>70.62</v>
      </c>
      <c r="E1132">
        <v>7.06</v>
      </c>
      <c r="F1132">
        <v>0</v>
      </c>
      <c r="G1132">
        <v>0.1</v>
      </c>
      <c r="H1132" t="s">
        <v>622</v>
      </c>
      <c r="J1132" t="s">
        <v>623</v>
      </c>
      <c r="K1132" s="1"/>
      <c r="L1132" s="1">
        <v>46058.342662037037</v>
      </c>
      <c r="M1132" s="2">
        <v>46058</v>
      </c>
      <c r="N1132" t="s">
        <v>635</v>
      </c>
      <c r="O1132" t="s">
        <v>625</v>
      </c>
      <c r="P1132">
        <v>1</v>
      </c>
      <c r="Q1132">
        <v>0</v>
      </c>
      <c r="R1132">
        <v>70.62</v>
      </c>
      <c r="S1132" t="s">
        <v>122</v>
      </c>
      <c r="T1132" t="s">
        <v>777</v>
      </c>
    </row>
    <row r="1133" spans="1:20" x14ac:dyDescent="0.3">
      <c r="A1133">
        <v>1132</v>
      </c>
      <c r="B1133">
        <v>192</v>
      </c>
      <c r="C1133">
        <v>5</v>
      </c>
      <c r="D1133">
        <v>17.670000000000002</v>
      </c>
      <c r="E1133">
        <v>1.77</v>
      </c>
      <c r="F1133">
        <v>0</v>
      </c>
      <c r="G1133">
        <v>0.1</v>
      </c>
      <c r="H1133" t="s">
        <v>622</v>
      </c>
      <c r="J1133" t="s">
        <v>623</v>
      </c>
      <c r="K1133" s="1"/>
      <c r="L1133" s="1">
        <v>46058.375162037039</v>
      </c>
      <c r="M1133" s="2">
        <v>46058</v>
      </c>
      <c r="N1133" t="s">
        <v>635</v>
      </c>
      <c r="O1133" t="s">
        <v>625</v>
      </c>
      <c r="P1133">
        <v>1</v>
      </c>
      <c r="Q1133">
        <v>0</v>
      </c>
      <c r="R1133">
        <v>17.670000000000002</v>
      </c>
      <c r="S1133" t="s">
        <v>379</v>
      </c>
      <c r="T1133" t="s">
        <v>779</v>
      </c>
    </row>
    <row r="1134" spans="1:20" x14ac:dyDescent="0.3">
      <c r="A1134">
        <v>1133</v>
      </c>
      <c r="B1134">
        <v>48</v>
      </c>
      <c r="C1134">
        <v>5</v>
      </c>
      <c r="D1134">
        <v>87.87</v>
      </c>
      <c r="E1134">
        <v>8.7899999999999991</v>
      </c>
      <c r="F1134">
        <v>0</v>
      </c>
      <c r="G1134">
        <v>0.1</v>
      </c>
      <c r="H1134" t="s">
        <v>622</v>
      </c>
      <c r="J1134" t="s">
        <v>623</v>
      </c>
      <c r="K1134" s="1"/>
      <c r="L1134" s="1">
        <v>46058.389398148145</v>
      </c>
      <c r="M1134" s="2">
        <v>46058</v>
      </c>
      <c r="N1134" t="s">
        <v>635</v>
      </c>
      <c r="O1134" t="s">
        <v>625</v>
      </c>
      <c r="P1134">
        <v>1</v>
      </c>
      <c r="Q1134">
        <v>0</v>
      </c>
      <c r="R1134">
        <v>87.87</v>
      </c>
      <c r="S1134" t="s">
        <v>92</v>
      </c>
      <c r="T1134" t="s">
        <v>779</v>
      </c>
    </row>
    <row r="1135" spans="1:20" x14ac:dyDescent="0.3">
      <c r="A1135">
        <v>1134</v>
      </c>
      <c r="B1135">
        <v>65</v>
      </c>
      <c r="C1135">
        <v>4</v>
      </c>
      <c r="D1135">
        <v>33.01</v>
      </c>
      <c r="E1135">
        <v>3.3</v>
      </c>
      <c r="F1135">
        <v>0</v>
      </c>
      <c r="G1135">
        <v>0.1</v>
      </c>
      <c r="H1135" t="s">
        <v>622</v>
      </c>
      <c r="J1135" t="s">
        <v>623</v>
      </c>
      <c r="K1135" s="1"/>
      <c r="L1135" s="1">
        <v>46058.430520833332</v>
      </c>
      <c r="M1135" s="2">
        <v>46058</v>
      </c>
      <c r="N1135" t="s">
        <v>635</v>
      </c>
      <c r="O1135" t="s">
        <v>625</v>
      </c>
      <c r="P1135">
        <v>1</v>
      </c>
      <c r="Q1135">
        <v>0</v>
      </c>
      <c r="R1135">
        <v>33.01</v>
      </c>
      <c r="S1135" t="s">
        <v>126</v>
      </c>
      <c r="T1135" t="s">
        <v>778</v>
      </c>
    </row>
    <row r="1136" spans="1:20" x14ac:dyDescent="0.3">
      <c r="A1136">
        <v>1135</v>
      </c>
      <c r="B1136">
        <v>156</v>
      </c>
      <c r="C1136">
        <v>2</v>
      </c>
      <c r="D1136">
        <v>15.18</v>
      </c>
      <c r="E1136">
        <v>1.52</v>
      </c>
      <c r="F1136">
        <v>0</v>
      </c>
      <c r="G1136">
        <v>0.1</v>
      </c>
      <c r="H1136" t="s">
        <v>622</v>
      </c>
      <c r="J1136" t="s">
        <v>623</v>
      </c>
      <c r="K1136" s="1"/>
      <c r="L1136" s="1">
        <v>46058.430879629632</v>
      </c>
      <c r="M1136" s="2">
        <v>46058</v>
      </c>
      <c r="N1136" t="s">
        <v>635</v>
      </c>
      <c r="O1136" t="s">
        <v>625</v>
      </c>
      <c r="P1136">
        <v>1</v>
      </c>
      <c r="Q1136">
        <v>0</v>
      </c>
      <c r="R1136">
        <v>15.18</v>
      </c>
      <c r="S1136" t="s">
        <v>307</v>
      </c>
      <c r="T1136" t="s">
        <v>776</v>
      </c>
    </row>
    <row r="1137" spans="1:20" x14ac:dyDescent="0.3">
      <c r="A1137">
        <v>1136</v>
      </c>
      <c r="B1137">
        <v>137</v>
      </c>
      <c r="C1137">
        <v>4</v>
      </c>
      <c r="D1137">
        <v>25.63</v>
      </c>
      <c r="E1137">
        <v>2.56</v>
      </c>
      <c r="F1137">
        <v>0</v>
      </c>
      <c r="G1137">
        <v>0.1</v>
      </c>
      <c r="H1137" t="s">
        <v>622</v>
      </c>
      <c r="J1137" t="s">
        <v>623</v>
      </c>
      <c r="K1137" s="1"/>
      <c r="L1137" s="1">
        <v>46058.438425925924</v>
      </c>
      <c r="M1137" s="2">
        <v>46058</v>
      </c>
      <c r="N1137" t="s">
        <v>635</v>
      </c>
      <c r="O1137" t="s">
        <v>625</v>
      </c>
      <c r="P1137">
        <v>1</v>
      </c>
      <c r="Q1137">
        <v>0</v>
      </c>
      <c r="R1137">
        <v>25.63</v>
      </c>
      <c r="S1137" t="s">
        <v>269</v>
      </c>
      <c r="T1137" t="s">
        <v>778</v>
      </c>
    </row>
    <row r="1138" spans="1:20" x14ac:dyDescent="0.3">
      <c r="A1138">
        <v>1137</v>
      </c>
      <c r="B1138">
        <v>150</v>
      </c>
      <c r="C1138">
        <v>3</v>
      </c>
      <c r="D1138">
        <v>107.45</v>
      </c>
      <c r="E1138">
        <v>10.75</v>
      </c>
      <c r="F1138">
        <v>0</v>
      </c>
      <c r="G1138">
        <v>0.1</v>
      </c>
      <c r="H1138" t="s">
        <v>622</v>
      </c>
      <c r="J1138" t="s">
        <v>623</v>
      </c>
      <c r="K1138" s="1"/>
      <c r="L1138" s="1">
        <v>46058.515173611115</v>
      </c>
      <c r="M1138" s="2">
        <v>46058</v>
      </c>
      <c r="N1138" t="s">
        <v>635</v>
      </c>
      <c r="O1138" t="s">
        <v>625</v>
      </c>
      <c r="P1138">
        <v>1</v>
      </c>
      <c r="Q1138">
        <v>0</v>
      </c>
      <c r="R1138">
        <v>107.45</v>
      </c>
      <c r="S1138" t="s">
        <v>295</v>
      </c>
      <c r="T1138" t="s">
        <v>777</v>
      </c>
    </row>
    <row r="1139" spans="1:20" x14ac:dyDescent="0.3">
      <c r="A1139">
        <v>1138</v>
      </c>
      <c r="B1139">
        <v>117</v>
      </c>
      <c r="C1139">
        <v>2</v>
      </c>
      <c r="D1139">
        <v>149.97999999999999</v>
      </c>
      <c r="E1139">
        <v>15</v>
      </c>
      <c r="F1139">
        <v>0</v>
      </c>
      <c r="G1139">
        <v>0.1</v>
      </c>
      <c r="H1139" t="s">
        <v>622</v>
      </c>
      <c r="J1139" t="s">
        <v>623</v>
      </c>
      <c r="K1139" s="1"/>
      <c r="L1139" s="1">
        <v>46058.613136574073</v>
      </c>
      <c r="M1139" s="2">
        <v>46058</v>
      </c>
      <c r="N1139" t="s">
        <v>635</v>
      </c>
      <c r="O1139" t="s">
        <v>625</v>
      </c>
      <c r="P1139">
        <v>1</v>
      </c>
      <c r="Q1139">
        <v>0</v>
      </c>
      <c r="R1139">
        <v>149.97999999999999</v>
      </c>
      <c r="S1139" t="s">
        <v>229</v>
      </c>
      <c r="T1139" t="s">
        <v>776</v>
      </c>
    </row>
    <row r="1140" spans="1:20" x14ac:dyDescent="0.3">
      <c r="A1140">
        <v>1139</v>
      </c>
      <c r="B1140">
        <v>8</v>
      </c>
      <c r="C1140">
        <v>2</v>
      </c>
      <c r="D1140">
        <v>26.92</v>
      </c>
      <c r="E1140">
        <v>2.69</v>
      </c>
      <c r="F1140">
        <v>0</v>
      </c>
      <c r="G1140">
        <v>0.1</v>
      </c>
      <c r="H1140" t="s">
        <v>622</v>
      </c>
      <c r="J1140" t="s">
        <v>623</v>
      </c>
      <c r="K1140" s="1"/>
      <c r="L1140" s="1">
        <v>46058.645196759258</v>
      </c>
      <c r="M1140" s="2">
        <v>46058</v>
      </c>
      <c r="N1140" t="s">
        <v>635</v>
      </c>
      <c r="O1140" t="s">
        <v>625</v>
      </c>
      <c r="P1140">
        <v>1</v>
      </c>
      <c r="Q1140">
        <v>0</v>
      </c>
      <c r="R1140">
        <v>26.92</v>
      </c>
      <c r="S1140" t="s">
        <v>12</v>
      </c>
      <c r="T1140" t="s">
        <v>776</v>
      </c>
    </row>
    <row r="1141" spans="1:20" x14ac:dyDescent="0.3">
      <c r="A1141">
        <v>1140</v>
      </c>
      <c r="B1141">
        <v>65</v>
      </c>
      <c r="C1141">
        <v>2</v>
      </c>
      <c r="D1141">
        <v>24.86</v>
      </c>
      <c r="E1141">
        <v>2.4900000000000002</v>
      </c>
      <c r="F1141">
        <v>0</v>
      </c>
      <c r="G1141">
        <v>0.1</v>
      </c>
      <c r="H1141" t="s">
        <v>626</v>
      </c>
      <c r="I1141">
        <v>5</v>
      </c>
      <c r="J1141" t="s">
        <v>628</v>
      </c>
      <c r="K1141" s="1">
        <v>46060.394224537034</v>
      </c>
      <c r="L1141" s="1">
        <v>46059.310891203706</v>
      </c>
      <c r="M1141" s="2">
        <v>46059</v>
      </c>
      <c r="N1141" t="s">
        <v>635</v>
      </c>
      <c r="O1141" t="s">
        <v>625</v>
      </c>
      <c r="P1141">
        <v>1</v>
      </c>
      <c r="Q1141">
        <v>1</v>
      </c>
      <c r="R1141">
        <v>0</v>
      </c>
      <c r="S1141" t="s">
        <v>126</v>
      </c>
      <c r="T1141" t="s">
        <v>776</v>
      </c>
    </row>
    <row r="1142" spans="1:20" x14ac:dyDescent="0.3">
      <c r="A1142">
        <v>1141</v>
      </c>
      <c r="B1142">
        <v>244</v>
      </c>
      <c r="C1142">
        <v>5</v>
      </c>
      <c r="D1142">
        <v>54.9</v>
      </c>
      <c r="E1142">
        <v>0</v>
      </c>
      <c r="F1142">
        <v>1</v>
      </c>
      <c r="G1142">
        <v>0.1</v>
      </c>
      <c r="H1142" t="s">
        <v>622</v>
      </c>
      <c r="J1142" t="s">
        <v>623</v>
      </c>
      <c r="K1142" s="1"/>
      <c r="L1142" s="1">
        <v>46059.366655092592</v>
      </c>
      <c r="M1142" s="2">
        <v>46059</v>
      </c>
      <c r="N1142" t="s">
        <v>635</v>
      </c>
      <c r="O1142" t="s">
        <v>629</v>
      </c>
      <c r="P1142">
        <v>1</v>
      </c>
      <c r="Q1142">
        <v>0</v>
      </c>
      <c r="R1142">
        <v>54.9</v>
      </c>
      <c r="S1142" t="s">
        <v>483</v>
      </c>
      <c r="T1142" t="s">
        <v>779</v>
      </c>
    </row>
    <row r="1143" spans="1:20" x14ac:dyDescent="0.3">
      <c r="A1143">
        <v>1142</v>
      </c>
      <c r="B1143">
        <v>202</v>
      </c>
      <c r="C1143">
        <v>3</v>
      </c>
      <c r="D1143">
        <v>43.21</v>
      </c>
      <c r="E1143">
        <v>0</v>
      </c>
      <c r="F1143">
        <v>1</v>
      </c>
      <c r="G1143">
        <v>0.1</v>
      </c>
      <c r="H1143" t="s">
        <v>622</v>
      </c>
      <c r="J1143" t="s">
        <v>623</v>
      </c>
      <c r="K1143" s="1"/>
      <c r="L1143" s="1">
        <v>46059.368703703702</v>
      </c>
      <c r="M1143" s="2">
        <v>46059</v>
      </c>
      <c r="N1143" t="s">
        <v>635</v>
      </c>
      <c r="O1143" t="s">
        <v>629</v>
      </c>
      <c r="P1143">
        <v>1</v>
      </c>
      <c r="Q1143">
        <v>0</v>
      </c>
      <c r="R1143">
        <v>43.21</v>
      </c>
      <c r="S1143" t="s">
        <v>399</v>
      </c>
      <c r="T1143" t="s">
        <v>777</v>
      </c>
    </row>
    <row r="1144" spans="1:20" x14ac:dyDescent="0.3">
      <c r="A1144">
        <v>1143</v>
      </c>
      <c r="B1144">
        <v>51</v>
      </c>
      <c r="C1144">
        <v>2</v>
      </c>
      <c r="D1144">
        <v>269.41000000000003</v>
      </c>
      <c r="E1144">
        <v>26.94</v>
      </c>
      <c r="F1144">
        <v>0</v>
      </c>
      <c r="G1144">
        <v>0.1</v>
      </c>
      <c r="H1144" t="s">
        <v>622</v>
      </c>
      <c r="J1144" t="s">
        <v>623</v>
      </c>
      <c r="K1144" s="1"/>
      <c r="L1144" s="1">
        <v>46059.374108796299</v>
      </c>
      <c r="M1144" s="2">
        <v>46059</v>
      </c>
      <c r="N1144" t="s">
        <v>635</v>
      </c>
      <c r="O1144" t="s">
        <v>625</v>
      </c>
      <c r="P1144">
        <v>1</v>
      </c>
      <c r="Q1144">
        <v>0</v>
      </c>
      <c r="R1144">
        <v>269.41000000000003</v>
      </c>
      <c r="S1144" t="s">
        <v>98</v>
      </c>
      <c r="T1144" t="s">
        <v>776</v>
      </c>
    </row>
    <row r="1145" spans="1:20" x14ac:dyDescent="0.3">
      <c r="A1145">
        <v>1144</v>
      </c>
      <c r="B1145">
        <v>44</v>
      </c>
      <c r="C1145">
        <v>5</v>
      </c>
      <c r="D1145">
        <v>19.61</v>
      </c>
      <c r="E1145">
        <v>1.96</v>
      </c>
      <c r="F1145">
        <v>0</v>
      </c>
      <c r="G1145">
        <v>0.1</v>
      </c>
      <c r="H1145" t="s">
        <v>622</v>
      </c>
      <c r="J1145" t="s">
        <v>623</v>
      </c>
      <c r="K1145" s="1"/>
      <c r="L1145" s="1">
        <v>46059.423194444447</v>
      </c>
      <c r="M1145" s="2">
        <v>46059</v>
      </c>
      <c r="N1145" t="s">
        <v>635</v>
      </c>
      <c r="O1145" t="s">
        <v>625</v>
      </c>
      <c r="P1145">
        <v>1</v>
      </c>
      <c r="Q1145">
        <v>0</v>
      </c>
      <c r="R1145">
        <v>19.61</v>
      </c>
      <c r="S1145" t="s">
        <v>84</v>
      </c>
      <c r="T1145" t="s">
        <v>779</v>
      </c>
    </row>
    <row r="1146" spans="1:20" x14ac:dyDescent="0.3">
      <c r="A1146">
        <v>1145</v>
      </c>
      <c r="B1146">
        <v>94</v>
      </c>
      <c r="C1146">
        <v>4</v>
      </c>
      <c r="D1146">
        <v>181.2</v>
      </c>
      <c r="E1146">
        <v>18.12</v>
      </c>
      <c r="F1146">
        <v>0</v>
      </c>
      <c r="G1146">
        <v>0.1</v>
      </c>
      <c r="H1146" t="s">
        <v>622</v>
      </c>
      <c r="J1146" t="s">
        <v>623</v>
      </c>
      <c r="K1146" s="1"/>
      <c r="L1146" s="1">
        <v>46059.482951388891</v>
      </c>
      <c r="M1146" s="2">
        <v>46059</v>
      </c>
      <c r="N1146" t="s">
        <v>635</v>
      </c>
      <c r="O1146" t="s">
        <v>625</v>
      </c>
      <c r="P1146">
        <v>1</v>
      </c>
      <c r="Q1146">
        <v>0</v>
      </c>
      <c r="R1146">
        <v>181.2</v>
      </c>
      <c r="S1146" t="s">
        <v>183</v>
      </c>
      <c r="T1146" t="s">
        <v>778</v>
      </c>
    </row>
    <row r="1147" spans="1:20" x14ac:dyDescent="0.3">
      <c r="A1147">
        <v>1146</v>
      </c>
      <c r="B1147">
        <v>83</v>
      </c>
      <c r="C1147">
        <v>2</v>
      </c>
      <c r="D1147">
        <v>43</v>
      </c>
      <c r="E1147">
        <v>4.3</v>
      </c>
      <c r="F1147">
        <v>0</v>
      </c>
      <c r="G1147">
        <v>0.1</v>
      </c>
      <c r="H1147" t="s">
        <v>622</v>
      </c>
      <c r="J1147" t="s">
        <v>623</v>
      </c>
      <c r="K1147" s="1"/>
      <c r="L1147" s="1">
        <v>46059.508796296293</v>
      </c>
      <c r="M1147" s="2">
        <v>46059</v>
      </c>
      <c r="N1147" t="s">
        <v>635</v>
      </c>
      <c r="O1147" t="s">
        <v>625</v>
      </c>
      <c r="P1147">
        <v>1</v>
      </c>
      <c r="Q1147">
        <v>0</v>
      </c>
      <c r="R1147">
        <v>43</v>
      </c>
      <c r="S1147" t="s">
        <v>161</v>
      </c>
      <c r="T1147" t="s">
        <v>776</v>
      </c>
    </row>
    <row r="1148" spans="1:20" x14ac:dyDescent="0.3">
      <c r="A1148">
        <v>1147</v>
      </c>
      <c r="B1148">
        <v>233</v>
      </c>
      <c r="C1148">
        <v>3</v>
      </c>
      <c r="D1148">
        <v>107.24</v>
      </c>
      <c r="E1148">
        <v>10.72</v>
      </c>
      <c r="F1148">
        <v>0</v>
      </c>
      <c r="G1148">
        <v>0.1</v>
      </c>
      <c r="H1148" t="s">
        <v>622</v>
      </c>
      <c r="J1148" t="s">
        <v>623</v>
      </c>
      <c r="K1148" s="1"/>
      <c r="L1148" s="1">
        <v>46059.522604166668</v>
      </c>
      <c r="M1148" s="2">
        <v>46059</v>
      </c>
      <c r="N1148" t="s">
        <v>635</v>
      </c>
      <c r="O1148" t="s">
        <v>625</v>
      </c>
      <c r="P1148">
        <v>1</v>
      </c>
      <c r="Q1148">
        <v>0</v>
      </c>
      <c r="R1148">
        <v>107.24</v>
      </c>
      <c r="S1148" t="s">
        <v>461</v>
      </c>
      <c r="T1148" t="s">
        <v>777</v>
      </c>
    </row>
    <row r="1149" spans="1:20" x14ac:dyDescent="0.3">
      <c r="A1149">
        <v>1148</v>
      </c>
      <c r="B1149">
        <v>47</v>
      </c>
      <c r="C1149">
        <v>5</v>
      </c>
      <c r="D1149">
        <v>23.69</v>
      </c>
      <c r="E1149">
        <v>2.37</v>
      </c>
      <c r="F1149">
        <v>0</v>
      </c>
      <c r="G1149">
        <v>0.1</v>
      </c>
      <c r="H1149" t="s">
        <v>622</v>
      </c>
      <c r="J1149" t="s">
        <v>623</v>
      </c>
      <c r="K1149" s="1"/>
      <c r="L1149" s="1">
        <v>46059.537442129629</v>
      </c>
      <c r="M1149" s="2">
        <v>46059</v>
      </c>
      <c r="N1149" t="s">
        <v>635</v>
      </c>
      <c r="O1149" t="s">
        <v>625</v>
      </c>
      <c r="P1149">
        <v>1</v>
      </c>
      <c r="Q1149">
        <v>0</v>
      </c>
      <c r="R1149">
        <v>23.69</v>
      </c>
      <c r="S1149" t="s">
        <v>90</v>
      </c>
      <c r="T1149" t="s">
        <v>779</v>
      </c>
    </row>
    <row r="1150" spans="1:20" x14ac:dyDescent="0.3">
      <c r="A1150">
        <v>1149</v>
      </c>
      <c r="B1150">
        <v>22</v>
      </c>
      <c r="C1150">
        <v>3</v>
      </c>
      <c r="D1150">
        <v>98.88</v>
      </c>
      <c r="E1150">
        <v>9.89</v>
      </c>
      <c r="F1150">
        <v>0</v>
      </c>
      <c r="G1150">
        <v>0.1</v>
      </c>
      <c r="H1150" t="s">
        <v>622</v>
      </c>
      <c r="J1150" t="s">
        <v>623</v>
      </c>
      <c r="K1150" s="1"/>
      <c r="L1150" s="1">
        <v>46059.547777777778</v>
      </c>
      <c r="M1150" s="2">
        <v>46059</v>
      </c>
      <c r="N1150" t="s">
        <v>635</v>
      </c>
      <c r="O1150" t="s">
        <v>625</v>
      </c>
      <c r="P1150">
        <v>1</v>
      </c>
      <c r="Q1150">
        <v>0</v>
      </c>
      <c r="R1150">
        <v>98.88</v>
      </c>
      <c r="S1150" t="s">
        <v>40</v>
      </c>
      <c r="T1150" t="s">
        <v>777</v>
      </c>
    </row>
    <row r="1151" spans="1:20" x14ac:dyDescent="0.3">
      <c r="A1151">
        <v>1150</v>
      </c>
      <c r="B1151">
        <v>106</v>
      </c>
      <c r="C1151">
        <v>4</v>
      </c>
      <c r="D1151">
        <v>161.41999999999999</v>
      </c>
      <c r="E1151">
        <v>16.14</v>
      </c>
      <c r="F1151">
        <v>0</v>
      </c>
      <c r="G1151">
        <v>0.1</v>
      </c>
      <c r="H1151" t="s">
        <v>622</v>
      </c>
      <c r="J1151" t="s">
        <v>623</v>
      </c>
      <c r="K1151" s="1"/>
      <c r="L1151" s="1">
        <v>46059.549004629633</v>
      </c>
      <c r="M1151" s="2">
        <v>46059</v>
      </c>
      <c r="N1151" t="s">
        <v>635</v>
      </c>
      <c r="O1151" t="s">
        <v>625</v>
      </c>
      <c r="P1151">
        <v>1</v>
      </c>
      <c r="Q1151">
        <v>0</v>
      </c>
      <c r="R1151">
        <v>161.41999999999999</v>
      </c>
      <c r="S1151" t="s">
        <v>207</v>
      </c>
      <c r="T1151" t="s">
        <v>778</v>
      </c>
    </row>
    <row r="1152" spans="1:20" x14ac:dyDescent="0.3">
      <c r="A1152">
        <v>1151</v>
      </c>
      <c r="B1152">
        <v>175</v>
      </c>
      <c r="C1152">
        <v>5</v>
      </c>
      <c r="D1152">
        <v>42.96</v>
      </c>
      <c r="E1152">
        <v>4.3</v>
      </c>
      <c r="F1152">
        <v>0</v>
      </c>
      <c r="G1152">
        <v>0.1</v>
      </c>
      <c r="H1152" t="s">
        <v>622</v>
      </c>
      <c r="J1152" t="s">
        <v>623</v>
      </c>
      <c r="K1152" s="1"/>
      <c r="L1152" s="1">
        <v>46059.549537037034</v>
      </c>
      <c r="M1152" s="2">
        <v>46059</v>
      </c>
      <c r="N1152" t="s">
        <v>635</v>
      </c>
      <c r="O1152" t="s">
        <v>625</v>
      </c>
      <c r="P1152">
        <v>1</v>
      </c>
      <c r="Q1152">
        <v>0</v>
      </c>
      <c r="R1152">
        <v>42.96</v>
      </c>
      <c r="S1152" t="s">
        <v>345</v>
      </c>
      <c r="T1152" t="s">
        <v>779</v>
      </c>
    </row>
    <row r="1153" spans="1:20" x14ac:dyDescent="0.3">
      <c r="A1153">
        <v>1152</v>
      </c>
      <c r="B1153">
        <v>39</v>
      </c>
      <c r="C1153">
        <v>5</v>
      </c>
      <c r="D1153">
        <v>156.49</v>
      </c>
      <c r="E1153">
        <v>15.65</v>
      </c>
      <c r="F1153">
        <v>0</v>
      </c>
      <c r="G1153">
        <v>0.1</v>
      </c>
      <c r="H1153" t="s">
        <v>622</v>
      </c>
      <c r="J1153" t="s">
        <v>623</v>
      </c>
      <c r="K1153" s="1"/>
      <c r="L1153" s="1">
        <v>46059.584710648145</v>
      </c>
      <c r="M1153" s="2">
        <v>46059</v>
      </c>
      <c r="N1153" t="s">
        <v>635</v>
      </c>
      <c r="O1153" t="s">
        <v>625</v>
      </c>
      <c r="P1153">
        <v>1</v>
      </c>
      <c r="Q1153">
        <v>0</v>
      </c>
      <c r="R1153">
        <v>156.49</v>
      </c>
      <c r="S1153" t="s">
        <v>74</v>
      </c>
      <c r="T1153" t="s">
        <v>779</v>
      </c>
    </row>
    <row r="1154" spans="1:20" x14ac:dyDescent="0.3">
      <c r="A1154">
        <v>1153</v>
      </c>
      <c r="B1154">
        <v>265</v>
      </c>
      <c r="C1154">
        <v>4</v>
      </c>
      <c r="D1154">
        <v>220</v>
      </c>
      <c r="E1154">
        <v>22</v>
      </c>
      <c r="F1154">
        <v>0</v>
      </c>
      <c r="G1154">
        <v>0.1</v>
      </c>
      <c r="H1154" t="s">
        <v>622</v>
      </c>
      <c r="J1154" t="s">
        <v>623</v>
      </c>
      <c r="K1154" s="1"/>
      <c r="L1154" s="1">
        <v>46059.611284722225</v>
      </c>
      <c r="M1154" s="2">
        <v>46059</v>
      </c>
      <c r="N1154" t="s">
        <v>635</v>
      </c>
      <c r="O1154" t="s">
        <v>625</v>
      </c>
      <c r="P1154">
        <v>1</v>
      </c>
      <c r="Q1154">
        <v>0</v>
      </c>
      <c r="R1154">
        <v>220</v>
      </c>
      <c r="S1154" t="s">
        <v>525</v>
      </c>
      <c r="T1154" t="s">
        <v>778</v>
      </c>
    </row>
    <row r="1155" spans="1:20" x14ac:dyDescent="0.3">
      <c r="A1155">
        <v>1154</v>
      </c>
      <c r="B1155">
        <v>251</v>
      </c>
      <c r="C1155">
        <v>2</v>
      </c>
      <c r="D1155">
        <v>76.36</v>
      </c>
      <c r="E1155">
        <v>7.64</v>
      </c>
      <c r="F1155">
        <v>0</v>
      </c>
      <c r="G1155">
        <v>0.1</v>
      </c>
      <c r="H1155" t="s">
        <v>622</v>
      </c>
      <c r="J1155" t="s">
        <v>623</v>
      </c>
      <c r="K1155" s="1"/>
      <c r="L1155" s="1">
        <v>46059.623333333337</v>
      </c>
      <c r="M1155" s="2">
        <v>46059</v>
      </c>
      <c r="N1155" t="s">
        <v>635</v>
      </c>
      <c r="O1155" t="s">
        <v>625</v>
      </c>
      <c r="P1155">
        <v>1</v>
      </c>
      <c r="Q1155">
        <v>0</v>
      </c>
      <c r="R1155">
        <v>76.36</v>
      </c>
      <c r="S1155" t="s">
        <v>497</v>
      </c>
      <c r="T1155" t="s">
        <v>776</v>
      </c>
    </row>
    <row r="1156" spans="1:20" x14ac:dyDescent="0.3">
      <c r="A1156">
        <v>1155</v>
      </c>
      <c r="B1156">
        <v>39</v>
      </c>
      <c r="C1156">
        <v>2</v>
      </c>
      <c r="D1156">
        <v>219.27</v>
      </c>
      <c r="E1156">
        <v>21.93</v>
      </c>
      <c r="F1156">
        <v>0</v>
      </c>
      <c r="G1156">
        <v>0.1</v>
      </c>
      <c r="H1156" t="s">
        <v>622</v>
      </c>
      <c r="J1156" t="s">
        <v>623</v>
      </c>
      <c r="K1156" s="1"/>
      <c r="L1156" s="1">
        <v>46059.633692129632</v>
      </c>
      <c r="M1156" s="2">
        <v>46059</v>
      </c>
      <c r="N1156" t="s">
        <v>635</v>
      </c>
      <c r="O1156" t="s">
        <v>625</v>
      </c>
      <c r="P1156">
        <v>1</v>
      </c>
      <c r="Q1156">
        <v>0</v>
      </c>
      <c r="R1156">
        <v>219.27</v>
      </c>
      <c r="S1156" t="s">
        <v>74</v>
      </c>
      <c r="T1156" t="s">
        <v>776</v>
      </c>
    </row>
    <row r="1157" spans="1:20" x14ac:dyDescent="0.3">
      <c r="A1157">
        <v>1156</v>
      </c>
      <c r="B1157">
        <v>117</v>
      </c>
      <c r="C1157">
        <v>4</v>
      </c>
      <c r="D1157">
        <v>138.41999999999999</v>
      </c>
      <c r="E1157">
        <v>13.84</v>
      </c>
      <c r="F1157">
        <v>0</v>
      </c>
      <c r="G1157">
        <v>0.1</v>
      </c>
      <c r="H1157" t="s">
        <v>622</v>
      </c>
      <c r="J1157" t="s">
        <v>623</v>
      </c>
      <c r="K1157" s="1"/>
      <c r="L1157" s="1">
        <v>46060.311030092591</v>
      </c>
      <c r="M1157" s="2">
        <v>46060</v>
      </c>
      <c r="N1157" t="s">
        <v>635</v>
      </c>
      <c r="O1157" t="s">
        <v>625</v>
      </c>
      <c r="P1157">
        <v>1</v>
      </c>
      <c r="Q1157">
        <v>0</v>
      </c>
      <c r="R1157">
        <v>138.41999999999999</v>
      </c>
      <c r="S1157" t="s">
        <v>229</v>
      </c>
      <c r="T1157" t="s">
        <v>778</v>
      </c>
    </row>
    <row r="1158" spans="1:20" x14ac:dyDescent="0.3">
      <c r="A1158">
        <v>1157</v>
      </c>
      <c r="B1158">
        <v>117</v>
      </c>
      <c r="C1158">
        <v>3</v>
      </c>
      <c r="D1158">
        <v>61.36</v>
      </c>
      <c r="E1158">
        <v>6.14</v>
      </c>
      <c r="F1158">
        <v>0</v>
      </c>
      <c r="G1158">
        <v>0.1</v>
      </c>
      <c r="H1158" t="s">
        <v>622</v>
      </c>
      <c r="J1158" t="s">
        <v>623</v>
      </c>
      <c r="K1158" s="1"/>
      <c r="L1158" s="1">
        <v>46060.427928240744</v>
      </c>
      <c r="M1158" s="2">
        <v>46060</v>
      </c>
      <c r="N1158" t="s">
        <v>635</v>
      </c>
      <c r="O1158" t="s">
        <v>625</v>
      </c>
      <c r="P1158">
        <v>1</v>
      </c>
      <c r="Q1158">
        <v>0</v>
      </c>
      <c r="R1158">
        <v>61.36</v>
      </c>
      <c r="S1158" t="s">
        <v>229</v>
      </c>
      <c r="T1158" t="s">
        <v>777</v>
      </c>
    </row>
    <row r="1159" spans="1:20" x14ac:dyDescent="0.3">
      <c r="A1159">
        <v>1158</v>
      </c>
      <c r="B1159">
        <v>137</v>
      </c>
      <c r="C1159">
        <v>2</v>
      </c>
      <c r="D1159">
        <v>35.700000000000003</v>
      </c>
      <c r="E1159">
        <v>0</v>
      </c>
      <c r="F1159">
        <v>1</v>
      </c>
      <c r="G1159">
        <v>0.1</v>
      </c>
      <c r="H1159" t="s">
        <v>622</v>
      </c>
      <c r="J1159" t="s">
        <v>623</v>
      </c>
      <c r="K1159" s="1"/>
      <c r="L1159" s="1">
        <v>46060.428564814814</v>
      </c>
      <c r="M1159" s="2">
        <v>46060</v>
      </c>
      <c r="N1159" t="s">
        <v>635</v>
      </c>
      <c r="O1159" t="s">
        <v>629</v>
      </c>
      <c r="P1159">
        <v>1</v>
      </c>
      <c r="Q1159">
        <v>0</v>
      </c>
      <c r="R1159">
        <v>35.700000000000003</v>
      </c>
      <c r="S1159" t="s">
        <v>269</v>
      </c>
      <c r="T1159" t="s">
        <v>776</v>
      </c>
    </row>
    <row r="1160" spans="1:20" x14ac:dyDescent="0.3">
      <c r="A1160">
        <v>1159</v>
      </c>
      <c r="B1160">
        <v>223</v>
      </c>
      <c r="C1160">
        <v>5</v>
      </c>
      <c r="D1160">
        <v>44.74</v>
      </c>
      <c r="E1160">
        <v>4.47</v>
      </c>
      <c r="F1160">
        <v>0</v>
      </c>
      <c r="G1160">
        <v>0.1</v>
      </c>
      <c r="H1160" t="s">
        <v>622</v>
      </c>
      <c r="J1160" t="s">
        <v>623</v>
      </c>
      <c r="K1160" s="1"/>
      <c r="L1160" s="1">
        <v>46060.457268518519</v>
      </c>
      <c r="M1160" s="2">
        <v>46060</v>
      </c>
      <c r="N1160" t="s">
        <v>635</v>
      </c>
      <c r="O1160" t="s">
        <v>625</v>
      </c>
      <c r="P1160">
        <v>1</v>
      </c>
      <c r="Q1160">
        <v>0</v>
      </c>
      <c r="R1160">
        <v>44.74</v>
      </c>
      <c r="S1160" t="s">
        <v>441</v>
      </c>
      <c r="T1160" t="s">
        <v>779</v>
      </c>
    </row>
    <row r="1161" spans="1:20" x14ac:dyDescent="0.3">
      <c r="A1161">
        <v>1160</v>
      </c>
      <c r="B1161">
        <v>65</v>
      </c>
      <c r="C1161">
        <v>2</v>
      </c>
      <c r="D1161">
        <v>41.15</v>
      </c>
      <c r="E1161">
        <v>4.12</v>
      </c>
      <c r="F1161">
        <v>0</v>
      </c>
      <c r="G1161">
        <v>0.1</v>
      </c>
      <c r="H1161" t="s">
        <v>622</v>
      </c>
      <c r="J1161" t="s">
        <v>623</v>
      </c>
      <c r="K1161" s="1"/>
      <c r="L1161" s="1">
        <v>46060.479421296295</v>
      </c>
      <c r="M1161" s="2">
        <v>46060</v>
      </c>
      <c r="N1161" t="s">
        <v>635</v>
      </c>
      <c r="O1161" t="s">
        <v>625</v>
      </c>
      <c r="P1161">
        <v>1</v>
      </c>
      <c r="Q1161">
        <v>0</v>
      </c>
      <c r="R1161">
        <v>41.15</v>
      </c>
      <c r="S1161" t="s">
        <v>126</v>
      </c>
      <c r="T1161" t="s">
        <v>776</v>
      </c>
    </row>
    <row r="1162" spans="1:20" x14ac:dyDescent="0.3">
      <c r="A1162">
        <v>1161</v>
      </c>
      <c r="B1162">
        <v>223</v>
      </c>
      <c r="C1162">
        <v>4</v>
      </c>
      <c r="D1162">
        <v>23.04</v>
      </c>
      <c r="E1162">
        <v>2.2999999999999998</v>
      </c>
      <c r="F1162">
        <v>0</v>
      </c>
      <c r="G1162">
        <v>0.1</v>
      </c>
      <c r="H1162" t="s">
        <v>622</v>
      </c>
      <c r="J1162" t="s">
        <v>623</v>
      </c>
      <c r="K1162" s="1"/>
      <c r="L1162" s="1">
        <v>46060.483402777776</v>
      </c>
      <c r="M1162" s="2">
        <v>46060</v>
      </c>
      <c r="N1162" t="s">
        <v>635</v>
      </c>
      <c r="O1162" t="s">
        <v>625</v>
      </c>
      <c r="P1162">
        <v>1</v>
      </c>
      <c r="Q1162">
        <v>0</v>
      </c>
      <c r="R1162">
        <v>23.04</v>
      </c>
      <c r="S1162" t="s">
        <v>441</v>
      </c>
      <c r="T1162" t="s">
        <v>778</v>
      </c>
    </row>
    <row r="1163" spans="1:20" x14ac:dyDescent="0.3">
      <c r="A1163">
        <v>1162</v>
      </c>
      <c r="B1163">
        <v>137</v>
      </c>
      <c r="C1163">
        <v>5</v>
      </c>
      <c r="D1163">
        <v>35.61</v>
      </c>
      <c r="E1163">
        <v>3.56</v>
      </c>
      <c r="F1163">
        <v>0</v>
      </c>
      <c r="G1163">
        <v>0.1</v>
      </c>
      <c r="H1163" t="s">
        <v>622</v>
      </c>
      <c r="J1163" t="s">
        <v>623</v>
      </c>
      <c r="K1163" s="1"/>
      <c r="L1163" s="1">
        <v>46060.501516203702</v>
      </c>
      <c r="M1163" s="2">
        <v>46060</v>
      </c>
      <c r="N1163" t="s">
        <v>635</v>
      </c>
      <c r="O1163" t="s">
        <v>625</v>
      </c>
      <c r="P1163">
        <v>1</v>
      </c>
      <c r="Q1163">
        <v>0</v>
      </c>
      <c r="R1163">
        <v>35.61</v>
      </c>
      <c r="S1163" t="s">
        <v>269</v>
      </c>
      <c r="T1163" t="s">
        <v>779</v>
      </c>
    </row>
    <row r="1164" spans="1:20" x14ac:dyDescent="0.3">
      <c r="A1164">
        <v>1163</v>
      </c>
      <c r="B1164">
        <v>39</v>
      </c>
      <c r="C1164">
        <v>3</v>
      </c>
      <c r="D1164">
        <v>265.12</v>
      </c>
      <c r="E1164">
        <v>26.51</v>
      </c>
      <c r="F1164">
        <v>0</v>
      </c>
      <c r="G1164">
        <v>0.1</v>
      </c>
      <c r="H1164" t="s">
        <v>622</v>
      </c>
      <c r="J1164" t="s">
        <v>623</v>
      </c>
      <c r="K1164" s="1"/>
      <c r="L1164" s="1">
        <v>46060.606365740743</v>
      </c>
      <c r="M1164" s="2">
        <v>46060</v>
      </c>
      <c r="N1164" t="s">
        <v>635</v>
      </c>
      <c r="O1164" t="s">
        <v>625</v>
      </c>
      <c r="P1164">
        <v>1</v>
      </c>
      <c r="Q1164">
        <v>0</v>
      </c>
      <c r="R1164">
        <v>265.12</v>
      </c>
      <c r="S1164" t="s">
        <v>74</v>
      </c>
      <c r="T1164" t="s">
        <v>777</v>
      </c>
    </row>
    <row r="1165" spans="1:20" x14ac:dyDescent="0.3">
      <c r="A1165">
        <v>1164</v>
      </c>
      <c r="B1165">
        <v>31</v>
      </c>
      <c r="C1165">
        <v>2</v>
      </c>
      <c r="D1165">
        <v>44.38</v>
      </c>
      <c r="E1165">
        <v>4.4400000000000004</v>
      </c>
      <c r="F1165">
        <v>0</v>
      </c>
      <c r="G1165">
        <v>0.1</v>
      </c>
      <c r="H1165" t="s">
        <v>622</v>
      </c>
      <c r="J1165" t="s">
        <v>623</v>
      </c>
      <c r="K1165" s="1"/>
      <c r="L1165" s="1">
        <v>46060.684293981481</v>
      </c>
      <c r="M1165" s="2">
        <v>46060</v>
      </c>
      <c r="N1165" t="s">
        <v>635</v>
      </c>
      <c r="O1165" t="s">
        <v>625</v>
      </c>
      <c r="P1165">
        <v>1</v>
      </c>
      <c r="Q1165">
        <v>0</v>
      </c>
      <c r="R1165">
        <v>44.38</v>
      </c>
      <c r="S1165" t="s">
        <v>58</v>
      </c>
      <c r="T1165" t="s">
        <v>776</v>
      </c>
    </row>
    <row r="1166" spans="1:20" x14ac:dyDescent="0.3">
      <c r="A1166">
        <v>1165</v>
      </c>
      <c r="B1166">
        <v>37</v>
      </c>
      <c r="C1166">
        <v>2</v>
      </c>
      <c r="D1166">
        <v>82.53</v>
      </c>
      <c r="E1166">
        <v>8.25</v>
      </c>
      <c r="F1166">
        <v>0</v>
      </c>
      <c r="G1166">
        <v>0.1</v>
      </c>
      <c r="H1166" t="s">
        <v>622</v>
      </c>
      <c r="J1166" t="s">
        <v>623</v>
      </c>
      <c r="K1166" s="1"/>
      <c r="L1166" s="1">
        <v>46060.727152777778</v>
      </c>
      <c r="M1166" s="2">
        <v>46060</v>
      </c>
      <c r="N1166" t="s">
        <v>635</v>
      </c>
      <c r="O1166" t="s">
        <v>625</v>
      </c>
      <c r="P1166">
        <v>1</v>
      </c>
      <c r="Q1166">
        <v>0</v>
      </c>
      <c r="R1166">
        <v>82.53</v>
      </c>
      <c r="S1166" t="s">
        <v>70</v>
      </c>
      <c r="T1166" t="s">
        <v>776</v>
      </c>
    </row>
    <row r="1167" spans="1:20" x14ac:dyDescent="0.3">
      <c r="A1167">
        <v>1166</v>
      </c>
      <c r="B1167">
        <v>207</v>
      </c>
      <c r="C1167">
        <v>5</v>
      </c>
      <c r="D1167">
        <v>44.96</v>
      </c>
      <c r="E1167">
        <v>4.5</v>
      </c>
      <c r="F1167">
        <v>0</v>
      </c>
      <c r="G1167">
        <v>0.1</v>
      </c>
      <c r="H1167" t="s">
        <v>622</v>
      </c>
      <c r="J1167" t="s">
        <v>623</v>
      </c>
      <c r="K1167" s="1"/>
      <c r="L1167" s="1">
        <v>46060.738935185182</v>
      </c>
      <c r="M1167" s="2">
        <v>46060</v>
      </c>
      <c r="N1167" t="s">
        <v>635</v>
      </c>
      <c r="O1167" t="s">
        <v>625</v>
      </c>
      <c r="P1167">
        <v>1</v>
      </c>
      <c r="Q1167">
        <v>0</v>
      </c>
      <c r="R1167">
        <v>44.96</v>
      </c>
      <c r="S1167" t="s">
        <v>409</v>
      </c>
      <c r="T1167" t="s">
        <v>779</v>
      </c>
    </row>
    <row r="1168" spans="1:20" x14ac:dyDescent="0.3">
      <c r="A1168">
        <v>1167</v>
      </c>
      <c r="B1168">
        <v>55</v>
      </c>
      <c r="C1168">
        <v>5</v>
      </c>
      <c r="D1168">
        <v>19.53</v>
      </c>
      <c r="E1168">
        <v>1.95</v>
      </c>
      <c r="F1168">
        <v>0</v>
      </c>
      <c r="G1168">
        <v>0.1</v>
      </c>
      <c r="H1168" t="s">
        <v>622</v>
      </c>
      <c r="J1168" t="s">
        <v>623</v>
      </c>
      <c r="K1168" s="1"/>
      <c r="L1168" s="1">
        <v>46061.293888888889</v>
      </c>
      <c r="M1168" s="2">
        <v>46061</v>
      </c>
      <c r="N1168" t="s">
        <v>635</v>
      </c>
      <c r="O1168" t="s">
        <v>625</v>
      </c>
      <c r="P1168">
        <v>1</v>
      </c>
      <c r="Q1168">
        <v>0</v>
      </c>
      <c r="R1168">
        <v>19.53</v>
      </c>
      <c r="S1168" t="s">
        <v>106</v>
      </c>
      <c r="T1168" t="s">
        <v>779</v>
      </c>
    </row>
    <row r="1169" spans="1:20" x14ac:dyDescent="0.3">
      <c r="A1169">
        <v>1168</v>
      </c>
      <c r="B1169">
        <v>103</v>
      </c>
      <c r="C1169">
        <v>2</v>
      </c>
      <c r="D1169">
        <v>29.27</v>
      </c>
      <c r="E1169">
        <v>2.93</v>
      </c>
      <c r="F1169">
        <v>0</v>
      </c>
      <c r="G1169">
        <v>0.1</v>
      </c>
      <c r="H1169" t="s">
        <v>622</v>
      </c>
      <c r="J1169" t="s">
        <v>623</v>
      </c>
      <c r="K1169" s="1"/>
      <c r="L1169" s="1">
        <v>46061.348541666666</v>
      </c>
      <c r="M1169" s="2">
        <v>46061</v>
      </c>
      <c r="N1169" t="s">
        <v>635</v>
      </c>
      <c r="O1169" t="s">
        <v>625</v>
      </c>
      <c r="P1169">
        <v>1</v>
      </c>
      <c r="Q1169">
        <v>0</v>
      </c>
      <c r="R1169">
        <v>29.27</v>
      </c>
      <c r="S1169" t="s">
        <v>201</v>
      </c>
      <c r="T1169" t="s">
        <v>776</v>
      </c>
    </row>
    <row r="1170" spans="1:20" x14ac:dyDescent="0.3">
      <c r="A1170">
        <v>1169</v>
      </c>
      <c r="B1170">
        <v>124</v>
      </c>
      <c r="C1170">
        <v>5</v>
      </c>
      <c r="D1170">
        <v>18.98</v>
      </c>
      <c r="E1170">
        <v>1.9</v>
      </c>
      <c r="F1170">
        <v>0</v>
      </c>
      <c r="G1170">
        <v>0.1</v>
      </c>
      <c r="H1170" t="s">
        <v>622</v>
      </c>
      <c r="J1170" t="s">
        <v>623</v>
      </c>
      <c r="K1170" s="1"/>
      <c r="L1170" s="1">
        <v>46061.61136574074</v>
      </c>
      <c r="M1170" s="2">
        <v>46061</v>
      </c>
      <c r="N1170" t="s">
        <v>635</v>
      </c>
      <c r="O1170" t="s">
        <v>625</v>
      </c>
      <c r="P1170">
        <v>1</v>
      </c>
      <c r="Q1170">
        <v>0</v>
      </c>
      <c r="R1170">
        <v>18.98</v>
      </c>
      <c r="S1170" t="s">
        <v>243</v>
      </c>
      <c r="T1170" t="s">
        <v>779</v>
      </c>
    </row>
    <row r="1171" spans="1:20" x14ac:dyDescent="0.3">
      <c r="A1171">
        <v>1170</v>
      </c>
      <c r="B1171">
        <v>137</v>
      </c>
      <c r="C1171">
        <v>3</v>
      </c>
      <c r="D1171">
        <v>26.26</v>
      </c>
      <c r="E1171">
        <v>0</v>
      </c>
      <c r="F1171">
        <v>1</v>
      </c>
      <c r="G1171">
        <v>0.1</v>
      </c>
      <c r="H1171" t="s">
        <v>622</v>
      </c>
      <c r="J1171" t="s">
        <v>623</v>
      </c>
      <c r="K1171" s="1"/>
      <c r="L1171" s="1">
        <v>46061.666064814817</v>
      </c>
      <c r="M1171" s="2">
        <v>46061</v>
      </c>
      <c r="N1171" t="s">
        <v>635</v>
      </c>
      <c r="O1171" t="s">
        <v>629</v>
      </c>
      <c r="P1171">
        <v>1</v>
      </c>
      <c r="Q1171">
        <v>0</v>
      </c>
      <c r="R1171">
        <v>26.26</v>
      </c>
      <c r="S1171" t="s">
        <v>269</v>
      </c>
      <c r="T1171" t="s">
        <v>777</v>
      </c>
    </row>
    <row r="1172" spans="1:20" x14ac:dyDescent="0.3">
      <c r="A1172">
        <v>1171</v>
      </c>
      <c r="B1172">
        <v>137</v>
      </c>
      <c r="C1172">
        <v>4</v>
      </c>
      <c r="D1172">
        <v>26.5</v>
      </c>
      <c r="E1172">
        <v>2.65</v>
      </c>
      <c r="F1172">
        <v>0</v>
      </c>
      <c r="G1172">
        <v>0.1</v>
      </c>
      <c r="H1172" t="s">
        <v>622</v>
      </c>
      <c r="J1172" t="s">
        <v>623</v>
      </c>
      <c r="K1172" s="1"/>
      <c r="L1172" s="1">
        <v>46061.707187499997</v>
      </c>
      <c r="M1172" s="2">
        <v>46061</v>
      </c>
      <c r="N1172" t="s">
        <v>635</v>
      </c>
      <c r="O1172" t="s">
        <v>625</v>
      </c>
      <c r="P1172">
        <v>1</v>
      </c>
      <c r="Q1172">
        <v>0</v>
      </c>
      <c r="R1172">
        <v>26.5</v>
      </c>
      <c r="S1172" t="s">
        <v>269</v>
      </c>
      <c r="T1172" t="s">
        <v>778</v>
      </c>
    </row>
    <row r="1173" spans="1:20" x14ac:dyDescent="0.3">
      <c r="A1173">
        <v>1172</v>
      </c>
      <c r="B1173">
        <v>65</v>
      </c>
      <c r="C1173">
        <v>4</v>
      </c>
      <c r="D1173">
        <v>17.64</v>
      </c>
      <c r="E1173">
        <v>1.76</v>
      </c>
      <c r="F1173">
        <v>0</v>
      </c>
      <c r="G1173">
        <v>0.1</v>
      </c>
      <c r="H1173" t="s">
        <v>622</v>
      </c>
      <c r="J1173" t="s">
        <v>623</v>
      </c>
      <c r="K1173" s="1"/>
      <c r="L1173" s="1">
        <v>46061.796493055554</v>
      </c>
      <c r="M1173" s="2">
        <v>46061</v>
      </c>
      <c r="N1173" t="s">
        <v>635</v>
      </c>
      <c r="O1173" t="s">
        <v>625</v>
      </c>
      <c r="P1173">
        <v>1</v>
      </c>
      <c r="Q1173">
        <v>0</v>
      </c>
      <c r="R1173">
        <v>17.64</v>
      </c>
      <c r="S1173" t="s">
        <v>126</v>
      </c>
      <c r="T1173" t="s">
        <v>778</v>
      </c>
    </row>
    <row r="1174" spans="1:20" x14ac:dyDescent="0.3">
      <c r="A1174">
        <v>1173</v>
      </c>
      <c r="B1174">
        <v>25</v>
      </c>
      <c r="C1174">
        <v>2</v>
      </c>
      <c r="D1174">
        <v>58.26</v>
      </c>
      <c r="E1174">
        <v>5.83</v>
      </c>
      <c r="F1174">
        <v>0</v>
      </c>
      <c r="G1174">
        <v>0.1</v>
      </c>
      <c r="H1174" t="s">
        <v>622</v>
      </c>
      <c r="J1174" t="s">
        <v>623</v>
      </c>
      <c r="K1174" s="1"/>
      <c r="L1174" s="1">
        <v>46062.54247685185</v>
      </c>
      <c r="M1174" s="2">
        <v>46062</v>
      </c>
      <c r="N1174" t="s">
        <v>635</v>
      </c>
      <c r="O1174" t="s">
        <v>625</v>
      </c>
      <c r="P1174">
        <v>1</v>
      </c>
      <c r="Q1174">
        <v>0</v>
      </c>
      <c r="R1174">
        <v>58.26</v>
      </c>
      <c r="S1174" t="s">
        <v>46</v>
      </c>
      <c r="T1174" t="s">
        <v>776</v>
      </c>
    </row>
    <row r="1175" spans="1:20" x14ac:dyDescent="0.3">
      <c r="A1175">
        <v>1174</v>
      </c>
      <c r="B1175">
        <v>232</v>
      </c>
      <c r="C1175">
        <v>2</v>
      </c>
      <c r="D1175">
        <v>30.3</v>
      </c>
      <c r="E1175">
        <v>3.03</v>
      </c>
      <c r="F1175">
        <v>0</v>
      </c>
      <c r="G1175">
        <v>0.1</v>
      </c>
      <c r="H1175" t="s">
        <v>622</v>
      </c>
      <c r="J1175" t="s">
        <v>623</v>
      </c>
      <c r="K1175" s="1"/>
      <c r="L1175" s="1">
        <v>46062.590324074074</v>
      </c>
      <c r="M1175" s="2">
        <v>46062</v>
      </c>
      <c r="N1175" t="s">
        <v>635</v>
      </c>
      <c r="O1175" t="s">
        <v>625</v>
      </c>
      <c r="P1175">
        <v>1</v>
      </c>
      <c r="Q1175">
        <v>0</v>
      </c>
      <c r="R1175">
        <v>30.3</v>
      </c>
      <c r="S1175" t="s">
        <v>459</v>
      </c>
      <c r="T1175" t="s">
        <v>776</v>
      </c>
    </row>
    <row r="1176" spans="1:20" x14ac:dyDescent="0.3">
      <c r="A1176">
        <v>1175</v>
      </c>
      <c r="B1176">
        <v>44</v>
      </c>
      <c r="C1176">
        <v>2</v>
      </c>
      <c r="D1176">
        <v>38.619999999999997</v>
      </c>
      <c r="E1176">
        <v>3.86</v>
      </c>
      <c r="F1176">
        <v>0</v>
      </c>
      <c r="G1176">
        <v>0.1</v>
      </c>
      <c r="H1176" t="s">
        <v>622</v>
      </c>
      <c r="J1176" t="s">
        <v>623</v>
      </c>
      <c r="K1176" s="1"/>
      <c r="L1176" s="1">
        <v>46062.626319444447</v>
      </c>
      <c r="M1176" s="2">
        <v>46062</v>
      </c>
      <c r="N1176" t="s">
        <v>635</v>
      </c>
      <c r="O1176" t="s">
        <v>625</v>
      </c>
      <c r="P1176">
        <v>1</v>
      </c>
      <c r="Q1176">
        <v>0</v>
      </c>
      <c r="R1176">
        <v>38.619999999999997</v>
      </c>
      <c r="S1176" t="s">
        <v>84</v>
      </c>
      <c r="T1176" t="s">
        <v>776</v>
      </c>
    </row>
    <row r="1177" spans="1:20" x14ac:dyDescent="0.3">
      <c r="A1177">
        <v>1176</v>
      </c>
      <c r="B1177">
        <v>106</v>
      </c>
      <c r="C1177">
        <v>2</v>
      </c>
      <c r="D1177">
        <v>130.75</v>
      </c>
      <c r="E1177">
        <v>13.08</v>
      </c>
      <c r="F1177">
        <v>0</v>
      </c>
      <c r="G1177">
        <v>0.1</v>
      </c>
      <c r="H1177" t="s">
        <v>622</v>
      </c>
      <c r="J1177" t="s">
        <v>623</v>
      </c>
      <c r="K1177" s="1"/>
      <c r="L1177" s="1">
        <v>46062.649930555555</v>
      </c>
      <c r="M1177" s="2">
        <v>46062</v>
      </c>
      <c r="N1177" t="s">
        <v>635</v>
      </c>
      <c r="O1177" t="s">
        <v>625</v>
      </c>
      <c r="P1177">
        <v>1</v>
      </c>
      <c r="Q1177">
        <v>0</v>
      </c>
      <c r="R1177">
        <v>130.75</v>
      </c>
      <c r="S1177" t="s">
        <v>207</v>
      </c>
      <c r="T1177" t="s">
        <v>776</v>
      </c>
    </row>
    <row r="1178" spans="1:20" x14ac:dyDescent="0.3">
      <c r="A1178">
        <v>1177</v>
      </c>
      <c r="B1178">
        <v>69</v>
      </c>
      <c r="C1178">
        <v>3</v>
      </c>
      <c r="D1178">
        <v>30.39</v>
      </c>
      <c r="E1178">
        <v>3.04</v>
      </c>
      <c r="F1178">
        <v>0</v>
      </c>
      <c r="G1178">
        <v>0.1</v>
      </c>
      <c r="H1178" t="s">
        <v>622</v>
      </c>
      <c r="J1178" t="s">
        <v>623</v>
      </c>
      <c r="K1178" s="1"/>
      <c r="L1178" s="1">
        <v>46062.707511574074</v>
      </c>
      <c r="M1178" s="2">
        <v>46062</v>
      </c>
      <c r="N1178" t="s">
        <v>635</v>
      </c>
      <c r="O1178" t="s">
        <v>625</v>
      </c>
      <c r="P1178">
        <v>1</v>
      </c>
      <c r="Q1178">
        <v>0</v>
      </c>
      <c r="R1178">
        <v>30.39</v>
      </c>
      <c r="S1178" t="s">
        <v>134</v>
      </c>
      <c r="T1178" t="s">
        <v>777</v>
      </c>
    </row>
    <row r="1179" spans="1:20" x14ac:dyDescent="0.3">
      <c r="A1179">
        <v>1178</v>
      </c>
      <c r="B1179">
        <v>192</v>
      </c>
      <c r="C1179">
        <v>4</v>
      </c>
      <c r="D1179">
        <v>40.590000000000003</v>
      </c>
      <c r="E1179">
        <v>4.0599999999999996</v>
      </c>
      <c r="F1179">
        <v>0</v>
      </c>
      <c r="G1179">
        <v>0.1</v>
      </c>
      <c r="H1179" t="s">
        <v>622</v>
      </c>
      <c r="J1179" t="s">
        <v>623</v>
      </c>
      <c r="K1179" s="1"/>
      <c r="L1179" s="1">
        <v>46062.71435185185</v>
      </c>
      <c r="M1179" s="2">
        <v>46062</v>
      </c>
      <c r="N1179" t="s">
        <v>635</v>
      </c>
      <c r="O1179" t="s">
        <v>625</v>
      </c>
      <c r="P1179">
        <v>1</v>
      </c>
      <c r="Q1179">
        <v>0</v>
      </c>
      <c r="R1179">
        <v>40.590000000000003</v>
      </c>
      <c r="S1179" t="s">
        <v>379</v>
      </c>
      <c r="T1179" t="s">
        <v>778</v>
      </c>
    </row>
    <row r="1180" spans="1:20" x14ac:dyDescent="0.3">
      <c r="A1180">
        <v>1179</v>
      </c>
      <c r="B1180">
        <v>62</v>
      </c>
      <c r="C1180">
        <v>4</v>
      </c>
      <c r="D1180">
        <v>36.21</v>
      </c>
      <c r="E1180">
        <v>3.62</v>
      </c>
      <c r="F1180">
        <v>0</v>
      </c>
      <c r="G1180">
        <v>0.1</v>
      </c>
      <c r="H1180" t="s">
        <v>626</v>
      </c>
      <c r="I1180">
        <v>2</v>
      </c>
      <c r="J1180" t="s">
        <v>631</v>
      </c>
      <c r="K1180" s="1">
        <v>46063.989201388889</v>
      </c>
      <c r="L1180" s="1">
        <v>46062.822534722225</v>
      </c>
      <c r="M1180" s="2">
        <v>46062</v>
      </c>
      <c r="N1180" t="s">
        <v>635</v>
      </c>
      <c r="O1180" t="s">
        <v>625</v>
      </c>
      <c r="P1180">
        <v>1</v>
      </c>
      <c r="Q1180">
        <v>1</v>
      </c>
      <c r="R1180">
        <v>0</v>
      </c>
      <c r="S1180" t="s">
        <v>120</v>
      </c>
      <c r="T1180" t="s">
        <v>778</v>
      </c>
    </row>
    <row r="1181" spans="1:20" x14ac:dyDescent="0.3">
      <c r="A1181">
        <v>1180</v>
      </c>
      <c r="B1181">
        <v>18</v>
      </c>
      <c r="C1181">
        <v>5</v>
      </c>
      <c r="D1181">
        <v>63.77</v>
      </c>
      <c r="E1181">
        <v>6.38</v>
      </c>
      <c r="F1181">
        <v>0</v>
      </c>
      <c r="G1181">
        <v>0.1</v>
      </c>
      <c r="H1181" t="s">
        <v>622</v>
      </c>
      <c r="J1181" t="s">
        <v>623</v>
      </c>
      <c r="K1181" s="1"/>
      <c r="L1181" s="1">
        <v>46062.832685185182</v>
      </c>
      <c r="M1181" s="2">
        <v>46062</v>
      </c>
      <c r="N1181" t="s">
        <v>635</v>
      </c>
      <c r="O1181" t="s">
        <v>625</v>
      </c>
      <c r="P1181">
        <v>1</v>
      </c>
      <c r="Q1181">
        <v>0</v>
      </c>
      <c r="R1181">
        <v>63.77</v>
      </c>
      <c r="S1181" t="s">
        <v>32</v>
      </c>
      <c r="T1181" t="s">
        <v>779</v>
      </c>
    </row>
    <row r="1182" spans="1:20" x14ac:dyDescent="0.3">
      <c r="A1182">
        <v>1181</v>
      </c>
      <c r="B1182">
        <v>21</v>
      </c>
      <c r="C1182">
        <v>2</v>
      </c>
      <c r="D1182">
        <v>22.55</v>
      </c>
      <c r="E1182">
        <v>2.2599999999999998</v>
      </c>
      <c r="F1182">
        <v>0</v>
      </c>
      <c r="G1182">
        <v>0.1</v>
      </c>
      <c r="H1182" t="s">
        <v>626</v>
      </c>
      <c r="I1182">
        <v>2</v>
      </c>
      <c r="J1182" t="s">
        <v>631</v>
      </c>
      <c r="K1182" s="1">
        <v>46064.254791666666</v>
      </c>
      <c r="L1182" s="1">
        <v>46063.379791666666</v>
      </c>
      <c r="M1182" s="2">
        <v>46063</v>
      </c>
      <c r="N1182" t="s">
        <v>635</v>
      </c>
      <c r="O1182" t="s">
        <v>625</v>
      </c>
      <c r="P1182">
        <v>1</v>
      </c>
      <c r="Q1182">
        <v>1</v>
      </c>
      <c r="R1182">
        <v>0</v>
      </c>
      <c r="S1182" t="s">
        <v>38</v>
      </c>
      <c r="T1182" t="s">
        <v>776</v>
      </c>
    </row>
    <row r="1183" spans="1:20" x14ac:dyDescent="0.3">
      <c r="A1183">
        <v>1182</v>
      </c>
      <c r="B1183">
        <v>28</v>
      </c>
      <c r="C1183">
        <v>3</v>
      </c>
      <c r="D1183">
        <v>20.49</v>
      </c>
      <c r="E1183">
        <v>2.0499999999999998</v>
      </c>
      <c r="F1183">
        <v>0</v>
      </c>
      <c r="G1183">
        <v>0.1</v>
      </c>
      <c r="H1183" t="s">
        <v>622</v>
      </c>
      <c r="J1183" t="s">
        <v>623</v>
      </c>
      <c r="K1183" s="1"/>
      <c r="L1183" s="1">
        <v>46063.606400462966</v>
      </c>
      <c r="M1183" s="2">
        <v>46063</v>
      </c>
      <c r="N1183" t="s">
        <v>635</v>
      </c>
      <c r="O1183" t="s">
        <v>625</v>
      </c>
      <c r="P1183">
        <v>1</v>
      </c>
      <c r="Q1183">
        <v>0</v>
      </c>
      <c r="R1183">
        <v>20.49</v>
      </c>
      <c r="S1183" t="s">
        <v>52</v>
      </c>
      <c r="T1183" t="s">
        <v>777</v>
      </c>
    </row>
    <row r="1184" spans="1:20" x14ac:dyDescent="0.3">
      <c r="A1184">
        <v>1183</v>
      </c>
      <c r="B1184">
        <v>221</v>
      </c>
      <c r="C1184">
        <v>2</v>
      </c>
      <c r="D1184">
        <v>196.44</v>
      </c>
      <c r="E1184">
        <v>19.64</v>
      </c>
      <c r="F1184">
        <v>0</v>
      </c>
      <c r="G1184">
        <v>0.1</v>
      </c>
      <c r="H1184" t="s">
        <v>622</v>
      </c>
      <c r="J1184" t="s">
        <v>623</v>
      </c>
      <c r="K1184" s="1"/>
      <c r="L1184" s="1">
        <v>46063.607569444444</v>
      </c>
      <c r="M1184" s="2">
        <v>46063</v>
      </c>
      <c r="N1184" t="s">
        <v>635</v>
      </c>
      <c r="O1184" t="s">
        <v>625</v>
      </c>
      <c r="P1184">
        <v>1</v>
      </c>
      <c r="Q1184">
        <v>0</v>
      </c>
      <c r="R1184">
        <v>196.44</v>
      </c>
      <c r="S1184" t="s">
        <v>437</v>
      </c>
      <c r="T1184" t="s">
        <v>776</v>
      </c>
    </row>
    <row r="1185" spans="1:20" x14ac:dyDescent="0.3">
      <c r="A1185">
        <v>1184</v>
      </c>
      <c r="B1185">
        <v>201</v>
      </c>
      <c r="C1185">
        <v>4</v>
      </c>
      <c r="D1185">
        <v>77.59</v>
      </c>
      <c r="E1185">
        <v>7.76</v>
      </c>
      <c r="F1185">
        <v>0</v>
      </c>
      <c r="G1185">
        <v>0.1</v>
      </c>
      <c r="H1185" t="s">
        <v>622</v>
      </c>
      <c r="J1185" t="s">
        <v>623</v>
      </c>
      <c r="K1185" s="1"/>
      <c r="L1185" s="1">
        <v>46063.620995370373</v>
      </c>
      <c r="M1185" s="2">
        <v>46063</v>
      </c>
      <c r="N1185" t="s">
        <v>635</v>
      </c>
      <c r="O1185" t="s">
        <v>625</v>
      </c>
      <c r="P1185">
        <v>1</v>
      </c>
      <c r="Q1185">
        <v>0</v>
      </c>
      <c r="R1185">
        <v>77.59</v>
      </c>
      <c r="S1185" t="s">
        <v>397</v>
      </c>
      <c r="T1185" t="s">
        <v>778</v>
      </c>
    </row>
    <row r="1186" spans="1:20" x14ac:dyDescent="0.3">
      <c r="A1186">
        <v>1185</v>
      </c>
      <c r="B1186">
        <v>62</v>
      </c>
      <c r="C1186">
        <v>2</v>
      </c>
      <c r="D1186">
        <v>25.18</v>
      </c>
      <c r="E1186">
        <v>2.52</v>
      </c>
      <c r="F1186">
        <v>0</v>
      </c>
      <c r="G1186">
        <v>0.1</v>
      </c>
      <c r="H1186" t="s">
        <v>622</v>
      </c>
      <c r="J1186" t="s">
        <v>623</v>
      </c>
      <c r="K1186" s="1"/>
      <c r="L1186" s="1">
        <v>46063.647939814815</v>
      </c>
      <c r="M1186" s="2">
        <v>46063</v>
      </c>
      <c r="N1186" t="s">
        <v>635</v>
      </c>
      <c r="O1186" t="s">
        <v>625</v>
      </c>
      <c r="P1186">
        <v>1</v>
      </c>
      <c r="Q1186">
        <v>0</v>
      </c>
      <c r="R1186">
        <v>25.18</v>
      </c>
      <c r="S1186" t="s">
        <v>120</v>
      </c>
      <c r="T1186" t="s">
        <v>776</v>
      </c>
    </row>
    <row r="1187" spans="1:20" x14ac:dyDescent="0.3">
      <c r="A1187">
        <v>1186</v>
      </c>
      <c r="B1187">
        <v>244</v>
      </c>
      <c r="C1187">
        <v>3</v>
      </c>
      <c r="D1187">
        <v>148.16</v>
      </c>
      <c r="E1187">
        <v>14.82</v>
      </c>
      <c r="F1187">
        <v>0</v>
      </c>
      <c r="G1187">
        <v>0.1</v>
      </c>
      <c r="H1187" t="s">
        <v>622</v>
      </c>
      <c r="J1187" t="s">
        <v>623</v>
      </c>
      <c r="K1187" s="1"/>
      <c r="L1187" s="1">
        <v>46063.655069444445</v>
      </c>
      <c r="M1187" s="2">
        <v>46063</v>
      </c>
      <c r="N1187" t="s">
        <v>635</v>
      </c>
      <c r="O1187" t="s">
        <v>625</v>
      </c>
      <c r="P1187">
        <v>1</v>
      </c>
      <c r="Q1187">
        <v>0</v>
      </c>
      <c r="R1187">
        <v>148.16</v>
      </c>
      <c r="S1187" t="s">
        <v>483</v>
      </c>
      <c r="T1187" t="s">
        <v>777</v>
      </c>
    </row>
    <row r="1188" spans="1:20" x14ac:dyDescent="0.3">
      <c r="A1188">
        <v>1187</v>
      </c>
      <c r="B1188">
        <v>227</v>
      </c>
      <c r="C1188">
        <v>3</v>
      </c>
      <c r="D1188">
        <v>26.08</v>
      </c>
      <c r="E1188">
        <v>2.61</v>
      </c>
      <c r="F1188">
        <v>0</v>
      </c>
      <c r="G1188">
        <v>0.1</v>
      </c>
      <c r="H1188" t="s">
        <v>626</v>
      </c>
      <c r="I1188">
        <v>4</v>
      </c>
      <c r="J1188" t="s">
        <v>632</v>
      </c>
      <c r="K1188" s="1">
        <v>46064.228773148148</v>
      </c>
      <c r="L1188" s="1">
        <v>46063.687106481484</v>
      </c>
      <c r="M1188" s="2">
        <v>46063</v>
      </c>
      <c r="N1188" t="s">
        <v>635</v>
      </c>
      <c r="O1188" t="s">
        <v>625</v>
      </c>
      <c r="P1188">
        <v>1</v>
      </c>
      <c r="Q1188">
        <v>1</v>
      </c>
      <c r="R1188">
        <v>0</v>
      </c>
      <c r="S1188" t="s">
        <v>449</v>
      </c>
      <c r="T1188" t="s">
        <v>777</v>
      </c>
    </row>
    <row r="1189" spans="1:20" x14ac:dyDescent="0.3">
      <c r="A1189">
        <v>1188</v>
      </c>
      <c r="B1189">
        <v>126</v>
      </c>
      <c r="C1189">
        <v>2</v>
      </c>
      <c r="D1189">
        <v>58.63</v>
      </c>
      <c r="E1189">
        <v>5.86</v>
      </c>
      <c r="F1189">
        <v>0</v>
      </c>
      <c r="G1189">
        <v>0.1</v>
      </c>
      <c r="H1189" t="s">
        <v>622</v>
      </c>
      <c r="J1189" t="s">
        <v>623</v>
      </c>
      <c r="K1189" s="1"/>
      <c r="L1189" s="1">
        <v>46063.760914351849</v>
      </c>
      <c r="M1189" s="2">
        <v>46063</v>
      </c>
      <c r="N1189" t="s">
        <v>635</v>
      </c>
      <c r="O1189" t="s">
        <v>625</v>
      </c>
      <c r="P1189">
        <v>1</v>
      </c>
      <c r="Q1189">
        <v>0</v>
      </c>
      <c r="R1189">
        <v>58.63</v>
      </c>
      <c r="S1189" t="s">
        <v>247</v>
      </c>
      <c r="T1189" t="s">
        <v>776</v>
      </c>
    </row>
    <row r="1190" spans="1:20" x14ac:dyDescent="0.3">
      <c r="A1190">
        <v>1189</v>
      </c>
      <c r="B1190">
        <v>12</v>
      </c>
      <c r="C1190">
        <v>4</v>
      </c>
      <c r="D1190">
        <v>31.11</v>
      </c>
      <c r="E1190">
        <v>3.11</v>
      </c>
      <c r="F1190">
        <v>0</v>
      </c>
      <c r="G1190">
        <v>0.1</v>
      </c>
      <c r="H1190" t="s">
        <v>622</v>
      </c>
      <c r="J1190" t="s">
        <v>623</v>
      </c>
      <c r="K1190" s="1"/>
      <c r="L1190" s="1">
        <v>46064.348055555558</v>
      </c>
      <c r="M1190" s="2">
        <v>46064</v>
      </c>
      <c r="N1190" t="s">
        <v>635</v>
      </c>
      <c r="O1190" t="s">
        <v>625</v>
      </c>
      <c r="P1190">
        <v>1</v>
      </c>
      <c r="Q1190">
        <v>0</v>
      </c>
      <c r="R1190">
        <v>31.11</v>
      </c>
      <c r="S1190" t="s">
        <v>20</v>
      </c>
      <c r="T1190" t="s">
        <v>778</v>
      </c>
    </row>
    <row r="1191" spans="1:20" x14ac:dyDescent="0.3">
      <c r="A1191">
        <v>1190</v>
      </c>
      <c r="B1191">
        <v>94</v>
      </c>
      <c r="C1191">
        <v>2</v>
      </c>
      <c r="D1191">
        <v>199.04</v>
      </c>
      <c r="E1191">
        <v>19.899999999999999</v>
      </c>
      <c r="F1191">
        <v>0</v>
      </c>
      <c r="G1191">
        <v>0.1</v>
      </c>
      <c r="H1191" t="s">
        <v>622</v>
      </c>
      <c r="J1191" t="s">
        <v>623</v>
      </c>
      <c r="K1191" s="1"/>
      <c r="L1191" s="1">
        <v>46064.348576388889</v>
      </c>
      <c r="M1191" s="2">
        <v>46064</v>
      </c>
      <c r="N1191" t="s">
        <v>635</v>
      </c>
      <c r="O1191" t="s">
        <v>625</v>
      </c>
      <c r="P1191">
        <v>1</v>
      </c>
      <c r="Q1191">
        <v>0</v>
      </c>
      <c r="R1191">
        <v>199.04</v>
      </c>
      <c r="S1191" t="s">
        <v>183</v>
      </c>
      <c r="T1191" t="s">
        <v>776</v>
      </c>
    </row>
    <row r="1192" spans="1:20" x14ac:dyDescent="0.3">
      <c r="A1192">
        <v>1191</v>
      </c>
      <c r="B1192">
        <v>157</v>
      </c>
      <c r="C1192">
        <v>3</v>
      </c>
      <c r="D1192">
        <v>59.7</v>
      </c>
      <c r="E1192">
        <v>5.97</v>
      </c>
      <c r="F1192">
        <v>0</v>
      </c>
      <c r="G1192">
        <v>0.1</v>
      </c>
      <c r="H1192" t="s">
        <v>622</v>
      </c>
      <c r="J1192" t="s">
        <v>623</v>
      </c>
      <c r="K1192" s="1"/>
      <c r="L1192" s="1">
        <v>46064.366666666669</v>
      </c>
      <c r="M1192" s="2">
        <v>46064</v>
      </c>
      <c r="N1192" t="s">
        <v>635</v>
      </c>
      <c r="O1192" t="s">
        <v>625</v>
      </c>
      <c r="P1192">
        <v>1</v>
      </c>
      <c r="Q1192">
        <v>0</v>
      </c>
      <c r="R1192">
        <v>59.7</v>
      </c>
      <c r="S1192" t="s">
        <v>309</v>
      </c>
      <c r="T1192" t="s">
        <v>777</v>
      </c>
    </row>
    <row r="1193" spans="1:20" x14ac:dyDescent="0.3">
      <c r="A1193">
        <v>1192</v>
      </c>
      <c r="B1193">
        <v>106</v>
      </c>
      <c r="C1193">
        <v>4</v>
      </c>
      <c r="D1193">
        <v>135.6</v>
      </c>
      <c r="E1193">
        <v>13.56</v>
      </c>
      <c r="F1193">
        <v>0</v>
      </c>
      <c r="G1193">
        <v>0.1</v>
      </c>
      <c r="H1193" t="s">
        <v>622</v>
      </c>
      <c r="J1193" t="s">
        <v>623</v>
      </c>
      <c r="K1193" s="1"/>
      <c r="L1193" s="1">
        <v>46064.398553240739</v>
      </c>
      <c r="M1193" s="2">
        <v>46064</v>
      </c>
      <c r="N1193" t="s">
        <v>635</v>
      </c>
      <c r="O1193" t="s">
        <v>625</v>
      </c>
      <c r="P1193">
        <v>1</v>
      </c>
      <c r="Q1193">
        <v>0</v>
      </c>
      <c r="R1193">
        <v>135.6</v>
      </c>
      <c r="S1193" t="s">
        <v>207</v>
      </c>
      <c r="T1193" t="s">
        <v>778</v>
      </c>
    </row>
    <row r="1194" spans="1:20" x14ac:dyDescent="0.3">
      <c r="A1194">
        <v>1193</v>
      </c>
      <c r="B1194">
        <v>7</v>
      </c>
      <c r="C1194">
        <v>4</v>
      </c>
      <c r="D1194">
        <v>56.46</v>
      </c>
      <c r="E1194">
        <v>5.65</v>
      </c>
      <c r="F1194">
        <v>0</v>
      </c>
      <c r="G1194">
        <v>0.1</v>
      </c>
      <c r="H1194" t="s">
        <v>622</v>
      </c>
      <c r="J1194" t="s">
        <v>623</v>
      </c>
      <c r="K1194" s="1"/>
      <c r="L1194" s="1">
        <v>46064.419189814813</v>
      </c>
      <c r="M1194" s="2">
        <v>46064</v>
      </c>
      <c r="N1194" t="s">
        <v>635</v>
      </c>
      <c r="O1194" t="s">
        <v>625</v>
      </c>
      <c r="P1194">
        <v>1</v>
      </c>
      <c r="Q1194">
        <v>0</v>
      </c>
      <c r="R1194">
        <v>56.46</v>
      </c>
      <c r="S1194" t="s">
        <v>10</v>
      </c>
      <c r="T1194" t="s">
        <v>778</v>
      </c>
    </row>
    <row r="1195" spans="1:20" x14ac:dyDescent="0.3">
      <c r="A1195">
        <v>1194</v>
      </c>
      <c r="B1195">
        <v>96</v>
      </c>
      <c r="C1195">
        <v>3</v>
      </c>
      <c r="D1195">
        <v>295.49</v>
      </c>
      <c r="E1195">
        <v>29.55</v>
      </c>
      <c r="F1195">
        <v>0</v>
      </c>
      <c r="G1195">
        <v>0.1</v>
      </c>
      <c r="H1195" t="s">
        <v>622</v>
      </c>
      <c r="J1195" t="s">
        <v>623</v>
      </c>
      <c r="K1195" s="1"/>
      <c r="L1195" s="1">
        <v>46064.431041666663</v>
      </c>
      <c r="M1195" s="2">
        <v>46064</v>
      </c>
      <c r="N1195" t="s">
        <v>635</v>
      </c>
      <c r="O1195" t="s">
        <v>625</v>
      </c>
      <c r="P1195">
        <v>1</v>
      </c>
      <c r="Q1195">
        <v>0</v>
      </c>
      <c r="R1195">
        <v>295.49</v>
      </c>
      <c r="S1195" t="s">
        <v>187</v>
      </c>
      <c r="T1195" t="s">
        <v>777</v>
      </c>
    </row>
    <row r="1196" spans="1:20" x14ac:dyDescent="0.3">
      <c r="A1196">
        <v>1195</v>
      </c>
      <c r="B1196">
        <v>196</v>
      </c>
      <c r="C1196">
        <v>5</v>
      </c>
      <c r="D1196">
        <v>51.18</v>
      </c>
      <c r="E1196">
        <v>5.12</v>
      </c>
      <c r="F1196">
        <v>0</v>
      </c>
      <c r="G1196">
        <v>0.1</v>
      </c>
      <c r="H1196" t="s">
        <v>622</v>
      </c>
      <c r="J1196" t="s">
        <v>623</v>
      </c>
      <c r="K1196" s="1"/>
      <c r="L1196" s="1">
        <v>46064.434467592589</v>
      </c>
      <c r="M1196" s="2">
        <v>46064</v>
      </c>
      <c r="N1196" t="s">
        <v>635</v>
      </c>
      <c r="O1196" t="s">
        <v>625</v>
      </c>
      <c r="P1196">
        <v>1</v>
      </c>
      <c r="Q1196">
        <v>0</v>
      </c>
      <c r="R1196">
        <v>51.18</v>
      </c>
      <c r="S1196" t="s">
        <v>387</v>
      </c>
      <c r="T1196" t="s">
        <v>779</v>
      </c>
    </row>
    <row r="1197" spans="1:20" x14ac:dyDescent="0.3">
      <c r="A1197">
        <v>1196</v>
      </c>
      <c r="B1197">
        <v>60</v>
      </c>
      <c r="C1197">
        <v>5</v>
      </c>
      <c r="D1197">
        <v>139.13</v>
      </c>
      <c r="E1197">
        <v>13.91</v>
      </c>
      <c r="F1197">
        <v>0</v>
      </c>
      <c r="G1197">
        <v>0.1</v>
      </c>
      <c r="H1197" t="s">
        <v>622</v>
      </c>
      <c r="J1197" t="s">
        <v>623</v>
      </c>
      <c r="K1197" s="1"/>
      <c r="L1197" s="1">
        <v>46064.53528935185</v>
      </c>
      <c r="M1197" s="2">
        <v>46064</v>
      </c>
      <c r="N1197" t="s">
        <v>635</v>
      </c>
      <c r="O1197" t="s">
        <v>625</v>
      </c>
      <c r="P1197">
        <v>1</v>
      </c>
      <c r="Q1197">
        <v>0</v>
      </c>
      <c r="R1197">
        <v>139.13</v>
      </c>
      <c r="S1197" t="s">
        <v>116</v>
      </c>
      <c r="T1197" t="s">
        <v>779</v>
      </c>
    </row>
    <row r="1198" spans="1:20" x14ac:dyDescent="0.3">
      <c r="A1198">
        <v>1197</v>
      </c>
      <c r="B1198">
        <v>156</v>
      </c>
      <c r="C1198">
        <v>3</v>
      </c>
      <c r="D1198">
        <v>36.450000000000003</v>
      </c>
      <c r="E1198">
        <v>3.65</v>
      </c>
      <c r="F1198">
        <v>0</v>
      </c>
      <c r="G1198">
        <v>0.1</v>
      </c>
      <c r="H1198" t="s">
        <v>622</v>
      </c>
      <c r="J1198" t="s">
        <v>623</v>
      </c>
      <c r="K1198" s="1"/>
      <c r="L1198" s="1">
        <v>46064.633032407408</v>
      </c>
      <c r="M1198" s="2">
        <v>46064</v>
      </c>
      <c r="N1198" t="s">
        <v>635</v>
      </c>
      <c r="O1198" t="s">
        <v>625</v>
      </c>
      <c r="P1198">
        <v>1</v>
      </c>
      <c r="Q1198">
        <v>0</v>
      </c>
      <c r="R1198">
        <v>36.450000000000003</v>
      </c>
      <c r="S1198" t="s">
        <v>307</v>
      </c>
      <c r="T1198" t="s">
        <v>777</v>
      </c>
    </row>
    <row r="1199" spans="1:20" x14ac:dyDescent="0.3">
      <c r="A1199">
        <v>1198</v>
      </c>
      <c r="B1199">
        <v>293</v>
      </c>
      <c r="C1199">
        <v>2</v>
      </c>
      <c r="D1199">
        <v>35.46</v>
      </c>
      <c r="E1199">
        <v>3.55</v>
      </c>
      <c r="F1199">
        <v>0</v>
      </c>
      <c r="G1199">
        <v>0.1</v>
      </c>
      <c r="H1199" t="s">
        <v>622</v>
      </c>
      <c r="J1199" t="s">
        <v>623</v>
      </c>
      <c r="K1199" s="1"/>
      <c r="L1199" s="1">
        <v>46064.768043981479</v>
      </c>
      <c r="M1199" s="2">
        <v>46064</v>
      </c>
      <c r="N1199" t="s">
        <v>635</v>
      </c>
      <c r="O1199" t="s">
        <v>625</v>
      </c>
      <c r="P1199">
        <v>1</v>
      </c>
      <c r="Q1199">
        <v>0</v>
      </c>
      <c r="R1199">
        <v>35.46</v>
      </c>
      <c r="S1199" t="s">
        <v>581</v>
      </c>
      <c r="T1199" t="s">
        <v>776</v>
      </c>
    </row>
    <row r="1200" spans="1:20" x14ac:dyDescent="0.3">
      <c r="A1200">
        <v>1199</v>
      </c>
      <c r="B1200">
        <v>39</v>
      </c>
      <c r="C1200">
        <v>3</v>
      </c>
      <c r="D1200">
        <v>155.81</v>
      </c>
      <c r="E1200">
        <v>15.58</v>
      </c>
      <c r="F1200">
        <v>0</v>
      </c>
      <c r="G1200">
        <v>0.1</v>
      </c>
      <c r="H1200" t="s">
        <v>622</v>
      </c>
      <c r="J1200" t="s">
        <v>623</v>
      </c>
      <c r="K1200" s="1"/>
      <c r="L1200" s="1">
        <v>46064.787627314814</v>
      </c>
      <c r="M1200" s="2">
        <v>46064</v>
      </c>
      <c r="N1200" t="s">
        <v>635</v>
      </c>
      <c r="O1200" t="s">
        <v>625</v>
      </c>
      <c r="P1200">
        <v>1</v>
      </c>
      <c r="Q1200">
        <v>0</v>
      </c>
      <c r="R1200">
        <v>155.81</v>
      </c>
      <c r="S1200" t="s">
        <v>74</v>
      </c>
      <c r="T1200" t="s">
        <v>777</v>
      </c>
    </row>
    <row r="1201" spans="1:20" x14ac:dyDescent="0.3">
      <c r="A1201">
        <v>1200</v>
      </c>
      <c r="B1201">
        <v>117</v>
      </c>
      <c r="C1201">
        <v>4</v>
      </c>
      <c r="D1201">
        <v>96.91</v>
      </c>
      <c r="E1201">
        <v>9.69</v>
      </c>
      <c r="F1201">
        <v>0</v>
      </c>
      <c r="G1201">
        <v>0.1</v>
      </c>
      <c r="H1201" t="s">
        <v>622</v>
      </c>
      <c r="J1201" t="s">
        <v>623</v>
      </c>
      <c r="K1201" s="1"/>
      <c r="L1201" s="1">
        <v>46065.349236111113</v>
      </c>
      <c r="M1201" s="2">
        <v>46065</v>
      </c>
      <c r="N1201" t="s">
        <v>635</v>
      </c>
      <c r="O1201" t="s">
        <v>625</v>
      </c>
      <c r="P1201">
        <v>1</v>
      </c>
      <c r="Q1201">
        <v>0</v>
      </c>
      <c r="R1201">
        <v>96.91</v>
      </c>
      <c r="S1201" t="s">
        <v>229</v>
      </c>
      <c r="T1201" t="s">
        <v>778</v>
      </c>
    </row>
    <row r="1202" spans="1:20" x14ac:dyDescent="0.3">
      <c r="A1202">
        <v>1201</v>
      </c>
      <c r="B1202">
        <v>154</v>
      </c>
      <c r="C1202">
        <v>5</v>
      </c>
      <c r="D1202">
        <v>41.98</v>
      </c>
      <c r="E1202">
        <v>4.2</v>
      </c>
      <c r="F1202">
        <v>0</v>
      </c>
      <c r="G1202">
        <v>0.1</v>
      </c>
      <c r="H1202" t="s">
        <v>622</v>
      </c>
      <c r="J1202" t="s">
        <v>623</v>
      </c>
      <c r="K1202" s="1"/>
      <c r="L1202" s="1">
        <v>46065.361307870371</v>
      </c>
      <c r="M1202" s="2">
        <v>46065</v>
      </c>
      <c r="N1202" t="s">
        <v>635</v>
      </c>
      <c r="O1202" t="s">
        <v>625</v>
      </c>
      <c r="P1202">
        <v>1</v>
      </c>
      <c r="Q1202">
        <v>0</v>
      </c>
      <c r="R1202">
        <v>41.98</v>
      </c>
      <c r="S1202" t="s">
        <v>303</v>
      </c>
      <c r="T1202" t="s">
        <v>779</v>
      </c>
    </row>
    <row r="1203" spans="1:20" x14ac:dyDescent="0.3">
      <c r="A1203">
        <v>1202</v>
      </c>
      <c r="B1203">
        <v>241</v>
      </c>
      <c r="C1203">
        <v>5</v>
      </c>
      <c r="D1203">
        <v>16.309999999999999</v>
      </c>
      <c r="E1203">
        <v>1.63</v>
      </c>
      <c r="F1203">
        <v>0</v>
      </c>
      <c r="G1203">
        <v>0.1</v>
      </c>
      <c r="H1203" t="s">
        <v>626</v>
      </c>
      <c r="I1203">
        <v>3</v>
      </c>
      <c r="J1203" t="s">
        <v>632</v>
      </c>
      <c r="K1203" s="1">
        <v>46065.812604166669</v>
      </c>
      <c r="L1203" s="1">
        <v>46065.395937499998</v>
      </c>
      <c r="M1203" s="2">
        <v>46065</v>
      </c>
      <c r="N1203" t="s">
        <v>635</v>
      </c>
      <c r="O1203" t="s">
        <v>625</v>
      </c>
      <c r="P1203">
        <v>1</v>
      </c>
      <c r="Q1203">
        <v>1</v>
      </c>
      <c r="R1203">
        <v>0</v>
      </c>
      <c r="S1203" t="s">
        <v>477</v>
      </c>
      <c r="T1203" t="s">
        <v>779</v>
      </c>
    </row>
    <row r="1204" spans="1:20" x14ac:dyDescent="0.3">
      <c r="A1204">
        <v>1203</v>
      </c>
      <c r="B1204">
        <v>241</v>
      </c>
      <c r="C1204">
        <v>5</v>
      </c>
      <c r="D1204">
        <v>38.61</v>
      </c>
      <c r="E1204">
        <v>3.86</v>
      </c>
      <c r="F1204">
        <v>0</v>
      </c>
      <c r="G1204">
        <v>0.1</v>
      </c>
      <c r="H1204" t="s">
        <v>622</v>
      </c>
      <c r="J1204" t="s">
        <v>623</v>
      </c>
      <c r="K1204" s="1"/>
      <c r="L1204" s="1">
        <v>46065.421296296299</v>
      </c>
      <c r="M1204" s="2">
        <v>46065</v>
      </c>
      <c r="N1204" t="s">
        <v>635</v>
      </c>
      <c r="O1204" t="s">
        <v>625</v>
      </c>
      <c r="P1204">
        <v>1</v>
      </c>
      <c r="Q1204">
        <v>0</v>
      </c>
      <c r="R1204">
        <v>38.61</v>
      </c>
      <c r="S1204" t="s">
        <v>477</v>
      </c>
      <c r="T1204" t="s">
        <v>779</v>
      </c>
    </row>
    <row r="1205" spans="1:20" x14ac:dyDescent="0.3">
      <c r="A1205">
        <v>1204</v>
      </c>
      <c r="B1205">
        <v>57</v>
      </c>
      <c r="C1205">
        <v>5</v>
      </c>
      <c r="D1205">
        <v>75.680000000000007</v>
      </c>
      <c r="E1205">
        <v>7.57</v>
      </c>
      <c r="F1205">
        <v>0</v>
      </c>
      <c r="G1205">
        <v>0.1</v>
      </c>
      <c r="H1205" t="s">
        <v>622</v>
      </c>
      <c r="J1205" t="s">
        <v>623</v>
      </c>
      <c r="K1205" s="1"/>
      <c r="L1205" s="1">
        <v>46065.454571759263</v>
      </c>
      <c r="M1205" s="2">
        <v>46065</v>
      </c>
      <c r="N1205" t="s">
        <v>635</v>
      </c>
      <c r="O1205" t="s">
        <v>625</v>
      </c>
      <c r="P1205">
        <v>1</v>
      </c>
      <c r="Q1205">
        <v>0</v>
      </c>
      <c r="R1205">
        <v>75.680000000000007</v>
      </c>
      <c r="S1205" t="s">
        <v>110</v>
      </c>
      <c r="T1205" t="s">
        <v>779</v>
      </c>
    </row>
    <row r="1206" spans="1:20" x14ac:dyDescent="0.3">
      <c r="A1206">
        <v>1205</v>
      </c>
      <c r="B1206">
        <v>135</v>
      </c>
      <c r="C1206">
        <v>5</v>
      </c>
      <c r="D1206">
        <v>140.63999999999999</v>
      </c>
      <c r="E1206">
        <v>14.06</v>
      </c>
      <c r="F1206">
        <v>0</v>
      </c>
      <c r="G1206">
        <v>0.1</v>
      </c>
      <c r="H1206" t="s">
        <v>622</v>
      </c>
      <c r="J1206" t="s">
        <v>623</v>
      </c>
      <c r="K1206" s="1"/>
      <c r="L1206" s="1">
        <v>46065.526828703703</v>
      </c>
      <c r="M1206" s="2">
        <v>46065</v>
      </c>
      <c r="N1206" t="s">
        <v>635</v>
      </c>
      <c r="O1206" t="s">
        <v>625</v>
      </c>
      <c r="P1206">
        <v>1</v>
      </c>
      <c r="Q1206">
        <v>0</v>
      </c>
      <c r="R1206">
        <v>140.63999999999999</v>
      </c>
      <c r="S1206" t="s">
        <v>265</v>
      </c>
      <c r="T1206" t="s">
        <v>779</v>
      </c>
    </row>
    <row r="1207" spans="1:20" x14ac:dyDescent="0.3">
      <c r="A1207">
        <v>1206</v>
      </c>
      <c r="B1207">
        <v>254</v>
      </c>
      <c r="C1207">
        <v>4</v>
      </c>
      <c r="D1207">
        <v>167.93</v>
      </c>
      <c r="E1207">
        <v>16.79</v>
      </c>
      <c r="F1207">
        <v>0</v>
      </c>
      <c r="G1207">
        <v>0.1</v>
      </c>
      <c r="H1207" t="s">
        <v>622</v>
      </c>
      <c r="J1207" t="s">
        <v>623</v>
      </c>
      <c r="K1207" s="1"/>
      <c r="L1207" s="1">
        <v>46065.549444444441</v>
      </c>
      <c r="M1207" s="2">
        <v>46065</v>
      </c>
      <c r="N1207" t="s">
        <v>635</v>
      </c>
      <c r="O1207" t="s">
        <v>625</v>
      </c>
      <c r="P1207">
        <v>1</v>
      </c>
      <c r="Q1207">
        <v>0</v>
      </c>
      <c r="R1207">
        <v>167.93</v>
      </c>
      <c r="S1207" t="s">
        <v>503</v>
      </c>
      <c r="T1207" t="s">
        <v>778</v>
      </c>
    </row>
    <row r="1208" spans="1:20" x14ac:dyDescent="0.3">
      <c r="A1208">
        <v>1207</v>
      </c>
      <c r="B1208">
        <v>65</v>
      </c>
      <c r="C1208">
        <v>2</v>
      </c>
      <c r="D1208">
        <v>68.14</v>
      </c>
      <c r="E1208">
        <v>6.81</v>
      </c>
      <c r="F1208">
        <v>0</v>
      </c>
      <c r="G1208">
        <v>0.1</v>
      </c>
      <c r="H1208" t="s">
        <v>622</v>
      </c>
      <c r="J1208" t="s">
        <v>623</v>
      </c>
      <c r="K1208" s="1"/>
      <c r="L1208" s="1">
        <v>46065.617789351854</v>
      </c>
      <c r="M1208" s="2">
        <v>46065</v>
      </c>
      <c r="N1208" t="s">
        <v>635</v>
      </c>
      <c r="O1208" t="s">
        <v>625</v>
      </c>
      <c r="P1208">
        <v>1</v>
      </c>
      <c r="Q1208">
        <v>0</v>
      </c>
      <c r="R1208">
        <v>68.14</v>
      </c>
      <c r="S1208" t="s">
        <v>126</v>
      </c>
      <c r="T1208" t="s">
        <v>776</v>
      </c>
    </row>
    <row r="1209" spans="1:20" x14ac:dyDescent="0.3">
      <c r="A1209">
        <v>1208</v>
      </c>
      <c r="B1209">
        <v>268</v>
      </c>
      <c r="C1209">
        <v>2</v>
      </c>
      <c r="D1209">
        <v>22.87</v>
      </c>
      <c r="E1209">
        <v>2.29</v>
      </c>
      <c r="F1209">
        <v>0</v>
      </c>
      <c r="G1209">
        <v>0.1</v>
      </c>
      <c r="H1209" t="s">
        <v>622</v>
      </c>
      <c r="J1209" t="s">
        <v>623</v>
      </c>
      <c r="K1209" s="1"/>
      <c r="L1209" s="1">
        <v>46065.629710648151</v>
      </c>
      <c r="M1209" s="2">
        <v>46065</v>
      </c>
      <c r="N1209" t="s">
        <v>635</v>
      </c>
      <c r="O1209" t="s">
        <v>625</v>
      </c>
      <c r="P1209">
        <v>1</v>
      </c>
      <c r="Q1209">
        <v>0</v>
      </c>
      <c r="R1209">
        <v>22.87</v>
      </c>
      <c r="S1209" t="s">
        <v>531</v>
      </c>
      <c r="T1209" t="s">
        <v>776</v>
      </c>
    </row>
    <row r="1210" spans="1:20" x14ac:dyDescent="0.3">
      <c r="A1210">
        <v>1209</v>
      </c>
      <c r="B1210">
        <v>137</v>
      </c>
      <c r="C1210">
        <v>5</v>
      </c>
      <c r="D1210">
        <v>23.68</v>
      </c>
      <c r="E1210">
        <v>2.37</v>
      </c>
      <c r="F1210">
        <v>0</v>
      </c>
      <c r="G1210">
        <v>0.1</v>
      </c>
      <c r="H1210" t="s">
        <v>622</v>
      </c>
      <c r="J1210" t="s">
        <v>623</v>
      </c>
      <c r="K1210" s="1"/>
      <c r="L1210" s="1">
        <v>46065.642523148148</v>
      </c>
      <c r="M1210" s="2">
        <v>46065</v>
      </c>
      <c r="N1210" t="s">
        <v>635</v>
      </c>
      <c r="O1210" t="s">
        <v>625</v>
      </c>
      <c r="P1210">
        <v>1</v>
      </c>
      <c r="Q1210">
        <v>0</v>
      </c>
      <c r="R1210">
        <v>23.68</v>
      </c>
      <c r="S1210" t="s">
        <v>269</v>
      </c>
      <c r="T1210" t="s">
        <v>779</v>
      </c>
    </row>
    <row r="1211" spans="1:20" x14ac:dyDescent="0.3">
      <c r="A1211">
        <v>1210</v>
      </c>
      <c r="B1211">
        <v>109</v>
      </c>
      <c r="C1211">
        <v>2</v>
      </c>
      <c r="D1211">
        <v>216.57</v>
      </c>
      <c r="E1211">
        <v>21.66</v>
      </c>
      <c r="F1211">
        <v>0</v>
      </c>
      <c r="G1211">
        <v>0.1</v>
      </c>
      <c r="H1211" t="s">
        <v>622</v>
      </c>
      <c r="J1211" t="s">
        <v>623</v>
      </c>
      <c r="K1211" s="1"/>
      <c r="L1211" s="1">
        <v>46065.644456018519</v>
      </c>
      <c r="M1211" s="2">
        <v>46065</v>
      </c>
      <c r="N1211" t="s">
        <v>635</v>
      </c>
      <c r="O1211" t="s">
        <v>625</v>
      </c>
      <c r="P1211">
        <v>1</v>
      </c>
      <c r="Q1211">
        <v>0</v>
      </c>
      <c r="R1211">
        <v>216.57</v>
      </c>
      <c r="S1211" t="s">
        <v>213</v>
      </c>
      <c r="T1211" t="s">
        <v>776</v>
      </c>
    </row>
    <row r="1212" spans="1:20" x14ac:dyDescent="0.3">
      <c r="A1212">
        <v>1211</v>
      </c>
      <c r="B1212">
        <v>211</v>
      </c>
      <c r="C1212">
        <v>2</v>
      </c>
      <c r="D1212">
        <v>147.57</v>
      </c>
      <c r="E1212">
        <v>14.76</v>
      </c>
      <c r="F1212">
        <v>0</v>
      </c>
      <c r="G1212">
        <v>0.1</v>
      </c>
      <c r="H1212" t="s">
        <v>622</v>
      </c>
      <c r="J1212" t="s">
        <v>623</v>
      </c>
      <c r="K1212" s="1"/>
      <c r="L1212" s="1">
        <v>46065.654409722221</v>
      </c>
      <c r="M1212" s="2">
        <v>46065</v>
      </c>
      <c r="N1212" t="s">
        <v>635</v>
      </c>
      <c r="O1212" t="s">
        <v>625</v>
      </c>
      <c r="P1212">
        <v>1</v>
      </c>
      <c r="Q1212">
        <v>0</v>
      </c>
      <c r="R1212">
        <v>147.57</v>
      </c>
      <c r="S1212" t="s">
        <v>417</v>
      </c>
      <c r="T1212" t="s">
        <v>776</v>
      </c>
    </row>
    <row r="1213" spans="1:20" x14ac:dyDescent="0.3">
      <c r="A1213">
        <v>1212</v>
      </c>
      <c r="B1213">
        <v>244</v>
      </c>
      <c r="C1213">
        <v>2</v>
      </c>
      <c r="D1213">
        <v>106.46</v>
      </c>
      <c r="E1213">
        <v>10.65</v>
      </c>
      <c r="F1213">
        <v>0</v>
      </c>
      <c r="G1213">
        <v>0.1</v>
      </c>
      <c r="H1213" t="s">
        <v>622</v>
      </c>
      <c r="J1213" t="s">
        <v>623</v>
      </c>
      <c r="K1213" s="1"/>
      <c r="L1213" s="1">
        <v>46065.734560185185</v>
      </c>
      <c r="M1213" s="2">
        <v>46065</v>
      </c>
      <c r="N1213" t="s">
        <v>635</v>
      </c>
      <c r="O1213" t="s">
        <v>625</v>
      </c>
      <c r="P1213">
        <v>1</v>
      </c>
      <c r="Q1213">
        <v>0</v>
      </c>
      <c r="R1213">
        <v>106.46</v>
      </c>
      <c r="S1213" t="s">
        <v>483</v>
      </c>
      <c r="T1213" t="s">
        <v>776</v>
      </c>
    </row>
    <row r="1214" spans="1:20" x14ac:dyDescent="0.3">
      <c r="A1214">
        <v>1213</v>
      </c>
      <c r="B1214">
        <v>19</v>
      </c>
      <c r="C1214">
        <v>5</v>
      </c>
      <c r="D1214">
        <v>24.39</v>
      </c>
      <c r="E1214">
        <v>2.44</v>
      </c>
      <c r="F1214">
        <v>0</v>
      </c>
      <c r="G1214">
        <v>0.1</v>
      </c>
      <c r="H1214" t="s">
        <v>622</v>
      </c>
      <c r="J1214" t="s">
        <v>623</v>
      </c>
      <c r="K1214" s="1"/>
      <c r="L1214" s="1">
        <v>46066.348287037035</v>
      </c>
      <c r="M1214" s="2">
        <v>46066</v>
      </c>
      <c r="N1214" t="s">
        <v>635</v>
      </c>
      <c r="O1214" t="s">
        <v>625</v>
      </c>
      <c r="P1214">
        <v>1</v>
      </c>
      <c r="Q1214">
        <v>0</v>
      </c>
      <c r="R1214">
        <v>24.39</v>
      </c>
      <c r="S1214" t="s">
        <v>34</v>
      </c>
      <c r="T1214" t="s">
        <v>779</v>
      </c>
    </row>
    <row r="1215" spans="1:20" x14ac:dyDescent="0.3">
      <c r="A1215">
        <v>1214</v>
      </c>
      <c r="B1215">
        <v>156</v>
      </c>
      <c r="C1215">
        <v>2</v>
      </c>
      <c r="D1215">
        <v>15.55</v>
      </c>
      <c r="E1215">
        <v>1.56</v>
      </c>
      <c r="F1215">
        <v>0</v>
      </c>
      <c r="G1215">
        <v>0.1</v>
      </c>
      <c r="H1215" t="s">
        <v>622</v>
      </c>
      <c r="J1215" t="s">
        <v>623</v>
      </c>
      <c r="K1215" s="1"/>
      <c r="L1215" s="1">
        <v>46066.382395833331</v>
      </c>
      <c r="M1215" s="2">
        <v>46066</v>
      </c>
      <c r="N1215" t="s">
        <v>635</v>
      </c>
      <c r="O1215" t="s">
        <v>625</v>
      </c>
      <c r="P1215">
        <v>1</v>
      </c>
      <c r="Q1215">
        <v>0</v>
      </c>
      <c r="R1215">
        <v>15.55</v>
      </c>
      <c r="S1215" t="s">
        <v>307</v>
      </c>
      <c r="T1215" t="s">
        <v>776</v>
      </c>
    </row>
    <row r="1216" spans="1:20" x14ac:dyDescent="0.3">
      <c r="A1216">
        <v>1215</v>
      </c>
      <c r="B1216">
        <v>221</v>
      </c>
      <c r="C1216">
        <v>3</v>
      </c>
      <c r="D1216">
        <v>151.62</v>
      </c>
      <c r="E1216">
        <v>15.16</v>
      </c>
      <c r="F1216">
        <v>0</v>
      </c>
      <c r="G1216">
        <v>0.1</v>
      </c>
      <c r="H1216" t="s">
        <v>622</v>
      </c>
      <c r="J1216" t="s">
        <v>623</v>
      </c>
      <c r="K1216" s="1"/>
      <c r="L1216" s="1">
        <v>46066.461701388886</v>
      </c>
      <c r="M1216" s="2">
        <v>46066</v>
      </c>
      <c r="N1216" t="s">
        <v>635</v>
      </c>
      <c r="O1216" t="s">
        <v>625</v>
      </c>
      <c r="P1216">
        <v>1</v>
      </c>
      <c r="Q1216">
        <v>0</v>
      </c>
      <c r="R1216">
        <v>151.62</v>
      </c>
      <c r="S1216" t="s">
        <v>437</v>
      </c>
      <c r="T1216" t="s">
        <v>777</v>
      </c>
    </row>
    <row r="1217" spans="1:20" x14ac:dyDescent="0.3">
      <c r="A1217">
        <v>1216</v>
      </c>
      <c r="B1217">
        <v>18</v>
      </c>
      <c r="C1217">
        <v>5</v>
      </c>
      <c r="D1217">
        <v>119.33</v>
      </c>
      <c r="E1217">
        <v>11.93</v>
      </c>
      <c r="F1217">
        <v>0</v>
      </c>
      <c r="G1217">
        <v>0.1</v>
      </c>
      <c r="H1217" t="s">
        <v>622</v>
      </c>
      <c r="J1217" t="s">
        <v>623</v>
      </c>
      <c r="K1217" s="1"/>
      <c r="L1217" s="1">
        <v>46066.475937499999</v>
      </c>
      <c r="M1217" s="2">
        <v>46066</v>
      </c>
      <c r="N1217" t="s">
        <v>635</v>
      </c>
      <c r="O1217" t="s">
        <v>625</v>
      </c>
      <c r="P1217">
        <v>1</v>
      </c>
      <c r="Q1217">
        <v>0</v>
      </c>
      <c r="R1217">
        <v>119.33</v>
      </c>
      <c r="S1217" t="s">
        <v>32</v>
      </c>
      <c r="T1217" t="s">
        <v>779</v>
      </c>
    </row>
    <row r="1218" spans="1:20" x14ac:dyDescent="0.3">
      <c r="A1218">
        <v>1217</v>
      </c>
      <c r="B1218">
        <v>136</v>
      </c>
      <c r="C1218">
        <v>4</v>
      </c>
      <c r="D1218">
        <v>48.7</v>
      </c>
      <c r="E1218">
        <v>4.87</v>
      </c>
      <c r="F1218">
        <v>0</v>
      </c>
      <c r="G1218">
        <v>0.1</v>
      </c>
      <c r="H1218" t="s">
        <v>622</v>
      </c>
      <c r="J1218" t="s">
        <v>623</v>
      </c>
      <c r="K1218" s="1"/>
      <c r="L1218" s="1">
        <v>46066.502696759257</v>
      </c>
      <c r="M1218" s="2">
        <v>46066</v>
      </c>
      <c r="N1218" t="s">
        <v>635</v>
      </c>
      <c r="O1218" t="s">
        <v>625</v>
      </c>
      <c r="P1218">
        <v>1</v>
      </c>
      <c r="Q1218">
        <v>0</v>
      </c>
      <c r="R1218">
        <v>48.7</v>
      </c>
      <c r="S1218" t="s">
        <v>267</v>
      </c>
      <c r="T1218" t="s">
        <v>778</v>
      </c>
    </row>
    <row r="1219" spans="1:20" x14ac:dyDescent="0.3">
      <c r="A1219">
        <v>1218</v>
      </c>
      <c r="B1219">
        <v>38</v>
      </c>
      <c r="C1219">
        <v>3</v>
      </c>
      <c r="D1219">
        <v>25.62</v>
      </c>
      <c r="E1219">
        <v>2.56</v>
      </c>
      <c r="F1219">
        <v>0</v>
      </c>
      <c r="G1219">
        <v>0.1</v>
      </c>
      <c r="H1219" t="s">
        <v>622</v>
      </c>
      <c r="J1219" t="s">
        <v>623</v>
      </c>
      <c r="K1219" s="1"/>
      <c r="L1219" s="1">
        <v>46066.562037037038</v>
      </c>
      <c r="M1219" s="2">
        <v>46066</v>
      </c>
      <c r="N1219" t="s">
        <v>635</v>
      </c>
      <c r="O1219" t="s">
        <v>625</v>
      </c>
      <c r="P1219">
        <v>1</v>
      </c>
      <c r="Q1219">
        <v>0</v>
      </c>
      <c r="R1219">
        <v>25.62</v>
      </c>
      <c r="S1219" t="s">
        <v>72</v>
      </c>
      <c r="T1219" t="s">
        <v>777</v>
      </c>
    </row>
    <row r="1220" spans="1:20" x14ac:dyDescent="0.3">
      <c r="A1220">
        <v>1219</v>
      </c>
      <c r="B1220">
        <v>32</v>
      </c>
      <c r="C1220">
        <v>2</v>
      </c>
      <c r="D1220">
        <v>66.14</v>
      </c>
      <c r="E1220">
        <v>6.61</v>
      </c>
      <c r="F1220">
        <v>0</v>
      </c>
      <c r="G1220">
        <v>0.1</v>
      </c>
      <c r="H1220" t="s">
        <v>622</v>
      </c>
      <c r="J1220" t="s">
        <v>623</v>
      </c>
      <c r="K1220" s="1"/>
      <c r="L1220" s="1">
        <v>46066.571585648147</v>
      </c>
      <c r="M1220" s="2">
        <v>46066</v>
      </c>
      <c r="N1220" t="s">
        <v>635</v>
      </c>
      <c r="O1220" t="s">
        <v>625</v>
      </c>
      <c r="P1220">
        <v>1</v>
      </c>
      <c r="Q1220">
        <v>0</v>
      </c>
      <c r="R1220">
        <v>66.14</v>
      </c>
      <c r="S1220" t="s">
        <v>60</v>
      </c>
      <c r="T1220" t="s">
        <v>776</v>
      </c>
    </row>
    <row r="1221" spans="1:20" x14ac:dyDescent="0.3">
      <c r="A1221">
        <v>1220</v>
      </c>
      <c r="B1221">
        <v>304</v>
      </c>
      <c r="C1221">
        <v>2</v>
      </c>
      <c r="D1221">
        <v>47.93</v>
      </c>
      <c r="E1221">
        <v>4.79</v>
      </c>
      <c r="F1221">
        <v>0</v>
      </c>
      <c r="G1221">
        <v>0.1</v>
      </c>
      <c r="H1221" t="s">
        <v>622</v>
      </c>
      <c r="J1221" t="s">
        <v>623</v>
      </c>
      <c r="K1221" s="1"/>
      <c r="L1221" s="1">
        <v>46066.608090277776</v>
      </c>
      <c r="M1221" s="2">
        <v>46066</v>
      </c>
      <c r="N1221" t="s">
        <v>635</v>
      </c>
      <c r="O1221" t="s">
        <v>625</v>
      </c>
      <c r="P1221">
        <v>1</v>
      </c>
      <c r="Q1221">
        <v>0</v>
      </c>
      <c r="R1221">
        <v>47.93</v>
      </c>
      <c r="S1221" t="s">
        <v>603</v>
      </c>
      <c r="T1221" t="s">
        <v>776</v>
      </c>
    </row>
    <row r="1222" spans="1:20" x14ac:dyDescent="0.3">
      <c r="A1222">
        <v>1221</v>
      </c>
      <c r="B1222">
        <v>36</v>
      </c>
      <c r="C1222">
        <v>4</v>
      </c>
      <c r="D1222">
        <v>174.22</v>
      </c>
      <c r="E1222">
        <v>17.420000000000002</v>
      </c>
      <c r="F1222">
        <v>0</v>
      </c>
      <c r="G1222">
        <v>0.1</v>
      </c>
      <c r="H1222" t="s">
        <v>622</v>
      </c>
      <c r="J1222" t="s">
        <v>623</v>
      </c>
      <c r="K1222" s="1"/>
      <c r="L1222" s="1">
        <v>46066.63921296296</v>
      </c>
      <c r="M1222" s="2">
        <v>46066</v>
      </c>
      <c r="N1222" t="s">
        <v>635</v>
      </c>
      <c r="O1222" t="s">
        <v>625</v>
      </c>
      <c r="P1222">
        <v>1</v>
      </c>
      <c r="Q1222">
        <v>0</v>
      </c>
      <c r="R1222">
        <v>174.22</v>
      </c>
      <c r="S1222" t="s">
        <v>68</v>
      </c>
      <c r="T1222" t="s">
        <v>778</v>
      </c>
    </row>
    <row r="1223" spans="1:20" x14ac:dyDescent="0.3">
      <c r="A1223">
        <v>1222</v>
      </c>
      <c r="B1223">
        <v>136</v>
      </c>
      <c r="C1223">
        <v>4</v>
      </c>
      <c r="D1223">
        <v>110.04</v>
      </c>
      <c r="E1223">
        <v>0</v>
      </c>
      <c r="F1223">
        <v>1</v>
      </c>
      <c r="G1223">
        <v>0.1</v>
      </c>
      <c r="H1223" t="s">
        <v>622</v>
      </c>
      <c r="J1223" t="s">
        <v>623</v>
      </c>
      <c r="K1223" s="1"/>
      <c r="L1223" s="1">
        <v>46066.645949074074</v>
      </c>
      <c r="M1223" s="2">
        <v>46066</v>
      </c>
      <c r="N1223" t="s">
        <v>635</v>
      </c>
      <c r="O1223" t="s">
        <v>629</v>
      </c>
      <c r="P1223">
        <v>1</v>
      </c>
      <c r="Q1223">
        <v>0</v>
      </c>
      <c r="R1223">
        <v>110.04</v>
      </c>
      <c r="S1223" t="s">
        <v>267</v>
      </c>
      <c r="T1223" t="s">
        <v>778</v>
      </c>
    </row>
    <row r="1224" spans="1:20" x14ac:dyDescent="0.3">
      <c r="A1224">
        <v>1223</v>
      </c>
      <c r="B1224">
        <v>279</v>
      </c>
      <c r="C1224">
        <v>3</v>
      </c>
      <c r="D1224">
        <v>293.54000000000002</v>
      </c>
      <c r="E1224">
        <v>29.35</v>
      </c>
      <c r="F1224">
        <v>0</v>
      </c>
      <c r="G1224">
        <v>0.1</v>
      </c>
      <c r="H1224" t="s">
        <v>622</v>
      </c>
      <c r="J1224" t="s">
        <v>623</v>
      </c>
      <c r="K1224" s="1"/>
      <c r="L1224" s="1">
        <v>46066.754791666666</v>
      </c>
      <c r="M1224" s="2">
        <v>46066</v>
      </c>
      <c r="N1224" t="s">
        <v>635</v>
      </c>
      <c r="O1224" t="s">
        <v>625</v>
      </c>
      <c r="P1224">
        <v>1</v>
      </c>
      <c r="Q1224">
        <v>0</v>
      </c>
      <c r="R1224">
        <v>293.54000000000002</v>
      </c>
      <c r="S1224" t="s">
        <v>553</v>
      </c>
      <c r="T1224" t="s">
        <v>777</v>
      </c>
    </row>
    <row r="1225" spans="1:20" x14ac:dyDescent="0.3">
      <c r="A1225">
        <v>1224</v>
      </c>
      <c r="B1225">
        <v>156</v>
      </c>
      <c r="C1225">
        <v>4</v>
      </c>
      <c r="D1225">
        <v>39.020000000000003</v>
      </c>
      <c r="E1225">
        <v>3.9</v>
      </c>
      <c r="F1225">
        <v>0</v>
      </c>
      <c r="G1225">
        <v>0.1</v>
      </c>
      <c r="H1225" t="s">
        <v>622</v>
      </c>
      <c r="J1225" t="s">
        <v>623</v>
      </c>
      <c r="K1225" s="1"/>
      <c r="L1225" s="1">
        <v>46067.326990740738</v>
      </c>
      <c r="M1225" s="2">
        <v>46067</v>
      </c>
      <c r="N1225" t="s">
        <v>635</v>
      </c>
      <c r="O1225" t="s">
        <v>625</v>
      </c>
      <c r="P1225">
        <v>1</v>
      </c>
      <c r="Q1225">
        <v>0</v>
      </c>
      <c r="R1225">
        <v>39.020000000000003</v>
      </c>
      <c r="S1225" t="s">
        <v>307</v>
      </c>
      <c r="T1225" t="s">
        <v>778</v>
      </c>
    </row>
    <row r="1226" spans="1:20" x14ac:dyDescent="0.3">
      <c r="A1226">
        <v>1225</v>
      </c>
      <c r="B1226">
        <v>12</v>
      </c>
      <c r="C1226">
        <v>4</v>
      </c>
      <c r="D1226">
        <v>34.049999999999997</v>
      </c>
      <c r="E1226">
        <v>3.41</v>
      </c>
      <c r="F1226">
        <v>0</v>
      </c>
      <c r="G1226">
        <v>0.1</v>
      </c>
      <c r="H1226" t="s">
        <v>622</v>
      </c>
      <c r="J1226" t="s">
        <v>623</v>
      </c>
      <c r="K1226" s="1"/>
      <c r="L1226" s="1">
        <v>46067.330543981479</v>
      </c>
      <c r="M1226" s="2">
        <v>46067</v>
      </c>
      <c r="N1226" t="s">
        <v>635</v>
      </c>
      <c r="O1226" t="s">
        <v>625</v>
      </c>
      <c r="P1226">
        <v>1</v>
      </c>
      <c r="Q1226">
        <v>0</v>
      </c>
      <c r="R1226">
        <v>34.049999999999997</v>
      </c>
      <c r="S1226" t="s">
        <v>20</v>
      </c>
      <c r="T1226" t="s">
        <v>778</v>
      </c>
    </row>
    <row r="1227" spans="1:20" x14ac:dyDescent="0.3">
      <c r="A1227">
        <v>1226</v>
      </c>
      <c r="B1227">
        <v>227</v>
      </c>
      <c r="C1227">
        <v>2</v>
      </c>
      <c r="D1227">
        <v>42.6</v>
      </c>
      <c r="E1227">
        <v>4.26</v>
      </c>
      <c r="F1227">
        <v>0</v>
      </c>
      <c r="G1227">
        <v>0.1</v>
      </c>
      <c r="H1227" t="s">
        <v>622</v>
      </c>
      <c r="J1227" t="s">
        <v>623</v>
      </c>
      <c r="K1227" s="1"/>
      <c r="L1227" s="1">
        <v>46067.392094907409</v>
      </c>
      <c r="M1227" s="2">
        <v>46067</v>
      </c>
      <c r="N1227" t="s">
        <v>635</v>
      </c>
      <c r="O1227" t="s">
        <v>625</v>
      </c>
      <c r="P1227">
        <v>1</v>
      </c>
      <c r="Q1227">
        <v>0</v>
      </c>
      <c r="R1227">
        <v>42.6</v>
      </c>
      <c r="S1227" t="s">
        <v>449</v>
      </c>
      <c r="T1227" t="s">
        <v>776</v>
      </c>
    </row>
    <row r="1228" spans="1:20" x14ac:dyDescent="0.3">
      <c r="A1228">
        <v>1227</v>
      </c>
      <c r="B1228">
        <v>124</v>
      </c>
      <c r="C1228">
        <v>5</v>
      </c>
      <c r="D1228">
        <v>35.89</v>
      </c>
      <c r="E1228">
        <v>3.59</v>
      </c>
      <c r="F1228">
        <v>0</v>
      </c>
      <c r="G1228">
        <v>0.1</v>
      </c>
      <c r="H1228" t="s">
        <v>622</v>
      </c>
      <c r="J1228" t="s">
        <v>623</v>
      </c>
      <c r="K1228" s="1"/>
      <c r="L1228" s="1">
        <v>46067.402546296296</v>
      </c>
      <c r="M1228" s="2">
        <v>46067</v>
      </c>
      <c r="N1228" t="s">
        <v>635</v>
      </c>
      <c r="O1228" t="s">
        <v>625</v>
      </c>
      <c r="P1228">
        <v>1</v>
      </c>
      <c r="Q1228">
        <v>0</v>
      </c>
      <c r="R1228">
        <v>35.89</v>
      </c>
      <c r="S1228" t="s">
        <v>243</v>
      </c>
      <c r="T1228" t="s">
        <v>779</v>
      </c>
    </row>
    <row r="1229" spans="1:20" x14ac:dyDescent="0.3">
      <c r="A1229">
        <v>1228</v>
      </c>
      <c r="B1229">
        <v>304</v>
      </c>
      <c r="C1229">
        <v>4</v>
      </c>
      <c r="D1229">
        <v>49</v>
      </c>
      <c r="E1229">
        <v>4.9000000000000004</v>
      </c>
      <c r="F1229">
        <v>0</v>
      </c>
      <c r="G1229">
        <v>0.1</v>
      </c>
      <c r="H1229" t="s">
        <v>622</v>
      </c>
      <c r="J1229" t="s">
        <v>623</v>
      </c>
      <c r="K1229" s="1"/>
      <c r="L1229" s="1">
        <v>46067.424004629633</v>
      </c>
      <c r="M1229" s="2">
        <v>46067</v>
      </c>
      <c r="N1229" t="s">
        <v>635</v>
      </c>
      <c r="O1229" t="s">
        <v>625</v>
      </c>
      <c r="P1229">
        <v>1</v>
      </c>
      <c r="Q1229">
        <v>0</v>
      </c>
      <c r="R1229">
        <v>49</v>
      </c>
      <c r="S1229" t="s">
        <v>603</v>
      </c>
      <c r="T1229" t="s">
        <v>778</v>
      </c>
    </row>
    <row r="1230" spans="1:20" x14ac:dyDescent="0.3">
      <c r="A1230">
        <v>1229</v>
      </c>
      <c r="B1230">
        <v>168</v>
      </c>
      <c r="C1230">
        <v>4</v>
      </c>
      <c r="D1230">
        <v>27.14</v>
      </c>
      <c r="E1230">
        <v>2.71</v>
      </c>
      <c r="F1230">
        <v>0</v>
      </c>
      <c r="G1230">
        <v>0.1</v>
      </c>
      <c r="H1230" t="s">
        <v>626</v>
      </c>
      <c r="I1230">
        <v>5</v>
      </c>
      <c r="J1230" t="s">
        <v>631</v>
      </c>
      <c r="K1230" s="1">
        <v>46068.122465277775</v>
      </c>
      <c r="L1230" s="1">
        <v>46067.497465277775</v>
      </c>
      <c r="M1230" s="2">
        <v>46067</v>
      </c>
      <c r="N1230" t="s">
        <v>635</v>
      </c>
      <c r="O1230" t="s">
        <v>625</v>
      </c>
      <c r="P1230">
        <v>1</v>
      </c>
      <c r="Q1230">
        <v>1</v>
      </c>
      <c r="R1230">
        <v>0</v>
      </c>
      <c r="S1230" t="s">
        <v>331</v>
      </c>
      <c r="T1230" t="s">
        <v>778</v>
      </c>
    </row>
    <row r="1231" spans="1:20" x14ac:dyDescent="0.3">
      <c r="A1231">
        <v>1230</v>
      </c>
      <c r="B1231">
        <v>166</v>
      </c>
      <c r="C1231">
        <v>4</v>
      </c>
      <c r="D1231">
        <v>71.959999999999994</v>
      </c>
      <c r="E1231">
        <v>7.2</v>
      </c>
      <c r="F1231">
        <v>0</v>
      </c>
      <c r="G1231">
        <v>0.1</v>
      </c>
      <c r="H1231" t="s">
        <v>622</v>
      </c>
      <c r="J1231" t="s">
        <v>623</v>
      </c>
      <c r="K1231" s="1"/>
      <c r="L1231" s="1">
        <v>46067.537083333336</v>
      </c>
      <c r="M1231" s="2">
        <v>46067</v>
      </c>
      <c r="N1231" t="s">
        <v>635</v>
      </c>
      <c r="O1231" t="s">
        <v>625</v>
      </c>
      <c r="P1231">
        <v>1</v>
      </c>
      <c r="Q1231">
        <v>0</v>
      </c>
      <c r="R1231">
        <v>71.959999999999994</v>
      </c>
      <c r="S1231" t="s">
        <v>327</v>
      </c>
      <c r="T1231" t="s">
        <v>778</v>
      </c>
    </row>
    <row r="1232" spans="1:20" x14ac:dyDescent="0.3">
      <c r="A1232">
        <v>1231</v>
      </c>
      <c r="B1232">
        <v>87</v>
      </c>
      <c r="C1232">
        <v>5</v>
      </c>
      <c r="D1232">
        <v>90.47</v>
      </c>
      <c r="E1232">
        <v>9.0500000000000007</v>
      </c>
      <c r="F1232">
        <v>0</v>
      </c>
      <c r="G1232">
        <v>0.1</v>
      </c>
      <c r="H1232" t="s">
        <v>622</v>
      </c>
      <c r="J1232" t="s">
        <v>623</v>
      </c>
      <c r="K1232" s="1"/>
      <c r="L1232" s="1">
        <v>46067.611863425926</v>
      </c>
      <c r="M1232" s="2">
        <v>46067</v>
      </c>
      <c r="N1232" t="s">
        <v>635</v>
      </c>
      <c r="O1232" t="s">
        <v>625</v>
      </c>
      <c r="P1232">
        <v>1</v>
      </c>
      <c r="Q1232">
        <v>0</v>
      </c>
      <c r="R1232">
        <v>90.47</v>
      </c>
      <c r="S1232" t="s">
        <v>169</v>
      </c>
      <c r="T1232" t="s">
        <v>779</v>
      </c>
    </row>
    <row r="1233" spans="1:20" x14ac:dyDescent="0.3">
      <c r="A1233">
        <v>1232</v>
      </c>
      <c r="B1233">
        <v>252</v>
      </c>
      <c r="C1233">
        <v>5</v>
      </c>
      <c r="D1233">
        <v>22.81</v>
      </c>
      <c r="E1233">
        <v>2.2799999999999998</v>
      </c>
      <c r="F1233">
        <v>0</v>
      </c>
      <c r="G1233">
        <v>0.1</v>
      </c>
      <c r="H1233" t="s">
        <v>622</v>
      </c>
      <c r="J1233" t="s">
        <v>623</v>
      </c>
      <c r="K1233" s="1"/>
      <c r="L1233" s="1">
        <v>46067.697905092595</v>
      </c>
      <c r="M1233" s="2">
        <v>46067</v>
      </c>
      <c r="N1233" t="s">
        <v>635</v>
      </c>
      <c r="O1233" t="s">
        <v>625</v>
      </c>
      <c r="P1233">
        <v>1</v>
      </c>
      <c r="Q1233">
        <v>0</v>
      </c>
      <c r="R1233">
        <v>22.81</v>
      </c>
      <c r="S1233" t="s">
        <v>499</v>
      </c>
      <c r="T1233" t="s">
        <v>779</v>
      </c>
    </row>
    <row r="1234" spans="1:20" x14ac:dyDescent="0.3">
      <c r="A1234">
        <v>1233</v>
      </c>
      <c r="B1234">
        <v>29</v>
      </c>
      <c r="C1234">
        <v>3</v>
      </c>
      <c r="D1234">
        <v>34.07</v>
      </c>
      <c r="E1234">
        <v>3.41</v>
      </c>
      <c r="F1234">
        <v>0</v>
      </c>
      <c r="G1234">
        <v>0.1</v>
      </c>
      <c r="H1234" t="s">
        <v>622</v>
      </c>
      <c r="J1234" t="s">
        <v>623</v>
      </c>
      <c r="K1234" s="1"/>
      <c r="L1234" s="1">
        <v>46067.701701388891</v>
      </c>
      <c r="M1234" s="2">
        <v>46067</v>
      </c>
      <c r="N1234" t="s">
        <v>635</v>
      </c>
      <c r="O1234" t="s">
        <v>625</v>
      </c>
      <c r="P1234">
        <v>1</v>
      </c>
      <c r="Q1234">
        <v>0</v>
      </c>
      <c r="R1234">
        <v>34.07</v>
      </c>
      <c r="S1234" t="s">
        <v>54</v>
      </c>
      <c r="T1234" t="s">
        <v>777</v>
      </c>
    </row>
    <row r="1235" spans="1:20" x14ac:dyDescent="0.3">
      <c r="A1235">
        <v>1234</v>
      </c>
      <c r="B1235">
        <v>277</v>
      </c>
      <c r="C1235">
        <v>3</v>
      </c>
      <c r="D1235">
        <v>106.41</v>
      </c>
      <c r="E1235">
        <v>10.64</v>
      </c>
      <c r="F1235">
        <v>0</v>
      </c>
      <c r="G1235">
        <v>0.1</v>
      </c>
      <c r="H1235" t="s">
        <v>622</v>
      </c>
      <c r="J1235" t="s">
        <v>623</v>
      </c>
      <c r="K1235" s="1"/>
      <c r="L1235" s="1">
        <v>46067.723761574074</v>
      </c>
      <c r="M1235" s="2">
        <v>46067</v>
      </c>
      <c r="N1235" t="s">
        <v>635</v>
      </c>
      <c r="O1235" t="s">
        <v>625</v>
      </c>
      <c r="P1235">
        <v>1</v>
      </c>
      <c r="Q1235">
        <v>0</v>
      </c>
      <c r="R1235">
        <v>106.41</v>
      </c>
      <c r="S1235" t="s">
        <v>549</v>
      </c>
      <c r="T1235" t="s">
        <v>777</v>
      </c>
    </row>
    <row r="1236" spans="1:20" x14ac:dyDescent="0.3">
      <c r="A1236">
        <v>1235</v>
      </c>
      <c r="B1236">
        <v>13</v>
      </c>
      <c r="C1236">
        <v>4</v>
      </c>
      <c r="D1236">
        <v>24.59</v>
      </c>
      <c r="E1236">
        <v>0</v>
      </c>
      <c r="F1236">
        <v>1</v>
      </c>
      <c r="G1236">
        <v>0.1</v>
      </c>
      <c r="H1236" t="s">
        <v>622</v>
      </c>
      <c r="J1236" t="s">
        <v>623</v>
      </c>
      <c r="K1236" s="1"/>
      <c r="L1236" s="1">
        <v>46067.749398148146</v>
      </c>
      <c r="M1236" s="2">
        <v>46067</v>
      </c>
      <c r="N1236" t="s">
        <v>635</v>
      </c>
      <c r="O1236" t="s">
        <v>629</v>
      </c>
      <c r="P1236">
        <v>1</v>
      </c>
      <c r="Q1236">
        <v>0</v>
      </c>
      <c r="R1236">
        <v>24.59</v>
      </c>
      <c r="S1236" t="s">
        <v>22</v>
      </c>
      <c r="T1236" t="s">
        <v>778</v>
      </c>
    </row>
    <row r="1237" spans="1:20" x14ac:dyDescent="0.3">
      <c r="A1237">
        <v>1236</v>
      </c>
      <c r="B1237">
        <v>178</v>
      </c>
      <c r="C1237">
        <v>4</v>
      </c>
      <c r="D1237">
        <v>121.1</v>
      </c>
      <c r="E1237">
        <v>12.11</v>
      </c>
      <c r="F1237">
        <v>0</v>
      </c>
      <c r="G1237">
        <v>0.1</v>
      </c>
      <c r="H1237" t="s">
        <v>622</v>
      </c>
      <c r="J1237" t="s">
        <v>623</v>
      </c>
      <c r="K1237" s="1"/>
      <c r="L1237" s="1">
        <v>46067.762164351851</v>
      </c>
      <c r="M1237" s="2">
        <v>46067</v>
      </c>
      <c r="N1237" t="s">
        <v>635</v>
      </c>
      <c r="O1237" t="s">
        <v>625</v>
      </c>
      <c r="P1237">
        <v>1</v>
      </c>
      <c r="Q1237">
        <v>0</v>
      </c>
      <c r="R1237">
        <v>121.1</v>
      </c>
      <c r="S1237" t="s">
        <v>351</v>
      </c>
      <c r="T1237" t="s">
        <v>778</v>
      </c>
    </row>
    <row r="1238" spans="1:20" x14ac:dyDescent="0.3">
      <c r="A1238">
        <v>1237</v>
      </c>
      <c r="B1238">
        <v>16</v>
      </c>
      <c r="C1238">
        <v>5</v>
      </c>
      <c r="D1238">
        <v>175.5</v>
      </c>
      <c r="E1238">
        <v>17.55</v>
      </c>
      <c r="F1238">
        <v>0</v>
      </c>
      <c r="G1238">
        <v>0.1</v>
      </c>
      <c r="H1238" t="s">
        <v>622</v>
      </c>
      <c r="J1238" t="s">
        <v>623</v>
      </c>
      <c r="K1238" s="1"/>
      <c r="L1238" s="1">
        <v>46067.77616898148</v>
      </c>
      <c r="M1238" s="2">
        <v>46067</v>
      </c>
      <c r="N1238" t="s">
        <v>635</v>
      </c>
      <c r="O1238" t="s">
        <v>625</v>
      </c>
      <c r="P1238">
        <v>1</v>
      </c>
      <c r="Q1238">
        <v>0</v>
      </c>
      <c r="R1238">
        <v>175.5</v>
      </c>
      <c r="S1238" t="s">
        <v>28</v>
      </c>
      <c r="T1238" t="s">
        <v>779</v>
      </c>
    </row>
    <row r="1239" spans="1:20" x14ac:dyDescent="0.3">
      <c r="A1239">
        <v>1238</v>
      </c>
      <c r="B1239">
        <v>49</v>
      </c>
      <c r="C1239">
        <v>5</v>
      </c>
      <c r="D1239">
        <v>113.8</v>
      </c>
      <c r="E1239">
        <v>11.38</v>
      </c>
      <c r="F1239">
        <v>0</v>
      </c>
      <c r="G1239">
        <v>0.1</v>
      </c>
      <c r="H1239" t="s">
        <v>622</v>
      </c>
      <c r="J1239" t="s">
        <v>623</v>
      </c>
      <c r="K1239" s="1"/>
      <c r="L1239" s="1">
        <v>46068.372291666667</v>
      </c>
      <c r="M1239" s="2">
        <v>46068</v>
      </c>
      <c r="N1239" t="s">
        <v>635</v>
      </c>
      <c r="O1239" t="s">
        <v>625</v>
      </c>
      <c r="P1239">
        <v>1</v>
      </c>
      <c r="Q1239">
        <v>0</v>
      </c>
      <c r="R1239">
        <v>113.8</v>
      </c>
      <c r="S1239" t="s">
        <v>94</v>
      </c>
      <c r="T1239" t="s">
        <v>779</v>
      </c>
    </row>
    <row r="1240" spans="1:20" x14ac:dyDescent="0.3">
      <c r="A1240">
        <v>1239</v>
      </c>
      <c r="B1240">
        <v>221</v>
      </c>
      <c r="C1240">
        <v>4</v>
      </c>
      <c r="D1240">
        <v>194.38</v>
      </c>
      <c r="E1240">
        <v>19.440000000000001</v>
      </c>
      <c r="F1240">
        <v>0</v>
      </c>
      <c r="G1240">
        <v>0.1</v>
      </c>
      <c r="H1240" t="s">
        <v>622</v>
      </c>
      <c r="J1240" t="s">
        <v>623</v>
      </c>
      <c r="K1240" s="1"/>
      <c r="L1240" s="1">
        <v>46068.395462962966</v>
      </c>
      <c r="M1240" s="2">
        <v>46068</v>
      </c>
      <c r="N1240" t="s">
        <v>635</v>
      </c>
      <c r="O1240" t="s">
        <v>625</v>
      </c>
      <c r="P1240">
        <v>1</v>
      </c>
      <c r="Q1240">
        <v>0</v>
      </c>
      <c r="R1240">
        <v>194.38</v>
      </c>
      <c r="S1240" t="s">
        <v>437</v>
      </c>
      <c r="T1240" t="s">
        <v>778</v>
      </c>
    </row>
    <row r="1241" spans="1:20" x14ac:dyDescent="0.3">
      <c r="A1241">
        <v>1240</v>
      </c>
      <c r="B1241">
        <v>136</v>
      </c>
      <c r="C1241">
        <v>2</v>
      </c>
      <c r="D1241">
        <v>82.04</v>
      </c>
      <c r="E1241">
        <v>8.1999999999999993</v>
      </c>
      <c r="F1241">
        <v>0</v>
      </c>
      <c r="G1241">
        <v>0.1</v>
      </c>
      <c r="H1241" t="s">
        <v>622</v>
      </c>
      <c r="J1241" t="s">
        <v>623</v>
      </c>
      <c r="K1241" s="1"/>
      <c r="L1241" s="1">
        <v>46068.406493055554</v>
      </c>
      <c r="M1241" s="2">
        <v>46068</v>
      </c>
      <c r="N1241" t="s">
        <v>635</v>
      </c>
      <c r="O1241" t="s">
        <v>625</v>
      </c>
      <c r="P1241">
        <v>1</v>
      </c>
      <c r="Q1241">
        <v>0</v>
      </c>
      <c r="R1241">
        <v>82.04</v>
      </c>
      <c r="S1241" t="s">
        <v>267</v>
      </c>
      <c r="T1241" t="s">
        <v>776</v>
      </c>
    </row>
    <row r="1242" spans="1:20" x14ac:dyDescent="0.3">
      <c r="A1242">
        <v>1241</v>
      </c>
      <c r="B1242">
        <v>44</v>
      </c>
      <c r="C1242">
        <v>3</v>
      </c>
      <c r="D1242">
        <v>26.4</v>
      </c>
      <c r="E1242">
        <v>2.64</v>
      </c>
      <c r="F1242">
        <v>0</v>
      </c>
      <c r="G1242">
        <v>0.1</v>
      </c>
      <c r="H1242" t="s">
        <v>622</v>
      </c>
      <c r="J1242" t="s">
        <v>623</v>
      </c>
      <c r="K1242" s="1"/>
      <c r="L1242" s="1">
        <v>46068.407037037039</v>
      </c>
      <c r="M1242" s="2">
        <v>46068</v>
      </c>
      <c r="N1242" t="s">
        <v>635</v>
      </c>
      <c r="O1242" t="s">
        <v>625</v>
      </c>
      <c r="P1242">
        <v>1</v>
      </c>
      <c r="Q1242">
        <v>0</v>
      </c>
      <c r="R1242">
        <v>26.4</v>
      </c>
      <c r="S1242" t="s">
        <v>84</v>
      </c>
      <c r="T1242" t="s">
        <v>777</v>
      </c>
    </row>
    <row r="1243" spans="1:20" x14ac:dyDescent="0.3">
      <c r="A1243">
        <v>1242</v>
      </c>
      <c r="B1243">
        <v>124</v>
      </c>
      <c r="C1243">
        <v>2</v>
      </c>
      <c r="D1243">
        <v>15.05</v>
      </c>
      <c r="E1243">
        <v>1.51</v>
      </c>
      <c r="F1243">
        <v>0</v>
      </c>
      <c r="G1243">
        <v>0.1</v>
      </c>
      <c r="H1243" t="s">
        <v>622</v>
      </c>
      <c r="J1243" t="s">
        <v>623</v>
      </c>
      <c r="K1243" s="1"/>
      <c r="L1243" s="1">
        <v>46068.457615740743</v>
      </c>
      <c r="M1243" s="2">
        <v>46068</v>
      </c>
      <c r="N1243" t="s">
        <v>635</v>
      </c>
      <c r="O1243" t="s">
        <v>625</v>
      </c>
      <c r="P1243">
        <v>1</v>
      </c>
      <c r="Q1243">
        <v>0</v>
      </c>
      <c r="R1243">
        <v>15.05</v>
      </c>
      <c r="S1243" t="s">
        <v>243</v>
      </c>
      <c r="T1243" t="s">
        <v>776</v>
      </c>
    </row>
    <row r="1244" spans="1:20" x14ac:dyDescent="0.3">
      <c r="A1244">
        <v>1243</v>
      </c>
      <c r="B1244">
        <v>87</v>
      </c>
      <c r="C1244">
        <v>5</v>
      </c>
      <c r="D1244">
        <v>104.05</v>
      </c>
      <c r="E1244">
        <v>10.41</v>
      </c>
      <c r="F1244">
        <v>0</v>
      </c>
      <c r="G1244">
        <v>0.1</v>
      </c>
      <c r="H1244" t="s">
        <v>622</v>
      </c>
      <c r="J1244" t="s">
        <v>623</v>
      </c>
      <c r="K1244" s="1"/>
      <c r="L1244" s="1">
        <v>46068.476238425923</v>
      </c>
      <c r="M1244" s="2">
        <v>46068</v>
      </c>
      <c r="N1244" t="s">
        <v>635</v>
      </c>
      <c r="O1244" t="s">
        <v>625</v>
      </c>
      <c r="P1244">
        <v>1</v>
      </c>
      <c r="Q1244">
        <v>0</v>
      </c>
      <c r="R1244">
        <v>104.05</v>
      </c>
      <c r="S1244" t="s">
        <v>169</v>
      </c>
      <c r="T1244" t="s">
        <v>779</v>
      </c>
    </row>
    <row r="1245" spans="1:20" x14ac:dyDescent="0.3">
      <c r="A1245">
        <v>1244</v>
      </c>
      <c r="B1245">
        <v>156</v>
      </c>
      <c r="C1245">
        <v>3</v>
      </c>
      <c r="D1245">
        <v>55.54</v>
      </c>
      <c r="E1245">
        <v>5.55</v>
      </c>
      <c r="F1245">
        <v>0</v>
      </c>
      <c r="G1245">
        <v>0.1</v>
      </c>
      <c r="H1245" t="s">
        <v>622</v>
      </c>
      <c r="J1245" t="s">
        <v>623</v>
      </c>
      <c r="K1245" s="1"/>
      <c r="L1245" s="1">
        <v>46068.650057870371</v>
      </c>
      <c r="M1245" s="2">
        <v>46068</v>
      </c>
      <c r="N1245" t="s">
        <v>635</v>
      </c>
      <c r="O1245" t="s">
        <v>625</v>
      </c>
      <c r="P1245">
        <v>1</v>
      </c>
      <c r="Q1245">
        <v>0</v>
      </c>
      <c r="R1245">
        <v>55.54</v>
      </c>
      <c r="S1245" t="s">
        <v>307</v>
      </c>
      <c r="T1245" t="s">
        <v>777</v>
      </c>
    </row>
    <row r="1246" spans="1:20" x14ac:dyDescent="0.3">
      <c r="A1246">
        <v>1245</v>
      </c>
      <c r="B1246">
        <v>20</v>
      </c>
      <c r="C1246">
        <v>3</v>
      </c>
      <c r="D1246">
        <v>36.479999999999997</v>
      </c>
      <c r="E1246">
        <v>3.65</v>
      </c>
      <c r="F1246">
        <v>0</v>
      </c>
      <c r="G1246">
        <v>0.1</v>
      </c>
      <c r="H1246" t="s">
        <v>622</v>
      </c>
      <c r="J1246" t="s">
        <v>623</v>
      </c>
      <c r="K1246" s="1"/>
      <c r="L1246" s="1">
        <v>46068.660995370374</v>
      </c>
      <c r="M1246" s="2">
        <v>46068</v>
      </c>
      <c r="N1246" t="s">
        <v>635</v>
      </c>
      <c r="O1246" t="s">
        <v>625</v>
      </c>
      <c r="P1246">
        <v>1</v>
      </c>
      <c r="Q1246">
        <v>0</v>
      </c>
      <c r="R1246">
        <v>36.479999999999997</v>
      </c>
      <c r="S1246" t="s">
        <v>36</v>
      </c>
      <c r="T1246" t="s">
        <v>777</v>
      </c>
    </row>
    <row r="1247" spans="1:20" x14ac:dyDescent="0.3">
      <c r="A1247">
        <v>1246</v>
      </c>
      <c r="B1247">
        <v>302</v>
      </c>
      <c r="C1247">
        <v>3</v>
      </c>
      <c r="D1247">
        <v>34.08</v>
      </c>
      <c r="E1247">
        <v>3.41</v>
      </c>
      <c r="F1247">
        <v>0</v>
      </c>
      <c r="G1247">
        <v>0.1</v>
      </c>
      <c r="H1247" t="s">
        <v>622</v>
      </c>
      <c r="J1247" t="s">
        <v>623</v>
      </c>
      <c r="K1247" s="1"/>
      <c r="L1247" s="1">
        <v>46068.692881944444</v>
      </c>
      <c r="M1247" s="2">
        <v>46068</v>
      </c>
      <c r="N1247" t="s">
        <v>635</v>
      </c>
      <c r="O1247" t="s">
        <v>625</v>
      </c>
      <c r="P1247">
        <v>1</v>
      </c>
      <c r="Q1247">
        <v>0</v>
      </c>
      <c r="R1247">
        <v>34.08</v>
      </c>
      <c r="S1247" t="s">
        <v>599</v>
      </c>
      <c r="T1247" t="s">
        <v>777</v>
      </c>
    </row>
    <row r="1248" spans="1:20" x14ac:dyDescent="0.3">
      <c r="A1248">
        <v>1247</v>
      </c>
      <c r="B1248">
        <v>16</v>
      </c>
      <c r="C1248">
        <v>2</v>
      </c>
      <c r="D1248">
        <v>187.87</v>
      </c>
      <c r="E1248">
        <v>18.79</v>
      </c>
      <c r="F1248">
        <v>0</v>
      </c>
      <c r="G1248">
        <v>0.1</v>
      </c>
      <c r="H1248" t="s">
        <v>622</v>
      </c>
      <c r="J1248" t="s">
        <v>623</v>
      </c>
      <c r="K1248" s="1"/>
      <c r="L1248" s="1">
        <v>46068.808333333334</v>
      </c>
      <c r="M1248" s="2">
        <v>46068</v>
      </c>
      <c r="N1248" t="s">
        <v>635</v>
      </c>
      <c r="O1248" t="s">
        <v>625</v>
      </c>
      <c r="P1248">
        <v>1</v>
      </c>
      <c r="Q1248">
        <v>0</v>
      </c>
      <c r="R1248">
        <v>187.87</v>
      </c>
      <c r="S1248" t="s">
        <v>28</v>
      </c>
      <c r="T1248" t="s">
        <v>776</v>
      </c>
    </row>
    <row r="1249" spans="1:20" x14ac:dyDescent="0.3">
      <c r="A1249">
        <v>1248</v>
      </c>
      <c r="B1249">
        <v>131</v>
      </c>
      <c r="C1249">
        <v>5</v>
      </c>
      <c r="D1249">
        <v>297.33</v>
      </c>
      <c r="E1249">
        <v>29.73</v>
      </c>
      <c r="F1249">
        <v>0</v>
      </c>
      <c r="G1249">
        <v>0.1</v>
      </c>
      <c r="H1249" t="s">
        <v>626</v>
      </c>
      <c r="I1249">
        <v>5</v>
      </c>
      <c r="J1249" t="s">
        <v>632</v>
      </c>
      <c r="K1249" s="1">
        <v>46070.231585648151</v>
      </c>
      <c r="L1249" s="1">
        <v>46069.356585648151</v>
      </c>
      <c r="M1249" s="2">
        <v>46069</v>
      </c>
      <c r="N1249" t="s">
        <v>635</v>
      </c>
      <c r="O1249" t="s">
        <v>625</v>
      </c>
      <c r="P1249">
        <v>1</v>
      </c>
      <c r="Q1249">
        <v>1</v>
      </c>
      <c r="R1249">
        <v>0</v>
      </c>
      <c r="S1249" t="s">
        <v>257</v>
      </c>
      <c r="T1249" t="s">
        <v>779</v>
      </c>
    </row>
    <row r="1250" spans="1:20" x14ac:dyDescent="0.3">
      <c r="A1250">
        <v>1249</v>
      </c>
      <c r="B1250">
        <v>39</v>
      </c>
      <c r="C1250">
        <v>4</v>
      </c>
      <c r="D1250">
        <v>227.56</v>
      </c>
      <c r="E1250">
        <v>22.76</v>
      </c>
      <c r="F1250">
        <v>0</v>
      </c>
      <c r="G1250">
        <v>0.1</v>
      </c>
      <c r="H1250" t="s">
        <v>622</v>
      </c>
      <c r="J1250" t="s">
        <v>623</v>
      </c>
      <c r="K1250" s="1"/>
      <c r="L1250" s="1">
        <v>46069.402314814812</v>
      </c>
      <c r="M1250" s="2">
        <v>46069</v>
      </c>
      <c r="N1250" t="s">
        <v>635</v>
      </c>
      <c r="O1250" t="s">
        <v>625</v>
      </c>
      <c r="P1250">
        <v>1</v>
      </c>
      <c r="Q1250">
        <v>0</v>
      </c>
      <c r="R1250">
        <v>227.56</v>
      </c>
      <c r="S1250" t="s">
        <v>74</v>
      </c>
      <c r="T1250" t="s">
        <v>778</v>
      </c>
    </row>
    <row r="1251" spans="1:20" x14ac:dyDescent="0.3">
      <c r="A1251">
        <v>1250</v>
      </c>
      <c r="B1251">
        <v>136</v>
      </c>
      <c r="C1251">
        <v>2</v>
      </c>
      <c r="D1251">
        <v>126.26</v>
      </c>
      <c r="E1251">
        <v>12.63</v>
      </c>
      <c r="F1251">
        <v>0</v>
      </c>
      <c r="G1251">
        <v>0.1</v>
      </c>
      <c r="H1251" t="s">
        <v>622</v>
      </c>
      <c r="J1251" t="s">
        <v>623</v>
      </c>
      <c r="K1251" s="1"/>
      <c r="L1251" s="1">
        <v>46069.403958333336</v>
      </c>
      <c r="M1251" s="2">
        <v>46069</v>
      </c>
      <c r="N1251" t="s">
        <v>635</v>
      </c>
      <c r="O1251" t="s">
        <v>625</v>
      </c>
      <c r="P1251">
        <v>1</v>
      </c>
      <c r="Q1251">
        <v>0</v>
      </c>
      <c r="R1251">
        <v>126.26</v>
      </c>
      <c r="S1251" t="s">
        <v>267</v>
      </c>
      <c r="T1251" t="s">
        <v>776</v>
      </c>
    </row>
    <row r="1252" spans="1:20" x14ac:dyDescent="0.3">
      <c r="A1252">
        <v>1251</v>
      </c>
      <c r="B1252">
        <v>39</v>
      </c>
      <c r="C1252">
        <v>2</v>
      </c>
      <c r="D1252">
        <v>199.33</v>
      </c>
      <c r="E1252">
        <v>19.93</v>
      </c>
      <c r="F1252">
        <v>0</v>
      </c>
      <c r="G1252">
        <v>0.1</v>
      </c>
      <c r="H1252" t="s">
        <v>622</v>
      </c>
      <c r="J1252" t="s">
        <v>623</v>
      </c>
      <c r="K1252" s="1"/>
      <c r="L1252" s="1">
        <v>46069.467847222222</v>
      </c>
      <c r="M1252" s="2">
        <v>46069</v>
      </c>
      <c r="N1252" t="s">
        <v>635</v>
      </c>
      <c r="O1252" t="s">
        <v>625</v>
      </c>
      <c r="P1252">
        <v>1</v>
      </c>
      <c r="Q1252">
        <v>0</v>
      </c>
      <c r="R1252">
        <v>199.33</v>
      </c>
      <c r="S1252" t="s">
        <v>74</v>
      </c>
      <c r="T1252" t="s">
        <v>776</v>
      </c>
    </row>
    <row r="1253" spans="1:20" x14ac:dyDescent="0.3">
      <c r="A1253">
        <v>1252</v>
      </c>
      <c r="B1253">
        <v>55</v>
      </c>
      <c r="C1253">
        <v>5</v>
      </c>
      <c r="D1253">
        <v>21.72</v>
      </c>
      <c r="E1253">
        <v>2.17</v>
      </c>
      <c r="F1253">
        <v>0</v>
      </c>
      <c r="G1253">
        <v>0.1</v>
      </c>
      <c r="H1253" t="s">
        <v>622</v>
      </c>
      <c r="J1253" t="s">
        <v>623</v>
      </c>
      <c r="K1253" s="1"/>
      <c r="L1253" s="1">
        <v>46069.589328703703</v>
      </c>
      <c r="M1253" s="2">
        <v>46069</v>
      </c>
      <c r="N1253" t="s">
        <v>635</v>
      </c>
      <c r="O1253" t="s">
        <v>625</v>
      </c>
      <c r="P1253">
        <v>1</v>
      </c>
      <c r="Q1253">
        <v>0</v>
      </c>
      <c r="R1253">
        <v>21.72</v>
      </c>
      <c r="S1253" t="s">
        <v>106</v>
      </c>
      <c r="T1253" t="s">
        <v>779</v>
      </c>
    </row>
    <row r="1254" spans="1:20" x14ac:dyDescent="0.3">
      <c r="A1254">
        <v>1253</v>
      </c>
      <c r="B1254">
        <v>150</v>
      </c>
      <c r="C1254">
        <v>4</v>
      </c>
      <c r="D1254">
        <v>58.48</v>
      </c>
      <c r="E1254">
        <v>5.85</v>
      </c>
      <c r="F1254">
        <v>0</v>
      </c>
      <c r="G1254">
        <v>0.1</v>
      </c>
      <c r="H1254" t="s">
        <v>622</v>
      </c>
      <c r="J1254" t="s">
        <v>623</v>
      </c>
      <c r="K1254" s="1"/>
      <c r="L1254" s="1">
        <v>46069.721006944441</v>
      </c>
      <c r="M1254" s="2">
        <v>46069</v>
      </c>
      <c r="N1254" t="s">
        <v>635</v>
      </c>
      <c r="O1254" t="s">
        <v>625</v>
      </c>
      <c r="P1254">
        <v>1</v>
      </c>
      <c r="Q1254">
        <v>0</v>
      </c>
      <c r="R1254">
        <v>58.48</v>
      </c>
      <c r="S1254" t="s">
        <v>295</v>
      </c>
      <c r="T1254" t="s">
        <v>778</v>
      </c>
    </row>
    <row r="1255" spans="1:20" x14ac:dyDescent="0.3">
      <c r="A1255">
        <v>1254</v>
      </c>
      <c r="B1255">
        <v>56</v>
      </c>
      <c r="C1255">
        <v>4</v>
      </c>
      <c r="D1255">
        <v>114.62</v>
      </c>
      <c r="E1255">
        <v>11.46</v>
      </c>
      <c r="F1255">
        <v>0</v>
      </c>
      <c r="G1255">
        <v>0.1</v>
      </c>
      <c r="H1255" t="s">
        <v>622</v>
      </c>
      <c r="J1255" t="s">
        <v>623</v>
      </c>
      <c r="K1255" s="1"/>
      <c r="L1255" s="1">
        <v>46069.812256944446</v>
      </c>
      <c r="M1255" s="2">
        <v>46069</v>
      </c>
      <c r="N1255" t="s">
        <v>635</v>
      </c>
      <c r="O1255" t="s">
        <v>625</v>
      </c>
      <c r="P1255">
        <v>1</v>
      </c>
      <c r="Q1255">
        <v>0</v>
      </c>
      <c r="R1255">
        <v>114.62</v>
      </c>
      <c r="S1255" t="s">
        <v>108</v>
      </c>
      <c r="T1255" t="s">
        <v>778</v>
      </c>
    </row>
    <row r="1256" spans="1:20" x14ac:dyDescent="0.3">
      <c r="A1256">
        <v>1255</v>
      </c>
      <c r="B1256">
        <v>39</v>
      </c>
      <c r="C1256">
        <v>3</v>
      </c>
      <c r="D1256">
        <v>166.59</v>
      </c>
      <c r="E1256">
        <v>16.66</v>
      </c>
      <c r="F1256">
        <v>0</v>
      </c>
      <c r="G1256">
        <v>0.1</v>
      </c>
      <c r="H1256" t="s">
        <v>622</v>
      </c>
      <c r="J1256" t="s">
        <v>623</v>
      </c>
      <c r="K1256" s="1"/>
      <c r="L1256" s="1">
        <v>46070.318923611114</v>
      </c>
      <c r="M1256" s="2">
        <v>46070</v>
      </c>
      <c r="N1256" t="s">
        <v>635</v>
      </c>
      <c r="O1256" t="s">
        <v>625</v>
      </c>
      <c r="P1256">
        <v>1</v>
      </c>
      <c r="Q1256">
        <v>0</v>
      </c>
      <c r="R1256">
        <v>166.59</v>
      </c>
      <c r="S1256" t="s">
        <v>74</v>
      </c>
      <c r="T1256" t="s">
        <v>777</v>
      </c>
    </row>
    <row r="1257" spans="1:20" x14ac:dyDescent="0.3">
      <c r="A1257">
        <v>1256</v>
      </c>
      <c r="B1257">
        <v>141</v>
      </c>
      <c r="C1257">
        <v>5</v>
      </c>
      <c r="D1257">
        <v>188.15</v>
      </c>
      <c r="E1257">
        <v>18.82</v>
      </c>
      <c r="F1257">
        <v>0</v>
      </c>
      <c r="G1257">
        <v>0.1</v>
      </c>
      <c r="H1257" t="s">
        <v>622</v>
      </c>
      <c r="J1257" t="s">
        <v>623</v>
      </c>
      <c r="K1257" s="1"/>
      <c r="L1257" s="1">
        <v>46070.380972222221</v>
      </c>
      <c r="M1257" s="2">
        <v>46070</v>
      </c>
      <c r="N1257" t="s">
        <v>635</v>
      </c>
      <c r="O1257" t="s">
        <v>625</v>
      </c>
      <c r="P1257">
        <v>1</v>
      </c>
      <c r="Q1257">
        <v>0</v>
      </c>
      <c r="R1257">
        <v>188.15</v>
      </c>
      <c r="S1257" t="s">
        <v>277</v>
      </c>
      <c r="T1257" t="s">
        <v>779</v>
      </c>
    </row>
    <row r="1258" spans="1:20" x14ac:dyDescent="0.3">
      <c r="A1258">
        <v>1257</v>
      </c>
      <c r="B1258">
        <v>241</v>
      </c>
      <c r="C1258">
        <v>3</v>
      </c>
      <c r="D1258">
        <v>29.55</v>
      </c>
      <c r="E1258">
        <v>2.96</v>
      </c>
      <c r="F1258">
        <v>0</v>
      </c>
      <c r="G1258">
        <v>0.1</v>
      </c>
      <c r="H1258" t="s">
        <v>622</v>
      </c>
      <c r="J1258" t="s">
        <v>623</v>
      </c>
      <c r="K1258" s="1"/>
      <c r="L1258" s="1">
        <v>46070.390740740739</v>
      </c>
      <c r="M1258" s="2">
        <v>46070</v>
      </c>
      <c r="N1258" t="s">
        <v>635</v>
      </c>
      <c r="O1258" t="s">
        <v>625</v>
      </c>
      <c r="P1258">
        <v>1</v>
      </c>
      <c r="Q1258">
        <v>0</v>
      </c>
      <c r="R1258">
        <v>29.55</v>
      </c>
      <c r="S1258" t="s">
        <v>477</v>
      </c>
      <c r="T1258" t="s">
        <v>777</v>
      </c>
    </row>
    <row r="1259" spans="1:20" x14ac:dyDescent="0.3">
      <c r="A1259">
        <v>1258</v>
      </c>
      <c r="B1259">
        <v>151</v>
      </c>
      <c r="C1259">
        <v>2</v>
      </c>
      <c r="D1259">
        <v>158.59</v>
      </c>
      <c r="E1259">
        <v>15.86</v>
      </c>
      <c r="F1259">
        <v>0</v>
      </c>
      <c r="G1259">
        <v>0.1</v>
      </c>
      <c r="H1259" t="s">
        <v>622</v>
      </c>
      <c r="J1259" t="s">
        <v>623</v>
      </c>
      <c r="K1259" s="1"/>
      <c r="L1259" s="1">
        <v>46070.595312500001</v>
      </c>
      <c r="M1259" s="2">
        <v>46070</v>
      </c>
      <c r="N1259" t="s">
        <v>635</v>
      </c>
      <c r="O1259" t="s">
        <v>625</v>
      </c>
      <c r="P1259">
        <v>1</v>
      </c>
      <c r="Q1259">
        <v>0</v>
      </c>
      <c r="R1259">
        <v>158.59</v>
      </c>
      <c r="S1259" t="s">
        <v>297</v>
      </c>
      <c r="T1259" t="s">
        <v>776</v>
      </c>
    </row>
    <row r="1260" spans="1:20" x14ac:dyDescent="0.3">
      <c r="A1260">
        <v>1259</v>
      </c>
      <c r="B1260">
        <v>21</v>
      </c>
      <c r="C1260">
        <v>4</v>
      </c>
      <c r="D1260">
        <v>39.520000000000003</v>
      </c>
      <c r="E1260">
        <v>3.95</v>
      </c>
      <c r="F1260">
        <v>0</v>
      </c>
      <c r="G1260">
        <v>0.1</v>
      </c>
      <c r="H1260" t="s">
        <v>622</v>
      </c>
      <c r="J1260" t="s">
        <v>623</v>
      </c>
      <c r="K1260" s="1"/>
      <c r="L1260" s="1">
        <v>46070.671793981484</v>
      </c>
      <c r="M1260" s="2">
        <v>46070</v>
      </c>
      <c r="N1260" t="s">
        <v>635</v>
      </c>
      <c r="O1260" t="s">
        <v>625</v>
      </c>
      <c r="P1260">
        <v>1</v>
      </c>
      <c r="Q1260">
        <v>0</v>
      </c>
      <c r="R1260">
        <v>39.520000000000003</v>
      </c>
      <c r="S1260" t="s">
        <v>38</v>
      </c>
      <c r="T1260" t="s">
        <v>778</v>
      </c>
    </row>
    <row r="1261" spans="1:20" x14ac:dyDescent="0.3">
      <c r="A1261">
        <v>1260</v>
      </c>
      <c r="B1261">
        <v>217</v>
      </c>
      <c r="C1261">
        <v>4</v>
      </c>
      <c r="D1261">
        <v>21.67</v>
      </c>
      <c r="E1261">
        <v>2.17</v>
      </c>
      <c r="F1261">
        <v>0</v>
      </c>
      <c r="G1261">
        <v>0.1</v>
      </c>
      <c r="H1261" t="s">
        <v>622</v>
      </c>
      <c r="J1261" t="s">
        <v>623</v>
      </c>
      <c r="K1261" s="1"/>
      <c r="L1261" s="1">
        <v>46070.722905092596</v>
      </c>
      <c r="M1261" s="2">
        <v>46070</v>
      </c>
      <c r="N1261" t="s">
        <v>635</v>
      </c>
      <c r="O1261" t="s">
        <v>625</v>
      </c>
      <c r="P1261">
        <v>1</v>
      </c>
      <c r="Q1261">
        <v>0</v>
      </c>
      <c r="R1261">
        <v>21.67</v>
      </c>
      <c r="S1261" t="s">
        <v>429</v>
      </c>
      <c r="T1261" t="s">
        <v>778</v>
      </c>
    </row>
    <row r="1262" spans="1:20" x14ac:dyDescent="0.3">
      <c r="A1262">
        <v>1261</v>
      </c>
      <c r="B1262">
        <v>253</v>
      </c>
      <c r="C1262">
        <v>3</v>
      </c>
      <c r="D1262">
        <v>31.93</v>
      </c>
      <c r="E1262">
        <v>3.19</v>
      </c>
      <c r="F1262">
        <v>0</v>
      </c>
      <c r="G1262">
        <v>0.1</v>
      </c>
      <c r="H1262" t="s">
        <v>622</v>
      </c>
      <c r="J1262" t="s">
        <v>623</v>
      </c>
      <c r="K1262" s="1"/>
      <c r="L1262" s="1">
        <v>46071.312430555554</v>
      </c>
      <c r="M1262" s="2">
        <v>46071</v>
      </c>
      <c r="N1262" t="s">
        <v>635</v>
      </c>
      <c r="O1262" t="s">
        <v>625</v>
      </c>
      <c r="P1262">
        <v>1</v>
      </c>
      <c r="Q1262">
        <v>0</v>
      </c>
      <c r="R1262">
        <v>31.93</v>
      </c>
      <c r="S1262" t="s">
        <v>501</v>
      </c>
      <c r="T1262" t="s">
        <v>777</v>
      </c>
    </row>
    <row r="1263" spans="1:20" x14ac:dyDescent="0.3">
      <c r="A1263">
        <v>1262</v>
      </c>
      <c r="B1263">
        <v>16</v>
      </c>
      <c r="C1263">
        <v>2</v>
      </c>
      <c r="D1263">
        <v>142.66999999999999</v>
      </c>
      <c r="E1263">
        <v>14.27</v>
      </c>
      <c r="F1263">
        <v>0</v>
      </c>
      <c r="G1263">
        <v>0.1</v>
      </c>
      <c r="H1263" t="s">
        <v>622</v>
      </c>
      <c r="J1263" t="s">
        <v>623</v>
      </c>
      <c r="K1263" s="1"/>
      <c r="L1263" s="1">
        <v>46071.342094907406</v>
      </c>
      <c r="M1263" s="2">
        <v>46071</v>
      </c>
      <c r="N1263" t="s">
        <v>635</v>
      </c>
      <c r="O1263" t="s">
        <v>625</v>
      </c>
      <c r="P1263">
        <v>1</v>
      </c>
      <c r="Q1263">
        <v>0</v>
      </c>
      <c r="R1263">
        <v>142.66999999999999</v>
      </c>
      <c r="S1263" t="s">
        <v>28</v>
      </c>
      <c r="T1263" t="s">
        <v>776</v>
      </c>
    </row>
    <row r="1264" spans="1:20" x14ac:dyDescent="0.3">
      <c r="A1264">
        <v>1263</v>
      </c>
      <c r="B1264">
        <v>274</v>
      </c>
      <c r="C1264">
        <v>2</v>
      </c>
      <c r="D1264">
        <v>25.92</v>
      </c>
      <c r="E1264">
        <v>2.59</v>
      </c>
      <c r="F1264">
        <v>0</v>
      </c>
      <c r="G1264">
        <v>0.1</v>
      </c>
      <c r="H1264" t="s">
        <v>622</v>
      </c>
      <c r="J1264" t="s">
        <v>623</v>
      </c>
      <c r="K1264" s="1"/>
      <c r="L1264" s="1">
        <v>46071.3827662037</v>
      </c>
      <c r="M1264" s="2">
        <v>46071</v>
      </c>
      <c r="N1264" t="s">
        <v>635</v>
      </c>
      <c r="O1264" t="s">
        <v>625</v>
      </c>
      <c r="P1264">
        <v>1</v>
      </c>
      <c r="Q1264">
        <v>0</v>
      </c>
      <c r="R1264">
        <v>25.92</v>
      </c>
      <c r="S1264" t="s">
        <v>543</v>
      </c>
      <c r="T1264" t="s">
        <v>776</v>
      </c>
    </row>
    <row r="1265" spans="1:20" x14ac:dyDescent="0.3">
      <c r="A1265">
        <v>1264</v>
      </c>
      <c r="B1265">
        <v>135</v>
      </c>
      <c r="C1265">
        <v>4</v>
      </c>
      <c r="D1265">
        <v>129.31</v>
      </c>
      <c r="E1265">
        <v>12.93</v>
      </c>
      <c r="F1265">
        <v>0</v>
      </c>
      <c r="G1265">
        <v>0.1</v>
      </c>
      <c r="H1265" t="s">
        <v>622</v>
      </c>
      <c r="J1265" t="s">
        <v>623</v>
      </c>
      <c r="K1265" s="1"/>
      <c r="L1265" s="1">
        <v>46071.387696759259</v>
      </c>
      <c r="M1265" s="2">
        <v>46071</v>
      </c>
      <c r="N1265" t="s">
        <v>635</v>
      </c>
      <c r="O1265" t="s">
        <v>625</v>
      </c>
      <c r="P1265">
        <v>1</v>
      </c>
      <c r="Q1265">
        <v>0</v>
      </c>
      <c r="R1265">
        <v>129.31</v>
      </c>
      <c r="S1265" t="s">
        <v>265</v>
      </c>
      <c r="T1265" t="s">
        <v>778</v>
      </c>
    </row>
    <row r="1266" spans="1:20" x14ac:dyDescent="0.3">
      <c r="A1266">
        <v>1265</v>
      </c>
      <c r="B1266">
        <v>253</v>
      </c>
      <c r="C1266">
        <v>5</v>
      </c>
      <c r="D1266">
        <v>32.46</v>
      </c>
      <c r="E1266">
        <v>0</v>
      </c>
      <c r="F1266">
        <v>1</v>
      </c>
      <c r="G1266">
        <v>0.1</v>
      </c>
      <c r="H1266" t="s">
        <v>622</v>
      </c>
      <c r="J1266" t="s">
        <v>623</v>
      </c>
      <c r="K1266" s="1"/>
      <c r="L1266" s="1">
        <v>46071.389988425923</v>
      </c>
      <c r="M1266" s="2">
        <v>46071</v>
      </c>
      <c r="N1266" t="s">
        <v>635</v>
      </c>
      <c r="O1266" t="s">
        <v>629</v>
      </c>
      <c r="P1266">
        <v>1</v>
      </c>
      <c r="Q1266">
        <v>0</v>
      </c>
      <c r="R1266">
        <v>32.46</v>
      </c>
      <c r="S1266" t="s">
        <v>501</v>
      </c>
      <c r="T1266" t="s">
        <v>779</v>
      </c>
    </row>
    <row r="1267" spans="1:20" x14ac:dyDescent="0.3">
      <c r="A1267">
        <v>1266</v>
      </c>
      <c r="B1267">
        <v>66</v>
      </c>
      <c r="C1267">
        <v>2</v>
      </c>
      <c r="D1267">
        <v>63.64</v>
      </c>
      <c r="E1267">
        <v>6.36</v>
      </c>
      <c r="F1267">
        <v>0</v>
      </c>
      <c r="G1267">
        <v>0.1</v>
      </c>
      <c r="H1267" t="s">
        <v>622</v>
      </c>
      <c r="J1267" t="s">
        <v>623</v>
      </c>
      <c r="K1267" s="1"/>
      <c r="L1267" s="1">
        <v>46071.403379629628</v>
      </c>
      <c r="M1267" s="2">
        <v>46071</v>
      </c>
      <c r="N1267" t="s">
        <v>635</v>
      </c>
      <c r="O1267" t="s">
        <v>625</v>
      </c>
      <c r="P1267">
        <v>1</v>
      </c>
      <c r="Q1267">
        <v>0</v>
      </c>
      <c r="R1267">
        <v>63.64</v>
      </c>
      <c r="S1267" t="s">
        <v>128</v>
      </c>
      <c r="T1267" t="s">
        <v>776</v>
      </c>
    </row>
    <row r="1268" spans="1:20" x14ac:dyDescent="0.3">
      <c r="A1268">
        <v>1267</v>
      </c>
      <c r="B1268">
        <v>156</v>
      </c>
      <c r="C1268">
        <v>5</v>
      </c>
      <c r="D1268">
        <v>27.34</v>
      </c>
      <c r="E1268">
        <v>0</v>
      </c>
      <c r="F1268">
        <v>1</v>
      </c>
      <c r="G1268">
        <v>0.1</v>
      </c>
      <c r="H1268" t="s">
        <v>622</v>
      </c>
      <c r="J1268" t="s">
        <v>623</v>
      </c>
      <c r="K1268" s="1"/>
      <c r="L1268" s="1">
        <v>46071.441562499997</v>
      </c>
      <c r="M1268" s="2">
        <v>46071</v>
      </c>
      <c r="N1268" t="s">
        <v>635</v>
      </c>
      <c r="O1268" t="s">
        <v>629</v>
      </c>
      <c r="P1268">
        <v>1</v>
      </c>
      <c r="Q1268">
        <v>0</v>
      </c>
      <c r="R1268">
        <v>27.34</v>
      </c>
      <c r="S1268" t="s">
        <v>307</v>
      </c>
      <c r="T1268" t="s">
        <v>779</v>
      </c>
    </row>
    <row r="1269" spans="1:20" x14ac:dyDescent="0.3">
      <c r="A1269">
        <v>1268</v>
      </c>
      <c r="B1269">
        <v>106</v>
      </c>
      <c r="C1269">
        <v>4</v>
      </c>
      <c r="D1269">
        <v>90.13</v>
      </c>
      <c r="E1269">
        <v>9.01</v>
      </c>
      <c r="F1269">
        <v>0</v>
      </c>
      <c r="G1269">
        <v>0.1</v>
      </c>
      <c r="H1269" t="s">
        <v>622</v>
      </c>
      <c r="J1269" t="s">
        <v>623</v>
      </c>
      <c r="K1269" s="1"/>
      <c r="L1269" s="1">
        <v>46071.453865740739</v>
      </c>
      <c r="M1269" s="2">
        <v>46071</v>
      </c>
      <c r="N1269" t="s">
        <v>635</v>
      </c>
      <c r="O1269" t="s">
        <v>625</v>
      </c>
      <c r="P1269">
        <v>1</v>
      </c>
      <c r="Q1269">
        <v>0</v>
      </c>
      <c r="R1269">
        <v>90.13</v>
      </c>
      <c r="S1269" t="s">
        <v>207</v>
      </c>
      <c r="T1269" t="s">
        <v>778</v>
      </c>
    </row>
    <row r="1270" spans="1:20" x14ac:dyDescent="0.3">
      <c r="A1270">
        <v>1269</v>
      </c>
      <c r="B1270">
        <v>44</v>
      </c>
      <c r="C1270">
        <v>3</v>
      </c>
      <c r="D1270">
        <v>21.93</v>
      </c>
      <c r="E1270">
        <v>0</v>
      </c>
      <c r="F1270">
        <v>1</v>
      </c>
      <c r="G1270">
        <v>0.1</v>
      </c>
      <c r="H1270" t="s">
        <v>622</v>
      </c>
      <c r="J1270" t="s">
        <v>623</v>
      </c>
      <c r="K1270" s="1"/>
      <c r="L1270" s="1">
        <v>46071.72078703704</v>
      </c>
      <c r="M1270" s="2">
        <v>46071</v>
      </c>
      <c r="N1270" t="s">
        <v>635</v>
      </c>
      <c r="O1270" t="s">
        <v>629</v>
      </c>
      <c r="P1270">
        <v>1</v>
      </c>
      <c r="Q1270">
        <v>0</v>
      </c>
      <c r="R1270">
        <v>21.93</v>
      </c>
      <c r="S1270" t="s">
        <v>84</v>
      </c>
      <c r="T1270" t="s">
        <v>777</v>
      </c>
    </row>
    <row r="1271" spans="1:20" x14ac:dyDescent="0.3">
      <c r="A1271">
        <v>1270</v>
      </c>
      <c r="B1271">
        <v>38</v>
      </c>
      <c r="C1271">
        <v>2</v>
      </c>
      <c r="D1271">
        <v>23.02</v>
      </c>
      <c r="E1271">
        <v>2.2999999999999998</v>
      </c>
      <c r="F1271">
        <v>0</v>
      </c>
      <c r="G1271">
        <v>0.1</v>
      </c>
      <c r="H1271" t="s">
        <v>622</v>
      </c>
      <c r="J1271" t="s">
        <v>623</v>
      </c>
      <c r="K1271" s="1"/>
      <c r="L1271" s="1">
        <v>46071.734780092593</v>
      </c>
      <c r="M1271" s="2">
        <v>46071</v>
      </c>
      <c r="N1271" t="s">
        <v>635</v>
      </c>
      <c r="O1271" t="s">
        <v>625</v>
      </c>
      <c r="P1271">
        <v>1</v>
      </c>
      <c r="Q1271">
        <v>0</v>
      </c>
      <c r="R1271">
        <v>23.02</v>
      </c>
      <c r="S1271" t="s">
        <v>72</v>
      </c>
      <c r="T1271" t="s">
        <v>776</v>
      </c>
    </row>
    <row r="1272" spans="1:20" x14ac:dyDescent="0.3">
      <c r="A1272">
        <v>1271</v>
      </c>
      <c r="B1272">
        <v>202</v>
      </c>
      <c r="C1272">
        <v>2</v>
      </c>
      <c r="D1272">
        <v>36.43</v>
      </c>
      <c r="E1272">
        <v>3.64</v>
      </c>
      <c r="F1272">
        <v>0</v>
      </c>
      <c r="G1272">
        <v>0.1</v>
      </c>
      <c r="H1272" t="s">
        <v>622</v>
      </c>
      <c r="J1272" t="s">
        <v>623</v>
      </c>
      <c r="K1272" s="1"/>
      <c r="L1272" s="1">
        <v>46071.739942129629</v>
      </c>
      <c r="M1272" s="2">
        <v>46071</v>
      </c>
      <c r="N1272" t="s">
        <v>635</v>
      </c>
      <c r="O1272" t="s">
        <v>625</v>
      </c>
      <c r="P1272">
        <v>1</v>
      </c>
      <c r="Q1272">
        <v>0</v>
      </c>
      <c r="R1272">
        <v>36.43</v>
      </c>
      <c r="S1272" t="s">
        <v>399</v>
      </c>
      <c r="T1272" t="s">
        <v>776</v>
      </c>
    </row>
    <row r="1273" spans="1:20" x14ac:dyDescent="0.3">
      <c r="A1273">
        <v>1272</v>
      </c>
      <c r="B1273">
        <v>156</v>
      </c>
      <c r="C1273">
        <v>5</v>
      </c>
      <c r="D1273">
        <v>33.68</v>
      </c>
      <c r="E1273">
        <v>3.37</v>
      </c>
      <c r="F1273">
        <v>0</v>
      </c>
      <c r="G1273">
        <v>0.1</v>
      </c>
      <c r="H1273" t="s">
        <v>622</v>
      </c>
      <c r="J1273" t="s">
        <v>623</v>
      </c>
      <c r="K1273" s="1"/>
      <c r="L1273" s="1">
        <v>46072.298576388886</v>
      </c>
      <c r="M1273" s="2">
        <v>46072</v>
      </c>
      <c r="N1273" t="s">
        <v>635</v>
      </c>
      <c r="O1273" t="s">
        <v>625</v>
      </c>
      <c r="P1273">
        <v>1</v>
      </c>
      <c r="Q1273">
        <v>0</v>
      </c>
      <c r="R1273">
        <v>33.68</v>
      </c>
      <c r="S1273" t="s">
        <v>307</v>
      </c>
      <c r="T1273" t="s">
        <v>779</v>
      </c>
    </row>
    <row r="1274" spans="1:20" x14ac:dyDescent="0.3">
      <c r="A1274">
        <v>1273</v>
      </c>
      <c r="B1274">
        <v>145</v>
      </c>
      <c r="C1274">
        <v>5</v>
      </c>
      <c r="D1274">
        <v>253.63</v>
      </c>
      <c r="E1274">
        <v>25.36</v>
      </c>
      <c r="F1274">
        <v>0</v>
      </c>
      <c r="G1274">
        <v>0.1</v>
      </c>
      <c r="H1274" t="s">
        <v>622</v>
      </c>
      <c r="J1274" t="s">
        <v>623</v>
      </c>
      <c r="K1274" s="1"/>
      <c r="L1274" s="1">
        <v>46072.328865740739</v>
      </c>
      <c r="M1274" s="2">
        <v>46072</v>
      </c>
      <c r="N1274" t="s">
        <v>635</v>
      </c>
      <c r="O1274" t="s">
        <v>625</v>
      </c>
      <c r="P1274">
        <v>1</v>
      </c>
      <c r="Q1274">
        <v>0</v>
      </c>
      <c r="R1274">
        <v>253.63</v>
      </c>
      <c r="S1274" t="s">
        <v>285</v>
      </c>
      <c r="T1274" t="s">
        <v>779</v>
      </c>
    </row>
    <row r="1275" spans="1:20" x14ac:dyDescent="0.3">
      <c r="A1275">
        <v>1274</v>
      </c>
      <c r="B1275">
        <v>47</v>
      </c>
      <c r="C1275">
        <v>3</v>
      </c>
      <c r="D1275">
        <v>33.97</v>
      </c>
      <c r="E1275">
        <v>3.4</v>
      </c>
      <c r="F1275">
        <v>0</v>
      </c>
      <c r="G1275">
        <v>0.1</v>
      </c>
      <c r="H1275" t="s">
        <v>622</v>
      </c>
      <c r="J1275" t="s">
        <v>623</v>
      </c>
      <c r="K1275" s="1"/>
      <c r="L1275" s="1">
        <v>46072.376145833332</v>
      </c>
      <c r="M1275" s="2">
        <v>46072</v>
      </c>
      <c r="N1275" t="s">
        <v>635</v>
      </c>
      <c r="O1275" t="s">
        <v>625</v>
      </c>
      <c r="P1275">
        <v>1</v>
      </c>
      <c r="Q1275">
        <v>0</v>
      </c>
      <c r="R1275">
        <v>33.97</v>
      </c>
      <c r="S1275" t="s">
        <v>90</v>
      </c>
      <c r="T1275" t="s">
        <v>777</v>
      </c>
    </row>
    <row r="1276" spans="1:20" x14ac:dyDescent="0.3">
      <c r="A1276">
        <v>1275</v>
      </c>
      <c r="B1276">
        <v>126</v>
      </c>
      <c r="C1276">
        <v>4</v>
      </c>
      <c r="D1276">
        <v>38.21</v>
      </c>
      <c r="E1276">
        <v>0</v>
      </c>
      <c r="F1276">
        <v>1</v>
      </c>
      <c r="G1276">
        <v>0.1</v>
      </c>
      <c r="H1276" t="s">
        <v>626</v>
      </c>
      <c r="I1276">
        <v>3</v>
      </c>
      <c r="J1276" t="s">
        <v>627</v>
      </c>
      <c r="K1276" s="1">
        <v>46072.897314814814</v>
      </c>
      <c r="L1276" s="1">
        <v>46072.397314814814</v>
      </c>
      <c r="M1276" s="2">
        <v>46072</v>
      </c>
      <c r="N1276" t="s">
        <v>635</v>
      </c>
      <c r="O1276" t="s">
        <v>629</v>
      </c>
      <c r="P1276">
        <v>1</v>
      </c>
      <c r="Q1276">
        <v>1</v>
      </c>
      <c r="R1276">
        <v>0</v>
      </c>
      <c r="S1276" t="s">
        <v>247</v>
      </c>
      <c r="T1276" t="s">
        <v>778</v>
      </c>
    </row>
    <row r="1277" spans="1:20" x14ac:dyDescent="0.3">
      <c r="A1277">
        <v>1276</v>
      </c>
      <c r="B1277">
        <v>35</v>
      </c>
      <c r="C1277">
        <v>3</v>
      </c>
      <c r="D1277">
        <v>48.72</v>
      </c>
      <c r="E1277">
        <v>4.87</v>
      </c>
      <c r="F1277">
        <v>0</v>
      </c>
      <c r="G1277">
        <v>0.1</v>
      </c>
      <c r="H1277" t="s">
        <v>622</v>
      </c>
      <c r="J1277" t="s">
        <v>623</v>
      </c>
      <c r="K1277" s="1"/>
      <c r="L1277" s="1">
        <v>46072.455347222225</v>
      </c>
      <c r="M1277" s="2">
        <v>46072</v>
      </c>
      <c r="N1277" t="s">
        <v>635</v>
      </c>
      <c r="O1277" t="s">
        <v>625</v>
      </c>
      <c r="P1277">
        <v>1</v>
      </c>
      <c r="Q1277">
        <v>0</v>
      </c>
      <c r="R1277">
        <v>48.72</v>
      </c>
      <c r="S1277" t="s">
        <v>66</v>
      </c>
      <c r="T1277" t="s">
        <v>777</v>
      </c>
    </row>
    <row r="1278" spans="1:20" x14ac:dyDescent="0.3">
      <c r="A1278">
        <v>1277</v>
      </c>
      <c r="B1278">
        <v>232</v>
      </c>
      <c r="C1278">
        <v>4</v>
      </c>
      <c r="D1278">
        <v>16.2</v>
      </c>
      <c r="E1278">
        <v>1.62</v>
      </c>
      <c r="F1278">
        <v>0</v>
      </c>
      <c r="G1278">
        <v>0.1</v>
      </c>
      <c r="H1278" t="s">
        <v>622</v>
      </c>
      <c r="J1278" t="s">
        <v>623</v>
      </c>
      <c r="K1278" s="1"/>
      <c r="L1278" s="1">
        <v>46072.489618055559</v>
      </c>
      <c r="M1278" s="2">
        <v>46072</v>
      </c>
      <c r="N1278" t="s">
        <v>635</v>
      </c>
      <c r="O1278" t="s">
        <v>625</v>
      </c>
      <c r="P1278">
        <v>1</v>
      </c>
      <c r="Q1278">
        <v>0</v>
      </c>
      <c r="R1278">
        <v>16.2</v>
      </c>
      <c r="S1278" t="s">
        <v>459</v>
      </c>
      <c r="T1278" t="s">
        <v>778</v>
      </c>
    </row>
    <row r="1279" spans="1:20" x14ac:dyDescent="0.3">
      <c r="A1279">
        <v>1278</v>
      </c>
      <c r="B1279">
        <v>44</v>
      </c>
      <c r="C1279">
        <v>2</v>
      </c>
      <c r="D1279">
        <v>25.84</v>
      </c>
      <c r="E1279">
        <v>2.58</v>
      </c>
      <c r="F1279">
        <v>0</v>
      </c>
      <c r="G1279">
        <v>0.1</v>
      </c>
      <c r="H1279" t="s">
        <v>622</v>
      </c>
      <c r="J1279" t="s">
        <v>623</v>
      </c>
      <c r="K1279" s="1"/>
      <c r="L1279" s="1">
        <v>46072.633657407408</v>
      </c>
      <c r="M1279" s="2">
        <v>46072</v>
      </c>
      <c r="N1279" t="s">
        <v>635</v>
      </c>
      <c r="O1279" t="s">
        <v>625</v>
      </c>
      <c r="P1279">
        <v>1</v>
      </c>
      <c r="Q1279">
        <v>0</v>
      </c>
      <c r="R1279">
        <v>25.84</v>
      </c>
      <c r="S1279" t="s">
        <v>84</v>
      </c>
      <c r="T1279" t="s">
        <v>776</v>
      </c>
    </row>
    <row r="1280" spans="1:20" x14ac:dyDescent="0.3">
      <c r="A1280">
        <v>1279</v>
      </c>
      <c r="B1280">
        <v>56</v>
      </c>
      <c r="C1280">
        <v>2</v>
      </c>
      <c r="D1280">
        <v>75.88</v>
      </c>
      <c r="E1280">
        <v>7.59</v>
      </c>
      <c r="F1280">
        <v>0</v>
      </c>
      <c r="G1280">
        <v>0.1</v>
      </c>
      <c r="H1280" t="s">
        <v>622</v>
      </c>
      <c r="J1280" t="s">
        <v>623</v>
      </c>
      <c r="K1280" s="1"/>
      <c r="L1280" s="1">
        <v>46072.635405092595</v>
      </c>
      <c r="M1280" s="2">
        <v>46072</v>
      </c>
      <c r="N1280" t="s">
        <v>635</v>
      </c>
      <c r="O1280" t="s">
        <v>625</v>
      </c>
      <c r="P1280">
        <v>1</v>
      </c>
      <c r="Q1280">
        <v>0</v>
      </c>
      <c r="R1280">
        <v>75.88</v>
      </c>
      <c r="S1280" t="s">
        <v>108</v>
      </c>
      <c r="T1280" t="s">
        <v>776</v>
      </c>
    </row>
    <row r="1281" spans="1:20" x14ac:dyDescent="0.3">
      <c r="A1281">
        <v>1280</v>
      </c>
      <c r="B1281">
        <v>175</v>
      </c>
      <c r="C1281">
        <v>2</v>
      </c>
      <c r="D1281">
        <v>28.24</v>
      </c>
      <c r="E1281">
        <v>2.82</v>
      </c>
      <c r="F1281">
        <v>0</v>
      </c>
      <c r="G1281">
        <v>0.1</v>
      </c>
      <c r="H1281" t="s">
        <v>622</v>
      </c>
      <c r="J1281" t="s">
        <v>623</v>
      </c>
      <c r="K1281" s="1"/>
      <c r="L1281" s="1">
        <v>46072.694710648146</v>
      </c>
      <c r="M1281" s="2">
        <v>46072</v>
      </c>
      <c r="N1281" t="s">
        <v>635</v>
      </c>
      <c r="O1281" t="s">
        <v>625</v>
      </c>
      <c r="P1281">
        <v>1</v>
      </c>
      <c r="Q1281">
        <v>0</v>
      </c>
      <c r="R1281">
        <v>28.24</v>
      </c>
      <c r="S1281" t="s">
        <v>345</v>
      </c>
      <c r="T1281" t="s">
        <v>776</v>
      </c>
    </row>
    <row r="1282" spans="1:20" x14ac:dyDescent="0.3">
      <c r="A1282">
        <v>1281</v>
      </c>
      <c r="B1282">
        <v>16</v>
      </c>
      <c r="C1282">
        <v>3</v>
      </c>
      <c r="D1282">
        <v>139.71</v>
      </c>
      <c r="E1282">
        <v>0</v>
      </c>
      <c r="F1282">
        <v>1</v>
      </c>
      <c r="G1282">
        <v>0.1</v>
      </c>
      <c r="H1282" t="s">
        <v>622</v>
      </c>
      <c r="J1282" t="s">
        <v>623</v>
      </c>
      <c r="K1282" s="1"/>
      <c r="L1282" s="1">
        <v>46072.805</v>
      </c>
      <c r="M1282" s="2">
        <v>46072</v>
      </c>
      <c r="N1282" t="s">
        <v>635</v>
      </c>
      <c r="O1282" t="s">
        <v>629</v>
      </c>
      <c r="P1282">
        <v>1</v>
      </c>
      <c r="Q1282">
        <v>0</v>
      </c>
      <c r="R1282">
        <v>139.71</v>
      </c>
      <c r="S1282" t="s">
        <v>28</v>
      </c>
      <c r="T1282" t="s">
        <v>777</v>
      </c>
    </row>
    <row r="1283" spans="1:20" x14ac:dyDescent="0.3">
      <c r="A1283">
        <v>1282</v>
      </c>
      <c r="B1283">
        <v>16</v>
      </c>
      <c r="C1283">
        <v>3</v>
      </c>
      <c r="D1283">
        <v>300</v>
      </c>
      <c r="E1283">
        <v>30</v>
      </c>
      <c r="F1283">
        <v>0</v>
      </c>
      <c r="G1283">
        <v>0.1</v>
      </c>
      <c r="H1283" t="s">
        <v>622</v>
      </c>
      <c r="J1283" t="s">
        <v>623</v>
      </c>
      <c r="K1283" s="1"/>
      <c r="L1283" s="1">
        <v>46073.355949074074</v>
      </c>
      <c r="M1283" s="2">
        <v>46073</v>
      </c>
      <c r="N1283" t="s">
        <v>635</v>
      </c>
      <c r="O1283" t="s">
        <v>625</v>
      </c>
      <c r="P1283">
        <v>1</v>
      </c>
      <c r="Q1283">
        <v>0</v>
      </c>
      <c r="R1283">
        <v>300</v>
      </c>
      <c r="S1283" t="s">
        <v>28</v>
      </c>
      <c r="T1283" t="s">
        <v>777</v>
      </c>
    </row>
    <row r="1284" spans="1:20" x14ac:dyDescent="0.3">
      <c r="A1284">
        <v>1283</v>
      </c>
      <c r="B1284">
        <v>39</v>
      </c>
      <c r="C1284">
        <v>4</v>
      </c>
      <c r="D1284">
        <v>145.51</v>
      </c>
      <c r="E1284">
        <v>0</v>
      </c>
      <c r="F1284">
        <v>1</v>
      </c>
      <c r="G1284">
        <v>0.1</v>
      </c>
      <c r="H1284" t="s">
        <v>622</v>
      </c>
      <c r="J1284" t="s">
        <v>623</v>
      </c>
      <c r="K1284" s="1"/>
      <c r="L1284" s="1">
        <v>46073.420312499999</v>
      </c>
      <c r="M1284" s="2">
        <v>46073</v>
      </c>
      <c r="N1284" t="s">
        <v>635</v>
      </c>
      <c r="O1284" t="s">
        <v>629</v>
      </c>
      <c r="P1284">
        <v>1</v>
      </c>
      <c r="Q1284">
        <v>0</v>
      </c>
      <c r="R1284">
        <v>145.51</v>
      </c>
      <c r="S1284" t="s">
        <v>74</v>
      </c>
      <c r="T1284" t="s">
        <v>778</v>
      </c>
    </row>
    <row r="1285" spans="1:20" x14ac:dyDescent="0.3">
      <c r="A1285">
        <v>1284</v>
      </c>
      <c r="B1285">
        <v>113</v>
      </c>
      <c r="C1285">
        <v>2</v>
      </c>
      <c r="D1285">
        <v>38.04</v>
      </c>
      <c r="E1285">
        <v>3.8</v>
      </c>
      <c r="F1285">
        <v>0</v>
      </c>
      <c r="G1285">
        <v>0.1</v>
      </c>
      <c r="H1285" t="s">
        <v>622</v>
      </c>
      <c r="J1285" t="s">
        <v>623</v>
      </c>
      <c r="K1285" s="1"/>
      <c r="L1285" s="1">
        <v>46073.490601851852</v>
      </c>
      <c r="M1285" s="2">
        <v>46073</v>
      </c>
      <c r="N1285" t="s">
        <v>635</v>
      </c>
      <c r="O1285" t="s">
        <v>625</v>
      </c>
      <c r="P1285">
        <v>1</v>
      </c>
      <c r="Q1285">
        <v>0</v>
      </c>
      <c r="R1285">
        <v>38.04</v>
      </c>
      <c r="S1285" t="s">
        <v>221</v>
      </c>
      <c r="T1285" t="s">
        <v>776</v>
      </c>
    </row>
    <row r="1286" spans="1:20" x14ac:dyDescent="0.3">
      <c r="A1286">
        <v>1285</v>
      </c>
      <c r="B1286">
        <v>91</v>
      </c>
      <c r="C1286">
        <v>3</v>
      </c>
      <c r="D1286">
        <v>24.94</v>
      </c>
      <c r="E1286">
        <v>2.4900000000000002</v>
      </c>
      <c r="F1286">
        <v>0</v>
      </c>
      <c r="G1286">
        <v>0.1</v>
      </c>
      <c r="H1286" t="s">
        <v>622</v>
      </c>
      <c r="J1286" t="s">
        <v>623</v>
      </c>
      <c r="K1286" s="1"/>
      <c r="L1286" s="1">
        <v>46073.549050925925</v>
      </c>
      <c r="M1286" s="2">
        <v>46073</v>
      </c>
      <c r="N1286" t="s">
        <v>635</v>
      </c>
      <c r="O1286" t="s">
        <v>625</v>
      </c>
      <c r="P1286">
        <v>1</v>
      </c>
      <c r="Q1286">
        <v>0</v>
      </c>
      <c r="R1286">
        <v>24.94</v>
      </c>
      <c r="S1286" t="s">
        <v>177</v>
      </c>
      <c r="T1286" t="s">
        <v>777</v>
      </c>
    </row>
    <row r="1287" spans="1:20" x14ac:dyDescent="0.3">
      <c r="A1287">
        <v>1286</v>
      </c>
      <c r="B1287">
        <v>67</v>
      </c>
      <c r="C1287">
        <v>3</v>
      </c>
      <c r="D1287">
        <v>37.72</v>
      </c>
      <c r="E1287">
        <v>3.77</v>
      </c>
      <c r="F1287">
        <v>0</v>
      </c>
      <c r="G1287">
        <v>0.1</v>
      </c>
      <c r="H1287" t="s">
        <v>622</v>
      </c>
      <c r="J1287" t="s">
        <v>623</v>
      </c>
      <c r="K1287" s="1"/>
      <c r="L1287" s="1">
        <v>46073.64984953704</v>
      </c>
      <c r="M1287" s="2">
        <v>46073</v>
      </c>
      <c r="N1287" t="s">
        <v>635</v>
      </c>
      <c r="O1287" t="s">
        <v>625</v>
      </c>
      <c r="P1287">
        <v>1</v>
      </c>
      <c r="Q1287">
        <v>0</v>
      </c>
      <c r="R1287">
        <v>37.72</v>
      </c>
      <c r="S1287" t="s">
        <v>130</v>
      </c>
      <c r="T1287" t="s">
        <v>777</v>
      </c>
    </row>
    <row r="1288" spans="1:20" x14ac:dyDescent="0.3">
      <c r="A1288">
        <v>1287</v>
      </c>
      <c r="B1288">
        <v>18</v>
      </c>
      <c r="C1288">
        <v>3</v>
      </c>
      <c r="D1288">
        <v>111.51</v>
      </c>
      <c r="E1288">
        <v>11.15</v>
      </c>
      <c r="F1288">
        <v>0</v>
      </c>
      <c r="G1288">
        <v>0.1</v>
      </c>
      <c r="H1288" t="s">
        <v>622</v>
      </c>
      <c r="J1288" t="s">
        <v>623</v>
      </c>
      <c r="K1288" s="1"/>
      <c r="L1288" s="1">
        <v>46074.321250000001</v>
      </c>
      <c r="M1288" s="2">
        <v>46074</v>
      </c>
      <c r="N1288" t="s">
        <v>635</v>
      </c>
      <c r="O1288" t="s">
        <v>625</v>
      </c>
      <c r="P1288">
        <v>1</v>
      </c>
      <c r="Q1288">
        <v>0</v>
      </c>
      <c r="R1288">
        <v>111.51</v>
      </c>
      <c r="S1288" t="s">
        <v>32</v>
      </c>
      <c r="T1288" t="s">
        <v>777</v>
      </c>
    </row>
    <row r="1289" spans="1:20" x14ac:dyDescent="0.3">
      <c r="A1289">
        <v>1288</v>
      </c>
      <c r="B1289">
        <v>187</v>
      </c>
      <c r="C1289">
        <v>4</v>
      </c>
      <c r="D1289">
        <v>26.4</v>
      </c>
      <c r="E1289">
        <v>2.64</v>
      </c>
      <c r="F1289">
        <v>0</v>
      </c>
      <c r="G1289">
        <v>0.1</v>
      </c>
      <c r="H1289" t="s">
        <v>622</v>
      </c>
      <c r="J1289" t="s">
        <v>623</v>
      </c>
      <c r="K1289" s="1"/>
      <c r="L1289" s="1">
        <v>46074.499664351853</v>
      </c>
      <c r="M1289" s="2">
        <v>46074</v>
      </c>
      <c r="N1289" t="s">
        <v>635</v>
      </c>
      <c r="O1289" t="s">
        <v>625</v>
      </c>
      <c r="P1289">
        <v>1</v>
      </c>
      <c r="Q1289">
        <v>0</v>
      </c>
      <c r="R1289">
        <v>26.4</v>
      </c>
      <c r="S1289" t="s">
        <v>369</v>
      </c>
      <c r="T1289" t="s">
        <v>778</v>
      </c>
    </row>
    <row r="1290" spans="1:20" x14ac:dyDescent="0.3">
      <c r="A1290">
        <v>1289</v>
      </c>
      <c r="B1290">
        <v>202</v>
      </c>
      <c r="C1290">
        <v>4</v>
      </c>
      <c r="D1290">
        <v>33.65</v>
      </c>
      <c r="E1290">
        <v>3.37</v>
      </c>
      <c r="F1290">
        <v>0</v>
      </c>
      <c r="G1290">
        <v>0.1</v>
      </c>
      <c r="H1290" t="s">
        <v>622</v>
      </c>
      <c r="J1290" t="s">
        <v>623</v>
      </c>
      <c r="K1290" s="1"/>
      <c r="L1290" s="1">
        <v>46074.637453703705</v>
      </c>
      <c r="M1290" s="2">
        <v>46074</v>
      </c>
      <c r="N1290" t="s">
        <v>635</v>
      </c>
      <c r="O1290" t="s">
        <v>625</v>
      </c>
      <c r="P1290">
        <v>1</v>
      </c>
      <c r="Q1290">
        <v>0</v>
      </c>
      <c r="R1290">
        <v>33.65</v>
      </c>
      <c r="S1290" t="s">
        <v>399</v>
      </c>
      <c r="T1290" t="s">
        <v>778</v>
      </c>
    </row>
    <row r="1291" spans="1:20" x14ac:dyDescent="0.3">
      <c r="A1291">
        <v>1290</v>
      </c>
      <c r="B1291">
        <v>56</v>
      </c>
      <c r="C1291">
        <v>5</v>
      </c>
      <c r="D1291">
        <v>84.24</v>
      </c>
      <c r="E1291">
        <v>8.42</v>
      </c>
      <c r="F1291">
        <v>0</v>
      </c>
      <c r="G1291">
        <v>0.1</v>
      </c>
      <c r="H1291" t="s">
        <v>622</v>
      </c>
      <c r="J1291" t="s">
        <v>623</v>
      </c>
      <c r="K1291" s="1"/>
      <c r="L1291" s="1">
        <v>46074.695694444446</v>
      </c>
      <c r="M1291" s="2">
        <v>46074</v>
      </c>
      <c r="N1291" t="s">
        <v>635</v>
      </c>
      <c r="O1291" t="s">
        <v>625</v>
      </c>
      <c r="P1291">
        <v>1</v>
      </c>
      <c r="Q1291">
        <v>0</v>
      </c>
      <c r="R1291">
        <v>84.24</v>
      </c>
      <c r="S1291" t="s">
        <v>108</v>
      </c>
      <c r="T1291" t="s">
        <v>779</v>
      </c>
    </row>
    <row r="1292" spans="1:20" x14ac:dyDescent="0.3">
      <c r="A1292">
        <v>1291</v>
      </c>
      <c r="B1292">
        <v>152</v>
      </c>
      <c r="C1292">
        <v>4</v>
      </c>
      <c r="D1292">
        <v>98.07</v>
      </c>
      <c r="E1292">
        <v>9.81</v>
      </c>
      <c r="F1292">
        <v>0</v>
      </c>
      <c r="G1292">
        <v>0.1</v>
      </c>
      <c r="H1292" t="s">
        <v>622</v>
      </c>
      <c r="J1292" t="s">
        <v>623</v>
      </c>
      <c r="K1292" s="1"/>
      <c r="L1292" s="1">
        <v>46074.703009259261</v>
      </c>
      <c r="M1292" s="2">
        <v>46074</v>
      </c>
      <c r="N1292" t="s">
        <v>635</v>
      </c>
      <c r="O1292" t="s">
        <v>625</v>
      </c>
      <c r="P1292">
        <v>1</v>
      </c>
      <c r="Q1292">
        <v>0</v>
      </c>
      <c r="R1292">
        <v>98.07</v>
      </c>
      <c r="S1292" t="s">
        <v>299</v>
      </c>
      <c r="T1292" t="s">
        <v>778</v>
      </c>
    </row>
    <row r="1293" spans="1:20" x14ac:dyDescent="0.3">
      <c r="A1293">
        <v>1292</v>
      </c>
      <c r="B1293">
        <v>28</v>
      </c>
      <c r="C1293">
        <v>3</v>
      </c>
      <c r="D1293">
        <v>21.92</v>
      </c>
      <c r="E1293">
        <v>2.19</v>
      </c>
      <c r="F1293">
        <v>0</v>
      </c>
      <c r="G1293">
        <v>0.1</v>
      </c>
      <c r="H1293" t="s">
        <v>622</v>
      </c>
      <c r="J1293" t="s">
        <v>623</v>
      </c>
      <c r="K1293" s="1"/>
      <c r="L1293" s="1">
        <v>46075.315370370372</v>
      </c>
      <c r="M1293" s="2">
        <v>46075</v>
      </c>
      <c r="N1293" t="s">
        <v>635</v>
      </c>
      <c r="O1293" t="s">
        <v>625</v>
      </c>
      <c r="P1293">
        <v>1</v>
      </c>
      <c r="Q1293">
        <v>0</v>
      </c>
      <c r="R1293">
        <v>21.92</v>
      </c>
      <c r="S1293" t="s">
        <v>52</v>
      </c>
      <c r="T1293" t="s">
        <v>777</v>
      </c>
    </row>
    <row r="1294" spans="1:20" x14ac:dyDescent="0.3">
      <c r="A1294">
        <v>1293</v>
      </c>
      <c r="B1294">
        <v>66</v>
      </c>
      <c r="C1294">
        <v>5</v>
      </c>
      <c r="D1294">
        <v>127.99</v>
      </c>
      <c r="E1294">
        <v>12.8</v>
      </c>
      <c r="F1294">
        <v>0</v>
      </c>
      <c r="G1294">
        <v>0.1</v>
      </c>
      <c r="H1294" t="s">
        <v>622</v>
      </c>
      <c r="J1294" t="s">
        <v>623</v>
      </c>
      <c r="K1294" s="1"/>
      <c r="L1294" s="1">
        <v>46075.374282407407</v>
      </c>
      <c r="M1294" s="2">
        <v>46075</v>
      </c>
      <c r="N1294" t="s">
        <v>635</v>
      </c>
      <c r="O1294" t="s">
        <v>625</v>
      </c>
      <c r="P1294">
        <v>1</v>
      </c>
      <c r="Q1294">
        <v>0</v>
      </c>
      <c r="R1294">
        <v>127.99</v>
      </c>
      <c r="S1294" t="s">
        <v>128</v>
      </c>
      <c r="T1294" t="s">
        <v>779</v>
      </c>
    </row>
    <row r="1295" spans="1:20" x14ac:dyDescent="0.3">
      <c r="A1295">
        <v>1294</v>
      </c>
      <c r="B1295">
        <v>149</v>
      </c>
      <c r="C1295">
        <v>3</v>
      </c>
      <c r="D1295">
        <v>22.02</v>
      </c>
      <c r="E1295">
        <v>2.2000000000000002</v>
      </c>
      <c r="F1295">
        <v>0</v>
      </c>
      <c r="G1295">
        <v>0.1</v>
      </c>
      <c r="H1295" t="s">
        <v>622</v>
      </c>
      <c r="J1295" t="s">
        <v>623</v>
      </c>
      <c r="K1295" s="1"/>
      <c r="L1295" s="1">
        <v>46075.402048611111</v>
      </c>
      <c r="M1295" s="2">
        <v>46075</v>
      </c>
      <c r="N1295" t="s">
        <v>635</v>
      </c>
      <c r="O1295" t="s">
        <v>625</v>
      </c>
      <c r="P1295">
        <v>1</v>
      </c>
      <c r="Q1295">
        <v>0</v>
      </c>
      <c r="R1295">
        <v>22.02</v>
      </c>
      <c r="S1295" t="s">
        <v>293</v>
      </c>
      <c r="T1295" t="s">
        <v>777</v>
      </c>
    </row>
    <row r="1296" spans="1:20" x14ac:dyDescent="0.3">
      <c r="A1296">
        <v>1295</v>
      </c>
      <c r="B1296">
        <v>149</v>
      </c>
      <c r="C1296">
        <v>5</v>
      </c>
      <c r="D1296">
        <v>38.909999999999997</v>
      </c>
      <c r="E1296">
        <v>3.89</v>
      </c>
      <c r="F1296">
        <v>0</v>
      </c>
      <c r="G1296">
        <v>0.1</v>
      </c>
      <c r="H1296" t="s">
        <v>622</v>
      </c>
      <c r="J1296" t="s">
        <v>623</v>
      </c>
      <c r="K1296" s="1"/>
      <c r="L1296" s="1">
        <v>46075.417592592596</v>
      </c>
      <c r="M1296" s="2">
        <v>46075</v>
      </c>
      <c r="N1296" t="s">
        <v>635</v>
      </c>
      <c r="O1296" t="s">
        <v>625</v>
      </c>
      <c r="P1296">
        <v>1</v>
      </c>
      <c r="Q1296">
        <v>0</v>
      </c>
      <c r="R1296">
        <v>38.909999999999997</v>
      </c>
      <c r="S1296" t="s">
        <v>293</v>
      </c>
      <c r="T1296" t="s">
        <v>779</v>
      </c>
    </row>
    <row r="1297" spans="1:20" x14ac:dyDescent="0.3">
      <c r="A1297">
        <v>1296</v>
      </c>
      <c r="B1297">
        <v>87</v>
      </c>
      <c r="C1297">
        <v>2</v>
      </c>
      <c r="D1297">
        <v>103.59</v>
      </c>
      <c r="E1297">
        <v>10.36</v>
      </c>
      <c r="F1297">
        <v>0</v>
      </c>
      <c r="G1297">
        <v>0.1</v>
      </c>
      <c r="H1297" t="s">
        <v>622</v>
      </c>
      <c r="J1297" t="s">
        <v>623</v>
      </c>
      <c r="K1297" s="1"/>
      <c r="L1297" s="1">
        <v>46075.458541666667</v>
      </c>
      <c r="M1297" s="2">
        <v>46075</v>
      </c>
      <c r="N1297" t="s">
        <v>635</v>
      </c>
      <c r="O1297" t="s">
        <v>625</v>
      </c>
      <c r="P1297">
        <v>1</v>
      </c>
      <c r="Q1297">
        <v>0</v>
      </c>
      <c r="R1297">
        <v>103.59</v>
      </c>
      <c r="S1297" t="s">
        <v>169</v>
      </c>
      <c r="T1297" t="s">
        <v>776</v>
      </c>
    </row>
    <row r="1298" spans="1:20" x14ac:dyDescent="0.3">
      <c r="A1298">
        <v>1297</v>
      </c>
      <c r="B1298">
        <v>190</v>
      </c>
      <c r="C1298">
        <v>4</v>
      </c>
      <c r="D1298">
        <v>135.62</v>
      </c>
      <c r="E1298">
        <v>13.56</v>
      </c>
      <c r="F1298">
        <v>0</v>
      </c>
      <c r="G1298">
        <v>0.1</v>
      </c>
      <c r="H1298" t="s">
        <v>622</v>
      </c>
      <c r="J1298" t="s">
        <v>623</v>
      </c>
      <c r="K1298" s="1"/>
      <c r="L1298" s="1">
        <v>46075.483043981483</v>
      </c>
      <c r="M1298" s="2">
        <v>46075</v>
      </c>
      <c r="N1298" t="s">
        <v>635</v>
      </c>
      <c r="O1298" t="s">
        <v>625</v>
      </c>
      <c r="P1298">
        <v>1</v>
      </c>
      <c r="Q1298">
        <v>0</v>
      </c>
      <c r="R1298">
        <v>135.62</v>
      </c>
      <c r="S1298" t="s">
        <v>375</v>
      </c>
      <c r="T1298" t="s">
        <v>778</v>
      </c>
    </row>
    <row r="1299" spans="1:20" x14ac:dyDescent="0.3">
      <c r="A1299">
        <v>1298</v>
      </c>
      <c r="B1299">
        <v>80</v>
      </c>
      <c r="C1299">
        <v>4</v>
      </c>
      <c r="D1299">
        <v>23.9</v>
      </c>
      <c r="E1299">
        <v>2.39</v>
      </c>
      <c r="F1299">
        <v>0</v>
      </c>
      <c r="G1299">
        <v>0.1</v>
      </c>
      <c r="H1299" t="s">
        <v>622</v>
      </c>
      <c r="J1299" t="s">
        <v>623</v>
      </c>
      <c r="K1299" s="1"/>
      <c r="L1299" s="1">
        <v>46075.631307870368</v>
      </c>
      <c r="M1299" s="2">
        <v>46075</v>
      </c>
      <c r="N1299" t="s">
        <v>635</v>
      </c>
      <c r="O1299" t="s">
        <v>625</v>
      </c>
      <c r="P1299">
        <v>1</v>
      </c>
      <c r="Q1299">
        <v>0</v>
      </c>
      <c r="R1299">
        <v>23.9</v>
      </c>
      <c r="S1299" t="s">
        <v>156</v>
      </c>
      <c r="T1299" t="s">
        <v>778</v>
      </c>
    </row>
    <row r="1300" spans="1:20" x14ac:dyDescent="0.3">
      <c r="A1300">
        <v>1299</v>
      </c>
      <c r="B1300">
        <v>195</v>
      </c>
      <c r="C1300">
        <v>5</v>
      </c>
      <c r="D1300">
        <v>97.7</v>
      </c>
      <c r="E1300">
        <v>9.77</v>
      </c>
      <c r="F1300">
        <v>0</v>
      </c>
      <c r="G1300">
        <v>0.1</v>
      </c>
      <c r="H1300" t="s">
        <v>622</v>
      </c>
      <c r="J1300" t="s">
        <v>623</v>
      </c>
      <c r="K1300" s="1"/>
      <c r="L1300" s="1">
        <v>46075.641041666669</v>
      </c>
      <c r="M1300" s="2">
        <v>46075</v>
      </c>
      <c r="N1300" t="s">
        <v>635</v>
      </c>
      <c r="O1300" t="s">
        <v>625</v>
      </c>
      <c r="P1300">
        <v>1</v>
      </c>
      <c r="Q1300">
        <v>0</v>
      </c>
      <c r="R1300">
        <v>97.7</v>
      </c>
      <c r="S1300" t="s">
        <v>385</v>
      </c>
      <c r="T1300" t="s">
        <v>779</v>
      </c>
    </row>
    <row r="1301" spans="1:20" x14ac:dyDescent="0.3">
      <c r="A1301">
        <v>1300</v>
      </c>
      <c r="B1301">
        <v>59</v>
      </c>
      <c r="C1301">
        <v>4</v>
      </c>
      <c r="D1301">
        <v>35.770000000000003</v>
      </c>
      <c r="E1301">
        <v>3.58</v>
      </c>
      <c r="F1301">
        <v>0</v>
      </c>
      <c r="G1301">
        <v>0.1</v>
      </c>
      <c r="H1301" t="s">
        <v>622</v>
      </c>
      <c r="J1301" t="s">
        <v>623</v>
      </c>
      <c r="K1301" s="1"/>
      <c r="L1301" s="1">
        <v>46076.378599537034</v>
      </c>
      <c r="M1301" s="2">
        <v>46076</v>
      </c>
      <c r="N1301" t="s">
        <v>635</v>
      </c>
      <c r="O1301" t="s">
        <v>625</v>
      </c>
      <c r="P1301">
        <v>1</v>
      </c>
      <c r="Q1301">
        <v>0</v>
      </c>
      <c r="R1301">
        <v>35.770000000000003</v>
      </c>
      <c r="S1301" t="s">
        <v>114</v>
      </c>
      <c r="T1301" t="s">
        <v>778</v>
      </c>
    </row>
    <row r="1302" spans="1:20" x14ac:dyDescent="0.3">
      <c r="A1302">
        <v>1301</v>
      </c>
      <c r="B1302">
        <v>65</v>
      </c>
      <c r="C1302">
        <v>5</v>
      </c>
      <c r="D1302">
        <v>29.73</v>
      </c>
      <c r="E1302">
        <v>2.97</v>
      </c>
      <c r="F1302">
        <v>0</v>
      </c>
      <c r="G1302">
        <v>0.1</v>
      </c>
      <c r="H1302" t="s">
        <v>622</v>
      </c>
      <c r="J1302" t="s">
        <v>623</v>
      </c>
      <c r="K1302" s="1"/>
      <c r="L1302" s="1">
        <v>46076.384629629632</v>
      </c>
      <c r="M1302" s="2">
        <v>46076</v>
      </c>
      <c r="N1302" t="s">
        <v>635</v>
      </c>
      <c r="O1302" t="s">
        <v>625</v>
      </c>
      <c r="P1302">
        <v>1</v>
      </c>
      <c r="Q1302">
        <v>0</v>
      </c>
      <c r="R1302">
        <v>29.73</v>
      </c>
      <c r="S1302" t="s">
        <v>126</v>
      </c>
      <c r="T1302" t="s">
        <v>779</v>
      </c>
    </row>
    <row r="1303" spans="1:20" x14ac:dyDescent="0.3">
      <c r="A1303">
        <v>1302</v>
      </c>
      <c r="B1303">
        <v>230</v>
      </c>
      <c r="C1303">
        <v>2</v>
      </c>
      <c r="D1303">
        <v>123.08</v>
      </c>
      <c r="E1303">
        <v>12.31</v>
      </c>
      <c r="F1303">
        <v>0</v>
      </c>
      <c r="G1303">
        <v>0.1</v>
      </c>
      <c r="H1303" t="s">
        <v>622</v>
      </c>
      <c r="J1303" t="s">
        <v>623</v>
      </c>
      <c r="K1303" s="1"/>
      <c r="L1303" s="1">
        <v>46076.387037037035</v>
      </c>
      <c r="M1303" s="2">
        <v>46076</v>
      </c>
      <c r="N1303" t="s">
        <v>635</v>
      </c>
      <c r="O1303" t="s">
        <v>625</v>
      </c>
      <c r="P1303">
        <v>1</v>
      </c>
      <c r="Q1303">
        <v>0</v>
      </c>
      <c r="R1303">
        <v>123.08</v>
      </c>
      <c r="S1303" t="s">
        <v>455</v>
      </c>
      <c r="T1303" t="s">
        <v>776</v>
      </c>
    </row>
    <row r="1304" spans="1:20" x14ac:dyDescent="0.3">
      <c r="A1304">
        <v>1303</v>
      </c>
      <c r="B1304">
        <v>7</v>
      </c>
      <c r="C1304">
        <v>3</v>
      </c>
      <c r="D1304">
        <v>130.44</v>
      </c>
      <c r="E1304">
        <v>13.04</v>
      </c>
      <c r="F1304">
        <v>0</v>
      </c>
      <c r="G1304">
        <v>0.1</v>
      </c>
      <c r="H1304" t="s">
        <v>622</v>
      </c>
      <c r="J1304" t="s">
        <v>623</v>
      </c>
      <c r="K1304" s="1"/>
      <c r="L1304" s="1">
        <v>46076.42696759259</v>
      </c>
      <c r="M1304" s="2">
        <v>46076</v>
      </c>
      <c r="N1304" t="s">
        <v>635</v>
      </c>
      <c r="O1304" t="s">
        <v>625</v>
      </c>
      <c r="P1304">
        <v>1</v>
      </c>
      <c r="Q1304">
        <v>0</v>
      </c>
      <c r="R1304">
        <v>130.44</v>
      </c>
      <c r="S1304" t="s">
        <v>10</v>
      </c>
      <c r="T1304" t="s">
        <v>777</v>
      </c>
    </row>
    <row r="1305" spans="1:20" x14ac:dyDescent="0.3">
      <c r="A1305">
        <v>1304</v>
      </c>
      <c r="B1305">
        <v>96</v>
      </c>
      <c r="C1305">
        <v>4</v>
      </c>
      <c r="D1305">
        <v>166.2</v>
      </c>
      <c r="E1305">
        <v>16.62</v>
      </c>
      <c r="F1305">
        <v>0</v>
      </c>
      <c r="G1305">
        <v>0.1</v>
      </c>
      <c r="H1305" t="s">
        <v>622</v>
      </c>
      <c r="J1305" t="s">
        <v>623</v>
      </c>
      <c r="K1305" s="1"/>
      <c r="L1305" s="1">
        <v>46076.436307870368</v>
      </c>
      <c r="M1305" s="2">
        <v>46076</v>
      </c>
      <c r="N1305" t="s">
        <v>635</v>
      </c>
      <c r="O1305" t="s">
        <v>625</v>
      </c>
      <c r="P1305">
        <v>1</v>
      </c>
      <c r="Q1305">
        <v>0</v>
      </c>
      <c r="R1305">
        <v>166.2</v>
      </c>
      <c r="S1305" t="s">
        <v>187</v>
      </c>
      <c r="T1305" t="s">
        <v>778</v>
      </c>
    </row>
    <row r="1306" spans="1:20" x14ac:dyDescent="0.3">
      <c r="A1306">
        <v>1305</v>
      </c>
      <c r="B1306">
        <v>249</v>
      </c>
      <c r="C1306">
        <v>2</v>
      </c>
      <c r="D1306">
        <v>84.21</v>
      </c>
      <c r="E1306">
        <v>8.42</v>
      </c>
      <c r="F1306">
        <v>0</v>
      </c>
      <c r="G1306">
        <v>0.1</v>
      </c>
      <c r="H1306" t="s">
        <v>622</v>
      </c>
      <c r="J1306" t="s">
        <v>623</v>
      </c>
      <c r="K1306" s="1"/>
      <c r="L1306" s="1">
        <v>46076.436759259261</v>
      </c>
      <c r="M1306" s="2">
        <v>46076</v>
      </c>
      <c r="N1306" t="s">
        <v>635</v>
      </c>
      <c r="O1306" t="s">
        <v>625</v>
      </c>
      <c r="P1306">
        <v>1</v>
      </c>
      <c r="Q1306">
        <v>0</v>
      </c>
      <c r="R1306">
        <v>84.21</v>
      </c>
      <c r="S1306" t="s">
        <v>493</v>
      </c>
      <c r="T1306" t="s">
        <v>776</v>
      </c>
    </row>
    <row r="1307" spans="1:20" x14ac:dyDescent="0.3">
      <c r="A1307">
        <v>1306</v>
      </c>
      <c r="B1307">
        <v>52</v>
      </c>
      <c r="C1307">
        <v>5</v>
      </c>
      <c r="D1307">
        <v>32.21</v>
      </c>
      <c r="E1307">
        <v>3.22</v>
      </c>
      <c r="F1307">
        <v>0</v>
      </c>
      <c r="G1307">
        <v>0.1</v>
      </c>
      <c r="H1307" t="s">
        <v>622</v>
      </c>
      <c r="J1307" t="s">
        <v>623</v>
      </c>
      <c r="K1307" s="1"/>
      <c r="L1307" s="1">
        <v>46076.458321759259</v>
      </c>
      <c r="M1307" s="2">
        <v>46076</v>
      </c>
      <c r="N1307" t="s">
        <v>635</v>
      </c>
      <c r="O1307" t="s">
        <v>625</v>
      </c>
      <c r="P1307">
        <v>1</v>
      </c>
      <c r="Q1307">
        <v>0</v>
      </c>
      <c r="R1307">
        <v>32.21</v>
      </c>
      <c r="S1307" t="s">
        <v>100</v>
      </c>
      <c r="T1307" t="s">
        <v>779</v>
      </c>
    </row>
    <row r="1308" spans="1:20" x14ac:dyDescent="0.3">
      <c r="A1308">
        <v>1307</v>
      </c>
      <c r="B1308">
        <v>31</v>
      </c>
      <c r="C1308">
        <v>2</v>
      </c>
      <c r="D1308">
        <v>27.73</v>
      </c>
      <c r="E1308">
        <v>2.77</v>
      </c>
      <c r="F1308">
        <v>0</v>
      </c>
      <c r="G1308">
        <v>0.1</v>
      </c>
      <c r="H1308" t="s">
        <v>622</v>
      </c>
      <c r="J1308" t="s">
        <v>623</v>
      </c>
      <c r="K1308" s="1"/>
      <c r="L1308" s="1">
        <v>46076.535312499997</v>
      </c>
      <c r="M1308" s="2">
        <v>46076</v>
      </c>
      <c r="N1308" t="s">
        <v>635</v>
      </c>
      <c r="O1308" t="s">
        <v>625</v>
      </c>
      <c r="P1308">
        <v>1</v>
      </c>
      <c r="Q1308">
        <v>0</v>
      </c>
      <c r="R1308">
        <v>27.73</v>
      </c>
      <c r="S1308" t="s">
        <v>58</v>
      </c>
      <c r="T1308" t="s">
        <v>776</v>
      </c>
    </row>
    <row r="1309" spans="1:20" x14ac:dyDescent="0.3">
      <c r="A1309">
        <v>1308</v>
      </c>
      <c r="B1309">
        <v>293</v>
      </c>
      <c r="C1309">
        <v>2</v>
      </c>
      <c r="D1309">
        <v>30.34</v>
      </c>
      <c r="E1309">
        <v>3.03</v>
      </c>
      <c r="F1309">
        <v>0</v>
      </c>
      <c r="G1309">
        <v>0.1</v>
      </c>
      <c r="H1309" t="s">
        <v>626</v>
      </c>
      <c r="I1309">
        <v>5</v>
      </c>
      <c r="J1309" t="s">
        <v>632</v>
      </c>
      <c r="K1309" s="1">
        <v>46076.636631944442</v>
      </c>
      <c r="L1309" s="1">
        <v>46076.553298611114</v>
      </c>
      <c r="M1309" s="2">
        <v>46076</v>
      </c>
      <c r="N1309" t="s">
        <v>635</v>
      </c>
      <c r="O1309" t="s">
        <v>625</v>
      </c>
      <c r="P1309">
        <v>1</v>
      </c>
      <c r="Q1309">
        <v>1</v>
      </c>
      <c r="R1309">
        <v>0</v>
      </c>
      <c r="S1309" t="s">
        <v>581</v>
      </c>
      <c r="T1309" t="s">
        <v>776</v>
      </c>
    </row>
    <row r="1310" spans="1:20" x14ac:dyDescent="0.3">
      <c r="A1310">
        <v>1309</v>
      </c>
      <c r="B1310">
        <v>48</v>
      </c>
      <c r="C1310">
        <v>5</v>
      </c>
      <c r="D1310">
        <v>161.22</v>
      </c>
      <c r="E1310">
        <v>16.12</v>
      </c>
      <c r="F1310">
        <v>0</v>
      </c>
      <c r="G1310">
        <v>0.1</v>
      </c>
      <c r="H1310" t="s">
        <v>622</v>
      </c>
      <c r="J1310" t="s">
        <v>623</v>
      </c>
      <c r="K1310" s="1"/>
      <c r="L1310" s="1">
        <v>46076.672511574077</v>
      </c>
      <c r="M1310" s="2">
        <v>46076</v>
      </c>
      <c r="N1310" t="s">
        <v>635</v>
      </c>
      <c r="O1310" t="s">
        <v>625</v>
      </c>
      <c r="P1310">
        <v>1</v>
      </c>
      <c r="Q1310">
        <v>0</v>
      </c>
      <c r="R1310">
        <v>161.22</v>
      </c>
      <c r="S1310" t="s">
        <v>92</v>
      </c>
      <c r="T1310" t="s">
        <v>779</v>
      </c>
    </row>
    <row r="1311" spans="1:20" x14ac:dyDescent="0.3">
      <c r="A1311">
        <v>1310</v>
      </c>
      <c r="B1311">
        <v>72</v>
      </c>
      <c r="C1311">
        <v>4</v>
      </c>
      <c r="D1311">
        <v>31.16</v>
      </c>
      <c r="E1311">
        <v>3.12</v>
      </c>
      <c r="F1311">
        <v>0</v>
      </c>
      <c r="G1311">
        <v>0.1</v>
      </c>
      <c r="H1311" t="s">
        <v>622</v>
      </c>
      <c r="J1311" t="s">
        <v>623</v>
      </c>
      <c r="K1311" s="1"/>
      <c r="L1311" s="1">
        <v>46076.76699074074</v>
      </c>
      <c r="M1311" s="2">
        <v>46076</v>
      </c>
      <c r="N1311" t="s">
        <v>635</v>
      </c>
      <c r="O1311" t="s">
        <v>625</v>
      </c>
      <c r="P1311">
        <v>1</v>
      </c>
      <c r="Q1311">
        <v>0</v>
      </c>
      <c r="R1311">
        <v>31.16</v>
      </c>
      <c r="S1311" t="s">
        <v>140</v>
      </c>
      <c r="T1311" t="s">
        <v>778</v>
      </c>
    </row>
    <row r="1312" spans="1:20" x14ac:dyDescent="0.3">
      <c r="A1312">
        <v>1311</v>
      </c>
      <c r="B1312">
        <v>117</v>
      </c>
      <c r="C1312">
        <v>2</v>
      </c>
      <c r="D1312">
        <v>94.11</v>
      </c>
      <c r="E1312">
        <v>9.41</v>
      </c>
      <c r="F1312">
        <v>0</v>
      </c>
      <c r="G1312">
        <v>0.1</v>
      </c>
      <c r="H1312" t="s">
        <v>622</v>
      </c>
      <c r="J1312" t="s">
        <v>623</v>
      </c>
      <c r="K1312" s="1"/>
      <c r="L1312" s="1">
        <v>46076.768206018518</v>
      </c>
      <c r="M1312" s="2">
        <v>46076</v>
      </c>
      <c r="N1312" t="s">
        <v>635</v>
      </c>
      <c r="O1312" t="s">
        <v>625</v>
      </c>
      <c r="P1312">
        <v>1</v>
      </c>
      <c r="Q1312">
        <v>0</v>
      </c>
      <c r="R1312">
        <v>94.11</v>
      </c>
      <c r="S1312" t="s">
        <v>229</v>
      </c>
      <c r="T1312" t="s">
        <v>776</v>
      </c>
    </row>
    <row r="1313" spans="1:20" x14ac:dyDescent="0.3">
      <c r="A1313">
        <v>1312</v>
      </c>
      <c r="B1313">
        <v>293</v>
      </c>
      <c r="C1313">
        <v>2</v>
      </c>
      <c r="D1313">
        <v>23.32</v>
      </c>
      <c r="E1313">
        <v>2.33</v>
      </c>
      <c r="F1313">
        <v>0</v>
      </c>
      <c r="G1313">
        <v>0.1</v>
      </c>
      <c r="H1313" t="s">
        <v>622</v>
      </c>
      <c r="J1313" t="s">
        <v>623</v>
      </c>
      <c r="K1313" s="1"/>
      <c r="L1313" s="1">
        <v>46076.792916666665</v>
      </c>
      <c r="M1313" s="2">
        <v>46076</v>
      </c>
      <c r="N1313" t="s">
        <v>635</v>
      </c>
      <c r="O1313" t="s">
        <v>625</v>
      </c>
      <c r="P1313">
        <v>1</v>
      </c>
      <c r="Q1313">
        <v>0</v>
      </c>
      <c r="R1313">
        <v>23.32</v>
      </c>
      <c r="S1313" t="s">
        <v>581</v>
      </c>
      <c r="T1313" t="s">
        <v>776</v>
      </c>
    </row>
    <row r="1314" spans="1:20" x14ac:dyDescent="0.3">
      <c r="A1314">
        <v>1313</v>
      </c>
      <c r="B1314">
        <v>7</v>
      </c>
      <c r="C1314">
        <v>4</v>
      </c>
      <c r="D1314">
        <v>127.47</v>
      </c>
      <c r="E1314">
        <v>12.75</v>
      </c>
      <c r="F1314">
        <v>0</v>
      </c>
      <c r="G1314">
        <v>0.1</v>
      </c>
      <c r="H1314" t="s">
        <v>622</v>
      </c>
      <c r="J1314" t="s">
        <v>623</v>
      </c>
      <c r="K1314" s="1"/>
      <c r="L1314" s="1">
        <v>46077.316874999997</v>
      </c>
      <c r="M1314" s="2">
        <v>46077</v>
      </c>
      <c r="N1314" t="s">
        <v>635</v>
      </c>
      <c r="O1314" t="s">
        <v>625</v>
      </c>
      <c r="P1314">
        <v>1</v>
      </c>
      <c r="Q1314">
        <v>0</v>
      </c>
      <c r="R1314">
        <v>127.47</v>
      </c>
      <c r="S1314" t="s">
        <v>10</v>
      </c>
      <c r="T1314" t="s">
        <v>778</v>
      </c>
    </row>
    <row r="1315" spans="1:20" x14ac:dyDescent="0.3">
      <c r="A1315">
        <v>1314</v>
      </c>
      <c r="B1315">
        <v>23</v>
      </c>
      <c r="C1315">
        <v>3</v>
      </c>
      <c r="D1315">
        <v>205.08</v>
      </c>
      <c r="E1315">
        <v>20.51</v>
      </c>
      <c r="F1315">
        <v>0</v>
      </c>
      <c r="G1315">
        <v>0.1</v>
      </c>
      <c r="H1315" t="s">
        <v>622</v>
      </c>
      <c r="J1315" t="s">
        <v>623</v>
      </c>
      <c r="K1315" s="1"/>
      <c r="L1315" s="1">
        <v>46077.318229166667</v>
      </c>
      <c r="M1315" s="2">
        <v>46077</v>
      </c>
      <c r="N1315" t="s">
        <v>635</v>
      </c>
      <c r="O1315" t="s">
        <v>625</v>
      </c>
      <c r="P1315">
        <v>1</v>
      </c>
      <c r="Q1315">
        <v>0</v>
      </c>
      <c r="R1315">
        <v>205.08</v>
      </c>
      <c r="S1315" t="s">
        <v>42</v>
      </c>
      <c r="T1315" t="s">
        <v>777</v>
      </c>
    </row>
    <row r="1316" spans="1:20" x14ac:dyDescent="0.3">
      <c r="A1316">
        <v>1315</v>
      </c>
      <c r="B1316">
        <v>156</v>
      </c>
      <c r="C1316">
        <v>5</v>
      </c>
      <c r="D1316">
        <v>33.450000000000003</v>
      </c>
      <c r="E1316">
        <v>3.35</v>
      </c>
      <c r="F1316">
        <v>0</v>
      </c>
      <c r="G1316">
        <v>0.1</v>
      </c>
      <c r="H1316" t="s">
        <v>622</v>
      </c>
      <c r="J1316" t="s">
        <v>623</v>
      </c>
      <c r="K1316" s="1"/>
      <c r="L1316" s="1">
        <v>46077.324861111112</v>
      </c>
      <c r="M1316" s="2">
        <v>46077</v>
      </c>
      <c r="N1316" t="s">
        <v>635</v>
      </c>
      <c r="O1316" t="s">
        <v>625</v>
      </c>
      <c r="P1316">
        <v>1</v>
      </c>
      <c r="Q1316">
        <v>0</v>
      </c>
      <c r="R1316">
        <v>33.450000000000003</v>
      </c>
      <c r="S1316" t="s">
        <v>307</v>
      </c>
      <c r="T1316" t="s">
        <v>779</v>
      </c>
    </row>
    <row r="1317" spans="1:20" x14ac:dyDescent="0.3">
      <c r="A1317">
        <v>1316</v>
      </c>
      <c r="B1317">
        <v>17</v>
      </c>
      <c r="C1317">
        <v>4</v>
      </c>
      <c r="D1317">
        <v>51.69</v>
      </c>
      <c r="E1317">
        <v>5.17</v>
      </c>
      <c r="F1317">
        <v>0</v>
      </c>
      <c r="G1317">
        <v>0.1</v>
      </c>
      <c r="H1317" t="s">
        <v>622</v>
      </c>
      <c r="J1317" t="s">
        <v>623</v>
      </c>
      <c r="K1317" s="1"/>
      <c r="L1317" s="1">
        <v>46077.335821759261</v>
      </c>
      <c r="M1317" s="2">
        <v>46077</v>
      </c>
      <c r="N1317" t="s">
        <v>635</v>
      </c>
      <c r="O1317" t="s">
        <v>625</v>
      </c>
      <c r="P1317">
        <v>1</v>
      </c>
      <c r="Q1317">
        <v>0</v>
      </c>
      <c r="R1317">
        <v>51.69</v>
      </c>
      <c r="S1317" t="s">
        <v>30</v>
      </c>
      <c r="T1317" t="s">
        <v>778</v>
      </c>
    </row>
    <row r="1318" spans="1:20" x14ac:dyDescent="0.3">
      <c r="A1318">
        <v>1317</v>
      </c>
      <c r="B1318">
        <v>277</v>
      </c>
      <c r="C1318">
        <v>2</v>
      </c>
      <c r="D1318">
        <v>124.89</v>
      </c>
      <c r="E1318">
        <v>12.49</v>
      </c>
      <c r="F1318">
        <v>0</v>
      </c>
      <c r="G1318">
        <v>0.1</v>
      </c>
      <c r="H1318" t="s">
        <v>622</v>
      </c>
      <c r="J1318" t="s">
        <v>623</v>
      </c>
      <c r="K1318" s="1"/>
      <c r="L1318" s="1">
        <v>46077.416400462964</v>
      </c>
      <c r="M1318" s="2">
        <v>46077</v>
      </c>
      <c r="N1318" t="s">
        <v>635</v>
      </c>
      <c r="O1318" t="s">
        <v>625</v>
      </c>
      <c r="P1318">
        <v>1</v>
      </c>
      <c r="Q1318">
        <v>0</v>
      </c>
      <c r="R1318">
        <v>124.89</v>
      </c>
      <c r="S1318" t="s">
        <v>549</v>
      </c>
      <c r="T1318" t="s">
        <v>776</v>
      </c>
    </row>
    <row r="1319" spans="1:20" x14ac:dyDescent="0.3">
      <c r="A1319">
        <v>1318</v>
      </c>
      <c r="B1319">
        <v>136</v>
      </c>
      <c r="C1319">
        <v>5</v>
      </c>
      <c r="D1319">
        <v>55.76</v>
      </c>
      <c r="E1319">
        <v>5.58</v>
      </c>
      <c r="F1319">
        <v>0</v>
      </c>
      <c r="G1319">
        <v>0.1</v>
      </c>
      <c r="H1319" t="s">
        <v>626</v>
      </c>
      <c r="I1319">
        <v>3</v>
      </c>
      <c r="J1319" t="s">
        <v>632</v>
      </c>
      <c r="K1319" s="1">
        <v>46079.27244212963</v>
      </c>
      <c r="L1319" s="1">
        <v>46077.439108796294</v>
      </c>
      <c r="M1319" s="2">
        <v>46077</v>
      </c>
      <c r="N1319" t="s">
        <v>635</v>
      </c>
      <c r="O1319" t="s">
        <v>625</v>
      </c>
      <c r="P1319">
        <v>1</v>
      </c>
      <c r="Q1319">
        <v>1</v>
      </c>
      <c r="R1319">
        <v>0</v>
      </c>
      <c r="S1319" t="s">
        <v>267</v>
      </c>
      <c r="T1319" t="s">
        <v>779</v>
      </c>
    </row>
    <row r="1320" spans="1:20" x14ac:dyDescent="0.3">
      <c r="A1320">
        <v>1319</v>
      </c>
      <c r="B1320">
        <v>149</v>
      </c>
      <c r="C1320">
        <v>4</v>
      </c>
      <c r="D1320">
        <v>24.84</v>
      </c>
      <c r="E1320">
        <v>2.48</v>
      </c>
      <c r="F1320">
        <v>0</v>
      </c>
      <c r="G1320">
        <v>0.1</v>
      </c>
      <c r="H1320" t="s">
        <v>622</v>
      </c>
      <c r="J1320" t="s">
        <v>623</v>
      </c>
      <c r="K1320" s="1"/>
      <c r="L1320" s="1">
        <v>46077.480405092596</v>
      </c>
      <c r="M1320" s="2">
        <v>46077</v>
      </c>
      <c r="N1320" t="s">
        <v>635</v>
      </c>
      <c r="O1320" t="s">
        <v>625</v>
      </c>
      <c r="P1320">
        <v>1</v>
      </c>
      <c r="Q1320">
        <v>0</v>
      </c>
      <c r="R1320">
        <v>24.84</v>
      </c>
      <c r="S1320" t="s">
        <v>293</v>
      </c>
      <c r="T1320" t="s">
        <v>778</v>
      </c>
    </row>
    <row r="1321" spans="1:20" x14ac:dyDescent="0.3">
      <c r="A1321">
        <v>1320</v>
      </c>
      <c r="B1321">
        <v>172</v>
      </c>
      <c r="C1321">
        <v>3</v>
      </c>
      <c r="D1321">
        <v>20.16</v>
      </c>
      <c r="E1321">
        <v>2.02</v>
      </c>
      <c r="F1321">
        <v>0</v>
      </c>
      <c r="G1321">
        <v>0.1</v>
      </c>
      <c r="H1321" t="s">
        <v>622</v>
      </c>
      <c r="J1321" t="s">
        <v>623</v>
      </c>
      <c r="K1321" s="1"/>
      <c r="L1321" s="1">
        <v>46077.487627314818</v>
      </c>
      <c r="M1321" s="2">
        <v>46077</v>
      </c>
      <c r="N1321" t="s">
        <v>635</v>
      </c>
      <c r="O1321" t="s">
        <v>625</v>
      </c>
      <c r="P1321">
        <v>1</v>
      </c>
      <c r="Q1321">
        <v>0</v>
      </c>
      <c r="R1321">
        <v>20.16</v>
      </c>
      <c r="S1321" t="s">
        <v>339</v>
      </c>
      <c r="T1321" t="s">
        <v>777</v>
      </c>
    </row>
    <row r="1322" spans="1:20" x14ac:dyDescent="0.3">
      <c r="A1322">
        <v>1321</v>
      </c>
      <c r="B1322">
        <v>175</v>
      </c>
      <c r="C1322">
        <v>3</v>
      </c>
      <c r="D1322">
        <v>31.72</v>
      </c>
      <c r="E1322">
        <v>3.17</v>
      </c>
      <c r="F1322">
        <v>0</v>
      </c>
      <c r="G1322">
        <v>0.1</v>
      </c>
      <c r="H1322" t="s">
        <v>622</v>
      </c>
      <c r="J1322" t="s">
        <v>623</v>
      </c>
      <c r="K1322" s="1"/>
      <c r="L1322" s="1">
        <v>46077.611342592594</v>
      </c>
      <c r="M1322" s="2">
        <v>46077</v>
      </c>
      <c r="N1322" t="s">
        <v>635</v>
      </c>
      <c r="O1322" t="s">
        <v>625</v>
      </c>
      <c r="P1322">
        <v>1</v>
      </c>
      <c r="Q1322">
        <v>0</v>
      </c>
      <c r="R1322">
        <v>31.72</v>
      </c>
      <c r="S1322" t="s">
        <v>345</v>
      </c>
      <c r="T1322" t="s">
        <v>777</v>
      </c>
    </row>
    <row r="1323" spans="1:20" x14ac:dyDescent="0.3">
      <c r="A1323">
        <v>1322</v>
      </c>
      <c r="B1323">
        <v>268</v>
      </c>
      <c r="C1323">
        <v>2</v>
      </c>
      <c r="D1323">
        <v>23.63</v>
      </c>
      <c r="E1323">
        <v>2.36</v>
      </c>
      <c r="F1323">
        <v>0</v>
      </c>
      <c r="G1323">
        <v>0.1</v>
      </c>
      <c r="H1323" t="s">
        <v>622</v>
      </c>
      <c r="J1323" t="s">
        <v>623</v>
      </c>
      <c r="K1323" s="1"/>
      <c r="L1323" s="1">
        <v>46077.632627314815</v>
      </c>
      <c r="M1323" s="2">
        <v>46077</v>
      </c>
      <c r="N1323" t="s">
        <v>635</v>
      </c>
      <c r="O1323" t="s">
        <v>625</v>
      </c>
      <c r="P1323">
        <v>1</v>
      </c>
      <c r="Q1323">
        <v>0</v>
      </c>
      <c r="R1323">
        <v>23.63</v>
      </c>
      <c r="S1323" t="s">
        <v>531</v>
      </c>
      <c r="T1323" t="s">
        <v>776</v>
      </c>
    </row>
    <row r="1324" spans="1:20" x14ac:dyDescent="0.3">
      <c r="A1324">
        <v>1323</v>
      </c>
      <c r="B1324">
        <v>65</v>
      </c>
      <c r="C1324">
        <v>5</v>
      </c>
      <c r="D1324">
        <v>53.74</v>
      </c>
      <c r="E1324">
        <v>5.37</v>
      </c>
      <c r="F1324">
        <v>0</v>
      </c>
      <c r="G1324">
        <v>0.1</v>
      </c>
      <c r="H1324" t="s">
        <v>622</v>
      </c>
      <c r="J1324" t="s">
        <v>623</v>
      </c>
      <c r="K1324" s="1"/>
      <c r="L1324" s="1">
        <v>46077.655439814815</v>
      </c>
      <c r="M1324" s="2">
        <v>46077</v>
      </c>
      <c r="N1324" t="s">
        <v>635</v>
      </c>
      <c r="O1324" t="s">
        <v>625</v>
      </c>
      <c r="P1324">
        <v>1</v>
      </c>
      <c r="Q1324">
        <v>0</v>
      </c>
      <c r="R1324">
        <v>53.74</v>
      </c>
      <c r="S1324" t="s">
        <v>126</v>
      </c>
      <c r="T1324" t="s">
        <v>779</v>
      </c>
    </row>
    <row r="1325" spans="1:20" x14ac:dyDescent="0.3">
      <c r="A1325">
        <v>1324</v>
      </c>
      <c r="B1325">
        <v>304</v>
      </c>
      <c r="C1325">
        <v>2</v>
      </c>
      <c r="D1325">
        <v>14.14</v>
      </c>
      <c r="E1325">
        <v>1.41</v>
      </c>
      <c r="F1325">
        <v>0</v>
      </c>
      <c r="G1325">
        <v>0.1</v>
      </c>
      <c r="H1325" t="s">
        <v>622</v>
      </c>
      <c r="J1325" t="s">
        <v>623</v>
      </c>
      <c r="K1325" s="1"/>
      <c r="L1325" s="1">
        <v>46077.721689814818</v>
      </c>
      <c r="M1325" s="2">
        <v>46077</v>
      </c>
      <c r="N1325" t="s">
        <v>635</v>
      </c>
      <c r="O1325" t="s">
        <v>625</v>
      </c>
      <c r="P1325">
        <v>1</v>
      </c>
      <c r="Q1325">
        <v>0</v>
      </c>
      <c r="R1325">
        <v>14.14</v>
      </c>
      <c r="S1325" t="s">
        <v>603</v>
      </c>
      <c r="T1325" t="s">
        <v>776</v>
      </c>
    </row>
    <row r="1326" spans="1:20" x14ac:dyDescent="0.3">
      <c r="A1326">
        <v>1325</v>
      </c>
      <c r="B1326">
        <v>126</v>
      </c>
      <c r="C1326">
        <v>2</v>
      </c>
      <c r="D1326">
        <v>147.58000000000001</v>
      </c>
      <c r="E1326">
        <v>14.76</v>
      </c>
      <c r="F1326">
        <v>0</v>
      </c>
      <c r="G1326">
        <v>0.1</v>
      </c>
      <c r="H1326" t="s">
        <v>622</v>
      </c>
      <c r="J1326" t="s">
        <v>623</v>
      </c>
      <c r="K1326" s="1"/>
      <c r="L1326" s="1">
        <v>46077.785439814812</v>
      </c>
      <c r="M1326" s="2">
        <v>46077</v>
      </c>
      <c r="N1326" t="s">
        <v>635</v>
      </c>
      <c r="O1326" t="s">
        <v>625</v>
      </c>
      <c r="P1326">
        <v>1</v>
      </c>
      <c r="Q1326">
        <v>0</v>
      </c>
      <c r="R1326">
        <v>147.58000000000001</v>
      </c>
      <c r="S1326" t="s">
        <v>247</v>
      </c>
      <c r="T1326" t="s">
        <v>776</v>
      </c>
    </row>
    <row r="1327" spans="1:20" x14ac:dyDescent="0.3">
      <c r="A1327">
        <v>1326</v>
      </c>
      <c r="B1327">
        <v>42</v>
      </c>
      <c r="C1327">
        <v>4</v>
      </c>
      <c r="D1327">
        <v>35.29</v>
      </c>
      <c r="E1327">
        <v>3.53</v>
      </c>
      <c r="F1327">
        <v>0</v>
      </c>
      <c r="G1327">
        <v>0.1</v>
      </c>
      <c r="H1327" t="s">
        <v>622</v>
      </c>
      <c r="J1327" t="s">
        <v>623</v>
      </c>
      <c r="K1327" s="1"/>
      <c r="L1327" s="1">
        <v>46078.402418981481</v>
      </c>
      <c r="M1327" s="2">
        <v>46078</v>
      </c>
      <c r="N1327" t="s">
        <v>635</v>
      </c>
      <c r="O1327" t="s">
        <v>625</v>
      </c>
      <c r="P1327">
        <v>1</v>
      </c>
      <c r="Q1327">
        <v>0</v>
      </c>
      <c r="R1327">
        <v>35.29</v>
      </c>
      <c r="S1327" t="s">
        <v>80</v>
      </c>
      <c r="T1327" t="s">
        <v>778</v>
      </c>
    </row>
    <row r="1328" spans="1:20" x14ac:dyDescent="0.3">
      <c r="A1328">
        <v>1327</v>
      </c>
      <c r="B1328">
        <v>20</v>
      </c>
      <c r="C1328">
        <v>2</v>
      </c>
      <c r="D1328">
        <v>20.22</v>
      </c>
      <c r="E1328">
        <v>2.02</v>
      </c>
      <c r="F1328">
        <v>0</v>
      </c>
      <c r="G1328">
        <v>0.1</v>
      </c>
      <c r="H1328" t="s">
        <v>622</v>
      </c>
      <c r="J1328" t="s">
        <v>623</v>
      </c>
      <c r="K1328" s="1"/>
      <c r="L1328" s="1">
        <v>46078.454143518517</v>
      </c>
      <c r="M1328" s="2">
        <v>46078</v>
      </c>
      <c r="N1328" t="s">
        <v>635</v>
      </c>
      <c r="O1328" t="s">
        <v>625</v>
      </c>
      <c r="P1328">
        <v>1</v>
      </c>
      <c r="Q1328">
        <v>0</v>
      </c>
      <c r="R1328">
        <v>20.22</v>
      </c>
      <c r="S1328" t="s">
        <v>36</v>
      </c>
      <c r="T1328" t="s">
        <v>776</v>
      </c>
    </row>
    <row r="1329" spans="1:20" x14ac:dyDescent="0.3">
      <c r="A1329">
        <v>1328</v>
      </c>
      <c r="B1329">
        <v>113</v>
      </c>
      <c r="C1329">
        <v>2</v>
      </c>
      <c r="D1329">
        <v>18.579999999999998</v>
      </c>
      <c r="E1329">
        <v>1.86</v>
      </c>
      <c r="F1329">
        <v>0</v>
      </c>
      <c r="G1329">
        <v>0.1</v>
      </c>
      <c r="H1329" t="s">
        <v>622</v>
      </c>
      <c r="J1329" t="s">
        <v>623</v>
      </c>
      <c r="K1329" s="1"/>
      <c r="L1329" s="1">
        <v>46078.465925925928</v>
      </c>
      <c r="M1329" s="2">
        <v>46078</v>
      </c>
      <c r="N1329" t="s">
        <v>635</v>
      </c>
      <c r="O1329" t="s">
        <v>625</v>
      </c>
      <c r="P1329">
        <v>1</v>
      </c>
      <c r="Q1329">
        <v>0</v>
      </c>
      <c r="R1329">
        <v>18.579999999999998</v>
      </c>
      <c r="S1329" t="s">
        <v>221</v>
      </c>
      <c r="T1329" t="s">
        <v>776</v>
      </c>
    </row>
    <row r="1330" spans="1:20" x14ac:dyDescent="0.3">
      <c r="A1330">
        <v>1329</v>
      </c>
      <c r="B1330">
        <v>76</v>
      </c>
      <c r="C1330">
        <v>2</v>
      </c>
      <c r="D1330">
        <v>77.91</v>
      </c>
      <c r="E1330">
        <v>7.79</v>
      </c>
      <c r="F1330">
        <v>0</v>
      </c>
      <c r="G1330">
        <v>0.1</v>
      </c>
      <c r="H1330" t="s">
        <v>622</v>
      </c>
      <c r="J1330" t="s">
        <v>623</v>
      </c>
      <c r="K1330" s="1"/>
      <c r="L1330" s="1">
        <v>46078.49690972222</v>
      </c>
      <c r="M1330" s="2">
        <v>46078</v>
      </c>
      <c r="N1330" t="s">
        <v>635</v>
      </c>
      <c r="O1330" t="s">
        <v>625</v>
      </c>
      <c r="P1330">
        <v>1</v>
      </c>
      <c r="Q1330">
        <v>0</v>
      </c>
      <c r="R1330">
        <v>77.91</v>
      </c>
      <c r="S1330" t="s">
        <v>148</v>
      </c>
      <c r="T1330" t="s">
        <v>776</v>
      </c>
    </row>
    <row r="1331" spans="1:20" x14ac:dyDescent="0.3">
      <c r="A1331">
        <v>1330</v>
      </c>
      <c r="B1331">
        <v>117</v>
      </c>
      <c r="C1331">
        <v>2</v>
      </c>
      <c r="D1331">
        <v>73.44</v>
      </c>
      <c r="E1331">
        <v>7.34</v>
      </c>
      <c r="F1331">
        <v>0</v>
      </c>
      <c r="G1331">
        <v>0.1</v>
      </c>
      <c r="H1331" t="s">
        <v>622</v>
      </c>
      <c r="J1331" t="s">
        <v>623</v>
      </c>
      <c r="K1331" s="1"/>
      <c r="L1331" s="1">
        <v>46078.518807870372</v>
      </c>
      <c r="M1331" s="2">
        <v>46078</v>
      </c>
      <c r="N1331" t="s">
        <v>635</v>
      </c>
      <c r="O1331" t="s">
        <v>625</v>
      </c>
      <c r="P1331">
        <v>1</v>
      </c>
      <c r="Q1331">
        <v>0</v>
      </c>
      <c r="R1331">
        <v>73.44</v>
      </c>
      <c r="S1331" t="s">
        <v>229</v>
      </c>
      <c r="T1331" t="s">
        <v>776</v>
      </c>
    </row>
    <row r="1332" spans="1:20" x14ac:dyDescent="0.3">
      <c r="A1332">
        <v>1331</v>
      </c>
      <c r="B1332">
        <v>21</v>
      </c>
      <c r="C1332">
        <v>4</v>
      </c>
      <c r="D1332">
        <v>30.14</v>
      </c>
      <c r="E1332">
        <v>3.01</v>
      </c>
      <c r="F1332">
        <v>0</v>
      </c>
      <c r="G1332">
        <v>0.1</v>
      </c>
      <c r="H1332" t="s">
        <v>622</v>
      </c>
      <c r="J1332" t="s">
        <v>623</v>
      </c>
      <c r="K1332" s="1"/>
      <c r="L1332" s="1">
        <v>46078.538078703707</v>
      </c>
      <c r="M1332" s="2">
        <v>46078</v>
      </c>
      <c r="N1332" t="s">
        <v>635</v>
      </c>
      <c r="O1332" t="s">
        <v>625</v>
      </c>
      <c r="P1332">
        <v>1</v>
      </c>
      <c r="Q1332">
        <v>0</v>
      </c>
      <c r="R1332">
        <v>30.14</v>
      </c>
      <c r="S1332" t="s">
        <v>38</v>
      </c>
      <c r="T1332" t="s">
        <v>778</v>
      </c>
    </row>
    <row r="1333" spans="1:20" x14ac:dyDescent="0.3">
      <c r="A1333">
        <v>1332</v>
      </c>
      <c r="B1333">
        <v>76</v>
      </c>
      <c r="C1333">
        <v>3</v>
      </c>
      <c r="D1333">
        <v>62.71</v>
      </c>
      <c r="E1333">
        <v>6.27</v>
      </c>
      <c r="F1333">
        <v>0</v>
      </c>
      <c r="G1333">
        <v>0.1</v>
      </c>
      <c r="H1333" t="s">
        <v>622</v>
      </c>
      <c r="J1333" t="s">
        <v>623</v>
      </c>
      <c r="K1333" s="1"/>
      <c r="L1333" s="1">
        <v>46078.647002314814</v>
      </c>
      <c r="M1333" s="2">
        <v>46078</v>
      </c>
      <c r="N1333" t="s">
        <v>635</v>
      </c>
      <c r="O1333" t="s">
        <v>625</v>
      </c>
      <c r="P1333">
        <v>1</v>
      </c>
      <c r="Q1333">
        <v>0</v>
      </c>
      <c r="R1333">
        <v>62.71</v>
      </c>
      <c r="S1333" t="s">
        <v>148</v>
      </c>
      <c r="T1333" t="s">
        <v>777</v>
      </c>
    </row>
    <row r="1334" spans="1:20" x14ac:dyDescent="0.3">
      <c r="A1334">
        <v>1333</v>
      </c>
      <c r="B1334">
        <v>227</v>
      </c>
      <c r="C1334">
        <v>2</v>
      </c>
      <c r="D1334">
        <v>26.04</v>
      </c>
      <c r="E1334">
        <v>2.6</v>
      </c>
      <c r="F1334">
        <v>0</v>
      </c>
      <c r="G1334">
        <v>0.1</v>
      </c>
      <c r="H1334" t="s">
        <v>622</v>
      </c>
      <c r="J1334" t="s">
        <v>623</v>
      </c>
      <c r="K1334" s="1"/>
      <c r="L1334" s="1">
        <v>46078.775277777779</v>
      </c>
      <c r="M1334" s="2">
        <v>46078</v>
      </c>
      <c r="N1334" t="s">
        <v>635</v>
      </c>
      <c r="O1334" t="s">
        <v>625</v>
      </c>
      <c r="P1334">
        <v>1</v>
      </c>
      <c r="Q1334">
        <v>0</v>
      </c>
      <c r="R1334">
        <v>26.04</v>
      </c>
      <c r="S1334" t="s">
        <v>449</v>
      </c>
      <c r="T1334" t="s">
        <v>776</v>
      </c>
    </row>
    <row r="1335" spans="1:20" x14ac:dyDescent="0.3">
      <c r="A1335">
        <v>1334</v>
      </c>
      <c r="B1335">
        <v>117</v>
      </c>
      <c r="C1335">
        <v>5</v>
      </c>
      <c r="D1335">
        <v>57.51</v>
      </c>
      <c r="E1335">
        <v>5.75</v>
      </c>
      <c r="F1335">
        <v>0</v>
      </c>
      <c r="G1335">
        <v>0.1</v>
      </c>
      <c r="H1335" t="s">
        <v>622</v>
      </c>
      <c r="J1335" t="s">
        <v>623</v>
      </c>
      <c r="K1335" s="1"/>
      <c r="L1335" s="1">
        <v>46078.793703703705</v>
      </c>
      <c r="M1335" s="2">
        <v>46078</v>
      </c>
      <c r="N1335" t="s">
        <v>635</v>
      </c>
      <c r="O1335" t="s">
        <v>625</v>
      </c>
      <c r="P1335">
        <v>1</v>
      </c>
      <c r="Q1335">
        <v>0</v>
      </c>
      <c r="R1335">
        <v>57.51</v>
      </c>
      <c r="S1335" t="s">
        <v>229</v>
      </c>
      <c r="T1335" t="s">
        <v>779</v>
      </c>
    </row>
    <row r="1336" spans="1:20" x14ac:dyDescent="0.3">
      <c r="A1336">
        <v>1335</v>
      </c>
      <c r="B1336">
        <v>302</v>
      </c>
      <c r="C1336">
        <v>2</v>
      </c>
      <c r="D1336">
        <v>36.549999999999997</v>
      </c>
      <c r="E1336">
        <v>3.66</v>
      </c>
      <c r="F1336">
        <v>0</v>
      </c>
      <c r="G1336">
        <v>0.1</v>
      </c>
      <c r="H1336" t="s">
        <v>622</v>
      </c>
      <c r="J1336" t="s">
        <v>623</v>
      </c>
      <c r="K1336" s="1"/>
      <c r="L1336" s="1">
        <v>46079.310555555552</v>
      </c>
      <c r="M1336" s="2">
        <v>46079</v>
      </c>
      <c r="N1336" t="s">
        <v>635</v>
      </c>
      <c r="O1336" t="s">
        <v>625</v>
      </c>
      <c r="P1336">
        <v>1</v>
      </c>
      <c r="Q1336">
        <v>0</v>
      </c>
      <c r="R1336">
        <v>36.549999999999997</v>
      </c>
      <c r="S1336" t="s">
        <v>599</v>
      </c>
      <c r="T1336" t="s">
        <v>776</v>
      </c>
    </row>
    <row r="1337" spans="1:20" x14ac:dyDescent="0.3">
      <c r="A1337">
        <v>1336</v>
      </c>
      <c r="B1337">
        <v>65</v>
      </c>
      <c r="C1337">
        <v>2</v>
      </c>
      <c r="D1337">
        <v>32.24</v>
      </c>
      <c r="E1337">
        <v>3.22</v>
      </c>
      <c r="F1337">
        <v>0</v>
      </c>
      <c r="G1337">
        <v>0.1</v>
      </c>
      <c r="H1337" t="s">
        <v>626</v>
      </c>
      <c r="I1337">
        <v>4</v>
      </c>
      <c r="J1337" t="s">
        <v>631</v>
      </c>
      <c r="K1337" s="1">
        <v>46079.772696759261</v>
      </c>
      <c r="L1337" s="1">
        <v>46079.397696759261</v>
      </c>
      <c r="M1337" s="2">
        <v>46079</v>
      </c>
      <c r="N1337" t="s">
        <v>635</v>
      </c>
      <c r="O1337" t="s">
        <v>625</v>
      </c>
      <c r="P1337">
        <v>1</v>
      </c>
      <c r="Q1337">
        <v>1</v>
      </c>
      <c r="R1337">
        <v>0</v>
      </c>
      <c r="S1337" t="s">
        <v>126</v>
      </c>
      <c r="T1337" t="s">
        <v>776</v>
      </c>
    </row>
    <row r="1338" spans="1:20" x14ac:dyDescent="0.3">
      <c r="A1338">
        <v>1337</v>
      </c>
      <c r="B1338">
        <v>212</v>
      </c>
      <c r="C1338">
        <v>2</v>
      </c>
      <c r="D1338">
        <v>100.54</v>
      </c>
      <c r="E1338">
        <v>10.050000000000001</v>
      </c>
      <c r="F1338">
        <v>0</v>
      </c>
      <c r="G1338">
        <v>0.1</v>
      </c>
      <c r="H1338" t="s">
        <v>622</v>
      </c>
      <c r="J1338" t="s">
        <v>623</v>
      </c>
      <c r="K1338" s="1"/>
      <c r="L1338" s="1">
        <v>46079.404849537037</v>
      </c>
      <c r="M1338" s="2">
        <v>46079</v>
      </c>
      <c r="N1338" t="s">
        <v>635</v>
      </c>
      <c r="O1338" t="s">
        <v>625</v>
      </c>
      <c r="P1338">
        <v>1</v>
      </c>
      <c r="Q1338">
        <v>0</v>
      </c>
      <c r="R1338">
        <v>100.54</v>
      </c>
      <c r="S1338" t="s">
        <v>419</v>
      </c>
      <c r="T1338" t="s">
        <v>776</v>
      </c>
    </row>
    <row r="1339" spans="1:20" x14ac:dyDescent="0.3">
      <c r="A1339">
        <v>1338</v>
      </c>
      <c r="B1339">
        <v>92</v>
      </c>
      <c r="C1339">
        <v>5</v>
      </c>
      <c r="D1339">
        <v>40.53</v>
      </c>
      <c r="E1339">
        <v>4.05</v>
      </c>
      <c r="F1339">
        <v>0</v>
      </c>
      <c r="G1339">
        <v>0.1</v>
      </c>
      <c r="H1339" t="s">
        <v>622</v>
      </c>
      <c r="J1339" t="s">
        <v>623</v>
      </c>
      <c r="K1339" s="1"/>
      <c r="L1339" s="1">
        <v>46079.405833333331</v>
      </c>
      <c r="M1339" s="2">
        <v>46079</v>
      </c>
      <c r="N1339" t="s">
        <v>635</v>
      </c>
      <c r="O1339" t="s">
        <v>625</v>
      </c>
      <c r="P1339">
        <v>1</v>
      </c>
      <c r="Q1339">
        <v>0</v>
      </c>
      <c r="R1339">
        <v>40.53</v>
      </c>
      <c r="S1339" t="s">
        <v>179</v>
      </c>
      <c r="T1339" t="s">
        <v>779</v>
      </c>
    </row>
    <row r="1340" spans="1:20" x14ac:dyDescent="0.3">
      <c r="A1340">
        <v>1339</v>
      </c>
      <c r="B1340">
        <v>175</v>
      </c>
      <c r="C1340">
        <v>2</v>
      </c>
      <c r="D1340">
        <v>45.53</v>
      </c>
      <c r="E1340">
        <v>4.55</v>
      </c>
      <c r="F1340">
        <v>0</v>
      </c>
      <c r="G1340">
        <v>0.1</v>
      </c>
      <c r="H1340" t="s">
        <v>622</v>
      </c>
      <c r="J1340" t="s">
        <v>623</v>
      </c>
      <c r="K1340" s="1"/>
      <c r="L1340" s="1">
        <v>46079.458136574074</v>
      </c>
      <c r="M1340" s="2">
        <v>46079</v>
      </c>
      <c r="N1340" t="s">
        <v>635</v>
      </c>
      <c r="O1340" t="s">
        <v>625</v>
      </c>
      <c r="P1340">
        <v>1</v>
      </c>
      <c r="Q1340">
        <v>0</v>
      </c>
      <c r="R1340">
        <v>45.53</v>
      </c>
      <c r="S1340" t="s">
        <v>345</v>
      </c>
      <c r="T1340" t="s">
        <v>776</v>
      </c>
    </row>
    <row r="1341" spans="1:20" x14ac:dyDescent="0.3">
      <c r="A1341">
        <v>1340</v>
      </c>
      <c r="B1341">
        <v>244</v>
      </c>
      <c r="C1341">
        <v>4</v>
      </c>
      <c r="D1341">
        <v>89.2</v>
      </c>
      <c r="E1341">
        <v>8.92</v>
      </c>
      <c r="F1341">
        <v>0</v>
      </c>
      <c r="G1341">
        <v>0.1</v>
      </c>
      <c r="H1341" t="s">
        <v>622</v>
      </c>
      <c r="J1341" t="s">
        <v>623</v>
      </c>
      <c r="K1341" s="1"/>
      <c r="L1341" s="1">
        <v>46079.614120370374</v>
      </c>
      <c r="M1341" s="2">
        <v>46079</v>
      </c>
      <c r="N1341" t="s">
        <v>635</v>
      </c>
      <c r="O1341" t="s">
        <v>625</v>
      </c>
      <c r="P1341">
        <v>1</v>
      </c>
      <c r="Q1341">
        <v>0</v>
      </c>
      <c r="R1341">
        <v>89.2</v>
      </c>
      <c r="S1341" t="s">
        <v>483</v>
      </c>
      <c r="T1341" t="s">
        <v>778</v>
      </c>
    </row>
    <row r="1342" spans="1:20" x14ac:dyDescent="0.3">
      <c r="A1342">
        <v>1341</v>
      </c>
      <c r="B1342">
        <v>137</v>
      </c>
      <c r="C1342">
        <v>3</v>
      </c>
      <c r="D1342">
        <v>73.94</v>
      </c>
      <c r="E1342">
        <v>7.39</v>
      </c>
      <c r="F1342">
        <v>0</v>
      </c>
      <c r="G1342">
        <v>0.1</v>
      </c>
      <c r="H1342" t="s">
        <v>622</v>
      </c>
      <c r="J1342" t="s">
        <v>623</v>
      </c>
      <c r="K1342" s="1"/>
      <c r="L1342" s="1">
        <v>46079.695706018516</v>
      </c>
      <c r="M1342" s="2">
        <v>46079</v>
      </c>
      <c r="N1342" t="s">
        <v>635</v>
      </c>
      <c r="O1342" t="s">
        <v>625</v>
      </c>
      <c r="P1342">
        <v>1</v>
      </c>
      <c r="Q1342">
        <v>0</v>
      </c>
      <c r="R1342">
        <v>73.94</v>
      </c>
      <c r="S1342" t="s">
        <v>269</v>
      </c>
      <c r="T1342" t="s">
        <v>777</v>
      </c>
    </row>
    <row r="1343" spans="1:20" x14ac:dyDescent="0.3">
      <c r="A1343">
        <v>1342</v>
      </c>
      <c r="B1343">
        <v>6</v>
      </c>
      <c r="C1343">
        <v>4</v>
      </c>
      <c r="D1343">
        <v>32.42</v>
      </c>
      <c r="E1343">
        <v>3.24</v>
      </c>
      <c r="F1343">
        <v>0</v>
      </c>
      <c r="G1343">
        <v>0.1</v>
      </c>
      <c r="H1343" t="s">
        <v>622</v>
      </c>
      <c r="J1343" t="s">
        <v>623</v>
      </c>
      <c r="K1343" s="1"/>
      <c r="L1343" s="1">
        <v>46079.744212962964</v>
      </c>
      <c r="M1343" s="2">
        <v>46079</v>
      </c>
      <c r="N1343" t="s">
        <v>635</v>
      </c>
      <c r="O1343" t="s">
        <v>625</v>
      </c>
      <c r="P1343">
        <v>1</v>
      </c>
      <c r="Q1343">
        <v>0</v>
      </c>
      <c r="R1343">
        <v>32.42</v>
      </c>
      <c r="S1343" t="s">
        <v>8</v>
      </c>
      <c r="T1343" t="s">
        <v>778</v>
      </c>
    </row>
    <row r="1344" spans="1:20" x14ac:dyDescent="0.3">
      <c r="A1344">
        <v>1343</v>
      </c>
      <c r="B1344">
        <v>7</v>
      </c>
      <c r="C1344">
        <v>4</v>
      </c>
      <c r="D1344">
        <v>47.8</v>
      </c>
      <c r="E1344">
        <v>0</v>
      </c>
      <c r="F1344">
        <v>1</v>
      </c>
      <c r="G1344">
        <v>0.1</v>
      </c>
      <c r="H1344" t="s">
        <v>622</v>
      </c>
      <c r="J1344" t="s">
        <v>623</v>
      </c>
      <c r="K1344" s="1"/>
      <c r="L1344" s="1">
        <v>46079.799664351849</v>
      </c>
      <c r="M1344" s="2">
        <v>46079</v>
      </c>
      <c r="N1344" t="s">
        <v>635</v>
      </c>
      <c r="O1344" t="s">
        <v>629</v>
      </c>
      <c r="P1344">
        <v>1</v>
      </c>
      <c r="Q1344">
        <v>0</v>
      </c>
      <c r="R1344">
        <v>47.8</v>
      </c>
      <c r="S1344" t="s">
        <v>10</v>
      </c>
      <c r="T1344" t="s">
        <v>778</v>
      </c>
    </row>
    <row r="1345" spans="1:20" x14ac:dyDescent="0.3">
      <c r="A1345">
        <v>1344</v>
      </c>
      <c r="B1345">
        <v>127</v>
      </c>
      <c r="C1345">
        <v>2</v>
      </c>
      <c r="D1345">
        <v>61.46</v>
      </c>
      <c r="E1345">
        <v>6.15</v>
      </c>
      <c r="F1345">
        <v>0</v>
      </c>
      <c r="G1345">
        <v>0.1</v>
      </c>
      <c r="H1345" t="s">
        <v>622</v>
      </c>
      <c r="J1345" t="s">
        <v>623</v>
      </c>
      <c r="K1345" s="1"/>
      <c r="L1345" s="1">
        <v>46079.816331018519</v>
      </c>
      <c r="M1345" s="2">
        <v>46079</v>
      </c>
      <c r="N1345" t="s">
        <v>635</v>
      </c>
      <c r="O1345" t="s">
        <v>625</v>
      </c>
      <c r="P1345">
        <v>1</v>
      </c>
      <c r="Q1345">
        <v>0</v>
      </c>
      <c r="R1345">
        <v>61.46</v>
      </c>
      <c r="S1345" t="s">
        <v>249</v>
      </c>
      <c r="T1345" t="s">
        <v>776</v>
      </c>
    </row>
    <row r="1346" spans="1:20" x14ac:dyDescent="0.3">
      <c r="A1346">
        <v>1345</v>
      </c>
      <c r="B1346">
        <v>262</v>
      </c>
      <c r="C1346">
        <v>2</v>
      </c>
      <c r="D1346">
        <v>75.06</v>
      </c>
      <c r="E1346">
        <v>7.51</v>
      </c>
      <c r="F1346">
        <v>0</v>
      </c>
      <c r="G1346">
        <v>0.1</v>
      </c>
      <c r="H1346" t="s">
        <v>622</v>
      </c>
      <c r="J1346" t="s">
        <v>623</v>
      </c>
      <c r="K1346" s="1"/>
      <c r="L1346" s="1">
        <v>46080.353680555556</v>
      </c>
      <c r="M1346" s="2">
        <v>46080</v>
      </c>
      <c r="N1346" t="s">
        <v>635</v>
      </c>
      <c r="O1346" t="s">
        <v>625</v>
      </c>
      <c r="P1346">
        <v>1</v>
      </c>
      <c r="Q1346">
        <v>0</v>
      </c>
      <c r="R1346">
        <v>75.06</v>
      </c>
      <c r="S1346" t="s">
        <v>519</v>
      </c>
      <c r="T1346" t="s">
        <v>776</v>
      </c>
    </row>
    <row r="1347" spans="1:20" x14ac:dyDescent="0.3">
      <c r="A1347">
        <v>1346</v>
      </c>
      <c r="B1347">
        <v>230</v>
      </c>
      <c r="C1347">
        <v>2</v>
      </c>
      <c r="D1347">
        <v>166.97</v>
      </c>
      <c r="E1347">
        <v>16.7</v>
      </c>
      <c r="F1347">
        <v>0</v>
      </c>
      <c r="G1347">
        <v>0.1</v>
      </c>
      <c r="H1347" t="s">
        <v>622</v>
      </c>
      <c r="J1347" t="s">
        <v>623</v>
      </c>
      <c r="K1347" s="1"/>
      <c r="L1347" s="1">
        <v>46080.373541666668</v>
      </c>
      <c r="M1347" s="2">
        <v>46080</v>
      </c>
      <c r="N1347" t="s">
        <v>635</v>
      </c>
      <c r="O1347" t="s">
        <v>625</v>
      </c>
      <c r="P1347">
        <v>1</v>
      </c>
      <c r="Q1347">
        <v>0</v>
      </c>
      <c r="R1347">
        <v>166.97</v>
      </c>
      <c r="S1347" t="s">
        <v>455</v>
      </c>
      <c r="T1347" t="s">
        <v>776</v>
      </c>
    </row>
    <row r="1348" spans="1:20" x14ac:dyDescent="0.3">
      <c r="A1348">
        <v>1347</v>
      </c>
      <c r="B1348">
        <v>39</v>
      </c>
      <c r="C1348">
        <v>4</v>
      </c>
      <c r="D1348">
        <v>102.16</v>
      </c>
      <c r="E1348">
        <v>10.220000000000001</v>
      </c>
      <c r="F1348">
        <v>0</v>
      </c>
      <c r="G1348">
        <v>0.1</v>
      </c>
      <c r="H1348" t="s">
        <v>622</v>
      </c>
      <c r="J1348" t="s">
        <v>623</v>
      </c>
      <c r="K1348" s="1"/>
      <c r="L1348" s="1">
        <v>46080.414652777778</v>
      </c>
      <c r="M1348" s="2">
        <v>46080</v>
      </c>
      <c r="N1348" t="s">
        <v>635</v>
      </c>
      <c r="O1348" t="s">
        <v>625</v>
      </c>
      <c r="P1348">
        <v>1</v>
      </c>
      <c r="Q1348">
        <v>0</v>
      </c>
      <c r="R1348">
        <v>102.16</v>
      </c>
      <c r="S1348" t="s">
        <v>74</v>
      </c>
      <c r="T1348" t="s">
        <v>778</v>
      </c>
    </row>
    <row r="1349" spans="1:20" x14ac:dyDescent="0.3">
      <c r="A1349">
        <v>1348</v>
      </c>
      <c r="B1349">
        <v>300</v>
      </c>
      <c r="C1349">
        <v>2</v>
      </c>
      <c r="D1349">
        <v>60.99</v>
      </c>
      <c r="E1349">
        <v>6.1</v>
      </c>
      <c r="F1349">
        <v>0</v>
      </c>
      <c r="G1349">
        <v>0.1</v>
      </c>
      <c r="H1349" t="s">
        <v>622</v>
      </c>
      <c r="J1349" t="s">
        <v>623</v>
      </c>
      <c r="K1349" s="1"/>
      <c r="L1349" s="1">
        <v>46080.430960648147</v>
      </c>
      <c r="M1349" s="2">
        <v>46080</v>
      </c>
      <c r="N1349" t="s">
        <v>635</v>
      </c>
      <c r="O1349" t="s">
        <v>625</v>
      </c>
      <c r="P1349">
        <v>1</v>
      </c>
      <c r="Q1349">
        <v>0</v>
      </c>
      <c r="R1349">
        <v>60.99</v>
      </c>
      <c r="S1349" t="s">
        <v>595</v>
      </c>
      <c r="T1349" t="s">
        <v>776</v>
      </c>
    </row>
    <row r="1350" spans="1:20" x14ac:dyDescent="0.3">
      <c r="A1350">
        <v>1349</v>
      </c>
      <c r="B1350">
        <v>132</v>
      </c>
      <c r="C1350">
        <v>5</v>
      </c>
      <c r="D1350">
        <v>203.94</v>
      </c>
      <c r="E1350">
        <v>20.39</v>
      </c>
      <c r="F1350">
        <v>0</v>
      </c>
      <c r="G1350">
        <v>0.1</v>
      </c>
      <c r="H1350" t="s">
        <v>622</v>
      </c>
      <c r="J1350" t="s">
        <v>623</v>
      </c>
      <c r="K1350" s="1"/>
      <c r="L1350" s="1">
        <v>46080.442384259259</v>
      </c>
      <c r="M1350" s="2">
        <v>46080</v>
      </c>
      <c r="N1350" t="s">
        <v>635</v>
      </c>
      <c r="O1350" t="s">
        <v>625</v>
      </c>
      <c r="P1350">
        <v>1</v>
      </c>
      <c r="Q1350">
        <v>0</v>
      </c>
      <c r="R1350">
        <v>203.94</v>
      </c>
      <c r="S1350" t="s">
        <v>259</v>
      </c>
      <c r="T1350" t="s">
        <v>779</v>
      </c>
    </row>
    <row r="1351" spans="1:20" x14ac:dyDescent="0.3">
      <c r="A1351">
        <v>1350</v>
      </c>
      <c r="B1351">
        <v>149</v>
      </c>
      <c r="C1351">
        <v>4</v>
      </c>
      <c r="D1351">
        <v>26.81</v>
      </c>
      <c r="E1351">
        <v>2.68</v>
      </c>
      <c r="F1351">
        <v>0</v>
      </c>
      <c r="G1351">
        <v>0.1</v>
      </c>
      <c r="H1351" t="s">
        <v>622</v>
      </c>
      <c r="J1351" t="s">
        <v>623</v>
      </c>
      <c r="K1351" s="1"/>
      <c r="L1351" s="1">
        <v>46080.470555555556</v>
      </c>
      <c r="M1351" s="2">
        <v>46080</v>
      </c>
      <c r="N1351" t="s">
        <v>635</v>
      </c>
      <c r="O1351" t="s">
        <v>625</v>
      </c>
      <c r="P1351">
        <v>1</v>
      </c>
      <c r="Q1351">
        <v>0</v>
      </c>
      <c r="R1351">
        <v>26.81</v>
      </c>
      <c r="S1351" t="s">
        <v>293</v>
      </c>
      <c r="T1351" t="s">
        <v>778</v>
      </c>
    </row>
    <row r="1352" spans="1:20" x14ac:dyDescent="0.3">
      <c r="A1352">
        <v>1351</v>
      </c>
      <c r="B1352">
        <v>117</v>
      </c>
      <c r="C1352">
        <v>3</v>
      </c>
      <c r="D1352">
        <v>110.92</v>
      </c>
      <c r="E1352">
        <v>11.09</v>
      </c>
      <c r="F1352">
        <v>0</v>
      </c>
      <c r="G1352">
        <v>0.1</v>
      </c>
      <c r="H1352" t="s">
        <v>622</v>
      </c>
      <c r="J1352" t="s">
        <v>623</v>
      </c>
      <c r="K1352" s="1"/>
      <c r="L1352" s="1">
        <v>46080.554791666669</v>
      </c>
      <c r="M1352" s="2">
        <v>46080</v>
      </c>
      <c r="N1352" t="s">
        <v>635</v>
      </c>
      <c r="O1352" t="s">
        <v>625</v>
      </c>
      <c r="P1352">
        <v>1</v>
      </c>
      <c r="Q1352">
        <v>0</v>
      </c>
      <c r="R1352">
        <v>110.92</v>
      </c>
      <c r="S1352" t="s">
        <v>229</v>
      </c>
      <c r="T1352" t="s">
        <v>777</v>
      </c>
    </row>
    <row r="1353" spans="1:20" x14ac:dyDescent="0.3">
      <c r="A1353">
        <v>1352</v>
      </c>
      <c r="B1353">
        <v>149</v>
      </c>
      <c r="C1353">
        <v>5</v>
      </c>
      <c r="D1353">
        <v>22.78</v>
      </c>
      <c r="E1353">
        <v>2.2799999999999998</v>
      </c>
      <c r="F1353">
        <v>0</v>
      </c>
      <c r="G1353">
        <v>0.1</v>
      </c>
      <c r="H1353" t="s">
        <v>622</v>
      </c>
      <c r="J1353" t="s">
        <v>623</v>
      </c>
      <c r="K1353" s="1"/>
      <c r="L1353" s="1">
        <v>46080.601238425923</v>
      </c>
      <c r="M1353" s="2">
        <v>46080</v>
      </c>
      <c r="N1353" t="s">
        <v>635</v>
      </c>
      <c r="O1353" t="s">
        <v>625</v>
      </c>
      <c r="P1353">
        <v>1</v>
      </c>
      <c r="Q1353">
        <v>0</v>
      </c>
      <c r="R1353">
        <v>22.78</v>
      </c>
      <c r="S1353" t="s">
        <v>293</v>
      </c>
      <c r="T1353" t="s">
        <v>779</v>
      </c>
    </row>
    <row r="1354" spans="1:20" x14ac:dyDescent="0.3">
      <c r="A1354">
        <v>1353</v>
      </c>
      <c r="B1354">
        <v>252</v>
      </c>
      <c r="C1354">
        <v>3</v>
      </c>
      <c r="D1354">
        <v>26.8</v>
      </c>
      <c r="E1354">
        <v>2.68</v>
      </c>
      <c r="F1354">
        <v>0</v>
      </c>
      <c r="G1354">
        <v>0.1</v>
      </c>
      <c r="H1354" t="s">
        <v>622</v>
      </c>
      <c r="J1354" t="s">
        <v>623</v>
      </c>
      <c r="K1354" s="1"/>
      <c r="L1354" s="1">
        <v>46080.624699074076</v>
      </c>
      <c r="M1354" s="2">
        <v>46080</v>
      </c>
      <c r="N1354" t="s">
        <v>635</v>
      </c>
      <c r="O1354" t="s">
        <v>625</v>
      </c>
      <c r="P1354">
        <v>1</v>
      </c>
      <c r="Q1354">
        <v>0</v>
      </c>
      <c r="R1354">
        <v>26.8</v>
      </c>
      <c r="S1354" t="s">
        <v>499</v>
      </c>
      <c r="T1354" t="s">
        <v>777</v>
      </c>
    </row>
    <row r="1355" spans="1:20" x14ac:dyDescent="0.3">
      <c r="A1355">
        <v>1354</v>
      </c>
      <c r="B1355">
        <v>44</v>
      </c>
      <c r="C1355">
        <v>3</v>
      </c>
      <c r="D1355">
        <v>38.33</v>
      </c>
      <c r="E1355">
        <v>3.83</v>
      </c>
      <c r="F1355">
        <v>0</v>
      </c>
      <c r="G1355">
        <v>0.1</v>
      </c>
      <c r="H1355" t="s">
        <v>622</v>
      </c>
      <c r="J1355" t="s">
        <v>623</v>
      </c>
      <c r="K1355" s="1"/>
      <c r="L1355" s="1">
        <v>46080.625289351854</v>
      </c>
      <c r="M1355" s="2">
        <v>46080</v>
      </c>
      <c r="N1355" t="s">
        <v>635</v>
      </c>
      <c r="O1355" t="s">
        <v>625</v>
      </c>
      <c r="P1355">
        <v>1</v>
      </c>
      <c r="Q1355">
        <v>0</v>
      </c>
      <c r="R1355">
        <v>38.33</v>
      </c>
      <c r="S1355" t="s">
        <v>84</v>
      </c>
      <c r="T1355" t="s">
        <v>777</v>
      </c>
    </row>
    <row r="1356" spans="1:20" x14ac:dyDescent="0.3">
      <c r="A1356">
        <v>1355</v>
      </c>
      <c r="B1356">
        <v>136</v>
      </c>
      <c r="C1356">
        <v>2</v>
      </c>
      <c r="D1356">
        <v>85.78</v>
      </c>
      <c r="E1356">
        <v>8.58</v>
      </c>
      <c r="F1356">
        <v>0</v>
      </c>
      <c r="G1356">
        <v>0.1</v>
      </c>
      <c r="H1356" t="s">
        <v>622</v>
      </c>
      <c r="J1356" t="s">
        <v>623</v>
      </c>
      <c r="K1356" s="1"/>
      <c r="L1356" s="1">
        <v>46080.755277777775</v>
      </c>
      <c r="M1356" s="2">
        <v>46080</v>
      </c>
      <c r="N1356" t="s">
        <v>635</v>
      </c>
      <c r="O1356" t="s">
        <v>625</v>
      </c>
      <c r="P1356">
        <v>1</v>
      </c>
      <c r="Q1356">
        <v>0</v>
      </c>
      <c r="R1356">
        <v>85.78</v>
      </c>
      <c r="S1356" t="s">
        <v>267</v>
      </c>
      <c r="T1356" t="s">
        <v>776</v>
      </c>
    </row>
    <row r="1357" spans="1:20" x14ac:dyDescent="0.3">
      <c r="A1357">
        <v>1356</v>
      </c>
      <c r="B1357">
        <v>133</v>
      </c>
      <c r="C1357">
        <v>4</v>
      </c>
      <c r="D1357">
        <v>63.86</v>
      </c>
      <c r="E1357">
        <v>6.39</v>
      </c>
      <c r="F1357">
        <v>0</v>
      </c>
      <c r="G1357">
        <v>0.1</v>
      </c>
      <c r="H1357" t="s">
        <v>622</v>
      </c>
      <c r="J1357" t="s">
        <v>623</v>
      </c>
      <c r="K1357" s="1"/>
      <c r="L1357" s="1">
        <v>46080.765370370369</v>
      </c>
      <c r="M1357" s="2">
        <v>46080</v>
      </c>
      <c r="N1357" t="s">
        <v>635</v>
      </c>
      <c r="O1357" t="s">
        <v>625</v>
      </c>
      <c r="P1357">
        <v>1</v>
      </c>
      <c r="Q1357">
        <v>0</v>
      </c>
      <c r="R1357">
        <v>63.86</v>
      </c>
      <c r="S1357" t="s">
        <v>261</v>
      </c>
      <c r="T1357" t="s">
        <v>778</v>
      </c>
    </row>
    <row r="1358" spans="1:20" x14ac:dyDescent="0.3">
      <c r="A1358">
        <v>1357</v>
      </c>
      <c r="B1358">
        <v>42</v>
      </c>
      <c r="C1358">
        <v>5</v>
      </c>
      <c r="D1358">
        <v>40.229999999999997</v>
      </c>
      <c r="E1358">
        <v>4.0199999999999996</v>
      </c>
      <c r="F1358">
        <v>0</v>
      </c>
      <c r="G1358">
        <v>0.1</v>
      </c>
      <c r="H1358" t="s">
        <v>622</v>
      </c>
      <c r="J1358" t="s">
        <v>623</v>
      </c>
      <c r="K1358" s="1"/>
      <c r="L1358" s="1">
        <v>46080.822615740741</v>
      </c>
      <c r="M1358" s="2">
        <v>46080</v>
      </c>
      <c r="N1358" t="s">
        <v>635</v>
      </c>
      <c r="O1358" t="s">
        <v>625</v>
      </c>
      <c r="P1358">
        <v>1</v>
      </c>
      <c r="Q1358">
        <v>0</v>
      </c>
      <c r="R1358">
        <v>40.229999999999997</v>
      </c>
      <c r="S1358" t="s">
        <v>80</v>
      </c>
      <c r="T1358" t="s">
        <v>779</v>
      </c>
    </row>
    <row r="1359" spans="1:20" x14ac:dyDescent="0.3">
      <c r="A1359">
        <v>1358</v>
      </c>
      <c r="B1359">
        <v>87</v>
      </c>
      <c r="C1359">
        <v>2</v>
      </c>
      <c r="D1359">
        <v>149.32</v>
      </c>
      <c r="E1359">
        <v>14.93</v>
      </c>
      <c r="F1359">
        <v>0</v>
      </c>
      <c r="G1359">
        <v>0.1</v>
      </c>
      <c r="H1359" t="s">
        <v>622</v>
      </c>
      <c r="J1359" t="s">
        <v>623</v>
      </c>
      <c r="K1359" s="1"/>
      <c r="L1359" s="1">
        <v>46081.357685185183</v>
      </c>
      <c r="M1359" s="2">
        <v>46081</v>
      </c>
      <c r="N1359" t="s">
        <v>635</v>
      </c>
      <c r="O1359" t="s">
        <v>625</v>
      </c>
      <c r="P1359">
        <v>1</v>
      </c>
      <c r="Q1359">
        <v>0</v>
      </c>
      <c r="R1359">
        <v>149.32</v>
      </c>
      <c r="S1359" t="s">
        <v>169</v>
      </c>
      <c r="T1359" t="s">
        <v>776</v>
      </c>
    </row>
    <row r="1360" spans="1:20" x14ac:dyDescent="0.3">
      <c r="A1360">
        <v>1359</v>
      </c>
      <c r="B1360">
        <v>230</v>
      </c>
      <c r="C1360">
        <v>4</v>
      </c>
      <c r="D1360">
        <v>119.65</v>
      </c>
      <c r="E1360">
        <v>11.97</v>
      </c>
      <c r="F1360">
        <v>0</v>
      </c>
      <c r="G1360">
        <v>0.1</v>
      </c>
      <c r="H1360" t="s">
        <v>622</v>
      </c>
      <c r="J1360" t="s">
        <v>623</v>
      </c>
      <c r="K1360" s="1"/>
      <c r="L1360" s="1">
        <v>46081.387916666667</v>
      </c>
      <c r="M1360" s="2">
        <v>46081</v>
      </c>
      <c r="N1360" t="s">
        <v>635</v>
      </c>
      <c r="O1360" t="s">
        <v>625</v>
      </c>
      <c r="P1360">
        <v>1</v>
      </c>
      <c r="Q1360">
        <v>0</v>
      </c>
      <c r="R1360">
        <v>119.65</v>
      </c>
      <c r="S1360" t="s">
        <v>455</v>
      </c>
      <c r="T1360" t="s">
        <v>778</v>
      </c>
    </row>
    <row r="1361" spans="1:20" x14ac:dyDescent="0.3">
      <c r="A1361">
        <v>1360</v>
      </c>
      <c r="B1361">
        <v>94</v>
      </c>
      <c r="C1361">
        <v>2</v>
      </c>
      <c r="D1361">
        <v>201.22</v>
      </c>
      <c r="E1361">
        <v>20.12</v>
      </c>
      <c r="F1361">
        <v>0</v>
      </c>
      <c r="G1361">
        <v>0.1</v>
      </c>
      <c r="H1361" t="s">
        <v>622</v>
      </c>
      <c r="J1361" t="s">
        <v>623</v>
      </c>
      <c r="K1361" s="1"/>
      <c r="L1361" s="1">
        <v>46081.4219212963</v>
      </c>
      <c r="M1361" s="2">
        <v>46081</v>
      </c>
      <c r="N1361" t="s">
        <v>635</v>
      </c>
      <c r="O1361" t="s">
        <v>625</v>
      </c>
      <c r="P1361">
        <v>1</v>
      </c>
      <c r="Q1361">
        <v>0</v>
      </c>
      <c r="R1361">
        <v>201.22</v>
      </c>
      <c r="S1361" t="s">
        <v>183</v>
      </c>
      <c r="T1361" t="s">
        <v>776</v>
      </c>
    </row>
    <row r="1362" spans="1:20" x14ac:dyDescent="0.3">
      <c r="A1362">
        <v>1361</v>
      </c>
      <c r="B1362">
        <v>149</v>
      </c>
      <c r="C1362">
        <v>3</v>
      </c>
      <c r="D1362">
        <v>31.44</v>
      </c>
      <c r="E1362">
        <v>3.14</v>
      </c>
      <c r="F1362">
        <v>0</v>
      </c>
      <c r="G1362">
        <v>0.1</v>
      </c>
      <c r="H1362" t="s">
        <v>622</v>
      </c>
      <c r="J1362" t="s">
        <v>623</v>
      </c>
      <c r="K1362" s="1"/>
      <c r="L1362" s="1">
        <v>46081.481539351851</v>
      </c>
      <c r="M1362" s="2">
        <v>46081</v>
      </c>
      <c r="N1362" t="s">
        <v>635</v>
      </c>
      <c r="O1362" t="s">
        <v>625</v>
      </c>
      <c r="P1362">
        <v>1</v>
      </c>
      <c r="Q1362">
        <v>0</v>
      </c>
      <c r="R1362">
        <v>31.44</v>
      </c>
      <c r="S1362" t="s">
        <v>293</v>
      </c>
      <c r="T1362" t="s">
        <v>777</v>
      </c>
    </row>
    <row r="1363" spans="1:20" x14ac:dyDescent="0.3">
      <c r="A1363">
        <v>1362</v>
      </c>
      <c r="B1363">
        <v>297</v>
      </c>
      <c r="C1363">
        <v>3</v>
      </c>
      <c r="D1363">
        <v>92.54</v>
      </c>
      <c r="E1363">
        <v>9.25</v>
      </c>
      <c r="F1363">
        <v>0</v>
      </c>
      <c r="G1363">
        <v>0.1</v>
      </c>
      <c r="H1363" t="s">
        <v>622</v>
      </c>
      <c r="J1363" t="s">
        <v>623</v>
      </c>
      <c r="K1363" s="1"/>
      <c r="L1363" s="1">
        <v>46081.490300925929</v>
      </c>
      <c r="M1363" s="2">
        <v>46081</v>
      </c>
      <c r="N1363" t="s">
        <v>635</v>
      </c>
      <c r="O1363" t="s">
        <v>625</v>
      </c>
      <c r="P1363">
        <v>1</v>
      </c>
      <c r="Q1363">
        <v>0</v>
      </c>
      <c r="R1363">
        <v>92.54</v>
      </c>
      <c r="S1363" t="s">
        <v>589</v>
      </c>
      <c r="T1363" t="s">
        <v>777</v>
      </c>
    </row>
    <row r="1364" spans="1:20" x14ac:dyDescent="0.3">
      <c r="A1364">
        <v>1363</v>
      </c>
      <c r="B1364">
        <v>38</v>
      </c>
      <c r="C1364">
        <v>2</v>
      </c>
      <c r="D1364">
        <v>40.69</v>
      </c>
      <c r="E1364">
        <v>4.07</v>
      </c>
      <c r="F1364">
        <v>0</v>
      </c>
      <c r="G1364">
        <v>0.1</v>
      </c>
      <c r="H1364" t="s">
        <v>622</v>
      </c>
      <c r="J1364" t="s">
        <v>623</v>
      </c>
      <c r="K1364" s="1"/>
      <c r="L1364" s="1">
        <v>46081.588854166665</v>
      </c>
      <c r="M1364" s="2">
        <v>46081</v>
      </c>
      <c r="N1364" t="s">
        <v>635</v>
      </c>
      <c r="O1364" t="s">
        <v>625</v>
      </c>
      <c r="P1364">
        <v>1</v>
      </c>
      <c r="Q1364">
        <v>0</v>
      </c>
      <c r="R1364">
        <v>40.69</v>
      </c>
      <c r="S1364" t="s">
        <v>72</v>
      </c>
      <c r="T1364" t="s">
        <v>776</v>
      </c>
    </row>
    <row r="1365" spans="1:20" x14ac:dyDescent="0.3">
      <c r="A1365">
        <v>1364</v>
      </c>
      <c r="B1365">
        <v>137</v>
      </c>
      <c r="C1365">
        <v>3</v>
      </c>
      <c r="D1365">
        <v>21.15</v>
      </c>
      <c r="E1365">
        <v>2.12</v>
      </c>
      <c r="F1365">
        <v>0</v>
      </c>
      <c r="G1365">
        <v>0.1</v>
      </c>
      <c r="H1365" t="s">
        <v>622</v>
      </c>
      <c r="J1365" t="s">
        <v>623</v>
      </c>
      <c r="K1365" s="1"/>
      <c r="L1365" s="1">
        <v>46081.609317129631</v>
      </c>
      <c r="M1365" s="2">
        <v>46081</v>
      </c>
      <c r="N1365" t="s">
        <v>635</v>
      </c>
      <c r="O1365" t="s">
        <v>625</v>
      </c>
      <c r="P1365">
        <v>1</v>
      </c>
      <c r="Q1365">
        <v>0</v>
      </c>
      <c r="R1365">
        <v>21.15</v>
      </c>
      <c r="S1365" t="s">
        <v>269</v>
      </c>
      <c r="T1365" t="s">
        <v>777</v>
      </c>
    </row>
    <row r="1366" spans="1:20" x14ac:dyDescent="0.3">
      <c r="A1366">
        <v>1365</v>
      </c>
      <c r="B1366">
        <v>39</v>
      </c>
      <c r="C1366">
        <v>4</v>
      </c>
      <c r="D1366">
        <v>300</v>
      </c>
      <c r="E1366">
        <v>30</v>
      </c>
      <c r="F1366">
        <v>0</v>
      </c>
      <c r="G1366">
        <v>0.1</v>
      </c>
      <c r="H1366" t="s">
        <v>622</v>
      </c>
      <c r="J1366" t="s">
        <v>623</v>
      </c>
      <c r="K1366" s="1"/>
      <c r="L1366" s="1">
        <v>46081.644016203703</v>
      </c>
      <c r="M1366" s="2">
        <v>46081</v>
      </c>
      <c r="N1366" t="s">
        <v>635</v>
      </c>
      <c r="O1366" t="s">
        <v>625</v>
      </c>
      <c r="P1366">
        <v>1</v>
      </c>
      <c r="Q1366">
        <v>0</v>
      </c>
      <c r="R1366">
        <v>300</v>
      </c>
      <c r="S1366" t="s">
        <v>74</v>
      </c>
      <c r="T1366" t="s">
        <v>778</v>
      </c>
    </row>
    <row r="1367" spans="1:20" x14ac:dyDescent="0.3">
      <c r="A1367">
        <v>1366</v>
      </c>
      <c r="B1367">
        <v>35</v>
      </c>
      <c r="C1367">
        <v>4</v>
      </c>
      <c r="D1367">
        <v>37.03</v>
      </c>
      <c r="E1367">
        <v>3.7</v>
      </c>
      <c r="F1367">
        <v>0</v>
      </c>
      <c r="G1367">
        <v>0.1</v>
      </c>
      <c r="H1367" t="s">
        <v>626</v>
      </c>
      <c r="I1367">
        <v>4</v>
      </c>
      <c r="J1367" t="s">
        <v>627</v>
      </c>
      <c r="K1367" s="1">
        <v>46082.894675925927</v>
      </c>
      <c r="L1367" s="1">
        <v>46081.728009259263</v>
      </c>
      <c r="M1367" s="2">
        <v>46081</v>
      </c>
      <c r="N1367" t="s">
        <v>635</v>
      </c>
      <c r="O1367" t="s">
        <v>625</v>
      </c>
      <c r="P1367">
        <v>1</v>
      </c>
      <c r="Q1367">
        <v>1</v>
      </c>
      <c r="R1367">
        <v>0</v>
      </c>
      <c r="S1367" t="s">
        <v>66</v>
      </c>
      <c r="T1367" t="s">
        <v>778</v>
      </c>
    </row>
    <row r="1368" spans="1:20" x14ac:dyDescent="0.3">
      <c r="A1368">
        <v>1367</v>
      </c>
      <c r="B1368">
        <v>215</v>
      </c>
      <c r="C1368">
        <v>4</v>
      </c>
      <c r="D1368">
        <v>55.66</v>
      </c>
      <c r="E1368">
        <v>5.57</v>
      </c>
      <c r="F1368">
        <v>0</v>
      </c>
      <c r="G1368">
        <v>0.1</v>
      </c>
      <c r="H1368" t="s">
        <v>622</v>
      </c>
      <c r="J1368" t="s">
        <v>623</v>
      </c>
      <c r="K1368" s="1"/>
      <c r="L1368" s="1">
        <v>46081.757094907407</v>
      </c>
      <c r="M1368" s="2">
        <v>46081</v>
      </c>
      <c r="N1368" t="s">
        <v>635</v>
      </c>
      <c r="O1368" t="s">
        <v>625</v>
      </c>
      <c r="P1368">
        <v>1</v>
      </c>
      <c r="Q1368">
        <v>0</v>
      </c>
      <c r="R1368">
        <v>55.66</v>
      </c>
      <c r="S1368" t="s">
        <v>425</v>
      </c>
      <c r="T1368" t="s">
        <v>778</v>
      </c>
    </row>
    <row r="1369" spans="1:20" x14ac:dyDescent="0.3">
      <c r="A1369">
        <v>1368</v>
      </c>
      <c r="B1369">
        <v>16</v>
      </c>
      <c r="C1369">
        <v>3</v>
      </c>
      <c r="D1369">
        <v>80</v>
      </c>
      <c r="E1369">
        <v>8</v>
      </c>
      <c r="F1369">
        <v>0</v>
      </c>
      <c r="G1369">
        <v>0.1</v>
      </c>
      <c r="H1369" t="s">
        <v>622</v>
      </c>
      <c r="J1369" t="s">
        <v>623</v>
      </c>
      <c r="K1369" s="1"/>
      <c r="L1369" s="1">
        <v>46082.387245370373</v>
      </c>
      <c r="M1369" s="2">
        <v>46082</v>
      </c>
      <c r="N1369" t="s">
        <v>636</v>
      </c>
      <c r="O1369" t="s">
        <v>625</v>
      </c>
      <c r="P1369">
        <v>1</v>
      </c>
      <c r="Q1369">
        <v>0</v>
      </c>
      <c r="R1369">
        <v>80</v>
      </c>
      <c r="S1369" t="s">
        <v>28</v>
      </c>
      <c r="T1369" t="s">
        <v>777</v>
      </c>
    </row>
    <row r="1370" spans="1:20" x14ac:dyDescent="0.3">
      <c r="A1370">
        <v>1369</v>
      </c>
      <c r="B1370">
        <v>12</v>
      </c>
      <c r="C1370">
        <v>2</v>
      </c>
      <c r="D1370">
        <v>50.95</v>
      </c>
      <c r="E1370">
        <v>5.0999999999999996</v>
      </c>
      <c r="F1370">
        <v>0</v>
      </c>
      <c r="G1370">
        <v>0.1</v>
      </c>
      <c r="H1370" t="s">
        <v>622</v>
      </c>
      <c r="J1370" t="s">
        <v>623</v>
      </c>
      <c r="K1370" s="1"/>
      <c r="L1370" s="1">
        <v>46082.668263888889</v>
      </c>
      <c r="M1370" s="2">
        <v>46082</v>
      </c>
      <c r="N1370" t="s">
        <v>636</v>
      </c>
      <c r="O1370" t="s">
        <v>625</v>
      </c>
      <c r="P1370">
        <v>1</v>
      </c>
      <c r="Q1370">
        <v>0</v>
      </c>
      <c r="R1370">
        <v>50.95</v>
      </c>
      <c r="S1370" t="s">
        <v>20</v>
      </c>
      <c r="T1370" t="s">
        <v>776</v>
      </c>
    </row>
    <row r="1371" spans="1:20" x14ac:dyDescent="0.3">
      <c r="A1371">
        <v>1370</v>
      </c>
      <c r="B1371">
        <v>125</v>
      </c>
      <c r="C1371">
        <v>2</v>
      </c>
      <c r="D1371">
        <v>42.57</v>
      </c>
      <c r="E1371">
        <v>4.26</v>
      </c>
      <c r="F1371">
        <v>0</v>
      </c>
      <c r="G1371">
        <v>0.1</v>
      </c>
      <c r="H1371" t="s">
        <v>622</v>
      </c>
      <c r="J1371" t="s">
        <v>623</v>
      </c>
      <c r="K1371" s="1"/>
      <c r="L1371" s="1">
        <v>46082.71435185185</v>
      </c>
      <c r="M1371" s="2">
        <v>46082</v>
      </c>
      <c r="N1371" t="s">
        <v>636</v>
      </c>
      <c r="O1371" t="s">
        <v>625</v>
      </c>
      <c r="P1371">
        <v>1</v>
      </c>
      <c r="Q1371">
        <v>0</v>
      </c>
      <c r="R1371">
        <v>42.57</v>
      </c>
      <c r="S1371" t="s">
        <v>245</v>
      </c>
      <c r="T1371" t="s">
        <v>776</v>
      </c>
    </row>
    <row r="1372" spans="1:20" x14ac:dyDescent="0.3">
      <c r="A1372">
        <v>1371</v>
      </c>
      <c r="B1372">
        <v>137</v>
      </c>
      <c r="C1372">
        <v>5</v>
      </c>
      <c r="D1372">
        <v>18.04</v>
      </c>
      <c r="E1372">
        <v>1.8</v>
      </c>
      <c r="F1372">
        <v>0</v>
      </c>
      <c r="G1372">
        <v>0.1</v>
      </c>
      <c r="H1372" t="s">
        <v>622</v>
      </c>
      <c r="J1372" t="s">
        <v>623</v>
      </c>
      <c r="K1372" s="1"/>
      <c r="L1372" s="1">
        <v>46083.336099537039</v>
      </c>
      <c r="M1372" s="2">
        <v>46083</v>
      </c>
      <c r="N1372" t="s">
        <v>636</v>
      </c>
      <c r="O1372" t="s">
        <v>625</v>
      </c>
      <c r="P1372">
        <v>1</v>
      </c>
      <c r="Q1372">
        <v>0</v>
      </c>
      <c r="R1372">
        <v>18.04</v>
      </c>
      <c r="S1372" t="s">
        <v>269</v>
      </c>
      <c r="T1372" t="s">
        <v>779</v>
      </c>
    </row>
    <row r="1373" spans="1:20" x14ac:dyDescent="0.3">
      <c r="A1373">
        <v>1372</v>
      </c>
      <c r="B1373">
        <v>247</v>
      </c>
      <c r="C1373">
        <v>2</v>
      </c>
      <c r="D1373">
        <v>22.63</v>
      </c>
      <c r="E1373">
        <v>2.2599999999999998</v>
      </c>
      <c r="F1373">
        <v>0</v>
      </c>
      <c r="G1373">
        <v>0.1</v>
      </c>
      <c r="H1373" t="s">
        <v>622</v>
      </c>
      <c r="J1373" t="s">
        <v>623</v>
      </c>
      <c r="K1373" s="1"/>
      <c r="L1373" s="1">
        <v>46083.344456018516</v>
      </c>
      <c r="M1373" s="2">
        <v>46083</v>
      </c>
      <c r="N1373" t="s">
        <v>636</v>
      </c>
      <c r="O1373" t="s">
        <v>625</v>
      </c>
      <c r="P1373">
        <v>1</v>
      </c>
      <c r="Q1373">
        <v>0</v>
      </c>
      <c r="R1373">
        <v>22.63</v>
      </c>
      <c r="S1373" t="s">
        <v>489</v>
      </c>
      <c r="T1373" t="s">
        <v>776</v>
      </c>
    </row>
    <row r="1374" spans="1:20" x14ac:dyDescent="0.3">
      <c r="A1374">
        <v>1373</v>
      </c>
      <c r="B1374">
        <v>124</v>
      </c>
      <c r="C1374">
        <v>2</v>
      </c>
      <c r="D1374">
        <v>34.340000000000003</v>
      </c>
      <c r="E1374">
        <v>3.43</v>
      </c>
      <c r="F1374">
        <v>0</v>
      </c>
      <c r="G1374">
        <v>0.1</v>
      </c>
      <c r="H1374" t="s">
        <v>622</v>
      </c>
      <c r="J1374" t="s">
        <v>623</v>
      </c>
      <c r="K1374" s="1"/>
      <c r="L1374" s="1">
        <v>46083.444166666668</v>
      </c>
      <c r="M1374" s="2">
        <v>46083</v>
      </c>
      <c r="N1374" t="s">
        <v>636</v>
      </c>
      <c r="O1374" t="s">
        <v>625</v>
      </c>
      <c r="P1374">
        <v>1</v>
      </c>
      <c r="Q1374">
        <v>0</v>
      </c>
      <c r="R1374">
        <v>34.340000000000003</v>
      </c>
      <c r="S1374" t="s">
        <v>243</v>
      </c>
      <c r="T1374" t="s">
        <v>776</v>
      </c>
    </row>
    <row r="1375" spans="1:20" x14ac:dyDescent="0.3">
      <c r="A1375">
        <v>1374</v>
      </c>
      <c r="B1375">
        <v>252</v>
      </c>
      <c r="C1375">
        <v>3</v>
      </c>
      <c r="D1375">
        <v>64.23</v>
      </c>
      <c r="E1375">
        <v>6.42</v>
      </c>
      <c r="F1375">
        <v>0</v>
      </c>
      <c r="G1375">
        <v>0.1</v>
      </c>
      <c r="H1375" t="s">
        <v>622</v>
      </c>
      <c r="J1375" t="s">
        <v>623</v>
      </c>
      <c r="K1375" s="1"/>
      <c r="L1375" s="1">
        <v>46083.467847222222</v>
      </c>
      <c r="M1375" s="2">
        <v>46083</v>
      </c>
      <c r="N1375" t="s">
        <v>636</v>
      </c>
      <c r="O1375" t="s">
        <v>625</v>
      </c>
      <c r="P1375">
        <v>1</v>
      </c>
      <c r="Q1375">
        <v>0</v>
      </c>
      <c r="R1375">
        <v>64.23</v>
      </c>
      <c r="S1375" t="s">
        <v>499</v>
      </c>
      <c r="T1375" t="s">
        <v>777</v>
      </c>
    </row>
    <row r="1376" spans="1:20" x14ac:dyDescent="0.3">
      <c r="A1376">
        <v>1375</v>
      </c>
      <c r="B1376">
        <v>217</v>
      </c>
      <c r="C1376">
        <v>3</v>
      </c>
      <c r="D1376">
        <v>41.46</v>
      </c>
      <c r="E1376">
        <v>4.1500000000000004</v>
      </c>
      <c r="F1376">
        <v>0</v>
      </c>
      <c r="G1376">
        <v>0.1</v>
      </c>
      <c r="H1376" t="s">
        <v>622</v>
      </c>
      <c r="J1376" t="s">
        <v>623</v>
      </c>
      <c r="K1376" s="1"/>
      <c r="L1376" s="1">
        <v>46083.488703703704</v>
      </c>
      <c r="M1376" s="2">
        <v>46083</v>
      </c>
      <c r="N1376" t="s">
        <v>636</v>
      </c>
      <c r="O1376" t="s">
        <v>625</v>
      </c>
      <c r="P1376">
        <v>1</v>
      </c>
      <c r="Q1376">
        <v>0</v>
      </c>
      <c r="R1376">
        <v>41.46</v>
      </c>
      <c r="S1376" t="s">
        <v>429</v>
      </c>
      <c r="T1376" t="s">
        <v>777</v>
      </c>
    </row>
    <row r="1377" spans="1:20" x14ac:dyDescent="0.3">
      <c r="A1377">
        <v>1376</v>
      </c>
      <c r="B1377">
        <v>85</v>
      </c>
      <c r="C1377">
        <v>4</v>
      </c>
      <c r="D1377">
        <v>211.61</v>
      </c>
      <c r="E1377">
        <v>21.16</v>
      </c>
      <c r="F1377">
        <v>0</v>
      </c>
      <c r="G1377">
        <v>0.1</v>
      </c>
      <c r="H1377" t="s">
        <v>622</v>
      </c>
      <c r="J1377" t="s">
        <v>623</v>
      </c>
      <c r="K1377" s="1"/>
      <c r="L1377" s="1">
        <v>46083.571747685186</v>
      </c>
      <c r="M1377" s="2">
        <v>46083</v>
      </c>
      <c r="N1377" t="s">
        <v>636</v>
      </c>
      <c r="O1377" t="s">
        <v>625</v>
      </c>
      <c r="P1377">
        <v>1</v>
      </c>
      <c r="Q1377">
        <v>0</v>
      </c>
      <c r="R1377">
        <v>211.61</v>
      </c>
      <c r="S1377" t="s">
        <v>165</v>
      </c>
      <c r="T1377" t="s">
        <v>778</v>
      </c>
    </row>
    <row r="1378" spans="1:20" x14ac:dyDescent="0.3">
      <c r="A1378">
        <v>1377</v>
      </c>
      <c r="B1378">
        <v>106</v>
      </c>
      <c r="C1378">
        <v>4</v>
      </c>
      <c r="D1378">
        <v>112.03</v>
      </c>
      <c r="E1378">
        <v>11.2</v>
      </c>
      <c r="F1378">
        <v>0</v>
      </c>
      <c r="G1378">
        <v>0.1</v>
      </c>
      <c r="H1378" t="s">
        <v>626</v>
      </c>
      <c r="I1378">
        <v>5</v>
      </c>
      <c r="J1378" t="s">
        <v>627</v>
      </c>
      <c r="K1378" s="1">
        <v>46084.717233796298</v>
      </c>
      <c r="L1378" s="1">
        <v>46083.592233796298</v>
      </c>
      <c r="M1378" s="2">
        <v>46083</v>
      </c>
      <c r="N1378" t="s">
        <v>636</v>
      </c>
      <c r="O1378" t="s">
        <v>625</v>
      </c>
      <c r="P1378">
        <v>1</v>
      </c>
      <c r="Q1378">
        <v>1</v>
      </c>
      <c r="R1378">
        <v>0</v>
      </c>
      <c r="S1378" t="s">
        <v>207</v>
      </c>
      <c r="T1378" t="s">
        <v>778</v>
      </c>
    </row>
    <row r="1379" spans="1:20" x14ac:dyDescent="0.3">
      <c r="A1379">
        <v>1378</v>
      </c>
      <c r="B1379">
        <v>44</v>
      </c>
      <c r="C1379">
        <v>4</v>
      </c>
      <c r="D1379">
        <v>27.15</v>
      </c>
      <c r="E1379">
        <v>2.72</v>
      </c>
      <c r="F1379">
        <v>0</v>
      </c>
      <c r="G1379">
        <v>0.1</v>
      </c>
      <c r="H1379" t="s">
        <v>622</v>
      </c>
      <c r="J1379" t="s">
        <v>623</v>
      </c>
      <c r="K1379" s="1"/>
      <c r="L1379" s="1">
        <v>46083.748472222222</v>
      </c>
      <c r="M1379" s="2">
        <v>46083</v>
      </c>
      <c r="N1379" t="s">
        <v>636</v>
      </c>
      <c r="O1379" t="s">
        <v>625</v>
      </c>
      <c r="P1379">
        <v>1</v>
      </c>
      <c r="Q1379">
        <v>0</v>
      </c>
      <c r="R1379">
        <v>27.15</v>
      </c>
      <c r="S1379" t="s">
        <v>84</v>
      </c>
      <c r="T1379" t="s">
        <v>778</v>
      </c>
    </row>
    <row r="1380" spans="1:20" x14ac:dyDescent="0.3">
      <c r="A1380">
        <v>1379</v>
      </c>
      <c r="B1380">
        <v>172</v>
      </c>
      <c r="C1380">
        <v>2</v>
      </c>
      <c r="D1380">
        <v>22.88</v>
      </c>
      <c r="E1380">
        <v>2.29</v>
      </c>
      <c r="F1380">
        <v>0</v>
      </c>
      <c r="G1380">
        <v>0.1</v>
      </c>
      <c r="H1380" t="s">
        <v>622</v>
      </c>
      <c r="J1380" t="s">
        <v>623</v>
      </c>
      <c r="K1380" s="1"/>
      <c r="L1380" s="1">
        <v>46083.826006944444</v>
      </c>
      <c r="M1380" s="2">
        <v>46083</v>
      </c>
      <c r="N1380" t="s">
        <v>636</v>
      </c>
      <c r="O1380" t="s">
        <v>625</v>
      </c>
      <c r="P1380">
        <v>1</v>
      </c>
      <c r="Q1380">
        <v>0</v>
      </c>
      <c r="R1380">
        <v>22.88</v>
      </c>
      <c r="S1380" t="s">
        <v>339</v>
      </c>
      <c r="T1380" t="s">
        <v>776</v>
      </c>
    </row>
    <row r="1381" spans="1:20" x14ac:dyDescent="0.3">
      <c r="A1381">
        <v>1380</v>
      </c>
      <c r="B1381">
        <v>65</v>
      </c>
      <c r="C1381">
        <v>3</v>
      </c>
      <c r="D1381">
        <v>15.57</v>
      </c>
      <c r="E1381">
        <v>1.56</v>
      </c>
      <c r="F1381">
        <v>0</v>
      </c>
      <c r="G1381">
        <v>0.1</v>
      </c>
      <c r="H1381" t="s">
        <v>622</v>
      </c>
      <c r="J1381" t="s">
        <v>623</v>
      </c>
      <c r="K1381" s="1"/>
      <c r="L1381" s="1">
        <v>46084.401724537034</v>
      </c>
      <c r="M1381" s="2">
        <v>46084</v>
      </c>
      <c r="N1381" t="s">
        <v>636</v>
      </c>
      <c r="O1381" t="s">
        <v>625</v>
      </c>
      <c r="P1381">
        <v>1</v>
      </c>
      <c r="Q1381">
        <v>0</v>
      </c>
      <c r="R1381">
        <v>15.57</v>
      </c>
      <c r="S1381" t="s">
        <v>126</v>
      </c>
      <c r="T1381" t="s">
        <v>777</v>
      </c>
    </row>
    <row r="1382" spans="1:20" x14ac:dyDescent="0.3">
      <c r="A1382">
        <v>1381</v>
      </c>
      <c r="B1382">
        <v>46</v>
      </c>
      <c r="C1382">
        <v>2</v>
      </c>
      <c r="D1382">
        <v>27.95</v>
      </c>
      <c r="E1382">
        <v>2.8</v>
      </c>
      <c r="F1382">
        <v>0</v>
      </c>
      <c r="G1382">
        <v>0.1</v>
      </c>
      <c r="H1382" t="s">
        <v>622</v>
      </c>
      <c r="J1382" t="s">
        <v>623</v>
      </c>
      <c r="K1382" s="1"/>
      <c r="L1382" s="1">
        <v>46084.453298611108</v>
      </c>
      <c r="M1382" s="2">
        <v>46084</v>
      </c>
      <c r="N1382" t="s">
        <v>636</v>
      </c>
      <c r="O1382" t="s">
        <v>625</v>
      </c>
      <c r="P1382">
        <v>1</v>
      </c>
      <c r="Q1382">
        <v>0</v>
      </c>
      <c r="R1382">
        <v>27.95</v>
      </c>
      <c r="S1382" t="s">
        <v>88</v>
      </c>
      <c r="T1382" t="s">
        <v>776</v>
      </c>
    </row>
    <row r="1383" spans="1:20" x14ac:dyDescent="0.3">
      <c r="A1383">
        <v>1382</v>
      </c>
      <c r="B1383">
        <v>245</v>
      </c>
      <c r="C1383">
        <v>5</v>
      </c>
      <c r="D1383">
        <v>33.340000000000003</v>
      </c>
      <c r="E1383">
        <v>3.33</v>
      </c>
      <c r="F1383">
        <v>0</v>
      </c>
      <c r="G1383">
        <v>0.1</v>
      </c>
      <c r="H1383" t="s">
        <v>622</v>
      </c>
      <c r="J1383" t="s">
        <v>623</v>
      </c>
      <c r="K1383" s="1"/>
      <c r="L1383" s="1">
        <v>46084.525694444441</v>
      </c>
      <c r="M1383" s="2">
        <v>46084</v>
      </c>
      <c r="N1383" t="s">
        <v>636</v>
      </c>
      <c r="O1383" t="s">
        <v>625</v>
      </c>
      <c r="P1383">
        <v>1</v>
      </c>
      <c r="Q1383">
        <v>0</v>
      </c>
      <c r="R1383">
        <v>33.340000000000003</v>
      </c>
      <c r="S1383" t="s">
        <v>485</v>
      </c>
      <c r="T1383" t="s">
        <v>779</v>
      </c>
    </row>
    <row r="1384" spans="1:20" x14ac:dyDescent="0.3">
      <c r="A1384">
        <v>1383</v>
      </c>
      <c r="B1384">
        <v>149</v>
      </c>
      <c r="C1384">
        <v>3</v>
      </c>
      <c r="D1384">
        <v>23.74</v>
      </c>
      <c r="E1384">
        <v>2.37</v>
      </c>
      <c r="F1384">
        <v>0</v>
      </c>
      <c r="G1384">
        <v>0.1</v>
      </c>
      <c r="H1384" t="s">
        <v>622</v>
      </c>
      <c r="J1384" t="s">
        <v>623</v>
      </c>
      <c r="K1384" s="1"/>
      <c r="L1384" s="1">
        <v>46084.636284722219</v>
      </c>
      <c r="M1384" s="2">
        <v>46084</v>
      </c>
      <c r="N1384" t="s">
        <v>636</v>
      </c>
      <c r="O1384" t="s">
        <v>625</v>
      </c>
      <c r="P1384">
        <v>1</v>
      </c>
      <c r="Q1384">
        <v>0</v>
      </c>
      <c r="R1384">
        <v>23.74</v>
      </c>
      <c r="S1384" t="s">
        <v>293</v>
      </c>
      <c r="T1384" t="s">
        <v>777</v>
      </c>
    </row>
    <row r="1385" spans="1:20" x14ac:dyDescent="0.3">
      <c r="A1385">
        <v>1384</v>
      </c>
      <c r="B1385">
        <v>297</v>
      </c>
      <c r="C1385">
        <v>5</v>
      </c>
      <c r="D1385">
        <v>98.95</v>
      </c>
      <c r="E1385">
        <v>9.9</v>
      </c>
      <c r="F1385">
        <v>0</v>
      </c>
      <c r="G1385">
        <v>0.1</v>
      </c>
      <c r="H1385" t="s">
        <v>622</v>
      </c>
      <c r="J1385" t="s">
        <v>623</v>
      </c>
      <c r="K1385" s="1"/>
      <c r="L1385" s="1">
        <v>46084.677523148152</v>
      </c>
      <c r="M1385" s="2">
        <v>46084</v>
      </c>
      <c r="N1385" t="s">
        <v>636</v>
      </c>
      <c r="O1385" t="s">
        <v>625</v>
      </c>
      <c r="P1385">
        <v>1</v>
      </c>
      <c r="Q1385">
        <v>0</v>
      </c>
      <c r="R1385">
        <v>98.95</v>
      </c>
      <c r="S1385" t="s">
        <v>589</v>
      </c>
      <c r="T1385" t="s">
        <v>779</v>
      </c>
    </row>
    <row r="1386" spans="1:20" x14ac:dyDescent="0.3">
      <c r="A1386">
        <v>1385</v>
      </c>
      <c r="B1386">
        <v>65</v>
      </c>
      <c r="C1386">
        <v>4</v>
      </c>
      <c r="D1386">
        <v>17.7</v>
      </c>
      <c r="E1386">
        <v>1.77</v>
      </c>
      <c r="F1386">
        <v>0</v>
      </c>
      <c r="G1386">
        <v>0.1</v>
      </c>
      <c r="H1386" t="s">
        <v>622</v>
      </c>
      <c r="J1386" t="s">
        <v>623</v>
      </c>
      <c r="K1386" s="1"/>
      <c r="L1386" s="1">
        <v>46084.826643518521</v>
      </c>
      <c r="M1386" s="2">
        <v>46084</v>
      </c>
      <c r="N1386" t="s">
        <v>636</v>
      </c>
      <c r="O1386" t="s">
        <v>625</v>
      </c>
      <c r="P1386">
        <v>1</v>
      </c>
      <c r="Q1386">
        <v>0</v>
      </c>
      <c r="R1386">
        <v>17.7</v>
      </c>
      <c r="S1386" t="s">
        <v>126</v>
      </c>
      <c r="T1386" t="s">
        <v>778</v>
      </c>
    </row>
    <row r="1387" spans="1:20" x14ac:dyDescent="0.3">
      <c r="A1387">
        <v>1386</v>
      </c>
      <c r="B1387">
        <v>156</v>
      </c>
      <c r="C1387">
        <v>4</v>
      </c>
      <c r="D1387">
        <v>31.8</v>
      </c>
      <c r="E1387">
        <v>3.18</v>
      </c>
      <c r="F1387">
        <v>0</v>
      </c>
      <c r="G1387">
        <v>0.1</v>
      </c>
      <c r="H1387" t="s">
        <v>622</v>
      </c>
      <c r="J1387" t="s">
        <v>623</v>
      </c>
      <c r="K1387" s="1"/>
      <c r="L1387" s="1">
        <v>46085.369641203702</v>
      </c>
      <c r="M1387" s="2">
        <v>46085</v>
      </c>
      <c r="N1387" t="s">
        <v>636</v>
      </c>
      <c r="O1387" t="s">
        <v>625</v>
      </c>
      <c r="P1387">
        <v>1</v>
      </c>
      <c r="Q1387">
        <v>0</v>
      </c>
      <c r="R1387">
        <v>31.8</v>
      </c>
      <c r="S1387" t="s">
        <v>307</v>
      </c>
      <c r="T1387" t="s">
        <v>778</v>
      </c>
    </row>
    <row r="1388" spans="1:20" x14ac:dyDescent="0.3">
      <c r="A1388">
        <v>1387</v>
      </c>
      <c r="B1388">
        <v>34</v>
      </c>
      <c r="C1388">
        <v>4</v>
      </c>
      <c r="D1388">
        <v>136.02000000000001</v>
      </c>
      <c r="E1388">
        <v>13.6</v>
      </c>
      <c r="F1388">
        <v>0</v>
      </c>
      <c r="G1388">
        <v>0.1</v>
      </c>
      <c r="H1388" t="s">
        <v>626</v>
      </c>
      <c r="I1388">
        <v>5</v>
      </c>
      <c r="J1388" t="s">
        <v>632</v>
      </c>
      <c r="K1388" s="1">
        <v>46085.621759259258</v>
      </c>
      <c r="L1388" s="1">
        <v>46085.371759259258</v>
      </c>
      <c r="M1388" s="2">
        <v>46085</v>
      </c>
      <c r="N1388" t="s">
        <v>636</v>
      </c>
      <c r="O1388" t="s">
        <v>625</v>
      </c>
      <c r="P1388">
        <v>1</v>
      </c>
      <c r="Q1388">
        <v>1</v>
      </c>
      <c r="R1388">
        <v>0</v>
      </c>
      <c r="S1388" t="s">
        <v>64</v>
      </c>
      <c r="T1388" t="s">
        <v>778</v>
      </c>
    </row>
    <row r="1389" spans="1:20" x14ac:dyDescent="0.3">
      <c r="A1389">
        <v>1388</v>
      </c>
      <c r="B1389">
        <v>137</v>
      </c>
      <c r="C1389">
        <v>4</v>
      </c>
      <c r="D1389">
        <v>21.15</v>
      </c>
      <c r="E1389">
        <v>2.12</v>
      </c>
      <c r="F1389">
        <v>0</v>
      </c>
      <c r="G1389">
        <v>0.1</v>
      </c>
      <c r="H1389" t="s">
        <v>622</v>
      </c>
      <c r="J1389" t="s">
        <v>623</v>
      </c>
      <c r="K1389" s="1"/>
      <c r="L1389" s="1">
        <v>46085.417210648149</v>
      </c>
      <c r="M1389" s="2">
        <v>46085</v>
      </c>
      <c r="N1389" t="s">
        <v>636</v>
      </c>
      <c r="O1389" t="s">
        <v>625</v>
      </c>
      <c r="P1389">
        <v>1</v>
      </c>
      <c r="Q1389">
        <v>0</v>
      </c>
      <c r="R1389">
        <v>21.15</v>
      </c>
      <c r="S1389" t="s">
        <v>269</v>
      </c>
      <c r="T1389" t="s">
        <v>778</v>
      </c>
    </row>
    <row r="1390" spans="1:20" x14ac:dyDescent="0.3">
      <c r="A1390">
        <v>1389</v>
      </c>
      <c r="B1390">
        <v>17</v>
      </c>
      <c r="C1390">
        <v>2</v>
      </c>
      <c r="D1390">
        <v>75.27</v>
      </c>
      <c r="E1390">
        <v>7.53</v>
      </c>
      <c r="F1390">
        <v>0</v>
      </c>
      <c r="G1390">
        <v>0.1</v>
      </c>
      <c r="H1390" t="s">
        <v>622</v>
      </c>
      <c r="J1390" t="s">
        <v>623</v>
      </c>
      <c r="K1390" s="1"/>
      <c r="L1390" s="1">
        <v>46085.420185185183</v>
      </c>
      <c r="M1390" s="2">
        <v>46085</v>
      </c>
      <c r="N1390" t="s">
        <v>636</v>
      </c>
      <c r="O1390" t="s">
        <v>625</v>
      </c>
      <c r="P1390">
        <v>1</v>
      </c>
      <c r="Q1390">
        <v>0</v>
      </c>
      <c r="R1390">
        <v>75.27</v>
      </c>
      <c r="S1390" t="s">
        <v>30</v>
      </c>
      <c r="T1390" t="s">
        <v>776</v>
      </c>
    </row>
    <row r="1391" spans="1:20" x14ac:dyDescent="0.3">
      <c r="A1391">
        <v>1390</v>
      </c>
      <c r="B1391">
        <v>65</v>
      </c>
      <c r="C1391">
        <v>2</v>
      </c>
      <c r="D1391">
        <v>19.73</v>
      </c>
      <c r="E1391">
        <v>1.97</v>
      </c>
      <c r="F1391">
        <v>0</v>
      </c>
      <c r="G1391">
        <v>0.1</v>
      </c>
      <c r="H1391" t="s">
        <v>622</v>
      </c>
      <c r="J1391" t="s">
        <v>623</v>
      </c>
      <c r="K1391" s="1"/>
      <c r="L1391" s="1">
        <v>46085.587604166663</v>
      </c>
      <c r="M1391" s="2">
        <v>46085</v>
      </c>
      <c r="N1391" t="s">
        <v>636</v>
      </c>
      <c r="O1391" t="s">
        <v>625</v>
      </c>
      <c r="P1391">
        <v>1</v>
      </c>
      <c r="Q1391">
        <v>0</v>
      </c>
      <c r="R1391">
        <v>19.73</v>
      </c>
      <c r="S1391" t="s">
        <v>126</v>
      </c>
      <c r="T1391" t="s">
        <v>776</v>
      </c>
    </row>
    <row r="1392" spans="1:20" x14ac:dyDescent="0.3">
      <c r="A1392">
        <v>1391</v>
      </c>
      <c r="B1392">
        <v>149</v>
      </c>
      <c r="C1392">
        <v>3</v>
      </c>
      <c r="D1392">
        <v>24.28</v>
      </c>
      <c r="E1392">
        <v>2.4300000000000002</v>
      </c>
      <c r="F1392">
        <v>0</v>
      </c>
      <c r="G1392">
        <v>0.1</v>
      </c>
      <c r="H1392" t="s">
        <v>622</v>
      </c>
      <c r="J1392" t="s">
        <v>623</v>
      </c>
      <c r="K1392" s="1"/>
      <c r="L1392" s="1">
        <v>46085.659629629627</v>
      </c>
      <c r="M1392" s="2">
        <v>46085</v>
      </c>
      <c r="N1392" t="s">
        <v>636</v>
      </c>
      <c r="O1392" t="s">
        <v>625</v>
      </c>
      <c r="P1392">
        <v>1</v>
      </c>
      <c r="Q1392">
        <v>0</v>
      </c>
      <c r="R1392">
        <v>24.28</v>
      </c>
      <c r="S1392" t="s">
        <v>293</v>
      </c>
      <c r="T1392" t="s">
        <v>777</v>
      </c>
    </row>
    <row r="1393" spans="1:20" x14ac:dyDescent="0.3">
      <c r="A1393">
        <v>1392</v>
      </c>
      <c r="B1393">
        <v>95</v>
      </c>
      <c r="C1393">
        <v>3</v>
      </c>
      <c r="D1393">
        <v>148.06</v>
      </c>
      <c r="E1393">
        <v>14.81</v>
      </c>
      <c r="F1393">
        <v>0</v>
      </c>
      <c r="G1393">
        <v>0.1</v>
      </c>
      <c r="H1393" t="s">
        <v>622</v>
      </c>
      <c r="J1393" t="s">
        <v>623</v>
      </c>
      <c r="K1393" s="1"/>
      <c r="L1393" s="1">
        <v>46085.74355324074</v>
      </c>
      <c r="M1393" s="2">
        <v>46085</v>
      </c>
      <c r="N1393" t="s">
        <v>636</v>
      </c>
      <c r="O1393" t="s">
        <v>625</v>
      </c>
      <c r="P1393">
        <v>1</v>
      </c>
      <c r="Q1393">
        <v>0</v>
      </c>
      <c r="R1393">
        <v>148.06</v>
      </c>
      <c r="S1393" t="s">
        <v>185</v>
      </c>
      <c r="T1393" t="s">
        <v>777</v>
      </c>
    </row>
    <row r="1394" spans="1:20" x14ac:dyDescent="0.3">
      <c r="A1394">
        <v>1393</v>
      </c>
      <c r="B1394">
        <v>57</v>
      </c>
      <c r="C1394">
        <v>4</v>
      </c>
      <c r="D1394">
        <v>128.05000000000001</v>
      </c>
      <c r="E1394">
        <v>12.81</v>
      </c>
      <c r="F1394">
        <v>0</v>
      </c>
      <c r="G1394">
        <v>0.1</v>
      </c>
      <c r="H1394" t="s">
        <v>622</v>
      </c>
      <c r="J1394" t="s">
        <v>623</v>
      </c>
      <c r="K1394" s="1"/>
      <c r="L1394" s="1">
        <v>46085.750717592593</v>
      </c>
      <c r="M1394" s="2">
        <v>46085</v>
      </c>
      <c r="N1394" t="s">
        <v>636</v>
      </c>
      <c r="O1394" t="s">
        <v>625</v>
      </c>
      <c r="P1394">
        <v>1</v>
      </c>
      <c r="Q1394">
        <v>0</v>
      </c>
      <c r="R1394">
        <v>128.05000000000001</v>
      </c>
      <c r="S1394" t="s">
        <v>110</v>
      </c>
      <c r="T1394" t="s">
        <v>778</v>
      </c>
    </row>
    <row r="1395" spans="1:20" x14ac:dyDescent="0.3">
      <c r="A1395">
        <v>1394</v>
      </c>
      <c r="B1395">
        <v>137</v>
      </c>
      <c r="C1395">
        <v>5</v>
      </c>
      <c r="D1395">
        <v>23.88</v>
      </c>
      <c r="E1395">
        <v>2.39</v>
      </c>
      <c r="F1395">
        <v>0</v>
      </c>
      <c r="G1395">
        <v>0.1</v>
      </c>
      <c r="H1395" t="s">
        <v>622</v>
      </c>
      <c r="J1395" t="s">
        <v>623</v>
      </c>
      <c r="K1395" s="1"/>
      <c r="L1395" s="1">
        <v>46085.814525462964</v>
      </c>
      <c r="M1395" s="2">
        <v>46085</v>
      </c>
      <c r="N1395" t="s">
        <v>636</v>
      </c>
      <c r="O1395" t="s">
        <v>625</v>
      </c>
      <c r="P1395">
        <v>1</v>
      </c>
      <c r="Q1395">
        <v>0</v>
      </c>
      <c r="R1395">
        <v>23.88</v>
      </c>
      <c r="S1395" t="s">
        <v>269</v>
      </c>
      <c r="T1395" t="s">
        <v>779</v>
      </c>
    </row>
    <row r="1396" spans="1:20" x14ac:dyDescent="0.3">
      <c r="A1396">
        <v>1395</v>
      </c>
      <c r="B1396">
        <v>18</v>
      </c>
      <c r="C1396">
        <v>5</v>
      </c>
      <c r="D1396">
        <v>41.4</v>
      </c>
      <c r="E1396">
        <v>4.1399999999999997</v>
      </c>
      <c r="F1396">
        <v>0</v>
      </c>
      <c r="G1396">
        <v>0.1</v>
      </c>
      <c r="H1396" t="s">
        <v>622</v>
      </c>
      <c r="J1396" t="s">
        <v>623</v>
      </c>
      <c r="K1396" s="1"/>
      <c r="L1396" s="1">
        <v>46086.626446759263</v>
      </c>
      <c r="M1396" s="2">
        <v>46086</v>
      </c>
      <c r="N1396" t="s">
        <v>636</v>
      </c>
      <c r="O1396" t="s">
        <v>625</v>
      </c>
      <c r="P1396">
        <v>1</v>
      </c>
      <c r="Q1396">
        <v>0</v>
      </c>
      <c r="R1396">
        <v>41.4</v>
      </c>
      <c r="S1396" t="s">
        <v>32</v>
      </c>
      <c r="T1396" t="s">
        <v>779</v>
      </c>
    </row>
    <row r="1397" spans="1:20" x14ac:dyDescent="0.3">
      <c r="A1397">
        <v>1396</v>
      </c>
      <c r="B1397">
        <v>17</v>
      </c>
      <c r="C1397">
        <v>5</v>
      </c>
      <c r="D1397">
        <v>57.04</v>
      </c>
      <c r="E1397">
        <v>5.7</v>
      </c>
      <c r="F1397">
        <v>0</v>
      </c>
      <c r="G1397">
        <v>0.1</v>
      </c>
      <c r="H1397" t="s">
        <v>622</v>
      </c>
      <c r="J1397" t="s">
        <v>623</v>
      </c>
      <c r="K1397" s="1"/>
      <c r="L1397" s="1">
        <v>46086.640393518515</v>
      </c>
      <c r="M1397" s="2">
        <v>46086</v>
      </c>
      <c r="N1397" t="s">
        <v>636</v>
      </c>
      <c r="O1397" t="s">
        <v>625</v>
      </c>
      <c r="P1397">
        <v>1</v>
      </c>
      <c r="Q1397">
        <v>0</v>
      </c>
      <c r="R1397">
        <v>57.04</v>
      </c>
      <c r="S1397" t="s">
        <v>30</v>
      </c>
      <c r="T1397" t="s">
        <v>779</v>
      </c>
    </row>
    <row r="1398" spans="1:20" x14ac:dyDescent="0.3">
      <c r="A1398">
        <v>1397</v>
      </c>
      <c r="B1398">
        <v>51</v>
      </c>
      <c r="C1398">
        <v>3</v>
      </c>
      <c r="D1398">
        <v>133.55000000000001</v>
      </c>
      <c r="E1398">
        <v>13.36</v>
      </c>
      <c r="F1398">
        <v>0</v>
      </c>
      <c r="G1398">
        <v>0.1</v>
      </c>
      <c r="H1398" t="s">
        <v>622</v>
      </c>
      <c r="J1398" t="s">
        <v>623</v>
      </c>
      <c r="K1398" s="1"/>
      <c r="L1398" s="1">
        <v>46086.649236111109</v>
      </c>
      <c r="M1398" s="2">
        <v>46086</v>
      </c>
      <c r="N1398" t="s">
        <v>636</v>
      </c>
      <c r="O1398" t="s">
        <v>625</v>
      </c>
      <c r="P1398">
        <v>1</v>
      </c>
      <c r="Q1398">
        <v>0</v>
      </c>
      <c r="R1398">
        <v>133.55000000000001</v>
      </c>
      <c r="S1398" t="s">
        <v>98</v>
      </c>
      <c r="T1398" t="s">
        <v>777</v>
      </c>
    </row>
    <row r="1399" spans="1:20" x14ac:dyDescent="0.3">
      <c r="A1399">
        <v>1398</v>
      </c>
      <c r="B1399">
        <v>234</v>
      </c>
      <c r="C1399">
        <v>3</v>
      </c>
      <c r="D1399">
        <v>300</v>
      </c>
      <c r="E1399">
        <v>30</v>
      </c>
      <c r="F1399">
        <v>0</v>
      </c>
      <c r="G1399">
        <v>0.1</v>
      </c>
      <c r="H1399" t="s">
        <v>622</v>
      </c>
      <c r="J1399" t="s">
        <v>623</v>
      </c>
      <c r="K1399" s="1"/>
      <c r="L1399" s="1">
        <v>46086.660856481481</v>
      </c>
      <c r="M1399" s="2">
        <v>46086</v>
      </c>
      <c r="N1399" t="s">
        <v>636</v>
      </c>
      <c r="O1399" t="s">
        <v>625</v>
      </c>
      <c r="P1399">
        <v>1</v>
      </c>
      <c r="Q1399">
        <v>0</v>
      </c>
      <c r="R1399">
        <v>300</v>
      </c>
      <c r="S1399" t="s">
        <v>463</v>
      </c>
      <c r="T1399" t="s">
        <v>777</v>
      </c>
    </row>
    <row r="1400" spans="1:20" x14ac:dyDescent="0.3">
      <c r="A1400">
        <v>1399</v>
      </c>
      <c r="B1400">
        <v>262</v>
      </c>
      <c r="C1400">
        <v>2</v>
      </c>
      <c r="D1400">
        <v>217.44</v>
      </c>
      <c r="E1400">
        <v>21.74</v>
      </c>
      <c r="F1400">
        <v>0</v>
      </c>
      <c r="G1400">
        <v>0.1</v>
      </c>
      <c r="H1400" t="s">
        <v>622</v>
      </c>
      <c r="J1400" t="s">
        <v>623</v>
      </c>
      <c r="K1400" s="1"/>
      <c r="L1400" s="1">
        <v>46086.73332175926</v>
      </c>
      <c r="M1400" s="2">
        <v>46086</v>
      </c>
      <c r="N1400" t="s">
        <v>636</v>
      </c>
      <c r="O1400" t="s">
        <v>625</v>
      </c>
      <c r="P1400">
        <v>1</v>
      </c>
      <c r="Q1400">
        <v>0</v>
      </c>
      <c r="R1400">
        <v>217.44</v>
      </c>
      <c r="S1400" t="s">
        <v>519</v>
      </c>
      <c r="T1400" t="s">
        <v>776</v>
      </c>
    </row>
    <row r="1401" spans="1:20" x14ac:dyDescent="0.3">
      <c r="A1401">
        <v>1400</v>
      </c>
      <c r="B1401">
        <v>255</v>
      </c>
      <c r="C1401">
        <v>3</v>
      </c>
      <c r="D1401">
        <v>33.28</v>
      </c>
      <c r="E1401">
        <v>3.33</v>
      </c>
      <c r="F1401">
        <v>0</v>
      </c>
      <c r="G1401">
        <v>0.1</v>
      </c>
      <c r="H1401" t="s">
        <v>622</v>
      </c>
      <c r="J1401" t="s">
        <v>623</v>
      </c>
      <c r="K1401" s="1"/>
      <c r="L1401" s="1">
        <v>46086.733703703707</v>
      </c>
      <c r="M1401" s="2">
        <v>46086</v>
      </c>
      <c r="N1401" t="s">
        <v>636</v>
      </c>
      <c r="O1401" t="s">
        <v>625</v>
      </c>
      <c r="P1401">
        <v>1</v>
      </c>
      <c r="Q1401">
        <v>0</v>
      </c>
      <c r="R1401">
        <v>33.28</v>
      </c>
      <c r="S1401" t="s">
        <v>505</v>
      </c>
      <c r="T1401" t="s">
        <v>777</v>
      </c>
    </row>
    <row r="1402" spans="1:20" x14ac:dyDescent="0.3">
      <c r="A1402">
        <v>1401</v>
      </c>
      <c r="B1402">
        <v>190</v>
      </c>
      <c r="C1402">
        <v>4</v>
      </c>
      <c r="D1402">
        <v>154.94999999999999</v>
      </c>
      <c r="E1402">
        <v>15.5</v>
      </c>
      <c r="F1402">
        <v>0</v>
      </c>
      <c r="G1402">
        <v>0.1</v>
      </c>
      <c r="H1402" t="s">
        <v>622</v>
      </c>
      <c r="J1402" t="s">
        <v>623</v>
      </c>
      <c r="K1402" s="1"/>
      <c r="L1402" s="1">
        <v>46087.33693287037</v>
      </c>
      <c r="M1402" s="2">
        <v>46087</v>
      </c>
      <c r="N1402" t="s">
        <v>636</v>
      </c>
      <c r="O1402" t="s">
        <v>625</v>
      </c>
      <c r="P1402">
        <v>1</v>
      </c>
      <c r="Q1402">
        <v>0</v>
      </c>
      <c r="R1402">
        <v>154.94999999999999</v>
      </c>
      <c r="S1402" t="s">
        <v>375</v>
      </c>
      <c r="T1402" t="s">
        <v>778</v>
      </c>
    </row>
    <row r="1403" spans="1:20" x14ac:dyDescent="0.3">
      <c r="A1403">
        <v>1402</v>
      </c>
      <c r="B1403">
        <v>109</v>
      </c>
      <c r="C1403">
        <v>3</v>
      </c>
      <c r="D1403">
        <v>114.27</v>
      </c>
      <c r="E1403">
        <v>11.43</v>
      </c>
      <c r="F1403">
        <v>0</v>
      </c>
      <c r="G1403">
        <v>0.1</v>
      </c>
      <c r="H1403" t="s">
        <v>622</v>
      </c>
      <c r="J1403" t="s">
        <v>623</v>
      </c>
      <c r="K1403" s="1"/>
      <c r="L1403" s="1">
        <v>46087.479178240741</v>
      </c>
      <c r="M1403" s="2">
        <v>46087</v>
      </c>
      <c r="N1403" t="s">
        <v>636</v>
      </c>
      <c r="O1403" t="s">
        <v>625</v>
      </c>
      <c r="P1403">
        <v>1</v>
      </c>
      <c r="Q1403">
        <v>0</v>
      </c>
      <c r="R1403">
        <v>114.27</v>
      </c>
      <c r="S1403" t="s">
        <v>213</v>
      </c>
      <c r="T1403" t="s">
        <v>777</v>
      </c>
    </row>
    <row r="1404" spans="1:20" x14ac:dyDescent="0.3">
      <c r="A1404">
        <v>1403</v>
      </c>
      <c r="B1404">
        <v>31</v>
      </c>
      <c r="C1404">
        <v>2</v>
      </c>
      <c r="D1404">
        <v>19.05</v>
      </c>
      <c r="E1404">
        <v>1.91</v>
      </c>
      <c r="F1404">
        <v>0</v>
      </c>
      <c r="G1404">
        <v>0.1</v>
      </c>
      <c r="H1404" t="s">
        <v>622</v>
      </c>
      <c r="J1404" t="s">
        <v>623</v>
      </c>
      <c r="K1404" s="1"/>
      <c r="L1404" s="1">
        <v>46087.485868055555</v>
      </c>
      <c r="M1404" s="2">
        <v>46087</v>
      </c>
      <c r="N1404" t="s">
        <v>636</v>
      </c>
      <c r="O1404" t="s">
        <v>625</v>
      </c>
      <c r="P1404">
        <v>1</v>
      </c>
      <c r="Q1404">
        <v>0</v>
      </c>
      <c r="R1404">
        <v>19.05</v>
      </c>
      <c r="S1404" t="s">
        <v>58</v>
      </c>
      <c r="T1404" t="s">
        <v>776</v>
      </c>
    </row>
    <row r="1405" spans="1:20" x14ac:dyDescent="0.3">
      <c r="A1405">
        <v>1404</v>
      </c>
      <c r="B1405">
        <v>178</v>
      </c>
      <c r="C1405">
        <v>3</v>
      </c>
      <c r="D1405">
        <v>135.02000000000001</v>
      </c>
      <c r="E1405">
        <v>13.5</v>
      </c>
      <c r="F1405">
        <v>0</v>
      </c>
      <c r="G1405">
        <v>0.1</v>
      </c>
      <c r="H1405" t="s">
        <v>622</v>
      </c>
      <c r="J1405" t="s">
        <v>623</v>
      </c>
      <c r="K1405" s="1"/>
      <c r="L1405" s="1">
        <v>46087.531331018516</v>
      </c>
      <c r="M1405" s="2">
        <v>46087</v>
      </c>
      <c r="N1405" t="s">
        <v>636</v>
      </c>
      <c r="O1405" t="s">
        <v>625</v>
      </c>
      <c r="P1405">
        <v>1</v>
      </c>
      <c r="Q1405">
        <v>0</v>
      </c>
      <c r="R1405">
        <v>135.02000000000001</v>
      </c>
      <c r="S1405" t="s">
        <v>351</v>
      </c>
      <c r="T1405" t="s">
        <v>777</v>
      </c>
    </row>
    <row r="1406" spans="1:20" x14ac:dyDescent="0.3">
      <c r="A1406">
        <v>1405</v>
      </c>
      <c r="B1406">
        <v>80</v>
      </c>
      <c r="C1406">
        <v>5</v>
      </c>
      <c r="D1406">
        <v>24.1</v>
      </c>
      <c r="E1406">
        <v>2.41</v>
      </c>
      <c r="F1406">
        <v>0</v>
      </c>
      <c r="G1406">
        <v>0.1</v>
      </c>
      <c r="H1406" t="s">
        <v>622</v>
      </c>
      <c r="J1406" t="s">
        <v>623</v>
      </c>
      <c r="K1406" s="1"/>
      <c r="L1406" s="1">
        <v>46087.576423611114</v>
      </c>
      <c r="M1406" s="2">
        <v>46087</v>
      </c>
      <c r="N1406" t="s">
        <v>636</v>
      </c>
      <c r="O1406" t="s">
        <v>625</v>
      </c>
      <c r="P1406">
        <v>1</v>
      </c>
      <c r="Q1406">
        <v>0</v>
      </c>
      <c r="R1406">
        <v>24.1</v>
      </c>
      <c r="S1406" t="s">
        <v>156</v>
      </c>
      <c r="T1406" t="s">
        <v>779</v>
      </c>
    </row>
    <row r="1407" spans="1:20" x14ac:dyDescent="0.3">
      <c r="A1407">
        <v>1406</v>
      </c>
      <c r="B1407">
        <v>252</v>
      </c>
      <c r="C1407">
        <v>3</v>
      </c>
      <c r="D1407">
        <v>23.85</v>
      </c>
      <c r="E1407">
        <v>2.39</v>
      </c>
      <c r="F1407">
        <v>0</v>
      </c>
      <c r="G1407">
        <v>0.1</v>
      </c>
      <c r="H1407" t="s">
        <v>622</v>
      </c>
      <c r="J1407" t="s">
        <v>623</v>
      </c>
      <c r="K1407" s="1"/>
      <c r="L1407" s="1">
        <v>46087.635138888887</v>
      </c>
      <c r="M1407" s="2">
        <v>46087</v>
      </c>
      <c r="N1407" t="s">
        <v>636</v>
      </c>
      <c r="O1407" t="s">
        <v>625</v>
      </c>
      <c r="P1407">
        <v>1</v>
      </c>
      <c r="Q1407">
        <v>0</v>
      </c>
      <c r="R1407">
        <v>23.85</v>
      </c>
      <c r="S1407" t="s">
        <v>499</v>
      </c>
      <c r="T1407" t="s">
        <v>777</v>
      </c>
    </row>
    <row r="1408" spans="1:20" x14ac:dyDescent="0.3">
      <c r="A1408">
        <v>1407</v>
      </c>
      <c r="B1408">
        <v>235</v>
      </c>
      <c r="C1408">
        <v>3</v>
      </c>
      <c r="D1408">
        <v>22.56</v>
      </c>
      <c r="E1408">
        <v>2.2599999999999998</v>
      </c>
      <c r="F1408">
        <v>0</v>
      </c>
      <c r="G1408">
        <v>0.1</v>
      </c>
      <c r="H1408" t="s">
        <v>622</v>
      </c>
      <c r="J1408" t="s">
        <v>623</v>
      </c>
      <c r="K1408" s="1"/>
      <c r="L1408" s="1">
        <v>46087.689918981479</v>
      </c>
      <c r="M1408" s="2">
        <v>46087</v>
      </c>
      <c r="N1408" t="s">
        <v>636</v>
      </c>
      <c r="O1408" t="s">
        <v>625</v>
      </c>
      <c r="P1408">
        <v>1</v>
      </c>
      <c r="Q1408">
        <v>0</v>
      </c>
      <c r="R1408">
        <v>22.56</v>
      </c>
      <c r="S1408" t="s">
        <v>465</v>
      </c>
      <c r="T1408" t="s">
        <v>777</v>
      </c>
    </row>
    <row r="1409" spans="1:20" x14ac:dyDescent="0.3">
      <c r="A1409">
        <v>1408</v>
      </c>
      <c r="B1409">
        <v>136</v>
      </c>
      <c r="C1409">
        <v>5</v>
      </c>
      <c r="D1409">
        <v>80.739999999999995</v>
      </c>
      <c r="E1409">
        <v>8.07</v>
      </c>
      <c r="F1409">
        <v>0</v>
      </c>
      <c r="G1409">
        <v>0.1</v>
      </c>
      <c r="H1409" t="s">
        <v>622</v>
      </c>
      <c r="J1409" t="s">
        <v>623</v>
      </c>
      <c r="K1409" s="1"/>
      <c r="L1409" s="1">
        <v>46088.373599537037</v>
      </c>
      <c r="M1409" s="2">
        <v>46088</v>
      </c>
      <c r="N1409" t="s">
        <v>636</v>
      </c>
      <c r="O1409" t="s">
        <v>625</v>
      </c>
      <c r="P1409">
        <v>1</v>
      </c>
      <c r="Q1409">
        <v>0</v>
      </c>
      <c r="R1409">
        <v>80.739999999999995</v>
      </c>
      <c r="S1409" t="s">
        <v>267</v>
      </c>
      <c r="T1409" t="s">
        <v>779</v>
      </c>
    </row>
    <row r="1410" spans="1:20" x14ac:dyDescent="0.3">
      <c r="A1410">
        <v>1409</v>
      </c>
      <c r="B1410">
        <v>132</v>
      </c>
      <c r="C1410">
        <v>5</v>
      </c>
      <c r="D1410">
        <v>111.97</v>
      </c>
      <c r="E1410">
        <v>11.2</v>
      </c>
      <c r="F1410">
        <v>0</v>
      </c>
      <c r="G1410">
        <v>0.1</v>
      </c>
      <c r="H1410" t="s">
        <v>622</v>
      </c>
      <c r="J1410" t="s">
        <v>623</v>
      </c>
      <c r="K1410" s="1"/>
      <c r="L1410" s="1">
        <v>46088.476689814815</v>
      </c>
      <c r="M1410" s="2">
        <v>46088</v>
      </c>
      <c r="N1410" t="s">
        <v>636</v>
      </c>
      <c r="O1410" t="s">
        <v>625</v>
      </c>
      <c r="P1410">
        <v>1</v>
      </c>
      <c r="Q1410">
        <v>0</v>
      </c>
      <c r="R1410">
        <v>111.97</v>
      </c>
      <c r="S1410" t="s">
        <v>259</v>
      </c>
      <c r="T1410" t="s">
        <v>779</v>
      </c>
    </row>
    <row r="1411" spans="1:20" x14ac:dyDescent="0.3">
      <c r="A1411">
        <v>1410</v>
      </c>
      <c r="B1411">
        <v>87</v>
      </c>
      <c r="C1411">
        <v>2</v>
      </c>
      <c r="D1411">
        <v>65.78</v>
      </c>
      <c r="E1411">
        <v>6.58</v>
      </c>
      <c r="F1411">
        <v>0</v>
      </c>
      <c r="G1411">
        <v>0.1</v>
      </c>
      <c r="H1411" t="s">
        <v>622</v>
      </c>
      <c r="J1411" t="s">
        <v>623</v>
      </c>
      <c r="K1411" s="1"/>
      <c r="L1411" s="1">
        <v>46088.479930555557</v>
      </c>
      <c r="M1411" s="2">
        <v>46088</v>
      </c>
      <c r="N1411" t="s">
        <v>636</v>
      </c>
      <c r="O1411" t="s">
        <v>625</v>
      </c>
      <c r="P1411">
        <v>1</v>
      </c>
      <c r="Q1411">
        <v>0</v>
      </c>
      <c r="R1411">
        <v>65.78</v>
      </c>
      <c r="S1411" t="s">
        <v>169</v>
      </c>
      <c r="T1411" t="s">
        <v>776</v>
      </c>
    </row>
    <row r="1412" spans="1:20" x14ac:dyDescent="0.3">
      <c r="A1412">
        <v>1411</v>
      </c>
      <c r="B1412">
        <v>133</v>
      </c>
      <c r="C1412">
        <v>2</v>
      </c>
      <c r="D1412">
        <v>82.63</v>
      </c>
      <c r="E1412">
        <v>8.26</v>
      </c>
      <c r="F1412">
        <v>0</v>
      </c>
      <c r="G1412">
        <v>0.1</v>
      </c>
      <c r="H1412" t="s">
        <v>622</v>
      </c>
      <c r="J1412" t="s">
        <v>623</v>
      </c>
      <c r="K1412" s="1"/>
      <c r="L1412" s="1">
        <v>46088.539039351854</v>
      </c>
      <c r="M1412" s="2">
        <v>46088</v>
      </c>
      <c r="N1412" t="s">
        <v>636</v>
      </c>
      <c r="O1412" t="s">
        <v>625</v>
      </c>
      <c r="P1412">
        <v>1</v>
      </c>
      <c r="Q1412">
        <v>0</v>
      </c>
      <c r="R1412">
        <v>82.63</v>
      </c>
      <c r="S1412" t="s">
        <v>261</v>
      </c>
      <c r="T1412" t="s">
        <v>776</v>
      </c>
    </row>
    <row r="1413" spans="1:20" x14ac:dyDescent="0.3">
      <c r="A1413">
        <v>1412</v>
      </c>
      <c r="B1413">
        <v>152</v>
      </c>
      <c r="C1413">
        <v>3</v>
      </c>
      <c r="D1413">
        <v>236.03</v>
      </c>
      <c r="E1413">
        <v>23.6</v>
      </c>
      <c r="F1413">
        <v>0</v>
      </c>
      <c r="G1413">
        <v>0.1</v>
      </c>
      <c r="H1413" t="s">
        <v>622</v>
      </c>
      <c r="J1413" t="s">
        <v>623</v>
      </c>
      <c r="K1413" s="1"/>
      <c r="L1413" s="1">
        <v>46088.585752314815</v>
      </c>
      <c r="M1413" s="2">
        <v>46088</v>
      </c>
      <c r="N1413" t="s">
        <v>636</v>
      </c>
      <c r="O1413" t="s">
        <v>625</v>
      </c>
      <c r="P1413">
        <v>1</v>
      </c>
      <c r="Q1413">
        <v>0</v>
      </c>
      <c r="R1413">
        <v>236.03</v>
      </c>
      <c r="S1413" t="s">
        <v>299</v>
      </c>
      <c r="T1413" t="s">
        <v>777</v>
      </c>
    </row>
    <row r="1414" spans="1:20" x14ac:dyDescent="0.3">
      <c r="A1414">
        <v>1413</v>
      </c>
      <c r="B1414">
        <v>207</v>
      </c>
      <c r="C1414">
        <v>2</v>
      </c>
      <c r="D1414">
        <v>36.75</v>
      </c>
      <c r="E1414">
        <v>0</v>
      </c>
      <c r="F1414">
        <v>1</v>
      </c>
      <c r="G1414">
        <v>0.1</v>
      </c>
      <c r="H1414" t="s">
        <v>622</v>
      </c>
      <c r="J1414" t="s">
        <v>623</v>
      </c>
      <c r="K1414" s="1"/>
      <c r="L1414" s="1">
        <v>46088.6481712963</v>
      </c>
      <c r="M1414" s="2">
        <v>46088</v>
      </c>
      <c r="N1414" t="s">
        <v>636</v>
      </c>
      <c r="O1414" t="s">
        <v>629</v>
      </c>
      <c r="P1414">
        <v>1</v>
      </c>
      <c r="Q1414">
        <v>0</v>
      </c>
      <c r="R1414">
        <v>36.75</v>
      </c>
      <c r="S1414" t="s">
        <v>409</v>
      </c>
      <c r="T1414" t="s">
        <v>776</v>
      </c>
    </row>
    <row r="1415" spans="1:20" x14ac:dyDescent="0.3">
      <c r="A1415">
        <v>1414</v>
      </c>
      <c r="B1415">
        <v>145</v>
      </c>
      <c r="C1415">
        <v>4</v>
      </c>
      <c r="D1415">
        <v>177.37</v>
      </c>
      <c r="E1415">
        <v>17.739999999999998</v>
      </c>
      <c r="F1415">
        <v>0</v>
      </c>
      <c r="G1415">
        <v>0.1</v>
      </c>
      <c r="H1415" t="s">
        <v>622</v>
      </c>
      <c r="J1415" t="s">
        <v>623</v>
      </c>
      <c r="K1415" s="1"/>
      <c r="L1415" s="1">
        <v>46088.706412037034</v>
      </c>
      <c r="M1415" s="2">
        <v>46088</v>
      </c>
      <c r="N1415" t="s">
        <v>636</v>
      </c>
      <c r="O1415" t="s">
        <v>625</v>
      </c>
      <c r="P1415">
        <v>1</v>
      </c>
      <c r="Q1415">
        <v>0</v>
      </c>
      <c r="R1415">
        <v>177.37</v>
      </c>
      <c r="S1415" t="s">
        <v>285</v>
      </c>
      <c r="T1415" t="s">
        <v>778</v>
      </c>
    </row>
    <row r="1416" spans="1:20" x14ac:dyDescent="0.3">
      <c r="A1416">
        <v>1415</v>
      </c>
      <c r="B1416">
        <v>136</v>
      </c>
      <c r="C1416">
        <v>2</v>
      </c>
      <c r="D1416">
        <v>65.8</v>
      </c>
      <c r="E1416">
        <v>6.58</v>
      </c>
      <c r="F1416">
        <v>0</v>
      </c>
      <c r="G1416">
        <v>0.1</v>
      </c>
      <c r="H1416" t="s">
        <v>622</v>
      </c>
      <c r="J1416" t="s">
        <v>623</v>
      </c>
      <c r="K1416" s="1"/>
      <c r="L1416" s="1">
        <v>46089.508171296293</v>
      </c>
      <c r="M1416" s="2">
        <v>46089</v>
      </c>
      <c r="N1416" t="s">
        <v>636</v>
      </c>
      <c r="O1416" t="s">
        <v>625</v>
      </c>
      <c r="P1416">
        <v>1</v>
      </c>
      <c r="Q1416">
        <v>0</v>
      </c>
      <c r="R1416">
        <v>65.8</v>
      </c>
      <c r="S1416" t="s">
        <v>267</v>
      </c>
      <c r="T1416" t="s">
        <v>776</v>
      </c>
    </row>
    <row r="1417" spans="1:20" x14ac:dyDescent="0.3">
      <c r="A1417">
        <v>1416</v>
      </c>
      <c r="B1417">
        <v>67</v>
      </c>
      <c r="C1417">
        <v>5</v>
      </c>
      <c r="D1417">
        <v>29.31</v>
      </c>
      <c r="E1417">
        <v>2.93</v>
      </c>
      <c r="F1417">
        <v>0</v>
      </c>
      <c r="G1417">
        <v>0.1</v>
      </c>
      <c r="H1417" t="s">
        <v>622</v>
      </c>
      <c r="J1417" t="s">
        <v>623</v>
      </c>
      <c r="K1417" s="1"/>
      <c r="L1417" s="1">
        <v>46089.726921296293</v>
      </c>
      <c r="M1417" s="2">
        <v>46089</v>
      </c>
      <c r="N1417" t="s">
        <v>636</v>
      </c>
      <c r="O1417" t="s">
        <v>625</v>
      </c>
      <c r="P1417">
        <v>1</v>
      </c>
      <c r="Q1417">
        <v>0</v>
      </c>
      <c r="R1417">
        <v>29.31</v>
      </c>
      <c r="S1417" t="s">
        <v>130</v>
      </c>
      <c r="T1417" t="s">
        <v>779</v>
      </c>
    </row>
    <row r="1418" spans="1:20" x14ac:dyDescent="0.3">
      <c r="A1418">
        <v>1417</v>
      </c>
      <c r="B1418">
        <v>11</v>
      </c>
      <c r="C1418">
        <v>3</v>
      </c>
      <c r="D1418">
        <v>204.16</v>
      </c>
      <c r="E1418">
        <v>20.420000000000002</v>
      </c>
      <c r="F1418">
        <v>0</v>
      </c>
      <c r="G1418">
        <v>0.1</v>
      </c>
      <c r="H1418" t="s">
        <v>622</v>
      </c>
      <c r="J1418" t="s">
        <v>623</v>
      </c>
      <c r="K1418" s="1"/>
      <c r="L1418" s="1">
        <v>46090.465451388889</v>
      </c>
      <c r="M1418" s="2">
        <v>46090</v>
      </c>
      <c r="N1418" t="s">
        <v>636</v>
      </c>
      <c r="O1418" t="s">
        <v>625</v>
      </c>
      <c r="P1418">
        <v>1</v>
      </c>
      <c r="Q1418">
        <v>0</v>
      </c>
      <c r="R1418">
        <v>204.16</v>
      </c>
      <c r="S1418" t="s">
        <v>18</v>
      </c>
      <c r="T1418" t="s">
        <v>777</v>
      </c>
    </row>
    <row r="1419" spans="1:20" x14ac:dyDescent="0.3">
      <c r="A1419">
        <v>1418</v>
      </c>
      <c r="B1419">
        <v>117</v>
      </c>
      <c r="C1419">
        <v>3</v>
      </c>
      <c r="D1419">
        <v>71.59</v>
      </c>
      <c r="E1419">
        <v>7.16</v>
      </c>
      <c r="F1419">
        <v>0</v>
      </c>
      <c r="G1419">
        <v>0.1</v>
      </c>
      <c r="H1419" t="s">
        <v>622</v>
      </c>
      <c r="J1419" t="s">
        <v>623</v>
      </c>
      <c r="K1419" s="1"/>
      <c r="L1419" s="1">
        <v>46090.485960648148</v>
      </c>
      <c r="M1419" s="2">
        <v>46090</v>
      </c>
      <c r="N1419" t="s">
        <v>636</v>
      </c>
      <c r="O1419" t="s">
        <v>625</v>
      </c>
      <c r="P1419">
        <v>1</v>
      </c>
      <c r="Q1419">
        <v>0</v>
      </c>
      <c r="R1419">
        <v>71.59</v>
      </c>
      <c r="S1419" t="s">
        <v>229</v>
      </c>
      <c r="T1419" t="s">
        <v>777</v>
      </c>
    </row>
    <row r="1420" spans="1:20" x14ac:dyDescent="0.3">
      <c r="A1420">
        <v>1419</v>
      </c>
      <c r="B1420">
        <v>255</v>
      </c>
      <c r="C1420">
        <v>4</v>
      </c>
      <c r="D1420">
        <v>16.739999999999998</v>
      </c>
      <c r="E1420">
        <v>1.67</v>
      </c>
      <c r="F1420">
        <v>0</v>
      </c>
      <c r="G1420">
        <v>0.1</v>
      </c>
      <c r="H1420" t="s">
        <v>622</v>
      </c>
      <c r="J1420" t="s">
        <v>623</v>
      </c>
      <c r="K1420" s="1"/>
      <c r="L1420" s="1">
        <v>46090.5781712963</v>
      </c>
      <c r="M1420" s="2">
        <v>46090</v>
      </c>
      <c r="N1420" t="s">
        <v>636</v>
      </c>
      <c r="O1420" t="s">
        <v>625</v>
      </c>
      <c r="P1420">
        <v>1</v>
      </c>
      <c r="Q1420">
        <v>0</v>
      </c>
      <c r="R1420">
        <v>16.739999999999998</v>
      </c>
      <c r="S1420" t="s">
        <v>505</v>
      </c>
      <c r="T1420" t="s">
        <v>778</v>
      </c>
    </row>
    <row r="1421" spans="1:20" x14ac:dyDescent="0.3">
      <c r="A1421">
        <v>1420</v>
      </c>
      <c r="B1421">
        <v>17</v>
      </c>
      <c r="C1421">
        <v>3</v>
      </c>
      <c r="D1421">
        <v>98.51</v>
      </c>
      <c r="E1421">
        <v>9.85</v>
      </c>
      <c r="F1421">
        <v>0</v>
      </c>
      <c r="G1421">
        <v>0.1</v>
      </c>
      <c r="H1421" t="s">
        <v>622</v>
      </c>
      <c r="J1421" t="s">
        <v>623</v>
      </c>
      <c r="K1421" s="1"/>
      <c r="L1421" s="1">
        <v>46090.629444444443</v>
      </c>
      <c r="M1421" s="2">
        <v>46090</v>
      </c>
      <c r="N1421" t="s">
        <v>636</v>
      </c>
      <c r="O1421" t="s">
        <v>625</v>
      </c>
      <c r="P1421">
        <v>1</v>
      </c>
      <c r="Q1421">
        <v>0</v>
      </c>
      <c r="R1421">
        <v>98.51</v>
      </c>
      <c r="S1421" t="s">
        <v>30</v>
      </c>
      <c r="T1421" t="s">
        <v>777</v>
      </c>
    </row>
    <row r="1422" spans="1:20" x14ac:dyDescent="0.3">
      <c r="A1422">
        <v>1421</v>
      </c>
      <c r="B1422">
        <v>137</v>
      </c>
      <c r="C1422">
        <v>3</v>
      </c>
      <c r="D1422">
        <v>28.76</v>
      </c>
      <c r="E1422">
        <v>2.88</v>
      </c>
      <c r="F1422">
        <v>0</v>
      </c>
      <c r="G1422">
        <v>0.1</v>
      </c>
      <c r="H1422" t="s">
        <v>622</v>
      </c>
      <c r="J1422" t="s">
        <v>623</v>
      </c>
      <c r="K1422" s="1"/>
      <c r="L1422" s="1">
        <v>46090.668368055558</v>
      </c>
      <c r="M1422" s="2">
        <v>46090</v>
      </c>
      <c r="N1422" t="s">
        <v>636</v>
      </c>
      <c r="O1422" t="s">
        <v>625</v>
      </c>
      <c r="P1422">
        <v>1</v>
      </c>
      <c r="Q1422">
        <v>0</v>
      </c>
      <c r="R1422">
        <v>28.76</v>
      </c>
      <c r="S1422" t="s">
        <v>269</v>
      </c>
      <c r="T1422" t="s">
        <v>777</v>
      </c>
    </row>
    <row r="1423" spans="1:20" x14ac:dyDescent="0.3">
      <c r="A1423">
        <v>1422</v>
      </c>
      <c r="B1423">
        <v>178</v>
      </c>
      <c r="C1423">
        <v>3</v>
      </c>
      <c r="D1423">
        <v>300</v>
      </c>
      <c r="E1423">
        <v>30</v>
      </c>
      <c r="F1423">
        <v>0</v>
      </c>
      <c r="G1423">
        <v>0.1</v>
      </c>
      <c r="H1423" t="s">
        <v>622</v>
      </c>
      <c r="J1423" t="s">
        <v>623</v>
      </c>
      <c r="K1423" s="1"/>
      <c r="L1423" s="1">
        <v>46090.791886574072</v>
      </c>
      <c r="M1423" s="2">
        <v>46090</v>
      </c>
      <c r="N1423" t="s">
        <v>636</v>
      </c>
      <c r="O1423" t="s">
        <v>625</v>
      </c>
      <c r="P1423">
        <v>1</v>
      </c>
      <c r="Q1423">
        <v>0</v>
      </c>
      <c r="R1423">
        <v>300</v>
      </c>
      <c r="S1423" t="s">
        <v>351</v>
      </c>
      <c r="T1423" t="s">
        <v>777</v>
      </c>
    </row>
    <row r="1424" spans="1:20" x14ac:dyDescent="0.3">
      <c r="A1424">
        <v>1423</v>
      </c>
      <c r="B1424">
        <v>76</v>
      </c>
      <c r="C1424">
        <v>5</v>
      </c>
      <c r="D1424">
        <v>65.849999999999994</v>
      </c>
      <c r="E1424">
        <v>6.59</v>
      </c>
      <c r="F1424">
        <v>0</v>
      </c>
      <c r="G1424">
        <v>0.1</v>
      </c>
      <c r="H1424" t="s">
        <v>622</v>
      </c>
      <c r="J1424" t="s">
        <v>623</v>
      </c>
      <c r="K1424" s="1"/>
      <c r="L1424" s="1">
        <v>46091.307719907411</v>
      </c>
      <c r="M1424" s="2">
        <v>46091</v>
      </c>
      <c r="N1424" t="s">
        <v>636</v>
      </c>
      <c r="O1424" t="s">
        <v>625</v>
      </c>
      <c r="P1424">
        <v>1</v>
      </c>
      <c r="Q1424">
        <v>0</v>
      </c>
      <c r="R1424">
        <v>65.849999999999994</v>
      </c>
      <c r="S1424" t="s">
        <v>148</v>
      </c>
      <c r="T1424" t="s">
        <v>779</v>
      </c>
    </row>
    <row r="1425" spans="1:20" x14ac:dyDescent="0.3">
      <c r="A1425">
        <v>1424</v>
      </c>
      <c r="B1425">
        <v>261</v>
      </c>
      <c r="C1425">
        <v>3</v>
      </c>
      <c r="D1425">
        <v>55.07</v>
      </c>
      <c r="E1425">
        <v>5.51</v>
      </c>
      <c r="F1425">
        <v>0</v>
      </c>
      <c r="G1425">
        <v>0.1</v>
      </c>
      <c r="H1425" t="s">
        <v>622</v>
      </c>
      <c r="J1425" t="s">
        <v>623</v>
      </c>
      <c r="K1425" s="1"/>
      <c r="L1425" s="1">
        <v>46091.338229166664</v>
      </c>
      <c r="M1425" s="2">
        <v>46091</v>
      </c>
      <c r="N1425" t="s">
        <v>636</v>
      </c>
      <c r="O1425" t="s">
        <v>625</v>
      </c>
      <c r="P1425">
        <v>1</v>
      </c>
      <c r="Q1425">
        <v>0</v>
      </c>
      <c r="R1425">
        <v>55.07</v>
      </c>
      <c r="S1425" t="s">
        <v>517</v>
      </c>
      <c r="T1425" t="s">
        <v>777</v>
      </c>
    </row>
    <row r="1426" spans="1:20" x14ac:dyDescent="0.3">
      <c r="A1426">
        <v>1425</v>
      </c>
      <c r="B1426">
        <v>151</v>
      </c>
      <c r="C1426">
        <v>2</v>
      </c>
      <c r="D1426">
        <v>177.81</v>
      </c>
      <c r="E1426">
        <v>17.78</v>
      </c>
      <c r="F1426">
        <v>0</v>
      </c>
      <c r="G1426">
        <v>0.1</v>
      </c>
      <c r="H1426" t="s">
        <v>622</v>
      </c>
      <c r="J1426" t="s">
        <v>623</v>
      </c>
      <c r="K1426" s="1"/>
      <c r="L1426" s="1">
        <v>46091.407210648147</v>
      </c>
      <c r="M1426" s="2">
        <v>46091</v>
      </c>
      <c r="N1426" t="s">
        <v>636</v>
      </c>
      <c r="O1426" t="s">
        <v>625</v>
      </c>
      <c r="P1426">
        <v>1</v>
      </c>
      <c r="Q1426">
        <v>0</v>
      </c>
      <c r="R1426">
        <v>177.81</v>
      </c>
      <c r="S1426" t="s">
        <v>297</v>
      </c>
      <c r="T1426" t="s">
        <v>776</v>
      </c>
    </row>
    <row r="1427" spans="1:20" x14ac:dyDescent="0.3">
      <c r="A1427">
        <v>1426</v>
      </c>
      <c r="B1427">
        <v>149</v>
      </c>
      <c r="C1427">
        <v>4</v>
      </c>
      <c r="D1427">
        <v>42.91</v>
      </c>
      <c r="E1427">
        <v>4.29</v>
      </c>
      <c r="F1427">
        <v>0</v>
      </c>
      <c r="G1427">
        <v>0.1</v>
      </c>
      <c r="H1427" t="s">
        <v>622</v>
      </c>
      <c r="J1427" t="s">
        <v>623</v>
      </c>
      <c r="K1427" s="1"/>
      <c r="L1427" s="1">
        <v>46091.514155092591</v>
      </c>
      <c r="M1427" s="2">
        <v>46091</v>
      </c>
      <c r="N1427" t="s">
        <v>636</v>
      </c>
      <c r="O1427" t="s">
        <v>625</v>
      </c>
      <c r="P1427">
        <v>1</v>
      </c>
      <c r="Q1427">
        <v>0</v>
      </c>
      <c r="R1427">
        <v>42.91</v>
      </c>
      <c r="S1427" t="s">
        <v>293</v>
      </c>
      <c r="T1427" t="s">
        <v>778</v>
      </c>
    </row>
    <row r="1428" spans="1:20" x14ac:dyDescent="0.3">
      <c r="A1428">
        <v>1427</v>
      </c>
      <c r="B1428">
        <v>27</v>
      </c>
      <c r="C1428">
        <v>3</v>
      </c>
      <c r="D1428">
        <v>60.12</v>
      </c>
      <c r="E1428">
        <v>6.01</v>
      </c>
      <c r="F1428">
        <v>0</v>
      </c>
      <c r="G1428">
        <v>0.1</v>
      </c>
      <c r="H1428" t="s">
        <v>622</v>
      </c>
      <c r="J1428" t="s">
        <v>623</v>
      </c>
      <c r="K1428" s="1"/>
      <c r="L1428" s="1">
        <v>46091.599872685183</v>
      </c>
      <c r="M1428" s="2">
        <v>46091</v>
      </c>
      <c r="N1428" t="s">
        <v>636</v>
      </c>
      <c r="O1428" t="s">
        <v>625</v>
      </c>
      <c r="P1428">
        <v>1</v>
      </c>
      <c r="Q1428">
        <v>0</v>
      </c>
      <c r="R1428">
        <v>60.12</v>
      </c>
      <c r="S1428" t="s">
        <v>50</v>
      </c>
      <c r="T1428" t="s">
        <v>777</v>
      </c>
    </row>
    <row r="1429" spans="1:20" x14ac:dyDescent="0.3">
      <c r="A1429">
        <v>1428</v>
      </c>
      <c r="B1429">
        <v>35</v>
      </c>
      <c r="C1429">
        <v>3</v>
      </c>
      <c r="D1429">
        <v>42.72</v>
      </c>
      <c r="E1429">
        <v>4.2699999999999996</v>
      </c>
      <c r="F1429">
        <v>0</v>
      </c>
      <c r="G1429">
        <v>0.1</v>
      </c>
      <c r="H1429" t="s">
        <v>622</v>
      </c>
      <c r="J1429" t="s">
        <v>623</v>
      </c>
      <c r="K1429" s="1"/>
      <c r="L1429" s="1">
        <v>46091.656574074077</v>
      </c>
      <c r="M1429" s="2">
        <v>46091</v>
      </c>
      <c r="N1429" t="s">
        <v>636</v>
      </c>
      <c r="O1429" t="s">
        <v>625</v>
      </c>
      <c r="P1429">
        <v>1</v>
      </c>
      <c r="Q1429">
        <v>0</v>
      </c>
      <c r="R1429">
        <v>42.72</v>
      </c>
      <c r="S1429" t="s">
        <v>66</v>
      </c>
      <c r="T1429" t="s">
        <v>777</v>
      </c>
    </row>
    <row r="1430" spans="1:20" x14ac:dyDescent="0.3">
      <c r="A1430">
        <v>1429</v>
      </c>
      <c r="B1430">
        <v>230</v>
      </c>
      <c r="C1430">
        <v>4</v>
      </c>
      <c r="D1430">
        <v>152.03</v>
      </c>
      <c r="E1430">
        <v>15.2</v>
      </c>
      <c r="F1430">
        <v>0</v>
      </c>
      <c r="G1430">
        <v>0.1</v>
      </c>
      <c r="H1430" t="s">
        <v>622</v>
      </c>
      <c r="J1430" t="s">
        <v>623</v>
      </c>
      <c r="K1430" s="1"/>
      <c r="L1430" s="1">
        <v>46091.742060185185</v>
      </c>
      <c r="M1430" s="2">
        <v>46091</v>
      </c>
      <c r="N1430" t="s">
        <v>636</v>
      </c>
      <c r="O1430" t="s">
        <v>625</v>
      </c>
      <c r="P1430">
        <v>1</v>
      </c>
      <c r="Q1430">
        <v>0</v>
      </c>
      <c r="R1430">
        <v>152.03</v>
      </c>
      <c r="S1430" t="s">
        <v>455</v>
      </c>
      <c r="T1430" t="s">
        <v>778</v>
      </c>
    </row>
    <row r="1431" spans="1:20" x14ac:dyDescent="0.3">
      <c r="A1431">
        <v>1430</v>
      </c>
      <c r="B1431">
        <v>137</v>
      </c>
      <c r="C1431">
        <v>5</v>
      </c>
      <c r="D1431">
        <v>45.93</v>
      </c>
      <c r="E1431">
        <v>4.59</v>
      </c>
      <c r="F1431">
        <v>0</v>
      </c>
      <c r="G1431">
        <v>0.1</v>
      </c>
      <c r="H1431" t="s">
        <v>622</v>
      </c>
      <c r="J1431" t="s">
        <v>623</v>
      </c>
      <c r="K1431" s="1"/>
      <c r="L1431" s="1">
        <v>46092.333831018521</v>
      </c>
      <c r="M1431" s="2">
        <v>46092</v>
      </c>
      <c r="N1431" t="s">
        <v>636</v>
      </c>
      <c r="O1431" t="s">
        <v>625</v>
      </c>
      <c r="P1431">
        <v>1</v>
      </c>
      <c r="Q1431">
        <v>0</v>
      </c>
      <c r="R1431">
        <v>45.93</v>
      </c>
      <c r="S1431" t="s">
        <v>269</v>
      </c>
      <c r="T1431" t="s">
        <v>779</v>
      </c>
    </row>
    <row r="1432" spans="1:20" x14ac:dyDescent="0.3">
      <c r="A1432">
        <v>1431</v>
      </c>
      <c r="B1432">
        <v>39</v>
      </c>
      <c r="C1432">
        <v>5</v>
      </c>
      <c r="D1432">
        <v>139.1</v>
      </c>
      <c r="E1432">
        <v>13.91</v>
      </c>
      <c r="F1432">
        <v>0</v>
      </c>
      <c r="G1432">
        <v>0.1</v>
      </c>
      <c r="H1432" t="s">
        <v>622</v>
      </c>
      <c r="J1432" t="s">
        <v>623</v>
      </c>
      <c r="K1432" s="1"/>
      <c r="L1432" s="1">
        <v>46092.346770833334</v>
      </c>
      <c r="M1432" s="2">
        <v>46092</v>
      </c>
      <c r="N1432" t="s">
        <v>636</v>
      </c>
      <c r="O1432" t="s">
        <v>625</v>
      </c>
      <c r="P1432">
        <v>1</v>
      </c>
      <c r="Q1432">
        <v>0</v>
      </c>
      <c r="R1432">
        <v>139.1</v>
      </c>
      <c r="S1432" t="s">
        <v>74</v>
      </c>
      <c r="T1432" t="s">
        <v>779</v>
      </c>
    </row>
    <row r="1433" spans="1:20" x14ac:dyDescent="0.3">
      <c r="A1433">
        <v>1432</v>
      </c>
      <c r="B1433">
        <v>175</v>
      </c>
      <c r="C1433">
        <v>3</v>
      </c>
      <c r="D1433">
        <v>15.32</v>
      </c>
      <c r="E1433">
        <v>1.53</v>
      </c>
      <c r="F1433">
        <v>0</v>
      </c>
      <c r="G1433">
        <v>0.1</v>
      </c>
      <c r="H1433" t="s">
        <v>622</v>
      </c>
      <c r="J1433" t="s">
        <v>623</v>
      </c>
      <c r="K1433" s="1"/>
      <c r="L1433" s="1">
        <v>46092.437905092593</v>
      </c>
      <c r="M1433" s="2">
        <v>46092</v>
      </c>
      <c r="N1433" t="s">
        <v>636</v>
      </c>
      <c r="O1433" t="s">
        <v>625</v>
      </c>
      <c r="P1433">
        <v>1</v>
      </c>
      <c r="Q1433">
        <v>0</v>
      </c>
      <c r="R1433">
        <v>15.32</v>
      </c>
      <c r="S1433" t="s">
        <v>345</v>
      </c>
      <c r="T1433" t="s">
        <v>777</v>
      </c>
    </row>
    <row r="1434" spans="1:20" x14ac:dyDescent="0.3">
      <c r="A1434">
        <v>1433</v>
      </c>
      <c r="B1434">
        <v>40</v>
      </c>
      <c r="C1434">
        <v>2</v>
      </c>
      <c r="D1434">
        <v>51.75</v>
      </c>
      <c r="E1434">
        <v>0</v>
      </c>
      <c r="F1434">
        <v>1</v>
      </c>
      <c r="G1434">
        <v>0.1</v>
      </c>
      <c r="H1434" t="s">
        <v>626</v>
      </c>
      <c r="I1434">
        <v>3</v>
      </c>
      <c r="J1434" t="s">
        <v>631</v>
      </c>
      <c r="K1434" s="1">
        <v>46093.622812499998</v>
      </c>
      <c r="L1434" s="1">
        <v>46092.497812499998</v>
      </c>
      <c r="M1434" s="2">
        <v>46092</v>
      </c>
      <c r="N1434" t="s">
        <v>636</v>
      </c>
      <c r="O1434" t="s">
        <v>629</v>
      </c>
      <c r="P1434">
        <v>1</v>
      </c>
      <c r="Q1434">
        <v>1</v>
      </c>
      <c r="R1434">
        <v>0</v>
      </c>
      <c r="S1434" t="s">
        <v>76</v>
      </c>
      <c r="T1434" t="s">
        <v>776</v>
      </c>
    </row>
    <row r="1435" spans="1:20" x14ac:dyDescent="0.3">
      <c r="A1435">
        <v>1434</v>
      </c>
      <c r="B1435">
        <v>144</v>
      </c>
      <c r="C1435">
        <v>4</v>
      </c>
      <c r="D1435">
        <v>29.16</v>
      </c>
      <c r="E1435">
        <v>2.92</v>
      </c>
      <c r="F1435">
        <v>0</v>
      </c>
      <c r="G1435">
        <v>0.1</v>
      </c>
      <c r="H1435" t="s">
        <v>622</v>
      </c>
      <c r="J1435" t="s">
        <v>623</v>
      </c>
      <c r="K1435" s="1"/>
      <c r="L1435" s="1">
        <v>46092.516261574077</v>
      </c>
      <c r="M1435" s="2">
        <v>46092</v>
      </c>
      <c r="N1435" t="s">
        <v>636</v>
      </c>
      <c r="O1435" t="s">
        <v>625</v>
      </c>
      <c r="P1435">
        <v>1</v>
      </c>
      <c r="Q1435">
        <v>0</v>
      </c>
      <c r="R1435">
        <v>29.16</v>
      </c>
      <c r="S1435" t="s">
        <v>283</v>
      </c>
      <c r="T1435" t="s">
        <v>778</v>
      </c>
    </row>
    <row r="1436" spans="1:20" x14ac:dyDescent="0.3">
      <c r="A1436">
        <v>1435</v>
      </c>
      <c r="B1436">
        <v>36</v>
      </c>
      <c r="C1436">
        <v>2</v>
      </c>
      <c r="D1436">
        <v>210.04</v>
      </c>
      <c r="E1436">
        <v>21</v>
      </c>
      <c r="F1436">
        <v>0</v>
      </c>
      <c r="G1436">
        <v>0.1</v>
      </c>
      <c r="H1436" t="s">
        <v>622</v>
      </c>
      <c r="J1436" t="s">
        <v>623</v>
      </c>
      <c r="K1436" s="1"/>
      <c r="L1436" s="1">
        <v>46092.557129629633</v>
      </c>
      <c r="M1436" s="2">
        <v>46092</v>
      </c>
      <c r="N1436" t="s">
        <v>636</v>
      </c>
      <c r="O1436" t="s">
        <v>625</v>
      </c>
      <c r="P1436">
        <v>1</v>
      </c>
      <c r="Q1436">
        <v>0</v>
      </c>
      <c r="R1436">
        <v>210.04</v>
      </c>
      <c r="S1436" t="s">
        <v>68</v>
      </c>
      <c r="T1436" t="s">
        <v>776</v>
      </c>
    </row>
    <row r="1437" spans="1:20" x14ac:dyDescent="0.3">
      <c r="A1437">
        <v>1436</v>
      </c>
      <c r="B1437">
        <v>175</v>
      </c>
      <c r="C1437">
        <v>2</v>
      </c>
      <c r="D1437">
        <v>35.36</v>
      </c>
      <c r="E1437">
        <v>3.54</v>
      </c>
      <c r="F1437">
        <v>0</v>
      </c>
      <c r="G1437">
        <v>0.1</v>
      </c>
      <c r="H1437" t="s">
        <v>622</v>
      </c>
      <c r="J1437" t="s">
        <v>623</v>
      </c>
      <c r="K1437" s="1"/>
      <c r="L1437" s="1">
        <v>46092.600208333337</v>
      </c>
      <c r="M1437" s="2">
        <v>46092</v>
      </c>
      <c r="N1437" t="s">
        <v>636</v>
      </c>
      <c r="O1437" t="s">
        <v>625</v>
      </c>
      <c r="P1437">
        <v>1</v>
      </c>
      <c r="Q1437">
        <v>0</v>
      </c>
      <c r="R1437">
        <v>35.36</v>
      </c>
      <c r="S1437" t="s">
        <v>345</v>
      </c>
      <c r="T1437" t="s">
        <v>776</v>
      </c>
    </row>
    <row r="1438" spans="1:20" x14ac:dyDescent="0.3">
      <c r="A1438">
        <v>1437</v>
      </c>
      <c r="B1438">
        <v>300</v>
      </c>
      <c r="C1438">
        <v>4</v>
      </c>
      <c r="D1438">
        <v>96.93</v>
      </c>
      <c r="E1438">
        <v>9.69</v>
      </c>
      <c r="F1438">
        <v>0</v>
      </c>
      <c r="G1438">
        <v>0.1</v>
      </c>
      <c r="H1438" t="s">
        <v>622</v>
      </c>
      <c r="J1438" t="s">
        <v>623</v>
      </c>
      <c r="K1438" s="1"/>
      <c r="L1438" s="1">
        <v>46092.692870370367</v>
      </c>
      <c r="M1438" s="2">
        <v>46092</v>
      </c>
      <c r="N1438" t="s">
        <v>636</v>
      </c>
      <c r="O1438" t="s">
        <v>625</v>
      </c>
      <c r="P1438">
        <v>1</v>
      </c>
      <c r="Q1438">
        <v>0</v>
      </c>
      <c r="R1438">
        <v>96.93</v>
      </c>
      <c r="S1438" t="s">
        <v>595</v>
      </c>
      <c r="T1438" t="s">
        <v>778</v>
      </c>
    </row>
    <row r="1439" spans="1:20" x14ac:dyDescent="0.3">
      <c r="A1439">
        <v>1438</v>
      </c>
      <c r="B1439">
        <v>39</v>
      </c>
      <c r="C1439">
        <v>2</v>
      </c>
      <c r="D1439">
        <v>140.79</v>
      </c>
      <c r="E1439">
        <v>14.08</v>
      </c>
      <c r="F1439">
        <v>0</v>
      </c>
      <c r="G1439">
        <v>0.1</v>
      </c>
      <c r="H1439" t="s">
        <v>622</v>
      </c>
      <c r="J1439" t="s">
        <v>623</v>
      </c>
      <c r="K1439" s="1"/>
      <c r="L1439" s="1">
        <v>46092.713680555556</v>
      </c>
      <c r="M1439" s="2">
        <v>46092</v>
      </c>
      <c r="N1439" t="s">
        <v>636</v>
      </c>
      <c r="O1439" t="s">
        <v>625</v>
      </c>
      <c r="P1439">
        <v>1</v>
      </c>
      <c r="Q1439">
        <v>0</v>
      </c>
      <c r="R1439">
        <v>140.79</v>
      </c>
      <c r="S1439" t="s">
        <v>74</v>
      </c>
      <c r="T1439" t="s">
        <v>776</v>
      </c>
    </row>
    <row r="1440" spans="1:20" x14ac:dyDescent="0.3">
      <c r="A1440">
        <v>1439</v>
      </c>
      <c r="B1440">
        <v>87</v>
      </c>
      <c r="C1440">
        <v>2</v>
      </c>
      <c r="D1440">
        <v>71.989999999999995</v>
      </c>
      <c r="E1440">
        <v>7.2</v>
      </c>
      <c r="F1440">
        <v>0</v>
      </c>
      <c r="G1440">
        <v>0.1</v>
      </c>
      <c r="H1440" t="s">
        <v>622</v>
      </c>
      <c r="J1440" t="s">
        <v>623</v>
      </c>
      <c r="K1440" s="1"/>
      <c r="L1440" s="1">
        <v>46092.719537037039</v>
      </c>
      <c r="M1440" s="2">
        <v>46092</v>
      </c>
      <c r="N1440" t="s">
        <v>636</v>
      </c>
      <c r="O1440" t="s">
        <v>625</v>
      </c>
      <c r="P1440">
        <v>1</v>
      </c>
      <c r="Q1440">
        <v>0</v>
      </c>
      <c r="R1440">
        <v>71.989999999999995</v>
      </c>
      <c r="S1440" t="s">
        <v>169</v>
      </c>
      <c r="T1440" t="s">
        <v>776</v>
      </c>
    </row>
    <row r="1441" spans="1:20" x14ac:dyDescent="0.3">
      <c r="A1441">
        <v>1440</v>
      </c>
      <c r="B1441">
        <v>107</v>
      </c>
      <c r="C1441">
        <v>3</v>
      </c>
      <c r="D1441">
        <v>17.170000000000002</v>
      </c>
      <c r="E1441">
        <v>1.72</v>
      </c>
      <c r="F1441">
        <v>0</v>
      </c>
      <c r="G1441">
        <v>0.1</v>
      </c>
      <c r="H1441" t="s">
        <v>622</v>
      </c>
      <c r="J1441" t="s">
        <v>623</v>
      </c>
      <c r="K1441" s="1"/>
      <c r="L1441" s="1">
        <v>46092.730590277781</v>
      </c>
      <c r="M1441" s="2">
        <v>46092</v>
      </c>
      <c r="N1441" t="s">
        <v>636</v>
      </c>
      <c r="O1441" t="s">
        <v>625</v>
      </c>
      <c r="P1441">
        <v>1</v>
      </c>
      <c r="Q1441">
        <v>0</v>
      </c>
      <c r="R1441">
        <v>17.170000000000002</v>
      </c>
      <c r="S1441" t="s">
        <v>209</v>
      </c>
      <c r="T1441" t="s">
        <v>777</v>
      </c>
    </row>
    <row r="1442" spans="1:20" x14ac:dyDescent="0.3">
      <c r="A1442">
        <v>1441</v>
      </c>
      <c r="B1442">
        <v>65</v>
      </c>
      <c r="C1442">
        <v>5</v>
      </c>
      <c r="D1442">
        <v>32.4</v>
      </c>
      <c r="E1442">
        <v>3.24</v>
      </c>
      <c r="F1442">
        <v>0</v>
      </c>
      <c r="G1442">
        <v>0.1</v>
      </c>
      <c r="H1442" t="s">
        <v>622</v>
      </c>
      <c r="J1442" t="s">
        <v>623</v>
      </c>
      <c r="K1442" s="1"/>
      <c r="L1442" s="1">
        <v>46092.815960648149</v>
      </c>
      <c r="M1442" s="2">
        <v>46092</v>
      </c>
      <c r="N1442" t="s">
        <v>636</v>
      </c>
      <c r="O1442" t="s">
        <v>625</v>
      </c>
      <c r="P1442">
        <v>1</v>
      </c>
      <c r="Q1442">
        <v>0</v>
      </c>
      <c r="R1442">
        <v>32.4</v>
      </c>
      <c r="S1442" t="s">
        <v>126</v>
      </c>
      <c r="T1442" t="s">
        <v>779</v>
      </c>
    </row>
    <row r="1443" spans="1:20" x14ac:dyDescent="0.3">
      <c r="A1443">
        <v>1442</v>
      </c>
      <c r="B1443">
        <v>60</v>
      </c>
      <c r="C1443">
        <v>3</v>
      </c>
      <c r="D1443">
        <v>220.74</v>
      </c>
      <c r="E1443">
        <v>22.07</v>
      </c>
      <c r="F1443">
        <v>0</v>
      </c>
      <c r="G1443">
        <v>0.1</v>
      </c>
      <c r="H1443" t="s">
        <v>622</v>
      </c>
      <c r="J1443" t="s">
        <v>623</v>
      </c>
      <c r="K1443" s="1"/>
      <c r="L1443" s="1">
        <v>46093.322743055556</v>
      </c>
      <c r="M1443" s="2">
        <v>46093</v>
      </c>
      <c r="N1443" t="s">
        <v>636</v>
      </c>
      <c r="O1443" t="s">
        <v>625</v>
      </c>
      <c r="P1443">
        <v>1</v>
      </c>
      <c r="Q1443">
        <v>0</v>
      </c>
      <c r="R1443">
        <v>220.74</v>
      </c>
      <c r="S1443" t="s">
        <v>116</v>
      </c>
      <c r="T1443" t="s">
        <v>777</v>
      </c>
    </row>
    <row r="1444" spans="1:20" x14ac:dyDescent="0.3">
      <c r="A1444">
        <v>1443</v>
      </c>
      <c r="B1444">
        <v>59</v>
      </c>
      <c r="C1444">
        <v>2</v>
      </c>
      <c r="D1444">
        <v>25.88</v>
      </c>
      <c r="E1444">
        <v>2.59</v>
      </c>
      <c r="F1444">
        <v>0</v>
      </c>
      <c r="G1444">
        <v>0.1</v>
      </c>
      <c r="H1444" t="s">
        <v>622</v>
      </c>
      <c r="J1444" t="s">
        <v>623</v>
      </c>
      <c r="K1444" s="1"/>
      <c r="L1444" s="1">
        <v>46093.336157407408</v>
      </c>
      <c r="M1444" s="2">
        <v>46093</v>
      </c>
      <c r="N1444" t="s">
        <v>636</v>
      </c>
      <c r="O1444" t="s">
        <v>625</v>
      </c>
      <c r="P1444">
        <v>1</v>
      </c>
      <c r="Q1444">
        <v>0</v>
      </c>
      <c r="R1444">
        <v>25.88</v>
      </c>
      <c r="S1444" t="s">
        <v>114</v>
      </c>
      <c r="T1444" t="s">
        <v>776</v>
      </c>
    </row>
    <row r="1445" spans="1:20" x14ac:dyDescent="0.3">
      <c r="A1445">
        <v>1444</v>
      </c>
      <c r="B1445">
        <v>192</v>
      </c>
      <c r="C1445">
        <v>5</v>
      </c>
      <c r="D1445">
        <v>38.04</v>
      </c>
      <c r="E1445">
        <v>3.8</v>
      </c>
      <c r="F1445">
        <v>0</v>
      </c>
      <c r="G1445">
        <v>0.1</v>
      </c>
      <c r="H1445" t="s">
        <v>622</v>
      </c>
      <c r="J1445" t="s">
        <v>623</v>
      </c>
      <c r="K1445" s="1"/>
      <c r="L1445" s="1">
        <v>46093.374849537038</v>
      </c>
      <c r="M1445" s="2">
        <v>46093</v>
      </c>
      <c r="N1445" t="s">
        <v>636</v>
      </c>
      <c r="O1445" t="s">
        <v>625</v>
      </c>
      <c r="P1445">
        <v>1</v>
      </c>
      <c r="Q1445">
        <v>0</v>
      </c>
      <c r="R1445">
        <v>38.04</v>
      </c>
      <c r="S1445" t="s">
        <v>379</v>
      </c>
      <c r="T1445" t="s">
        <v>779</v>
      </c>
    </row>
    <row r="1446" spans="1:20" x14ac:dyDescent="0.3">
      <c r="A1446">
        <v>1445</v>
      </c>
      <c r="B1446">
        <v>27</v>
      </c>
      <c r="C1446">
        <v>5</v>
      </c>
      <c r="D1446">
        <v>71.39</v>
      </c>
      <c r="E1446">
        <v>7.14</v>
      </c>
      <c r="F1446">
        <v>0</v>
      </c>
      <c r="G1446">
        <v>0.1</v>
      </c>
      <c r="H1446" t="s">
        <v>622</v>
      </c>
      <c r="J1446" t="s">
        <v>623</v>
      </c>
      <c r="K1446" s="1"/>
      <c r="L1446" s="1">
        <v>46093.375486111108</v>
      </c>
      <c r="M1446" s="2">
        <v>46093</v>
      </c>
      <c r="N1446" t="s">
        <v>636</v>
      </c>
      <c r="O1446" t="s">
        <v>625</v>
      </c>
      <c r="P1446">
        <v>1</v>
      </c>
      <c r="Q1446">
        <v>0</v>
      </c>
      <c r="R1446">
        <v>71.39</v>
      </c>
      <c r="S1446" t="s">
        <v>50</v>
      </c>
      <c r="T1446" t="s">
        <v>779</v>
      </c>
    </row>
    <row r="1447" spans="1:20" x14ac:dyDescent="0.3">
      <c r="A1447">
        <v>1446</v>
      </c>
      <c r="B1447">
        <v>124</v>
      </c>
      <c r="C1447">
        <v>3</v>
      </c>
      <c r="D1447">
        <v>34.83</v>
      </c>
      <c r="E1447">
        <v>3.48</v>
      </c>
      <c r="F1447">
        <v>0</v>
      </c>
      <c r="G1447">
        <v>0.1</v>
      </c>
      <c r="H1447" t="s">
        <v>622</v>
      </c>
      <c r="J1447" t="s">
        <v>623</v>
      </c>
      <c r="K1447" s="1"/>
      <c r="L1447" s="1">
        <v>46093.420694444445</v>
      </c>
      <c r="M1447" s="2">
        <v>46093</v>
      </c>
      <c r="N1447" t="s">
        <v>636</v>
      </c>
      <c r="O1447" t="s">
        <v>625</v>
      </c>
      <c r="P1447">
        <v>1</v>
      </c>
      <c r="Q1447">
        <v>0</v>
      </c>
      <c r="R1447">
        <v>34.83</v>
      </c>
      <c r="S1447" t="s">
        <v>243</v>
      </c>
      <c r="T1447" t="s">
        <v>777</v>
      </c>
    </row>
    <row r="1448" spans="1:20" x14ac:dyDescent="0.3">
      <c r="A1448">
        <v>1447</v>
      </c>
      <c r="B1448">
        <v>175</v>
      </c>
      <c r="C1448">
        <v>4</v>
      </c>
      <c r="D1448">
        <v>35.57</v>
      </c>
      <c r="E1448">
        <v>3.56</v>
      </c>
      <c r="F1448">
        <v>0</v>
      </c>
      <c r="G1448">
        <v>0.1</v>
      </c>
      <c r="H1448" t="s">
        <v>622</v>
      </c>
      <c r="J1448" t="s">
        <v>623</v>
      </c>
      <c r="K1448" s="1"/>
      <c r="L1448" s="1">
        <v>46093.469907407409</v>
      </c>
      <c r="M1448" s="2">
        <v>46093</v>
      </c>
      <c r="N1448" t="s">
        <v>636</v>
      </c>
      <c r="O1448" t="s">
        <v>625</v>
      </c>
      <c r="P1448">
        <v>1</v>
      </c>
      <c r="Q1448">
        <v>0</v>
      </c>
      <c r="R1448">
        <v>35.57</v>
      </c>
      <c r="S1448" t="s">
        <v>345</v>
      </c>
      <c r="T1448" t="s">
        <v>778</v>
      </c>
    </row>
    <row r="1449" spans="1:20" x14ac:dyDescent="0.3">
      <c r="A1449">
        <v>1448</v>
      </c>
      <c r="B1449">
        <v>234</v>
      </c>
      <c r="C1449">
        <v>5</v>
      </c>
      <c r="D1449">
        <v>179.49</v>
      </c>
      <c r="E1449">
        <v>17.95</v>
      </c>
      <c r="F1449">
        <v>0</v>
      </c>
      <c r="G1449">
        <v>0.1</v>
      </c>
      <c r="H1449" t="s">
        <v>622</v>
      </c>
      <c r="J1449" t="s">
        <v>623</v>
      </c>
      <c r="K1449" s="1"/>
      <c r="L1449" s="1">
        <v>46093.520266203705</v>
      </c>
      <c r="M1449" s="2">
        <v>46093</v>
      </c>
      <c r="N1449" t="s">
        <v>636</v>
      </c>
      <c r="O1449" t="s">
        <v>625</v>
      </c>
      <c r="P1449">
        <v>1</v>
      </c>
      <c r="Q1449">
        <v>0</v>
      </c>
      <c r="R1449">
        <v>179.49</v>
      </c>
      <c r="S1449" t="s">
        <v>463</v>
      </c>
      <c r="T1449" t="s">
        <v>779</v>
      </c>
    </row>
    <row r="1450" spans="1:20" x14ac:dyDescent="0.3">
      <c r="A1450">
        <v>1449</v>
      </c>
      <c r="B1450">
        <v>39</v>
      </c>
      <c r="C1450">
        <v>2</v>
      </c>
      <c r="D1450">
        <v>300</v>
      </c>
      <c r="E1450">
        <v>30</v>
      </c>
      <c r="F1450">
        <v>0</v>
      </c>
      <c r="G1450">
        <v>0.1</v>
      </c>
      <c r="H1450" t="s">
        <v>622</v>
      </c>
      <c r="J1450" t="s">
        <v>623</v>
      </c>
      <c r="K1450" s="1"/>
      <c r="L1450" s="1">
        <v>46093.603379629632</v>
      </c>
      <c r="M1450" s="2">
        <v>46093</v>
      </c>
      <c r="N1450" t="s">
        <v>636</v>
      </c>
      <c r="O1450" t="s">
        <v>625</v>
      </c>
      <c r="P1450">
        <v>1</v>
      </c>
      <c r="Q1450">
        <v>0</v>
      </c>
      <c r="R1450">
        <v>300</v>
      </c>
      <c r="S1450" t="s">
        <v>74</v>
      </c>
      <c r="T1450" t="s">
        <v>776</v>
      </c>
    </row>
    <row r="1451" spans="1:20" x14ac:dyDescent="0.3">
      <c r="A1451">
        <v>1450</v>
      </c>
      <c r="B1451">
        <v>150</v>
      </c>
      <c r="C1451">
        <v>5</v>
      </c>
      <c r="D1451">
        <v>171.59</v>
      </c>
      <c r="E1451">
        <v>17.16</v>
      </c>
      <c r="F1451">
        <v>0</v>
      </c>
      <c r="G1451">
        <v>0.1</v>
      </c>
      <c r="H1451" t="s">
        <v>622</v>
      </c>
      <c r="J1451" t="s">
        <v>623</v>
      </c>
      <c r="K1451" s="1"/>
      <c r="L1451" s="1">
        <v>46093.629745370374</v>
      </c>
      <c r="M1451" s="2">
        <v>46093</v>
      </c>
      <c r="N1451" t="s">
        <v>636</v>
      </c>
      <c r="O1451" t="s">
        <v>625</v>
      </c>
      <c r="P1451">
        <v>1</v>
      </c>
      <c r="Q1451">
        <v>0</v>
      </c>
      <c r="R1451">
        <v>171.59</v>
      </c>
      <c r="S1451" t="s">
        <v>295</v>
      </c>
      <c r="T1451" t="s">
        <v>779</v>
      </c>
    </row>
    <row r="1452" spans="1:20" x14ac:dyDescent="0.3">
      <c r="A1452">
        <v>1451</v>
      </c>
      <c r="B1452">
        <v>156</v>
      </c>
      <c r="C1452">
        <v>5</v>
      </c>
      <c r="D1452">
        <v>18.86</v>
      </c>
      <c r="E1452">
        <v>0</v>
      </c>
      <c r="F1452">
        <v>1</v>
      </c>
      <c r="G1452">
        <v>0.1</v>
      </c>
      <c r="H1452" t="s">
        <v>622</v>
      </c>
      <c r="J1452" t="s">
        <v>623</v>
      </c>
      <c r="K1452" s="1"/>
      <c r="L1452" s="1">
        <v>46093.69295138889</v>
      </c>
      <c r="M1452" s="2">
        <v>46093</v>
      </c>
      <c r="N1452" t="s">
        <v>636</v>
      </c>
      <c r="O1452" t="s">
        <v>629</v>
      </c>
      <c r="P1452">
        <v>1</v>
      </c>
      <c r="Q1452">
        <v>0</v>
      </c>
      <c r="R1452">
        <v>18.86</v>
      </c>
      <c r="S1452" t="s">
        <v>307</v>
      </c>
      <c r="T1452" t="s">
        <v>779</v>
      </c>
    </row>
    <row r="1453" spans="1:20" x14ac:dyDescent="0.3">
      <c r="A1453">
        <v>1452</v>
      </c>
      <c r="B1453">
        <v>133</v>
      </c>
      <c r="C1453">
        <v>3</v>
      </c>
      <c r="D1453">
        <v>69.430000000000007</v>
      </c>
      <c r="E1453">
        <v>6.94</v>
      </c>
      <c r="F1453">
        <v>0</v>
      </c>
      <c r="G1453">
        <v>0.1</v>
      </c>
      <c r="H1453" t="s">
        <v>622</v>
      </c>
      <c r="J1453" t="s">
        <v>623</v>
      </c>
      <c r="K1453" s="1"/>
      <c r="L1453" s="1">
        <v>46093.702847222223</v>
      </c>
      <c r="M1453" s="2">
        <v>46093</v>
      </c>
      <c r="N1453" t="s">
        <v>636</v>
      </c>
      <c r="O1453" t="s">
        <v>625</v>
      </c>
      <c r="P1453">
        <v>1</v>
      </c>
      <c r="Q1453">
        <v>0</v>
      </c>
      <c r="R1453">
        <v>69.430000000000007</v>
      </c>
      <c r="S1453" t="s">
        <v>261</v>
      </c>
      <c r="T1453" t="s">
        <v>777</v>
      </c>
    </row>
    <row r="1454" spans="1:20" x14ac:dyDescent="0.3">
      <c r="A1454">
        <v>1453</v>
      </c>
      <c r="B1454">
        <v>243</v>
      </c>
      <c r="C1454">
        <v>3</v>
      </c>
      <c r="D1454">
        <v>19.489999999999998</v>
      </c>
      <c r="E1454">
        <v>1.95</v>
      </c>
      <c r="F1454">
        <v>0</v>
      </c>
      <c r="G1454">
        <v>0.1</v>
      </c>
      <c r="H1454" t="s">
        <v>622</v>
      </c>
      <c r="J1454" t="s">
        <v>623</v>
      </c>
      <c r="K1454" s="1"/>
      <c r="L1454" s="1">
        <v>46094.3440625</v>
      </c>
      <c r="M1454" s="2">
        <v>46094</v>
      </c>
      <c r="N1454" t="s">
        <v>636</v>
      </c>
      <c r="O1454" t="s">
        <v>625</v>
      </c>
      <c r="P1454">
        <v>1</v>
      </c>
      <c r="Q1454">
        <v>0</v>
      </c>
      <c r="R1454">
        <v>19.489999999999998</v>
      </c>
      <c r="S1454" t="s">
        <v>481</v>
      </c>
      <c r="T1454" t="s">
        <v>777</v>
      </c>
    </row>
    <row r="1455" spans="1:20" x14ac:dyDescent="0.3">
      <c r="A1455">
        <v>1454</v>
      </c>
      <c r="B1455">
        <v>241</v>
      </c>
      <c r="C1455">
        <v>2</v>
      </c>
      <c r="D1455">
        <v>21.1</v>
      </c>
      <c r="E1455">
        <v>2.11</v>
      </c>
      <c r="F1455">
        <v>0</v>
      </c>
      <c r="G1455">
        <v>0.1</v>
      </c>
      <c r="H1455" t="s">
        <v>622</v>
      </c>
      <c r="J1455" t="s">
        <v>623</v>
      </c>
      <c r="K1455" s="1"/>
      <c r="L1455" s="1">
        <v>46094.360115740739</v>
      </c>
      <c r="M1455" s="2">
        <v>46094</v>
      </c>
      <c r="N1455" t="s">
        <v>636</v>
      </c>
      <c r="O1455" t="s">
        <v>625</v>
      </c>
      <c r="P1455">
        <v>1</v>
      </c>
      <c r="Q1455">
        <v>0</v>
      </c>
      <c r="R1455">
        <v>21.1</v>
      </c>
      <c r="S1455" t="s">
        <v>477</v>
      </c>
      <c r="T1455" t="s">
        <v>776</v>
      </c>
    </row>
    <row r="1456" spans="1:20" x14ac:dyDescent="0.3">
      <c r="A1456">
        <v>1455</v>
      </c>
      <c r="B1456">
        <v>36</v>
      </c>
      <c r="C1456">
        <v>2</v>
      </c>
      <c r="D1456">
        <v>184.71</v>
      </c>
      <c r="E1456">
        <v>18.47</v>
      </c>
      <c r="F1456">
        <v>0</v>
      </c>
      <c r="G1456">
        <v>0.1</v>
      </c>
      <c r="H1456" t="s">
        <v>622</v>
      </c>
      <c r="J1456" t="s">
        <v>623</v>
      </c>
      <c r="K1456" s="1"/>
      <c r="L1456" s="1">
        <v>46094.457002314812</v>
      </c>
      <c r="M1456" s="2">
        <v>46094</v>
      </c>
      <c r="N1456" t="s">
        <v>636</v>
      </c>
      <c r="O1456" t="s">
        <v>625</v>
      </c>
      <c r="P1456">
        <v>1</v>
      </c>
      <c r="Q1456">
        <v>0</v>
      </c>
      <c r="R1456">
        <v>184.71</v>
      </c>
      <c r="S1456" t="s">
        <v>68</v>
      </c>
      <c r="T1456" t="s">
        <v>776</v>
      </c>
    </row>
    <row r="1457" spans="1:20" x14ac:dyDescent="0.3">
      <c r="A1457">
        <v>1456</v>
      </c>
      <c r="B1457">
        <v>247</v>
      </c>
      <c r="C1457">
        <v>2</v>
      </c>
      <c r="D1457">
        <v>21.03</v>
      </c>
      <c r="E1457">
        <v>2.1</v>
      </c>
      <c r="F1457">
        <v>0</v>
      </c>
      <c r="G1457">
        <v>0.1</v>
      </c>
      <c r="H1457" t="s">
        <v>622</v>
      </c>
      <c r="J1457" t="s">
        <v>623</v>
      </c>
      <c r="K1457" s="1"/>
      <c r="L1457" s="1">
        <v>46094.460405092592</v>
      </c>
      <c r="M1457" s="2">
        <v>46094</v>
      </c>
      <c r="N1457" t="s">
        <v>636</v>
      </c>
      <c r="O1457" t="s">
        <v>625</v>
      </c>
      <c r="P1457">
        <v>1</v>
      </c>
      <c r="Q1457">
        <v>0</v>
      </c>
      <c r="R1457">
        <v>21.03</v>
      </c>
      <c r="S1457" t="s">
        <v>489</v>
      </c>
      <c r="T1457" t="s">
        <v>776</v>
      </c>
    </row>
    <row r="1458" spans="1:20" x14ac:dyDescent="0.3">
      <c r="A1458">
        <v>1457</v>
      </c>
      <c r="B1458">
        <v>60</v>
      </c>
      <c r="C1458">
        <v>3</v>
      </c>
      <c r="D1458">
        <v>115.86</v>
      </c>
      <c r="E1458">
        <v>11.59</v>
      </c>
      <c r="F1458">
        <v>0</v>
      </c>
      <c r="G1458">
        <v>0.1</v>
      </c>
      <c r="H1458" t="s">
        <v>622</v>
      </c>
      <c r="J1458" t="s">
        <v>623</v>
      </c>
      <c r="K1458" s="1"/>
      <c r="L1458" s="1">
        <v>46094.482986111114</v>
      </c>
      <c r="M1458" s="2">
        <v>46094</v>
      </c>
      <c r="N1458" t="s">
        <v>636</v>
      </c>
      <c r="O1458" t="s">
        <v>625</v>
      </c>
      <c r="P1458">
        <v>1</v>
      </c>
      <c r="Q1458">
        <v>0</v>
      </c>
      <c r="R1458">
        <v>115.86</v>
      </c>
      <c r="S1458" t="s">
        <v>116</v>
      </c>
      <c r="T1458" t="s">
        <v>777</v>
      </c>
    </row>
    <row r="1459" spans="1:20" x14ac:dyDescent="0.3">
      <c r="A1459">
        <v>1458</v>
      </c>
      <c r="B1459">
        <v>288</v>
      </c>
      <c r="C1459">
        <v>3</v>
      </c>
      <c r="D1459">
        <v>38.43</v>
      </c>
      <c r="E1459">
        <v>3.84</v>
      </c>
      <c r="F1459">
        <v>0</v>
      </c>
      <c r="G1459">
        <v>0.1</v>
      </c>
      <c r="H1459" t="s">
        <v>622</v>
      </c>
      <c r="J1459" t="s">
        <v>623</v>
      </c>
      <c r="K1459" s="1"/>
      <c r="L1459" s="1">
        <v>46094.576504629629</v>
      </c>
      <c r="M1459" s="2">
        <v>46094</v>
      </c>
      <c r="N1459" t="s">
        <v>636</v>
      </c>
      <c r="O1459" t="s">
        <v>625</v>
      </c>
      <c r="P1459">
        <v>1</v>
      </c>
      <c r="Q1459">
        <v>0</v>
      </c>
      <c r="R1459">
        <v>38.43</v>
      </c>
      <c r="S1459" t="s">
        <v>571</v>
      </c>
      <c r="T1459" t="s">
        <v>777</v>
      </c>
    </row>
    <row r="1460" spans="1:20" x14ac:dyDescent="0.3">
      <c r="A1460">
        <v>1459</v>
      </c>
      <c r="B1460">
        <v>96</v>
      </c>
      <c r="C1460">
        <v>3</v>
      </c>
      <c r="D1460">
        <v>175.53</v>
      </c>
      <c r="E1460">
        <v>17.55</v>
      </c>
      <c r="F1460">
        <v>0</v>
      </c>
      <c r="G1460">
        <v>0.1</v>
      </c>
      <c r="H1460" t="s">
        <v>622</v>
      </c>
      <c r="J1460" t="s">
        <v>623</v>
      </c>
      <c r="K1460" s="1"/>
      <c r="L1460" s="1">
        <v>46094.618113425924</v>
      </c>
      <c r="M1460" s="2">
        <v>46094</v>
      </c>
      <c r="N1460" t="s">
        <v>636</v>
      </c>
      <c r="O1460" t="s">
        <v>625</v>
      </c>
      <c r="P1460">
        <v>1</v>
      </c>
      <c r="Q1460">
        <v>0</v>
      </c>
      <c r="R1460">
        <v>175.53</v>
      </c>
      <c r="S1460" t="s">
        <v>187</v>
      </c>
      <c r="T1460" t="s">
        <v>777</v>
      </c>
    </row>
    <row r="1461" spans="1:20" x14ac:dyDescent="0.3">
      <c r="A1461">
        <v>1460</v>
      </c>
      <c r="B1461">
        <v>141</v>
      </c>
      <c r="C1461">
        <v>2</v>
      </c>
      <c r="D1461">
        <v>98.13</v>
      </c>
      <c r="E1461">
        <v>9.81</v>
      </c>
      <c r="F1461">
        <v>0</v>
      </c>
      <c r="G1461">
        <v>0.1</v>
      </c>
      <c r="H1461" t="s">
        <v>622</v>
      </c>
      <c r="J1461" t="s">
        <v>623</v>
      </c>
      <c r="K1461" s="1"/>
      <c r="L1461" s="1">
        <v>46094.623553240737</v>
      </c>
      <c r="M1461" s="2">
        <v>46094</v>
      </c>
      <c r="N1461" t="s">
        <v>636</v>
      </c>
      <c r="O1461" t="s">
        <v>625</v>
      </c>
      <c r="P1461">
        <v>1</v>
      </c>
      <c r="Q1461">
        <v>0</v>
      </c>
      <c r="R1461">
        <v>98.13</v>
      </c>
      <c r="S1461" t="s">
        <v>277</v>
      </c>
      <c r="T1461" t="s">
        <v>776</v>
      </c>
    </row>
    <row r="1462" spans="1:20" x14ac:dyDescent="0.3">
      <c r="A1462">
        <v>1461</v>
      </c>
      <c r="B1462">
        <v>178</v>
      </c>
      <c r="C1462">
        <v>4</v>
      </c>
      <c r="D1462">
        <v>158.24</v>
      </c>
      <c r="E1462">
        <v>15.82</v>
      </c>
      <c r="F1462">
        <v>0</v>
      </c>
      <c r="G1462">
        <v>0.1</v>
      </c>
      <c r="H1462" t="s">
        <v>622</v>
      </c>
      <c r="J1462" t="s">
        <v>623</v>
      </c>
      <c r="K1462" s="1"/>
      <c r="L1462" s="1">
        <v>46094.63175925926</v>
      </c>
      <c r="M1462" s="2">
        <v>46094</v>
      </c>
      <c r="N1462" t="s">
        <v>636</v>
      </c>
      <c r="O1462" t="s">
        <v>625</v>
      </c>
      <c r="P1462">
        <v>1</v>
      </c>
      <c r="Q1462">
        <v>0</v>
      </c>
      <c r="R1462">
        <v>158.24</v>
      </c>
      <c r="S1462" t="s">
        <v>351</v>
      </c>
      <c r="T1462" t="s">
        <v>778</v>
      </c>
    </row>
    <row r="1463" spans="1:20" x14ac:dyDescent="0.3">
      <c r="A1463">
        <v>1462</v>
      </c>
      <c r="B1463">
        <v>230</v>
      </c>
      <c r="C1463">
        <v>4</v>
      </c>
      <c r="D1463">
        <v>194.38</v>
      </c>
      <c r="E1463">
        <v>19.440000000000001</v>
      </c>
      <c r="F1463">
        <v>0</v>
      </c>
      <c r="G1463">
        <v>0.1</v>
      </c>
      <c r="H1463" t="s">
        <v>622</v>
      </c>
      <c r="J1463" t="s">
        <v>623</v>
      </c>
      <c r="K1463" s="1"/>
      <c r="L1463" s="1">
        <v>46094.717511574076</v>
      </c>
      <c r="M1463" s="2">
        <v>46094</v>
      </c>
      <c r="N1463" t="s">
        <v>636</v>
      </c>
      <c r="O1463" t="s">
        <v>625</v>
      </c>
      <c r="P1463">
        <v>1</v>
      </c>
      <c r="Q1463">
        <v>0</v>
      </c>
      <c r="R1463">
        <v>194.38</v>
      </c>
      <c r="S1463" t="s">
        <v>455</v>
      </c>
      <c r="T1463" t="s">
        <v>778</v>
      </c>
    </row>
    <row r="1464" spans="1:20" x14ac:dyDescent="0.3">
      <c r="A1464">
        <v>1463</v>
      </c>
      <c r="B1464">
        <v>87</v>
      </c>
      <c r="C1464">
        <v>2</v>
      </c>
      <c r="D1464">
        <v>76.239999999999995</v>
      </c>
      <c r="E1464">
        <v>7.62</v>
      </c>
      <c r="F1464">
        <v>0</v>
      </c>
      <c r="G1464">
        <v>0.1</v>
      </c>
      <c r="H1464" t="s">
        <v>622</v>
      </c>
      <c r="J1464" t="s">
        <v>623</v>
      </c>
      <c r="K1464" s="1"/>
      <c r="L1464" s="1">
        <v>46094.722094907411</v>
      </c>
      <c r="M1464" s="2">
        <v>46094</v>
      </c>
      <c r="N1464" t="s">
        <v>636</v>
      </c>
      <c r="O1464" t="s">
        <v>625</v>
      </c>
      <c r="P1464">
        <v>1</v>
      </c>
      <c r="Q1464">
        <v>0</v>
      </c>
      <c r="R1464">
        <v>76.239999999999995</v>
      </c>
      <c r="S1464" t="s">
        <v>169</v>
      </c>
      <c r="T1464" t="s">
        <v>776</v>
      </c>
    </row>
    <row r="1465" spans="1:20" x14ac:dyDescent="0.3">
      <c r="A1465">
        <v>1464</v>
      </c>
      <c r="B1465">
        <v>81</v>
      </c>
      <c r="C1465">
        <v>3</v>
      </c>
      <c r="D1465">
        <v>29.68</v>
      </c>
      <c r="E1465">
        <v>2.97</v>
      </c>
      <c r="F1465">
        <v>0</v>
      </c>
      <c r="G1465">
        <v>0.1</v>
      </c>
      <c r="H1465" t="s">
        <v>622</v>
      </c>
      <c r="J1465" t="s">
        <v>623</v>
      </c>
      <c r="K1465" s="1"/>
      <c r="L1465" s="1">
        <v>46094.753344907411</v>
      </c>
      <c r="M1465" s="2">
        <v>46094</v>
      </c>
      <c r="N1465" t="s">
        <v>636</v>
      </c>
      <c r="O1465" t="s">
        <v>625</v>
      </c>
      <c r="P1465">
        <v>1</v>
      </c>
      <c r="Q1465">
        <v>0</v>
      </c>
      <c r="R1465">
        <v>29.68</v>
      </c>
      <c r="S1465" t="s">
        <v>84</v>
      </c>
      <c r="T1465" t="s">
        <v>777</v>
      </c>
    </row>
    <row r="1466" spans="1:20" x14ac:dyDescent="0.3">
      <c r="A1466">
        <v>1465</v>
      </c>
      <c r="B1466">
        <v>106</v>
      </c>
      <c r="C1466">
        <v>5</v>
      </c>
      <c r="D1466">
        <v>69.52</v>
      </c>
      <c r="E1466">
        <v>6.95</v>
      </c>
      <c r="F1466">
        <v>0</v>
      </c>
      <c r="G1466">
        <v>0.1</v>
      </c>
      <c r="H1466" t="s">
        <v>622</v>
      </c>
      <c r="J1466" t="s">
        <v>623</v>
      </c>
      <c r="K1466" s="1"/>
      <c r="L1466" s="1">
        <v>46094.766261574077</v>
      </c>
      <c r="M1466" s="2">
        <v>46094</v>
      </c>
      <c r="N1466" t="s">
        <v>636</v>
      </c>
      <c r="O1466" t="s">
        <v>625</v>
      </c>
      <c r="P1466">
        <v>1</v>
      </c>
      <c r="Q1466">
        <v>0</v>
      </c>
      <c r="R1466">
        <v>69.52</v>
      </c>
      <c r="S1466" t="s">
        <v>207</v>
      </c>
      <c r="T1466" t="s">
        <v>779</v>
      </c>
    </row>
    <row r="1467" spans="1:20" x14ac:dyDescent="0.3">
      <c r="A1467">
        <v>1466</v>
      </c>
      <c r="B1467">
        <v>156</v>
      </c>
      <c r="C1467">
        <v>5</v>
      </c>
      <c r="D1467">
        <v>41.28</v>
      </c>
      <c r="E1467">
        <v>4.13</v>
      </c>
      <c r="F1467">
        <v>0</v>
      </c>
      <c r="G1467">
        <v>0.1</v>
      </c>
      <c r="H1467" t="s">
        <v>622</v>
      </c>
      <c r="J1467" t="s">
        <v>623</v>
      </c>
      <c r="K1467" s="1"/>
      <c r="L1467" s="1">
        <v>46094.81863425926</v>
      </c>
      <c r="M1467" s="2">
        <v>46094</v>
      </c>
      <c r="N1467" t="s">
        <v>636</v>
      </c>
      <c r="O1467" t="s">
        <v>625</v>
      </c>
      <c r="P1467">
        <v>1</v>
      </c>
      <c r="Q1467">
        <v>0</v>
      </c>
      <c r="R1467">
        <v>41.28</v>
      </c>
      <c r="S1467" t="s">
        <v>307</v>
      </c>
      <c r="T1467" t="s">
        <v>779</v>
      </c>
    </row>
    <row r="1468" spans="1:20" x14ac:dyDescent="0.3">
      <c r="A1468">
        <v>1467</v>
      </c>
      <c r="B1468">
        <v>25</v>
      </c>
      <c r="C1468">
        <v>3</v>
      </c>
      <c r="D1468">
        <v>102.9</v>
      </c>
      <c r="E1468">
        <v>10.29</v>
      </c>
      <c r="F1468">
        <v>0</v>
      </c>
      <c r="G1468">
        <v>0.1</v>
      </c>
      <c r="H1468" t="s">
        <v>622</v>
      </c>
      <c r="J1468" t="s">
        <v>623</v>
      </c>
      <c r="K1468" s="1"/>
      <c r="L1468" s="1">
        <v>46095.330520833333</v>
      </c>
      <c r="M1468" s="2">
        <v>46095</v>
      </c>
      <c r="N1468" t="s">
        <v>636</v>
      </c>
      <c r="O1468" t="s">
        <v>625</v>
      </c>
      <c r="P1468">
        <v>1</v>
      </c>
      <c r="Q1468">
        <v>0</v>
      </c>
      <c r="R1468">
        <v>102.9</v>
      </c>
      <c r="S1468" t="s">
        <v>46</v>
      </c>
      <c r="T1468" t="s">
        <v>777</v>
      </c>
    </row>
    <row r="1469" spans="1:20" x14ac:dyDescent="0.3">
      <c r="A1469">
        <v>1468</v>
      </c>
      <c r="B1469">
        <v>243</v>
      </c>
      <c r="C1469">
        <v>4</v>
      </c>
      <c r="D1469">
        <v>41.66</v>
      </c>
      <c r="E1469">
        <v>4.17</v>
      </c>
      <c r="F1469">
        <v>0</v>
      </c>
      <c r="G1469">
        <v>0.1</v>
      </c>
      <c r="H1469" t="s">
        <v>622</v>
      </c>
      <c r="J1469" t="s">
        <v>623</v>
      </c>
      <c r="K1469" s="1"/>
      <c r="L1469" s="1">
        <v>46095.358807870369</v>
      </c>
      <c r="M1469" s="2">
        <v>46095</v>
      </c>
      <c r="N1469" t="s">
        <v>636</v>
      </c>
      <c r="O1469" t="s">
        <v>625</v>
      </c>
      <c r="P1469">
        <v>1</v>
      </c>
      <c r="Q1469">
        <v>0</v>
      </c>
      <c r="R1469">
        <v>41.66</v>
      </c>
      <c r="S1469" t="s">
        <v>481</v>
      </c>
      <c r="T1469" t="s">
        <v>778</v>
      </c>
    </row>
    <row r="1470" spans="1:20" x14ac:dyDescent="0.3">
      <c r="A1470">
        <v>1469</v>
      </c>
      <c r="B1470">
        <v>25</v>
      </c>
      <c r="C1470">
        <v>3</v>
      </c>
      <c r="D1470">
        <v>56.21</v>
      </c>
      <c r="E1470">
        <v>5.62</v>
      </c>
      <c r="F1470">
        <v>0</v>
      </c>
      <c r="G1470">
        <v>0.1</v>
      </c>
      <c r="H1470" t="s">
        <v>622</v>
      </c>
      <c r="J1470" t="s">
        <v>623</v>
      </c>
      <c r="K1470" s="1"/>
      <c r="L1470" s="1">
        <v>46095.362245370372</v>
      </c>
      <c r="M1470" s="2">
        <v>46095</v>
      </c>
      <c r="N1470" t="s">
        <v>636</v>
      </c>
      <c r="O1470" t="s">
        <v>625</v>
      </c>
      <c r="P1470">
        <v>1</v>
      </c>
      <c r="Q1470">
        <v>0</v>
      </c>
      <c r="R1470">
        <v>56.21</v>
      </c>
      <c r="S1470" t="s">
        <v>46</v>
      </c>
      <c r="T1470" t="s">
        <v>777</v>
      </c>
    </row>
    <row r="1471" spans="1:20" x14ac:dyDescent="0.3">
      <c r="A1471">
        <v>1470</v>
      </c>
      <c r="B1471">
        <v>156</v>
      </c>
      <c r="C1471">
        <v>4</v>
      </c>
      <c r="D1471">
        <v>28.75</v>
      </c>
      <c r="E1471">
        <v>2.88</v>
      </c>
      <c r="F1471">
        <v>0</v>
      </c>
      <c r="G1471">
        <v>0.1</v>
      </c>
      <c r="H1471" t="s">
        <v>622</v>
      </c>
      <c r="J1471" t="s">
        <v>623</v>
      </c>
      <c r="K1471" s="1"/>
      <c r="L1471" s="1">
        <v>46095.399675925924</v>
      </c>
      <c r="M1471" s="2">
        <v>46095</v>
      </c>
      <c r="N1471" t="s">
        <v>636</v>
      </c>
      <c r="O1471" t="s">
        <v>625</v>
      </c>
      <c r="P1471">
        <v>1</v>
      </c>
      <c r="Q1471">
        <v>0</v>
      </c>
      <c r="R1471">
        <v>28.75</v>
      </c>
      <c r="S1471" t="s">
        <v>307</v>
      </c>
      <c r="T1471" t="s">
        <v>778</v>
      </c>
    </row>
    <row r="1472" spans="1:20" x14ac:dyDescent="0.3">
      <c r="A1472">
        <v>1471</v>
      </c>
      <c r="B1472">
        <v>96</v>
      </c>
      <c r="C1472">
        <v>3</v>
      </c>
      <c r="D1472">
        <v>227.55</v>
      </c>
      <c r="E1472">
        <v>22.76</v>
      </c>
      <c r="F1472">
        <v>0</v>
      </c>
      <c r="G1472">
        <v>0.1</v>
      </c>
      <c r="H1472" t="s">
        <v>622</v>
      </c>
      <c r="J1472" t="s">
        <v>623</v>
      </c>
      <c r="K1472" s="1"/>
      <c r="L1472" s="1">
        <v>46095.417268518519</v>
      </c>
      <c r="M1472" s="2">
        <v>46095</v>
      </c>
      <c r="N1472" t="s">
        <v>636</v>
      </c>
      <c r="O1472" t="s">
        <v>625</v>
      </c>
      <c r="P1472">
        <v>1</v>
      </c>
      <c r="Q1472">
        <v>0</v>
      </c>
      <c r="R1472">
        <v>227.55</v>
      </c>
      <c r="S1472" t="s">
        <v>187</v>
      </c>
      <c r="T1472" t="s">
        <v>777</v>
      </c>
    </row>
    <row r="1473" spans="1:20" x14ac:dyDescent="0.3">
      <c r="A1473">
        <v>1472</v>
      </c>
      <c r="B1473">
        <v>178</v>
      </c>
      <c r="C1473">
        <v>5</v>
      </c>
      <c r="D1473">
        <v>200.07</v>
      </c>
      <c r="E1473">
        <v>20.010000000000002</v>
      </c>
      <c r="F1473">
        <v>0</v>
      </c>
      <c r="G1473">
        <v>0.1</v>
      </c>
      <c r="H1473" t="s">
        <v>622</v>
      </c>
      <c r="J1473" t="s">
        <v>623</v>
      </c>
      <c r="K1473" s="1"/>
      <c r="L1473" s="1">
        <v>46095.446053240739</v>
      </c>
      <c r="M1473" s="2">
        <v>46095</v>
      </c>
      <c r="N1473" t="s">
        <v>636</v>
      </c>
      <c r="O1473" t="s">
        <v>625</v>
      </c>
      <c r="P1473">
        <v>1</v>
      </c>
      <c r="Q1473">
        <v>0</v>
      </c>
      <c r="R1473">
        <v>200.07</v>
      </c>
      <c r="S1473" t="s">
        <v>351</v>
      </c>
      <c r="T1473" t="s">
        <v>779</v>
      </c>
    </row>
    <row r="1474" spans="1:20" x14ac:dyDescent="0.3">
      <c r="A1474">
        <v>1473</v>
      </c>
      <c r="B1474">
        <v>32</v>
      </c>
      <c r="C1474">
        <v>4</v>
      </c>
      <c r="D1474">
        <v>31.17</v>
      </c>
      <c r="E1474">
        <v>3.12</v>
      </c>
      <c r="F1474">
        <v>0</v>
      </c>
      <c r="G1474">
        <v>0.1</v>
      </c>
      <c r="H1474" t="s">
        <v>622</v>
      </c>
      <c r="J1474" t="s">
        <v>623</v>
      </c>
      <c r="K1474" s="1"/>
      <c r="L1474" s="1">
        <v>46095.457060185188</v>
      </c>
      <c r="M1474" s="2">
        <v>46095</v>
      </c>
      <c r="N1474" t="s">
        <v>636</v>
      </c>
      <c r="O1474" t="s">
        <v>625</v>
      </c>
      <c r="P1474">
        <v>1</v>
      </c>
      <c r="Q1474">
        <v>0</v>
      </c>
      <c r="R1474">
        <v>31.17</v>
      </c>
      <c r="S1474" t="s">
        <v>60</v>
      </c>
      <c r="T1474" t="s">
        <v>778</v>
      </c>
    </row>
    <row r="1475" spans="1:20" x14ac:dyDescent="0.3">
      <c r="A1475">
        <v>1474</v>
      </c>
      <c r="B1475">
        <v>89</v>
      </c>
      <c r="C1475">
        <v>5</v>
      </c>
      <c r="D1475">
        <v>165.46</v>
      </c>
      <c r="E1475">
        <v>16.55</v>
      </c>
      <c r="F1475">
        <v>0</v>
      </c>
      <c r="G1475">
        <v>0.1</v>
      </c>
      <c r="H1475" t="s">
        <v>626</v>
      </c>
      <c r="I1475">
        <v>2</v>
      </c>
      <c r="J1475" t="s">
        <v>632</v>
      </c>
      <c r="K1475" s="1">
        <v>46096.235034722224</v>
      </c>
      <c r="L1475" s="1">
        <v>46095.693368055552</v>
      </c>
      <c r="M1475" s="2">
        <v>46095</v>
      </c>
      <c r="N1475" t="s">
        <v>636</v>
      </c>
      <c r="O1475" t="s">
        <v>625</v>
      </c>
      <c r="P1475">
        <v>1</v>
      </c>
      <c r="Q1475">
        <v>1</v>
      </c>
      <c r="R1475">
        <v>0</v>
      </c>
      <c r="S1475" t="s">
        <v>173</v>
      </c>
      <c r="T1475" t="s">
        <v>779</v>
      </c>
    </row>
    <row r="1476" spans="1:20" x14ac:dyDescent="0.3">
      <c r="A1476">
        <v>1475</v>
      </c>
      <c r="B1476">
        <v>16</v>
      </c>
      <c r="C1476">
        <v>4</v>
      </c>
      <c r="D1476">
        <v>172.29</v>
      </c>
      <c r="E1476">
        <v>17.23</v>
      </c>
      <c r="F1476">
        <v>0</v>
      </c>
      <c r="G1476">
        <v>0.1</v>
      </c>
      <c r="H1476" t="s">
        <v>622</v>
      </c>
      <c r="J1476" t="s">
        <v>623</v>
      </c>
      <c r="K1476" s="1"/>
      <c r="L1476" s="1">
        <v>46095.826319444444</v>
      </c>
      <c r="M1476" s="2">
        <v>46095</v>
      </c>
      <c r="N1476" t="s">
        <v>636</v>
      </c>
      <c r="O1476" t="s">
        <v>625</v>
      </c>
      <c r="P1476">
        <v>1</v>
      </c>
      <c r="Q1476">
        <v>0</v>
      </c>
      <c r="R1476">
        <v>172.29</v>
      </c>
      <c r="S1476" t="s">
        <v>28</v>
      </c>
      <c r="T1476" t="s">
        <v>778</v>
      </c>
    </row>
    <row r="1477" spans="1:20" x14ac:dyDescent="0.3">
      <c r="A1477">
        <v>1476</v>
      </c>
      <c r="B1477">
        <v>150</v>
      </c>
      <c r="C1477">
        <v>3</v>
      </c>
      <c r="D1477">
        <v>75.12</v>
      </c>
      <c r="E1477">
        <v>7.51</v>
      </c>
      <c r="F1477">
        <v>0</v>
      </c>
      <c r="G1477">
        <v>0.1</v>
      </c>
      <c r="H1477" t="s">
        <v>622</v>
      </c>
      <c r="J1477" t="s">
        <v>623</v>
      </c>
      <c r="K1477" s="1"/>
      <c r="L1477" s="1">
        <v>46095.832928240743</v>
      </c>
      <c r="M1477" s="2">
        <v>46095</v>
      </c>
      <c r="N1477" t="s">
        <v>636</v>
      </c>
      <c r="O1477" t="s">
        <v>625</v>
      </c>
      <c r="P1477">
        <v>1</v>
      </c>
      <c r="Q1477">
        <v>0</v>
      </c>
      <c r="R1477">
        <v>75.12</v>
      </c>
      <c r="S1477" t="s">
        <v>295</v>
      </c>
      <c r="T1477" t="s">
        <v>777</v>
      </c>
    </row>
    <row r="1478" spans="1:20" x14ac:dyDescent="0.3">
      <c r="A1478">
        <v>1477</v>
      </c>
      <c r="B1478">
        <v>87</v>
      </c>
      <c r="C1478">
        <v>2</v>
      </c>
      <c r="D1478">
        <v>69.17</v>
      </c>
      <c r="E1478">
        <v>6.92</v>
      </c>
      <c r="F1478">
        <v>0</v>
      </c>
      <c r="G1478">
        <v>0.1</v>
      </c>
      <c r="H1478" t="s">
        <v>622</v>
      </c>
      <c r="J1478" t="s">
        <v>623</v>
      </c>
      <c r="K1478" s="1"/>
      <c r="L1478" s="1">
        <v>46096.528645833336</v>
      </c>
      <c r="M1478" s="2">
        <v>46096</v>
      </c>
      <c r="N1478" t="s">
        <v>636</v>
      </c>
      <c r="O1478" t="s">
        <v>625</v>
      </c>
      <c r="P1478">
        <v>1</v>
      </c>
      <c r="Q1478">
        <v>0</v>
      </c>
      <c r="R1478">
        <v>69.17</v>
      </c>
      <c r="S1478" t="s">
        <v>169</v>
      </c>
      <c r="T1478" t="s">
        <v>776</v>
      </c>
    </row>
    <row r="1479" spans="1:20" x14ac:dyDescent="0.3">
      <c r="A1479">
        <v>1478</v>
      </c>
      <c r="B1479">
        <v>106</v>
      </c>
      <c r="C1479">
        <v>5</v>
      </c>
      <c r="D1479">
        <v>63.13</v>
      </c>
      <c r="E1479">
        <v>6.31</v>
      </c>
      <c r="F1479">
        <v>0</v>
      </c>
      <c r="G1479">
        <v>0.1</v>
      </c>
      <c r="H1479" t="s">
        <v>622</v>
      </c>
      <c r="J1479" t="s">
        <v>623</v>
      </c>
      <c r="K1479" s="1"/>
      <c r="L1479" s="1">
        <v>46096.705613425926</v>
      </c>
      <c r="M1479" s="2">
        <v>46096</v>
      </c>
      <c r="N1479" t="s">
        <v>636</v>
      </c>
      <c r="O1479" t="s">
        <v>625</v>
      </c>
      <c r="P1479">
        <v>1</v>
      </c>
      <c r="Q1479">
        <v>0</v>
      </c>
      <c r="R1479">
        <v>63.13</v>
      </c>
      <c r="S1479" t="s">
        <v>207</v>
      </c>
      <c r="T1479" t="s">
        <v>779</v>
      </c>
    </row>
    <row r="1480" spans="1:20" x14ac:dyDescent="0.3">
      <c r="A1480">
        <v>1479</v>
      </c>
      <c r="B1480">
        <v>21</v>
      </c>
      <c r="C1480">
        <v>3</v>
      </c>
      <c r="D1480">
        <v>17.420000000000002</v>
      </c>
      <c r="E1480">
        <v>1.74</v>
      </c>
      <c r="F1480">
        <v>0</v>
      </c>
      <c r="G1480">
        <v>0.1</v>
      </c>
      <c r="H1480" t="s">
        <v>622</v>
      </c>
      <c r="J1480" t="s">
        <v>623</v>
      </c>
      <c r="K1480" s="1"/>
      <c r="L1480" s="1">
        <v>46096.727800925924</v>
      </c>
      <c r="M1480" s="2">
        <v>46096</v>
      </c>
      <c r="N1480" t="s">
        <v>636</v>
      </c>
      <c r="O1480" t="s">
        <v>625</v>
      </c>
      <c r="P1480">
        <v>1</v>
      </c>
      <c r="Q1480">
        <v>0</v>
      </c>
      <c r="R1480">
        <v>17.420000000000002</v>
      </c>
      <c r="S1480" t="s">
        <v>38</v>
      </c>
      <c r="T1480" t="s">
        <v>777</v>
      </c>
    </row>
    <row r="1481" spans="1:20" x14ac:dyDescent="0.3">
      <c r="A1481">
        <v>1480</v>
      </c>
      <c r="B1481">
        <v>235</v>
      </c>
      <c r="C1481">
        <v>3</v>
      </c>
      <c r="D1481">
        <v>23.81</v>
      </c>
      <c r="E1481">
        <v>2.38</v>
      </c>
      <c r="F1481">
        <v>0</v>
      </c>
      <c r="G1481">
        <v>0.1</v>
      </c>
      <c r="H1481" t="s">
        <v>622</v>
      </c>
      <c r="J1481" t="s">
        <v>623</v>
      </c>
      <c r="K1481" s="1"/>
      <c r="L1481" s="1">
        <v>46096.739305555559</v>
      </c>
      <c r="M1481" s="2">
        <v>46096</v>
      </c>
      <c r="N1481" t="s">
        <v>636</v>
      </c>
      <c r="O1481" t="s">
        <v>625</v>
      </c>
      <c r="P1481">
        <v>1</v>
      </c>
      <c r="Q1481">
        <v>0</v>
      </c>
      <c r="R1481">
        <v>23.81</v>
      </c>
      <c r="S1481" t="s">
        <v>465</v>
      </c>
      <c r="T1481" t="s">
        <v>777</v>
      </c>
    </row>
    <row r="1482" spans="1:20" x14ac:dyDescent="0.3">
      <c r="A1482">
        <v>1481</v>
      </c>
      <c r="B1482">
        <v>149</v>
      </c>
      <c r="C1482">
        <v>4</v>
      </c>
      <c r="D1482">
        <v>23.42</v>
      </c>
      <c r="E1482">
        <v>2.34</v>
      </c>
      <c r="F1482">
        <v>0</v>
      </c>
      <c r="G1482">
        <v>0.1</v>
      </c>
      <c r="H1482" t="s">
        <v>622</v>
      </c>
      <c r="J1482" t="s">
        <v>623</v>
      </c>
      <c r="K1482" s="1"/>
      <c r="L1482" s="1">
        <v>46096.771018518521</v>
      </c>
      <c r="M1482" s="2">
        <v>46096</v>
      </c>
      <c r="N1482" t="s">
        <v>636</v>
      </c>
      <c r="O1482" t="s">
        <v>625</v>
      </c>
      <c r="P1482">
        <v>1</v>
      </c>
      <c r="Q1482">
        <v>0</v>
      </c>
      <c r="R1482">
        <v>23.42</v>
      </c>
      <c r="S1482" t="s">
        <v>293</v>
      </c>
      <c r="T1482" t="s">
        <v>778</v>
      </c>
    </row>
    <row r="1483" spans="1:20" x14ac:dyDescent="0.3">
      <c r="A1483">
        <v>1482</v>
      </c>
      <c r="B1483">
        <v>135</v>
      </c>
      <c r="C1483">
        <v>5</v>
      </c>
      <c r="D1483">
        <v>80</v>
      </c>
      <c r="E1483">
        <v>0</v>
      </c>
      <c r="F1483">
        <v>1</v>
      </c>
      <c r="G1483">
        <v>0.1</v>
      </c>
      <c r="H1483" t="s">
        <v>622</v>
      </c>
      <c r="J1483" t="s">
        <v>623</v>
      </c>
      <c r="K1483" s="1"/>
      <c r="L1483" s="1">
        <v>46097.34783564815</v>
      </c>
      <c r="M1483" s="2">
        <v>46097</v>
      </c>
      <c r="N1483" t="s">
        <v>636</v>
      </c>
      <c r="O1483" t="s">
        <v>629</v>
      </c>
      <c r="P1483">
        <v>1</v>
      </c>
      <c r="Q1483">
        <v>0</v>
      </c>
      <c r="R1483">
        <v>80</v>
      </c>
      <c r="S1483" t="s">
        <v>265</v>
      </c>
      <c r="T1483" t="s">
        <v>779</v>
      </c>
    </row>
    <row r="1484" spans="1:20" x14ac:dyDescent="0.3">
      <c r="A1484">
        <v>1483</v>
      </c>
      <c r="B1484">
        <v>137</v>
      </c>
      <c r="C1484">
        <v>2</v>
      </c>
      <c r="D1484">
        <v>22.09</v>
      </c>
      <c r="E1484">
        <v>2.21</v>
      </c>
      <c r="F1484">
        <v>0</v>
      </c>
      <c r="G1484">
        <v>0.1</v>
      </c>
      <c r="H1484" t="s">
        <v>622</v>
      </c>
      <c r="J1484" t="s">
        <v>623</v>
      </c>
      <c r="K1484" s="1"/>
      <c r="L1484" s="1">
        <v>46097.514293981483</v>
      </c>
      <c r="M1484" s="2">
        <v>46097</v>
      </c>
      <c r="N1484" t="s">
        <v>636</v>
      </c>
      <c r="O1484" t="s">
        <v>625</v>
      </c>
      <c r="P1484">
        <v>1</v>
      </c>
      <c r="Q1484">
        <v>0</v>
      </c>
      <c r="R1484">
        <v>22.09</v>
      </c>
      <c r="S1484" t="s">
        <v>269</v>
      </c>
      <c r="T1484" t="s">
        <v>776</v>
      </c>
    </row>
    <row r="1485" spans="1:20" x14ac:dyDescent="0.3">
      <c r="A1485">
        <v>1484</v>
      </c>
      <c r="B1485">
        <v>244</v>
      </c>
      <c r="C1485">
        <v>2</v>
      </c>
      <c r="D1485">
        <v>66.41</v>
      </c>
      <c r="E1485">
        <v>6.64</v>
      </c>
      <c r="F1485">
        <v>0</v>
      </c>
      <c r="G1485">
        <v>0.1</v>
      </c>
      <c r="H1485" t="s">
        <v>622</v>
      </c>
      <c r="J1485" t="s">
        <v>623</v>
      </c>
      <c r="K1485" s="1"/>
      <c r="L1485" s="1">
        <v>46097.572638888887</v>
      </c>
      <c r="M1485" s="2">
        <v>46097</v>
      </c>
      <c r="N1485" t="s">
        <v>636</v>
      </c>
      <c r="O1485" t="s">
        <v>625</v>
      </c>
      <c r="P1485">
        <v>1</v>
      </c>
      <c r="Q1485">
        <v>0</v>
      </c>
      <c r="R1485">
        <v>66.41</v>
      </c>
      <c r="S1485" t="s">
        <v>483</v>
      </c>
      <c r="T1485" t="s">
        <v>776</v>
      </c>
    </row>
    <row r="1486" spans="1:20" x14ac:dyDescent="0.3">
      <c r="A1486">
        <v>1485</v>
      </c>
      <c r="B1486">
        <v>117</v>
      </c>
      <c r="C1486">
        <v>5</v>
      </c>
      <c r="D1486">
        <v>220</v>
      </c>
      <c r="E1486">
        <v>22</v>
      </c>
      <c r="F1486">
        <v>0</v>
      </c>
      <c r="G1486">
        <v>0.1</v>
      </c>
      <c r="H1486" t="s">
        <v>622</v>
      </c>
      <c r="J1486" t="s">
        <v>623</v>
      </c>
      <c r="K1486" s="1"/>
      <c r="L1486" s="1">
        <v>46097.650740740741</v>
      </c>
      <c r="M1486" s="2">
        <v>46097</v>
      </c>
      <c r="N1486" t="s">
        <v>636</v>
      </c>
      <c r="O1486" t="s">
        <v>625</v>
      </c>
      <c r="P1486">
        <v>1</v>
      </c>
      <c r="Q1486">
        <v>0</v>
      </c>
      <c r="R1486">
        <v>220</v>
      </c>
      <c r="S1486" t="s">
        <v>229</v>
      </c>
      <c r="T1486" t="s">
        <v>779</v>
      </c>
    </row>
    <row r="1487" spans="1:20" x14ac:dyDescent="0.3">
      <c r="A1487">
        <v>1486</v>
      </c>
      <c r="B1487">
        <v>264</v>
      </c>
      <c r="C1487">
        <v>2</v>
      </c>
      <c r="D1487">
        <v>232.47</v>
      </c>
      <c r="E1487">
        <v>23.25</v>
      </c>
      <c r="F1487">
        <v>0</v>
      </c>
      <c r="G1487">
        <v>0.1</v>
      </c>
      <c r="H1487" t="s">
        <v>622</v>
      </c>
      <c r="J1487" t="s">
        <v>623</v>
      </c>
      <c r="K1487" s="1"/>
      <c r="L1487" s="1">
        <v>46097.67428240741</v>
      </c>
      <c r="M1487" s="2">
        <v>46097</v>
      </c>
      <c r="N1487" t="s">
        <v>636</v>
      </c>
      <c r="O1487" t="s">
        <v>625</v>
      </c>
      <c r="P1487">
        <v>1</v>
      </c>
      <c r="Q1487">
        <v>0</v>
      </c>
      <c r="R1487">
        <v>232.47</v>
      </c>
      <c r="S1487" t="s">
        <v>523</v>
      </c>
      <c r="T1487" t="s">
        <v>776</v>
      </c>
    </row>
    <row r="1488" spans="1:20" x14ac:dyDescent="0.3">
      <c r="A1488">
        <v>1487</v>
      </c>
      <c r="B1488">
        <v>91</v>
      </c>
      <c r="C1488">
        <v>5</v>
      </c>
      <c r="D1488">
        <v>25.82</v>
      </c>
      <c r="E1488">
        <v>2.58</v>
      </c>
      <c r="F1488">
        <v>0</v>
      </c>
      <c r="G1488">
        <v>0.1</v>
      </c>
      <c r="H1488" t="s">
        <v>622</v>
      </c>
      <c r="J1488" t="s">
        <v>623</v>
      </c>
      <c r="K1488" s="1"/>
      <c r="L1488" s="1">
        <v>46097.77789351852</v>
      </c>
      <c r="M1488" s="2">
        <v>46097</v>
      </c>
      <c r="N1488" t="s">
        <v>636</v>
      </c>
      <c r="O1488" t="s">
        <v>625</v>
      </c>
      <c r="P1488">
        <v>1</v>
      </c>
      <c r="Q1488">
        <v>0</v>
      </c>
      <c r="R1488">
        <v>25.82</v>
      </c>
      <c r="S1488" t="s">
        <v>177</v>
      </c>
      <c r="T1488" t="s">
        <v>779</v>
      </c>
    </row>
    <row r="1489" spans="1:20" x14ac:dyDescent="0.3">
      <c r="A1489">
        <v>1488</v>
      </c>
      <c r="B1489">
        <v>108</v>
      </c>
      <c r="C1489">
        <v>2</v>
      </c>
      <c r="D1489">
        <v>117.44</v>
      </c>
      <c r="E1489">
        <v>11.74</v>
      </c>
      <c r="F1489">
        <v>0</v>
      </c>
      <c r="G1489">
        <v>0.1</v>
      </c>
      <c r="H1489" t="s">
        <v>622</v>
      </c>
      <c r="J1489" t="s">
        <v>623</v>
      </c>
      <c r="K1489" s="1"/>
      <c r="L1489" s="1">
        <v>46097.805995370371</v>
      </c>
      <c r="M1489" s="2">
        <v>46097</v>
      </c>
      <c r="N1489" t="s">
        <v>636</v>
      </c>
      <c r="O1489" t="s">
        <v>625</v>
      </c>
      <c r="P1489">
        <v>1</v>
      </c>
      <c r="Q1489">
        <v>0</v>
      </c>
      <c r="R1489">
        <v>117.44</v>
      </c>
      <c r="S1489" t="s">
        <v>211</v>
      </c>
      <c r="T1489" t="s">
        <v>776</v>
      </c>
    </row>
    <row r="1490" spans="1:20" x14ac:dyDescent="0.3">
      <c r="A1490">
        <v>1489</v>
      </c>
      <c r="B1490">
        <v>297</v>
      </c>
      <c r="C1490">
        <v>3</v>
      </c>
      <c r="D1490">
        <v>73.790000000000006</v>
      </c>
      <c r="E1490">
        <v>7.38</v>
      </c>
      <c r="F1490">
        <v>0</v>
      </c>
      <c r="G1490">
        <v>0.1</v>
      </c>
      <c r="H1490" t="s">
        <v>622</v>
      </c>
      <c r="J1490" t="s">
        <v>623</v>
      </c>
      <c r="K1490" s="1"/>
      <c r="L1490" s="1">
        <v>46098.30537037037</v>
      </c>
      <c r="M1490" s="2">
        <v>46098</v>
      </c>
      <c r="N1490" t="s">
        <v>636</v>
      </c>
      <c r="O1490" t="s">
        <v>625</v>
      </c>
      <c r="P1490">
        <v>1</v>
      </c>
      <c r="Q1490">
        <v>0</v>
      </c>
      <c r="R1490">
        <v>73.790000000000006</v>
      </c>
      <c r="S1490" t="s">
        <v>589</v>
      </c>
      <c r="T1490" t="s">
        <v>777</v>
      </c>
    </row>
    <row r="1491" spans="1:20" x14ac:dyDescent="0.3">
      <c r="A1491">
        <v>1490</v>
      </c>
      <c r="B1491">
        <v>144</v>
      </c>
      <c r="C1491">
        <v>3</v>
      </c>
      <c r="D1491">
        <v>75.63</v>
      </c>
      <c r="E1491">
        <v>7.56</v>
      </c>
      <c r="F1491">
        <v>0</v>
      </c>
      <c r="G1491">
        <v>0.1</v>
      </c>
      <c r="H1491" t="s">
        <v>622</v>
      </c>
      <c r="J1491" t="s">
        <v>623</v>
      </c>
      <c r="K1491" s="1"/>
      <c r="L1491" s="1">
        <v>46098.315243055556</v>
      </c>
      <c r="M1491" s="2">
        <v>46098</v>
      </c>
      <c r="N1491" t="s">
        <v>636</v>
      </c>
      <c r="O1491" t="s">
        <v>625</v>
      </c>
      <c r="P1491">
        <v>1</v>
      </c>
      <c r="Q1491">
        <v>0</v>
      </c>
      <c r="R1491">
        <v>75.63</v>
      </c>
      <c r="S1491" t="s">
        <v>283</v>
      </c>
      <c r="T1491" t="s">
        <v>777</v>
      </c>
    </row>
    <row r="1492" spans="1:20" x14ac:dyDescent="0.3">
      <c r="A1492">
        <v>1491</v>
      </c>
      <c r="B1492">
        <v>192</v>
      </c>
      <c r="C1492">
        <v>4</v>
      </c>
      <c r="D1492">
        <v>21.42</v>
      </c>
      <c r="E1492">
        <v>2.14</v>
      </c>
      <c r="F1492">
        <v>0</v>
      </c>
      <c r="G1492">
        <v>0.1</v>
      </c>
      <c r="H1492" t="s">
        <v>622</v>
      </c>
      <c r="J1492" t="s">
        <v>623</v>
      </c>
      <c r="K1492" s="1"/>
      <c r="L1492" s="1">
        <v>46098.339085648149</v>
      </c>
      <c r="M1492" s="2">
        <v>46098</v>
      </c>
      <c r="N1492" t="s">
        <v>636</v>
      </c>
      <c r="O1492" t="s">
        <v>625</v>
      </c>
      <c r="P1492">
        <v>1</v>
      </c>
      <c r="Q1492">
        <v>0</v>
      </c>
      <c r="R1492">
        <v>21.42</v>
      </c>
      <c r="S1492" t="s">
        <v>379</v>
      </c>
      <c r="T1492" t="s">
        <v>778</v>
      </c>
    </row>
    <row r="1493" spans="1:20" x14ac:dyDescent="0.3">
      <c r="A1493">
        <v>1492</v>
      </c>
      <c r="B1493">
        <v>276</v>
      </c>
      <c r="C1493">
        <v>3</v>
      </c>
      <c r="D1493">
        <v>48.59</v>
      </c>
      <c r="E1493">
        <v>4.8600000000000003</v>
      </c>
      <c r="F1493">
        <v>0</v>
      </c>
      <c r="G1493">
        <v>0.1</v>
      </c>
      <c r="H1493" t="s">
        <v>622</v>
      </c>
      <c r="J1493" t="s">
        <v>623</v>
      </c>
      <c r="K1493" s="1"/>
      <c r="L1493" s="1">
        <v>46098.384166666663</v>
      </c>
      <c r="M1493" s="2">
        <v>46098</v>
      </c>
      <c r="N1493" t="s">
        <v>636</v>
      </c>
      <c r="O1493" t="s">
        <v>625</v>
      </c>
      <c r="P1493">
        <v>1</v>
      </c>
      <c r="Q1493">
        <v>0</v>
      </c>
      <c r="R1493">
        <v>48.59</v>
      </c>
      <c r="S1493" t="s">
        <v>547</v>
      </c>
      <c r="T1493" t="s">
        <v>777</v>
      </c>
    </row>
    <row r="1494" spans="1:20" x14ac:dyDescent="0.3">
      <c r="A1494">
        <v>1493</v>
      </c>
      <c r="B1494">
        <v>190</v>
      </c>
      <c r="C1494">
        <v>2</v>
      </c>
      <c r="D1494">
        <v>173.13</v>
      </c>
      <c r="E1494">
        <v>17.309999999999999</v>
      </c>
      <c r="F1494">
        <v>0</v>
      </c>
      <c r="G1494">
        <v>0.1</v>
      </c>
      <c r="H1494" t="s">
        <v>622</v>
      </c>
      <c r="J1494" t="s">
        <v>623</v>
      </c>
      <c r="K1494" s="1"/>
      <c r="L1494" s="1">
        <v>46098.402245370373</v>
      </c>
      <c r="M1494" s="2">
        <v>46098</v>
      </c>
      <c r="N1494" t="s">
        <v>636</v>
      </c>
      <c r="O1494" t="s">
        <v>625</v>
      </c>
      <c r="P1494">
        <v>1</v>
      </c>
      <c r="Q1494">
        <v>0</v>
      </c>
      <c r="R1494">
        <v>173.13</v>
      </c>
      <c r="S1494" t="s">
        <v>375</v>
      </c>
      <c r="T1494" t="s">
        <v>776</v>
      </c>
    </row>
    <row r="1495" spans="1:20" x14ac:dyDescent="0.3">
      <c r="A1495">
        <v>1494</v>
      </c>
      <c r="B1495">
        <v>195</v>
      </c>
      <c r="C1495">
        <v>5</v>
      </c>
      <c r="D1495">
        <v>177.86</v>
      </c>
      <c r="E1495">
        <v>17.79</v>
      </c>
      <c r="F1495">
        <v>0</v>
      </c>
      <c r="G1495">
        <v>0.1</v>
      </c>
      <c r="H1495" t="s">
        <v>622</v>
      </c>
      <c r="J1495" t="s">
        <v>623</v>
      </c>
      <c r="K1495" s="1"/>
      <c r="L1495" s="1">
        <v>46098.611157407409</v>
      </c>
      <c r="M1495" s="2">
        <v>46098</v>
      </c>
      <c r="N1495" t="s">
        <v>636</v>
      </c>
      <c r="O1495" t="s">
        <v>625</v>
      </c>
      <c r="P1495">
        <v>1</v>
      </c>
      <c r="Q1495">
        <v>0</v>
      </c>
      <c r="R1495">
        <v>177.86</v>
      </c>
      <c r="S1495" t="s">
        <v>385</v>
      </c>
      <c r="T1495" t="s">
        <v>779</v>
      </c>
    </row>
    <row r="1496" spans="1:20" x14ac:dyDescent="0.3">
      <c r="A1496">
        <v>1495</v>
      </c>
      <c r="B1496">
        <v>243</v>
      </c>
      <c r="C1496">
        <v>4</v>
      </c>
      <c r="D1496">
        <v>19.05</v>
      </c>
      <c r="E1496">
        <v>1.91</v>
      </c>
      <c r="F1496">
        <v>0</v>
      </c>
      <c r="G1496">
        <v>0.1</v>
      </c>
      <c r="H1496" t="s">
        <v>622</v>
      </c>
      <c r="J1496" t="s">
        <v>623</v>
      </c>
      <c r="K1496" s="1"/>
      <c r="L1496" s="1">
        <v>46098.665358796294</v>
      </c>
      <c r="M1496" s="2">
        <v>46098</v>
      </c>
      <c r="N1496" t="s">
        <v>636</v>
      </c>
      <c r="O1496" t="s">
        <v>625</v>
      </c>
      <c r="P1496">
        <v>1</v>
      </c>
      <c r="Q1496">
        <v>0</v>
      </c>
      <c r="R1496">
        <v>19.05</v>
      </c>
      <c r="S1496" t="s">
        <v>481</v>
      </c>
      <c r="T1496" t="s">
        <v>778</v>
      </c>
    </row>
    <row r="1497" spans="1:20" x14ac:dyDescent="0.3">
      <c r="A1497">
        <v>1496</v>
      </c>
      <c r="B1497">
        <v>38</v>
      </c>
      <c r="C1497">
        <v>2</v>
      </c>
      <c r="D1497">
        <v>26.22</v>
      </c>
      <c r="E1497">
        <v>2.62</v>
      </c>
      <c r="F1497">
        <v>0</v>
      </c>
      <c r="G1497">
        <v>0.1</v>
      </c>
      <c r="H1497" t="s">
        <v>622</v>
      </c>
      <c r="J1497" t="s">
        <v>623</v>
      </c>
      <c r="K1497" s="1"/>
      <c r="L1497" s="1">
        <v>46098.733472222222</v>
      </c>
      <c r="M1497" s="2">
        <v>46098</v>
      </c>
      <c r="N1497" t="s">
        <v>636</v>
      </c>
      <c r="O1497" t="s">
        <v>625</v>
      </c>
      <c r="P1497">
        <v>1</v>
      </c>
      <c r="Q1497">
        <v>0</v>
      </c>
      <c r="R1497">
        <v>26.22</v>
      </c>
      <c r="S1497" t="s">
        <v>72</v>
      </c>
      <c r="T1497" t="s">
        <v>776</v>
      </c>
    </row>
    <row r="1498" spans="1:20" x14ac:dyDescent="0.3">
      <c r="A1498">
        <v>1497</v>
      </c>
      <c r="B1498">
        <v>105</v>
      </c>
      <c r="C1498">
        <v>5</v>
      </c>
      <c r="D1498">
        <v>181.09</v>
      </c>
      <c r="E1498">
        <v>18.11</v>
      </c>
      <c r="F1498">
        <v>0</v>
      </c>
      <c r="G1498">
        <v>0.1</v>
      </c>
      <c r="H1498" t="s">
        <v>622</v>
      </c>
      <c r="J1498" t="s">
        <v>623</v>
      </c>
      <c r="K1498" s="1"/>
      <c r="L1498" s="1">
        <v>46098.818599537037</v>
      </c>
      <c r="M1498" s="2">
        <v>46098</v>
      </c>
      <c r="N1498" t="s">
        <v>636</v>
      </c>
      <c r="O1498" t="s">
        <v>625</v>
      </c>
      <c r="P1498">
        <v>1</v>
      </c>
      <c r="Q1498">
        <v>0</v>
      </c>
      <c r="R1498">
        <v>181.09</v>
      </c>
      <c r="S1498" t="s">
        <v>205</v>
      </c>
      <c r="T1498" t="s">
        <v>779</v>
      </c>
    </row>
    <row r="1499" spans="1:20" x14ac:dyDescent="0.3">
      <c r="A1499">
        <v>1498</v>
      </c>
      <c r="B1499">
        <v>207</v>
      </c>
      <c r="C1499">
        <v>3</v>
      </c>
      <c r="D1499">
        <v>23.7</v>
      </c>
      <c r="E1499">
        <v>2.37</v>
      </c>
      <c r="F1499">
        <v>0</v>
      </c>
      <c r="G1499">
        <v>0.1</v>
      </c>
      <c r="H1499" t="s">
        <v>622</v>
      </c>
      <c r="J1499" t="s">
        <v>623</v>
      </c>
      <c r="K1499" s="1"/>
      <c r="L1499" s="1">
        <v>46099.359803240739</v>
      </c>
      <c r="M1499" s="2">
        <v>46099</v>
      </c>
      <c r="N1499" t="s">
        <v>636</v>
      </c>
      <c r="O1499" t="s">
        <v>625</v>
      </c>
      <c r="P1499">
        <v>1</v>
      </c>
      <c r="Q1499">
        <v>0</v>
      </c>
      <c r="R1499">
        <v>23.7</v>
      </c>
      <c r="S1499" t="s">
        <v>409</v>
      </c>
      <c r="T1499" t="s">
        <v>777</v>
      </c>
    </row>
    <row r="1500" spans="1:20" x14ac:dyDescent="0.3">
      <c r="A1500">
        <v>1499</v>
      </c>
      <c r="B1500">
        <v>243</v>
      </c>
      <c r="C1500">
        <v>5</v>
      </c>
      <c r="D1500">
        <v>54.24</v>
      </c>
      <c r="E1500">
        <v>5.42</v>
      </c>
      <c r="F1500">
        <v>0</v>
      </c>
      <c r="G1500">
        <v>0.1</v>
      </c>
      <c r="H1500" t="s">
        <v>622</v>
      </c>
      <c r="J1500" t="s">
        <v>623</v>
      </c>
      <c r="K1500" s="1"/>
      <c r="L1500" s="1">
        <v>46099.405324074076</v>
      </c>
      <c r="M1500" s="2">
        <v>46099</v>
      </c>
      <c r="N1500" t="s">
        <v>636</v>
      </c>
      <c r="O1500" t="s">
        <v>625</v>
      </c>
      <c r="P1500">
        <v>1</v>
      </c>
      <c r="Q1500">
        <v>0</v>
      </c>
      <c r="R1500">
        <v>54.24</v>
      </c>
      <c r="S1500" t="s">
        <v>481</v>
      </c>
      <c r="T1500" t="s">
        <v>779</v>
      </c>
    </row>
    <row r="1501" spans="1:20" x14ac:dyDescent="0.3">
      <c r="A1501">
        <v>1500</v>
      </c>
      <c r="B1501">
        <v>235</v>
      </c>
      <c r="C1501">
        <v>5</v>
      </c>
      <c r="D1501">
        <v>37.82</v>
      </c>
      <c r="E1501">
        <v>3.78</v>
      </c>
      <c r="F1501">
        <v>0</v>
      </c>
      <c r="G1501">
        <v>0.1</v>
      </c>
      <c r="H1501" t="s">
        <v>622</v>
      </c>
      <c r="J1501" t="s">
        <v>623</v>
      </c>
      <c r="K1501" s="1"/>
      <c r="L1501" s="1">
        <v>46099.440162037034</v>
      </c>
      <c r="M1501" s="2">
        <v>46099</v>
      </c>
      <c r="N1501" t="s">
        <v>636</v>
      </c>
      <c r="O1501" t="s">
        <v>625</v>
      </c>
      <c r="P1501">
        <v>1</v>
      </c>
      <c r="Q1501">
        <v>0</v>
      </c>
      <c r="R1501">
        <v>37.82</v>
      </c>
      <c r="S1501" t="s">
        <v>465</v>
      </c>
      <c r="T1501" t="s">
        <v>779</v>
      </c>
    </row>
    <row r="1502" spans="1:20" x14ac:dyDescent="0.3">
      <c r="A1502">
        <v>1501</v>
      </c>
      <c r="B1502">
        <v>47</v>
      </c>
      <c r="C1502">
        <v>5</v>
      </c>
      <c r="D1502">
        <v>48.25</v>
      </c>
      <c r="E1502">
        <v>4.83</v>
      </c>
      <c r="F1502">
        <v>0</v>
      </c>
      <c r="G1502">
        <v>0.1</v>
      </c>
      <c r="H1502" t="s">
        <v>622</v>
      </c>
      <c r="J1502" t="s">
        <v>623</v>
      </c>
      <c r="K1502" s="1"/>
      <c r="L1502" s="1">
        <v>46099.559710648151</v>
      </c>
      <c r="M1502" s="2">
        <v>46099</v>
      </c>
      <c r="N1502" t="s">
        <v>636</v>
      </c>
      <c r="O1502" t="s">
        <v>625</v>
      </c>
      <c r="P1502">
        <v>1</v>
      </c>
      <c r="Q1502">
        <v>0</v>
      </c>
      <c r="R1502">
        <v>48.25</v>
      </c>
      <c r="S1502" t="s">
        <v>90</v>
      </c>
      <c r="T1502" t="s">
        <v>779</v>
      </c>
    </row>
    <row r="1503" spans="1:20" x14ac:dyDescent="0.3">
      <c r="A1503">
        <v>1502</v>
      </c>
      <c r="B1503">
        <v>200</v>
      </c>
      <c r="C1503">
        <v>3</v>
      </c>
      <c r="D1503">
        <v>56.51</v>
      </c>
      <c r="E1503">
        <v>5.65</v>
      </c>
      <c r="F1503">
        <v>0</v>
      </c>
      <c r="G1503">
        <v>0.1</v>
      </c>
      <c r="H1503" t="s">
        <v>622</v>
      </c>
      <c r="J1503" t="s">
        <v>623</v>
      </c>
      <c r="K1503" s="1"/>
      <c r="L1503" s="1">
        <v>46099.630787037036</v>
      </c>
      <c r="M1503" s="2">
        <v>46099</v>
      </c>
      <c r="N1503" t="s">
        <v>636</v>
      </c>
      <c r="O1503" t="s">
        <v>625</v>
      </c>
      <c r="P1503">
        <v>1</v>
      </c>
      <c r="Q1503">
        <v>0</v>
      </c>
      <c r="R1503">
        <v>56.51</v>
      </c>
      <c r="S1503" t="s">
        <v>395</v>
      </c>
      <c r="T1503" t="s">
        <v>777</v>
      </c>
    </row>
    <row r="1504" spans="1:20" x14ac:dyDescent="0.3">
      <c r="A1504">
        <v>1503</v>
      </c>
      <c r="B1504">
        <v>102</v>
      </c>
      <c r="C1504">
        <v>3</v>
      </c>
      <c r="D1504">
        <v>23.44</v>
      </c>
      <c r="E1504">
        <v>2.34</v>
      </c>
      <c r="F1504">
        <v>0</v>
      </c>
      <c r="G1504">
        <v>0.1</v>
      </c>
      <c r="H1504" t="s">
        <v>622</v>
      </c>
      <c r="J1504" t="s">
        <v>623</v>
      </c>
      <c r="K1504" s="1"/>
      <c r="L1504" s="1">
        <v>46099.819247685184</v>
      </c>
      <c r="M1504" s="2">
        <v>46099</v>
      </c>
      <c r="N1504" t="s">
        <v>636</v>
      </c>
      <c r="O1504" t="s">
        <v>625</v>
      </c>
      <c r="P1504">
        <v>1</v>
      </c>
      <c r="Q1504">
        <v>0</v>
      </c>
      <c r="R1504">
        <v>23.44</v>
      </c>
      <c r="S1504" t="s">
        <v>199</v>
      </c>
      <c r="T1504" t="s">
        <v>777</v>
      </c>
    </row>
    <row r="1505" spans="1:20" x14ac:dyDescent="0.3">
      <c r="A1505">
        <v>1504</v>
      </c>
      <c r="B1505">
        <v>65</v>
      </c>
      <c r="C1505">
        <v>3</v>
      </c>
      <c r="D1505">
        <v>54.69</v>
      </c>
      <c r="E1505">
        <v>5.47</v>
      </c>
      <c r="F1505">
        <v>0</v>
      </c>
      <c r="G1505">
        <v>0.1</v>
      </c>
      <c r="H1505" t="s">
        <v>622</v>
      </c>
      <c r="J1505" t="s">
        <v>623</v>
      </c>
      <c r="K1505" s="1"/>
      <c r="L1505" s="1">
        <v>46100.391805555555</v>
      </c>
      <c r="M1505" s="2">
        <v>46100</v>
      </c>
      <c r="N1505" t="s">
        <v>636</v>
      </c>
      <c r="O1505" t="s">
        <v>625</v>
      </c>
      <c r="P1505">
        <v>1</v>
      </c>
      <c r="Q1505">
        <v>0</v>
      </c>
      <c r="R1505">
        <v>54.69</v>
      </c>
      <c r="S1505" t="s">
        <v>126</v>
      </c>
      <c r="T1505" t="s">
        <v>777</v>
      </c>
    </row>
    <row r="1506" spans="1:20" x14ac:dyDescent="0.3">
      <c r="A1506">
        <v>1505</v>
      </c>
      <c r="B1506">
        <v>106</v>
      </c>
      <c r="C1506">
        <v>2</v>
      </c>
      <c r="D1506">
        <v>98.89</v>
      </c>
      <c r="E1506">
        <v>9.89</v>
      </c>
      <c r="F1506">
        <v>0</v>
      </c>
      <c r="G1506">
        <v>0.1</v>
      </c>
      <c r="H1506" t="s">
        <v>622</v>
      </c>
      <c r="J1506" t="s">
        <v>623</v>
      </c>
      <c r="K1506" s="1"/>
      <c r="L1506" s="1">
        <v>46100.406111111108</v>
      </c>
      <c r="M1506" s="2">
        <v>46100</v>
      </c>
      <c r="N1506" t="s">
        <v>636</v>
      </c>
      <c r="O1506" t="s">
        <v>625</v>
      </c>
      <c r="P1506">
        <v>1</v>
      </c>
      <c r="Q1506">
        <v>0</v>
      </c>
      <c r="R1506">
        <v>98.89</v>
      </c>
      <c r="S1506" t="s">
        <v>207</v>
      </c>
      <c r="T1506" t="s">
        <v>776</v>
      </c>
    </row>
    <row r="1507" spans="1:20" x14ac:dyDescent="0.3">
      <c r="A1507">
        <v>1506</v>
      </c>
      <c r="B1507">
        <v>149</v>
      </c>
      <c r="C1507">
        <v>5</v>
      </c>
      <c r="D1507">
        <v>38.75</v>
      </c>
      <c r="E1507">
        <v>3.88</v>
      </c>
      <c r="F1507">
        <v>0</v>
      </c>
      <c r="G1507">
        <v>0.1</v>
      </c>
      <c r="H1507" t="s">
        <v>622</v>
      </c>
      <c r="J1507" t="s">
        <v>623</v>
      </c>
      <c r="K1507" s="1"/>
      <c r="L1507" s="1">
        <v>46100.465289351851</v>
      </c>
      <c r="M1507" s="2">
        <v>46100</v>
      </c>
      <c r="N1507" t="s">
        <v>636</v>
      </c>
      <c r="O1507" t="s">
        <v>625</v>
      </c>
      <c r="P1507">
        <v>1</v>
      </c>
      <c r="Q1507">
        <v>0</v>
      </c>
      <c r="R1507">
        <v>38.75</v>
      </c>
      <c r="S1507" t="s">
        <v>293</v>
      </c>
      <c r="T1507" t="s">
        <v>779</v>
      </c>
    </row>
    <row r="1508" spans="1:20" x14ac:dyDescent="0.3">
      <c r="A1508">
        <v>1507</v>
      </c>
      <c r="B1508">
        <v>257</v>
      </c>
      <c r="C1508">
        <v>4</v>
      </c>
      <c r="D1508">
        <v>38.159999999999997</v>
      </c>
      <c r="E1508">
        <v>3.82</v>
      </c>
      <c r="F1508">
        <v>0</v>
      </c>
      <c r="G1508">
        <v>0.1</v>
      </c>
      <c r="H1508" t="s">
        <v>622</v>
      </c>
      <c r="J1508" t="s">
        <v>623</v>
      </c>
      <c r="K1508" s="1"/>
      <c r="L1508" s="1">
        <v>46100.470034722224</v>
      </c>
      <c r="M1508" s="2">
        <v>46100</v>
      </c>
      <c r="N1508" t="s">
        <v>636</v>
      </c>
      <c r="O1508" t="s">
        <v>625</v>
      </c>
      <c r="P1508">
        <v>1</v>
      </c>
      <c r="Q1508">
        <v>0</v>
      </c>
      <c r="R1508">
        <v>38.159999999999997</v>
      </c>
      <c r="S1508" t="s">
        <v>509</v>
      </c>
      <c r="T1508" t="s">
        <v>778</v>
      </c>
    </row>
    <row r="1509" spans="1:20" x14ac:dyDescent="0.3">
      <c r="A1509">
        <v>1508</v>
      </c>
      <c r="B1509">
        <v>16</v>
      </c>
      <c r="C1509">
        <v>3</v>
      </c>
      <c r="D1509">
        <v>208.47</v>
      </c>
      <c r="E1509">
        <v>20.85</v>
      </c>
      <c r="F1509">
        <v>0</v>
      </c>
      <c r="G1509">
        <v>0.1</v>
      </c>
      <c r="H1509" t="s">
        <v>622</v>
      </c>
      <c r="J1509" t="s">
        <v>623</v>
      </c>
      <c r="K1509" s="1"/>
      <c r="L1509" s="1">
        <v>46100.48946759259</v>
      </c>
      <c r="M1509" s="2">
        <v>46100</v>
      </c>
      <c r="N1509" t="s">
        <v>636</v>
      </c>
      <c r="O1509" t="s">
        <v>625</v>
      </c>
      <c r="P1509">
        <v>1</v>
      </c>
      <c r="Q1509">
        <v>0</v>
      </c>
      <c r="R1509">
        <v>208.47</v>
      </c>
      <c r="S1509" t="s">
        <v>28</v>
      </c>
      <c r="T1509" t="s">
        <v>777</v>
      </c>
    </row>
    <row r="1510" spans="1:20" x14ac:dyDescent="0.3">
      <c r="A1510">
        <v>1509</v>
      </c>
      <c r="B1510">
        <v>113</v>
      </c>
      <c r="C1510">
        <v>3</v>
      </c>
      <c r="D1510">
        <v>23.41</v>
      </c>
      <c r="E1510">
        <v>2.34</v>
      </c>
      <c r="F1510">
        <v>0</v>
      </c>
      <c r="G1510">
        <v>0.1</v>
      </c>
      <c r="H1510" t="s">
        <v>622</v>
      </c>
      <c r="J1510" t="s">
        <v>623</v>
      </c>
      <c r="K1510" s="1"/>
      <c r="L1510" s="1">
        <v>46100.549108796295</v>
      </c>
      <c r="M1510" s="2">
        <v>46100</v>
      </c>
      <c r="N1510" t="s">
        <v>636</v>
      </c>
      <c r="O1510" t="s">
        <v>625</v>
      </c>
      <c r="P1510">
        <v>1</v>
      </c>
      <c r="Q1510">
        <v>0</v>
      </c>
      <c r="R1510">
        <v>23.41</v>
      </c>
      <c r="S1510" t="s">
        <v>221</v>
      </c>
      <c r="T1510" t="s">
        <v>777</v>
      </c>
    </row>
    <row r="1511" spans="1:20" x14ac:dyDescent="0.3">
      <c r="A1511">
        <v>1510</v>
      </c>
      <c r="B1511">
        <v>87</v>
      </c>
      <c r="C1511">
        <v>2</v>
      </c>
      <c r="D1511">
        <v>130.5</v>
      </c>
      <c r="E1511">
        <v>13.05</v>
      </c>
      <c r="F1511">
        <v>0</v>
      </c>
      <c r="G1511">
        <v>0.1</v>
      </c>
      <c r="H1511" t="s">
        <v>622</v>
      </c>
      <c r="J1511" t="s">
        <v>623</v>
      </c>
      <c r="K1511" s="1"/>
      <c r="L1511" s="1">
        <v>46100.568958333337</v>
      </c>
      <c r="M1511" s="2">
        <v>46100</v>
      </c>
      <c r="N1511" t="s">
        <v>636</v>
      </c>
      <c r="O1511" t="s">
        <v>625</v>
      </c>
      <c r="P1511">
        <v>1</v>
      </c>
      <c r="Q1511">
        <v>0</v>
      </c>
      <c r="R1511">
        <v>130.5</v>
      </c>
      <c r="S1511" t="s">
        <v>169</v>
      </c>
      <c r="T1511" t="s">
        <v>776</v>
      </c>
    </row>
    <row r="1512" spans="1:20" x14ac:dyDescent="0.3">
      <c r="A1512">
        <v>1511</v>
      </c>
      <c r="B1512">
        <v>16</v>
      </c>
      <c r="C1512">
        <v>3</v>
      </c>
      <c r="D1512">
        <v>112.7</v>
      </c>
      <c r="E1512">
        <v>0</v>
      </c>
      <c r="F1512">
        <v>1</v>
      </c>
      <c r="G1512">
        <v>0.1</v>
      </c>
      <c r="H1512" t="s">
        <v>626</v>
      </c>
      <c r="I1512">
        <v>2</v>
      </c>
      <c r="J1512" t="s">
        <v>632</v>
      </c>
      <c r="K1512" s="1">
        <v>46101.459016203706</v>
      </c>
      <c r="L1512" s="1">
        <v>46100.62568287037</v>
      </c>
      <c r="M1512" s="2">
        <v>46100</v>
      </c>
      <c r="N1512" t="s">
        <v>636</v>
      </c>
      <c r="O1512" t="s">
        <v>629</v>
      </c>
      <c r="P1512">
        <v>1</v>
      </c>
      <c r="Q1512">
        <v>1</v>
      </c>
      <c r="R1512">
        <v>0</v>
      </c>
      <c r="S1512" t="s">
        <v>28</v>
      </c>
      <c r="T1512" t="s">
        <v>777</v>
      </c>
    </row>
    <row r="1513" spans="1:20" x14ac:dyDescent="0.3">
      <c r="A1513">
        <v>1512</v>
      </c>
      <c r="B1513">
        <v>117</v>
      </c>
      <c r="C1513">
        <v>3</v>
      </c>
      <c r="D1513">
        <v>46.75</v>
      </c>
      <c r="E1513">
        <v>4.68</v>
      </c>
      <c r="F1513">
        <v>0</v>
      </c>
      <c r="G1513">
        <v>0.1</v>
      </c>
      <c r="H1513" t="s">
        <v>622</v>
      </c>
      <c r="J1513" t="s">
        <v>623</v>
      </c>
      <c r="K1513" s="1"/>
      <c r="L1513" s="1">
        <v>46100.62945601852</v>
      </c>
      <c r="M1513" s="2">
        <v>46100</v>
      </c>
      <c r="N1513" t="s">
        <v>636</v>
      </c>
      <c r="O1513" t="s">
        <v>625</v>
      </c>
      <c r="P1513">
        <v>1</v>
      </c>
      <c r="Q1513">
        <v>0</v>
      </c>
      <c r="R1513">
        <v>46.75</v>
      </c>
      <c r="S1513" t="s">
        <v>229</v>
      </c>
      <c r="T1513" t="s">
        <v>777</v>
      </c>
    </row>
    <row r="1514" spans="1:20" x14ac:dyDescent="0.3">
      <c r="A1514">
        <v>1513</v>
      </c>
      <c r="B1514">
        <v>245</v>
      </c>
      <c r="C1514">
        <v>2</v>
      </c>
      <c r="D1514">
        <v>32.99</v>
      </c>
      <c r="E1514">
        <v>3.3</v>
      </c>
      <c r="F1514">
        <v>0</v>
      </c>
      <c r="G1514">
        <v>0.1</v>
      </c>
      <c r="H1514" t="s">
        <v>622</v>
      </c>
      <c r="J1514" t="s">
        <v>623</v>
      </c>
      <c r="K1514" s="1"/>
      <c r="L1514" s="1">
        <v>46100.673483796294</v>
      </c>
      <c r="M1514" s="2">
        <v>46100</v>
      </c>
      <c r="N1514" t="s">
        <v>636</v>
      </c>
      <c r="O1514" t="s">
        <v>625</v>
      </c>
      <c r="P1514">
        <v>1</v>
      </c>
      <c r="Q1514">
        <v>0</v>
      </c>
      <c r="R1514">
        <v>32.99</v>
      </c>
      <c r="S1514" t="s">
        <v>485</v>
      </c>
      <c r="T1514" t="s">
        <v>776</v>
      </c>
    </row>
    <row r="1515" spans="1:20" x14ac:dyDescent="0.3">
      <c r="A1515">
        <v>1514</v>
      </c>
      <c r="B1515">
        <v>156</v>
      </c>
      <c r="C1515">
        <v>5</v>
      </c>
      <c r="D1515">
        <v>28.41</v>
      </c>
      <c r="E1515">
        <v>2.84</v>
      </c>
      <c r="F1515">
        <v>0</v>
      </c>
      <c r="G1515">
        <v>0.1</v>
      </c>
      <c r="H1515" t="s">
        <v>622</v>
      </c>
      <c r="J1515" t="s">
        <v>623</v>
      </c>
      <c r="K1515" s="1"/>
      <c r="L1515" s="1">
        <v>46100.701122685183</v>
      </c>
      <c r="M1515" s="2">
        <v>46100</v>
      </c>
      <c r="N1515" t="s">
        <v>636</v>
      </c>
      <c r="O1515" t="s">
        <v>625</v>
      </c>
      <c r="P1515">
        <v>1</v>
      </c>
      <c r="Q1515">
        <v>0</v>
      </c>
      <c r="R1515">
        <v>28.41</v>
      </c>
      <c r="S1515" t="s">
        <v>307</v>
      </c>
      <c r="T1515" t="s">
        <v>779</v>
      </c>
    </row>
    <row r="1516" spans="1:20" x14ac:dyDescent="0.3">
      <c r="A1516">
        <v>1515</v>
      </c>
      <c r="B1516">
        <v>38</v>
      </c>
      <c r="C1516">
        <v>2</v>
      </c>
      <c r="D1516">
        <v>31.15</v>
      </c>
      <c r="E1516">
        <v>0</v>
      </c>
      <c r="F1516">
        <v>1</v>
      </c>
      <c r="G1516">
        <v>0.1</v>
      </c>
      <c r="H1516" t="s">
        <v>622</v>
      </c>
      <c r="J1516" t="s">
        <v>623</v>
      </c>
      <c r="K1516" s="1"/>
      <c r="L1516" s="1">
        <v>46100.809803240743</v>
      </c>
      <c r="M1516" s="2">
        <v>46100</v>
      </c>
      <c r="N1516" t="s">
        <v>636</v>
      </c>
      <c r="O1516" t="s">
        <v>629</v>
      </c>
      <c r="P1516">
        <v>1</v>
      </c>
      <c r="Q1516">
        <v>0</v>
      </c>
      <c r="R1516">
        <v>31.15</v>
      </c>
      <c r="S1516" t="s">
        <v>72</v>
      </c>
      <c r="T1516" t="s">
        <v>776</v>
      </c>
    </row>
    <row r="1517" spans="1:20" x14ac:dyDescent="0.3">
      <c r="A1517">
        <v>1516</v>
      </c>
      <c r="B1517">
        <v>288</v>
      </c>
      <c r="C1517">
        <v>5</v>
      </c>
      <c r="D1517">
        <v>30.56</v>
      </c>
      <c r="E1517">
        <v>3.06</v>
      </c>
      <c r="F1517">
        <v>0</v>
      </c>
      <c r="G1517">
        <v>0.1</v>
      </c>
      <c r="H1517" t="s">
        <v>622</v>
      </c>
      <c r="J1517" t="s">
        <v>623</v>
      </c>
      <c r="K1517" s="1"/>
      <c r="L1517" s="1">
        <v>46100.827407407407</v>
      </c>
      <c r="M1517" s="2">
        <v>46100</v>
      </c>
      <c r="N1517" t="s">
        <v>636</v>
      </c>
      <c r="O1517" t="s">
        <v>625</v>
      </c>
      <c r="P1517">
        <v>1</v>
      </c>
      <c r="Q1517">
        <v>0</v>
      </c>
      <c r="R1517">
        <v>30.56</v>
      </c>
      <c r="S1517" t="s">
        <v>571</v>
      </c>
      <c r="T1517" t="s">
        <v>779</v>
      </c>
    </row>
    <row r="1518" spans="1:20" x14ac:dyDescent="0.3">
      <c r="A1518">
        <v>1517</v>
      </c>
      <c r="B1518">
        <v>138</v>
      </c>
      <c r="C1518">
        <v>4</v>
      </c>
      <c r="D1518">
        <v>41.18</v>
      </c>
      <c r="E1518">
        <v>4.12</v>
      </c>
      <c r="F1518">
        <v>0</v>
      </c>
      <c r="G1518">
        <v>0.1</v>
      </c>
      <c r="H1518" t="s">
        <v>622</v>
      </c>
      <c r="J1518" t="s">
        <v>623</v>
      </c>
      <c r="K1518" s="1"/>
      <c r="L1518" s="1">
        <v>46100.829629629632</v>
      </c>
      <c r="M1518" s="2">
        <v>46100</v>
      </c>
      <c r="N1518" t="s">
        <v>636</v>
      </c>
      <c r="O1518" t="s">
        <v>625</v>
      </c>
      <c r="P1518">
        <v>1</v>
      </c>
      <c r="Q1518">
        <v>0</v>
      </c>
      <c r="R1518">
        <v>41.18</v>
      </c>
      <c r="S1518" t="s">
        <v>271</v>
      </c>
      <c r="T1518" t="s">
        <v>778</v>
      </c>
    </row>
    <row r="1519" spans="1:20" x14ac:dyDescent="0.3">
      <c r="A1519">
        <v>1518</v>
      </c>
      <c r="B1519">
        <v>117</v>
      </c>
      <c r="C1519">
        <v>2</v>
      </c>
      <c r="D1519">
        <v>55.21</v>
      </c>
      <c r="E1519">
        <v>5.52</v>
      </c>
      <c r="F1519">
        <v>0</v>
      </c>
      <c r="G1519">
        <v>0.1</v>
      </c>
      <c r="H1519" t="s">
        <v>622</v>
      </c>
      <c r="J1519" t="s">
        <v>623</v>
      </c>
      <c r="K1519" s="1"/>
      <c r="L1519" s="1">
        <v>46101.318611111114</v>
      </c>
      <c r="M1519" s="2">
        <v>46101</v>
      </c>
      <c r="N1519" t="s">
        <v>636</v>
      </c>
      <c r="O1519" t="s">
        <v>625</v>
      </c>
      <c r="P1519">
        <v>1</v>
      </c>
      <c r="Q1519">
        <v>0</v>
      </c>
      <c r="R1519">
        <v>55.21</v>
      </c>
      <c r="S1519" t="s">
        <v>229</v>
      </c>
      <c r="T1519" t="s">
        <v>776</v>
      </c>
    </row>
    <row r="1520" spans="1:20" x14ac:dyDescent="0.3">
      <c r="A1520">
        <v>1519</v>
      </c>
      <c r="B1520">
        <v>103</v>
      </c>
      <c r="C1520">
        <v>3</v>
      </c>
      <c r="D1520">
        <v>29.94</v>
      </c>
      <c r="E1520">
        <v>2.99</v>
      </c>
      <c r="F1520">
        <v>0</v>
      </c>
      <c r="G1520">
        <v>0.1</v>
      </c>
      <c r="H1520" t="s">
        <v>622</v>
      </c>
      <c r="J1520" t="s">
        <v>623</v>
      </c>
      <c r="K1520" s="1"/>
      <c r="L1520" s="1">
        <v>46101.434560185182</v>
      </c>
      <c r="M1520" s="2">
        <v>46101</v>
      </c>
      <c r="N1520" t="s">
        <v>636</v>
      </c>
      <c r="O1520" t="s">
        <v>625</v>
      </c>
      <c r="P1520">
        <v>1</v>
      </c>
      <c r="Q1520">
        <v>0</v>
      </c>
      <c r="R1520">
        <v>29.94</v>
      </c>
      <c r="S1520" t="s">
        <v>201</v>
      </c>
      <c r="T1520" t="s">
        <v>777</v>
      </c>
    </row>
    <row r="1521" spans="1:20" x14ac:dyDescent="0.3">
      <c r="A1521">
        <v>1520</v>
      </c>
      <c r="B1521">
        <v>112</v>
      </c>
      <c r="C1521">
        <v>3</v>
      </c>
      <c r="D1521">
        <v>16.7</v>
      </c>
      <c r="E1521">
        <v>1.67</v>
      </c>
      <c r="F1521">
        <v>0</v>
      </c>
      <c r="G1521">
        <v>0.1</v>
      </c>
      <c r="H1521" t="s">
        <v>622</v>
      </c>
      <c r="J1521" t="s">
        <v>623</v>
      </c>
      <c r="K1521" s="1"/>
      <c r="L1521" s="1">
        <v>46101.530972222223</v>
      </c>
      <c r="M1521" s="2">
        <v>46101</v>
      </c>
      <c r="N1521" t="s">
        <v>636</v>
      </c>
      <c r="O1521" t="s">
        <v>625</v>
      </c>
      <c r="P1521">
        <v>1</v>
      </c>
      <c r="Q1521">
        <v>0</v>
      </c>
      <c r="R1521">
        <v>16.7</v>
      </c>
      <c r="S1521" t="s">
        <v>219</v>
      </c>
      <c r="T1521" t="s">
        <v>777</v>
      </c>
    </row>
    <row r="1522" spans="1:20" x14ac:dyDescent="0.3">
      <c r="A1522">
        <v>1521</v>
      </c>
      <c r="B1522">
        <v>149</v>
      </c>
      <c r="C1522">
        <v>5</v>
      </c>
      <c r="D1522">
        <v>33.880000000000003</v>
      </c>
      <c r="E1522">
        <v>3.39</v>
      </c>
      <c r="F1522">
        <v>0</v>
      </c>
      <c r="G1522">
        <v>0.1</v>
      </c>
      <c r="H1522" t="s">
        <v>622</v>
      </c>
      <c r="J1522" t="s">
        <v>623</v>
      </c>
      <c r="K1522" s="1"/>
      <c r="L1522" s="1">
        <v>46101.635787037034</v>
      </c>
      <c r="M1522" s="2">
        <v>46101</v>
      </c>
      <c r="N1522" t="s">
        <v>636</v>
      </c>
      <c r="O1522" t="s">
        <v>625</v>
      </c>
      <c r="P1522">
        <v>1</v>
      </c>
      <c r="Q1522">
        <v>0</v>
      </c>
      <c r="R1522">
        <v>33.880000000000003</v>
      </c>
      <c r="S1522" t="s">
        <v>293</v>
      </c>
      <c r="T1522" t="s">
        <v>779</v>
      </c>
    </row>
    <row r="1523" spans="1:20" x14ac:dyDescent="0.3">
      <c r="A1523">
        <v>1522</v>
      </c>
      <c r="B1523">
        <v>39</v>
      </c>
      <c r="C1523">
        <v>2</v>
      </c>
      <c r="D1523">
        <v>213.89</v>
      </c>
      <c r="E1523">
        <v>21.39</v>
      </c>
      <c r="F1523">
        <v>0</v>
      </c>
      <c r="G1523">
        <v>0.1</v>
      </c>
      <c r="H1523" t="s">
        <v>622</v>
      </c>
      <c r="J1523" t="s">
        <v>623</v>
      </c>
      <c r="K1523" s="1"/>
      <c r="L1523" s="1">
        <v>46101.644432870373</v>
      </c>
      <c r="M1523" s="2">
        <v>46101</v>
      </c>
      <c r="N1523" t="s">
        <v>636</v>
      </c>
      <c r="O1523" t="s">
        <v>625</v>
      </c>
      <c r="P1523">
        <v>1</v>
      </c>
      <c r="Q1523">
        <v>0</v>
      </c>
      <c r="R1523">
        <v>213.89</v>
      </c>
      <c r="S1523" t="s">
        <v>74</v>
      </c>
      <c r="T1523" t="s">
        <v>776</v>
      </c>
    </row>
    <row r="1524" spans="1:20" x14ac:dyDescent="0.3">
      <c r="A1524">
        <v>1523</v>
      </c>
      <c r="B1524">
        <v>137</v>
      </c>
      <c r="C1524">
        <v>2</v>
      </c>
      <c r="D1524">
        <v>30.32</v>
      </c>
      <c r="E1524">
        <v>3.03</v>
      </c>
      <c r="F1524">
        <v>0</v>
      </c>
      <c r="G1524">
        <v>0.1</v>
      </c>
      <c r="H1524" t="s">
        <v>622</v>
      </c>
      <c r="J1524" t="s">
        <v>623</v>
      </c>
      <c r="K1524" s="1"/>
      <c r="L1524" s="1">
        <v>46101.73228009259</v>
      </c>
      <c r="M1524" s="2">
        <v>46101</v>
      </c>
      <c r="N1524" t="s">
        <v>636</v>
      </c>
      <c r="O1524" t="s">
        <v>625</v>
      </c>
      <c r="P1524">
        <v>1</v>
      </c>
      <c r="Q1524">
        <v>0</v>
      </c>
      <c r="R1524">
        <v>30.32</v>
      </c>
      <c r="S1524" t="s">
        <v>269</v>
      </c>
      <c r="T1524" t="s">
        <v>776</v>
      </c>
    </row>
    <row r="1525" spans="1:20" x14ac:dyDescent="0.3">
      <c r="A1525">
        <v>1524</v>
      </c>
      <c r="B1525">
        <v>178</v>
      </c>
      <c r="C1525">
        <v>3</v>
      </c>
      <c r="D1525">
        <v>167.6</v>
      </c>
      <c r="E1525">
        <v>16.760000000000002</v>
      </c>
      <c r="F1525">
        <v>0</v>
      </c>
      <c r="G1525">
        <v>0.1</v>
      </c>
      <c r="H1525" t="s">
        <v>622</v>
      </c>
      <c r="J1525" t="s">
        <v>623</v>
      </c>
      <c r="K1525" s="1"/>
      <c r="L1525" s="1">
        <v>46102.328784722224</v>
      </c>
      <c r="M1525" s="2">
        <v>46102</v>
      </c>
      <c r="N1525" t="s">
        <v>636</v>
      </c>
      <c r="O1525" t="s">
        <v>625</v>
      </c>
      <c r="P1525">
        <v>1</v>
      </c>
      <c r="Q1525">
        <v>0</v>
      </c>
      <c r="R1525">
        <v>167.6</v>
      </c>
      <c r="S1525" t="s">
        <v>351</v>
      </c>
      <c r="T1525" t="s">
        <v>777</v>
      </c>
    </row>
    <row r="1526" spans="1:20" x14ac:dyDescent="0.3">
      <c r="A1526">
        <v>1525</v>
      </c>
      <c r="B1526">
        <v>187</v>
      </c>
      <c r="C1526">
        <v>4</v>
      </c>
      <c r="D1526">
        <v>22.73</v>
      </c>
      <c r="E1526">
        <v>2.27</v>
      </c>
      <c r="F1526">
        <v>0</v>
      </c>
      <c r="G1526">
        <v>0.1</v>
      </c>
      <c r="H1526" t="s">
        <v>622</v>
      </c>
      <c r="J1526" t="s">
        <v>623</v>
      </c>
      <c r="K1526" s="1"/>
      <c r="L1526" s="1">
        <v>46102.391979166663</v>
      </c>
      <c r="M1526" s="2">
        <v>46102</v>
      </c>
      <c r="N1526" t="s">
        <v>636</v>
      </c>
      <c r="O1526" t="s">
        <v>625</v>
      </c>
      <c r="P1526">
        <v>1</v>
      </c>
      <c r="Q1526">
        <v>0</v>
      </c>
      <c r="R1526">
        <v>22.73</v>
      </c>
      <c r="S1526" t="s">
        <v>369</v>
      </c>
      <c r="T1526" t="s">
        <v>778</v>
      </c>
    </row>
    <row r="1527" spans="1:20" x14ac:dyDescent="0.3">
      <c r="A1527">
        <v>1526</v>
      </c>
      <c r="B1527">
        <v>13</v>
      </c>
      <c r="C1527">
        <v>5</v>
      </c>
      <c r="D1527">
        <v>23.74</v>
      </c>
      <c r="E1527">
        <v>2.37</v>
      </c>
      <c r="F1527">
        <v>0</v>
      </c>
      <c r="G1527">
        <v>0.1</v>
      </c>
      <c r="H1527" t="s">
        <v>622</v>
      </c>
      <c r="J1527" t="s">
        <v>623</v>
      </c>
      <c r="K1527" s="1"/>
      <c r="L1527" s="1">
        <v>46102.575798611113</v>
      </c>
      <c r="M1527" s="2">
        <v>46102</v>
      </c>
      <c r="N1527" t="s">
        <v>636</v>
      </c>
      <c r="O1527" t="s">
        <v>625</v>
      </c>
      <c r="P1527">
        <v>1</v>
      </c>
      <c r="Q1527">
        <v>0</v>
      </c>
      <c r="R1527">
        <v>23.74</v>
      </c>
      <c r="S1527" t="s">
        <v>22</v>
      </c>
      <c r="T1527" t="s">
        <v>779</v>
      </c>
    </row>
    <row r="1528" spans="1:20" x14ac:dyDescent="0.3">
      <c r="A1528">
        <v>1527</v>
      </c>
      <c r="B1528">
        <v>156</v>
      </c>
      <c r="C1528">
        <v>2</v>
      </c>
      <c r="D1528">
        <v>34.31</v>
      </c>
      <c r="E1528">
        <v>3.43</v>
      </c>
      <c r="F1528">
        <v>0</v>
      </c>
      <c r="G1528">
        <v>0.1</v>
      </c>
      <c r="H1528" t="s">
        <v>622</v>
      </c>
      <c r="J1528" t="s">
        <v>623</v>
      </c>
      <c r="K1528" s="1"/>
      <c r="L1528" s="1">
        <v>46102.642407407409</v>
      </c>
      <c r="M1528" s="2">
        <v>46102</v>
      </c>
      <c r="N1528" t="s">
        <v>636</v>
      </c>
      <c r="O1528" t="s">
        <v>625</v>
      </c>
      <c r="P1528">
        <v>1</v>
      </c>
      <c r="Q1528">
        <v>0</v>
      </c>
      <c r="R1528">
        <v>34.31</v>
      </c>
      <c r="S1528" t="s">
        <v>307</v>
      </c>
      <c r="T1528" t="s">
        <v>776</v>
      </c>
    </row>
    <row r="1529" spans="1:20" x14ac:dyDescent="0.3">
      <c r="A1529">
        <v>1528</v>
      </c>
      <c r="B1529">
        <v>235</v>
      </c>
      <c r="C1529">
        <v>5</v>
      </c>
      <c r="D1529">
        <v>46.37</v>
      </c>
      <c r="E1529">
        <v>4.6399999999999997</v>
      </c>
      <c r="F1529">
        <v>0</v>
      </c>
      <c r="G1529">
        <v>0.1</v>
      </c>
      <c r="H1529" t="s">
        <v>622</v>
      </c>
      <c r="J1529" t="s">
        <v>623</v>
      </c>
      <c r="K1529" s="1"/>
      <c r="L1529" s="1">
        <v>46102.79859953704</v>
      </c>
      <c r="M1529" s="2">
        <v>46102</v>
      </c>
      <c r="N1529" t="s">
        <v>636</v>
      </c>
      <c r="O1529" t="s">
        <v>625</v>
      </c>
      <c r="P1529">
        <v>1</v>
      </c>
      <c r="Q1529">
        <v>0</v>
      </c>
      <c r="R1529">
        <v>46.37</v>
      </c>
      <c r="S1529" t="s">
        <v>465</v>
      </c>
      <c r="T1529" t="s">
        <v>779</v>
      </c>
    </row>
    <row r="1530" spans="1:20" x14ac:dyDescent="0.3">
      <c r="A1530">
        <v>1529</v>
      </c>
      <c r="B1530">
        <v>191</v>
      </c>
      <c r="C1530">
        <v>2</v>
      </c>
      <c r="D1530">
        <v>28.48</v>
      </c>
      <c r="E1530">
        <v>2.85</v>
      </c>
      <c r="F1530">
        <v>0</v>
      </c>
      <c r="G1530">
        <v>0.1</v>
      </c>
      <c r="H1530" t="s">
        <v>622</v>
      </c>
      <c r="J1530" t="s">
        <v>623</v>
      </c>
      <c r="K1530" s="1"/>
      <c r="L1530" s="1">
        <v>46102.825844907406</v>
      </c>
      <c r="M1530" s="2">
        <v>46102</v>
      </c>
      <c r="N1530" t="s">
        <v>636</v>
      </c>
      <c r="O1530" t="s">
        <v>625</v>
      </c>
      <c r="P1530">
        <v>1</v>
      </c>
      <c r="Q1530">
        <v>0</v>
      </c>
      <c r="R1530">
        <v>28.48</v>
      </c>
      <c r="S1530" t="s">
        <v>377</v>
      </c>
      <c r="T1530" t="s">
        <v>776</v>
      </c>
    </row>
    <row r="1531" spans="1:20" x14ac:dyDescent="0.3">
      <c r="A1531">
        <v>1530</v>
      </c>
      <c r="B1531">
        <v>200</v>
      </c>
      <c r="C1531">
        <v>2</v>
      </c>
      <c r="D1531">
        <v>21.52</v>
      </c>
      <c r="E1531">
        <v>2.15</v>
      </c>
      <c r="F1531">
        <v>0</v>
      </c>
      <c r="G1531">
        <v>0.1</v>
      </c>
      <c r="H1531" t="s">
        <v>622</v>
      </c>
      <c r="J1531" t="s">
        <v>623</v>
      </c>
      <c r="K1531" s="1"/>
      <c r="L1531" s="1">
        <v>46103.295937499999</v>
      </c>
      <c r="M1531" s="2">
        <v>46103</v>
      </c>
      <c r="N1531" t="s">
        <v>636</v>
      </c>
      <c r="O1531" t="s">
        <v>625</v>
      </c>
      <c r="P1531">
        <v>1</v>
      </c>
      <c r="Q1531">
        <v>0</v>
      </c>
      <c r="R1531">
        <v>21.52</v>
      </c>
      <c r="S1531" t="s">
        <v>395</v>
      </c>
      <c r="T1531" t="s">
        <v>776</v>
      </c>
    </row>
    <row r="1532" spans="1:20" x14ac:dyDescent="0.3">
      <c r="A1532">
        <v>1531</v>
      </c>
      <c r="B1532">
        <v>48</v>
      </c>
      <c r="C1532">
        <v>5</v>
      </c>
      <c r="D1532">
        <v>66.23</v>
      </c>
      <c r="E1532">
        <v>6.62</v>
      </c>
      <c r="F1532">
        <v>0</v>
      </c>
      <c r="G1532">
        <v>0.1</v>
      </c>
      <c r="H1532" t="s">
        <v>622</v>
      </c>
      <c r="J1532" t="s">
        <v>623</v>
      </c>
      <c r="K1532" s="1"/>
      <c r="L1532" s="1">
        <v>46103.336284722223</v>
      </c>
      <c r="M1532" s="2">
        <v>46103</v>
      </c>
      <c r="N1532" t="s">
        <v>636</v>
      </c>
      <c r="O1532" t="s">
        <v>625</v>
      </c>
      <c r="P1532">
        <v>1</v>
      </c>
      <c r="Q1532">
        <v>0</v>
      </c>
      <c r="R1532">
        <v>66.23</v>
      </c>
      <c r="S1532" t="s">
        <v>92</v>
      </c>
      <c r="T1532" t="s">
        <v>779</v>
      </c>
    </row>
    <row r="1533" spans="1:20" x14ac:dyDescent="0.3">
      <c r="A1533">
        <v>1532</v>
      </c>
      <c r="B1533">
        <v>247</v>
      </c>
      <c r="C1533">
        <v>3</v>
      </c>
      <c r="D1533">
        <v>44.42</v>
      </c>
      <c r="E1533">
        <v>4.4400000000000004</v>
      </c>
      <c r="F1533">
        <v>0</v>
      </c>
      <c r="G1533">
        <v>0.1</v>
      </c>
      <c r="H1533" t="s">
        <v>626</v>
      </c>
      <c r="I1533">
        <v>2</v>
      </c>
      <c r="J1533" t="s">
        <v>628</v>
      </c>
      <c r="K1533" s="1">
        <v>46103.454548611109</v>
      </c>
      <c r="L1533" s="1">
        <v>46103.371215277781</v>
      </c>
      <c r="M1533" s="2">
        <v>46103</v>
      </c>
      <c r="N1533" t="s">
        <v>636</v>
      </c>
      <c r="O1533" t="s">
        <v>625</v>
      </c>
      <c r="P1533">
        <v>1</v>
      </c>
      <c r="Q1533">
        <v>1</v>
      </c>
      <c r="R1533">
        <v>0</v>
      </c>
      <c r="S1533" t="s">
        <v>489</v>
      </c>
      <c r="T1533" t="s">
        <v>777</v>
      </c>
    </row>
    <row r="1534" spans="1:20" x14ac:dyDescent="0.3">
      <c r="A1534">
        <v>1533</v>
      </c>
      <c r="B1534">
        <v>235</v>
      </c>
      <c r="C1534">
        <v>2</v>
      </c>
      <c r="D1534">
        <v>36.07</v>
      </c>
      <c r="E1534">
        <v>3.61</v>
      </c>
      <c r="F1534">
        <v>0</v>
      </c>
      <c r="G1534">
        <v>0.1</v>
      </c>
      <c r="H1534" t="s">
        <v>622</v>
      </c>
      <c r="J1534" t="s">
        <v>623</v>
      </c>
      <c r="K1534" s="1"/>
      <c r="L1534" s="1">
        <v>46103.435601851852</v>
      </c>
      <c r="M1534" s="2">
        <v>46103</v>
      </c>
      <c r="N1534" t="s">
        <v>636</v>
      </c>
      <c r="O1534" t="s">
        <v>625</v>
      </c>
      <c r="P1534">
        <v>1</v>
      </c>
      <c r="Q1534">
        <v>0</v>
      </c>
      <c r="R1534">
        <v>36.07</v>
      </c>
      <c r="S1534" t="s">
        <v>465</v>
      </c>
      <c r="T1534" t="s">
        <v>776</v>
      </c>
    </row>
    <row r="1535" spans="1:20" x14ac:dyDescent="0.3">
      <c r="A1535">
        <v>1534</v>
      </c>
      <c r="B1535">
        <v>41</v>
      </c>
      <c r="C1535">
        <v>5</v>
      </c>
      <c r="D1535">
        <v>186.98</v>
      </c>
      <c r="E1535">
        <v>18.7</v>
      </c>
      <c r="F1535">
        <v>0</v>
      </c>
      <c r="G1535">
        <v>0.1</v>
      </c>
      <c r="H1535" t="s">
        <v>622</v>
      </c>
      <c r="J1535" t="s">
        <v>623</v>
      </c>
      <c r="K1535" s="1"/>
      <c r="L1535" s="1">
        <v>46103.478692129633</v>
      </c>
      <c r="M1535" s="2">
        <v>46103</v>
      </c>
      <c r="N1535" t="s">
        <v>636</v>
      </c>
      <c r="O1535" t="s">
        <v>625</v>
      </c>
      <c r="P1535">
        <v>1</v>
      </c>
      <c r="Q1535">
        <v>0</v>
      </c>
      <c r="R1535">
        <v>186.98</v>
      </c>
      <c r="S1535" t="s">
        <v>78</v>
      </c>
      <c r="T1535" t="s">
        <v>779</v>
      </c>
    </row>
    <row r="1536" spans="1:20" x14ac:dyDescent="0.3">
      <c r="A1536">
        <v>1535</v>
      </c>
      <c r="B1536">
        <v>253</v>
      </c>
      <c r="C1536">
        <v>4</v>
      </c>
      <c r="D1536">
        <v>42.14</v>
      </c>
      <c r="E1536">
        <v>4.21</v>
      </c>
      <c r="F1536">
        <v>0</v>
      </c>
      <c r="G1536">
        <v>0.1</v>
      </c>
      <c r="H1536" t="s">
        <v>622</v>
      </c>
      <c r="J1536" t="s">
        <v>623</v>
      </c>
      <c r="K1536" s="1"/>
      <c r="L1536" s="1">
        <v>46103.63784722222</v>
      </c>
      <c r="M1536" s="2">
        <v>46103</v>
      </c>
      <c r="N1536" t="s">
        <v>636</v>
      </c>
      <c r="O1536" t="s">
        <v>625</v>
      </c>
      <c r="P1536">
        <v>1</v>
      </c>
      <c r="Q1536">
        <v>0</v>
      </c>
      <c r="R1536">
        <v>42.14</v>
      </c>
      <c r="S1536" t="s">
        <v>501</v>
      </c>
      <c r="T1536" t="s">
        <v>778</v>
      </c>
    </row>
    <row r="1537" spans="1:20" x14ac:dyDescent="0.3">
      <c r="A1537">
        <v>1536</v>
      </c>
      <c r="B1537">
        <v>81</v>
      </c>
      <c r="C1537">
        <v>2</v>
      </c>
      <c r="D1537">
        <v>52.61</v>
      </c>
      <c r="E1537">
        <v>5.26</v>
      </c>
      <c r="F1537">
        <v>0</v>
      </c>
      <c r="G1537">
        <v>0.1</v>
      </c>
      <c r="H1537" t="s">
        <v>622</v>
      </c>
      <c r="J1537" t="s">
        <v>623</v>
      </c>
      <c r="K1537" s="1"/>
      <c r="L1537" s="1">
        <v>46103.644097222219</v>
      </c>
      <c r="M1537" s="2">
        <v>46103</v>
      </c>
      <c r="N1537" t="s">
        <v>636</v>
      </c>
      <c r="O1537" t="s">
        <v>625</v>
      </c>
      <c r="P1537">
        <v>1</v>
      </c>
      <c r="Q1537">
        <v>0</v>
      </c>
      <c r="R1537">
        <v>52.61</v>
      </c>
      <c r="S1537" t="s">
        <v>84</v>
      </c>
      <c r="T1537" t="s">
        <v>776</v>
      </c>
    </row>
    <row r="1538" spans="1:20" x14ac:dyDescent="0.3">
      <c r="A1538">
        <v>1537</v>
      </c>
      <c r="B1538">
        <v>156</v>
      </c>
      <c r="C1538">
        <v>2</v>
      </c>
      <c r="D1538">
        <v>42.6</v>
      </c>
      <c r="E1538">
        <v>4.26</v>
      </c>
      <c r="F1538">
        <v>0</v>
      </c>
      <c r="G1538">
        <v>0.1</v>
      </c>
      <c r="H1538" t="s">
        <v>622</v>
      </c>
      <c r="J1538" t="s">
        <v>623</v>
      </c>
      <c r="K1538" s="1"/>
      <c r="L1538" s="1">
        <v>46104.333761574075</v>
      </c>
      <c r="M1538" s="2">
        <v>46104</v>
      </c>
      <c r="N1538" t="s">
        <v>636</v>
      </c>
      <c r="O1538" t="s">
        <v>625</v>
      </c>
      <c r="P1538">
        <v>1</v>
      </c>
      <c r="Q1538">
        <v>0</v>
      </c>
      <c r="R1538">
        <v>42.6</v>
      </c>
      <c r="S1538" t="s">
        <v>307</v>
      </c>
      <c r="T1538" t="s">
        <v>776</v>
      </c>
    </row>
    <row r="1539" spans="1:20" x14ac:dyDescent="0.3">
      <c r="A1539">
        <v>1538</v>
      </c>
      <c r="B1539">
        <v>16</v>
      </c>
      <c r="C1539">
        <v>3</v>
      </c>
      <c r="D1539">
        <v>126.53</v>
      </c>
      <c r="E1539">
        <v>12.65</v>
      </c>
      <c r="F1539">
        <v>0</v>
      </c>
      <c r="G1539">
        <v>0.1</v>
      </c>
      <c r="H1539" t="s">
        <v>622</v>
      </c>
      <c r="J1539" t="s">
        <v>623</v>
      </c>
      <c r="K1539" s="1"/>
      <c r="L1539" s="1">
        <v>46104.402048611111</v>
      </c>
      <c r="M1539" s="2">
        <v>46104</v>
      </c>
      <c r="N1539" t="s">
        <v>636</v>
      </c>
      <c r="O1539" t="s">
        <v>625</v>
      </c>
      <c r="P1539">
        <v>1</v>
      </c>
      <c r="Q1539">
        <v>0</v>
      </c>
      <c r="R1539">
        <v>126.53</v>
      </c>
      <c r="S1539" t="s">
        <v>28</v>
      </c>
      <c r="T1539" t="s">
        <v>777</v>
      </c>
    </row>
    <row r="1540" spans="1:20" x14ac:dyDescent="0.3">
      <c r="A1540">
        <v>1539</v>
      </c>
      <c r="B1540">
        <v>190</v>
      </c>
      <c r="C1540">
        <v>5</v>
      </c>
      <c r="D1540">
        <v>250.6</v>
      </c>
      <c r="E1540">
        <v>25.06</v>
      </c>
      <c r="F1540">
        <v>0</v>
      </c>
      <c r="G1540">
        <v>0.1</v>
      </c>
      <c r="H1540" t="s">
        <v>622</v>
      </c>
      <c r="J1540" t="s">
        <v>623</v>
      </c>
      <c r="K1540" s="1"/>
      <c r="L1540" s="1">
        <v>46104.417847222219</v>
      </c>
      <c r="M1540" s="2">
        <v>46104</v>
      </c>
      <c r="N1540" t="s">
        <v>636</v>
      </c>
      <c r="O1540" t="s">
        <v>625</v>
      </c>
      <c r="P1540">
        <v>1</v>
      </c>
      <c r="Q1540">
        <v>0</v>
      </c>
      <c r="R1540">
        <v>250.6</v>
      </c>
      <c r="S1540" t="s">
        <v>375</v>
      </c>
      <c r="T1540" t="s">
        <v>779</v>
      </c>
    </row>
    <row r="1541" spans="1:20" x14ac:dyDescent="0.3">
      <c r="A1541">
        <v>1540</v>
      </c>
      <c r="B1541">
        <v>156</v>
      </c>
      <c r="C1541">
        <v>2</v>
      </c>
      <c r="D1541">
        <v>37.1</v>
      </c>
      <c r="E1541">
        <v>3.71</v>
      </c>
      <c r="F1541">
        <v>0</v>
      </c>
      <c r="G1541">
        <v>0.1</v>
      </c>
      <c r="H1541" t="s">
        <v>622</v>
      </c>
      <c r="J1541" t="s">
        <v>623</v>
      </c>
      <c r="K1541" s="1"/>
      <c r="L1541" s="1">
        <v>46104.438032407408</v>
      </c>
      <c r="M1541" s="2">
        <v>46104</v>
      </c>
      <c r="N1541" t="s">
        <v>636</v>
      </c>
      <c r="O1541" t="s">
        <v>625</v>
      </c>
      <c r="P1541">
        <v>1</v>
      </c>
      <c r="Q1541">
        <v>0</v>
      </c>
      <c r="R1541">
        <v>37.1</v>
      </c>
      <c r="S1541" t="s">
        <v>307</v>
      </c>
      <c r="T1541" t="s">
        <v>776</v>
      </c>
    </row>
    <row r="1542" spans="1:20" x14ac:dyDescent="0.3">
      <c r="A1542">
        <v>1541</v>
      </c>
      <c r="B1542">
        <v>172</v>
      </c>
      <c r="C1542">
        <v>2</v>
      </c>
      <c r="D1542">
        <v>16.899999999999999</v>
      </c>
      <c r="E1542">
        <v>1.69</v>
      </c>
      <c r="F1542">
        <v>0</v>
      </c>
      <c r="G1542">
        <v>0.1</v>
      </c>
      <c r="H1542" t="s">
        <v>622</v>
      </c>
      <c r="J1542" t="s">
        <v>623</v>
      </c>
      <c r="K1542" s="1"/>
      <c r="L1542" s="1">
        <v>46104.513159722221</v>
      </c>
      <c r="M1542" s="2">
        <v>46104</v>
      </c>
      <c r="N1542" t="s">
        <v>636</v>
      </c>
      <c r="O1542" t="s">
        <v>625</v>
      </c>
      <c r="P1542">
        <v>1</v>
      </c>
      <c r="Q1542">
        <v>0</v>
      </c>
      <c r="R1542">
        <v>16.899999999999999</v>
      </c>
      <c r="S1542" t="s">
        <v>339</v>
      </c>
      <c r="T1542" t="s">
        <v>776</v>
      </c>
    </row>
    <row r="1543" spans="1:20" x14ac:dyDescent="0.3">
      <c r="A1543">
        <v>1542</v>
      </c>
      <c r="B1543">
        <v>156</v>
      </c>
      <c r="C1543">
        <v>2</v>
      </c>
      <c r="D1543">
        <v>29.86</v>
      </c>
      <c r="E1543">
        <v>2.99</v>
      </c>
      <c r="F1543">
        <v>0</v>
      </c>
      <c r="G1543">
        <v>0.1</v>
      </c>
      <c r="H1543" t="s">
        <v>626</v>
      </c>
      <c r="I1543">
        <v>4</v>
      </c>
      <c r="J1543" t="s">
        <v>632</v>
      </c>
      <c r="K1543" s="1">
        <v>46106.391956018517</v>
      </c>
      <c r="L1543" s="1">
        <v>46104.600289351853</v>
      </c>
      <c r="M1543" s="2">
        <v>46104</v>
      </c>
      <c r="N1543" t="s">
        <v>636</v>
      </c>
      <c r="O1543" t="s">
        <v>625</v>
      </c>
      <c r="P1543">
        <v>1</v>
      </c>
      <c r="Q1543">
        <v>1</v>
      </c>
      <c r="R1543">
        <v>0</v>
      </c>
      <c r="S1543" t="s">
        <v>307</v>
      </c>
      <c r="T1543" t="s">
        <v>776</v>
      </c>
    </row>
    <row r="1544" spans="1:20" x14ac:dyDescent="0.3">
      <c r="A1544">
        <v>1543</v>
      </c>
      <c r="B1544">
        <v>65</v>
      </c>
      <c r="C1544">
        <v>3</v>
      </c>
      <c r="D1544">
        <v>27.97</v>
      </c>
      <c r="E1544">
        <v>0</v>
      </c>
      <c r="F1544">
        <v>1</v>
      </c>
      <c r="G1544">
        <v>0.1</v>
      </c>
      <c r="H1544" t="s">
        <v>622</v>
      </c>
      <c r="J1544" t="s">
        <v>623</v>
      </c>
      <c r="K1544" s="1"/>
      <c r="L1544" s="1">
        <v>46104.638275462959</v>
      </c>
      <c r="M1544" s="2">
        <v>46104</v>
      </c>
      <c r="N1544" t="s">
        <v>636</v>
      </c>
      <c r="O1544" t="s">
        <v>629</v>
      </c>
      <c r="P1544">
        <v>1</v>
      </c>
      <c r="Q1544">
        <v>0</v>
      </c>
      <c r="R1544">
        <v>27.97</v>
      </c>
      <c r="S1544" t="s">
        <v>126</v>
      </c>
      <c r="T1544" t="s">
        <v>777</v>
      </c>
    </row>
    <row r="1545" spans="1:20" x14ac:dyDescent="0.3">
      <c r="A1545">
        <v>1544</v>
      </c>
      <c r="B1545">
        <v>112</v>
      </c>
      <c r="C1545">
        <v>5</v>
      </c>
      <c r="D1545">
        <v>42.07</v>
      </c>
      <c r="E1545">
        <v>4.21</v>
      </c>
      <c r="F1545">
        <v>0</v>
      </c>
      <c r="G1545">
        <v>0.1</v>
      </c>
      <c r="H1545" t="s">
        <v>622</v>
      </c>
      <c r="J1545" t="s">
        <v>623</v>
      </c>
      <c r="K1545" s="1"/>
      <c r="L1545" s="1">
        <v>46104.762731481482</v>
      </c>
      <c r="M1545" s="2">
        <v>46104</v>
      </c>
      <c r="N1545" t="s">
        <v>636</v>
      </c>
      <c r="O1545" t="s">
        <v>625</v>
      </c>
      <c r="P1545">
        <v>1</v>
      </c>
      <c r="Q1545">
        <v>0</v>
      </c>
      <c r="R1545">
        <v>42.07</v>
      </c>
      <c r="S1545" t="s">
        <v>219</v>
      </c>
      <c r="T1545" t="s">
        <v>779</v>
      </c>
    </row>
    <row r="1546" spans="1:20" x14ac:dyDescent="0.3">
      <c r="A1546">
        <v>1545</v>
      </c>
      <c r="B1546">
        <v>156</v>
      </c>
      <c r="C1546">
        <v>4</v>
      </c>
      <c r="D1546">
        <v>35.119999999999997</v>
      </c>
      <c r="E1546">
        <v>3.51</v>
      </c>
      <c r="F1546">
        <v>0</v>
      </c>
      <c r="G1546">
        <v>0.1</v>
      </c>
      <c r="H1546" t="s">
        <v>622</v>
      </c>
      <c r="J1546" t="s">
        <v>623</v>
      </c>
      <c r="K1546" s="1"/>
      <c r="L1546" s="1">
        <v>46105.366770833331</v>
      </c>
      <c r="M1546" s="2">
        <v>46105</v>
      </c>
      <c r="N1546" t="s">
        <v>636</v>
      </c>
      <c r="O1546" t="s">
        <v>625</v>
      </c>
      <c r="P1546">
        <v>1</v>
      </c>
      <c r="Q1546">
        <v>0</v>
      </c>
      <c r="R1546">
        <v>35.119999999999997</v>
      </c>
      <c r="S1546" t="s">
        <v>307</v>
      </c>
      <c r="T1546" t="s">
        <v>778</v>
      </c>
    </row>
    <row r="1547" spans="1:20" x14ac:dyDescent="0.3">
      <c r="A1547">
        <v>1546</v>
      </c>
      <c r="B1547">
        <v>37</v>
      </c>
      <c r="C1547">
        <v>5</v>
      </c>
      <c r="D1547">
        <v>75.430000000000007</v>
      </c>
      <c r="E1547">
        <v>7.54</v>
      </c>
      <c r="F1547">
        <v>0</v>
      </c>
      <c r="G1547">
        <v>0.1</v>
      </c>
      <c r="H1547" t="s">
        <v>622</v>
      </c>
      <c r="J1547" t="s">
        <v>623</v>
      </c>
      <c r="K1547" s="1"/>
      <c r="L1547" s="1">
        <v>46105.371793981481</v>
      </c>
      <c r="M1547" s="2">
        <v>46105</v>
      </c>
      <c r="N1547" t="s">
        <v>636</v>
      </c>
      <c r="O1547" t="s">
        <v>625</v>
      </c>
      <c r="P1547">
        <v>1</v>
      </c>
      <c r="Q1547">
        <v>0</v>
      </c>
      <c r="R1547">
        <v>75.430000000000007</v>
      </c>
      <c r="S1547" t="s">
        <v>70</v>
      </c>
      <c r="T1547" t="s">
        <v>779</v>
      </c>
    </row>
    <row r="1548" spans="1:20" x14ac:dyDescent="0.3">
      <c r="A1548">
        <v>1547</v>
      </c>
      <c r="B1548">
        <v>173</v>
      </c>
      <c r="C1548">
        <v>2</v>
      </c>
      <c r="D1548">
        <v>214.62</v>
      </c>
      <c r="E1548">
        <v>21.46</v>
      </c>
      <c r="F1548">
        <v>0</v>
      </c>
      <c r="G1548">
        <v>0.1</v>
      </c>
      <c r="H1548" t="s">
        <v>622</v>
      </c>
      <c r="J1548" t="s">
        <v>623</v>
      </c>
      <c r="K1548" s="1"/>
      <c r="L1548" s="1">
        <v>46105.381504629629</v>
      </c>
      <c r="M1548" s="2">
        <v>46105</v>
      </c>
      <c r="N1548" t="s">
        <v>636</v>
      </c>
      <c r="O1548" t="s">
        <v>625</v>
      </c>
      <c r="P1548">
        <v>1</v>
      </c>
      <c r="Q1548">
        <v>0</v>
      </c>
      <c r="R1548">
        <v>214.62</v>
      </c>
      <c r="S1548" t="s">
        <v>341</v>
      </c>
      <c r="T1548" t="s">
        <v>776</v>
      </c>
    </row>
    <row r="1549" spans="1:20" x14ac:dyDescent="0.3">
      <c r="A1549">
        <v>1548</v>
      </c>
      <c r="B1549">
        <v>241</v>
      </c>
      <c r="C1549">
        <v>4</v>
      </c>
      <c r="D1549">
        <v>46.47</v>
      </c>
      <c r="E1549">
        <v>4.6500000000000004</v>
      </c>
      <c r="F1549">
        <v>0</v>
      </c>
      <c r="G1549">
        <v>0.1</v>
      </c>
      <c r="H1549" t="s">
        <v>622</v>
      </c>
      <c r="J1549" t="s">
        <v>623</v>
      </c>
      <c r="K1549" s="1"/>
      <c r="L1549" s="1">
        <v>46105.38517361111</v>
      </c>
      <c r="M1549" s="2">
        <v>46105</v>
      </c>
      <c r="N1549" t="s">
        <v>636</v>
      </c>
      <c r="O1549" t="s">
        <v>625</v>
      </c>
      <c r="P1549">
        <v>1</v>
      </c>
      <c r="Q1549">
        <v>0</v>
      </c>
      <c r="R1549">
        <v>46.47</v>
      </c>
      <c r="S1549" t="s">
        <v>477</v>
      </c>
      <c r="T1549" t="s">
        <v>778</v>
      </c>
    </row>
    <row r="1550" spans="1:20" x14ac:dyDescent="0.3">
      <c r="A1550">
        <v>1549</v>
      </c>
      <c r="B1550">
        <v>164</v>
      </c>
      <c r="C1550">
        <v>5</v>
      </c>
      <c r="D1550">
        <v>17.760000000000002</v>
      </c>
      <c r="E1550">
        <v>1.78</v>
      </c>
      <c r="F1550">
        <v>0</v>
      </c>
      <c r="G1550">
        <v>0.1</v>
      </c>
      <c r="H1550" t="s">
        <v>622</v>
      </c>
      <c r="J1550" t="s">
        <v>623</v>
      </c>
      <c r="K1550" s="1"/>
      <c r="L1550" s="1">
        <v>46105.431805555556</v>
      </c>
      <c r="M1550" s="2">
        <v>46105</v>
      </c>
      <c r="N1550" t="s">
        <v>636</v>
      </c>
      <c r="O1550" t="s">
        <v>625</v>
      </c>
      <c r="P1550">
        <v>1</v>
      </c>
      <c r="Q1550">
        <v>0</v>
      </c>
      <c r="R1550">
        <v>17.760000000000002</v>
      </c>
      <c r="S1550" t="s">
        <v>323</v>
      </c>
      <c r="T1550" t="s">
        <v>779</v>
      </c>
    </row>
    <row r="1551" spans="1:20" x14ac:dyDescent="0.3">
      <c r="A1551">
        <v>1550</v>
      </c>
      <c r="B1551">
        <v>297</v>
      </c>
      <c r="C1551">
        <v>3</v>
      </c>
      <c r="D1551">
        <v>78.540000000000006</v>
      </c>
      <c r="E1551">
        <v>7.85</v>
      </c>
      <c r="F1551">
        <v>0</v>
      </c>
      <c r="G1551">
        <v>0.1</v>
      </c>
      <c r="H1551" t="s">
        <v>622</v>
      </c>
      <c r="J1551" t="s">
        <v>623</v>
      </c>
      <c r="K1551" s="1"/>
      <c r="L1551" s="1">
        <v>46105.470173611109</v>
      </c>
      <c r="M1551" s="2">
        <v>46105</v>
      </c>
      <c r="N1551" t="s">
        <v>636</v>
      </c>
      <c r="O1551" t="s">
        <v>625</v>
      </c>
      <c r="P1551">
        <v>1</v>
      </c>
      <c r="Q1551">
        <v>0</v>
      </c>
      <c r="R1551">
        <v>78.540000000000006</v>
      </c>
      <c r="S1551" t="s">
        <v>589</v>
      </c>
      <c r="T1551" t="s">
        <v>777</v>
      </c>
    </row>
    <row r="1552" spans="1:20" x14ac:dyDescent="0.3">
      <c r="A1552">
        <v>1551</v>
      </c>
      <c r="B1552">
        <v>191</v>
      </c>
      <c r="C1552">
        <v>4</v>
      </c>
      <c r="D1552">
        <v>36.18</v>
      </c>
      <c r="E1552">
        <v>3.62</v>
      </c>
      <c r="F1552">
        <v>0</v>
      </c>
      <c r="G1552">
        <v>0.1</v>
      </c>
      <c r="H1552" t="s">
        <v>622</v>
      </c>
      <c r="J1552" t="s">
        <v>623</v>
      </c>
      <c r="K1552" s="1"/>
      <c r="L1552" s="1">
        <v>46105.478958333333</v>
      </c>
      <c r="M1552" s="2">
        <v>46105</v>
      </c>
      <c r="N1552" t="s">
        <v>636</v>
      </c>
      <c r="O1552" t="s">
        <v>625</v>
      </c>
      <c r="P1552">
        <v>1</v>
      </c>
      <c r="Q1552">
        <v>0</v>
      </c>
      <c r="R1552">
        <v>36.18</v>
      </c>
      <c r="S1552" t="s">
        <v>377</v>
      </c>
      <c r="T1552" t="s">
        <v>778</v>
      </c>
    </row>
    <row r="1553" spans="1:20" x14ac:dyDescent="0.3">
      <c r="A1553">
        <v>1552</v>
      </c>
      <c r="B1553">
        <v>239</v>
      </c>
      <c r="C1553">
        <v>5</v>
      </c>
      <c r="D1553">
        <v>40.619999999999997</v>
      </c>
      <c r="E1553">
        <v>4.0599999999999996</v>
      </c>
      <c r="F1553">
        <v>0</v>
      </c>
      <c r="G1553">
        <v>0.1</v>
      </c>
      <c r="H1553" t="s">
        <v>622</v>
      </c>
      <c r="J1553" t="s">
        <v>623</v>
      </c>
      <c r="K1553" s="1"/>
      <c r="L1553" s="1">
        <v>46105.596273148149</v>
      </c>
      <c r="M1553" s="2">
        <v>46105</v>
      </c>
      <c r="N1553" t="s">
        <v>636</v>
      </c>
      <c r="O1553" t="s">
        <v>625</v>
      </c>
      <c r="P1553">
        <v>1</v>
      </c>
      <c r="Q1553">
        <v>0</v>
      </c>
      <c r="R1553">
        <v>40.619999999999997</v>
      </c>
      <c r="S1553" t="s">
        <v>473</v>
      </c>
      <c r="T1553" t="s">
        <v>779</v>
      </c>
    </row>
    <row r="1554" spans="1:20" x14ac:dyDescent="0.3">
      <c r="A1554">
        <v>1553</v>
      </c>
      <c r="B1554">
        <v>106</v>
      </c>
      <c r="C1554">
        <v>4</v>
      </c>
      <c r="D1554">
        <v>91.95</v>
      </c>
      <c r="E1554">
        <v>9.1999999999999993</v>
      </c>
      <c r="F1554">
        <v>0</v>
      </c>
      <c r="G1554">
        <v>0.1</v>
      </c>
      <c r="H1554" t="s">
        <v>622</v>
      </c>
      <c r="J1554" t="s">
        <v>623</v>
      </c>
      <c r="K1554" s="1"/>
      <c r="L1554" s="1">
        <v>46105.662418981483</v>
      </c>
      <c r="M1554" s="2">
        <v>46105</v>
      </c>
      <c r="N1554" t="s">
        <v>636</v>
      </c>
      <c r="O1554" t="s">
        <v>625</v>
      </c>
      <c r="P1554">
        <v>1</v>
      </c>
      <c r="Q1554">
        <v>0</v>
      </c>
      <c r="R1554">
        <v>91.95</v>
      </c>
      <c r="S1554" t="s">
        <v>207</v>
      </c>
      <c r="T1554" t="s">
        <v>778</v>
      </c>
    </row>
    <row r="1555" spans="1:20" x14ac:dyDescent="0.3">
      <c r="A1555">
        <v>1554</v>
      </c>
      <c r="B1555">
        <v>186</v>
      </c>
      <c r="C1555">
        <v>4</v>
      </c>
      <c r="D1555">
        <v>166.26</v>
      </c>
      <c r="E1555">
        <v>16.63</v>
      </c>
      <c r="F1555">
        <v>0</v>
      </c>
      <c r="G1555">
        <v>0.1</v>
      </c>
      <c r="H1555" t="s">
        <v>622</v>
      </c>
      <c r="J1555" t="s">
        <v>623</v>
      </c>
      <c r="K1555" s="1"/>
      <c r="L1555" s="1">
        <v>46105.697430555556</v>
      </c>
      <c r="M1555" s="2">
        <v>46105</v>
      </c>
      <c r="N1555" t="s">
        <v>636</v>
      </c>
      <c r="O1555" t="s">
        <v>625</v>
      </c>
      <c r="P1555">
        <v>1</v>
      </c>
      <c r="Q1555">
        <v>0</v>
      </c>
      <c r="R1555">
        <v>166.26</v>
      </c>
      <c r="S1555" t="s">
        <v>367</v>
      </c>
      <c r="T1555" t="s">
        <v>778</v>
      </c>
    </row>
    <row r="1556" spans="1:20" x14ac:dyDescent="0.3">
      <c r="A1556">
        <v>1555</v>
      </c>
      <c r="B1556">
        <v>21</v>
      </c>
      <c r="C1556">
        <v>5</v>
      </c>
      <c r="D1556">
        <v>45.23</v>
      </c>
      <c r="E1556">
        <v>4.5199999999999996</v>
      </c>
      <c r="F1556">
        <v>0</v>
      </c>
      <c r="G1556">
        <v>0.1</v>
      </c>
      <c r="H1556" t="s">
        <v>626</v>
      </c>
      <c r="I1556">
        <v>5</v>
      </c>
      <c r="J1556" t="s">
        <v>631</v>
      </c>
      <c r="K1556" s="1">
        <v>46107.537708333337</v>
      </c>
      <c r="L1556" s="1">
        <v>46105.746041666665</v>
      </c>
      <c r="M1556" s="2">
        <v>46105</v>
      </c>
      <c r="N1556" t="s">
        <v>636</v>
      </c>
      <c r="O1556" t="s">
        <v>625</v>
      </c>
      <c r="P1556">
        <v>1</v>
      </c>
      <c r="Q1556">
        <v>1</v>
      </c>
      <c r="R1556">
        <v>0</v>
      </c>
      <c r="S1556" t="s">
        <v>38</v>
      </c>
      <c r="T1556" t="s">
        <v>779</v>
      </c>
    </row>
    <row r="1557" spans="1:20" x14ac:dyDescent="0.3">
      <c r="A1557">
        <v>1556</v>
      </c>
      <c r="B1557">
        <v>288</v>
      </c>
      <c r="C1557">
        <v>4</v>
      </c>
      <c r="D1557">
        <v>30.45</v>
      </c>
      <c r="E1557">
        <v>3.05</v>
      </c>
      <c r="F1557">
        <v>0</v>
      </c>
      <c r="G1557">
        <v>0.1</v>
      </c>
      <c r="H1557" t="s">
        <v>622</v>
      </c>
      <c r="J1557" t="s">
        <v>623</v>
      </c>
      <c r="K1557" s="1"/>
      <c r="L1557" s="1">
        <v>46105.7893287037</v>
      </c>
      <c r="M1557" s="2">
        <v>46105</v>
      </c>
      <c r="N1557" t="s">
        <v>636</v>
      </c>
      <c r="O1557" t="s">
        <v>625</v>
      </c>
      <c r="P1557">
        <v>1</v>
      </c>
      <c r="Q1557">
        <v>0</v>
      </c>
      <c r="R1557">
        <v>30.45</v>
      </c>
      <c r="S1557" t="s">
        <v>571</v>
      </c>
      <c r="T1557" t="s">
        <v>778</v>
      </c>
    </row>
    <row r="1558" spans="1:20" x14ac:dyDescent="0.3">
      <c r="A1558">
        <v>1557</v>
      </c>
      <c r="B1558">
        <v>38</v>
      </c>
      <c r="C1558">
        <v>3</v>
      </c>
      <c r="D1558">
        <v>22.66</v>
      </c>
      <c r="E1558">
        <v>2.27</v>
      </c>
      <c r="F1558">
        <v>0</v>
      </c>
      <c r="G1558">
        <v>0.1</v>
      </c>
      <c r="H1558" t="s">
        <v>622</v>
      </c>
      <c r="J1558" t="s">
        <v>623</v>
      </c>
      <c r="K1558" s="1"/>
      <c r="L1558" s="1">
        <v>46106.491898148146</v>
      </c>
      <c r="M1558" s="2">
        <v>46106</v>
      </c>
      <c r="N1558" t="s">
        <v>636</v>
      </c>
      <c r="O1558" t="s">
        <v>625</v>
      </c>
      <c r="P1558">
        <v>1</v>
      </c>
      <c r="Q1558">
        <v>0</v>
      </c>
      <c r="R1558">
        <v>22.66</v>
      </c>
      <c r="S1558" t="s">
        <v>72</v>
      </c>
      <c r="T1558" t="s">
        <v>777</v>
      </c>
    </row>
    <row r="1559" spans="1:20" x14ac:dyDescent="0.3">
      <c r="A1559">
        <v>1558</v>
      </c>
      <c r="B1559">
        <v>251</v>
      </c>
      <c r="C1559">
        <v>4</v>
      </c>
      <c r="D1559">
        <v>31.12</v>
      </c>
      <c r="E1559">
        <v>3.11</v>
      </c>
      <c r="F1559">
        <v>0</v>
      </c>
      <c r="G1559">
        <v>0.1</v>
      </c>
      <c r="H1559" t="s">
        <v>622</v>
      </c>
      <c r="J1559" t="s">
        <v>623</v>
      </c>
      <c r="K1559" s="1"/>
      <c r="L1559" s="1">
        <v>46106.64943287037</v>
      </c>
      <c r="M1559" s="2">
        <v>46106</v>
      </c>
      <c r="N1559" t="s">
        <v>636</v>
      </c>
      <c r="O1559" t="s">
        <v>625</v>
      </c>
      <c r="P1559">
        <v>1</v>
      </c>
      <c r="Q1559">
        <v>0</v>
      </c>
      <c r="R1559">
        <v>31.12</v>
      </c>
      <c r="S1559" t="s">
        <v>497</v>
      </c>
      <c r="T1559" t="s">
        <v>778</v>
      </c>
    </row>
    <row r="1560" spans="1:20" x14ac:dyDescent="0.3">
      <c r="A1560">
        <v>1559</v>
      </c>
      <c r="B1560">
        <v>202</v>
      </c>
      <c r="C1560">
        <v>4</v>
      </c>
      <c r="D1560">
        <v>16.75</v>
      </c>
      <c r="E1560">
        <v>1.68</v>
      </c>
      <c r="F1560">
        <v>0</v>
      </c>
      <c r="G1560">
        <v>0.1</v>
      </c>
      <c r="H1560" t="s">
        <v>622</v>
      </c>
      <c r="J1560" t="s">
        <v>623</v>
      </c>
      <c r="K1560" s="1"/>
      <c r="L1560" s="1">
        <v>46106.649837962963</v>
      </c>
      <c r="M1560" s="2">
        <v>46106</v>
      </c>
      <c r="N1560" t="s">
        <v>636</v>
      </c>
      <c r="O1560" t="s">
        <v>625</v>
      </c>
      <c r="P1560">
        <v>1</v>
      </c>
      <c r="Q1560">
        <v>0</v>
      </c>
      <c r="R1560">
        <v>16.75</v>
      </c>
      <c r="S1560" t="s">
        <v>399</v>
      </c>
      <c r="T1560" t="s">
        <v>778</v>
      </c>
    </row>
    <row r="1561" spans="1:20" x14ac:dyDescent="0.3">
      <c r="A1561">
        <v>1560</v>
      </c>
      <c r="B1561">
        <v>261</v>
      </c>
      <c r="C1561">
        <v>3</v>
      </c>
      <c r="D1561">
        <v>93.36</v>
      </c>
      <c r="E1561">
        <v>9.34</v>
      </c>
      <c r="F1561">
        <v>0</v>
      </c>
      <c r="G1561">
        <v>0.1</v>
      </c>
      <c r="H1561" t="s">
        <v>622</v>
      </c>
      <c r="J1561" t="s">
        <v>623</v>
      </c>
      <c r="K1561" s="1"/>
      <c r="L1561" s="1">
        <v>46106.66646990741</v>
      </c>
      <c r="M1561" s="2">
        <v>46106</v>
      </c>
      <c r="N1561" t="s">
        <v>636</v>
      </c>
      <c r="O1561" t="s">
        <v>625</v>
      </c>
      <c r="P1561">
        <v>1</v>
      </c>
      <c r="Q1561">
        <v>0</v>
      </c>
      <c r="R1561">
        <v>93.36</v>
      </c>
      <c r="S1561" t="s">
        <v>517</v>
      </c>
      <c r="T1561" t="s">
        <v>777</v>
      </c>
    </row>
    <row r="1562" spans="1:20" x14ac:dyDescent="0.3">
      <c r="A1562">
        <v>1561</v>
      </c>
      <c r="B1562">
        <v>175</v>
      </c>
      <c r="C1562">
        <v>2</v>
      </c>
      <c r="D1562">
        <v>28.96</v>
      </c>
      <c r="E1562">
        <v>2.9</v>
      </c>
      <c r="F1562">
        <v>0</v>
      </c>
      <c r="G1562">
        <v>0.1</v>
      </c>
      <c r="H1562" t="s">
        <v>622</v>
      </c>
      <c r="J1562" t="s">
        <v>623</v>
      </c>
      <c r="K1562" s="1"/>
      <c r="L1562" s="1">
        <v>46106.673078703701</v>
      </c>
      <c r="M1562" s="2">
        <v>46106</v>
      </c>
      <c r="N1562" t="s">
        <v>636</v>
      </c>
      <c r="O1562" t="s">
        <v>625</v>
      </c>
      <c r="P1562">
        <v>1</v>
      </c>
      <c r="Q1562">
        <v>0</v>
      </c>
      <c r="R1562">
        <v>28.96</v>
      </c>
      <c r="S1562" t="s">
        <v>345</v>
      </c>
      <c r="T1562" t="s">
        <v>776</v>
      </c>
    </row>
    <row r="1563" spans="1:20" x14ac:dyDescent="0.3">
      <c r="A1563">
        <v>1562</v>
      </c>
      <c r="B1563">
        <v>245</v>
      </c>
      <c r="C1563">
        <v>3</v>
      </c>
      <c r="D1563">
        <v>34.270000000000003</v>
      </c>
      <c r="E1563">
        <v>3.43</v>
      </c>
      <c r="F1563">
        <v>0</v>
      </c>
      <c r="G1563">
        <v>0.1</v>
      </c>
      <c r="H1563" t="s">
        <v>622</v>
      </c>
      <c r="J1563" t="s">
        <v>623</v>
      </c>
      <c r="K1563" s="1"/>
      <c r="L1563" s="1">
        <v>46106.763379629629</v>
      </c>
      <c r="M1563" s="2">
        <v>46106</v>
      </c>
      <c r="N1563" t="s">
        <v>636</v>
      </c>
      <c r="O1563" t="s">
        <v>625</v>
      </c>
      <c r="P1563">
        <v>1</v>
      </c>
      <c r="Q1563">
        <v>0</v>
      </c>
      <c r="R1563">
        <v>34.270000000000003</v>
      </c>
      <c r="S1563" t="s">
        <v>485</v>
      </c>
      <c r="T1563" t="s">
        <v>777</v>
      </c>
    </row>
    <row r="1564" spans="1:20" x14ac:dyDescent="0.3">
      <c r="A1564">
        <v>1563</v>
      </c>
      <c r="B1564">
        <v>109</v>
      </c>
      <c r="C1564">
        <v>5</v>
      </c>
      <c r="D1564">
        <v>193.87</v>
      </c>
      <c r="E1564">
        <v>19.39</v>
      </c>
      <c r="F1564">
        <v>0</v>
      </c>
      <c r="G1564">
        <v>0.1</v>
      </c>
      <c r="H1564" t="s">
        <v>622</v>
      </c>
      <c r="J1564" t="s">
        <v>623</v>
      </c>
      <c r="K1564" s="1"/>
      <c r="L1564" s="1">
        <v>46106.769108796296</v>
      </c>
      <c r="M1564" s="2">
        <v>46106</v>
      </c>
      <c r="N1564" t="s">
        <v>636</v>
      </c>
      <c r="O1564" t="s">
        <v>625</v>
      </c>
      <c r="P1564">
        <v>1</v>
      </c>
      <c r="Q1564">
        <v>0</v>
      </c>
      <c r="R1564">
        <v>193.87</v>
      </c>
      <c r="S1564" t="s">
        <v>213</v>
      </c>
      <c r="T1564" t="s">
        <v>779</v>
      </c>
    </row>
    <row r="1565" spans="1:20" x14ac:dyDescent="0.3">
      <c r="A1565">
        <v>1564</v>
      </c>
      <c r="B1565">
        <v>16</v>
      </c>
      <c r="C1565">
        <v>2</v>
      </c>
      <c r="D1565">
        <v>190.12</v>
      </c>
      <c r="E1565">
        <v>19.010000000000002</v>
      </c>
      <c r="F1565">
        <v>0</v>
      </c>
      <c r="G1565">
        <v>0.1</v>
      </c>
      <c r="H1565" t="s">
        <v>622</v>
      </c>
      <c r="J1565" t="s">
        <v>623</v>
      </c>
      <c r="K1565" s="1"/>
      <c r="L1565" s="1">
        <v>46107.323773148149</v>
      </c>
      <c r="M1565" s="2">
        <v>46107</v>
      </c>
      <c r="N1565" t="s">
        <v>636</v>
      </c>
      <c r="O1565" t="s">
        <v>625</v>
      </c>
      <c r="P1565">
        <v>1</v>
      </c>
      <c r="Q1565">
        <v>0</v>
      </c>
      <c r="R1565">
        <v>190.12</v>
      </c>
      <c r="S1565" t="s">
        <v>28</v>
      </c>
      <c r="T1565" t="s">
        <v>776</v>
      </c>
    </row>
    <row r="1566" spans="1:20" x14ac:dyDescent="0.3">
      <c r="A1566">
        <v>1565</v>
      </c>
      <c r="B1566">
        <v>18</v>
      </c>
      <c r="C1566">
        <v>2</v>
      </c>
      <c r="D1566">
        <v>73.010000000000005</v>
      </c>
      <c r="E1566">
        <v>7.3</v>
      </c>
      <c r="F1566">
        <v>0</v>
      </c>
      <c r="G1566">
        <v>0.1</v>
      </c>
      <c r="H1566" t="s">
        <v>622</v>
      </c>
      <c r="J1566" t="s">
        <v>623</v>
      </c>
      <c r="K1566" s="1"/>
      <c r="L1566" s="1">
        <v>46107.355023148149</v>
      </c>
      <c r="M1566" s="2">
        <v>46107</v>
      </c>
      <c r="N1566" t="s">
        <v>636</v>
      </c>
      <c r="O1566" t="s">
        <v>625</v>
      </c>
      <c r="P1566">
        <v>1</v>
      </c>
      <c r="Q1566">
        <v>0</v>
      </c>
      <c r="R1566">
        <v>73.010000000000005</v>
      </c>
      <c r="S1566" t="s">
        <v>32</v>
      </c>
      <c r="T1566" t="s">
        <v>776</v>
      </c>
    </row>
    <row r="1567" spans="1:20" x14ac:dyDescent="0.3">
      <c r="A1567">
        <v>1566</v>
      </c>
      <c r="B1567">
        <v>101</v>
      </c>
      <c r="C1567">
        <v>2</v>
      </c>
      <c r="D1567">
        <v>25.25</v>
      </c>
      <c r="E1567">
        <v>2.5299999999999998</v>
      </c>
      <c r="F1567">
        <v>0</v>
      </c>
      <c r="G1567">
        <v>0.1</v>
      </c>
      <c r="H1567" t="s">
        <v>622</v>
      </c>
      <c r="J1567" t="s">
        <v>623</v>
      </c>
      <c r="K1567" s="1"/>
      <c r="L1567" s="1">
        <v>46107.368807870371</v>
      </c>
      <c r="M1567" s="2">
        <v>46107</v>
      </c>
      <c r="N1567" t="s">
        <v>636</v>
      </c>
      <c r="O1567" t="s">
        <v>625</v>
      </c>
      <c r="P1567">
        <v>1</v>
      </c>
      <c r="Q1567">
        <v>0</v>
      </c>
      <c r="R1567">
        <v>25.25</v>
      </c>
      <c r="S1567" t="s">
        <v>197</v>
      </c>
      <c r="T1567" t="s">
        <v>776</v>
      </c>
    </row>
    <row r="1568" spans="1:20" x14ac:dyDescent="0.3">
      <c r="A1568">
        <v>1567</v>
      </c>
      <c r="B1568">
        <v>122</v>
      </c>
      <c r="C1568">
        <v>5</v>
      </c>
      <c r="D1568">
        <v>232.1</v>
      </c>
      <c r="E1568">
        <v>23.21</v>
      </c>
      <c r="F1568">
        <v>0</v>
      </c>
      <c r="G1568">
        <v>0.1</v>
      </c>
      <c r="H1568" t="s">
        <v>622</v>
      </c>
      <c r="J1568" t="s">
        <v>623</v>
      </c>
      <c r="K1568" s="1"/>
      <c r="L1568" s="1">
        <v>46107.413865740738</v>
      </c>
      <c r="M1568" s="2">
        <v>46107</v>
      </c>
      <c r="N1568" t="s">
        <v>636</v>
      </c>
      <c r="O1568" t="s">
        <v>625</v>
      </c>
      <c r="P1568">
        <v>1</v>
      </c>
      <c r="Q1568">
        <v>0</v>
      </c>
      <c r="R1568">
        <v>232.1</v>
      </c>
      <c r="S1568" t="s">
        <v>239</v>
      </c>
      <c r="T1568" t="s">
        <v>779</v>
      </c>
    </row>
    <row r="1569" spans="1:20" x14ac:dyDescent="0.3">
      <c r="A1569">
        <v>1568</v>
      </c>
      <c r="B1569">
        <v>243</v>
      </c>
      <c r="C1569">
        <v>3</v>
      </c>
      <c r="D1569">
        <v>44.6</v>
      </c>
      <c r="E1569">
        <v>4.46</v>
      </c>
      <c r="F1569">
        <v>0</v>
      </c>
      <c r="G1569">
        <v>0.1</v>
      </c>
      <c r="H1569" t="s">
        <v>622</v>
      </c>
      <c r="J1569" t="s">
        <v>623</v>
      </c>
      <c r="K1569" s="1"/>
      <c r="L1569" s="1">
        <v>46107.76766203704</v>
      </c>
      <c r="M1569" s="2">
        <v>46107</v>
      </c>
      <c r="N1569" t="s">
        <v>636</v>
      </c>
      <c r="O1569" t="s">
        <v>625</v>
      </c>
      <c r="P1569">
        <v>1</v>
      </c>
      <c r="Q1569">
        <v>0</v>
      </c>
      <c r="R1569">
        <v>44.6</v>
      </c>
      <c r="S1569" t="s">
        <v>481</v>
      </c>
      <c r="T1569" t="s">
        <v>777</v>
      </c>
    </row>
    <row r="1570" spans="1:20" x14ac:dyDescent="0.3">
      <c r="A1570">
        <v>1569</v>
      </c>
      <c r="B1570">
        <v>61</v>
      </c>
      <c r="C1570">
        <v>2</v>
      </c>
      <c r="D1570">
        <v>189.01</v>
      </c>
      <c r="E1570">
        <v>18.899999999999999</v>
      </c>
      <c r="F1570">
        <v>0</v>
      </c>
      <c r="G1570">
        <v>0.1</v>
      </c>
      <c r="H1570" t="s">
        <v>622</v>
      </c>
      <c r="J1570" t="s">
        <v>623</v>
      </c>
      <c r="K1570" s="1"/>
      <c r="L1570" s="1">
        <v>46108.3358912037</v>
      </c>
      <c r="M1570" s="2">
        <v>46108</v>
      </c>
      <c r="N1570" t="s">
        <v>636</v>
      </c>
      <c r="O1570" t="s">
        <v>625</v>
      </c>
      <c r="P1570">
        <v>1</v>
      </c>
      <c r="Q1570">
        <v>0</v>
      </c>
      <c r="R1570">
        <v>189.01</v>
      </c>
      <c r="S1570" t="s">
        <v>118</v>
      </c>
      <c r="T1570" t="s">
        <v>776</v>
      </c>
    </row>
    <row r="1571" spans="1:20" x14ac:dyDescent="0.3">
      <c r="A1571">
        <v>1570</v>
      </c>
      <c r="B1571">
        <v>72</v>
      </c>
      <c r="C1571">
        <v>4</v>
      </c>
      <c r="D1571">
        <v>31.95</v>
      </c>
      <c r="E1571">
        <v>3.2</v>
      </c>
      <c r="F1571">
        <v>0</v>
      </c>
      <c r="G1571">
        <v>0.1</v>
      </c>
      <c r="H1571" t="s">
        <v>622</v>
      </c>
      <c r="J1571" t="s">
        <v>623</v>
      </c>
      <c r="K1571" s="1"/>
      <c r="L1571" s="1">
        <v>46108.365925925929</v>
      </c>
      <c r="M1571" s="2">
        <v>46108</v>
      </c>
      <c r="N1571" t="s">
        <v>636</v>
      </c>
      <c r="O1571" t="s">
        <v>625</v>
      </c>
      <c r="P1571">
        <v>1</v>
      </c>
      <c r="Q1571">
        <v>0</v>
      </c>
      <c r="R1571">
        <v>31.95</v>
      </c>
      <c r="S1571" t="s">
        <v>140</v>
      </c>
      <c r="T1571" t="s">
        <v>778</v>
      </c>
    </row>
    <row r="1572" spans="1:20" x14ac:dyDescent="0.3">
      <c r="A1572">
        <v>1571</v>
      </c>
      <c r="B1572">
        <v>200</v>
      </c>
      <c r="C1572">
        <v>3</v>
      </c>
      <c r="D1572">
        <v>20.67</v>
      </c>
      <c r="E1572">
        <v>2.0699999999999998</v>
      </c>
      <c r="F1572">
        <v>0</v>
      </c>
      <c r="G1572">
        <v>0.1</v>
      </c>
      <c r="H1572" t="s">
        <v>622</v>
      </c>
      <c r="J1572" t="s">
        <v>623</v>
      </c>
      <c r="K1572" s="1"/>
      <c r="L1572" s="1">
        <v>46108.392002314817</v>
      </c>
      <c r="M1572" s="2">
        <v>46108</v>
      </c>
      <c r="N1572" t="s">
        <v>636</v>
      </c>
      <c r="O1572" t="s">
        <v>625</v>
      </c>
      <c r="P1572">
        <v>1</v>
      </c>
      <c r="Q1572">
        <v>0</v>
      </c>
      <c r="R1572">
        <v>20.67</v>
      </c>
      <c r="S1572" t="s">
        <v>395</v>
      </c>
      <c r="T1572" t="s">
        <v>777</v>
      </c>
    </row>
    <row r="1573" spans="1:20" x14ac:dyDescent="0.3">
      <c r="A1573">
        <v>1572</v>
      </c>
      <c r="B1573">
        <v>132</v>
      </c>
      <c r="C1573">
        <v>4</v>
      </c>
      <c r="D1573">
        <v>161.97</v>
      </c>
      <c r="E1573">
        <v>16.2</v>
      </c>
      <c r="F1573">
        <v>0</v>
      </c>
      <c r="G1573">
        <v>0.1</v>
      </c>
      <c r="H1573" t="s">
        <v>622</v>
      </c>
      <c r="J1573" t="s">
        <v>623</v>
      </c>
      <c r="K1573" s="1"/>
      <c r="L1573" s="1">
        <v>46108.443831018521</v>
      </c>
      <c r="M1573" s="2">
        <v>46108</v>
      </c>
      <c r="N1573" t="s">
        <v>636</v>
      </c>
      <c r="O1573" t="s">
        <v>625</v>
      </c>
      <c r="P1573">
        <v>1</v>
      </c>
      <c r="Q1573">
        <v>0</v>
      </c>
      <c r="R1573">
        <v>161.97</v>
      </c>
      <c r="S1573" t="s">
        <v>259</v>
      </c>
      <c r="T1573" t="s">
        <v>778</v>
      </c>
    </row>
    <row r="1574" spans="1:20" x14ac:dyDescent="0.3">
      <c r="A1574">
        <v>1573</v>
      </c>
      <c r="B1574">
        <v>137</v>
      </c>
      <c r="C1574">
        <v>4</v>
      </c>
      <c r="D1574">
        <v>26.13</v>
      </c>
      <c r="E1574">
        <v>0</v>
      </c>
      <c r="F1574">
        <v>1</v>
      </c>
      <c r="G1574">
        <v>0.1</v>
      </c>
      <c r="H1574" t="s">
        <v>622</v>
      </c>
      <c r="J1574" t="s">
        <v>623</v>
      </c>
      <c r="K1574" s="1"/>
      <c r="L1574" s="1">
        <v>46108.469872685186</v>
      </c>
      <c r="M1574" s="2">
        <v>46108</v>
      </c>
      <c r="N1574" t="s">
        <v>636</v>
      </c>
      <c r="O1574" t="s">
        <v>629</v>
      </c>
      <c r="P1574">
        <v>1</v>
      </c>
      <c r="Q1574">
        <v>0</v>
      </c>
      <c r="R1574">
        <v>26.13</v>
      </c>
      <c r="S1574" t="s">
        <v>269</v>
      </c>
      <c r="T1574" t="s">
        <v>778</v>
      </c>
    </row>
    <row r="1575" spans="1:20" x14ac:dyDescent="0.3">
      <c r="A1575">
        <v>1574</v>
      </c>
      <c r="B1575">
        <v>98</v>
      </c>
      <c r="C1575">
        <v>5</v>
      </c>
      <c r="D1575">
        <v>162.97999999999999</v>
      </c>
      <c r="E1575">
        <v>16.3</v>
      </c>
      <c r="F1575">
        <v>0</v>
      </c>
      <c r="G1575">
        <v>0.1</v>
      </c>
      <c r="H1575" t="s">
        <v>622</v>
      </c>
      <c r="J1575" t="s">
        <v>623</v>
      </c>
      <c r="K1575" s="1"/>
      <c r="L1575" s="1">
        <v>46108.500509259262</v>
      </c>
      <c r="M1575" s="2">
        <v>46108</v>
      </c>
      <c r="N1575" t="s">
        <v>636</v>
      </c>
      <c r="O1575" t="s">
        <v>625</v>
      </c>
      <c r="P1575">
        <v>1</v>
      </c>
      <c r="Q1575">
        <v>0</v>
      </c>
      <c r="R1575">
        <v>162.97999999999999</v>
      </c>
      <c r="S1575" t="s">
        <v>191</v>
      </c>
      <c r="T1575" t="s">
        <v>779</v>
      </c>
    </row>
    <row r="1576" spans="1:20" x14ac:dyDescent="0.3">
      <c r="A1576">
        <v>1575</v>
      </c>
      <c r="B1576">
        <v>243</v>
      </c>
      <c r="C1576">
        <v>2</v>
      </c>
      <c r="D1576">
        <v>26</v>
      </c>
      <c r="E1576">
        <v>2.6</v>
      </c>
      <c r="F1576">
        <v>0</v>
      </c>
      <c r="G1576">
        <v>0.1</v>
      </c>
      <c r="H1576" t="s">
        <v>622</v>
      </c>
      <c r="J1576" t="s">
        <v>623</v>
      </c>
      <c r="K1576" s="1"/>
      <c r="L1576" s="1">
        <v>46108.507071759261</v>
      </c>
      <c r="M1576" s="2">
        <v>46108</v>
      </c>
      <c r="N1576" t="s">
        <v>636</v>
      </c>
      <c r="O1576" t="s">
        <v>625</v>
      </c>
      <c r="P1576">
        <v>1</v>
      </c>
      <c r="Q1576">
        <v>0</v>
      </c>
      <c r="R1576">
        <v>26</v>
      </c>
      <c r="S1576" t="s">
        <v>481</v>
      </c>
      <c r="T1576" t="s">
        <v>776</v>
      </c>
    </row>
    <row r="1577" spans="1:20" x14ac:dyDescent="0.3">
      <c r="A1577">
        <v>1576</v>
      </c>
      <c r="B1577">
        <v>215</v>
      </c>
      <c r="C1577">
        <v>4</v>
      </c>
      <c r="D1577">
        <v>36.53</v>
      </c>
      <c r="E1577">
        <v>3.65</v>
      </c>
      <c r="F1577">
        <v>0</v>
      </c>
      <c r="G1577">
        <v>0.1</v>
      </c>
      <c r="H1577" t="s">
        <v>626</v>
      </c>
      <c r="I1577">
        <v>3</v>
      </c>
      <c r="J1577" t="s">
        <v>631</v>
      </c>
      <c r="K1577" s="1">
        <v>46109.641712962963</v>
      </c>
      <c r="L1577" s="1">
        <v>46108.516712962963</v>
      </c>
      <c r="M1577" s="2">
        <v>46108</v>
      </c>
      <c r="N1577" t="s">
        <v>636</v>
      </c>
      <c r="O1577" t="s">
        <v>625</v>
      </c>
      <c r="P1577">
        <v>1</v>
      </c>
      <c r="Q1577">
        <v>1</v>
      </c>
      <c r="R1577">
        <v>0</v>
      </c>
      <c r="S1577" t="s">
        <v>425</v>
      </c>
      <c r="T1577" t="s">
        <v>778</v>
      </c>
    </row>
    <row r="1578" spans="1:20" x14ac:dyDescent="0.3">
      <c r="A1578">
        <v>1577</v>
      </c>
      <c r="B1578">
        <v>156</v>
      </c>
      <c r="C1578">
        <v>3</v>
      </c>
      <c r="D1578">
        <v>30.9</v>
      </c>
      <c r="E1578">
        <v>3.09</v>
      </c>
      <c r="F1578">
        <v>0</v>
      </c>
      <c r="G1578">
        <v>0.1</v>
      </c>
      <c r="H1578" t="s">
        <v>622</v>
      </c>
      <c r="J1578" t="s">
        <v>623</v>
      </c>
      <c r="K1578" s="1"/>
      <c r="L1578" s="1">
        <v>46108.576157407406</v>
      </c>
      <c r="M1578" s="2">
        <v>46108</v>
      </c>
      <c r="N1578" t="s">
        <v>636</v>
      </c>
      <c r="O1578" t="s">
        <v>625</v>
      </c>
      <c r="P1578">
        <v>1</v>
      </c>
      <c r="Q1578">
        <v>0</v>
      </c>
      <c r="R1578">
        <v>30.9</v>
      </c>
      <c r="S1578" t="s">
        <v>307</v>
      </c>
      <c r="T1578" t="s">
        <v>777</v>
      </c>
    </row>
    <row r="1579" spans="1:20" x14ac:dyDescent="0.3">
      <c r="A1579">
        <v>1578</v>
      </c>
      <c r="B1579">
        <v>290</v>
      </c>
      <c r="C1579">
        <v>4</v>
      </c>
      <c r="D1579">
        <v>24.34</v>
      </c>
      <c r="E1579">
        <v>2.4300000000000002</v>
      </c>
      <c r="F1579">
        <v>0</v>
      </c>
      <c r="G1579">
        <v>0.1</v>
      </c>
      <c r="H1579" t="s">
        <v>622</v>
      </c>
      <c r="J1579" t="s">
        <v>623</v>
      </c>
      <c r="K1579" s="1"/>
      <c r="L1579" s="1">
        <v>46108.596134259256</v>
      </c>
      <c r="M1579" s="2">
        <v>46108</v>
      </c>
      <c r="N1579" t="s">
        <v>636</v>
      </c>
      <c r="O1579" t="s">
        <v>625</v>
      </c>
      <c r="P1579">
        <v>1</v>
      </c>
      <c r="Q1579">
        <v>0</v>
      </c>
      <c r="R1579">
        <v>24.34</v>
      </c>
      <c r="S1579" t="s">
        <v>575</v>
      </c>
      <c r="T1579" t="s">
        <v>778</v>
      </c>
    </row>
    <row r="1580" spans="1:20" x14ac:dyDescent="0.3">
      <c r="A1580">
        <v>1579</v>
      </c>
      <c r="B1580">
        <v>125</v>
      </c>
      <c r="C1580">
        <v>3</v>
      </c>
      <c r="D1580">
        <v>37.049999999999997</v>
      </c>
      <c r="E1580">
        <v>3.71</v>
      </c>
      <c r="F1580">
        <v>0</v>
      </c>
      <c r="G1580">
        <v>0.1</v>
      </c>
      <c r="H1580" t="s">
        <v>622</v>
      </c>
      <c r="J1580" t="s">
        <v>623</v>
      </c>
      <c r="K1580" s="1"/>
      <c r="L1580" s="1">
        <v>46108.613981481481</v>
      </c>
      <c r="M1580" s="2">
        <v>46108</v>
      </c>
      <c r="N1580" t="s">
        <v>636</v>
      </c>
      <c r="O1580" t="s">
        <v>625</v>
      </c>
      <c r="P1580">
        <v>1</v>
      </c>
      <c r="Q1580">
        <v>0</v>
      </c>
      <c r="R1580">
        <v>37.049999999999997</v>
      </c>
      <c r="S1580" t="s">
        <v>245</v>
      </c>
      <c r="T1580" t="s">
        <v>777</v>
      </c>
    </row>
    <row r="1581" spans="1:20" x14ac:dyDescent="0.3">
      <c r="A1581">
        <v>1580</v>
      </c>
      <c r="B1581">
        <v>132</v>
      </c>
      <c r="C1581">
        <v>2</v>
      </c>
      <c r="D1581">
        <v>183.15</v>
      </c>
      <c r="E1581">
        <v>18.32</v>
      </c>
      <c r="F1581">
        <v>0</v>
      </c>
      <c r="G1581">
        <v>0.1</v>
      </c>
      <c r="H1581" t="s">
        <v>622</v>
      </c>
      <c r="J1581" t="s">
        <v>623</v>
      </c>
      <c r="K1581" s="1"/>
      <c r="L1581" s="1">
        <v>46108.65215277778</v>
      </c>
      <c r="M1581" s="2">
        <v>46108</v>
      </c>
      <c r="N1581" t="s">
        <v>636</v>
      </c>
      <c r="O1581" t="s">
        <v>625</v>
      </c>
      <c r="P1581">
        <v>1</v>
      </c>
      <c r="Q1581">
        <v>0</v>
      </c>
      <c r="R1581">
        <v>183.15</v>
      </c>
      <c r="S1581" t="s">
        <v>259</v>
      </c>
      <c r="T1581" t="s">
        <v>776</v>
      </c>
    </row>
    <row r="1582" spans="1:20" x14ac:dyDescent="0.3">
      <c r="A1582">
        <v>1581</v>
      </c>
      <c r="B1582">
        <v>56</v>
      </c>
      <c r="C1582">
        <v>5</v>
      </c>
      <c r="D1582">
        <v>83.5</v>
      </c>
      <c r="E1582">
        <v>8.35</v>
      </c>
      <c r="F1582">
        <v>0</v>
      </c>
      <c r="G1582">
        <v>0.1</v>
      </c>
      <c r="H1582" t="s">
        <v>622</v>
      </c>
      <c r="J1582" t="s">
        <v>623</v>
      </c>
      <c r="K1582" s="1"/>
      <c r="L1582" s="1">
        <v>46108.666574074072</v>
      </c>
      <c r="M1582" s="2">
        <v>46108</v>
      </c>
      <c r="N1582" t="s">
        <v>636</v>
      </c>
      <c r="O1582" t="s">
        <v>625</v>
      </c>
      <c r="P1582">
        <v>1</v>
      </c>
      <c r="Q1582">
        <v>0</v>
      </c>
      <c r="R1582">
        <v>83.5</v>
      </c>
      <c r="S1582" t="s">
        <v>108</v>
      </c>
      <c r="T1582" t="s">
        <v>779</v>
      </c>
    </row>
    <row r="1583" spans="1:20" x14ac:dyDescent="0.3">
      <c r="A1583">
        <v>1582</v>
      </c>
      <c r="B1583">
        <v>136</v>
      </c>
      <c r="C1583">
        <v>3</v>
      </c>
      <c r="D1583">
        <v>38.53</v>
      </c>
      <c r="E1583">
        <v>3.85</v>
      </c>
      <c r="F1583">
        <v>0</v>
      </c>
      <c r="G1583">
        <v>0.1</v>
      </c>
      <c r="H1583" t="s">
        <v>622</v>
      </c>
      <c r="J1583" t="s">
        <v>623</v>
      </c>
      <c r="K1583" s="1"/>
      <c r="L1583" s="1">
        <v>46108.696226851855</v>
      </c>
      <c r="M1583" s="2">
        <v>46108</v>
      </c>
      <c r="N1583" t="s">
        <v>636</v>
      </c>
      <c r="O1583" t="s">
        <v>625</v>
      </c>
      <c r="P1583">
        <v>1</v>
      </c>
      <c r="Q1583">
        <v>0</v>
      </c>
      <c r="R1583">
        <v>38.53</v>
      </c>
      <c r="S1583" t="s">
        <v>267</v>
      </c>
      <c r="T1583" t="s">
        <v>777</v>
      </c>
    </row>
    <row r="1584" spans="1:20" x14ac:dyDescent="0.3">
      <c r="A1584">
        <v>1583</v>
      </c>
      <c r="B1584">
        <v>261</v>
      </c>
      <c r="C1584">
        <v>4</v>
      </c>
      <c r="D1584">
        <v>155.54</v>
      </c>
      <c r="E1584">
        <v>15.55</v>
      </c>
      <c r="F1584">
        <v>0</v>
      </c>
      <c r="G1584">
        <v>0.1</v>
      </c>
      <c r="H1584" t="s">
        <v>622</v>
      </c>
      <c r="J1584" t="s">
        <v>623</v>
      </c>
      <c r="K1584" s="1"/>
      <c r="L1584" s="1">
        <v>46108.77175925926</v>
      </c>
      <c r="M1584" s="2">
        <v>46108</v>
      </c>
      <c r="N1584" t="s">
        <v>636</v>
      </c>
      <c r="O1584" t="s">
        <v>625</v>
      </c>
      <c r="P1584">
        <v>1</v>
      </c>
      <c r="Q1584">
        <v>0</v>
      </c>
      <c r="R1584">
        <v>155.54</v>
      </c>
      <c r="S1584" t="s">
        <v>517</v>
      </c>
      <c r="T1584" t="s">
        <v>778</v>
      </c>
    </row>
    <row r="1585" spans="1:20" x14ac:dyDescent="0.3">
      <c r="A1585">
        <v>1584</v>
      </c>
      <c r="B1585">
        <v>70</v>
      </c>
      <c r="C1585">
        <v>4</v>
      </c>
      <c r="D1585">
        <v>118.4</v>
      </c>
      <c r="E1585">
        <v>11.84</v>
      </c>
      <c r="F1585">
        <v>0</v>
      </c>
      <c r="G1585">
        <v>0.1</v>
      </c>
      <c r="H1585" t="s">
        <v>622</v>
      </c>
      <c r="J1585" t="s">
        <v>623</v>
      </c>
      <c r="K1585" s="1"/>
      <c r="L1585" s="1">
        <v>46108.820740740739</v>
      </c>
      <c r="M1585" s="2">
        <v>46108</v>
      </c>
      <c r="N1585" t="s">
        <v>636</v>
      </c>
      <c r="O1585" t="s">
        <v>625</v>
      </c>
      <c r="P1585">
        <v>1</v>
      </c>
      <c r="Q1585">
        <v>0</v>
      </c>
      <c r="R1585">
        <v>118.4</v>
      </c>
      <c r="S1585" t="s">
        <v>136</v>
      </c>
      <c r="T1585" t="s">
        <v>778</v>
      </c>
    </row>
    <row r="1586" spans="1:20" x14ac:dyDescent="0.3">
      <c r="A1586">
        <v>1585</v>
      </c>
      <c r="B1586">
        <v>282</v>
      </c>
      <c r="C1586">
        <v>3</v>
      </c>
      <c r="D1586">
        <v>139.72</v>
      </c>
      <c r="E1586">
        <v>13.97</v>
      </c>
      <c r="F1586">
        <v>0</v>
      </c>
      <c r="G1586">
        <v>0.1</v>
      </c>
      <c r="H1586" t="s">
        <v>622</v>
      </c>
      <c r="J1586" t="s">
        <v>623</v>
      </c>
      <c r="K1586" s="1"/>
      <c r="L1586" s="1">
        <v>46109.365717592591</v>
      </c>
      <c r="M1586" s="2">
        <v>46109</v>
      </c>
      <c r="N1586" t="s">
        <v>636</v>
      </c>
      <c r="O1586" t="s">
        <v>625</v>
      </c>
      <c r="P1586">
        <v>1</v>
      </c>
      <c r="Q1586">
        <v>0</v>
      </c>
      <c r="R1586">
        <v>139.72</v>
      </c>
      <c r="S1586" t="s">
        <v>559</v>
      </c>
      <c r="T1586" t="s">
        <v>777</v>
      </c>
    </row>
    <row r="1587" spans="1:20" x14ac:dyDescent="0.3">
      <c r="A1587">
        <v>1586</v>
      </c>
      <c r="B1587">
        <v>243</v>
      </c>
      <c r="C1587">
        <v>2</v>
      </c>
      <c r="D1587">
        <v>13.71</v>
      </c>
      <c r="E1587">
        <v>1.37</v>
      </c>
      <c r="F1587">
        <v>0</v>
      </c>
      <c r="G1587">
        <v>0.1</v>
      </c>
      <c r="H1587" t="s">
        <v>622</v>
      </c>
      <c r="J1587" t="s">
        <v>623</v>
      </c>
      <c r="K1587" s="1"/>
      <c r="L1587" s="1">
        <v>46109.37804398148</v>
      </c>
      <c r="M1587" s="2">
        <v>46109</v>
      </c>
      <c r="N1587" t="s">
        <v>636</v>
      </c>
      <c r="O1587" t="s">
        <v>625</v>
      </c>
      <c r="P1587">
        <v>1</v>
      </c>
      <c r="Q1587">
        <v>0</v>
      </c>
      <c r="R1587">
        <v>13.71</v>
      </c>
      <c r="S1587" t="s">
        <v>481</v>
      </c>
      <c r="T1587" t="s">
        <v>776</v>
      </c>
    </row>
    <row r="1588" spans="1:20" x14ac:dyDescent="0.3">
      <c r="A1588">
        <v>1587</v>
      </c>
      <c r="B1588">
        <v>176</v>
      </c>
      <c r="C1588">
        <v>2</v>
      </c>
      <c r="D1588">
        <v>151.06</v>
      </c>
      <c r="E1588">
        <v>15.11</v>
      </c>
      <c r="F1588">
        <v>0</v>
      </c>
      <c r="G1588">
        <v>0.1</v>
      </c>
      <c r="H1588" t="s">
        <v>622</v>
      </c>
      <c r="J1588" t="s">
        <v>623</v>
      </c>
      <c r="K1588" s="1"/>
      <c r="L1588" s="1">
        <v>46109.383599537039</v>
      </c>
      <c r="M1588" s="2">
        <v>46109</v>
      </c>
      <c r="N1588" t="s">
        <v>636</v>
      </c>
      <c r="O1588" t="s">
        <v>625</v>
      </c>
      <c r="P1588">
        <v>1</v>
      </c>
      <c r="Q1588">
        <v>0</v>
      </c>
      <c r="R1588">
        <v>151.06</v>
      </c>
      <c r="S1588" t="s">
        <v>347</v>
      </c>
      <c r="T1588" t="s">
        <v>776</v>
      </c>
    </row>
    <row r="1589" spans="1:20" x14ac:dyDescent="0.3">
      <c r="A1589">
        <v>1588</v>
      </c>
      <c r="B1589">
        <v>131</v>
      </c>
      <c r="C1589">
        <v>3</v>
      </c>
      <c r="D1589">
        <v>118.08</v>
      </c>
      <c r="E1589">
        <v>11.81</v>
      </c>
      <c r="F1589">
        <v>0</v>
      </c>
      <c r="G1589">
        <v>0.1</v>
      </c>
      <c r="H1589" t="s">
        <v>622</v>
      </c>
      <c r="J1589" t="s">
        <v>623</v>
      </c>
      <c r="K1589" s="1"/>
      <c r="L1589" s="1">
        <v>46109.387372685182</v>
      </c>
      <c r="M1589" s="2">
        <v>46109</v>
      </c>
      <c r="N1589" t="s">
        <v>636</v>
      </c>
      <c r="O1589" t="s">
        <v>625</v>
      </c>
      <c r="P1589">
        <v>1</v>
      </c>
      <c r="Q1589">
        <v>0</v>
      </c>
      <c r="R1589">
        <v>118.08</v>
      </c>
      <c r="S1589" t="s">
        <v>257</v>
      </c>
      <c r="T1589" t="s">
        <v>777</v>
      </c>
    </row>
    <row r="1590" spans="1:20" x14ac:dyDescent="0.3">
      <c r="A1590">
        <v>1589</v>
      </c>
      <c r="B1590">
        <v>137</v>
      </c>
      <c r="C1590">
        <v>4</v>
      </c>
      <c r="D1590">
        <v>34.79</v>
      </c>
      <c r="E1590">
        <v>3.48</v>
      </c>
      <c r="F1590">
        <v>0</v>
      </c>
      <c r="G1590">
        <v>0.1</v>
      </c>
      <c r="H1590" t="s">
        <v>622</v>
      </c>
      <c r="J1590" t="s">
        <v>623</v>
      </c>
      <c r="K1590" s="1"/>
      <c r="L1590" s="1">
        <v>46109.396319444444</v>
      </c>
      <c r="M1590" s="2">
        <v>46109</v>
      </c>
      <c r="N1590" t="s">
        <v>636</v>
      </c>
      <c r="O1590" t="s">
        <v>625</v>
      </c>
      <c r="P1590">
        <v>1</v>
      </c>
      <c r="Q1590">
        <v>0</v>
      </c>
      <c r="R1590">
        <v>34.79</v>
      </c>
      <c r="S1590" t="s">
        <v>269</v>
      </c>
      <c r="T1590" t="s">
        <v>778</v>
      </c>
    </row>
    <row r="1591" spans="1:20" x14ac:dyDescent="0.3">
      <c r="A1591">
        <v>1590</v>
      </c>
      <c r="B1591">
        <v>106</v>
      </c>
      <c r="C1591">
        <v>3</v>
      </c>
      <c r="D1591">
        <v>82.72</v>
      </c>
      <c r="E1591">
        <v>8.27</v>
      </c>
      <c r="F1591">
        <v>0</v>
      </c>
      <c r="G1591">
        <v>0.1</v>
      </c>
      <c r="H1591" t="s">
        <v>622</v>
      </c>
      <c r="J1591" t="s">
        <v>623</v>
      </c>
      <c r="K1591" s="1"/>
      <c r="L1591" s="1">
        <v>46109.402604166666</v>
      </c>
      <c r="M1591" s="2">
        <v>46109</v>
      </c>
      <c r="N1591" t="s">
        <v>636</v>
      </c>
      <c r="O1591" t="s">
        <v>625</v>
      </c>
      <c r="P1591">
        <v>1</v>
      </c>
      <c r="Q1591">
        <v>0</v>
      </c>
      <c r="R1591">
        <v>82.72</v>
      </c>
      <c r="S1591" t="s">
        <v>207</v>
      </c>
      <c r="T1591" t="s">
        <v>777</v>
      </c>
    </row>
    <row r="1592" spans="1:20" x14ac:dyDescent="0.3">
      <c r="A1592">
        <v>1591</v>
      </c>
      <c r="B1592">
        <v>89</v>
      </c>
      <c r="C1592">
        <v>2</v>
      </c>
      <c r="D1592">
        <v>126.85</v>
      </c>
      <c r="E1592">
        <v>12.69</v>
      </c>
      <c r="F1592">
        <v>0</v>
      </c>
      <c r="G1592">
        <v>0.1</v>
      </c>
      <c r="H1592" t="s">
        <v>622</v>
      </c>
      <c r="J1592" t="s">
        <v>623</v>
      </c>
      <c r="K1592" s="1"/>
      <c r="L1592" s="1">
        <v>46109.479502314818</v>
      </c>
      <c r="M1592" s="2">
        <v>46109</v>
      </c>
      <c r="N1592" t="s">
        <v>636</v>
      </c>
      <c r="O1592" t="s">
        <v>625</v>
      </c>
      <c r="P1592">
        <v>1</v>
      </c>
      <c r="Q1592">
        <v>0</v>
      </c>
      <c r="R1592">
        <v>126.85</v>
      </c>
      <c r="S1592" t="s">
        <v>173</v>
      </c>
      <c r="T1592" t="s">
        <v>776</v>
      </c>
    </row>
    <row r="1593" spans="1:20" x14ac:dyDescent="0.3">
      <c r="A1593">
        <v>1592</v>
      </c>
      <c r="B1593">
        <v>243</v>
      </c>
      <c r="C1593">
        <v>4</v>
      </c>
      <c r="D1593">
        <v>24.54</v>
      </c>
      <c r="E1593">
        <v>2.4500000000000002</v>
      </c>
      <c r="F1593">
        <v>0</v>
      </c>
      <c r="G1593">
        <v>0.1</v>
      </c>
      <c r="H1593" t="s">
        <v>622</v>
      </c>
      <c r="J1593" t="s">
        <v>623</v>
      </c>
      <c r="K1593" s="1"/>
      <c r="L1593" s="1">
        <v>46109.580995370372</v>
      </c>
      <c r="M1593" s="2">
        <v>46109</v>
      </c>
      <c r="N1593" t="s">
        <v>636</v>
      </c>
      <c r="O1593" t="s">
        <v>625</v>
      </c>
      <c r="P1593">
        <v>1</v>
      </c>
      <c r="Q1593">
        <v>0</v>
      </c>
      <c r="R1593">
        <v>24.54</v>
      </c>
      <c r="S1593" t="s">
        <v>481</v>
      </c>
      <c r="T1593" t="s">
        <v>778</v>
      </c>
    </row>
    <row r="1594" spans="1:20" x14ac:dyDescent="0.3">
      <c r="A1594">
        <v>1593</v>
      </c>
      <c r="B1594">
        <v>162</v>
      </c>
      <c r="C1594">
        <v>4</v>
      </c>
      <c r="D1594">
        <v>32.020000000000003</v>
      </c>
      <c r="E1594">
        <v>3.2</v>
      </c>
      <c r="F1594">
        <v>0</v>
      </c>
      <c r="G1594">
        <v>0.1</v>
      </c>
      <c r="H1594" t="s">
        <v>622</v>
      </c>
      <c r="J1594" t="s">
        <v>623</v>
      </c>
      <c r="K1594" s="1"/>
      <c r="L1594" s="1">
        <v>46109.594097222223</v>
      </c>
      <c r="M1594" s="2">
        <v>46109</v>
      </c>
      <c r="N1594" t="s">
        <v>636</v>
      </c>
      <c r="O1594" t="s">
        <v>625</v>
      </c>
      <c r="P1594">
        <v>1</v>
      </c>
      <c r="Q1594">
        <v>0</v>
      </c>
      <c r="R1594">
        <v>32.020000000000003</v>
      </c>
      <c r="S1594" t="s">
        <v>319</v>
      </c>
      <c r="T1594" t="s">
        <v>778</v>
      </c>
    </row>
    <row r="1595" spans="1:20" x14ac:dyDescent="0.3">
      <c r="A1595">
        <v>1594</v>
      </c>
      <c r="B1595">
        <v>101</v>
      </c>
      <c r="C1595">
        <v>3</v>
      </c>
      <c r="D1595">
        <v>38.07</v>
      </c>
      <c r="E1595">
        <v>3.81</v>
      </c>
      <c r="F1595">
        <v>0</v>
      </c>
      <c r="G1595">
        <v>0.1</v>
      </c>
      <c r="H1595" t="s">
        <v>622</v>
      </c>
      <c r="J1595" t="s">
        <v>623</v>
      </c>
      <c r="K1595" s="1"/>
      <c r="L1595" s="1">
        <v>46109.638865740744</v>
      </c>
      <c r="M1595" s="2">
        <v>46109</v>
      </c>
      <c r="N1595" t="s">
        <v>636</v>
      </c>
      <c r="O1595" t="s">
        <v>625</v>
      </c>
      <c r="P1595">
        <v>1</v>
      </c>
      <c r="Q1595">
        <v>0</v>
      </c>
      <c r="R1595">
        <v>38.07</v>
      </c>
      <c r="S1595" t="s">
        <v>197</v>
      </c>
      <c r="T1595" t="s">
        <v>777</v>
      </c>
    </row>
    <row r="1596" spans="1:20" x14ac:dyDescent="0.3">
      <c r="A1596">
        <v>1595</v>
      </c>
      <c r="B1596">
        <v>150</v>
      </c>
      <c r="C1596">
        <v>2</v>
      </c>
      <c r="D1596">
        <v>73.11</v>
      </c>
      <c r="E1596">
        <v>7.31</v>
      </c>
      <c r="F1596">
        <v>0</v>
      </c>
      <c r="G1596">
        <v>0.1</v>
      </c>
      <c r="H1596" t="s">
        <v>622</v>
      </c>
      <c r="J1596" t="s">
        <v>623</v>
      </c>
      <c r="K1596" s="1"/>
      <c r="L1596" s="1">
        <v>46109.641909722224</v>
      </c>
      <c r="M1596" s="2">
        <v>46109</v>
      </c>
      <c r="N1596" t="s">
        <v>636</v>
      </c>
      <c r="O1596" t="s">
        <v>625</v>
      </c>
      <c r="P1596">
        <v>1</v>
      </c>
      <c r="Q1596">
        <v>0</v>
      </c>
      <c r="R1596">
        <v>73.11</v>
      </c>
      <c r="S1596" t="s">
        <v>295</v>
      </c>
      <c r="T1596" t="s">
        <v>776</v>
      </c>
    </row>
    <row r="1597" spans="1:20" x14ac:dyDescent="0.3">
      <c r="A1597">
        <v>1596</v>
      </c>
      <c r="B1597">
        <v>35</v>
      </c>
      <c r="C1597">
        <v>5</v>
      </c>
      <c r="D1597">
        <v>33.26</v>
      </c>
      <c r="E1597">
        <v>3.33</v>
      </c>
      <c r="F1597">
        <v>0</v>
      </c>
      <c r="G1597">
        <v>0.1</v>
      </c>
      <c r="H1597" t="s">
        <v>622</v>
      </c>
      <c r="J1597" t="s">
        <v>623</v>
      </c>
      <c r="K1597" s="1"/>
      <c r="L1597" s="1">
        <v>46109.652118055557</v>
      </c>
      <c r="M1597" s="2">
        <v>46109</v>
      </c>
      <c r="N1597" t="s">
        <v>636</v>
      </c>
      <c r="O1597" t="s">
        <v>625</v>
      </c>
      <c r="P1597">
        <v>1</v>
      </c>
      <c r="Q1597">
        <v>0</v>
      </c>
      <c r="R1597">
        <v>33.26</v>
      </c>
      <c r="S1597" t="s">
        <v>66</v>
      </c>
      <c r="T1597" t="s">
        <v>779</v>
      </c>
    </row>
    <row r="1598" spans="1:20" x14ac:dyDescent="0.3">
      <c r="A1598">
        <v>1597</v>
      </c>
      <c r="B1598">
        <v>145</v>
      </c>
      <c r="C1598">
        <v>2</v>
      </c>
      <c r="D1598">
        <v>246.11</v>
      </c>
      <c r="E1598">
        <v>24.61</v>
      </c>
      <c r="F1598">
        <v>0</v>
      </c>
      <c r="G1598">
        <v>0.1</v>
      </c>
      <c r="H1598" t="s">
        <v>622</v>
      </c>
      <c r="J1598" t="s">
        <v>623</v>
      </c>
      <c r="K1598" s="1"/>
      <c r="L1598" s="1">
        <v>46109.743043981478</v>
      </c>
      <c r="M1598" s="2">
        <v>46109</v>
      </c>
      <c r="N1598" t="s">
        <v>636</v>
      </c>
      <c r="O1598" t="s">
        <v>625</v>
      </c>
      <c r="P1598">
        <v>1</v>
      </c>
      <c r="Q1598">
        <v>0</v>
      </c>
      <c r="R1598">
        <v>246.11</v>
      </c>
      <c r="S1598" t="s">
        <v>285</v>
      </c>
      <c r="T1598" t="s">
        <v>776</v>
      </c>
    </row>
    <row r="1599" spans="1:20" x14ac:dyDescent="0.3">
      <c r="A1599">
        <v>1598</v>
      </c>
      <c r="B1599">
        <v>274</v>
      </c>
      <c r="C1599">
        <v>5</v>
      </c>
      <c r="D1599">
        <v>17.16</v>
      </c>
      <c r="E1599">
        <v>1.72</v>
      </c>
      <c r="F1599">
        <v>0</v>
      </c>
      <c r="G1599">
        <v>0.1</v>
      </c>
      <c r="H1599" t="s">
        <v>622</v>
      </c>
      <c r="J1599" t="s">
        <v>623</v>
      </c>
      <c r="K1599" s="1"/>
      <c r="L1599" s="1">
        <v>46109.822164351855</v>
      </c>
      <c r="M1599" s="2">
        <v>46109</v>
      </c>
      <c r="N1599" t="s">
        <v>636</v>
      </c>
      <c r="O1599" t="s">
        <v>625</v>
      </c>
      <c r="P1599">
        <v>1</v>
      </c>
      <c r="Q1599">
        <v>0</v>
      </c>
      <c r="R1599">
        <v>17.16</v>
      </c>
      <c r="S1599" t="s">
        <v>543</v>
      </c>
      <c r="T1599" t="s">
        <v>779</v>
      </c>
    </row>
    <row r="1600" spans="1:20" x14ac:dyDescent="0.3">
      <c r="A1600">
        <v>1599</v>
      </c>
      <c r="B1600">
        <v>65</v>
      </c>
      <c r="C1600">
        <v>5</v>
      </c>
      <c r="D1600">
        <v>19.57</v>
      </c>
      <c r="E1600">
        <v>1.96</v>
      </c>
      <c r="F1600">
        <v>0</v>
      </c>
      <c r="G1600">
        <v>0.1</v>
      </c>
      <c r="H1600" t="s">
        <v>622</v>
      </c>
      <c r="J1600" t="s">
        <v>623</v>
      </c>
      <c r="K1600" s="1"/>
      <c r="L1600" s="1">
        <v>46110.521874999999</v>
      </c>
      <c r="M1600" s="2">
        <v>46110</v>
      </c>
      <c r="N1600" t="s">
        <v>636</v>
      </c>
      <c r="O1600" t="s">
        <v>625</v>
      </c>
      <c r="P1600">
        <v>1</v>
      </c>
      <c r="Q1600">
        <v>0</v>
      </c>
      <c r="R1600">
        <v>19.57</v>
      </c>
      <c r="S1600" t="s">
        <v>126</v>
      </c>
      <c r="T1600" t="s">
        <v>779</v>
      </c>
    </row>
    <row r="1601" spans="1:20" x14ac:dyDescent="0.3">
      <c r="A1601">
        <v>1600</v>
      </c>
      <c r="B1601">
        <v>44</v>
      </c>
      <c r="C1601">
        <v>3</v>
      </c>
      <c r="D1601">
        <v>16.18</v>
      </c>
      <c r="E1601">
        <v>1.62</v>
      </c>
      <c r="F1601">
        <v>0</v>
      </c>
      <c r="G1601">
        <v>0.1</v>
      </c>
      <c r="H1601" t="s">
        <v>622</v>
      </c>
      <c r="J1601" t="s">
        <v>623</v>
      </c>
      <c r="K1601" s="1"/>
      <c r="L1601" s="1">
        <v>46110.657256944447</v>
      </c>
      <c r="M1601" s="2">
        <v>46110</v>
      </c>
      <c r="N1601" t="s">
        <v>636</v>
      </c>
      <c r="O1601" t="s">
        <v>625</v>
      </c>
      <c r="P1601">
        <v>1</v>
      </c>
      <c r="Q1601">
        <v>0</v>
      </c>
      <c r="R1601">
        <v>16.18</v>
      </c>
      <c r="S1601" t="s">
        <v>84</v>
      </c>
      <c r="T1601" t="s">
        <v>777</v>
      </c>
    </row>
    <row r="1602" spans="1:20" x14ac:dyDescent="0.3">
      <c r="A1602">
        <v>1601</v>
      </c>
      <c r="B1602">
        <v>241</v>
      </c>
      <c r="C1602">
        <v>5</v>
      </c>
      <c r="D1602">
        <v>27.82</v>
      </c>
      <c r="E1602">
        <v>2.78</v>
      </c>
      <c r="F1602">
        <v>0</v>
      </c>
      <c r="G1602">
        <v>0.1</v>
      </c>
      <c r="H1602" t="s">
        <v>622</v>
      </c>
      <c r="J1602" t="s">
        <v>623</v>
      </c>
      <c r="K1602" s="1"/>
      <c r="L1602" s="1">
        <v>46110.707974537036</v>
      </c>
      <c r="M1602" s="2">
        <v>46110</v>
      </c>
      <c r="N1602" t="s">
        <v>636</v>
      </c>
      <c r="O1602" t="s">
        <v>625</v>
      </c>
      <c r="P1602">
        <v>1</v>
      </c>
      <c r="Q1602">
        <v>0</v>
      </c>
      <c r="R1602">
        <v>27.82</v>
      </c>
      <c r="S1602" t="s">
        <v>477</v>
      </c>
      <c r="T1602" t="s">
        <v>779</v>
      </c>
    </row>
    <row r="1603" spans="1:20" x14ac:dyDescent="0.3">
      <c r="A1603">
        <v>1602</v>
      </c>
      <c r="B1603">
        <v>51</v>
      </c>
      <c r="C1603">
        <v>5</v>
      </c>
      <c r="D1603">
        <v>177.56</v>
      </c>
      <c r="E1603">
        <v>17.760000000000002</v>
      </c>
      <c r="F1603">
        <v>0</v>
      </c>
      <c r="G1603">
        <v>0.1</v>
      </c>
      <c r="H1603" t="s">
        <v>622</v>
      </c>
      <c r="J1603" t="s">
        <v>623</v>
      </c>
      <c r="K1603" s="1"/>
      <c r="L1603" s="1">
        <v>46111.487002314818</v>
      </c>
      <c r="M1603" s="2">
        <v>46111</v>
      </c>
      <c r="N1603" t="s">
        <v>636</v>
      </c>
      <c r="O1603" t="s">
        <v>625</v>
      </c>
      <c r="P1603">
        <v>1</v>
      </c>
      <c r="Q1603">
        <v>0</v>
      </c>
      <c r="R1603">
        <v>177.56</v>
      </c>
      <c r="S1603" t="s">
        <v>98</v>
      </c>
      <c r="T1603" t="s">
        <v>779</v>
      </c>
    </row>
    <row r="1604" spans="1:20" x14ac:dyDescent="0.3">
      <c r="A1604">
        <v>1603</v>
      </c>
      <c r="B1604">
        <v>137</v>
      </c>
      <c r="C1604">
        <v>2</v>
      </c>
      <c r="D1604">
        <v>27.29</v>
      </c>
      <c r="E1604">
        <v>2.73</v>
      </c>
      <c r="F1604">
        <v>0</v>
      </c>
      <c r="G1604">
        <v>0.1</v>
      </c>
      <c r="H1604" t="s">
        <v>622</v>
      </c>
      <c r="J1604" t="s">
        <v>623</v>
      </c>
      <c r="K1604" s="1"/>
      <c r="L1604" s="1">
        <v>46111.628680555557</v>
      </c>
      <c r="M1604" s="2">
        <v>46111</v>
      </c>
      <c r="N1604" t="s">
        <v>636</v>
      </c>
      <c r="O1604" t="s">
        <v>625</v>
      </c>
      <c r="P1604">
        <v>1</v>
      </c>
      <c r="Q1604">
        <v>0</v>
      </c>
      <c r="R1604">
        <v>27.29</v>
      </c>
      <c r="S1604" t="s">
        <v>269</v>
      </c>
      <c r="T1604" t="s">
        <v>776</v>
      </c>
    </row>
    <row r="1605" spans="1:20" x14ac:dyDescent="0.3">
      <c r="A1605">
        <v>1604</v>
      </c>
      <c r="B1605">
        <v>16</v>
      </c>
      <c r="C1605">
        <v>2</v>
      </c>
      <c r="D1605">
        <v>225.53</v>
      </c>
      <c r="E1605">
        <v>0</v>
      </c>
      <c r="F1605">
        <v>1</v>
      </c>
      <c r="G1605">
        <v>0.1</v>
      </c>
      <c r="H1605" t="s">
        <v>622</v>
      </c>
      <c r="J1605" t="s">
        <v>623</v>
      </c>
      <c r="K1605" s="1"/>
      <c r="L1605" s="1">
        <v>46112.338425925926</v>
      </c>
      <c r="M1605" s="2">
        <v>46112</v>
      </c>
      <c r="N1605" t="s">
        <v>636</v>
      </c>
      <c r="O1605" t="s">
        <v>629</v>
      </c>
      <c r="P1605">
        <v>1</v>
      </c>
      <c r="Q1605">
        <v>0</v>
      </c>
      <c r="R1605">
        <v>225.53</v>
      </c>
      <c r="S1605" t="s">
        <v>28</v>
      </c>
      <c r="T1605" t="s">
        <v>776</v>
      </c>
    </row>
    <row r="1606" spans="1:20" x14ac:dyDescent="0.3">
      <c r="A1606">
        <v>1605</v>
      </c>
      <c r="B1606">
        <v>61</v>
      </c>
      <c r="C1606">
        <v>3</v>
      </c>
      <c r="D1606">
        <v>98.79</v>
      </c>
      <c r="E1606">
        <v>0</v>
      </c>
      <c r="F1606">
        <v>1</v>
      </c>
      <c r="G1606">
        <v>0.1</v>
      </c>
      <c r="H1606" t="s">
        <v>622</v>
      </c>
      <c r="J1606" t="s">
        <v>623</v>
      </c>
      <c r="K1606" s="1"/>
      <c r="L1606" s="1">
        <v>46112.398402777777</v>
      </c>
      <c r="M1606" s="2">
        <v>46112</v>
      </c>
      <c r="N1606" t="s">
        <v>636</v>
      </c>
      <c r="O1606" t="s">
        <v>629</v>
      </c>
      <c r="P1606">
        <v>1</v>
      </c>
      <c r="Q1606">
        <v>0</v>
      </c>
      <c r="R1606">
        <v>98.79</v>
      </c>
      <c r="S1606" t="s">
        <v>118</v>
      </c>
      <c r="T1606" t="s">
        <v>777</v>
      </c>
    </row>
    <row r="1607" spans="1:20" x14ac:dyDescent="0.3">
      <c r="A1607">
        <v>1606</v>
      </c>
      <c r="B1607">
        <v>185</v>
      </c>
      <c r="C1607">
        <v>4</v>
      </c>
      <c r="D1607">
        <v>198.73</v>
      </c>
      <c r="E1607">
        <v>19.87</v>
      </c>
      <c r="F1607">
        <v>0</v>
      </c>
      <c r="G1607">
        <v>0.1</v>
      </c>
      <c r="H1607" t="s">
        <v>622</v>
      </c>
      <c r="J1607" t="s">
        <v>623</v>
      </c>
      <c r="K1607" s="1"/>
      <c r="L1607" s="1">
        <v>46112.433229166665</v>
      </c>
      <c r="M1607" s="2">
        <v>46112</v>
      </c>
      <c r="N1607" t="s">
        <v>636</v>
      </c>
      <c r="O1607" t="s">
        <v>625</v>
      </c>
      <c r="P1607">
        <v>1</v>
      </c>
      <c r="Q1607">
        <v>0</v>
      </c>
      <c r="R1607">
        <v>198.73</v>
      </c>
      <c r="S1607" t="s">
        <v>365</v>
      </c>
      <c r="T1607" t="s">
        <v>778</v>
      </c>
    </row>
    <row r="1608" spans="1:20" x14ac:dyDescent="0.3">
      <c r="A1608">
        <v>1607</v>
      </c>
      <c r="B1608">
        <v>39</v>
      </c>
      <c r="C1608">
        <v>5</v>
      </c>
      <c r="D1608">
        <v>171.71</v>
      </c>
      <c r="E1608">
        <v>17.170000000000002</v>
      </c>
      <c r="F1608">
        <v>0</v>
      </c>
      <c r="G1608">
        <v>0.1</v>
      </c>
      <c r="H1608" t="s">
        <v>622</v>
      </c>
      <c r="J1608" t="s">
        <v>623</v>
      </c>
      <c r="K1608" s="1"/>
      <c r="L1608" s="1">
        <v>46112.434571759259</v>
      </c>
      <c r="M1608" s="2">
        <v>46112</v>
      </c>
      <c r="N1608" t="s">
        <v>636</v>
      </c>
      <c r="O1608" t="s">
        <v>625</v>
      </c>
      <c r="P1608">
        <v>1</v>
      </c>
      <c r="Q1608">
        <v>0</v>
      </c>
      <c r="R1608">
        <v>171.71</v>
      </c>
      <c r="S1608" t="s">
        <v>74</v>
      </c>
      <c r="T1608" t="s">
        <v>779</v>
      </c>
    </row>
    <row r="1609" spans="1:20" x14ac:dyDescent="0.3">
      <c r="A1609">
        <v>1608</v>
      </c>
      <c r="B1609">
        <v>42</v>
      </c>
      <c r="C1609">
        <v>4</v>
      </c>
      <c r="D1609">
        <v>38.08</v>
      </c>
      <c r="E1609">
        <v>3.81</v>
      </c>
      <c r="F1609">
        <v>0</v>
      </c>
      <c r="G1609">
        <v>0.1</v>
      </c>
      <c r="H1609" t="s">
        <v>622</v>
      </c>
      <c r="J1609" t="s">
        <v>623</v>
      </c>
      <c r="K1609" s="1"/>
      <c r="L1609" s="1">
        <v>46112.462997685187</v>
      </c>
      <c r="M1609" s="2">
        <v>46112</v>
      </c>
      <c r="N1609" t="s">
        <v>636</v>
      </c>
      <c r="O1609" t="s">
        <v>625</v>
      </c>
      <c r="P1609">
        <v>1</v>
      </c>
      <c r="Q1609">
        <v>0</v>
      </c>
      <c r="R1609">
        <v>38.08</v>
      </c>
      <c r="S1609" t="s">
        <v>80</v>
      </c>
      <c r="T1609" t="s">
        <v>778</v>
      </c>
    </row>
    <row r="1610" spans="1:20" x14ac:dyDescent="0.3">
      <c r="A1610">
        <v>1609</v>
      </c>
      <c r="B1610">
        <v>156</v>
      </c>
      <c r="C1610">
        <v>4</v>
      </c>
      <c r="D1610">
        <v>26.33</v>
      </c>
      <c r="E1610">
        <v>2.63</v>
      </c>
      <c r="F1610">
        <v>0</v>
      </c>
      <c r="G1610">
        <v>0.1</v>
      </c>
      <c r="H1610" t="s">
        <v>622</v>
      </c>
      <c r="J1610" t="s">
        <v>623</v>
      </c>
      <c r="K1610" s="1"/>
      <c r="L1610" s="1">
        <v>46112.754837962966</v>
      </c>
      <c r="M1610" s="2">
        <v>46112</v>
      </c>
      <c r="N1610" t="s">
        <v>636</v>
      </c>
      <c r="O1610" t="s">
        <v>625</v>
      </c>
      <c r="P1610">
        <v>1</v>
      </c>
      <c r="Q1610">
        <v>0</v>
      </c>
      <c r="R1610">
        <v>26.33</v>
      </c>
      <c r="S1610" t="s">
        <v>307</v>
      </c>
      <c r="T1610" t="s">
        <v>778</v>
      </c>
    </row>
    <row r="1611" spans="1:20" x14ac:dyDescent="0.3">
      <c r="A1611">
        <v>1610</v>
      </c>
      <c r="B1611">
        <v>243</v>
      </c>
      <c r="C1611">
        <v>5</v>
      </c>
      <c r="D1611">
        <v>30.84</v>
      </c>
      <c r="E1611">
        <v>3.08</v>
      </c>
      <c r="F1611">
        <v>0</v>
      </c>
      <c r="G1611">
        <v>0.1</v>
      </c>
      <c r="H1611" t="s">
        <v>622</v>
      </c>
      <c r="J1611" t="s">
        <v>623</v>
      </c>
      <c r="K1611" s="1"/>
      <c r="L1611" s="1">
        <v>46112.772361111114</v>
      </c>
      <c r="M1611" s="2">
        <v>46112</v>
      </c>
      <c r="N1611" t="s">
        <v>636</v>
      </c>
      <c r="O1611" t="s">
        <v>625</v>
      </c>
      <c r="P1611">
        <v>1</v>
      </c>
      <c r="Q1611">
        <v>0</v>
      </c>
      <c r="R1611">
        <v>30.84</v>
      </c>
      <c r="S1611" t="s">
        <v>481</v>
      </c>
      <c r="T1611" t="s">
        <v>779</v>
      </c>
    </row>
    <row r="1612" spans="1:20" x14ac:dyDescent="0.3">
      <c r="A1612">
        <v>1611</v>
      </c>
      <c r="B1612">
        <v>210</v>
      </c>
      <c r="C1612">
        <v>3</v>
      </c>
      <c r="D1612">
        <v>28.98</v>
      </c>
      <c r="E1612">
        <v>2.9</v>
      </c>
      <c r="F1612">
        <v>0</v>
      </c>
      <c r="G1612">
        <v>0.1</v>
      </c>
      <c r="H1612" t="s">
        <v>622</v>
      </c>
      <c r="J1612" t="s">
        <v>623</v>
      </c>
      <c r="K1612" s="1"/>
      <c r="L1612" s="1">
        <v>46113.337094907409</v>
      </c>
      <c r="M1612" s="2">
        <v>46113</v>
      </c>
      <c r="N1612" t="s">
        <v>637</v>
      </c>
      <c r="O1612" t="s">
        <v>625</v>
      </c>
      <c r="P1612">
        <v>1</v>
      </c>
      <c r="Q1612">
        <v>0</v>
      </c>
      <c r="R1612">
        <v>28.98</v>
      </c>
      <c r="S1612" t="s">
        <v>415</v>
      </c>
      <c r="T1612" t="s">
        <v>777</v>
      </c>
    </row>
    <row r="1613" spans="1:20" x14ac:dyDescent="0.3">
      <c r="A1613">
        <v>1612</v>
      </c>
      <c r="B1613">
        <v>230</v>
      </c>
      <c r="C1613">
        <v>3</v>
      </c>
      <c r="D1613">
        <v>140.82</v>
      </c>
      <c r="E1613">
        <v>14.08</v>
      </c>
      <c r="F1613">
        <v>0</v>
      </c>
      <c r="G1613">
        <v>0.1</v>
      </c>
      <c r="H1613" t="s">
        <v>622</v>
      </c>
      <c r="J1613" t="s">
        <v>623</v>
      </c>
      <c r="K1613" s="1"/>
      <c r="L1613" s="1">
        <v>46113.37605324074</v>
      </c>
      <c r="M1613" s="2">
        <v>46113</v>
      </c>
      <c r="N1613" t="s">
        <v>637</v>
      </c>
      <c r="O1613" t="s">
        <v>625</v>
      </c>
      <c r="P1613">
        <v>1</v>
      </c>
      <c r="Q1613">
        <v>0</v>
      </c>
      <c r="R1613">
        <v>140.82</v>
      </c>
      <c r="S1613" t="s">
        <v>455</v>
      </c>
      <c r="T1613" t="s">
        <v>777</v>
      </c>
    </row>
    <row r="1614" spans="1:20" x14ac:dyDescent="0.3">
      <c r="A1614">
        <v>1613</v>
      </c>
      <c r="B1614">
        <v>279</v>
      </c>
      <c r="C1614">
        <v>3</v>
      </c>
      <c r="D1614">
        <v>201.7</v>
      </c>
      <c r="E1614">
        <v>20.170000000000002</v>
      </c>
      <c r="F1614">
        <v>0</v>
      </c>
      <c r="G1614">
        <v>0.1</v>
      </c>
      <c r="H1614" t="s">
        <v>622</v>
      </c>
      <c r="J1614" t="s">
        <v>623</v>
      </c>
      <c r="K1614" s="1"/>
      <c r="L1614" s="1">
        <v>46113.449791666666</v>
      </c>
      <c r="M1614" s="2">
        <v>46113</v>
      </c>
      <c r="N1614" t="s">
        <v>637</v>
      </c>
      <c r="O1614" t="s">
        <v>625</v>
      </c>
      <c r="P1614">
        <v>1</v>
      </c>
      <c r="Q1614">
        <v>0</v>
      </c>
      <c r="R1614">
        <v>201.7</v>
      </c>
      <c r="S1614" t="s">
        <v>553</v>
      </c>
      <c r="T1614" t="s">
        <v>777</v>
      </c>
    </row>
    <row r="1615" spans="1:20" x14ac:dyDescent="0.3">
      <c r="A1615">
        <v>1614</v>
      </c>
      <c r="B1615">
        <v>185</v>
      </c>
      <c r="C1615">
        <v>3</v>
      </c>
      <c r="D1615">
        <v>103.28</v>
      </c>
      <c r="E1615">
        <v>10.33</v>
      </c>
      <c r="F1615">
        <v>0</v>
      </c>
      <c r="G1615">
        <v>0.1</v>
      </c>
      <c r="H1615" t="s">
        <v>622</v>
      </c>
      <c r="J1615" t="s">
        <v>623</v>
      </c>
      <c r="K1615" s="1"/>
      <c r="L1615" s="1">
        <v>46113.4765625</v>
      </c>
      <c r="M1615" s="2">
        <v>46113</v>
      </c>
      <c r="N1615" t="s">
        <v>637</v>
      </c>
      <c r="O1615" t="s">
        <v>625</v>
      </c>
      <c r="P1615">
        <v>1</v>
      </c>
      <c r="Q1615">
        <v>0</v>
      </c>
      <c r="R1615">
        <v>103.28</v>
      </c>
      <c r="S1615" t="s">
        <v>365</v>
      </c>
      <c r="T1615" t="s">
        <v>777</v>
      </c>
    </row>
    <row r="1616" spans="1:20" x14ac:dyDescent="0.3">
      <c r="A1616">
        <v>1615</v>
      </c>
      <c r="B1616">
        <v>137</v>
      </c>
      <c r="C1616">
        <v>2</v>
      </c>
      <c r="D1616">
        <v>43.44</v>
      </c>
      <c r="E1616">
        <v>4.34</v>
      </c>
      <c r="F1616">
        <v>0</v>
      </c>
      <c r="G1616">
        <v>0.1</v>
      </c>
      <c r="H1616" t="s">
        <v>622</v>
      </c>
      <c r="J1616" t="s">
        <v>623</v>
      </c>
      <c r="K1616" s="1"/>
      <c r="L1616" s="1">
        <v>46113.544560185182</v>
      </c>
      <c r="M1616" s="2">
        <v>46113</v>
      </c>
      <c r="N1616" t="s">
        <v>637</v>
      </c>
      <c r="O1616" t="s">
        <v>625</v>
      </c>
      <c r="P1616">
        <v>1</v>
      </c>
      <c r="Q1616">
        <v>0</v>
      </c>
      <c r="R1616">
        <v>43.44</v>
      </c>
      <c r="S1616" t="s">
        <v>269</v>
      </c>
      <c r="T1616" t="s">
        <v>776</v>
      </c>
    </row>
    <row r="1617" spans="1:20" x14ac:dyDescent="0.3">
      <c r="A1617">
        <v>1616</v>
      </c>
      <c r="B1617">
        <v>11</v>
      </c>
      <c r="C1617">
        <v>3</v>
      </c>
      <c r="D1617">
        <v>192.97</v>
      </c>
      <c r="E1617">
        <v>19.3</v>
      </c>
      <c r="F1617">
        <v>0</v>
      </c>
      <c r="G1617">
        <v>0.1</v>
      </c>
      <c r="H1617" t="s">
        <v>622</v>
      </c>
      <c r="J1617" t="s">
        <v>623</v>
      </c>
      <c r="K1617" s="1"/>
      <c r="L1617" s="1">
        <v>46113.55672453704</v>
      </c>
      <c r="M1617" s="2">
        <v>46113</v>
      </c>
      <c r="N1617" t="s">
        <v>637</v>
      </c>
      <c r="O1617" t="s">
        <v>625</v>
      </c>
      <c r="P1617">
        <v>1</v>
      </c>
      <c r="Q1617">
        <v>0</v>
      </c>
      <c r="R1617">
        <v>192.97</v>
      </c>
      <c r="S1617" t="s">
        <v>18</v>
      </c>
      <c r="T1617" t="s">
        <v>777</v>
      </c>
    </row>
    <row r="1618" spans="1:20" x14ac:dyDescent="0.3">
      <c r="A1618">
        <v>1617</v>
      </c>
      <c r="B1618">
        <v>137</v>
      </c>
      <c r="C1618">
        <v>5</v>
      </c>
      <c r="D1618">
        <v>33.58</v>
      </c>
      <c r="E1618">
        <v>3.36</v>
      </c>
      <c r="F1618">
        <v>0</v>
      </c>
      <c r="G1618">
        <v>0.1</v>
      </c>
      <c r="H1618" t="s">
        <v>622</v>
      </c>
      <c r="J1618" t="s">
        <v>623</v>
      </c>
      <c r="K1618" s="1"/>
      <c r="L1618" s="1">
        <v>46113.618032407408</v>
      </c>
      <c r="M1618" s="2">
        <v>46113</v>
      </c>
      <c r="N1618" t="s">
        <v>637</v>
      </c>
      <c r="O1618" t="s">
        <v>625</v>
      </c>
      <c r="P1618">
        <v>1</v>
      </c>
      <c r="Q1618">
        <v>0</v>
      </c>
      <c r="R1618">
        <v>33.58</v>
      </c>
      <c r="S1618" t="s">
        <v>269</v>
      </c>
      <c r="T1618" t="s">
        <v>779</v>
      </c>
    </row>
    <row r="1619" spans="1:20" x14ac:dyDescent="0.3">
      <c r="A1619">
        <v>1618</v>
      </c>
      <c r="B1619">
        <v>81</v>
      </c>
      <c r="C1619">
        <v>5</v>
      </c>
      <c r="D1619">
        <v>28.46</v>
      </c>
      <c r="E1619">
        <v>2.85</v>
      </c>
      <c r="F1619">
        <v>0</v>
      </c>
      <c r="G1619">
        <v>0.1</v>
      </c>
      <c r="H1619" t="s">
        <v>622</v>
      </c>
      <c r="J1619" t="s">
        <v>623</v>
      </c>
      <c r="K1619" s="1"/>
      <c r="L1619" s="1">
        <v>46113.695914351854</v>
      </c>
      <c r="M1619" s="2">
        <v>46113</v>
      </c>
      <c r="N1619" t="s">
        <v>637</v>
      </c>
      <c r="O1619" t="s">
        <v>625</v>
      </c>
      <c r="P1619">
        <v>1</v>
      </c>
      <c r="Q1619">
        <v>0</v>
      </c>
      <c r="R1619">
        <v>28.46</v>
      </c>
      <c r="S1619" t="s">
        <v>84</v>
      </c>
      <c r="T1619" t="s">
        <v>779</v>
      </c>
    </row>
    <row r="1620" spans="1:20" x14ac:dyDescent="0.3">
      <c r="A1620">
        <v>1619</v>
      </c>
      <c r="B1620">
        <v>237</v>
      </c>
      <c r="C1620">
        <v>2</v>
      </c>
      <c r="D1620">
        <v>107.43</v>
      </c>
      <c r="E1620">
        <v>10.74</v>
      </c>
      <c r="F1620">
        <v>0</v>
      </c>
      <c r="G1620">
        <v>0.1</v>
      </c>
      <c r="H1620" t="s">
        <v>622</v>
      </c>
      <c r="J1620" t="s">
        <v>623</v>
      </c>
      <c r="K1620" s="1"/>
      <c r="L1620" s="1">
        <v>46114.338182870371</v>
      </c>
      <c r="M1620" s="2">
        <v>46114</v>
      </c>
      <c r="N1620" t="s">
        <v>637</v>
      </c>
      <c r="O1620" t="s">
        <v>625</v>
      </c>
      <c r="P1620">
        <v>1</v>
      </c>
      <c r="Q1620">
        <v>0</v>
      </c>
      <c r="R1620">
        <v>107.43</v>
      </c>
      <c r="S1620" t="s">
        <v>469</v>
      </c>
      <c r="T1620" t="s">
        <v>776</v>
      </c>
    </row>
    <row r="1621" spans="1:20" x14ac:dyDescent="0.3">
      <c r="A1621">
        <v>1620</v>
      </c>
      <c r="B1621">
        <v>250</v>
      </c>
      <c r="C1621">
        <v>2</v>
      </c>
      <c r="D1621">
        <v>85.4</v>
      </c>
      <c r="E1621">
        <v>8.5399999999999991</v>
      </c>
      <c r="F1621">
        <v>0</v>
      </c>
      <c r="G1621">
        <v>0.1</v>
      </c>
      <c r="H1621" t="s">
        <v>622</v>
      </c>
      <c r="J1621" t="s">
        <v>623</v>
      </c>
      <c r="K1621" s="1"/>
      <c r="L1621" s="1">
        <v>46114.405104166668</v>
      </c>
      <c r="M1621" s="2">
        <v>46114</v>
      </c>
      <c r="N1621" t="s">
        <v>637</v>
      </c>
      <c r="O1621" t="s">
        <v>625</v>
      </c>
      <c r="P1621">
        <v>1</v>
      </c>
      <c r="Q1621">
        <v>0</v>
      </c>
      <c r="R1621">
        <v>85.4</v>
      </c>
      <c r="S1621" t="s">
        <v>495</v>
      </c>
      <c r="T1621" t="s">
        <v>776</v>
      </c>
    </row>
    <row r="1622" spans="1:20" x14ac:dyDescent="0.3">
      <c r="A1622">
        <v>1621</v>
      </c>
      <c r="B1622">
        <v>245</v>
      </c>
      <c r="C1622">
        <v>2</v>
      </c>
      <c r="D1622">
        <v>51.37</v>
      </c>
      <c r="E1622">
        <v>5.14</v>
      </c>
      <c r="F1622">
        <v>0</v>
      </c>
      <c r="G1622">
        <v>0.1</v>
      </c>
      <c r="H1622" t="s">
        <v>622</v>
      </c>
      <c r="J1622" t="s">
        <v>623</v>
      </c>
      <c r="K1622" s="1"/>
      <c r="L1622" s="1">
        <v>46114.409618055557</v>
      </c>
      <c r="M1622" s="2">
        <v>46114</v>
      </c>
      <c r="N1622" t="s">
        <v>637</v>
      </c>
      <c r="O1622" t="s">
        <v>625</v>
      </c>
      <c r="P1622">
        <v>1</v>
      </c>
      <c r="Q1622">
        <v>0</v>
      </c>
      <c r="R1622">
        <v>51.37</v>
      </c>
      <c r="S1622" t="s">
        <v>485</v>
      </c>
      <c r="T1622" t="s">
        <v>776</v>
      </c>
    </row>
    <row r="1623" spans="1:20" x14ac:dyDescent="0.3">
      <c r="A1623">
        <v>1622</v>
      </c>
      <c r="B1623">
        <v>210</v>
      </c>
      <c r="C1623">
        <v>3</v>
      </c>
      <c r="D1623">
        <v>21.6</v>
      </c>
      <c r="E1623">
        <v>2.16</v>
      </c>
      <c r="F1623">
        <v>0</v>
      </c>
      <c r="G1623">
        <v>0.1</v>
      </c>
      <c r="H1623" t="s">
        <v>622</v>
      </c>
      <c r="J1623" t="s">
        <v>623</v>
      </c>
      <c r="K1623" s="1"/>
      <c r="L1623" s="1">
        <v>46114.629050925927</v>
      </c>
      <c r="M1623" s="2">
        <v>46114</v>
      </c>
      <c r="N1623" t="s">
        <v>637</v>
      </c>
      <c r="O1623" t="s">
        <v>625</v>
      </c>
      <c r="P1623">
        <v>1</v>
      </c>
      <c r="Q1623">
        <v>0</v>
      </c>
      <c r="R1623">
        <v>21.6</v>
      </c>
      <c r="S1623" t="s">
        <v>415</v>
      </c>
      <c r="T1623" t="s">
        <v>777</v>
      </c>
    </row>
    <row r="1624" spans="1:20" x14ac:dyDescent="0.3">
      <c r="A1624">
        <v>1623</v>
      </c>
      <c r="B1624">
        <v>149</v>
      </c>
      <c r="C1624">
        <v>2</v>
      </c>
      <c r="D1624">
        <v>43.18</v>
      </c>
      <c r="E1624">
        <v>4.32</v>
      </c>
      <c r="F1624">
        <v>0</v>
      </c>
      <c r="G1624">
        <v>0.1</v>
      </c>
      <c r="H1624" t="s">
        <v>622</v>
      </c>
      <c r="J1624" t="s">
        <v>623</v>
      </c>
      <c r="K1624" s="1"/>
      <c r="L1624" s="1">
        <v>46114.726400462961</v>
      </c>
      <c r="M1624" s="2">
        <v>46114</v>
      </c>
      <c r="N1624" t="s">
        <v>637</v>
      </c>
      <c r="O1624" t="s">
        <v>625</v>
      </c>
      <c r="P1624">
        <v>1</v>
      </c>
      <c r="Q1624">
        <v>0</v>
      </c>
      <c r="R1624">
        <v>43.18</v>
      </c>
      <c r="S1624" t="s">
        <v>293</v>
      </c>
      <c r="T1624" t="s">
        <v>776</v>
      </c>
    </row>
    <row r="1625" spans="1:20" x14ac:dyDescent="0.3">
      <c r="A1625">
        <v>1624</v>
      </c>
      <c r="B1625">
        <v>202</v>
      </c>
      <c r="C1625">
        <v>4</v>
      </c>
      <c r="D1625">
        <v>27.4</v>
      </c>
      <c r="E1625">
        <v>2.74</v>
      </c>
      <c r="F1625">
        <v>0</v>
      </c>
      <c r="G1625">
        <v>0.1</v>
      </c>
      <c r="H1625" t="s">
        <v>622</v>
      </c>
      <c r="J1625" t="s">
        <v>623</v>
      </c>
      <c r="K1625" s="1"/>
      <c r="L1625" s="1">
        <v>46114.796469907407</v>
      </c>
      <c r="M1625" s="2">
        <v>46114</v>
      </c>
      <c r="N1625" t="s">
        <v>637</v>
      </c>
      <c r="O1625" t="s">
        <v>625</v>
      </c>
      <c r="P1625">
        <v>1</v>
      </c>
      <c r="Q1625">
        <v>0</v>
      </c>
      <c r="R1625">
        <v>27.4</v>
      </c>
      <c r="S1625" t="s">
        <v>399</v>
      </c>
      <c r="T1625" t="s">
        <v>778</v>
      </c>
    </row>
    <row r="1626" spans="1:20" x14ac:dyDescent="0.3">
      <c r="A1626">
        <v>1625</v>
      </c>
      <c r="B1626">
        <v>70</v>
      </c>
      <c r="C1626">
        <v>5</v>
      </c>
      <c r="D1626">
        <v>292.19</v>
      </c>
      <c r="E1626">
        <v>29.22</v>
      </c>
      <c r="F1626">
        <v>0</v>
      </c>
      <c r="G1626">
        <v>0.1</v>
      </c>
      <c r="H1626" t="s">
        <v>622</v>
      </c>
      <c r="J1626" t="s">
        <v>623</v>
      </c>
      <c r="K1626" s="1"/>
      <c r="L1626" s="1">
        <v>46115.398472222223</v>
      </c>
      <c r="M1626" s="2">
        <v>46115</v>
      </c>
      <c r="N1626" t="s">
        <v>637</v>
      </c>
      <c r="O1626" t="s">
        <v>625</v>
      </c>
      <c r="P1626">
        <v>1</v>
      </c>
      <c r="Q1626">
        <v>0</v>
      </c>
      <c r="R1626">
        <v>292.19</v>
      </c>
      <c r="S1626" t="s">
        <v>136</v>
      </c>
      <c r="T1626" t="s">
        <v>779</v>
      </c>
    </row>
    <row r="1627" spans="1:20" x14ac:dyDescent="0.3">
      <c r="A1627">
        <v>1626</v>
      </c>
      <c r="B1627">
        <v>133</v>
      </c>
      <c r="C1627">
        <v>3</v>
      </c>
      <c r="D1627">
        <v>76.92</v>
      </c>
      <c r="E1627">
        <v>7.69</v>
      </c>
      <c r="F1627">
        <v>0</v>
      </c>
      <c r="G1627">
        <v>0.1</v>
      </c>
      <c r="H1627" t="s">
        <v>622</v>
      </c>
      <c r="J1627" t="s">
        <v>623</v>
      </c>
      <c r="K1627" s="1"/>
      <c r="L1627" s="1">
        <v>46115.488900462966</v>
      </c>
      <c r="M1627" s="2">
        <v>46115</v>
      </c>
      <c r="N1627" t="s">
        <v>637</v>
      </c>
      <c r="O1627" t="s">
        <v>625</v>
      </c>
      <c r="P1627">
        <v>1</v>
      </c>
      <c r="Q1627">
        <v>0</v>
      </c>
      <c r="R1627">
        <v>76.92</v>
      </c>
      <c r="S1627" t="s">
        <v>261</v>
      </c>
      <c r="T1627" t="s">
        <v>777</v>
      </c>
    </row>
    <row r="1628" spans="1:20" x14ac:dyDescent="0.3">
      <c r="A1628">
        <v>1627</v>
      </c>
      <c r="B1628">
        <v>293</v>
      </c>
      <c r="C1628">
        <v>5</v>
      </c>
      <c r="D1628">
        <v>23.57</v>
      </c>
      <c r="E1628">
        <v>0</v>
      </c>
      <c r="F1628">
        <v>1</v>
      </c>
      <c r="G1628">
        <v>0.1</v>
      </c>
      <c r="H1628" t="s">
        <v>622</v>
      </c>
      <c r="J1628" t="s">
        <v>623</v>
      </c>
      <c r="K1628" s="1"/>
      <c r="L1628" s="1">
        <v>46115.529224537036</v>
      </c>
      <c r="M1628" s="2">
        <v>46115</v>
      </c>
      <c r="N1628" t="s">
        <v>637</v>
      </c>
      <c r="O1628" t="s">
        <v>629</v>
      </c>
      <c r="P1628">
        <v>1</v>
      </c>
      <c r="Q1628">
        <v>0</v>
      </c>
      <c r="R1628">
        <v>23.57</v>
      </c>
      <c r="S1628" t="s">
        <v>581</v>
      </c>
      <c r="T1628" t="s">
        <v>779</v>
      </c>
    </row>
    <row r="1629" spans="1:20" x14ac:dyDescent="0.3">
      <c r="A1629">
        <v>1628</v>
      </c>
      <c r="B1629">
        <v>125</v>
      </c>
      <c r="C1629">
        <v>5</v>
      </c>
      <c r="D1629">
        <v>47.27</v>
      </c>
      <c r="E1629">
        <v>4.7300000000000004</v>
      </c>
      <c r="F1629">
        <v>0</v>
      </c>
      <c r="G1629">
        <v>0.1</v>
      </c>
      <c r="H1629" t="s">
        <v>626</v>
      </c>
      <c r="I1629">
        <v>5</v>
      </c>
      <c r="J1629" t="s">
        <v>632</v>
      </c>
      <c r="K1629" s="1">
        <v>46116.549490740741</v>
      </c>
      <c r="L1629" s="1">
        <v>46115.549490740741</v>
      </c>
      <c r="M1629" s="2">
        <v>46115</v>
      </c>
      <c r="N1629" t="s">
        <v>637</v>
      </c>
      <c r="O1629" t="s">
        <v>625</v>
      </c>
      <c r="P1629">
        <v>1</v>
      </c>
      <c r="Q1629">
        <v>1</v>
      </c>
      <c r="R1629">
        <v>0</v>
      </c>
      <c r="S1629" t="s">
        <v>245</v>
      </c>
      <c r="T1629" t="s">
        <v>779</v>
      </c>
    </row>
    <row r="1630" spans="1:20" x14ac:dyDescent="0.3">
      <c r="A1630">
        <v>1629</v>
      </c>
      <c r="B1630">
        <v>91</v>
      </c>
      <c r="C1630">
        <v>5</v>
      </c>
      <c r="D1630">
        <v>17.670000000000002</v>
      </c>
      <c r="E1630">
        <v>1.77</v>
      </c>
      <c r="F1630">
        <v>0</v>
      </c>
      <c r="G1630">
        <v>0.1</v>
      </c>
      <c r="H1630" t="s">
        <v>622</v>
      </c>
      <c r="J1630" t="s">
        <v>623</v>
      </c>
      <c r="K1630" s="1"/>
      <c r="L1630" s="1">
        <v>46115.671736111108</v>
      </c>
      <c r="M1630" s="2">
        <v>46115</v>
      </c>
      <c r="N1630" t="s">
        <v>637</v>
      </c>
      <c r="O1630" t="s">
        <v>625</v>
      </c>
      <c r="P1630">
        <v>1</v>
      </c>
      <c r="Q1630">
        <v>0</v>
      </c>
      <c r="R1630">
        <v>17.670000000000002</v>
      </c>
      <c r="S1630" t="s">
        <v>177</v>
      </c>
      <c r="T1630" t="s">
        <v>779</v>
      </c>
    </row>
    <row r="1631" spans="1:20" x14ac:dyDescent="0.3">
      <c r="A1631">
        <v>1630</v>
      </c>
      <c r="B1631">
        <v>28</v>
      </c>
      <c r="C1631">
        <v>4</v>
      </c>
      <c r="D1631">
        <v>35.770000000000003</v>
      </c>
      <c r="E1631">
        <v>3.58</v>
      </c>
      <c r="F1631">
        <v>0</v>
      </c>
      <c r="G1631">
        <v>0.1</v>
      </c>
      <c r="H1631" t="s">
        <v>622</v>
      </c>
      <c r="J1631" t="s">
        <v>623</v>
      </c>
      <c r="K1631" s="1"/>
      <c r="L1631" s="1">
        <v>46115.695613425924</v>
      </c>
      <c r="M1631" s="2">
        <v>46115</v>
      </c>
      <c r="N1631" t="s">
        <v>637</v>
      </c>
      <c r="O1631" t="s">
        <v>625</v>
      </c>
      <c r="P1631">
        <v>1</v>
      </c>
      <c r="Q1631">
        <v>0</v>
      </c>
      <c r="R1631">
        <v>35.770000000000003</v>
      </c>
      <c r="S1631" t="s">
        <v>52</v>
      </c>
      <c r="T1631" t="s">
        <v>778</v>
      </c>
    </row>
    <row r="1632" spans="1:20" x14ac:dyDescent="0.3">
      <c r="A1632">
        <v>1631</v>
      </c>
      <c r="B1632">
        <v>241</v>
      </c>
      <c r="C1632">
        <v>4</v>
      </c>
      <c r="D1632">
        <v>17.14</v>
      </c>
      <c r="E1632">
        <v>1.71</v>
      </c>
      <c r="F1632">
        <v>0</v>
      </c>
      <c r="G1632">
        <v>0.1</v>
      </c>
      <c r="H1632" t="s">
        <v>622</v>
      </c>
      <c r="J1632" t="s">
        <v>623</v>
      </c>
      <c r="K1632" s="1"/>
      <c r="L1632" s="1">
        <v>46115.763344907406</v>
      </c>
      <c r="M1632" s="2">
        <v>46115</v>
      </c>
      <c r="N1632" t="s">
        <v>637</v>
      </c>
      <c r="O1632" t="s">
        <v>625</v>
      </c>
      <c r="P1632">
        <v>1</v>
      </c>
      <c r="Q1632">
        <v>0</v>
      </c>
      <c r="R1632">
        <v>17.14</v>
      </c>
      <c r="S1632" t="s">
        <v>477</v>
      </c>
      <c r="T1632" t="s">
        <v>778</v>
      </c>
    </row>
    <row r="1633" spans="1:20" x14ac:dyDescent="0.3">
      <c r="A1633">
        <v>1632</v>
      </c>
      <c r="B1633">
        <v>250</v>
      </c>
      <c r="C1633">
        <v>5</v>
      </c>
      <c r="D1633">
        <v>69.45</v>
      </c>
      <c r="E1633">
        <v>6.95</v>
      </c>
      <c r="F1633">
        <v>0</v>
      </c>
      <c r="G1633">
        <v>0.1</v>
      </c>
      <c r="H1633" t="s">
        <v>622</v>
      </c>
      <c r="J1633" t="s">
        <v>623</v>
      </c>
      <c r="K1633" s="1"/>
      <c r="L1633" s="1">
        <v>46115.779340277775</v>
      </c>
      <c r="M1633" s="2">
        <v>46115</v>
      </c>
      <c r="N1633" t="s">
        <v>637</v>
      </c>
      <c r="O1633" t="s">
        <v>625</v>
      </c>
      <c r="P1633">
        <v>1</v>
      </c>
      <c r="Q1633">
        <v>0</v>
      </c>
      <c r="R1633">
        <v>69.45</v>
      </c>
      <c r="S1633" t="s">
        <v>495</v>
      </c>
      <c r="T1633" t="s">
        <v>779</v>
      </c>
    </row>
    <row r="1634" spans="1:20" x14ac:dyDescent="0.3">
      <c r="A1634">
        <v>1633</v>
      </c>
      <c r="B1634">
        <v>156</v>
      </c>
      <c r="C1634">
        <v>2</v>
      </c>
      <c r="D1634">
        <v>41.07</v>
      </c>
      <c r="E1634">
        <v>0</v>
      </c>
      <c r="F1634">
        <v>1</v>
      </c>
      <c r="G1634">
        <v>0.1</v>
      </c>
      <c r="H1634" t="s">
        <v>622</v>
      </c>
      <c r="J1634" t="s">
        <v>623</v>
      </c>
      <c r="K1634" s="1"/>
      <c r="L1634" s="1">
        <v>46115.79109953704</v>
      </c>
      <c r="M1634" s="2">
        <v>46115</v>
      </c>
      <c r="N1634" t="s">
        <v>637</v>
      </c>
      <c r="O1634" t="s">
        <v>629</v>
      </c>
      <c r="P1634">
        <v>1</v>
      </c>
      <c r="Q1634">
        <v>0</v>
      </c>
      <c r="R1634">
        <v>41.07</v>
      </c>
      <c r="S1634" t="s">
        <v>307</v>
      </c>
      <c r="T1634" t="s">
        <v>776</v>
      </c>
    </row>
    <row r="1635" spans="1:20" x14ac:dyDescent="0.3">
      <c r="A1635">
        <v>1634</v>
      </c>
      <c r="B1635">
        <v>38</v>
      </c>
      <c r="C1635">
        <v>2</v>
      </c>
      <c r="D1635">
        <v>26.96</v>
      </c>
      <c r="E1635">
        <v>2.7</v>
      </c>
      <c r="F1635">
        <v>0</v>
      </c>
      <c r="G1635">
        <v>0.1</v>
      </c>
      <c r="H1635" t="s">
        <v>622</v>
      </c>
      <c r="J1635" t="s">
        <v>623</v>
      </c>
      <c r="K1635" s="1"/>
      <c r="L1635" s="1">
        <v>46116.302337962959</v>
      </c>
      <c r="M1635" s="2">
        <v>46116</v>
      </c>
      <c r="N1635" t="s">
        <v>637</v>
      </c>
      <c r="O1635" t="s">
        <v>625</v>
      </c>
      <c r="P1635">
        <v>1</v>
      </c>
      <c r="Q1635">
        <v>0</v>
      </c>
      <c r="R1635">
        <v>26.96</v>
      </c>
      <c r="S1635" t="s">
        <v>72</v>
      </c>
      <c r="T1635" t="s">
        <v>776</v>
      </c>
    </row>
    <row r="1636" spans="1:20" x14ac:dyDescent="0.3">
      <c r="A1636">
        <v>1635</v>
      </c>
      <c r="B1636">
        <v>262</v>
      </c>
      <c r="C1636">
        <v>5</v>
      </c>
      <c r="D1636">
        <v>70.12</v>
      </c>
      <c r="E1636">
        <v>7.01</v>
      </c>
      <c r="F1636">
        <v>0</v>
      </c>
      <c r="G1636">
        <v>0.1</v>
      </c>
      <c r="H1636" t="s">
        <v>622</v>
      </c>
      <c r="J1636" t="s">
        <v>623</v>
      </c>
      <c r="K1636" s="1"/>
      <c r="L1636" s="1">
        <v>46116.327986111108</v>
      </c>
      <c r="M1636" s="2">
        <v>46116</v>
      </c>
      <c r="N1636" t="s">
        <v>637</v>
      </c>
      <c r="O1636" t="s">
        <v>625</v>
      </c>
      <c r="P1636">
        <v>1</v>
      </c>
      <c r="Q1636">
        <v>0</v>
      </c>
      <c r="R1636">
        <v>70.12</v>
      </c>
      <c r="S1636" t="s">
        <v>519</v>
      </c>
      <c r="T1636" t="s">
        <v>779</v>
      </c>
    </row>
    <row r="1637" spans="1:20" x14ac:dyDescent="0.3">
      <c r="A1637">
        <v>1636</v>
      </c>
      <c r="B1637">
        <v>137</v>
      </c>
      <c r="C1637">
        <v>5</v>
      </c>
      <c r="D1637">
        <v>41.61</v>
      </c>
      <c r="E1637">
        <v>4.16</v>
      </c>
      <c r="F1637">
        <v>0</v>
      </c>
      <c r="G1637">
        <v>0.1</v>
      </c>
      <c r="H1637" t="s">
        <v>622</v>
      </c>
      <c r="J1637" t="s">
        <v>623</v>
      </c>
      <c r="K1637" s="1"/>
      <c r="L1637" s="1">
        <v>46116.348912037036</v>
      </c>
      <c r="M1637" s="2">
        <v>46116</v>
      </c>
      <c r="N1637" t="s">
        <v>637</v>
      </c>
      <c r="O1637" t="s">
        <v>625</v>
      </c>
      <c r="P1637">
        <v>1</v>
      </c>
      <c r="Q1637">
        <v>0</v>
      </c>
      <c r="R1637">
        <v>41.61</v>
      </c>
      <c r="S1637" t="s">
        <v>269</v>
      </c>
      <c r="T1637" t="s">
        <v>779</v>
      </c>
    </row>
    <row r="1638" spans="1:20" x14ac:dyDescent="0.3">
      <c r="A1638">
        <v>1637</v>
      </c>
      <c r="B1638">
        <v>104</v>
      </c>
      <c r="C1638">
        <v>3</v>
      </c>
      <c r="D1638">
        <v>105.91</v>
      </c>
      <c r="E1638">
        <v>10.59</v>
      </c>
      <c r="F1638">
        <v>0</v>
      </c>
      <c r="G1638">
        <v>0.1</v>
      </c>
      <c r="H1638" t="s">
        <v>622</v>
      </c>
      <c r="J1638" t="s">
        <v>623</v>
      </c>
      <c r="K1638" s="1"/>
      <c r="L1638" s="1">
        <v>46116.363981481481</v>
      </c>
      <c r="M1638" s="2">
        <v>46116</v>
      </c>
      <c r="N1638" t="s">
        <v>637</v>
      </c>
      <c r="O1638" t="s">
        <v>625</v>
      </c>
      <c r="P1638">
        <v>1</v>
      </c>
      <c r="Q1638">
        <v>0</v>
      </c>
      <c r="R1638">
        <v>105.91</v>
      </c>
      <c r="S1638" t="s">
        <v>203</v>
      </c>
      <c r="T1638" t="s">
        <v>777</v>
      </c>
    </row>
    <row r="1639" spans="1:20" x14ac:dyDescent="0.3">
      <c r="A1639">
        <v>1638</v>
      </c>
      <c r="B1639">
        <v>21</v>
      </c>
      <c r="C1639">
        <v>3</v>
      </c>
      <c r="D1639">
        <v>33.96</v>
      </c>
      <c r="E1639">
        <v>3.4</v>
      </c>
      <c r="F1639">
        <v>0</v>
      </c>
      <c r="G1639">
        <v>0.1</v>
      </c>
      <c r="H1639" t="s">
        <v>622</v>
      </c>
      <c r="J1639" t="s">
        <v>623</v>
      </c>
      <c r="K1639" s="1"/>
      <c r="L1639" s="1">
        <v>46116.376446759263</v>
      </c>
      <c r="M1639" s="2">
        <v>46116</v>
      </c>
      <c r="N1639" t="s">
        <v>637</v>
      </c>
      <c r="O1639" t="s">
        <v>625</v>
      </c>
      <c r="P1639">
        <v>1</v>
      </c>
      <c r="Q1639">
        <v>0</v>
      </c>
      <c r="R1639">
        <v>33.96</v>
      </c>
      <c r="S1639" t="s">
        <v>38</v>
      </c>
      <c r="T1639" t="s">
        <v>777</v>
      </c>
    </row>
    <row r="1640" spans="1:20" x14ac:dyDescent="0.3">
      <c r="A1640">
        <v>1639</v>
      </c>
      <c r="B1640">
        <v>136</v>
      </c>
      <c r="C1640">
        <v>3</v>
      </c>
      <c r="D1640">
        <v>173.16</v>
      </c>
      <c r="E1640">
        <v>17.32</v>
      </c>
      <c r="F1640">
        <v>0</v>
      </c>
      <c r="G1640">
        <v>0.1</v>
      </c>
      <c r="H1640" t="s">
        <v>622</v>
      </c>
      <c r="J1640" t="s">
        <v>623</v>
      </c>
      <c r="K1640" s="1"/>
      <c r="L1640" s="1">
        <v>46116.444699074076</v>
      </c>
      <c r="M1640" s="2">
        <v>46116</v>
      </c>
      <c r="N1640" t="s">
        <v>637</v>
      </c>
      <c r="O1640" t="s">
        <v>625</v>
      </c>
      <c r="P1640">
        <v>1</v>
      </c>
      <c r="Q1640">
        <v>0</v>
      </c>
      <c r="R1640">
        <v>173.16</v>
      </c>
      <c r="S1640" t="s">
        <v>267</v>
      </c>
      <c r="T1640" t="s">
        <v>777</v>
      </c>
    </row>
    <row r="1641" spans="1:20" x14ac:dyDescent="0.3">
      <c r="A1641">
        <v>1640</v>
      </c>
      <c r="B1641">
        <v>288</v>
      </c>
      <c r="C1641">
        <v>3</v>
      </c>
      <c r="D1641">
        <v>29.67</v>
      </c>
      <c r="E1641">
        <v>2.97</v>
      </c>
      <c r="F1641">
        <v>0</v>
      </c>
      <c r="G1641">
        <v>0.1</v>
      </c>
      <c r="H1641" t="s">
        <v>622</v>
      </c>
      <c r="J1641" t="s">
        <v>623</v>
      </c>
      <c r="K1641" s="1"/>
      <c r="L1641" s="1">
        <v>46116.504155092596</v>
      </c>
      <c r="M1641" s="2">
        <v>46116</v>
      </c>
      <c r="N1641" t="s">
        <v>637</v>
      </c>
      <c r="O1641" t="s">
        <v>625</v>
      </c>
      <c r="P1641">
        <v>1</v>
      </c>
      <c r="Q1641">
        <v>0</v>
      </c>
      <c r="R1641">
        <v>29.67</v>
      </c>
      <c r="S1641" t="s">
        <v>571</v>
      </c>
      <c r="T1641" t="s">
        <v>777</v>
      </c>
    </row>
    <row r="1642" spans="1:20" x14ac:dyDescent="0.3">
      <c r="A1642">
        <v>1641</v>
      </c>
      <c r="B1642">
        <v>108</v>
      </c>
      <c r="C1642">
        <v>2</v>
      </c>
      <c r="D1642">
        <v>58.81</v>
      </c>
      <c r="E1642">
        <v>5.88</v>
      </c>
      <c r="F1642">
        <v>0</v>
      </c>
      <c r="G1642">
        <v>0.1</v>
      </c>
      <c r="H1642" t="s">
        <v>622</v>
      </c>
      <c r="J1642" t="s">
        <v>623</v>
      </c>
      <c r="K1642" s="1"/>
      <c r="L1642" s="1">
        <v>46116.524305555555</v>
      </c>
      <c r="M1642" s="2">
        <v>46116</v>
      </c>
      <c r="N1642" t="s">
        <v>637</v>
      </c>
      <c r="O1642" t="s">
        <v>625</v>
      </c>
      <c r="P1642">
        <v>1</v>
      </c>
      <c r="Q1642">
        <v>0</v>
      </c>
      <c r="R1642">
        <v>58.81</v>
      </c>
      <c r="S1642" t="s">
        <v>211</v>
      </c>
      <c r="T1642" t="s">
        <v>776</v>
      </c>
    </row>
    <row r="1643" spans="1:20" x14ac:dyDescent="0.3">
      <c r="A1643">
        <v>1642</v>
      </c>
      <c r="B1643">
        <v>117</v>
      </c>
      <c r="C1643">
        <v>3</v>
      </c>
      <c r="D1643">
        <v>95.48</v>
      </c>
      <c r="E1643">
        <v>9.5500000000000007</v>
      </c>
      <c r="F1643">
        <v>0</v>
      </c>
      <c r="G1643">
        <v>0.1</v>
      </c>
      <c r="H1643" t="s">
        <v>622</v>
      </c>
      <c r="J1643" t="s">
        <v>623</v>
      </c>
      <c r="K1643" s="1"/>
      <c r="L1643" s="1">
        <v>46116.686331018522</v>
      </c>
      <c r="M1643" s="2">
        <v>46116</v>
      </c>
      <c r="N1643" t="s">
        <v>637</v>
      </c>
      <c r="O1643" t="s">
        <v>625</v>
      </c>
      <c r="P1643">
        <v>1</v>
      </c>
      <c r="Q1643">
        <v>0</v>
      </c>
      <c r="R1643">
        <v>95.48</v>
      </c>
      <c r="S1643" t="s">
        <v>229</v>
      </c>
      <c r="T1643" t="s">
        <v>777</v>
      </c>
    </row>
    <row r="1644" spans="1:20" x14ac:dyDescent="0.3">
      <c r="A1644">
        <v>1643</v>
      </c>
      <c r="B1644">
        <v>156</v>
      </c>
      <c r="C1644">
        <v>3</v>
      </c>
      <c r="D1644">
        <v>25.81</v>
      </c>
      <c r="E1644">
        <v>2.58</v>
      </c>
      <c r="F1644">
        <v>0</v>
      </c>
      <c r="G1644">
        <v>0.1</v>
      </c>
      <c r="H1644" t="s">
        <v>622</v>
      </c>
      <c r="J1644" t="s">
        <v>623</v>
      </c>
      <c r="K1644" s="1"/>
      <c r="L1644" s="1">
        <v>46116.744270833333</v>
      </c>
      <c r="M1644" s="2">
        <v>46116</v>
      </c>
      <c r="N1644" t="s">
        <v>637</v>
      </c>
      <c r="O1644" t="s">
        <v>625</v>
      </c>
      <c r="P1644">
        <v>1</v>
      </c>
      <c r="Q1644">
        <v>0</v>
      </c>
      <c r="R1644">
        <v>25.81</v>
      </c>
      <c r="S1644" t="s">
        <v>307</v>
      </c>
      <c r="T1644" t="s">
        <v>777</v>
      </c>
    </row>
    <row r="1645" spans="1:20" x14ac:dyDescent="0.3">
      <c r="A1645">
        <v>1644</v>
      </c>
      <c r="B1645">
        <v>34</v>
      </c>
      <c r="C1645">
        <v>2</v>
      </c>
      <c r="D1645">
        <v>166.61</v>
      </c>
      <c r="E1645">
        <v>16.66</v>
      </c>
      <c r="F1645">
        <v>0</v>
      </c>
      <c r="G1645">
        <v>0.1</v>
      </c>
      <c r="H1645" t="s">
        <v>622</v>
      </c>
      <c r="J1645" t="s">
        <v>623</v>
      </c>
      <c r="K1645" s="1"/>
      <c r="L1645" s="1">
        <v>46116.779687499999</v>
      </c>
      <c r="M1645" s="2">
        <v>46116</v>
      </c>
      <c r="N1645" t="s">
        <v>637</v>
      </c>
      <c r="O1645" t="s">
        <v>625</v>
      </c>
      <c r="P1645">
        <v>1</v>
      </c>
      <c r="Q1645">
        <v>0</v>
      </c>
      <c r="R1645">
        <v>166.61</v>
      </c>
      <c r="S1645" t="s">
        <v>64</v>
      </c>
      <c r="T1645" t="s">
        <v>776</v>
      </c>
    </row>
    <row r="1646" spans="1:20" x14ac:dyDescent="0.3">
      <c r="A1646">
        <v>1645</v>
      </c>
      <c r="B1646">
        <v>215</v>
      </c>
      <c r="C1646">
        <v>2</v>
      </c>
      <c r="D1646">
        <v>44.85</v>
      </c>
      <c r="E1646">
        <v>4.49</v>
      </c>
      <c r="F1646">
        <v>0</v>
      </c>
      <c r="G1646">
        <v>0.1</v>
      </c>
      <c r="H1646" t="s">
        <v>622</v>
      </c>
      <c r="J1646" t="s">
        <v>623</v>
      </c>
      <c r="K1646" s="1"/>
      <c r="L1646" s="1">
        <v>46116.82230324074</v>
      </c>
      <c r="M1646" s="2">
        <v>46116</v>
      </c>
      <c r="N1646" t="s">
        <v>637</v>
      </c>
      <c r="O1646" t="s">
        <v>625</v>
      </c>
      <c r="P1646">
        <v>1</v>
      </c>
      <c r="Q1646">
        <v>0</v>
      </c>
      <c r="R1646">
        <v>44.85</v>
      </c>
      <c r="S1646" t="s">
        <v>425</v>
      </c>
      <c r="T1646" t="s">
        <v>776</v>
      </c>
    </row>
    <row r="1647" spans="1:20" x14ac:dyDescent="0.3">
      <c r="A1647">
        <v>1646</v>
      </c>
      <c r="B1647">
        <v>117</v>
      </c>
      <c r="C1647">
        <v>4</v>
      </c>
      <c r="D1647">
        <v>139.25</v>
      </c>
      <c r="E1647">
        <v>13.93</v>
      </c>
      <c r="F1647">
        <v>0</v>
      </c>
      <c r="G1647">
        <v>0.1</v>
      </c>
      <c r="H1647" t="s">
        <v>622</v>
      </c>
      <c r="J1647" t="s">
        <v>623</v>
      </c>
      <c r="K1647" s="1"/>
      <c r="L1647" s="1">
        <v>46117.53324074074</v>
      </c>
      <c r="M1647" s="2">
        <v>46117</v>
      </c>
      <c r="N1647" t="s">
        <v>637</v>
      </c>
      <c r="O1647" t="s">
        <v>625</v>
      </c>
      <c r="P1647">
        <v>1</v>
      </c>
      <c r="Q1647">
        <v>0</v>
      </c>
      <c r="R1647">
        <v>139.25</v>
      </c>
      <c r="S1647" t="s">
        <v>229</v>
      </c>
      <c r="T1647" t="s">
        <v>778</v>
      </c>
    </row>
    <row r="1648" spans="1:20" x14ac:dyDescent="0.3">
      <c r="A1648">
        <v>1647</v>
      </c>
      <c r="B1648">
        <v>227</v>
      </c>
      <c r="C1648">
        <v>2</v>
      </c>
      <c r="D1648">
        <v>19.510000000000002</v>
      </c>
      <c r="E1648">
        <v>0</v>
      </c>
      <c r="F1648">
        <v>1</v>
      </c>
      <c r="G1648">
        <v>0.1</v>
      </c>
      <c r="H1648" t="s">
        <v>622</v>
      </c>
      <c r="J1648" t="s">
        <v>623</v>
      </c>
      <c r="K1648" s="1"/>
      <c r="L1648" s="1">
        <v>46118.498182870368</v>
      </c>
      <c r="M1648" s="2">
        <v>46118</v>
      </c>
      <c r="N1648" t="s">
        <v>637</v>
      </c>
      <c r="O1648" t="s">
        <v>629</v>
      </c>
      <c r="P1648">
        <v>1</v>
      </c>
      <c r="Q1648">
        <v>0</v>
      </c>
      <c r="R1648">
        <v>19.510000000000002</v>
      </c>
      <c r="S1648" t="s">
        <v>449</v>
      </c>
      <c r="T1648" t="s">
        <v>776</v>
      </c>
    </row>
    <row r="1649" spans="1:20" x14ac:dyDescent="0.3">
      <c r="A1649">
        <v>1648</v>
      </c>
      <c r="B1649">
        <v>250</v>
      </c>
      <c r="C1649">
        <v>5</v>
      </c>
      <c r="D1649">
        <v>61.73</v>
      </c>
      <c r="E1649">
        <v>6.17</v>
      </c>
      <c r="F1649">
        <v>0</v>
      </c>
      <c r="G1649">
        <v>0.1</v>
      </c>
      <c r="H1649" t="s">
        <v>622</v>
      </c>
      <c r="J1649" t="s">
        <v>623</v>
      </c>
      <c r="K1649" s="1"/>
      <c r="L1649" s="1">
        <v>46118.605983796297</v>
      </c>
      <c r="M1649" s="2">
        <v>46118</v>
      </c>
      <c r="N1649" t="s">
        <v>637</v>
      </c>
      <c r="O1649" t="s">
        <v>625</v>
      </c>
      <c r="P1649">
        <v>1</v>
      </c>
      <c r="Q1649">
        <v>0</v>
      </c>
      <c r="R1649">
        <v>61.73</v>
      </c>
      <c r="S1649" t="s">
        <v>495</v>
      </c>
      <c r="T1649" t="s">
        <v>779</v>
      </c>
    </row>
    <row r="1650" spans="1:20" x14ac:dyDescent="0.3">
      <c r="A1650">
        <v>1649</v>
      </c>
      <c r="B1650">
        <v>213</v>
      </c>
      <c r="C1650">
        <v>2</v>
      </c>
      <c r="D1650">
        <v>80</v>
      </c>
      <c r="E1650">
        <v>8</v>
      </c>
      <c r="F1650">
        <v>0</v>
      </c>
      <c r="G1650">
        <v>0.1</v>
      </c>
      <c r="H1650" t="s">
        <v>622</v>
      </c>
      <c r="J1650" t="s">
        <v>623</v>
      </c>
      <c r="K1650" s="1"/>
      <c r="L1650" s="1">
        <v>46118.695462962962</v>
      </c>
      <c r="M1650" s="2">
        <v>46118</v>
      </c>
      <c r="N1650" t="s">
        <v>637</v>
      </c>
      <c r="O1650" t="s">
        <v>625</v>
      </c>
      <c r="P1650">
        <v>1</v>
      </c>
      <c r="Q1650">
        <v>0</v>
      </c>
      <c r="R1650">
        <v>80</v>
      </c>
      <c r="S1650" t="s">
        <v>421</v>
      </c>
      <c r="T1650" t="s">
        <v>776</v>
      </c>
    </row>
    <row r="1651" spans="1:20" x14ac:dyDescent="0.3">
      <c r="A1651">
        <v>1650</v>
      </c>
      <c r="B1651">
        <v>137</v>
      </c>
      <c r="C1651">
        <v>4</v>
      </c>
      <c r="D1651">
        <v>27.85</v>
      </c>
      <c r="E1651">
        <v>2.79</v>
      </c>
      <c r="F1651">
        <v>0</v>
      </c>
      <c r="G1651">
        <v>0.1</v>
      </c>
      <c r="H1651" t="s">
        <v>622</v>
      </c>
      <c r="J1651" t="s">
        <v>623</v>
      </c>
      <c r="K1651" s="1"/>
      <c r="L1651" s="1">
        <v>46119.392731481479</v>
      </c>
      <c r="M1651" s="2">
        <v>46119</v>
      </c>
      <c r="N1651" t="s">
        <v>637</v>
      </c>
      <c r="O1651" t="s">
        <v>625</v>
      </c>
      <c r="P1651">
        <v>1</v>
      </c>
      <c r="Q1651">
        <v>0</v>
      </c>
      <c r="R1651">
        <v>27.85</v>
      </c>
      <c r="S1651" t="s">
        <v>269</v>
      </c>
      <c r="T1651" t="s">
        <v>778</v>
      </c>
    </row>
    <row r="1652" spans="1:20" x14ac:dyDescent="0.3">
      <c r="A1652">
        <v>1651</v>
      </c>
      <c r="B1652">
        <v>300</v>
      </c>
      <c r="C1652">
        <v>2</v>
      </c>
      <c r="D1652">
        <v>58.99</v>
      </c>
      <c r="E1652">
        <v>5.9</v>
      </c>
      <c r="F1652">
        <v>0</v>
      </c>
      <c r="G1652">
        <v>0.1</v>
      </c>
      <c r="H1652" t="s">
        <v>622</v>
      </c>
      <c r="J1652" t="s">
        <v>623</v>
      </c>
      <c r="K1652" s="1"/>
      <c r="L1652" s="1">
        <v>46119.448958333334</v>
      </c>
      <c r="M1652" s="2">
        <v>46119</v>
      </c>
      <c r="N1652" t="s">
        <v>637</v>
      </c>
      <c r="O1652" t="s">
        <v>625</v>
      </c>
      <c r="P1652">
        <v>1</v>
      </c>
      <c r="Q1652">
        <v>0</v>
      </c>
      <c r="R1652">
        <v>58.99</v>
      </c>
      <c r="S1652" t="s">
        <v>595</v>
      </c>
      <c r="T1652" t="s">
        <v>776</v>
      </c>
    </row>
    <row r="1653" spans="1:20" x14ac:dyDescent="0.3">
      <c r="A1653">
        <v>1652</v>
      </c>
      <c r="B1653">
        <v>156</v>
      </c>
      <c r="C1653">
        <v>5</v>
      </c>
      <c r="D1653">
        <v>63.4</v>
      </c>
      <c r="E1653">
        <v>6.34</v>
      </c>
      <c r="F1653">
        <v>0</v>
      </c>
      <c r="G1653">
        <v>0.1</v>
      </c>
      <c r="H1653" t="s">
        <v>622</v>
      </c>
      <c r="J1653" t="s">
        <v>623</v>
      </c>
      <c r="K1653" s="1"/>
      <c r="L1653" s="1">
        <v>46119.449988425928</v>
      </c>
      <c r="M1653" s="2">
        <v>46119</v>
      </c>
      <c r="N1653" t="s">
        <v>637</v>
      </c>
      <c r="O1653" t="s">
        <v>625</v>
      </c>
      <c r="P1653">
        <v>1</v>
      </c>
      <c r="Q1653">
        <v>0</v>
      </c>
      <c r="R1653">
        <v>63.4</v>
      </c>
      <c r="S1653" t="s">
        <v>307</v>
      </c>
      <c r="T1653" t="s">
        <v>779</v>
      </c>
    </row>
    <row r="1654" spans="1:20" x14ac:dyDescent="0.3">
      <c r="A1654">
        <v>1653</v>
      </c>
      <c r="B1654">
        <v>137</v>
      </c>
      <c r="C1654">
        <v>4</v>
      </c>
      <c r="D1654">
        <v>32.61</v>
      </c>
      <c r="E1654">
        <v>3.26</v>
      </c>
      <c r="F1654">
        <v>0</v>
      </c>
      <c r="G1654">
        <v>0.1</v>
      </c>
      <c r="H1654" t="s">
        <v>622</v>
      </c>
      <c r="J1654" t="s">
        <v>623</v>
      </c>
      <c r="K1654" s="1"/>
      <c r="L1654" s="1">
        <v>46119.470914351848</v>
      </c>
      <c r="M1654" s="2">
        <v>46119</v>
      </c>
      <c r="N1654" t="s">
        <v>637</v>
      </c>
      <c r="O1654" t="s">
        <v>625</v>
      </c>
      <c r="P1654">
        <v>1</v>
      </c>
      <c r="Q1654">
        <v>0</v>
      </c>
      <c r="R1654">
        <v>32.61</v>
      </c>
      <c r="S1654" t="s">
        <v>269</v>
      </c>
      <c r="T1654" t="s">
        <v>778</v>
      </c>
    </row>
    <row r="1655" spans="1:20" x14ac:dyDescent="0.3">
      <c r="A1655">
        <v>1654</v>
      </c>
      <c r="B1655">
        <v>70</v>
      </c>
      <c r="C1655">
        <v>2</v>
      </c>
      <c r="D1655">
        <v>271.17</v>
      </c>
      <c r="E1655">
        <v>27.12</v>
      </c>
      <c r="F1655">
        <v>0</v>
      </c>
      <c r="G1655">
        <v>0.1</v>
      </c>
      <c r="H1655" t="s">
        <v>622</v>
      </c>
      <c r="J1655" t="s">
        <v>623</v>
      </c>
      <c r="K1655" s="1"/>
      <c r="L1655" s="1">
        <v>46119.587094907409</v>
      </c>
      <c r="M1655" s="2">
        <v>46119</v>
      </c>
      <c r="N1655" t="s">
        <v>637</v>
      </c>
      <c r="O1655" t="s">
        <v>625</v>
      </c>
      <c r="P1655">
        <v>1</v>
      </c>
      <c r="Q1655">
        <v>0</v>
      </c>
      <c r="R1655">
        <v>271.17</v>
      </c>
      <c r="S1655" t="s">
        <v>136</v>
      </c>
      <c r="T1655" t="s">
        <v>776</v>
      </c>
    </row>
    <row r="1656" spans="1:20" x14ac:dyDescent="0.3">
      <c r="A1656">
        <v>1655</v>
      </c>
      <c r="B1656">
        <v>282</v>
      </c>
      <c r="C1656">
        <v>2</v>
      </c>
      <c r="D1656">
        <v>149.38</v>
      </c>
      <c r="E1656">
        <v>14.94</v>
      </c>
      <c r="F1656">
        <v>0</v>
      </c>
      <c r="G1656">
        <v>0.1</v>
      </c>
      <c r="H1656" t="s">
        <v>622</v>
      </c>
      <c r="J1656" t="s">
        <v>623</v>
      </c>
      <c r="K1656" s="1"/>
      <c r="L1656" s="1">
        <v>46119.617893518516</v>
      </c>
      <c r="M1656" s="2">
        <v>46119</v>
      </c>
      <c r="N1656" t="s">
        <v>637</v>
      </c>
      <c r="O1656" t="s">
        <v>625</v>
      </c>
      <c r="P1656">
        <v>1</v>
      </c>
      <c r="Q1656">
        <v>0</v>
      </c>
      <c r="R1656">
        <v>149.38</v>
      </c>
      <c r="S1656" t="s">
        <v>559</v>
      </c>
      <c r="T1656" t="s">
        <v>776</v>
      </c>
    </row>
    <row r="1657" spans="1:20" x14ac:dyDescent="0.3">
      <c r="A1657">
        <v>1656</v>
      </c>
      <c r="B1657">
        <v>149</v>
      </c>
      <c r="C1657">
        <v>5</v>
      </c>
      <c r="D1657">
        <v>19.21</v>
      </c>
      <c r="E1657">
        <v>1.92</v>
      </c>
      <c r="F1657">
        <v>0</v>
      </c>
      <c r="G1657">
        <v>0.1</v>
      </c>
      <c r="H1657" t="s">
        <v>622</v>
      </c>
      <c r="J1657" t="s">
        <v>623</v>
      </c>
      <c r="K1657" s="1"/>
      <c r="L1657" s="1">
        <v>46119.636817129627</v>
      </c>
      <c r="M1657" s="2">
        <v>46119</v>
      </c>
      <c r="N1657" t="s">
        <v>637</v>
      </c>
      <c r="O1657" t="s">
        <v>625</v>
      </c>
      <c r="P1657">
        <v>1</v>
      </c>
      <c r="Q1657">
        <v>0</v>
      </c>
      <c r="R1657">
        <v>19.21</v>
      </c>
      <c r="S1657" t="s">
        <v>293</v>
      </c>
      <c r="T1657" t="s">
        <v>779</v>
      </c>
    </row>
    <row r="1658" spans="1:20" x14ac:dyDescent="0.3">
      <c r="A1658">
        <v>1657</v>
      </c>
      <c r="B1658">
        <v>110</v>
      </c>
      <c r="C1658">
        <v>3</v>
      </c>
      <c r="D1658">
        <v>54</v>
      </c>
      <c r="E1658">
        <v>5.4</v>
      </c>
      <c r="F1658">
        <v>0</v>
      </c>
      <c r="G1658">
        <v>0.1</v>
      </c>
      <c r="H1658" t="s">
        <v>622</v>
      </c>
      <c r="J1658" t="s">
        <v>623</v>
      </c>
      <c r="K1658" s="1"/>
      <c r="L1658" s="1">
        <v>46119.808379629627</v>
      </c>
      <c r="M1658" s="2">
        <v>46119</v>
      </c>
      <c r="N1658" t="s">
        <v>637</v>
      </c>
      <c r="O1658" t="s">
        <v>625</v>
      </c>
      <c r="P1658">
        <v>1</v>
      </c>
      <c r="Q1658">
        <v>0</v>
      </c>
      <c r="R1658">
        <v>54</v>
      </c>
      <c r="S1658" t="s">
        <v>215</v>
      </c>
      <c r="T1658" t="s">
        <v>777</v>
      </c>
    </row>
    <row r="1659" spans="1:20" x14ac:dyDescent="0.3">
      <c r="A1659">
        <v>1658</v>
      </c>
      <c r="B1659">
        <v>32</v>
      </c>
      <c r="C1659">
        <v>3</v>
      </c>
      <c r="D1659">
        <v>15.54</v>
      </c>
      <c r="E1659">
        <v>1.55</v>
      </c>
      <c r="F1659">
        <v>0</v>
      </c>
      <c r="G1659">
        <v>0.1</v>
      </c>
      <c r="H1659" t="s">
        <v>622</v>
      </c>
      <c r="J1659" t="s">
        <v>623</v>
      </c>
      <c r="K1659" s="1"/>
      <c r="L1659" s="1">
        <v>46119.827048611114</v>
      </c>
      <c r="M1659" s="2">
        <v>46119</v>
      </c>
      <c r="N1659" t="s">
        <v>637</v>
      </c>
      <c r="O1659" t="s">
        <v>625</v>
      </c>
      <c r="P1659">
        <v>1</v>
      </c>
      <c r="Q1659">
        <v>0</v>
      </c>
      <c r="R1659">
        <v>15.54</v>
      </c>
      <c r="S1659" t="s">
        <v>60</v>
      </c>
      <c r="T1659" t="s">
        <v>777</v>
      </c>
    </row>
    <row r="1660" spans="1:20" x14ac:dyDescent="0.3">
      <c r="A1660">
        <v>1659</v>
      </c>
      <c r="B1660">
        <v>250</v>
      </c>
      <c r="C1660">
        <v>2</v>
      </c>
      <c r="D1660">
        <v>197.53</v>
      </c>
      <c r="E1660">
        <v>19.75</v>
      </c>
      <c r="F1660">
        <v>0</v>
      </c>
      <c r="G1660">
        <v>0.1</v>
      </c>
      <c r="H1660" t="s">
        <v>622</v>
      </c>
      <c r="J1660" t="s">
        <v>623</v>
      </c>
      <c r="K1660" s="1"/>
      <c r="L1660" s="1">
        <v>46120.414444444446</v>
      </c>
      <c r="M1660" s="2">
        <v>46120</v>
      </c>
      <c r="N1660" t="s">
        <v>637</v>
      </c>
      <c r="O1660" t="s">
        <v>625</v>
      </c>
      <c r="P1660">
        <v>1</v>
      </c>
      <c r="Q1660">
        <v>0</v>
      </c>
      <c r="R1660">
        <v>197.53</v>
      </c>
      <c r="S1660" t="s">
        <v>495</v>
      </c>
      <c r="T1660" t="s">
        <v>776</v>
      </c>
    </row>
    <row r="1661" spans="1:20" x14ac:dyDescent="0.3">
      <c r="A1661">
        <v>1660</v>
      </c>
      <c r="B1661">
        <v>132</v>
      </c>
      <c r="C1661">
        <v>4</v>
      </c>
      <c r="D1661">
        <v>228.51</v>
      </c>
      <c r="E1661">
        <v>22.85</v>
      </c>
      <c r="F1661">
        <v>0</v>
      </c>
      <c r="G1661">
        <v>0.1</v>
      </c>
      <c r="H1661" t="s">
        <v>622</v>
      </c>
      <c r="J1661" t="s">
        <v>623</v>
      </c>
      <c r="K1661" s="1"/>
      <c r="L1661" s="1">
        <v>46120.425798611112</v>
      </c>
      <c r="M1661" s="2">
        <v>46120</v>
      </c>
      <c r="N1661" t="s">
        <v>637</v>
      </c>
      <c r="O1661" t="s">
        <v>625</v>
      </c>
      <c r="P1661">
        <v>1</v>
      </c>
      <c r="Q1661">
        <v>0</v>
      </c>
      <c r="R1661">
        <v>228.51</v>
      </c>
      <c r="S1661" t="s">
        <v>259</v>
      </c>
      <c r="T1661" t="s">
        <v>778</v>
      </c>
    </row>
    <row r="1662" spans="1:20" x14ac:dyDescent="0.3">
      <c r="A1662">
        <v>1661</v>
      </c>
      <c r="B1662">
        <v>156</v>
      </c>
      <c r="C1662">
        <v>4</v>
      </c>
      <c r="D1662">
        <v>38.57</v>
      </c>
      <c r="E1662">
        <v>3.86</v>
      </c>
      <c r="F1662">
        <v>0</v>
      </c>
      <c r="G1662">
        <v>0.1</v>
      </c>
      <c r="H1662" t="s">
        <v>622</v>
      </c>
      <c r="J1662" t="s">
        <v>623</v>
      </c>
      <c r="K1662" s="1"/>
      <c r="L1662" s="1">
        <v>46120.563587962963</v>
      </c>
      <c r="M1662" s="2">
        <v>46120</v>
      </c>
      <c r="N1662" t="s">
        <v>637</v>
      </c>
      <c r="O1662" t="s">
        <v>625</v>
      </c>
      <c r="P1662">
        <v>1</v>
      </c>
      <c r="Q1662">
        <v>0</v>
      </c>
      <c r="R1662">
        <v>38.57</v>
      </c>
      <c r="S1662" t="s">
        <v>307</v>
      </c>
      <c r="T1662" t="s">
        <v>778</v>
      </c>
    </row>
    <row r="1663" spans="1:20" x14ac:dyDescent="0.3">
      <c r="A1663">
        <v>1662</v>
      </c>
      <c r="B1663">
        <v>250</v>
      </c>
      <c r="C1663">
        <v>2</v>
      </c>
      <c r="D1663">
        <v>100.07</v>
      </c>
      <c r="E1663">
        <v>10.01</v>
      </c>
      <c r="F1663">
        <v>0</v>
      </c>
      <c r="G1663">
        <v>0.1</v>
      </c>
      <c r="H1663" t="s">
        <v>622</v>
      </c>
      <c r="J1663" t="s">
        <v>623</v>
      </c>
      <c r="K1663" s="1"/>
      <c r="L1663" s="1">
        <v>46120.6015162037</v>
      </c>
      <c r="M1663" s="2">
        <v>46120</v>
      </c>
      <c r="N1663" t="s">
        <v>637</v>
      </c>
      <c r="O1663" t="s">
        <v>625</v>
      </c>
      <c r="P1663">
        <v>1</v>
      </c>
      <c r="Q1663">
        <v>0</v>
      </c>
      <c r="R1663">
        <v>100.07</v>
      </c>
      <c r="S1663" t="s">
        <v>495</v>
      </c>
      <c r="T1663" t="s">
        <v>776</v>
      </c>
    </row>
    <row r="1664" spans="1:20" x14ac:dyDescent="0.3">
      <c r="A1664">
        <v>1663</v>
      </c>
      <c r="B1664">
        <v>137</v>
      </c>
      <c r="C1664">
        <v>4</v>
      </c>
      <c r="D1664">
        <v>15.72</v>
      </c>
      <c r="E1664">
        <v>1.57</v>
      </c>
      <c r="F1664">
        <v>0</v>
      </c>
      <c r="G1664">
        <v>0.1</v>
      </c>
      <c r="H1664" t="s">
        <v>622</v>
      </c>
      <c r="J1664" t="s">
        <v>623</v>
      </c>
      <c r="K1664" s="1"/>
      <c r="L1664" s="1">
        <v>46120.6718287037</v>
      </c>
      <c r="M1664" s="2">
        <v>46120</v>
      </c>
      <c r="N1664" t="s">
        <v>637</v>
      </c>
      <c r="O1664" t="s">
        <v>625</v>
      </c>
      <c r="P1664">
        <v>1</v>
      </c>
      <c r="Q1664">
        <v>0</v>
      </c>
      <c r="R1664">
        <v>15.72</v>
      </c>
      <c r="S1664" t="s">
        <v>269</v>
      </c>
      <c r="T1664" t="s">
        <v>778</v>
      </c>
    </row>
    <row r="1665" spans="1:20" x14ac:dyDescent="0.3">
      <c r="A1665">
        <v>1664</v>
      </c>
      <c r="B1665">
        <v>58</v>
      </c>
      <c r="C1665">
        <v>2</v>
      </c>
      <c r="D1665">
        <v>158.43</v>
      </c>
      <c r="E1665">
        <v>15.84</v>
      </c>
      <c r="F1665">
        <v>0</v>
      </c>
      <c r="G1665">
        <v>0.1</v>
      </c>
      <c r="H1665" t="s">
        <v>622</v>
      </c>
      <c r="J1665" t="s">
        <v>623</v>
      </c>
      <c r="K1665" s="1"/>
      <c r="L1665" s="1">
        <v>46120.77065972222</v>
      </c>
      <c r="M1665" s="2">
        <v>46120</v>
      </c>
      <c r="N1665" t="s">
        <v>637</v>
      </c>
      <c r="O1665" t="s">
        <v>625</v>
      </c>
      <c r="P1665">
        <v>1</v>
      </c>
      <c r="Q1665">
        <v>0</v>
      </c>
      <c r="R1665">
        <v>158.43</v>
      </c>
      <c r="S1665" t="s">
        <v>112</v>
      </c>
      <c r="T1665" t="s">
        <v>776</v>
      </c>
    </row>
    <row r="1666" spans="1:20" x14ac:dyDescent="0.3">
      <c r="A1666">
        <v>1665</v>
      </c>
      <c r="B1666">
        <v>245</v>
      </c>
      <c r="C1666">
        <v>5</v>
      </c>
      <c r="D1666">
        <v>34.83</v>
      </c>
      <c r="E1666">
        <v>3.48</v>
      </c>
      <c r="F1666">
        <v>0</v>
      </c>
      <c r="G1666">
        <v>0.1</v>
      </c>
      <c r="H1666" t="s">
        <v>622</v>
      </c>
      <c r="J1666" t="s">
        <v>623</v>
      </c>
      <c r="K1666" s="1"/>
      <c r="L1666" s="1">
        <v>46121.365879629629</v>
      </c>
      <c r="M1666" s="2">
        <v>46121</v>
      </c>
      <c r="N1666" t="s">
        <v>637</v>
      </c>
      <c r="O1666" t="s">
        <v>625</v>
      </c>
      <c r="P1666">
        <v>1</v>
      </c>
      <c r="Q1666">
        <v>0</v>
      </c>
      <c r="R1666">
        <v>34.83</v>
      </c>
      <c r="S1666" t="s">
        <v>485</v>
      </c>
      <c r="T1666" t="s">
        <v>779</v>
      </c>
    </row>
    <row r="1667" spans="1:20" x14ac:dyDescent="0.3">
      <c r="A1667">
        <v>1666</v>
      </c>
      <c r="B1667">
        <v>279</v>
      </c>
      <c r="C1667">
        <v>2</v>
      </c>
      <c r="D1667">
        <v>218.71</v>
      </c>
      <c r="E1667">
        <v>21.87</v>
      </c>
      <c r="F1667">
        <v>0</v>
      </c>
      <c r="G1667">
        <v>0.1</v>
      </c>
      <c r="H1667" t="s">
        <v>622</v>
      </c>
      <c r="J1667" t="s">
        <v>623</v>
      </c>
      <c r="K1667" s="1"/>
      <c r="L1667" s="1">
        <v>46121.371180555558</v>
      </c>
      <c r="M1667" s="2">
        <v>46121</v>
      </c>
      <c r="N1667" t="s">
        <v>637</v>
      </c>
      <c r="O1667" t="s">
        <v>625</v>
      </c>
      <c r="P1667">
        <v>1</v>
      </c>
      <c r="Q1667">
        <v>0</v>
      </c>
      <c r="R1667">
        <v>218.71</v>
      </c>
      <c r="S1667" t="s">
        <v>553</v>
      </c>
      <c r="T1667" t="s">
        <v>776</v>
      </c>
    </row>
    <row r="1668" spans="1:20" x14ac:dyDescent="0.3">
      <c r="A1668">
        <v>1667</v>
      </c>
      <c r="B1668">
        <v>154</v>
      </c>
      <c r="C1668">
        <v>4</v>
      </c>
      <c r="D1668">
        <v>22.11</v>
      </c>
      <c r="E1668">
        <v>2.21</v>
      </c>
      <c r="F1668">
        <v>0</v>
      </c>
      <c r="G1668">
        <v>0.1</v>
      </c>
      <c r="H1668" t="s">
        <v>622</v>
      </c>
      <c r="J1668" t="s">
        <v>623</v>
      </c>
      <c r="K1668" s="1"/>
      <c r="L1668" s="1">
        <v>46121.393680555557</v>
      </c>
      <c r="M1668" s="2">
        <v>46121</v>
      </c>
      <c r="N1668" t="s">
        <v>637</v>
      </c>
      <c r="O1668" t="s">
        <v>625</v>
      </c>
      <c r="P1668">
        <v>1</v>
      </c>
      <c r="Q1668">
        <v>0</v>
      </c>
      <c r="R1668">
        <v>22.11</v>
      </c>
      <c r="S1668" t="s">
        <v>303</v>
      </c>
      <c r="T1668" t="s">
        <v>778</v>
      </c>
    </row>
    <row r="1669" spans="1:20" x14ac:dyDescent="0.3">
      <c r="A1669">
        <v>1668</v>
      </c>
      <c r="B1669">
        <v>70</v>
      </c>
      <c r="C1669">
        <v>3</v>
      </c>
      <c r="D1669">
        <v>120.71</v>
      </c>
      <c r="E1669">
        <v>12.07</v>
      </c>
      <c r="F1669">
        <v>0</v>
      </c>
      <c r="G1669">
        <v>0.1</v>
      </c>
      <c r="H1669" t="s">
        <v>622</v>
      </c>
      <c r="J1669" t="s">
        <v>623</v>
      </c>
      <c r="K1669" s="1"/>
      <c r="L1669" s="1">
        <v>46121.398599537039</v>
      </c>
      <c r="M1669" s="2">
        <v>46121</v>
      </c>
      <c r="N1669" t="s">
        <v>637</v>
      </c>
      <c r="O1669" t="s">
        <v>625</v>
      </c>
      <c r="P1669">
        <v>1</v>
      </c>
      <c r="Q1669">
        <v>0</v>
      </c>
      <c r="R1669">
        <v>120.71</v>
      </c>
      <c r="S1669" t="s">
        <v>136</v>
      </c>
      <c r="T1669" t="s">
        <v>777</v>
      </c>
    </row>
    <row r="1670" spans="1:20" x14ac:dyDescent="0.3">
      <c r="A1670">
        <v>1669</v>
      </c>
      <c r="B1670">
        <v>156</v>
      </c>
      <c r="C1670">
        <v>2</v>
      </c>
      <c r="D1670">
        <v>33.92</v>
      </c>
      <c r="E1670">
        <v>3.39</v>
      </c>
      <c r="F1670">
        <v>0</v>
      </c>
      <c r="G1670">
        <v>0.1</v>
      </c>
      <c r="H1670" t="s">
        <v>622</v>
      </c>
      <c r="J1670" t="s">
        <v>623</v>
      </c>
      <c r="K1670" s="1"/>
      <c r="L1670" s="1">
        <v>46121.46607638889</v>
      </c>
      <c r="M1670" s="2">
        <v>46121</v>
      </c>
      <c r="N1670" t="s">
        <v>637</v>
      </c>
      <c r="O1670" t="s">
        <v>625</v>
      </c>
      <c r="P1670">
        <v>1</v>
      </c>
      <c r="Q1670">
        <v>0</v>
      </c>
      <c r="R1670">
        <v>33.92</v>
      </c>
      <c r="S1670" t="s">
        <v>307</v>
      </c>
      <c r="T1670" t="s">
        <v>776</v>
      </c>
    </row>
    <row r="1671" spans="1:20" x14ac:dyDescent="0.3">
      <c r="A1671">
        <v>1670</v>
      </c>
      <c r="B1671">
        <v>250</v>
      </c>
      <c r="C1671">
        <v>2</v>
      </c>
      <c r="D1671">
        <v>107.85</v>
      </c>
      <c r="E1671">
        <v>10.79</v>
      </c>
      <c r="F1671">
        <v>0</v>
      </c>
      <c r="G1671">
        <v>0.1</v>
      </c>
      <c r="H1671" t="s">
        <v>622</v>
      </c>
      <c r="J1671" t="s">
        <v>623</v>
      </c>
      <c r="K1671" s="1"/>
      <c r="L1671" s="1">
        <v>46121.574699074074</v>
      </c>
      <c r="M1671" s="2">
        <v>46121</v>
      </c>
      <c r="N1671" t="s">
        <v>637</v>
      </c>
      <c r="O1671" t="s">
        <v>625</v>
      </c>
      <c r="P1671">
        <v>1</v>
      </c>
      <c r="Q1671">
        <v>0</v>
      </c>
      <c r="R1671">
        <v>107.85</v>
      </c>
      <c r="S1671" t="s">
        <v>495</v>
      </c>
      <c r="T1671" t="s">
        <v>776</v>
      </c>
    </row>
    <row r="1672" spans="1:20" x14ac:dyDescent="0.3">
      <c r="A1672">
        <v>1671</v>
      </c>
      <c r="B1672">
        <v>47</v>
      </c>
      <c r="C1672">
        <v>5</v>
      </c>
      <c r="D1672">
        <v>22.16</v>
      </c>
      <c r="E1672">
        <v>2.2200000000000002</v>
      </c>
      <c r="F1672">
        <v>0</v>
      </c>
      <c r="G1672">
        <v>0.1</v>
      </c>
      <c r="H1672" t="s">
        <v>622</v>
      </c>
      <c r="J1672" t="s">
        <v>623</v>
      </c>
      <c r="K1672" s="1"/>
      <c r="L1672" s="1">
        <v>46121.62295138889</v>
      </c>
      <c r="M1672" s="2">
        <v>46121</v>
      </c>
      <c r="N1672" t="s">
        <v>637</v>
      </c>
      <c r="O1672" t="s">
        <v>625</v>
      </c>
      <c r="P1672">
        <v>1</v>
      </c>
      <c r="Q1672">
        <v>0</v>
      </c>
      <c r="R1672">
        <v>22.16</v>
      </c>
      <c r="S1672" t="s">
        <v>90</v>
      </c>
      <c r="T1672" t="s">
        <v>779</v>
      </c>
    </row>
    <row r="1673" spans="1:20" x14ac:dyDescent="0.3">
      <c r="A1673">
        <v>1672</v>
      </c>
      <c r="B1673">
        <v>265</v>
      </c>
      <c r="C1673">
        <v>3</v>
      </c>
      <c r="D1673">
        <v>116.48</v>
      </c>
      <c r="E1673">
        <v>11.65</v>
      </c>
      <c r="F1673">
        <v>0</v>
      </c>
      <c r="G1673">
        <v>0.1</v>
      </c>
      <c r="H1673" t="s">
        <v>622</v>
      </c>
      <c r="J1673" t="s">
        <v>623</v>
      </c>
      <c r="K1673" s="1"/>
      <c r="L1673" s="1">
        <v>46121.704340277778</v>
      </c>
      <c r="M1673" s="2">
        <v>46121</v>
      </c>
      <c r="N1673" t="s">
        <v>637</v>
      </c>
      <c r="O1673" t="s">
        <v>625</v>
      </c>
      <c r="P1673">
        <v>1</v>
      </c>
      <c r="Q1673">
        <v>0</v>
      </c>
      <c r="R1673">
        <v>116.48</v>
      </c>
      <c r="S1673" t="s">
        <v>525</v>
      </c>
      <c r="T1673" t="s">
        <v>777</v>
      </c>
    </row>
    <row r="1674" spans="1:20" x14ac:dyDescent="0.3">
      <c r="A1674">
        <v>1673</v>
      </c>
      <c r="B1674">
        <v>262</v>
      </c>
      <c r="C1674">
        <v>4</v>
      </c>
      <c r="D1674">
        <v>138.63999999999999</v>
      </c>
      <c r="E1674">
        <v>0</v>
      </c>
      <c r="F1674">
        <v>1</v>
      </c>
      <c r="G1674">
        <v>0.1</v>
      </c>
      <c r="H1674" t="s">
        <v>622</v>
      </c>
      <c r="J1674" t="s">
        <v>623</v>
      </c>
      <c r="K1674" s="1"/>
      <c r="L1674" s="1">
        <v>46121.731585648151</v>
      </c>
      <c r="M1674" s="2">
        <v>46121</v>
      </c>
      <c r="N1674" t="s">
        <v>637</v>
      </c>
      <c r="O1674" t="s">
        <v>629</v>
      </c>
      <c r="P1674">
        <v>1</v>
      </c>
      <c r="Q1674">
        <v>0</v>
      </c>
      <c r="R1674">
        <v>138.63999999999999</v>
      </c>
      <c r="S1674" t="s">
        <v>519</v>
      </c>
      <c r="T1674" t="s">
        <v>778</v>
      </c>
    </row>
    <row r="1675" spans="1:20" x14ac:dyDescent="0.3">
      <c r="A1675">
        <v>1674</v>
      </c>
      <c r="B1675">
        <v>250</v>
      </c>
      <c r="C1675">
        <v>2</v>
      </c>
      <c r="D1675">
        <v>61.87</v>
      </c>
      <c r="E1675">
        <v>6.19</v>
      </c>
      <c r="F1675">
        <v>0</v>
      </c>
      <c r="G1675">
        <v>0.1</v>
      </c>
      <c r="H1675" t="s">
        <v>622</v>
      </c>
      <c r="J1675" t="s">
        <v>623</v>
      </c>
      <c r="K1675" s="1"/>
      <c r="L1675" s="1">
        <v>46122.327997685185</v>
      </c>
      <c r="M1675" s="2">
        <v>46122</v>
      </c>
      <c r="N1675" t="s">
        <v>637</v>
      </c>
      <c r="O1675" t="s">
        <v>625</v>
      </c>
      <c r="P1675">
        <v>1</v>
      </c>
      <c r="Q1675">
        <v>0</v>
      </c>
      <c r="R1675">
        <v>61.87</v>
      </c>
      <c r="S1675" t="s">
        <v>495</v>
      </c>
      <c r="T1675" t="s">
        <v>776</v>
      </c>
    </row>
    <row r="1676" spans="1:20" x14ac:dyDescent="0.3">
      <c r="A1676">
        <v>1675</v>
      </c>
      <c r="B1676">
        <v>176</v>
      </c>
      <c r="C1676">
        <v>5</v>
      </c>
      <c r="D1676">
        <v>170.49</v>
      </c>
      <c r="E1676">
        <v>17.05</v>
      </c>
      <c r="F1676">
        <v>0</v>
      </c>
      <c r="G1676">
        <v>0.1</v>
      </c>
      <c r="H1676" t="s">
        <v>622</v>
      </c>
      <c r="J1676" t="s">
        <v>623</v>
      </c>
      <c r="K1676" s="1"/>
      <c r="L1676" s="1">
        <v>46122.333749999998</v>
      </c>
      <c r="M1676" s="2">
        <v>46122</v>
      </c>
      <c r="N1676" t="s">
        <v>637</v>
      </c>
      <c r="O1676" t="s">
        <v>625</v>
      </c>
      <c r="P1676">
        <v>1</v>
      </c>
      <c r="Q1676">
        <v>0</v>
      </c>
      <c r="R1676">
        <v>170.49</v>
      </c>
      <c r="S1676" t="s">
        <v>347</v>
      </c>
      <c r="T1676" t="s">
        <v>779</v>
      </c>
    </row>
    <row r="1677" spans="1:20" x14ac:dyDescent="0.3">
      <c r="A1677">
        <v>1676</v>
      </c>
      <c r="B1677">
        <v>250</v>
      </c>
      <c r="C1677">
        <v>3</v>
      </c>
      <c r="D1677">
        <v>106.97</v>
      </c>
      <c r="E1677">
        <v>10.7</v>
      </c>
      <c r="F1677">
        <v>0</v>
      </c>
      <c r="G1677">
        <v>0.1</v>
      </c>
      <c r="H1677" t="s">
        <v>622</v>
      </c>
      <c r="J1677" t="s">
        <v>623</v>
      </c>
      <c r="K1677" s="1"/>
      <c r="L1677" s="1">
        <v>46122.618287037039</v>
      </c>
      <c r="M1677" s="2">
        <v>46122</v>
      </c>
      <c r="N1677" t="s">
        <v>637</v>
      </c>
      <c r="O1677" t="s">
        <v>625</v>
      </c>
      <c r="P1677">
        <v>1</v>
      </c>
      <c r="Q1677">
        <v>0</v>
      </c>
      <c r="R1677">
        <v>106.97</v>
      </c>
      <c r="S1677" t="s">
        <v>495</v>
      </c>
      <c r="T1677" t="s">
        <v>777</v>
      </c>
    </row>
    <row r="1678" spans="1:20" x14ac:dyDescent="0.3">
      <c r="A1678">
        <v>1677</v>
      </c>
      <c r="B1678">
        <v>178</v>
      </c>
      <c r="C1678">
        <v>3</v>
      </c>
      <c r="D1678">
        <v>95.3</v>
      </c>
      <c r="E1678">
        <v>9.5299999999999994</v>
      </c>
      <c r="F1678">
        <v>0</v>
      </c>
      <c r="G1678">
        <v>0.1</v>
      </c>
      <c r="H1678" t="s">
        <v>622</v>
      </c>
      <c r="J1678" t="s">
        <v>623</v>
      </c>
      <c r="K1678" s="1"/>
      <c r="L1678" s="1">
        <v>46123.295717592591</v>
      </c>
      <c r="M1678" s="2">
        <v>46123</v>
      </c>
      <c r="N1678" t="s">
        <v>637</v>
      </c>
      <c r="O1678" t="s">
        <v>625</v>
      </c>
      <c r="P1678">
        <v>1</v>
      </c>
      <c r="Q1678">
        <v>0</v>
      </c>
      <c r="R1678">
        <v>95.3</v>
      </c>
      <c r="S1678" t="s">
        <v>351</v>
      </c>
      <c r="T1678" t="s">
        <v>777</v>
      </c>
    </row>
    <row r="1679" spans="1:20" x14ac:dyDescent="0.3">
      <c r="A1679">
        <v>1678</v>
      </c>
      <c r="B1679">
        <v>39</v>
      </c>
      <c r="C1679">
        <v>3</v>
      </c>
      <c r="D1679">
        <v>206.69</v>
      </c>
      <c r="E1679">
        <v>20.67</v>
      </c>
      <c r="F1679">
        <v>0</v>
      </c>
      <c r="G1679">
        <v>0.1</v>
      </c>
      <c r="H1679" t="s">
        <v>622</v>
      </c>
      <c r="J1679" t="s">
        <v>623</v>
      </c>
      <c r="K1679" s="1"/>
      <c r="L1679" s="1">
        <v>46123.305914351855</v>
      </c>
      <c r="M1679" s="2">
        <v>46123</v>
      </c>
      <c r="N1679" t="s">
        <v>637</v>
      </c>
      <c r="O1679" t="s">
        <v>625</v>
      </c>
      <c r="P1679">
        <v>1</v>
      </c>
      <c r="Q1679">
        <v>0</v>
      </c>
      <c r="R1679">
        <v>206.69</v>
      </c>
      <c r="S1679" t="s">
        <v>74</v>
      </c>
      <c r="T1679" t="s">
        <v>777</v>
      </c>
    </row>
    <row r="1680" spans="1:20" x14ac:dyDescent="0.3">
      <c r="A1680">
        <v>1679</v>
      </c>
      <c r="B1680">
        <v>250</v>
      </c>
      <c r="C1680">
        <v>4</v>
      </c>
      <c r="D1680">
        <v>98.13</v>
      </c>
      <c r="E1680">
        <v>9.81</v>
      </c>
      <c r="F1680">
        <v>0</v>
      </c>
      <c r="G1680">
        <v>0.1</v>
      </c>
      <c r="H1680" t="s">
        <v>622</v>
      </c>
      <c r="J1680" t="s">
        <v>623</v>
      </c>
      <c r="K1680" s="1"/>
      <c r="L1680" s="1">
        <v>46123.307291666664</v>
      </c>
      <c r="M1680" s="2">
        <v>46123</v>
      </c>
      <c r="N1680" t="s">
        <v>637</v>
      </c>
      <c r="O1680" t="s">
        <v>625</v>
      </c>
      <c r="P1680">
        <v>1</v>
      </c>
      <c r="Q1680">
        <v>0</v>
      </c>
      <c r="R1680">
        <v>98.13</v>
      </c>
      <c r="S1680" t="s">
        <v>495</v>
      </c>
      <c r="T1680" t="s">
        <v>778</v>
      </c>
    </row>
    <row r="1681" spans="1:20" x14ac:dyDescent="0.3">
      <c r="A1681">
        <v>1680</v>
      </c>
      <c r="B1681">
        <v>39</v>
      </c>
      <c r="C1681">
        <v>4</v>
      </c>
      <c r="D1681">
        <v>255.46</v>
      </c>
      <c r="E1681">
        <v>25.55</v>
      </c>
      <c r="F1681">
        <v>0</v>
      </c>
      <c r="G1681">
        <v>0.1</v>
      </c>
      <c r="H1681" t="s">
        <v>622</v>
      </c>
      <c r="J1681" t="s">
        <v>623</v>
      </c>
      <c r="K1681" s="1"/>
      <c r="L1681" s="1">
        <v>46123.347256944442</v>
      </c>
      <c r="M1681" s="2">
        <v>46123</v>
      </c>
      <c r="N1681" t="s">
        <v>637</v>
      </c>
      <c r="O1681" t="s">
        <v>625</v>
      </c>
      <c r="P1681">
        <v>1</v>
      </c>
      <c r="Q1681">
        <v>0</v>
      </c>
      <c r="R1681">
        <v>255.46</v>
      </c>
      <c r="S1681" t="s">
        <v>74</v>
      </c>
      <c r="T1681" t="s">
        <v>778</v>
      </c>
    </row>
    <row r="1682" spans="1:20" x14ac:dyDescent="0.3">
      <c r="A1682">
        <v>1681</v>
      </c>
      <c r="B1682">
        <v>70</v>
      </c>
      <c r="C1682">
        <v>2</v>
      </c>
      <c r="D1682">
        <v>135.29</v>
      </c>
      <c r="E1682">
        <v>13.53</v>
      </c>
      <c r="F1682">
        <v>0</v>
      </c>
      <c r="G1682">
        <v>0.1</v>
      </c>
      <c r="H1682" t="s">
        <v>622</v>
      </c>
      <c r="J1682" t="s">
        <v>623</v>
      </c>
      <c r="K1682" s="1"/>
      <c r="L1682" s="1">
        <v>46123.359652777777</v>
      </c>
      <c r="M1682" s="2">
        <v>46123</v>
      </c>
      <c r="N1682" t="s">
        <v>637</v>
      </c>
      <c r="O1682" t="s">
        <v>625</v>
      </c>
      <c r="P1682">
        <v>1</v>
      </c>
      <c r="Q1682">
        <v>0</v>
      </c>
      <c r="R1682">
        <v>135.29</v>
      </c>
      <c r="S1682" t="s">
        <v>136</v>
      </c>
      <c r="T1682" t="s">
        <v>776</v>
      </c>
    </row>
    <row r="1683" spans="1:20" x14ac:dyDescent="0.3">
      <c r="A1683">
        <v>1682</v>
      </c>
      <c r="B1683">
        <v>262</v>
      </c>
      <c r="C1683">
        <v>2</v>
      </c>
      <c r="D1683">
        <v>109.48</v>
      </c>
      <c r="E1683">
        <v>10.95</v>
      </c>
      <c r="F1683">
        <v>0</v>
      </c>
      <c r="G1683">
        <v>0.1</v>
      </c>
      <c r="H1683" t="s">
        <v>622</v>
      </c>
      <c r="J1683" t="s">
        <v>623</v>
      </c>
      <c r="K1683" s="1"/>
      <c r="L1683" s="1">
        <v>46123.510694444441</v>
      </c>
      <c r="M1683" s="2">
        <v>46123</v>
      </c>
      <c r="N1683" t="s">
        <v>637</v>
      </c>
      <c r="O1683" t="s">
        <v>625</v>
      </c>
      <c r="P1683">
        <v>1</v>
      </c>
      <c r="Q1683">
        <v>0</v>
      </c>
      <c r="R1683">
        <v>109.48</v>
      </c>
      <c r="S1683" t="s">
        <v>519</v>
      </c>
      <c r="T1683" t="s">
        <v>776</v>
      </c>
    </row>
    <row r="1684" spans="1:20" x14ac:dyDescent="0.3">
      <c r="A1684">
        <v>1683</v>
      </c>
      <c r="B1684">
        <v>87</v>
      </c>
      <c r="C1684">
        <v>2</v>
      </c>
      <c r="D1684">
        <v>85.23</v>
      </c>
      <c r="E1684">
        <v>8.52</v>
      </c>
      <c r="F1684">
        <v>0</v>
      </c>
      <c r="G1684">
        <v>0.1</v>
      </c>
      <c r="H1684" t="s">
        <v>622</v>
      </c>
      <c r="J1684" t="s">
        <v>623</v>
      </c>
      <c r="K1684" s="1"/>
      <c r="L1684" s="1">
        <v>46123.599212962959</v>
      </c>
      <c r="M1684" s="2">
        <v>46123</v>
      </c>
      <c r="N1684" t="s">
        <v>637</v>
      </c>
      <c r="O1684" t="s">
        <v>625</v>
      </c>
      <c r="P1684">
        <v>1</v>
      </c>
      <c r="Q1684">
        <v>0</v>
      </c>
      <c r="R1684">
        <v>85.23</v>
      </c>
      <c r="S1684" t="s">
        <v>169</v>
      </c>
      <c r="T1684" t="s">
        <v>776</v>
      </c>
    </row>
    <row r="1685" spans="1:20" x14ac:dyDescent="0.3">
      <c r="A1685">
        <v>1684</v>
      </c>
      <c r="B1685">
        <v>149</v>
      </c>
      <c r="C1685">
        <v>2</v>
      </c>
      <c r="D1685">
        <v>35.19</v>
      </c>
      <c r="E1685">
        <v>0</v>
      </c>
      <c r="F1685">
        <v>1</v>
      </c>
      <c r="G1685">
        <v>0.1</v>
      </c>
      <c r="H1685" t="s">
        <v>622</v>
      </c>
      <c r="J1685" t="s">
        <v>623</v>
      </c>
      <c r="K1685" s="1"/>
      <c r="L1685" s="1">
        <v>46123.744953703703</v>
      </c>
      <c r="M1685" s="2">
        <v>46123</v>
      </c>
      <c r="N1685" t="s">
        <v>637</v>
      </c>
      <c r="O1685" t="s">
        <v>629</v>
      </c>
      <c r="P1685">
        <v>1</v>
      </c>
      <c r="Q1685">
        <v>0</v>
      </c>
      <c r="R1685">
        <v>35.19</v>
      </c>
      <c r="S1685" t="s">
        <v>293</v>
      </c>
      <c r="T1685" t="s">
        <v>776</v>
      </c>
    </row>
    <row r="1686" spans="1:20" x14ac:dyDescent="0.3">
      <c r="A1686">
        <v>1685</v>
      </c>
      <c r="B1686">
        <v>250</v>
      </c>
      <c r="C1686">
        <v>3</v>
      </c>
      <c r="D1686">
        <v>111.98</v>
      </c>
      <c r="E1686">
        <v>11.2</v>
      </c>
      <c r="F1686">
        <v>0</v>
      </c>
      <c r="G1686">
        <v>0.1</v>
      </c>
      <c r="H1686" t="s">
        <v>622</v>
      </c>
      <c r="J1686" t="s">
        <v>623</v>
      </c>
      <c r="K1686" s="1"/>
      <c r="L1686" s="1">
        <v>46123.755300925928</v>
      </c>
      <c r="M1686" s="2">
        <v>46123</v>
      </c>
      <c r="N1686" t="s">
        <v>637</v>
      </c>
      <c r="O1686" t="s">
        <v>625</v>
      </c>
      <c r="P1686">
        <v>1</v>
      </c>
      <c r="Q1686">
        <v>0</v>
      </c>
      <c r="R1686">
        <v>111.98</v>
      </c>
      <c r="S1686" t="s">
        <v>495</v>
      </c>
      <c r="T1686" t="s">
        <v>777</v>
      </c>
    </row>
    <row r="1687" spans="1:20" x14ac:dyDescent="0.3">
      <c r="A1687">
        <v>1686</v>
      </c>
      <c r="B1687">
        <v>16</v>
      </c>
      <c r="C1687">
        <v>2</v>
      </c>
      <c r="D1687">
        <v>95</v>
      </c>
      <c r="E1687">
        <v>0</v>
      </c>
      <c r="F1687">
        <v>1</v>
      </c>
      <c r="G1687">
        <v>0.1</v>
      </c>
      <c r="H1687" t="s">
        <v>622</v>
      </c>
      <c r="J1687" t="s">
        <v>623</v>
      </c>
      <c r="K1687" s="1"/>
      <c r="L1687" s="1">
        <v>46124.48746527778</v>
      </c>
      <c r="M1687" s="2">
        <v>46124</v>
      </c>
      <c r="N1687" t="s">
        <v>637</v>
      </c>
      <c r="O1687" t="s">
        <v>629</v>
      </c>
      <c r="P1687">
        <v>1</v>
      </c>
      <c r="Q1687">
        <v>0</v>
      </c>
      <c r="R1687">
        <v>95</v>
      </c>
      <c r="S1687" t="s">
        <v>28</v>
      </c>
      <c r="T1687" t="s">
        <v>776</v>
      </c>
    </row>
    <row r="1688" spans="1:20" x14ac:dyDescent="0.3">
      <c r="A1688">
        <v>1687</v>
      </c>
      <c r="B1688">
        <v>154</v>
      </c>
      <c r="C1688">
        <v>2</v>
      </c>
      <c r="D1688">
        <v>40.26</v>
      </c>
      <c r="E1688">
        <v>4.03</v>
      </c>
      <c r="F1688">
        <v>0</v>
      </c>
      <c r="G1688">
        <v>0.1</v>
      </c>
      <c r="H1688" t="s">
        <v>622</v>
      </c>
      <c r="J1688" t="s">
        <v>623</v>
      </c>
      <c r="K1688" s="1"/>
      <c r="L1688" s="1">
        <v>46124.594560185185</v>
      </c>
      <c r="M1688" s="2">
        <v>46124</v>
      </c>
      <c r="N1688" t="s">
        <v>637</v>
      </c>
      <c r="O1688" t="s">
        <v>625</v>
      </c>
      <c r="P1688">
        <v>1</v>
      </c>
      <c r="Q1688">
        <v>0</v>
      </c>
      <c r="R1688">
        <v>40.26</v>
      </c>
      <c r="S1688" t="s">
        <v>303</v>
      </c>
      <c r="T1688" t="s">
        <v>776</v>
      </c>
    </row>
    <row r="1689" spans="1:20" x14ac:dyDescent="0.3">
      <c r="A1689">
        <v>1688</v>
      </c>
      <c r="B1689">
        <v>156</v>
      </c>
      <c r="C1689">
        <v>5</v>
      </c>
      <c r="D1689">
        <v>57.47</v>
      </c>
      <c r="E1689">
        <v>5.75</v>
      </c>
      <c r="F1689">
        <v>0</v>
      </c>
      <c r="G1689">
        <v>0.1</v>
      </c>
      <c r="H1689" t="s">
        <v>622</v>
      </c>
      <c r="J1689" t="s">
        <v>623</v>
      </c>
      <c r="K1689" s="1"/>
      <c r="L1689" s="1">
        <v>46124.802499999998</v>
      </c>
      <c r="M1689" s="2">
        <v>46124</v>
      </c>
      <c r="N1689" t="s">
        <v>637</v>
      </c>
      <c r="O1689" t="s">
        <v>625</v>
      </c>
      <c r="P1689">
        <v>1</v>
      </c>
      <c r="Q1689">
        <v>0</v>
      </c>
      <c r="R1689">
        <v>57.47</v>
      </c>
      <c r="S1689" t="s">
        <v>307</v>
      </c>
      <c r="T1689" t="s">
        <v>779</v>
      </c>
    </row>
    <row r="1690" spans="1:20" x14ac:dyDescent="0.3">
      <c r="A1690">
        <v>1689</v>
      </c>
      <c r="B1690">
        <v>150</v>
      </c>
      <c r="C1690">
        <v>3</v>
      </c>
      <c r="D1690">
        <v>74.930000000000007</v>
      </c>
      <c r="E1690">
        <v>7.49</v>
      </c>
      <c r="F1690">
        <v>0</v>
      </c>
      <c r="G1690">
        <v>0.1</v>
      </c>
      <c r="H1690" t="s">
        <v>622</v>
      </c>
      <c r="J1690" t="s">
        <v>623</v>
      </c>
      <c r="K1690" s="1"/>
      <c r="L1690" s="1">
        <v>46125.339236111111</v>
      </c>
      <c r="M1690" s="2">
        <v>46125</v>
      </c>
      <c r="N1690" t="s">
        <v>637</v>
      </c>
      <c r="O1690" t="s">
        <v>625</v>
      </c>
      <c r="P1690">
        <v>1</v>
      </c>
      <c r="Q1690">
        <v>0</v>
      </c>
      <c r="R1690">
        <v>74.930000000000007</v>
      </c>
      <c r="S1690" t="s">
        <v>295</v>
      </c>
      <c r="T1690" t="s">
        <v>777</v>
      </c>
    </row>
    <row r="1691" spans="1:20" x14ac:dyDescent="0.3">
      <c r="A1691">
        <v>1690</v>
      </c>
      <c r="B1691">
        <v>196</v>
      </c>
      <c r="C1691">
        <v>3</v>
      </c>
      <c r="D1691">
        <v>23.34</v>
      </c>
      <c r="E1691">
        <v>2.33</v>
      </c>
      <c r="F1691">
        <v>0</v>
      </c>
      <c r="G1691">
        <v>0.1</v>
      </c>
      <c r="H1691" t="s">
        <v>622</v>
      </c>
      <c r="J1691" t="s">
        <v>623</v>
      </c>
      <c r="K1691" s="1"/>
      <c r="L1691" s="1">
        <v>46125.355706018519</v>
      </c>
      <c r="M1691" s="2">
        <v>46125</v>
      </c>
      <c r="N1691" t="s">
        <v>637</v>
      </c>
      <c r="O1691" t="s">
        <v>625</v>
      </c>
      <c r="P1691">
        <v>1</v>
      </c>
      <c r="Q1691">
        <v>0</v>
      </c>
      <c r="R1691">
        <v>23.34</v>
      </c>
      <c r="S1691" t="s">
        <v>387</v>
      </c>
      <c r="T1691" t="s">
        <v>777</v>
      </c>
    </row>
    <row r="1692" spans="1:20" x14ac:dyDescent="0.3">
      <c r="A1692">
        <v>1691</v>
      </c>
      <c r="B1692">
        <v>160</v>
      </c>
      <c r="C1692">
        <v>5</v>
      </c>
      <c r="D1692">
        <v>39.19</v>
      </c>
      <c r="E1692">
        <v>3.92</v>
      </c>
      <c r="F1692">
        <v>0</v>
      </c>
      <c r="G1692">
        <v>0.1</v>
      </c>
      <c r="H1692" t="s">
        <v>622</v>
      </c>
      <c r="J1692" t="s">
        <v>623</v>
      </c>
      <c r="K1692" s="1"/>
      <c r="L1692" s="1">
        <v>46125.384710648148</v>
      </c>
      <c r="M1692" s="2">
        <v>46125</v>
      </c>
      <c r="N1692" t="s">
        <v>637</v>
      </c>
      <c r="O1692" t="s">
        <v>625</v>
      </c>
      <c r="P1692">
        <v>1</v>
      </c>
      <c r="Q1692">
        <v>0</v>
      </c>
      <c r="R1692">
        <v>39.19</v>
      </c>
      <c r="S1692" t="s">
        <v>315</v>
      </c>
      <c r="T1692" t="s">
        <v>779</v>
      </c>
    </row>
    <row r="1693" spans="1:20" x14ac:dyDescent="0.3">
      <c r="A1693">
        <v>1692</v>
      </c>
      <c r="B1693">
        <v>136</v>
      </c>
      <c r="C1693">
        <v>5</v>
      </c>
      <c r="D1693">
        <v>62.03</v>
      </c>
      <c r="E1693">
        <v>6.2</v>
      </c>
      <c r="F1693">
        <v>0</v>
      </c>
      <c r="G1693">
        <v>0.1</v>
      </c>
      <c r="H1693" t="s">
        <v>622</v>
      </c>
      <c r="J1693" t="s">
        <v>623</v>
      </c>
      <c r="K1693" s="1"/>
      <c r="L1693" s="1">
        <v>46125.403877314813</v>
      </c>
      <c r="M1693" s="2">
        <v>46125</v>
      </c>
      <c r="N1693" t="s">
        <v>637</v>
      </c>
      <c r="O1693" t="s">
        <v>625</v>
      </c>
      <c r="P1693">
        <v>1</v>
      </c>
      <c r="Q1693">
        <v>0</v>
      </c>
      <c r="R1693">
        <v>62.03</v>
      </c>
      <c r="S1693" t="s">
        <v>267</v>
      </c>
      <c r="T1693" t="s">
        <v>779</v>
      </c>
    </row>
    <row r="1694" spans="1:20" x14ac:dyDescent="0.3">
      <c r="A1694">
        <v>1693</v>
      </c>
      <c r="B1694">
        <v>297</v>
      </c>
      <c r="C1694">
        <v>3</v>
      </c>
      <c r="D1694">
        <v>97.1</v>
      </c>
      <c r="E1694">
        <v>9.7100000000000009</v>
      </c>
      <c r="F1694">
        <v>0</v>
      </c>
      <c r="G1694">
        <v>0.1</v>
      </c>
      <c r="H1694" t="s">
        <v>622</v>
      </c>
      <c r="J1694" t="s">
        <v>623</v>
      </c>
      <c r="K1694" s="1"/>
      <c r="L1694" s="1">
        <v>46125.426238425927</v>
      </c>
      <c r="M1694" s="2">
        <v>46125</v>
      </c>
      <c r="N1694" t="s">
        <v>637</v>
      </c>
      <c r="O1694" t="s">
        <v>625</v>
      </c>
      <c r="P1694">
        <v>1</v>
      </c>
      <c r="Q1694">
        <v>0</v>
      </c>
      <c r="R1694">
        <v>97.1</v>
      </c>
      <c r="S1694" t="s">
        <v>589</v>
      </c>
      <c r="T1694" t="s">
        <v>777</v>
      </c>
    </row>
    <row r="1695" spans="1:20" x14ac:dyDescent="0.3">
      <c r="A1695">
        <v>1694</v>
      </c>
      <c r="B1695">
        <v>163</v>
      </c>
      <c r="C1695">
        <v>4</v>
      </c>
      <c r="D1695">
        <v>15.71</v>
      </c>
      <c r="E1695">
        <v>1.57</v>
      </c>
      <c r="F1695">
        <v>0</v>
      </c>
      <c r="G1695">
        <v>0.1</v>
      </c>
      <c r="H1695" t="s">
        <v>622</v>
      </c>
      <c r="J1695" t="s">
        <v>623</v>
      </c>
      <c r="K1695" s="1"/>
      <c r="L1695" s="1">
        <v>46125.472638888888</v>
      </c>
      <c r="M1695" s="2">
        <v>46125</v>
      </c>
      <c r="N1695" t="s">
        <v>637</v>
      </c>
      <c r="O1695" t="s">
        <v>625</v>
      </c>
      <c r="P1695">
        <v>1</v>
      </c>
      <c r="Q1695">
        <v>0</v>
      </c>
      <c r="R1695">
        <v>15.71</v>
      </c>
      <c r="S1695" t="s">
        <v>321</v>
      </c>
      <c r="T1695" t="s">
        <v>778</v>
      </c>
    </row>
    <row r="1696" spans="1:20" x14ac:dyDescent="0.3">
      <c r="A1696">
        <v>1695</v>
      </c>
      <c r="B1696">
        <v>43</v>
      </c>
      <c r="C1696">
        <v>5</v>
      </c>
      <c r="D1696">
        <v>84.51</v>
      </c>
      <c r="E1696">
        <v>8.4499999999999993</v>
      </c>
      <c r="F1696">
        <v>0</v>
      </c>
      <c r="G1696">
        <v>0.1</v>
      </c>
      <c r="H1696" t="s">
        <v>622</v>
      </c>
      <c r="J1696" t="s">
        <v>623</v>
      </c>
      <c r="K1696" s="1"/>
      <c r="L1696" s="1">
        <v>46125.538078703707</v>
      </c>
      <c r="M1696" s="2">
        <v>46125</v>
      </c>
      <c r="N1696" t="s">
        <v>637</v>
      </c>
      <c r="O1696" t="s">
        <v>625</v>
      </c>
      <c r="P1696">
        <v>1</v>
      </c>
      <c r="Q1696">
        <v>0</v>
      </c>
      <c r="R1696">
        <v>84.51</v>
      </c>
      <c r="S1696" t="s">
        <v>82</v>
      </c>
      <c r="T1696" t="s">
        <v>779</v>
      </c>
    </row>
    <row r="1697" spans="1:20" x14ac:dyDescent="0.3">
      <c r="A1697">
        <v>1696</v>
      </c>
      <c r="B1697">
        <v>221</v>
      </c>
      <c r="C1697">
        <v>3</v>
      </c>
      <c r="D1697">
        <v>139.35</v>
      </c>
      <c r="E1697">
        <v>13.94</v>
      </c>
      <c r="F1697">
        <v>0</v>
      </c>
      <c r="G1697">
        <v>0.1</v>
      </c>
      <c r="H1697" t="s">
        <v>622</v>
      </c>
      <c r="J1697" t="s">
        <v>623</v>
      </c>
      <c r="K1697" s="1"/>
      <c r="L1697" s="1">
        <v>46125.614085648151</v>
      </c>
      <c r="M1697" s="2">
        <v>46125</v>
      </c>
      <c r="N1697" t="s">
        <v>637</v>
      </c>
      <c r="O1697" t="s">
        <v>625</v>
      </c>
      <c r="P1697">
        <v>1</v>
      </c>
      <c r="Q1697">
        <v>0</v>
      </c>
      <c r="R1697">
        <v>139.35</v>
      </c>
      <c r="S1697" t="s">
        <v>437</v>
      </c>
      <c r="T1697" t="s">
        <v>777</v>
      </c>
    </row>
    <row r="1698" spans="1:20" x14ac:dyDescent="0.3">
      <c r="A1698">
        <v>1697</v>
      </c>
      <c r="B1698">
        <v>235</v>
      </c>
      <c r="C1698">
        <v>3</v>
      </c>
      <c r="D1698">
        <v>22.76</v>
      </c>
      <c r="E1698">
        <v>0</v>
      </c>
      <c r="F1698">
        <v>1</v>
      </c>
      <c r="G1698">
        <v>0.1</v>
      </c>
      <c r="H1698" t="s">
        <v>622</v>
      </c>
      <c r="J1698" t="s">
        <v>623</v>
      </c>
      <c r="K1698" s="1"/>
      <c r="L1698" s="1">
        <v>46125.648206018515</v>
      </c>
      <c r="M1698" s="2">
        <v>46125</v>
      </c>
      <c r="N1698" t="s">
        <v>637</v>
      </c>
      <c r="O1698" t="s">
        <v>629</v>
      </c>
      <c r="P1698">
        <v>1</v>
      </c>
      <c r="Q1698">
        <v>0</v>
      </c>
      <c r="R1698">
        <v>22.76</v>
      </c>
      <c r="S1698" t="s">
        <v>465</v>
      </c>
      <c r="T1698" t="s">
        <v>777</v>
      </c>
    </row>
    <row r="1699" spans="1:20" x14ac:dyDescent="0.3">
      <c r="A1699">
        <v>1698</v>
      </c>
      <c r="B1699">
        <v>39</v>
      </c>
      <c r="C1699">
        <v>5</v>
      </c>
      <c r="D1699">
        <v>163.06</v>
      </c>
      <c r="E1699">
        <v>16.309999999999999</v>
      </c>
      <c r="F1699">
        <v>0</v>
      </c>
      <c r="G1699">
        <v>0.1</v>
      </c>
      <c r="H1699" t="s">
        <v>622</v>
      </c>
      <c r="J1699" t="s">
        <v>623</v>
      </c>
      <c r="K1699" s="1"/>
      <c r="L1699" s="1">
        <v>46125.695138888892</v>
      </c>
      <c r="M1699" s="2">
        <v>46125</v>
      </c>
      <c r="N1699" t="s">
        <v>637</v>
      </c>
      <c r="O1699" t="s">
        <v>625</v>
      </c>
      <c r="P1699">
        <v>1</v>
      </c>
      <c r="Q1699">
        <v>0</v>
      </c>
      <c r="R1699">
        <v>163.06</v>
      </c>
      <c r="S1699" t="s">
        <v>74</v>
      </c>
      <c r="T1699" t="s">
        <v>779</v>
      </c>
    </row>
    <row r="1700" spans="1:20" x14ac:dyDescent="0.3">
      <c r="A1700">
        <v>1699</v>
      </c>
      <c r="B1700">
        <v>229</v>
      </c>
      <c r="C1700">
        <v>4</v>
      </c>
      <c r="D1700">
        <v>116.69</v>
      </c>
      <c r="E1700">
        <v>11.67</v>
      </c>
      <c r="F1700">
        <v>0</v>
      </c>
      <c r="G1700">
        <v>0.1</v>
      </c>
      <c r="H1700" t="s">
        <v>622</v>
      </c>
      <c r="J1700" t="s">
        <v>623</v>
      </c>
      <c r="K1700" s="1"/>
      <c r="L1700" s="1">
        <v>46125.71671296296</v>
      </c>
      <c r="M1700" s="2">
        <v>46125</v>
      </c>
      <c r="N1700" t="s">
        <v>637</v>
      </c>
      <c r="O1700" t="s">
        <v>625</v>
      </c>
      <c r="P1700">
        <v>1</v>
      </c>
      <c r="Q1700">
        <v>0</v>
      </c>
      <c r="R1700">
        <v>116.69</v>
      </c>
      <c r="S1700" t="s">
        <v>453</v>
      </c>
      <c r="T1700" t="s">
        <v>778</v>
      </c>
    </row>
    <row r="1701" spans="1:20" x14ac:dyDescent="0.3">
      <c r="A1701">
        <v>1700</v>
      </c>
      <c r="B1701">
        <v>210</v>
      </c>
      <c r="C1701">
        <v>5</v>
      </c>
      <c r="D1701">
        <v>31.53</v>
      </c>
      <c r="E1701">
        <v>3.15</v>
      </c>
      <c r="F1701">
        <v>0</v>
      </c>
      <c r="G1701">
        <v>0.1</v>
      </c>
      <c r="H1701" t="s">
        <v>622</v>
      </c>
      <c r="J1701" t="s">
        <v>623</v>
      </c>
      <c r="K1701" s="1"/>
      <c r="L1701" s="1">
        <v>46126.324143518519</v>
      </c>
      <c r="M1701" s="2">
        <v>46126</v>
      </c>
      <c r="N1701" t="s">
        <v>637</v>
      </c>
      <c r="O1701" t="s">
        <v>625</v>
      </c>
      <c r="P1701">
        <v>1</v>
      </c>
      <c r="Q1701">
        <v>0</v>
      </c>
      <c r="R1701">
        <v>31.53</v>
      </c>
      <c r="S1701" t="s">
        <v>415</v>
      </c>
      <c r="T1701" t="s">
        <v>779</v>
      </c>
    </row>
    <row r="1702" spans="1:20" x14ac:dyDescent="0.3">
      <c r="A1702">
        <v>1701</v>
      </c>
      <c r="B1702">
        <v>48</v>
      </c>
      <c r="C1702">
        <v>2</v>
      </c>
      <c r="D1702">
        <v>97.65</v>
      </c>
      <c r="E1702">
        <v>9.77</v>
      </c>
      <c r="F1702">
        <v>0</v>
      </c>
      <c r="G1702">
        <v>0.1</v>
      </c>
      <c r="H1702" t="s">
        <v>622</v>
      </c>
      <c r="J1702" t="s">
        <v>623</v>
      </c>
      <c r="K1702" s="1"/>
      <c r="L1702" s="1">
        <v>46126.354594907411</v>
      </c>
      <c r="M1702" s="2">
        <v>46126</v>
      </c>
      <c r="N1702" t="s">
        <v>637</v>
      </c>
      <c r="O1702" t="s">
        <v>625</v>
      </c>
      <c r="P1702">
        <v>1</v>
      </c>
      <c r="Q1702">
        <v>0</v>
      </c>
      <c r="R1702">
        <v>97.65</v>
      </c>
      <c r="S1702" t="s">
        <v>92</v>
      </c>
      <c r="T1702" t="s">
        <v>776</v>
      </c>
    </row>
    <row r="1703" spans="1:20" x14ac:dyDescent="0.3">
      <c r="A1703">
        <v>1702</v>
      </c>
      <c r="B1703">
        <v>156</v>
      </c>
      <c r="C1703">
        <v>4</v>
      </c>
      <c r="D1703">
        <v>51.5</v>
      </c>
      <c r="E1703">
        <v>5.15</v>
      </c>
      <c r="F1703">
        <v>0</v>
      </c>
      <c r="G1703">
        <v>0.1</v>
      </c>
      <c r="H1703" t="s">
        <v>622</v>
      </c>
      <c r="J1703" t="s">
        <v>623</v>
      </c>
      <c r="K1703" s="1"/>
      <c r="L1703" s="1">
        <v>46126.378182870372</v>
      </c>
      <c r="M1703" s="2">
        <v>46126</v>
      </c>
      <c r="N1703" t="s">
        <v>637</v>
      </c>
      <c r="O1703" t="s">
        <v>625</v>
      </c>
      <c r="P1703">
        <v>1</v>
      </c>
      <c r="Q1703">
        <v>0</v>
      </c>
      <c r="R1703">
        <v>51.5</v>
      </c>
      <c r="S1703" t="s">
        <v>307</v>
      </c>
      <c r="T1703" t="s">
        <v>778</v>
      </c>
    </row>
    <row r="1704" spans="1:20" x14ac:dyDescent="0.3">
      <c r="A1704">
        <v>1703</v>
      </c>
      <c r="B1704">
        <v>149</v>
      </c>
      <c r="C1704">
        <v>2</v>
      </c>
      <c r="D1704">
        <v>23.06</v>
      </c>
      <c r="E1704">
        <v>2.31</v>
      </c>
      <c r="F1704">
        <v>0</v>
      </c>
      <c r="G1704">
        <v>0.1</v>
      </c>
      <c r="H1704" t="s">
        <v>622</v>
      </c>
      <c r="J1704" t="s">
        <v>623</v>
      </c>
      <c r="K1704" s="1"/>
      <c r="L1704" s="1">
        <v>46126.443923611114</v>
      </c>
      <c r="M1704" s="2">
        <v>46126</v>
      </c>
      <c r="N1704" t="s">
        <v>637</v>
      </c>
      <c r="O1704" t="s">
        <v>625</v>
      </c>
      <c r="P1704">
        <v>1</v>
      </c>
      <c r="Q1704">
        <v>0</v>
      </c>
      <c r="R1704">
        <v>23.06</v>
      </c>
      <c r="S1704" t="s">
        <v>293</v>
      </c>
      <c r="T1704" t="s">
        <v>776</v>
      </c>
    </row>
    <row r="1705" spans="1:20" x14ac:dyDescent="0.3">
      <c r="A1705">
        <v>1704</v>
      </c>
      <c r="B1705">
        <v>118</v>
      </c>
      <c r="C1705">
        <v>5</v>
      </c>
      <c r="D1705">
        <v>25.45</v>
      </c>
      <c r="E1705">
        <v>2.5499999999999998</v>
      </c>
      <c r="F1705">
        <v>0</v>
      </c>
      <c r="G1705">
        <v>0.1</v>
      </c>
      <c r="H1705" t="s">
        <v>622</v>
      </c>
      <c r="J1705" t="s">
        <v>623</v>
      </c>
      <c r="K1705" s="1"/>
      <c r="L1705" s="1">
        <v>46126.590601851851</v>
      </c>
      <c r="M1705" s="2">
        <v>46126</v>
      </c>
      <c r="N1705" t="s">
        <v>637</v>
      </c>
      <c r="O1705" t="s">
        <v>625</v>
      </c>
      <c r="P1705">
        <v>1</v>
      </c>
      <c r="Q1705">
        <v>0</v>
      </c>
      <c r="R1705">
        <v>25.45</v>
      </c>
      <c r="S1705" t="s">
        <v>231</v>
      </c>
      <c r="T1705" t="s">
        <v>779</v>
      </c>
    </row>
    <row r="1706" spans="1:20" x14ac:dyDescent="0.3">
      <c r="A1706">
        <v>1705</v>
      </c>
      <c r="B1706">
        <v>218</v>
      </c>
      <c r="C1706">
        <v>5</v>
      </c>
      <c r="D1706">
        <v>28.26</v>
      </c>
      <c r="E1706">
        <v>2.83</v>
      </c>
      <c r="F1706">
        <v>0</v>
      </c>
      <c r="G1706">
        <v>0.1</v>
      </c>
      <c r="H1706" t="s">
        <v>622</v>
      </c>
      <c r="J1706" t="s">
        <v>623</v>
      </c>
      <c r="K1706" s="1"/>
      <c r="L1706" s="1">
        <v>46126.607071759259</v>
      </c>
      <c r="M1706" s="2">
        <v>46126</v>
      </c>
      <c r="N1706" t="s">
        <v>637</v>
      </c>
      <c r="O1706" t="s">
        <v>625</v>
      </c>
      <c r="P1706">
        <v>1</v>
      </c>
      <c r="Q1706">
        <v>0</v>
      </c>
      <c r="R1706">
        <v>28.26</v>
      </c>
      <c r="S1706" t="s">
        <v>431</v>
      </c>
      <c r="T1706" t="s">
        <v>779</v>
      </c>
    </row>
    <row r="1707" spans="1:20" x14ac:dyDescent="0.3">
      <c r="A1707">
        <v>1706</v>
      </c>
      <c r="B1707">
        <v>212</v>
      </c>
      <c r="C1707">
        <v>3</v>
      </c>
      <c r="D1707">
        <v>122.72</v>
      </c>
      <c r="E1707">
        <v>12.27</v>
      </c>
      <c r="F1707">
        <v>0</v>
      </c>
      <c r="G1707">
        <v>0.1</v>
      </c>
      <c r="H1707" t="s">
        <v>622</v>
      </c>
      <c r="J1707" t="s">
        <v>623</v>
      </c>
      <c r="K1707" s="1"/>
      <c r="L1707" s="1">
        <v>46126.622210648151</v>
      </c>
      <c r="M1707" s="2">
        <v>46126</v>
      </c>
      <c r="N1707" t="s">
        <v>637</v>
      </c>
      <c r="O1707" t="s">
        <v>625</v>
      </c>
      <c r="P1707">
        <v>1</v>
      </c>
      <c r="Q1707">
        <v>0</v>
      </c>
      <c r="R1707">
        <v>122.72</v>
      </c>
      <c r="S1707" t="s">
        <v>419</v>
      </c>
      <c r="T1707" t="s">
        <v>777</v>
      </c>
    </row>
    <row r="1708" spans="1:20" x14ac:dyDescent="0.3">
      <c r="A1708">
        <v>1707</v>
      </c>
      <c r="B1708">
        <v>229</v>
      </c>
      <c r="C1708">
        <v>5</v>
      </c>
      <c r="D1708">
        <v>68.55</v>
      </c>
      <c r="E1708">
        <v>6.86</v>
      </c>
      <c r="F1708">
        <v>0</v>
      </c>
      <c r="G1708">
        <v>0.1</v>
      </c>
      <c r="H1708" t="s">
        <v>622</v>
      </c>
      <c r="J1708" t="s">
        <v>623</v>
      </c>
      <c r="K1708" s="1"/>
      <c r="L1708" s="1">
        <v>46126.628101851849</v>
      </c>
      <c r="M1708" s="2">
        <v>46126</v>
      </c>
      <c r="N1708" t="s">
        <v>637</v>
      </c>
      <c r="O1708" t="s">
        <v>625</v>
      </c>
      <c r="P1708">
        <v>1</v>
      </c>
      <c r="Q1708">
        <v>0</v>
      </c>
      <c r="R1708">
        <v>68.55</v>
      </c>
      <c r="S1708" t="s">
        <v>453</v>
      </c>
      <c r="T1708" t="s">
        <v>779</v>
      </c>
    </row>
    <row r="1709" spans="1:20" x14ac:dyDescent="0.3">
      <c r="A1709">
        <v>1708</v>
      </c>
      <c r="B1709">
        <v>47</v>
      </c>
      <c r="C1709">
        <v>5</v>
      </c>
      <c r="D1709">
        <v>36.909999999999997</v>
      </c>
      <c r="E1709">
        <v>3.69</v>
      </c>
      <c r="F1709">
        <v>0</v>
      </c>
      <c r="G1709">
        <v>0.1</v>
      </c>
      <c r="H1709" t="s">
        <v>622</v>
      </c>
      <c r="J1709" t="s">
        <v>623</v>
      </c>
      <c r="K1709" s="1"/>
      <c r="L1709" s="1">
        <v>46126.638715277775</v>
      </c>
      <c r="M1709" s="2">
        <v>46126</v>
      </c>
      <c r="N1709" t="s">
        <v>637</v>
      </c>
      <c r="O1709" t="s">
        <v>625</v>
      </c>
      <c r="P1709">
        <v>1</v>
      </c>
      <c r="Q1709">
        <v>0</v>
      </c>
      <c r="R1709">
        <v>36.909999999999997</v>
      </c>
      <c r="S1709" t="s">
        <v>90</v>
      </c>
      <c r="T1709" t="s">
        <v>779</v>
      </c>
    </row>
    <row r="1710" spans="1:20" x14ac:dyDescent="0.3">
      <c r="A1710">
        <v>1709</v>
      </c>
      <c r="B1710">
        <v>272</v>
      </c>
      <c r="C1710">
        <v>4</v>
      </c>
      <c r="D1710">
        <v>172.31</v>
      </c>
      <c r="E1710">
        <v>17.23</v>
      </c>
      <c r="F1710">
        <v>0</v>
      </c>
      <c r="G1710">
        <v>0.1</v>
      </c>
      <c r="H1710" t="s">
        <v>622</v>
      </c>
      <c r="J1710" t="s">
        <v>623</v>
      </c>
      <c r="K1710" s="1"/>
      <c r="L1710" s="1">
        <v>46126.667222222219</v>
      </c>
      <c r="M1710" s="2">
        <v>46126</v>
      </c>
      <c r="N1710" t="s">
        <v>637</v>
      </c>
      <c r="O1710" t="s">
        <v>625</v>
      </c>
      <c r="P1710">
        <v>1</v>
      </c>
      <c r="Q1710">
        <v>0</v>
      </c>
      <c r="R1710">
        <v>172.31</v>
      </c>
      <c r="S1710" t="s">
        <v>539</v>
      </c>
      <c r="T1710" t="s">
        <v>778</v>
      </c>
    </row>
    <row r="1711" spans="1:20" x14ac:dyDescent="0.3">
      <c r="A1711">
        <v>1710</v>
      </c>
      <c r="B1711">
        <v>221</v>
      </c>
      <c r="C1711">
        <v>2</v>
      </c>
      <c r="D1711">
        <v>172.55</v>
      </c>
      <c r="E1711">
        <v>17.260000000000002</v>
      </c>
      <c r="F1711">
        <v>0</v>
      </c>
      <c r="G1711">
        <v>0.1</v>
      </c>
      <c r="H1711" t="s">
        <v>622</v>
      </c>
      <c r="J1711" t="s">
        <v>623</v>
      </c>
      <c r="K1711" s="1"/>
      <c r="L1711" s="1">
        <v>46126.769687499997</v>
      </c>
      <c r="M1711" s="2">
        <v>46126</v>
      </c>
      <c r="N1711" t="s">
        <v>637</v>
      </c>
      <c r="O1711" t="s">
        <v>625</v>
      </c>
      <c r="P1711">
        <v>1</v>
      </c>
      <c r="Q1711">
        <v>0</v>
      </c>
      <c r="R1711">
        <v>172.55</v>
      </c>
      <c r="S1711" t="s">
        <v>437</v>
      </c>
      <c r="T1711" t="s">
        <v>776</v>
      </c>
    </row>
    <row r="1712" spans="1:20" x14ac:dyDescent="0.3">
      <c r="A1712">
        <v>1711</v>
      </c>
      <c r="B1712">
        <v>156</v>
      </c>
      <c r="C1712">
        <v>2</v>
      </c>
      <c r="D1712">
        <v>20.94</v>
      </c>
      <c r="E1712">
        <v>2.09</v>
      </c>
      <c r="F1712">
        <v>0</v>
      </c>
      <c r="G1712">
        <v>0.1</v>
      </c>
      <c r="H1712" t="s">
        <v>622</v>
      </c>
      <c r="J1712" t="s">
        <v>623</v>
      </c>
      <c r="K1712" s="1"/>
      <c r="L1712" s="1">
        <v>46126.825775462959</v>
      </c>
      <c r="M1712" s="2">
        <v>46126</v>
      </c>
      <c r="N1712" t="s">
        <v>637</v>
      </c>
      <c r="O1712" t="s">
        <v>625</v>
      </c>
      <c r="P1712">
        <v>1</v>
      </c>
      <c r="Q1712">
        <v>0</v>
      </c>
      <c r="R1712">
        <v>20.94</v>
      </c>
      <c r="S1712" t="s">
        <v>307</v>
      </c>
      <c r="T1712" t="s">
        <v>776</v>
      </c>
    </row>
    <row r="1713" spans="1:20" x14ac:dyDescent="0.3">
      <c r="A1713">
        <v>1712</v>
      </c>
      <c r="B1713">
        <v>293</v>
      </c>
      <c r="C1713">
        <v>5</v>
      </c>
      <c r="D1713">
        <v>20.260000000000002</v>
      </c>
      <c r="E1713">
        <v>2.0299999999999998</v>
      </c>
      <c r="F1713">
        <v>0</v>
      </c>
      <c r="G1713">
        <v>0.1</v>
      </c>
      <c r="H1713" t="s">
        <v>622</v>
      </c>
      <c r="J1713" t="s">
        <v>623</v>
      </c>
      <c r="K1713" s="1"/>
      <c r="L1713" s="1">
        <v>46127.297326388885</v>
      </c>
      <c r="M1713" s="2">
        <v>46127</v>
      </c>
      <c r="N1713" t="s">
        <v>637</v>
      </c>
      <c r="O1713" t="s">
        <v>625</v>
      </c>
      <c r="P1713">
        <v>1</v>
      </c>
      <c r="Q1713">
        <v>0</v>
      </c>
      <c r="R1713">
        <v>20.260000000000002</v>
      </c>
      <c r="S1713" t="s">
        <v>581</v>
      </c>
      <c r="T1713" t="s">
        <v>779</v>
      </c>
    </row>
    <row r="1714" spans="1:20" x14ac:dyDescent="0.3">
      <c r="A1714">
        <v>1713</v>
      </c>
      <c r="B1714">
        <v>112</v>
      </c>
      <c r="C1714">
        <v>4</v>
      </c>
      <c r="D1714">
        <v>31.6</v>
      </c>
      <c r="E1714">
        <v>3.16</v>
      </c>
      <c r="F1714">
        <v>0</v>
      </c>
      <c r="G1714">
        <v>0.1</v>
      </c>
      <c r="H1714" t="s">
        <v>622</v>
      </c>
      <c r="J1714" t="s">
        <v>623</v>
      </c>
      <c r="K1714" s="1"/>
      <c r="L1714" s="1">
        <v>46127.430162037039</v>
      </c>
      <c r="M1714" s="2">
        <v>46127</v>
      </c>
      <c r="N1714" t="s">
        <v>637</v>
      </c>
      <c r="O1714" t="s">
        <v>625</v>
      </c>
      <c r="P1714">
        <v>1</v>
      </c>
      <c r="Q1714">
        <v>0</v>
      </c>
      <c r="R1714">
        <v>31.6</v>
      </c>
      <c r="S1714" t="s">
        <v>219</v>
      </c>
      <c r="T1714" t="s">
        <v>778</v>
      </c>
    </row>
    <row r="1715" spans="1:20" x14ac:dyDescent="0.3">
      <c r="A1715">
        <v>1714</v>
      </c>
      <c r="B1715">
        <v>23</v>
      </c>
      <c r="C1715">
        <v>5</v>
      </c>
      <c r="D1715">
        <v>178.69</v>
      </c>
      <c r="E1715">
        <v>17.87</v>
      </c>
      <c r="F1715">
        <v>0</v>
      </c>
      <c r="G1715">
        <v>0.1</v>
      </c>
      <c r="H1715" t="s">
        <v>622</v>
      </c>
      <c r="J1715" t="s">
        <v>623</v>
      </c>
      <c r="K1715" s="1"/>
      <c r="L1715" s="1">
        <v>46127.489004629628</v>
      </c>
      <c r="M1715" s="2">
        <v>46127</v>
      </c>
      <c r="N1715" t="s">
        <v>637</v>
      </c>
      <c r="O1715" t="s">
        <v>625</v>
      </c>
      <c r="P1715">
        <v>1</v>
      </c>
      <c r="Q1715">
        <v>0</v>
      </c>
      <c r="R1715">
        <v>178.69</v>
      </c>
      <c r="S1715" t="s">
        <v>42</v>
      </c>
      <c r="T1715" t="s">
        <v>779</v>
      </c>
    </row>
    <row r="1716" spans="1:20" x14ac:dyDescent="0.3">
      <c r="A1716">
        <v>1715</v>
      </c>
      <c r="B1716">
        <v>117</v>
      </c>
      <c r="C1716">
        <v>3</v>
      </c>
      <c r="D1716">
        <v>46.35</v>
      </c>
      <c r="E1716">
        <v>4.6399999999999997</v>
      </c>
      <c r="F1716">
        <v>0</v>
      </c>
      <c r="G1716">
        <v>0.1</v>
      </c>
      <c r="H1716" t="s">
        <v>622</v>
      </c>
      <c r="J1716" t="s">
        <v>623</v>
      </c>
      <c r="K1716" s="1"/>
      <c r="L1716" s="1">
        <v>46127.560567129629</v>
      </c>
      <c r="M1716" s="2">
        <v>46127</v>
      </c>
      <c r="N1716" t="s">
        <v>637</v>
      </c>
      <c r="O1716" t="s">
        <v>625</v>
      </c>
      <c r="P1716">
        <v>1</v>
      </c>
      <c r="Q1716">
        <v>0</v>
      </c>
      <c r="R1716">
        <v>46.35</v>
      </c>
      <c r="S1716" t="s">
        <v>229</v>
      </c>
      <c r="T1716" t="s">
        <v>777</v>
      </c>
    </row>
    <row r="1717" spans="1:20" x14ac:dyDescent="0.3">
      <c r="A1717">
        <v>1716</v>
      </c>
      <c r="B1717">
        <v>124</v>
      </c>
      <c r="C1717">
        <v>5</v>
      </c>
      <c r="D1717">
        <v>32.090000000000003</v>
      </c>
      <c r="E1717">
        <v>3.21</v>
      </c>
      <c r="F1717">
        <v>0</v>
      </c>
      <c r="G1717">
        <v>0.1</v>
      </c>
      <c r="H1717" t="s">
        <v>622</v>
      </c>
      <c r="J1717" t="s">
        <v>623</v>
      </c>
      <c r="K1717" s="1"/>
      <c r="L1717" s="1">
        <v>46127.606388888889</v>
      </c>
      <c r="M1717" s="2">
        <v>46127</v>
      </c>
      <c r="N1717" t="s">
        <v>637</v>
      </c>
      <c r="O1717" t="s">
        <v>625</v>
      </c>
      <c r="P1717">
        <v>1</v>
      </c>
      <c r="Q1717">
        <v>0</v>
      </c>
      <c r="R1717">
        <v>32.090000000000003</v>
      </c>
      <c r="S1717" t="s">
        <v>243</v>
      </c>
      <c r="T1717" t="s">
        <v>779</v>
      </c>
    </row>
    <row r="1718" spans="1:20" x14ac:dyDescent="0.3">
      <c r="A1718">
        <v>1717</v>
      </c>
      <c r="B1718">
        <v>229</v>
      </c>
      <c r="C1718">
        <v>4</v>
      </c>
      <c r="D1718">
        <v>142.24</v>
      </c>
      <c r="E1718">
        <v>14.22</v>
      </c>
      <c r="F1718">
        <v>0</v>
      </c>
      <c r="G1718">
        <v>0.1</v>
      </c>
      <c r="H1718" t="s">
        <v>622</v>
      </c>
      <c r="J1718" t="s">
        <v>623</v>
      </c>
      <c r="K1718" s="1"/>
      <c r="L1718" s="1">
        <v>46127.715127314812</v>
      </c>
      <c r="M1718" s="2">
        <v>46127</v>
      </c>
      <c r="N1718" t="s">
        <v>637</v>
      </c>
      <c r="O1718" t="s">
        <v>625</v>
      </c>
      <c r="P1718">
        <v>1</v>
      </c>
      <c r="Q1718">
        <v>0</v>
      </c>
      <c r="R1718">
        <v>142.24</v>
      </c>
      <c r="S1718" t="s">
        <v>453</v>
      </c>
      <c r="T1718" t="s">
        <v>778</v>
      </c>
    </row>
    <row r="1719" spans="1:20" x14ac:dyDescent="0.3">
      <c r="A1719">
        <v>1718</v>
      </c>
      <c r="B1719">
        <v>185</v>
      </c>
      <c r="C1719">
        <v>3</v>
      </c>
      <c r="D1719">
        <v>88.62</v>
      </c>
      <c r="E1719">
        <v>8.86</v>
      </c>
      <c r="F1719">
        <v>0</v>
      </c>
      <c r="G1719">
        <v>0.1</v>
      </c>
      <c r="H1719" t="s">
        <v>622</v>
      </c>
      <c r="J1719" t="s">
        <v>623</v>
      </c>
      <c r="K1719" s="1"/>
      <c r="L1719" s="1">
        <v>46128.475266203706</v>
      </c>
      <c r="M1719" s="2">
        <v>46128</v>
      </c>
      <c r="N1719" t="s">
        <v>637</v>
      </c>
      <c r="O1719" t="s">
        <v>625</v>
      </c>
      <c r="P1719">
        <v>1</v>
      </c>
      <c r="Q1719">
        <v>0</v>
      </c>
      <c r="R1719">
        <v>88.62</v>
      </c>
      <c r="S1719" t="s">
        <v>365</v>
      </c>
      <c r="T1719" t="s">
        <v>777</v>
      </c>
    </row>
    <row r="1720" spans="1:20" x14ac:dyDescent="0.3">
      <c r="A1720">
        <v>1719</v>
      </c>
      <c r="B1720">
        <v>17</v>
      </c>
      <c r="C1720">
        <v>4</v>
      </c>
      <c r="D1720">
        <v>82.67</v>
      </c>
      <c r="E1720">
        <v>8.27</v>
      </c>
      <c r="F1720">
        <v>0</v>
      </c>
      <c r="G1720">
        <v>0.1</v>
      </c>
      <c r="H1720" t="s">
        <v>622</v>
      </c>
      <c r="J1720" t="s">
        <v>623</v>
      </c>
      <c r="K1720" s="1"/>
      <c r="L1720" s="1">
        <v>46128.520555555559</v>
      </c>
      <c r="M1720" s="2">
        <v>46128</v>
      </c>
      <c r="N1720" t="s">
        <v>637</v>
      </c>
      <c r="O1720" t="s">
        <v>625</v>
      </c>
      <c r="P1720">
        <v>1</v>
      </c>
      <c r="Q1720">
        <v>0</v>
      </c>
      <c r="R1720">
        <v>82.67</v>
      </c>
      <c r="S1720" t="s">
        <v>30</v>
      </c>
      <c r="T1720" t="s">
        <v>778</v>
      </c>
    </row>
    <row r="1721" spans="1:20" x14ac:dyDescent="0.3">
      <c r="A1721">
        <v>1720</v>
      </c>
      <c r="B1721">
        <v>156</v>
      </c>
      <c r="C1721">
        <v>4</v>
      </c>
      <c r="D1721">
        <v>36.89</v>
      </c>
      <c r="E1721">
        <v>3.69</v>
      </c>
      <c r="F1721">
        <v>0</v>
      </c>
      <c r="G1721">
        <v>0.1</v>
      </c>
      <c r="H1721" t="s">
        <v>622</v>
      </c>
      <c r="J1721" t="s">
        <v>623</v>
      </c>
      <c r="K1721" s="1"/>
      <c r="L1721" s="1">
        <v>46128.581967592596</v>
      </c>
      <c r="M1721" s="2">
        <v>46128</v>
      </c>
      <c r="N1721" t="s">
        <v>637</v>
      </c>
      <c r="O1721" t="s">
        <v>625</v>
      </c>
      <c r="P1721">
        <v>1</v>
      </c>
      <c r="Q1721">
        <v>0</v>
      </c>
      <c r="R1721">
        <v>36.89</v>
      </c>
      <c r="S1721" t="s">
        <v>307</v>
      </c>
      <c r="T1721" t="s">
        <v>778</v>
      </c>
    </row>
    <row r="1722" spans="1:20" x14ac:dyDescent="0.3">
      <c r="A1722">
        <v>1721</v>
      </c>
      <c r="B1722">
        <v>39</v>
      </c>
      <c r="C1722">
        <v>4</v>
      </c>
      <c r="D1722">
        <v>287.38</v>
      </c>
      <c r="E1722">
        <v>28.74</v>
      </c>
      <c r="F1722">
        <v>0</v>
      </c>
      <c r="G1722">
        <v>0.1</v>
      </c>
      <c r="H1722" t="s">
        <v>622</v>
      </c>
      <c r="J1722" t="s">
        <v>623</v>
      </c>
      <c r="K1722" s="1"/>
      <c r="L1722" s="1">
        <v>46128.622187499997</v>
      </c>
      <c r="M1722" s="2">
        <v>46128</v>
      </c>
      <c r="N1722" t="s">
        <v>637</v>
      </c>
      <c r="O1722" t="s">
        <v>625</v>
      </c>
      <c r="P1722">
        <v>1</v>
      </c>
      <c r="Q1722">
        <v>0</v>
      </c>
      <c r="R1722">
        <v>287.38</v>
      </c>
      <c r="S1722" t="s">
        <v>74</v>
      </c>
      <c r="T1722" t="s">
        <v>778</v>
      </c>
    </row>
    <row r="1723" spans="1:20" x14ac:dyDescent="0.3">
      <c r="A1723">
        <v>1722</v>
      </c>
      <c r="B1723">
        <v>218</v>
      </c>
      <c r="C1723">
        <v>5</v>
      </c>
      <c r="D1723">
        <v>54.71</v>
      </c>
      <c r="E1723">
        <v>5.47</v>
      </c>
      <c r="F1723">
        <v>0</v>
      </c>
      <c r="G1723">
        <v>0.1</v>
      </c>
      <c r="H1723" t="s">
        <v>622</v>
      </c>
      <c r="J1723" t="s">
        <v>623</v>
      </c>
      <c r="K1723" s="1"/>
      <c r="L1723" s="1">
        <v>46128.723043981481</v>
      </c>
      <c r="M1723" s="2">
        <v>46128</v>
      </c>
      <c r="N1723" t="s">
        <v>637</v>
      </c>
      <c r="O1723" t="s">
        <v>625</v>
      </c>
      <c r="P1723">
        <v>1</v>
      </c>
      <c r="Q1723">
        <v>0</v>
      </c>
      <c r="R1723">
        <v>54.71</v>
      </c>
      <c r="S1723" t="s">
        <v>431</v>
      </c>
      <c r="T1723" t="s">
        <v>779</v>
      </c>
    </row>
    <row r="1724" spans="1:20" x14ac:dyDescent="0.3">
      <c r="A1724">
        <v>1723</v>
      </c>
      <c r="B1724">
        <v>241</v>
      </c>
      <c r="C1724">
        <v>2</v>
      </c>
      <c r="D1724">
        <v>41.48</v>
      </c>
      <c r="E1724">
        <v>4.1500000000000004</v>
      </c>
      <c r="F1724">
        <v>0</v>
      </c>
      <c r="G1724">
        <v>0.1</v>
      </c>
      <c r="H1724" t="s">
        <v>622</v>
      </c>
      <c r="J1724" t="s">
        <v>623</v>
      </c>
      <c r="K1724" s="1"/>
      <c r="L1724" s="1">
        <v>46128.726493055554</v>
      </c>
      <c r="M1724" s="2">
        <v>46128</v>
      </c>
      <c r="N1724" t="s">
        <v>637</v>
      </c>
      <c r="O1724" t="s">
        <v>625</v>
      </c>
      <c r="P1724">
        <v>1</v>
      </c>
      <c r="Q1724">
        <v>0</v>
      </c>
      <c r="R1724">
        <v>41.48</v>
      </c>
      <c r="S1724" t="s">
        <v>477</v>
      </c>
      <c r="T1724" t="s">
        <v>776</v>
      </c>
    </row>
    <row r="1725" spans="1:20" x14ac:dyDescent="0.3">
      <c r="A1725">
        <v>1724</v>
      </c>
      <c r="B1725">
        <v>28</v>
      </c>
      <c r="C1725">
        <v>3</v>
      </c>
      <c r="D1725">
        <v>38.99</v>
      </c>
      <c r="E1725">
        <v>3.9</v>
      </c>
      <c r="F1725">
        <v>0</v>
      </c>
      <c r="G1725">
        <v>0.1</v>
      </c>
      <c r="H1725" t="s">
        <v>622</v>
      </c>
      <c r="J1725" t="s">
        <v>623</v>
      </c>
      <c r="K1725" s="1"/>
      <c r="L1725" s="1">
        <v>46128.738495370373</v>
      </c>
      <c r="M1725" s="2">
        <v>46128</v>
      </c>
      <c r="N1725" t="s">
        <v>637</v>
      </c>
      <c r="O1725" t="s">
        <v>625</v>
      </c>
      <c r="P1725">
        <v>1</v>
      </c>
      <c r="Q1725">
        <v>0</v>
      </c>
      <c r="R1725">
        <v>38.99</v>
      </c>
      <c r="S1725" t="s">
        <v>52</v>
      </c>
      <c r="T1725" t="s">
        <v>777</v>
      </c>
    </row>
    <row r="1726" spans="1:20" x14ac:dyDescent="0.3">
      <c r="A1726">
        <v>1725</v>
      </c>
      <c r="B1726">
        <v>106</v>
      </c>
      <c r="C1726">
        <v>5</v>
      </c>
      <c r="D1726">
        <v>58.67</v>
      </c>
      <c r="E1726">
        <v>5.87</v>
      </c>
      <c r="F1726">
        <v>0</v>
      </c>
      <c r="G1726">
        <v>0.1</v>
      </c>
      <c r="H1726" t="s">
        <v>622</v>
      </c>
      <c r="J1726" t="s">
        <v>623</v>
      </c>
      <c r="K1726" s="1"/>
      <c r="L1726" s="1">
        <v>46128.770243055558</v>
      </c>
      <c r="M1726" s="2">
        <v>46128</v>
      </c>
      <c r="N1726" t="s">
        <v>637</v>
      </c>
      <c r="O1726" t="s">
        <v>625</v>
      </c>
      <c r="P1726">
        <v>1</v>
      </c>
      <c r="Q1726">
        <v>0</v>
      </c>
      <c r="R1726">
        <v>58.67</v>
      </c>
      <c r="S1726" t="s">
        <v>207</v>
      </c>
      <c r="T1726" t="s">
        <v>779</v>
      </c>
    </row>
    <row r="1727" spans="1:20" x14ac:dyDescent="0.3">
      <c r="A1727">
        <v>1726</v>
      </c>
      <c r="B1727">
        <v>178</v>
      </c>
      <c r="C1727">
        <v>2</v>
      </c>
      <c r="D1727">
        <v>238.84</v>
      </c>
      <c r="E1727">
        <v>23.88</v>
      </c>
      <c r="F1727">
        <v>0</v>
      </c>
      <c r="G1727">
        <v>0.1</v>
      </c>
      <c r="H1727" t="s">
        <v>622</v>
      </c>
      <c r="J1727" t="s">
        <v>623</v>
      </c>
      <c r="K1727" s="1"/>
      <c r="L1727" s="1">
        <v>46129.347500000003</v>
      </c>
      <c r="M1727" s="2">
        <v>46129</v>
      </c>
      <c r="N1727" t="s">
        <v>637</v>
      </c>
      <c r="O1727" t="s">
        <v>625</v>
      </c>
      <c r="P1727">
        <v>1</v>
      </c>
      <c r="Q1727">
        <v>0</v>
      </c>
      <c r="R1727">
        <v>238.84</v>
      </c>
      <c r="S1727" t="s">
        <v>351</v>
      </c>
      <c r="T1727" t="s">
        <v>776</v>
      </c>
    </row>
    <row r="1728" spans="1:20" x14ac:dyDescent="0.3">
      <c r="A1728">
        <v>1727</v>
      </c>
      <c r="B1728">
        <v>195</v>
      </c>
      <c r="C1728">
        <v>2</v>
      </c>
      <c r="D1728">
        <v>87.02</v>
      </c>
      <c r="E1728">
        <v>8.6999999999999993</v>
      </c>
      <c r="F1728">
        <v>0</v>
      </c>
      <c r="G1728">
        <v>0.1</v>
      </c>
      <c r="H1728" t="s">
        <v>622</v>
      </c>
      <c r="J1728" t="s">
        <v>623</v>
      </c>
      <c r="K1728" s="1"/>
      <c r="L1728" s="1">
        <v>46129.384594907409</v>
      </c>
      <c r="M1728" s="2">
        <v>46129</v>
      </c>
      <c r="N1728" t="s">
        <v>637</v>
      </c>
      <c r="O1728" t="s">
        <v>625</v>
      </c>
      <c r="P1728">
        <v>1</v>
      </c>
      <c r="Q1728">
        <v>0</v>
      </c>
      <c r="R1728">
        <v>87.02</v>
      </c>
      <c r="S1728" t="s">
        <v>385</v>
      </c>
      <c r="T1728" t="s">
        <v>776</v>
      </c>
    </row>
    <row r="1729" spans="1:20" x14ac:dyDescent="0.3">
      <c r="A1729">
        <v>1728</v>
      </c>
      <c r="B1729">
        <v>136</v>
      </c>
      <c r="C1729">
        <v>4</v>
      </c>
      <c r="D1729">
        <v>117.23</v>
      </c>
      <c r="E1729">
        <v>11.72</v>
      </c>
      <c r="F1729">
        <v>0</v>
      </c>
      <c r="G1729">
        <v>0.1</v>
      </c>
      <c r="H1729" t="s">
        <v>622</v>
      </c>
      <c r="J1729" t="s">
        <v>623</v>
      </c>
      <c r="K1729" s="1"/>
      <c r="L1729" s="1">
        <v>46129.388252314813</v>
      </c>
      <c r="M1729" s="2">
        <v>46129</v>
      </c>
      <c r="N1729" t="s">
        <v>637</v>
      </c>
      <c r="O1729" t="s">
        <v>625</v>
      </c>
      <c r="P1729">
        <v>1</v>
      </c>
      <c r="Q1729">
        <v>0</v>
      </c>
      <c r="R1729">
        <v>117.23</v>
      </c>
      <c r="S1729" t="s">
        <v>267</v>
      </c>
      <c r="T1729" t="s">
        <v>778</v>
      </c>
    </row>
    <row r="1730" spans="1:20" x14ac:dyDescent="0.3">
      <c r="A1730">
        <v>1729</v>
      </c>
      <c r="B1730">
        <v>229</v>
      </c>
      <c r="C1730">
        <v>2</v>
      </c>
      <c r="D1730">
        <v>139.53</v>
      </c>
      <c r="E1730">
        <v>13.95</v>
      </c>
      <c r="F1730">
        <v>0</v>
      </c>
      <c r="G1730">
        <v>0.1</v>
      </c>
      <c r="H1730" t="s">
        <v>622</v>
      </c>
      <c r="J1730" t="s">
        <v>623</v>
      </c>
      <c r="K1730" s="1"/>
      <c r="L1730" s="1">
        <v>46129.570787037039</v>
      </c>
      <c r="M1730" s="2">
        <v>46129</v>
      </c>
      <c r="N1730" t="s">
        <v>637</v>
      </c>
      <c r="O1730" t="s">
        <v>625</v>
      </c>
      <c r="P1730">
        <v>1</v>
      </c>
      <c r="Q1730">
        <v>0</v>
      </c>
      <c r="R1730">
        <v>139.53</v>
      </c>
      <c r="S1730" t="s">
        <v>453</v>
      </c>
      <c r="T1730" t="s">
        <v>776</v>
      </c>
    </row>
    <row r="1731" spans="1:20" x14ac:dyDescent="0.3">
      <c r="A1731">
        <v>1730</v>
      </c>
      <c r="B1731">
        <v>149</v>
      </c>
      <c r="C1731">
        <v>3</v>
      </c>
      <c r="D1731">
        <v>36.25</v>
      </c>
      <c r="E1731">
        <v>3.63</v>
      </c>
      <c r="F1731">
        <v>0</v>
      </c>
      <c r="G1731">
        <v>0.1</v>
      </c>
      <c r="H1731" t="s">
        <v>622</v>
      </c>
      <c r="J1731" t="s">
        <v>623</v>
      </c>
      <c r="K1731" s="1"/>
      <c r="L1731" s="1">
        <v>46129.587523148148</v>
      </c>
      <c r="M1731" s="2">
        <v>46129</v>
      </c>
      <c r="N1731" t="s">
        <v>637</v>
      </c>
      <c r="O1731" t="s">
        <v>625</v>
      </c>
      <c r="P1731">
        <v>1</v>
      </c>
      <c r="Q1731">
        <v>0</v>
      </c>
      <c r="R1731">
        <v>36.25</v>
      </c>
      <c r="S1731" t="s">
        <v>293</v>
      </c>
      <c r="T1731" t="s">
        <v>777</v>
      </c>
    </row>
    <row r="1732" spans="1:20" x14ac:dyDescent="0.3">
      <c r="A1732">
        <v>1731</v>
      </c>
      <c r="B1732">
        <v>276</v>
      </c>
      <c r="C1732">
        <v>4</v>
      </c>
      <c r="D1732">
        <v>23</v>
      </c>
      <c r="E1732">
        <v>2.2999999999999998</v>
      </c>
      <c r="F1732">
        <v>0</v>
      </c>
      <c r="G1732">
        <v>0.1</v>
      </c>
      <c r="H1732" t="s">
        <v>622</v>
      </c>
      <c r="J1732" t="s">
        <v>623</v>
      </c>
      <c r="K1732" s="1"/>
      <c r="L1732" s="1">
        <v>46129.797997685186</v>
      </c>
      <c r="M1732" s="2">
        <v>46129</v>
      </c>
      <c r="N1732" t="s">
        <v>637</v>
      </c>
      <c r="O1732" t="s">
        <v>625</v>
      </c>
      <c r="P1732">
        <v>1</v>
      </c>
      <c r="Q1732">
        <v>0</v>
      </c>
      <c r="R1732">
        <v>23</v>
      </c>
      <c r="S1732" t="s">
        <v>547</v>
      </c>
      <c r="T1732" t="s">
        <v>778</v>
      </c>
    </row>
    <row r="1733" spans="1:20" x14ac:dyDescent="0.3">
      <c r="A1733">
        <v>1732</v>
      </c>
      <c r="B1733">
        <v>160</v>
      </c>
      <c r="C1733">
        <v>3</v>
      </c>
      <c r="D1733">
        <v>21.21</v>
      </c>
      <c r="E1733">
        <v>2.12</v>
      </c>
      <c r="F1733">
        <v>0</v>
      </c>
      <c r="G1733">
        <v>0.1</v>
      </c>
      <c r="H1733" t="s">
        <v>622</v>
      </c>
      <c r="J1733" t="s">
        <v>623</v>
      </c>
      <c r="K1733" s="1"/>
      <c r="L1733" s="1">
        <v>46129.819120370368</v>
      </c>
      <c r="M1733" s="2">
        <v>46129</v>
      </c>
      <c r="N1733" t="s">
        <v>637</v>
      </c>
      <c r="O1733" t="s">
        <v>625</v>
      </c>
      <c r="P1733">
        <v>1</v>
      </c>
      <c r="Q1733">
        <v>0</v>
      </c>
      <c r="R1733">
        <v>21.21</v>
      </c>
      <c r="S1733" t="s">
        <v>315</v>
      </c>
      <c r="T1733" t="s">
        <v>777</v>
      </c>
    </row>
    <row r="1734" spans="1:20" x14ac:dyDescent="0.3">
      <c r="A1734">
        <v>1733</v>
      </c>
      <c r="B1734">
        <v>243</v>
      </c>
      <c r="C1734">
        <v>3</v>
      </c>
      <c r="D1734">
        <v>23.55</v>
      </c>
      <c r="E1734">
        <v>0</v>
      </c>
      <c r="F1734">
        <v>1</v>
      </c>
      <c r="G1734">
        <v>0.1</v>
      </c>
      <c r="H1734" t="s">
        <v>622</v>
      </c>
      <c r="J1734" t="s">
        <v>623</v>
      </c>
      <c r="K1734" s="1"/>
      <c r="L1734" s="1">
        <v>46130.35229166667</v>
      </c>
      <c r="M1734" s="2">
        <v>46130</v>
      </c>
      <c r="N1734" t="s">
        <v>637</v>
      </c>
      <c r="O1734" t="s">
        <v>629</v>
      </c>
      <c r="P1734">
        <v>1</v>
      </c>
      <c r="Q1734">
        <v>0</v>
      </c>
      <c r="R1734">
        <v>23.55</v>
      </c>
      <c r="S1734" t="s">
        <v>481</v>
      </c>
      <c r="T1734" t="s">
        <v>777</v>
      </c>
    </row>
    <row r="1735" spans="1:20" x14ac:dyDescent="0.3">
      <c r="A1735">
        <v>1734</v>
      </c>
      <c r="B1735">
        <v>87</v>
      </c>
      <c r="C1735">
        <v>2</v>
      </c>
      <c r="D1735">
        <v>86.01</v>
      </c>
      <c r="E1735">
        <v>0</v>
      </c>
      <c r="F1735">
        <v>1</v>
      </c>
      <c r="G1735">
        <v>0.1</v>
      </c>
      <c r="H1735" t="s">
        <v>622</v>
      </c>
      <c r="J1735" t="s">
        <v>623</v>
      </c>
      <c r="K1735" s="1"/>
      <c r="L1735" s="1">
        <v>46130.379699074074</v>
      </c>
      <c r="M1735" s="2">
        <v>46130</v>
      </c>
      <c r="N1735" t="s">
        <v>637</v>
      </c>
      <c r="O1735" t="s">
        <v>629</v>
      </c>
      <c r="P1735">
        <v>1</v>
      </c>
      <c r="Q1735">
        <v>0</v>
      </c>
      <c r="R1735">
        <v>86.01</v>
      </c>
      <c r="S1735" t="s">
        <v>169</v>
      </c>
      <c r="T1735" t="s">
        <v>776</v>
      </c>
    </row>
    <row r="1736" spans="1:20" x14ac:dyDescent="0.3">
      <c r="A1736">
        <v>1735</v>
      </c>
      <c r="B1736">
        <v>276</v>
      </c>
      <c r="C1736">
        <v>4</v>
      </c>
      <c r="D1736">
        <v>45.12</v>
      </c>
      <c r="E1736">
        <v>4.51</v>
      </c>
      <c r="F1736">
        <v>0</v>
      </c>
      <c r="G1736">
        <v>0.1</v>
      </c>
      <c r="H1736" t="s">
        <v>622</v>
      </c>
      <c r="J1736" t="s">
        <v>623</v>
      </c>
      <c r="K1736" s="1"/>
      <c r="L1736" s="1">
        <v>46130.47515046296</v>
      </c>
      <c r="M1736" s="2">
        <v>46130</v>
      </c>
      <c r="N1736" t="s">
        <v>637</v>
      </c>
      <c r="O1736" t="s">
        <v>625</v>
      </c>
      <c r="P1736">
        <v>1</v>
      </c>
      <c r="Q1736">
        <v>0</v>
      </c>
      <c r="R1736">
        <v>45.12</v>
      </c>
      <c r="S1736" t="s">
        <v>547</v>
      </c>
      <c r="T1736" t="s">
        <v>778</v>
      </c>
    </row>
    <row r="1737" spans="1:20" x14ac:dyDescent="0.3">
      <c r="A1737">
        <v>1736</v>
      </c>
      <c r="B1737">
        <v>249</v>
      </c>
      <c r="C1737">
        <v>5</v>
      </c>
      <c r="D1737">
        <v>139.41</v>
      </c>
      <c r="E1737">
        <v>13.94</v>
      </c>
      <c r="F1737">
        <v>0</v>
      </c>
      <c r="G1737">
        <v>0.1</v>
      </c>
      <c r="H1737" t="s">
        <v>622</v>
      </c>
      <c r="J1737" t="s">
        <v>623</v>
      </c>
      <c r="K1737" s="1"/>
      <c r="L1737" s="1">
        <v>46130.559629629628</v>
      </c>
      <c r="M1737" s="2">
        <v>46130</v>
      </c>
      <c r="N1737" t="s">
        <v>637</v>
      </c>
      <c r="O1737" t="s">
        <v>625</v>
      </c>
      <c r="P1737">
        <v>1</v>
      </c>
      <c r="Q1737">
        <v>0</v>
      </c>
      <c r="R1737">
        <v>139.41</v>
      </c>
      <c r="S1737" t="s">
        <v>493</v>
      </c>
      <c r="T1737" t="s">
        <v>779</v>
      </c>
    </row>
    <row r="1738" spans="1:20" x14ac:dyDescent="0.3">
      <c r="A1738">
        <v>1737</v>
      </c>
      <c r="B1738">
        <v>106</v>
      </c>
      <c r="C1738">
        <v>4</v>
      </c>
      <c r="D1738">
        <v>118.49</v>
      </c>
      <c r="E1738">
        <v>11.85</v>
      </c>
      <c r="F1738">
        <v>0</v>
      </c>
      <c r="G1738">
        <v>0.1</v>
      </c>
      <c r="H1738" t="s">
        <v>622</v>
      </c>
      <c r="J1738" t="s">
        <v>623</v>
      </c>
      <c r="K1738" s="1"/>
      <c r="L1738" s="1">
        <v>46130.673217592594</v>
      </c>
      <c r="M1738" s="2">
        <v>46130</v>
      </c>
      <c r="N1738" t="s">
        <v>637</v>
      </c>
      <c r="O1738" t="s">
        <v>625</v>
      </c>
      <c r="P1738">
        <v>1</v>
      </c>
      <c r="Q1738">
        <v>0</v>
      </c>
      <c r="R1738">
        <v>118.49</v>
      </c>
      <c r="S1738" t="s">
        <v>207</v>
      </c>
      <c r="T1738" t="s">
        <v>778</v>
      </c>
    </row>
    <row r="1739" spans="1:20" x14ac:dyDescent="0.3">
      <c r="A1739">
        <v>1738</v>
      </c>
      <c r="B1739">
        <v>16</v>
      </c>
      <c r="C1739">
        <v>5</v>
      </c>
      <c r="D1739">
        <v>232.58</v>
      </c>
      <c r="E1739">
        <v>23.26</v>
      </c>
      <c r="F1739">
        <v>0</v>
      </c>
      <c r="G1739">
        <v>0.1</v>
      </c>
      <c r="H1739" t="s">
        <v>622</v>
      </c>
      <c r="J1739" t="s">
        <v>623</v>
      </c>
      <c r="K1739" s="1"/>
      <c r="L1739" s="1">
        <v>46130.684386574074</v>
      </c>
      <c r="M1739" s="2">
        <v>46130</v>
      </c>
      <c r="N1739" t="s">
        <v>637</v>
      </c>
      <c r="O1739" t="s">
        <v>625</v>
      </c>
      <c r="P1739">
        <v>1</v>
      </c>
      <c r="Q1739">
        <v>0</v>
      </c>
      <c r="R1739">
        <v>232.58</v>
      </c>
      <c r="S1739" t="s">
        <v>28</v>
      </c>
      <c r="T1739" t="s">
        <v>779</v>
      </c>
    </row>
    <row r="1740" spans="1:20" x14ac:dyDescent="0.3">
      <c r="A1740">
        <v>1739</v>
      </c>
      <c r="B1740">
        <v>280</v>
      </c>
      <c r="C1740">
        <v>4</v>
      </c>
      <c r="D1740">
        <v>37.21</v>
      </c>
      <c r="E1740">
        <v>3.72</v>
      </c>
      <c r="F1740">
        <v>0</v>
      </c>
      <c r="G1740">
        <v>0.1</v>
      </c>
      <c r="H1740" t="s">
        <v>622</v>
      </c>
      <c r="J1740" t="s">
        <v>623</v>
      </c>
      <c r="K1740" s="1"/>
      <c r="L1740" s="1">
        <v>46130.694293981483</v>
      </c>
      <c r="M1740" s="2">
        <v>46130</v>
      </c>
      <c r="N1740" t="s">
        <v>637</v>
      </c>
      <c r="O1740" t="s">
        <v>625</v>
      </c>
      <c r="P1740">
        <v>1</v>
      </c>
      <c r="Q1740">
        <v>0</v>
      </c>
      <c r="R1740">
        <v>37.21</v>
      </c>
      <c r="S1740" t="s">
        <v>555</v>
      </c>
      <c r="T1740" t="s">
        <v>778</v>
      </c>
    </row>
    <row r="1741" spans="1:20" x14ac:dyDescent="0.3">
      <c r="A1741">
        <v>1740</v>
      </c>
      <c r="B1741">
        <v>245</v>
      </c>
      <c r="C1741">
        <v>4</v>
      </c>
      <c r="D1741">
        <v>21.43</v>
      </c>
      <c r="E1741">
        <v>2.14</v>
      </c>
      <c r="F1741">
        <v>0</v>
      </c>
      <c r="G1741">
        <v>0.1</v>
      </c>
      <c r="H1741" t="s">
        <v>622</v>
      </c>
      <c r="J1741" t="s">
        <v>623</v>
      </c>
      <c r="K1741" s="1"/>
      <c r="L1741" s="1">
        <v>46130.764756944445</v>
      </c>
      <c r="M1741" s="2">
        <v>46130</v>
      </c>
      <c r="N1741" t="s">
        <v>637</v>
      </c>
      <c r="O1741" t="s">
        <v>625</v>
      </c>
      <c r="P1741">
        <v>1</v>
      </c>
      <c r="Q1741">
        <v>0</v>
      </c>
      <c r="R1741">
        <v>21.43</v>
      </c>
      <c r="S1741" t="s">
        <v>485</v>
      </c>
      <c r="T1741" t="s">
        <v>778</v>
      </c>
    </row>
    <row r="1742" spans="1:20" x14ac:dyDescent="0.3">
      <c r="A1742">
        <v>1741</v>
      </c>
      <c r="B1742">
        <v>156</v>
      </c>
      <c r="C1742">
        <v>4</v>
      </c>
      <c r="D1742">
        <v>29.21</v>
      </c>
      <c r="E1742">
        <v>2.92</v>
      </c>
      <c r="F1742">
        <v>0</v>
      </c>
      <c r="G1742">
        <v>0.1</v>
      </c>
      <c r="H1742" t="s">
        <v>622</v>
      </c>
      <c r="J1742" t="s">
        <v>623</v>
      </c>
      <c r="K1742" s="1"/>
      <c r="L1742" s="1">
        <v>46130.784513888888</v>
      </c>
      <c r="M1742" s="2">
        <v>46130</v>
      </c>
      <c r="N1742" t="s">
        <v>637</v>
      </c>
      <c r="O1742" t="s">
        <v>625</v>
      </c>
      <c r="P1742">
        <v>1</v>
      </c>
      <c r="Q1742">
        <v>0</v>
      </c>
      <c r="R1742">
        <v>29.21</v>
      </c>
      <c r="S1742" t="s">
        <v>307</v>
      </c>
      <c r="T1742" t="s">
        <v>778</v>
      </c>
    </row>
    <row r="1743" spans="1:20" x14ac:dyDescent="0.3">
      <c r="A1743">
        <v>1742</v>
      </c>
      <c r="B1743">
        <v>39</v>
      </c>
      <c r="C1743">
        <v>4</v>
      </c>
      <c r="D1743">
        <v>263.29000000000002</v>
      </c>
      <c r="E1743">
        <v>26.33</v>
      </c>
      <c r="F1743">
        <v>0</v>
      </c>
      <c r="G1743">
        <v>0.1</v>
      </c>
      <c r="H1743" t="s">
        <v>622</v>
      </c>
      <c r="J1743" t="s">
        <v>623</v>
      </c>
      <c r="K1743" s="1"/>
      <c r="L1743" s="1">
        <v>46131.354120370372</v>
      </c>
      <c r="M1743" s="2">
        <v>46131</v>
      </c>
      <c r="N1743" t="s">
        <v>637</v>
      </c>
      <c r="O1743" t="s">
        <v>625</v>
      </c>
      <c r="P1743">
        <v>1</v>
      </c>
      <c r="Q1743">
        <v>0</v>
      </c>
      <c r="R1743">
        <v>263.29000000000002</v>
      </c>
      <c r="S1743" t="s">
        <v>74</v>
      </c>
      <c r="T1743" t="s">
        <v>778</v>
      </c>
    </row>
    <row r="1744" spans="1:20" x14ac:dyDescent="0.3">
      <c r="A1744">
        <v>1743</v>
      </c>
      <c r="B1744">
        <v>257</v>
      </c>
      <c r="C1744">
        <v>5</v>
      </c>
      <c r="D1744">
        <v>77.78</v>
      </c>
      <c r="E1744">
        <v>7.78</v>
      </c>
      <c r="F1744">
        <v>0</v>
      </c>
      <c r="G1744">
        <v>0.1</v>
      </c>
      <c r="H1744" t="s">
        <v>622</v>
      </c>
      <c r="J1744" t="s">
        <v>623</v>
      </c>
      <c r="K1744" s="1"/>
      <c r="L1744" s="1">
        <v>46131.492129629631</v>
      </c>
      <c r="M1744" s="2">
        <v>46131</v>
      </c>
      <c r="N1744" t="s">
        <v>637</v>
      </c>
      <c r="O1744" t="s">
        <v>625</v>
      </c>
      <c r="P1744">
        <v>1</v>
      </c>
      <c r="Q1744">
        <v>0</v>
      </c>
      <c r="R1744">
        <v>77.78</v>
      </c>
      <c r="S1744" t="s">
        <v>509</v>
      </c>
      <c r="T1744" t="s">
        <v>779</v>
      </c>
    </row>
    <row r="1745" spans="1:20" x14ac:dyDescent="0.3">
      <c r="A1745">
        <v>1744</v>
      </c>
      <c r="B1745">
        <v>202</v>
      </c>
      <c r="C1745">
        <v>3</v>
      </c>
      <c r="D1745">
        <v>33.659999999999997</v>
      </c>
      <c r="E1745">
        <v>3.37</v>
      </c>
      <c r="F1745">
        <v>0</v>
      </c>
      <c r="G1745">
        <v>0.1</v>
      </c>
      <c r="H1745" t="s">
        <v>622</v>
      </c>
      <c r="J1745" t="s">
        <v>623</v>
      </c>
      <c r="K1745" s="1"/>
      <c r="L1745" s="1">
        <v>46131.554131944446</v>
      </c>
      <c r="M1745" s="2">
        <v>46131</v>
      </c>
      <c r="N1745" t="s">
        <v>637</v>
      </c>
      <c r="O1745" t="s">
        <v>625</v>
      </c>
      <c r="P1745">
        <v>1</v>
      </c>
      <c r="Q1745">
        <v>0</v>
      </c>
      <c r="R1745">
        <v>33.659999999999997</v>
      </c>
      <c r="S1745" t="s">
        <v>399</v>
      </c>
      <c r="T1745" t="s">
        <v>777</v>
      </c>
    </row>
    <row r="1746" spans="1:20" x14ac:dyDescent="0.3">
      <c r="A1746">
        <v>1745</v>
      </c>
      <c r="B1746">
        <v>168</v>
      </c>
      <c r="C1746">
        <v>2</v>
      </c>
      <c r="D1746">
        <v>32.83</v>
      </c>
      <c r="E1746">
        <v>3.28</v>
      </c>
      <c r="F1746">
        <v>0</v>
      </c>
      <c r="G1746">
        <v>0.1</v>
      </c>
      <c r="H1746" t="s">
        <v>622</v>
      </c>
      <c r="J1746" t="s">
        <v>623</v>
      </c>
      <c r="K1746" s="1"/>
      <c r="L1746" s="1">
        <v>46131.638865740744</v>
      </c>
      <c r="M1746" s="2">
        <v>46131</v>
      </c>
      <c r="N1746" t="s">
        <v>637</v>
      </c>
      <c r="O1746" t="s">
        <v>625</v>
      </c>
      <c r="P1746">
        <v>1</v>
      </c>
      <c r="Q1746">
        <v>0</v>
      </c>
      <c r="R1746">
        <v>32.83</v>
      </c>
      <c r="S1746" t="s">
        <v>331</v>
      </c>
      <c r="T1746" t="s">
        <v>776</v>
      </c>
    </row>
    <row r="1747" spans="1:20" x14ac:dyDescent="0.3">
      <c r="A1747">
        <v>1746</v>
      </c>
      <c r="B1747">
        <v>297</v>
      </c>
      <c r="C1747">
        <v>5</v>
      </c>
      <c r="D1747">
        <v>78.56</v>
      </c>
      <c r="E1747">
        <v>7.86</v>
      </c>
      <c r="F1747">
        <v>0</v>
      </c>
      <c r="G1747">
        <v>0.1</v>
      </c>
      <c r="H1747" t="s">
        <v>622</v>
      </c>
      <c r="J1747" t="s">
        <v>623</v>
      </c>
      <c r="K1747" s="1"/>
      <c r="L1747" s="1">
        <v>46131.648587962962</v>
      </c>
      <c r="M1747" s="2">
        <v>46131</v>
      </c>
      <c r="N1747" t="s">
        <v>637</v>
      </c>
      <c r="O1747" t="s">
        <v>625</v>
      </c>
      <c r="P1747">
        <v>1</v>
      </c>
      <c r="Q1747">
        <v>0</v>
      </c>
      <c r="R1747">
        <v>78.56</v>
      </c>
      <c r="S1747" t="s">
        <v>589</v>
      </c>
      <c r="T1747" t="s">
        <v>779</v>
      </c>
    </row>
    <row r="1748" spans="1:20" x14ac:dyDescent="0.3">
      <c r="A1748">
        <v>1747</v>
      </c>
      <c r="B1748">
        <v>150</v>
      </c>
      <c r="C1748">
        <v>4</v>
      </c>
      <c r="D1748">
        <v>113.54</v>
      </c>
      <c r="E1748">
        <v>11.35</v>
      </c>
      <c r="F1748">
        <v>0</v>
      </c>
      <c r="G1748">
        <v>0.1</v>
      </c>
      <c r="H1748" t="s">
        <v>622</v>
      </c>
      <c r="J1748" t="s">
        <v>623</v>
      </c>
      <c r="K1748" s="1"/>
      <c r="L1748" s="1">
        <v>46131.661944444444</v>
      </c>
      <c r="M1748" s="2">
        <v>46131</v>
      </c>
      <c r="N1748" t="s">
        <v>637</v>
      </c>
      <c r="O1748" t="s">
        <v>625</v>
      </c>
      <c r="P1748">
        <v>1</v>
      </c>
      <c r="Q1748">
        <v>0</v>
      </c>
      <c r="R1748">
        <v>113.54</v>
      </c>
      <c r="S1748" t="s">
        <v>295</v>
      </c>
      <c r="T1748" t="s">
        <v>778</v>
      </c>
    </row>
    <row r="1749" spans="1:20" x14ac:dyDescent="0.3">
      <c r="A1749">
        <v>1748</v>
      </c>
      <c r="B1749">
        <v>80</v>
      </c>
      <c r="C1749">
        <v>4</v>
      </c>
      <c r="D1749">
        <v>35.24</v>
      </c>
      <c r="E1749">
        <v>3.52</v>
      </c>
      <c r="F1749">
        <v>0</v>
      </c>
      <c r="G1749">
        <v>0.1</v>
      </c>
      <c r="H1749" t="s">
        <v>622</v>
      </c>
      <c r="J1749" t="s">
        <v>623</v>
      </c>
      <c r="K1749" s="1"/>
      <c r="L1749" s="1">
        <v>46131.72625</v>
      </c>
      <c r="M1749" s="2">
        <v>46131</v>
      </c>
      <c r="N1749" t="s">
        <v>637</v>
      </c>
      <c r="O1749" t="s">
        <v>625</v>
      </c>
      <c r="P1749">
        <v>1</v>
      </c>
      <c r="Q1749">
        <v>0</v>
      </c>
      <c r="R1749">
        <v>35.24</v>
      </c>
      <c r="S1749" t="s">
        <v>156</v>
      </c>
      <c r="T1749" t="s">
        <v>778</v>
      </c>
    </row>
    <row r="1750" spans="1:20" x14ac:dyDescent="0.3">
      <c r="A1750">
        <v>1749</v>
      </c>
      <c r="B1750">
        <v>250</v>
      </c>
      <c r="C1750">
        <v>3</v>
      </c>
      <c r="D1750">
        <v>120.02</v>
      </c>
      <c r="E1750">
        <v>12</v>
      </c>
      <c r="F1750">
        <v>0</v>
      </c>
      <c r="G1750">
        <v>0.1</v>
      </c>
      <c r="H1750" t="s">
        <v>622</v>
      </c>
      <c r="J1750" t="s">
        <v>623</v>
      </c>
      <c r="K1750" s="1"/>
      <c r="L1750" s="1">
        <v>46131.800196759257</v>
      </c>
      <c r="M1750" s="2">
        <v>46131</v>
      </c>
      <c r="N1750" t="s">
        <v>637</v>
      </c>
      <c r="O1750" t="s">
        <v>625</v>
      </c>
      <c r="P1750">
        <v>1</v>
      </c>
      <c r="Q1750">
        <v>0</v>
      </c>
      <c r="R1750">
        <v>120.02</v>
      </c>
      <c r="S1750" t="s">
        <v>495</v>
      </c>
      <c r="T1750" t="s">
        <v>777</v>
      </c>
    </row>
    <row r="1751" spans="1:20" x14ac:dyDescent="0.3">
      <c r="A1751">
        <v>1750</v>
      </c>
      <c r="B1751">
        <v>144</v>
      </c>
      <c r="C1751">
        <v>2</v>
      </c>
      <c r="D1751">
        <v>76.73</v>
      </c>
      <c r="E1751">
        <v>7.67</v>
      </c>
      <c r="F1751">
        <v>0</v>
      </c>
      <c r="G1751">
        <v>0.1</v>
      </c>
      <c r="H1751" t="s">
        <v>622</v>
      </c>
      <c r="J1751" t="s">
        <v>623</v>
      </c>
      <c r="K1751" s="1"/>
      <c r="L1751" s="1">
        <v>46132.325856481482</v>
      </c>
      <c r="M1751" s="2">
        <v>46132</v>
      </c>
      <c r="N1751" t="s">
        <v>637</v>
      </c>
      <c r="O1751" t="s">
        <v>625</v>
      </c>
      <c r="P1751">
        <v>1</v>
      </c>
      <c r="Q1751">
        <v>0</v>
      </c>
      <c r="R1751">
        <v>76.73</v>
      </c>
      <c r="S1751" t="s">
        <v>283</v>
      </c>
      <c r="T1751" t="s">
        <v>776</v>
      </c>
    </row>
    <row r="1752" spans="1:20" x14ac:dyDescent="0.3">
      <c r="A1752">
        <v>1751</v>
      </c>
      <c r="B1752">
        <v>272</v>
      </c>
      <c r="C1752">
        <v>2</v>
      </c>
      <c r="D1752">
        <v>300</v>
      </c>
      <c r="E1752">
        <v>30</v>
      </c>
      <c r="F1752">
        <v>0</v>
      </c>
      <c r="G1752">
        <v>0.1</v>
      </c>
      <c r="H1752" t="s">
        <v>622</v>
      </c>
      <c r="J1752" t="s">
        <v>623</v>
      </c>
      <c r="K1752" s="1"/>
      <c r="L1752" s="1">
        <v>46132.36310185185</v>
      </c>
      <c r="M1752" s="2">
        <v>46132</v>
      </c>
      <c r="N1752" t="s">
        <v>637</v>
      </c>
      <c r="O1752" t="s">
        <v>625</v>
      </c>
      <c r="P1752">
        <v>1</v>
      </c>
      <c r="Q1752">
        <v>0</v>
      </c>
      <c r="R1752">
        <v>300</v>
      </c>
      <c r="S1752" t="s">
        <v>539</v>
      </c>
      <c r="T1752" t="s">
        <v>776</v>
      </c>
    </row>
    <row r="1753" spans="1:20" x14ac:dyDescent="0.3">
      <c r="A1753">
        <v>1752</v>
      </c>
      <c r="B1753">
        <v>156</v>
      </c>
      <c r="C1753">
        <v>4</v>
      </c>
      <c r="D1753">
        <v>38.75</v>
      </c>
      <c r="E1753">
        <v>3.88</v>
      </c>
      <c r="F1753">
        <v>0</v>
      </c>
      <c r="G1753">
        <v>0.1</v>
      </c>
      <c r="H1753" t="s">
        <v>622</v>
      </c>
      <c r="J1753" t="s">
        <v>623</v>
      </c>
      <c r="K1753" s="1"/>
      <c r="L1753" s="1">
        <v>46132.623159722221</v>
      </c>
      <c r="M1753" s="2">
        <v>46132</v>
      </c>
      <c r="N1753" t="s">
        <v>637</v>
      </c>
      <c r="O1753" t="s">
        <v>625</v>
      </c>
      <c r="P1753">
        <v>1</v>
      </c>
      <c r="Q1753">
        <v>0</v>
      </c>
      <c r="R1753">
        <v>38.75</v>
      </c>
      <c r="S1753" t="s">
        <v>307</v>
      </c>
      <c r="T1753" t="s">
        <v>778</v>
      </c>
    </row>
    <row r="1754" spans="1:20" x14ac:dyDescent="0.3">
      <c r="A1754">
        <v>1753</v>
      </c>
      <c r="B1754">
        <v>207</v>
      </c>
      <c r="C1754">
        <v>5</v>
      </c>
      <c r="D1754">
        <v>47.84</v>
      </c>
      <c r="E1754">
        <v>4.78</v>
      </c>
      <c r="F1754">
        <v>0</v>
      </c>
      <c r="G1754">
        <v>0.1</v>
      </c>
      <c r="H1754" t="s">
        <v>622</v>
      </c>
      <c r="J1754" t="s">
        <v>623</v>
      </c>
      <c r="K1754" s="1"/>
      <c r="L1754" s="1">
        <v>46133.320798611108</v>
      </c>
      <c r="M1754" s="2">
        <v>46133</v>
      </c>
      <c r="N1754" t="s">
        <v>637</v>
      </c>
      <c r="O1754" t="s">
        <v>625</v>
      </c>
      <c r="P1754">
        <v>1</v>
      </c>
      <c r="Q1754">
        <v>0</v>
      </c>
      <c r="R1754">
        <v>47.84</v>
      </c>
      <c r="S1754" t="s">
        <v>409</v>
      </c>
      <c r="T1754" t="s">
        <v>779</v>
      </c>
    </row>
    <row r="1755" spans="1:20" x14ac:dyDescent="0.3">
      <c r="A1755">
        <v>1754</v>
      </c>
      <c r="B1755">
        <v>98</v>
      </c>
      <c r="C1755">
        <v>4</v>
      </c>
      <c r="D1755">
        <v>83.67</v>
      </c>
      <c r="E1755">
        <v>8.3699999999999992</v>
      </c>
      <c r="F1755">
        <v>0</v>
      </c>
      <c r="G1755">
        <v>0.1</v>
      </c>
      <c r="H1755" t="s">
        <v>622</v>
      </c>
      <c r="J1755" t="s">
        <v>623</v>
      </c>
      <c r="K1755" s="1"/>
      <c r="L1755" s="1">
        <v>46133.474178240744</v>
      </c>
      <c r="M1755" s="2">
        <v>46133</v>
      </c>
      <c r="N1755" t="s">
        <v>637</v>
      </c>
      <c r="O1755" t="s">
        <v>625</v>
      </c>
      <c r="P1755">
        <v>1</v>
      </c>
      <c r="Q1755">
        <v>0</v>
      </c>
      <c r="R1755">
        <v>83.67</v>
      </c>
      <c r="S1755" t="s">
        <v>191</v>
      </c>
      <c r="T1755" t="s">
        <v>778</v>
      </c>
    </row>
    <row r="1756" spans="1:20" x14ac:dyDescent="0.3">
      <c r="A1756">
        <v>1755</v>
      </c>
      <c r="B1756">
        <v>293</v>
      </c>
      <c r="C1756">
        <v>5</v>
      </c>
      <c r="D1756">
        <v>50.44</v>
      </c>
      <c r="E1756">
        <v>5.04</v>
      </c>
      <c r="F1756">
        <v>0</v>
      </c>
      <c r="G1756">
        <v>0.1</v>
      </c>
      <c r="H1756" t="s">
        <v>622</v>
      </c>
      <c r="J1756" t="s">
        <v>623</v>
      </c>
      <c r="K1756" s="1"/>
      <c r="L1756" s="1">
        <v>46133.622881944444</v>
      </c>
      <c r="M1756" s="2">
        <v>46133</v>
      </c>
      <c r="N1756" t="s">
        <v>637</v>
      </c>
      <c r="O1756" t="s">
        <v>625</v>
      </c>
      <c r="P1756">
        <v>1</v>
      </c>
      <c r="Q1756">
        <v>0</v>
      </c>
      <c r="R1756">
        <v>50.44</v>
      </c>
      <c r="S1756" t="s">
        <v>581</v>
      </c>
      <c r="T1756" t="s">
        <v>779</v>
      </c>
    </row>
    <row r="1757" spans="1:20" x14ac:dyDescent="0.3">
      <c r="A1757">
        <v>1756</v>
      </c>
      <c r="B1757">
        <v>156</v>
      </c>
      <c r="C1757">
        <v>5</v>
      </c>
      <c r="D1757">
        <v>34.54</v>
      </c>
      <c r="E1757">
        <v>3.45</v>
      </c>
      <c r="F1757">
        <v>0</v>
      </c>
      <c r="G1757">
        <v>0.1</v>
      </c>
      <c r="H1757" t="s">
        <v>622</v>
      </c>
      <c r="J1757" t="s">
        <v>623</v>
      </c>
      <c r="K1757" s="1"/>
      <c r="L1757" s="1">
        <v>46133.653263888889</v>
      </c>
      <c r="M1757" s="2">
        <v>46133</v>
      </c>
      <c r="N1757" t="s">
        <v>637</v>
      </c>
      <c r="O1757" t="s">
        <v>625</v>
      </c>
      <c r="P1757">
        <v>1</v>
      </c>
      <c r="Q1757">
        <v>0</v>
      </c>
      <c r="R1757">
        <v>34.54</v>
      </c>
      <c r="S1757" t="s">
        <v>307</v>
      </c>
      <c r="T1757" t="s">
        <v>779</v>
      </c>
    </row>
    <row r="1758" spans="1:20" x14ac:dyDescent="0.3">
      <c r="A1758">
        <v>1757</v>
      </c>
      <c r="B1758">
        <v>213</v>
      </c>
      <c r="C1758">
        <v>5</v>
      </c>
      <c r="D1758">
        <v>300</v>
      </c>
      <c r="E1758">
        <v>30</v>
      </c>
      <c r="F1758">
        <v>0</v>
      </c>
      <c r="G1758">
        <v>0.1</v>
      </c>
      <c r="H1758" t="s">
        <v>622</v>
      </c>
      <c r="J1758" t="s">
        <v>623</v>
      </c>
      <c r="K1758" s="1"/>
      <c r="L1758" s="1">
        <v>46133.765370370369</v>
      </c>
      <c r="M1758" s="2">
        <v>46133</v>
      </c>
      <c r="N1758" t="s">
        <v>637</v>
      </c>
      <c r="O1758" t="s">
        <v>625</v>
      </c>
      <c r="P1758">
        <v>1</v>
      </c>
      <c r="Q1758">
        <v>0</v>
      </c>
      <c r="R1758">
        <v>300</v>
      </c>
      <c r="S1758" t="s">
        <v>421</v>
      </c>
      <c r="T1758" t="s">
        <v>779</v>
      </c>
    </row>
    <row r="1759" spans="1:20" x14ac:dyDescent="0.3">
      <c r="A1759">
        <v>1758</v>
      </c>
      <c r="B1759">
        <v>173</v>
      </c>
      <c r="C1759">
        <v>3</v>
      </c>
      <c r="D1759">
        <v>164.83</v>
      </c>
      <c r="E1759">
        <v>16.48</v>
      </c>
      <c r="F1759">
        <v>0</v>
      </c>
      <c r="G1759">
        <v>0.1</v>
      </c>
      <c r="H1759" t="s">
        <v>622</v>
      </c>
      <c r="J1759" t="s">
        <v>623</v>
      </c>
      <c r="K1759" s="1"/>
      <c r="L1759" s="1">
        <v>46133.781030092592</v>
      </c>
      <c r="M1759" s="2">
        <v>46133</v>
      </c>
      <c r="N1759" t="s">
        <v>637</v>
      </c>
      <c r="O1759" t="s">
        <v>625</v>
      </c>
      <c r="P1759">
        <v>1</v>
      </c>
      <c r="Q1759">
        <v>0</v>
      </c>
      <c r="R1759">
        <v>164.83</v>
      </c>
      <c r="S1759" t="s">
        <v>341</v>
      </c>
      <c r="T1759" t="s">
        <v>777</v>
      </c>
    </row>
    <row r="1760" spans="1:20" x14ac:dyDescent="0.3">
      <c r="A1760">
        <v>1759</v>
      </c>
      <c r="B1760">
        <v>72</v>
      </c>
      <c r="C1760">
        <v>4</v>
      </c>
      <c r="D1760">
        <v>44.4</v>
      </c>
      <c r="E1760">
        <v>4.4400000000000004</v>
      </c>
      <c r="F1760">
        <v>0</v>
      </c>
      <c r="G1760">
        <v>0.1</v>
      </c>
      <c r="H1760" t="s">
        <v>622</v>
      </c>
      <c r="J1760" t="s">
        <v>623</v>
      </c>
      <c r="K1760" s="1"/>
      <c r="L1760" s="1">
        <v>46134.530405092592</v>
      </c>
      <c r="M1760" s="2">
        <v>46134</v>
      </c>
      <c r="N1760" t="s">
        <v>637</v>
      </c>
      <c r="O1760" t="s">
        <v>625</v>
      </c>
      <c r="P1760">
        <v>1</v>
      </c>
      <c r="Q1760">
        <v>0</v>
      </c>
      <c r="R1760">
        <v>44.4</v>
      </c>
      <c r="S1760" t="s">
        <v>140</v>
      </c>
      <c r="T1760" t="s">
        <v>778</v>
      </c>
    </row>
    <row r="1761" spans="1:20" x14ac:dyDescent="0.3">
      <c r="A1761">
        <v>1760</v>
      </c>
      <c r="B1761">
        <v>149</v>
      </c>
      <c r="C1761">
        <v>3</v>
      </c>
      <c r="D1761">
        <v>29.3</v>
      </c>
      <c r="E1761">
        <v>2.93</v>
      </c>
      <c r="F1761">
        <v>0</v>
      </c>
      <c r="G1761">
        <v>0.1</v>
      </c>
      <c r="H1761" t="s">
        <v>622</v>
      </c>
      <c r="J1761" t="s">
        <v>623</v>
      </c>
      <c r="K1761" s="1"/>
      <c r="L1761" s="1">
        <v>46134.548020833332</v>
      </c>
      <c r="M1761" s="2">
        <v>46134</v>
      </c>
      <c r="N1761" t="s">
        <v>637</v>
      </c>
      <c r="O1761" t="s">
        <v>625</v>
      </c>
      <c r="P1761">
        <v>1</v>
      </c>
      <c r="Q1761">
        <v>0</v>
      </c>
      <c r="R1761">
        <v>29.3</v>
      </c>
      <c r="S1761" t="s">
        <v>293</v>
      </c>
      <c r="T1761" t="s">
        <v>777</v>
      </c>
    </row>
    <row r="1762" spans="1:20" x14ac:dyDescent="0.3">
      <c r="A1762">
        <v>1761</v>
      </c>
      <c r="B1762">
        <v>121</v>
      </c>
      <c r="C1762">
        <v>5</v>
      </c>
      <c r="D1762">
        <v>39.99</v>
      </c>
      <c r="E1762">
        <v>4</v>
      </c>
      <c r="F1762">
        <v>0</v>
      </c>
      <c r="G1762">
        <v>0.1</v>
      </c>
      <c r="H1762" t="s">
        <v>622</v>
      </c>
      <c r="J1762" t="s">
        <v>623</v>
      </c>
      <c r="K1762" s="1"/>
      <c r="L1762" s="1">
        <v>46134.570694444446</v>
      </c>
      <c r="M1762" s="2">
        <v>46134</v>
      </c>
      <c r="N1762" t="s">
        <v>637</v>
      </c>
      <c r="O1762" t="s">
        <v>625</v>
      </c>
      <c r="P1762">
        <v>1</v>
      </c>
      <c r="Q1762">
        <v>0</v>
      </c>
      <c r="R1762">
        <v>39.99</v>
      </c>
      <c r="S1762" t="s">
        <v>237</v>
      </c>
      <c r="T1762" t="s">
        <v>779</v>
      </c>
    </row>
    <row r="1763" spans="1:20" x14ac:dyDescent="0.3">
      <c r="A1763">
        <v>1762</v>
      </c>
      <c r="B1763">
        <v>283</v>
      </c>
      <c r="C1763">
        <v>2</v>
      </c>
      <c r="D1763">
        <v>23.85</v>
      </c>
      <c r="E1763">
        <v>2.39</v>
      </c>
      <c r="F1763">
        <v>0</v>
      </c>
      <c r="G1763">
        <v>0.1</v>
      </c>
      <c r="H1763" t="s">
        <v>622</v>
      </c>
      <c r="J1763" t="s">
        <v>623</v>
      </c>
      <c r="K1763" s="1"/>
      <c r="L1763" s="1">
        <v>46134.674201388887</v>
      </c>
      <c r="M1763" s="2">
        <v>46134</v>
      </c>
      <c r="N1763" t="s">
        <v>637</v>
      </c>
      <c r="O1763" t="s">
        <v>625</v>
      </c>
      <c r="P1763">
        <v>1</v>
      </c>
      <c r="Q1763">
        <v>0</v>
      </c>
      <c r="R1763">
        <v>23.85</v>
      </c>
      <c r="S1763" t="s">
        <v>561</v>
      </c>
      <c r="T1763" t="s">
        <v>776</v>
      </c>
    </row>
    <row r="1764" spans="1:20" x14ac:dyDescent="0.3">
      <c r="A1764">
        <v>1763</v>
      </c>
      <c r="B1764">
        <v>87</v>
      </c>
      <c r="C1764">
        <v>5</v>
      </c>
      <c r="D1764">
        <v>79.59</v>
      </c>
      <c r="E1764">
        <v>7.96</v>
      </c>
      <c r="F1764">
        <v>0</v>
      </c>
      <c r="G1764">
        <v>0.1</v>
      </c>
      <c r="H1764" t="s">
        <v>622</v>
      </c>
      <c r="J1764" t="s">
        <v>623</v>
      </c>
      <c r="K1764" s="1"/>
      <c r="L1764" s="1">
        <v>46135.394236111111</v>
      </c>
      <c r="M1764" s="2">
        <v>46135</v>
      </c>
      <c r="N1764" t="s">
        <v>637</v>
      </c>
      <c r="O1764" t="s">
        <v>625</v>
      </c>
      <c r="P1764">
        <v>1</v>
      </c>
      <c r="Q1764">
        <v>0</v>
      </c>
      <c r="R1764">
        <v>79.59</v>
      </c>
      <c r="S1764" t="s">
        <v>169</v>
      </c>
      <c r="T1764" t="s">
        <v>779</v>
      </c>
    </row>
    <row r="1765" spans="1:20" x14ac:dyDescent="0.3">
      <c r="A1765">
        <v>1764</v>
      </c>
      <c r="B1765">
        <v>301</v>
      </c>
      <c r="C1765">
        <v>3</v>
      </c>
      <c r="D1765">
        <v>112.07</v>
      </c>
      <c r="E1765">
        <v>11.21</v>
      </c>
      <c r="F1765">
        <v>0</v>
      </c>
      <c r="G1765">
        <v>0.1</v>
      </c>
      <c r="H1765" t="s">
        <v>622</v>
      </c>
      <c r="J1765" t="s">
        <v>623</v>
      </c>
      <c r="K1765" s="1"/>
      <c r="L1765" s="1">
        <v>46135.400150462963</v>
      </c>
      <c r="M1765" s="2">
        <v>46135</v>
      </c>
      <c r="N1765" t="s">
        <v>637</v>
      </c>
      <c r="O1765" t="s">
        <v>625</v>
      </c>
      <c r="P1765">
        <v>1</v>
      </c>
      <c r="Q1765">
        <v>0</v>
      </c>
      <c r="R1765">
        <v>112.07</v>
      </c>
      <c r="S1765" t="s">
        <v>597</v>
      </c>
      <c r="T1765" t="s">
        <v>777</v>
      </c>
    </row>
    <row r="1766" spans="1:20" x14ac:dyDescent="0.3">
      <c r="A1766">
        <v>1765</v>
      </c>
      <c r="B1766">
        <v>21</v>
      </c>
      <c r="C1766">
        <v>4</v>
      </c>
      <c r="D1766">
        <v>20.8</v>
      </c>
      <c r="E1766">
        <v>2.08</v>
      </c>
      <c r="F1766">
        <v>0</v>
      </c>
      <c r="G1766">
        <v>0.1</v>
      </c>
      <c r="H1766" t="s">
        <v>622</v>
      </c>
      <c r="J1766" t="s">
        <v>623</v>
      </c>
      <c r="K1766" s="1"/>
      <c r="L1766" s="1">
        <v>46135.417442129627</v>
      </c>
      <c r="M1766" s="2">
        <v>46135</v>
      </c>
      <c r="N1766" t="s">
        <v>637</v>
      </c>
      <c r="O1766" t="s">
        <v>625</v>
      </c>
      <c r="P1766">
        <v>1</v>
      </c>
      <c r="Q1766">
        <v>0</v>
      </c>
      <c r="R1766">
        <v>20.8</v>
      </c>
      <c r="S1766" t="s">
        <v>38</v>
      </c>
      <c r="T1766" t="s">
        <v>778</v>
      </c>
    </row>
    <row r="1767" spans="1:20" x14ac:dyDescent="0.3">
      <c r="A1767">
        <v>1766</v>
      </c>
      <c r="B1767">
        <v>250</v>
      </c>
      <c r="C1767">
        <v>2</v>
      </c>
      <c r="D1767">
        <v>52.29</v>
      </c>
      <c r="E1767">
        <v>5.23</v>
      </c>
      <c r="F1767">
        <v>0</v>
      </c>
      <c r="G1767">
        <v>0.1</v>
      </c>
      <c r="H1767" t="s">
        <v>626</v>
      </c>
      <c r="I1767">
        <v>3</v>
      </c>
      <c r="J1767" t="s">
        <v>632</v>
      </c>
      <c r="K1767" s="1">
        <v>46137.657800925925</v>
      </c>
      <c r="L1767" s="1">
        <v>46135.657800925925</v>
      </c>
      <c r="M1767" s="2">
        <v>46135</v>
      </c>
      <c r="N1767" t="s">
        <v>637</v>
      </c>
      <c r="O1767" t="s">
        <v>625</v>
      </c>
      <c r="P1767">
        <v>1</v>
      </c>
      <c r="Q1767">
        <v>1</v>
      </c>
      <c r="R1767">
        <v>0</v>
      </c>
      <c r="S1767" t="s">
        <v>495</v>
      </c>
      <c r="T1767" t="s">
        <v>776</v>
      </c>
    </row>
    <row r="1768" spans="1:20" x14ac:dyDescent="0.3">
      <c r="A1768">
        <v>1767</v>
      </c>
      <c r="B1768">
        <v>137</v>
      </c>
      <c r="C1768">
        <v>5</v>
      </c>
      <c r="D1768">
        <v>51.43</v>
      </c>
      <c r="E1768">
        <v>5.14</v>
      </c>
      <c r="F1768">
        <v>0</v>
      </c>
      <c r="G1768">
        <v>0.1</v>
      </c>
      <c r="H1768" t="s">
        <v>622</v>
      </c>
      <c r="J1768" t="s">
        <v>623</v>
      </c>
      <c r="K1768" s="1"/>
      <c r="L1768" s="1">
        <v>46135.742025462961</v>
      </c>
      <c r="M1768" s="2">
        <v>46135</v>
      </c>
      <c r="N1768" t="s">
        <v>637</v>
      </c>
      <c r="O1768" t="s">
        <v>625</v>
      </c>
      <c r="P1768">
        <v>1</v>
      </c>
      <c r="Q1768">
        <v>0</v>
      </c>
      <c r="R1768">
        <v>51.43</v>
      </c>
      <c r="S1768" t="s">
        <v>269</v>
      </c>
      <c r="T1768" t="s">
        <v>779</v>
      </c>
    </row>
    <row r="1769" spans="1:20" x14ac:dyDescent="0.3">
      <c r="A1769">
        <v>1768</v>
      </c>
      <c r="B1769">
        <v>229</v>
      </c>
      <c r="C1769">
        <v>5</v>
      </c>
      <c r="D1769">
        <v>40.54</v>
      </c>
      <c r="E1769">
        <v>4.05</v>
      </c>
      <c r="F1769">
        <v>0</v>
      </c>
      <c r="G1769">
        <v>0.1</v>
      </c>
      <c r="H1769" t="s">
        <v>622</v>
      </c>
      <c r="J1769" t="s">
        <v>623</v>
      </c>
      <c r="K1769" s="1"/>
      <c r="L1769" s="1">
        <v>46136.333773148152</v>
      </c>
      <c r="M1769" s="2">
        <v>46136</v>
      </c>
      <c r="N1769" t="s">
        <v>637</v>
      </c>
      <c r="O1769" t="s">
        <v>625</v>
      </c>
      <c r="P1769">
        <v>1</v>
      </c>
      <c r="Q1769">
        <v>0</v>
      </c>
      <c r="R1769">
        <v>40.54</v>
      </c>
      <c r="S1769" t="s">
        <v>453</v>
      </c>
      <c r="T1769" t="s">
        <v>779</v>
      </c>
    </row>
    <row r="1770" spans="1:20" x14ac:dyDescent="0.3">
      <c r="A1770">
        <v>1769</v>
      </c>
      <c r="B1770">
        <v>94</v>
      </c>
      <c r="C1770">
        <v>2</v>
      </c>
      <c r="D1770">
        <v>156.68</v>
      </c>
      <c r="E1770">
        <v>15.67</v>
      </c>
      <c r="F1770">
        <v>0</v>
      </c>
      <c r="G1770">
        <v>0.1</v>
      </c>
      <c r="H1770" t="s">
        <v>622</v>
      </c>
      <c r="J1770" t="s">
        <v>623</v>
      </c>
      <c r="K1770" s="1"/>
      <c r="L1770" s="1">
        <v>46136.420173611114</v>
      </c>
      <c r="M1770" s="2">
        <v>46136</v>
      </c>
      <c r="N1770" t="s">
        <v>637</v>
      </c>
      <c r="O1770" t="s">
        <v>625</v>
      </c>
      <c r="P1770">
        <v>1</v>
      </c>
      <c r="Q1770">
        <v>0</v>
      </c>
      <c r="R1770">
        <v>156.68</v>
      </c>
      <c r="S1770" t="s">
        <v>183</v>
      </c>
      <c r="T1770" t="s">
        <v>776</v>
      </c>
    </row>
    <row r="1771" spans="1:20" x14ac:dyDescent="0.3">
      <c r="A1771">
        <v>1770</v>
      </c>
      <c r="B1771">
        <v>39</v>
      </c>
      <c r="C1771">
        <v>5</v>
      </c>
      <c r="D1771">
        <v>255.8</v>
      </c>
      <c r="E1771">
        <v>0</v>
      </c>
      <c r="F1771">
        <v>1</v>
      </c>
      <c r="G1771">
        <v>0.1</v>
      </c>
      <c r="H1771" t="s">
        <v>622</v>
      </c>
      <c r="J1771" t="s">
        <v>623</v>
      </c>
      <c r="K1771" s="1"/>
      <c r="L1771" s="1">
        <v>46137.391759259262</v>
      </c>
      <c r="M1771" s="2">
        <v>46137</v>
      </c>
      <c r="N1771" t="s">
        <v>637</v>
      </c>
      <c r="O1771" t="s">
        <v>629</v>
      </c>
      <c r="P1771">
        <v>1</v>
      </c>
      <c r="Q1771">
        <v>0</v>
      </c>
      <c r="R1771">
        <v>255.8</v>
      </c>
      <c r="S1771" t="s">
        <v>74</v>
      </c>
      <c r="T1771" t="s">
        <v>779</v>
      </c>
    </row>
    <row r="1772" spans="1:20" x14ac:dyDescent="0.3">
      <c r="A1772">
        <v>1771</v>
      </c>
      <c r="B1772">
        <v>58</v>
      </c>
      <c r="C1772">
        <v>4</v>
      </c>
      <c r="D1772">
        <v>122.53</v>
      </c>
      <c r="E1772">
        <v>12.25</v>
      </c>
      <c r="F1772">
        <v>0</v>
      </c>
      <c r="G1772">
        <v>0.1</v>
      </c>
      <c r="H1772" t="s">
        <v>622</v>
      </c>
      <c r="J1772" t="s">
        <v>623</v>
      </c>
      <c r="K1772" s="1"/>
      <c r="L1772" s="1">
        <v>46137.534594907411</v>
      </c>
      <c r="M1772" s="2">
        <v>46137</v>
      </c>
      <c r="N1772" t="s">
        <v>637</v>
      </c>
      <c r="O1772" t="s">
        <v>625</v>
      </c>
      <c r="P1772">
        <v>1</v>
      </c>
      <c r="Q1772">
        <v>0</v>
      </c>
      <c r="R1772">
        <v>122.53</v>
      </c>
      <c r="S1772" t="s">
        <v>112</v>
      </c>
      <c r="T1772" t="s">
        <v>778</v>
      </c>
    </row>
    <row r="1773" spans="1:20" x14ac:dyDescent="0.3">
      <c r="A1773">
        <v>1772</v>
      </c>
      <c r="B1773">
        <v>29</v>
      </c>
      <c r="C1773">
        <v>4</v>
      </c>
      <c r="D1773">
        <v>16.010000000000002</v>
      </c>
      <c r="E1773">
        <v>1.6</v>
      </c>
      <c r="F1773">
        <v>0</v>
      </c>
      <c r="G1773">
        <v>0.1</v>
      </c>
      <c r="H1773" t="s">
        <v>622</v>
      </c>
      <c r="J1773" t="s">
        <v>623</v>
      </c>
      <c r="K1773" s="1"/>
      <c r="L1773" s="1">
        <v>46137.615300925929</v>
      </c>
      <c r="M1773" s="2">
        <v>46137</v>
      </c>
      <c r="N1773" t="s">
        <v>637</v>
      </c>
      <c r="O1773" t="s">
        <v>625</v>
      </c>
      <c r="P1773">
        <v>1</v>
      </c>
      <c r="Q1773">
        <v>0</v>
      </c>
      <c r="R1773">
        <v>16.010000000000002</v>
      </c>
      <c r="S1773" t="s">
        <v>54</v>
      </c>
      <c r="T1773" t="s">
        <v>778</v>
      </c>
    </row>
    <row r="1774" spans="1:20" x14ac:dyDescent="0.3">
      <c r="A1774">
        <v>1773</v>
      </c>
      <c r="B1774">
        <v>70</v>
      </c>
      <c r="C1774">
        <v>2</v>
      </c>
      <c r="D1774">
        <v>189.59</v>
      </c>
      <c r="E1774">
        <v>18.96</v>
      </c>
      <c r="F1774">
        <v>0</v>
      </c>
      <c r="G1774">
        <v>0.1</v>
      </c>
      <c r="H1774" t="s">
        <v>622</v>
      </c>
      <c r="J1774" t="s">
        <v>623</v>
      </c>
      <c r="K1774" s="1"/>
      <c r="L1774" s="1">
        <v>46137.638969907406</v>
      </c>
      <c r="M1774" s="2">
        <v>46137</v>
      </c>
      <c r="N1774" t="s">
        <v>637</v>
      </c>
      <c r="O1774" t="s">
        <v>625</v>
      </c>
      <c r="P1774">
        <v>1</v>
      </c>
      <c r="Q1774">
        <v>0</v>
      </c>
      <c r="R1774">
        <v>189.59</v>
      </c>
      <c r="S1774" t="s">
        <v>136</v>
      </c>
      <c r="T1774" t="s">
        <v>776</v>
      </c>
    </row>
    <row r="1775" spans="1:20" x14ac:dyDescent="0.3">
      <c r="A1775">
        <v>1774</v>
      </c>
      <c r="B1775">
        <v>261</v>
      </c>
      <c r="C1775">
        <v>2</v>
      </c>
      <c r="D1775">
        <v>79.099999999999994</v>
      </c>
      <c r="E1775">
        <v>7.91</v>
      </c>
      <c r="F1775">
        <v>0</v>
      </c>
      <c r="G1775">
        <v>0.1</v>
      </c>
      <c r="H1775" t="s">
        <v>622</v>
      </c>
      <c r="J1775" t="s">
        <v>623</v>
      </c>
      <c r="K1775" s="1"/>
      <c r="L1775" s="1">
        <v>46137.697476851848</v>
      </c>
      <c r="M1775" s="2">
        <v>46137</v>
      </c>
      <c r="N1775" t="s">
        <v>637</v>
      </c>
      <c r="O1775" t="s">
        <v>625</v>
      </c>
      <c r="P1775">
        <v>1</v>
      </c>
      <c r="Q1775">
        <v>0</v>
      </c>
      <c r="R1775">
        <v>79.099999999999994</v>
      </c>
      <c r="S1775" t="s">
        <v>517</v>
      </c>
      <c r="T1775" t="s">
        <v>776</v>
      </c>
    </row>
    <row r="1776" spans="1:20" x14ac:dyDescent="0.3">
      <c r="A1776">
        <v>1775</v>
      </c>
      <c r="B1776">
        <v>39</v>
      </c>
      <c r="C1776">
        <v>3</v>
      </c>
      <c r="D1776">
        <v>125.69</v>
      </c>
      <c r="E1776">
        <v>12.57</v>
      </c>
      <c r="F1776">
        <v>0</v>
      </c>
      <c r="G1776">
        <v>0.1</v>
      </c>
      <c r="H1776" t="s">
        <v>622</v>
      </c>
      <c r="J1776" t="s">
        <v>623</v>
      </c>
      <c r="K1776" s="1"/>
      <c r="L1776" s="1">
        <v>46137.748333333337</v>
      </c>
      <c r="M1776" s="2">
        <v>46137</v>
      </c>
      <c r="N1776" t="s">
        <v>637</v>
      </c>
      <c r="O1776" t="s">
        <v>625</v>
      </c>
      <c r="P1776">
        <v>1</v>
      </c>
      <c r="Q1776">
        <v>0</v>
      </c>
      <c r="R1776">
        <v>125.69</v>
      </c>
      <c r="S1776" t="s">
        <v>74</v>
      </c>
      <c r="T1776" t="s">
        <v>777</v>
      </c>
    </row>
    <row r="1777" spans="1:20" x14ac:dyDescent="0.3">
      <c r="A1777">
        <v>1776</v>
      </c>
      <c r="B1777">
        <v>210</v>
      </c>
      <c r="C1777">
        <v>2</v>
      </c>
      <c r="D1777">
        <v>23.69</v>
      </c>
      <c r="E1777">
        <v>2.37</v>
      </c>
      <c r="F1777">
        <v>0</v>
      </c>
      <c r="G1777">
        <v>0.1</v>
      </c>
      <c r="H1777" t="s">
        <v>622</v>
      </c>
      <c r="J1777" t="s">
        <v>623</v>
      </c>
      <c r="K1777" s="1"/>
      <c r="L1777" s="1">
        <v>46137.751956018517</v>
      </c>
      <c r="M1777" s="2">
        <v>46137</v>
      </c>
      <c r="N1777" t="s">
        <v>637</v>
      </c>
      <c r="O1777" t="s">
        <v>625</v>
      </c>
      <c r="P1777">
        <v>1</v>
      </c>
      <c r="Q1777">
        <v>0</v>
      </c>
      <c r="R1777">
        <v>23.69</v>
      </c>
      <c r="S1777" t="s">
        <v>415</v>
      </c>
      <c r="T1777" t="s">
        <v>776</v>
      </c>
    </row>
    <row r="1778" spans="1:20" x14ac:dyDescent="0.3">
      <c r="A1778">
        <v>1777</v>
      </c>
      <c r="B1778">
        <v>46</v>
      </c>
      <c r="C1778">
        <v>3</v>
      </c>
      <c r="D1778">
        <v>26.24</v>
      </c>
      <c r="E1778">
        <v>2.62</v>
      </c>
      <c r="F1778">
        <v>0</v>
      </c>
      <c r="G1778">
        <v>0.1</v>
      </c>
      <c r="H1778" t="s">
        <v>622</v>
      </c>
      <c r="J1778" t="s">
        <v>623</v>
      </c>
      <c r="K1778" s="1"/>
      <c r="L1778" s="1">
        <v>46137.787037037036</v>
      </c>
      <c r="M1778" s="2">
        <v>46137</v>
      </c>
      <c r="N1778" t="s">
        <v>637</v>
      </c>
      <c r="O1778" t="s">
        <v>625</v>
      </c>
      <c r="P1778">
        <v>1</v>
      </c>
      <c r="Q1778">
        <v>0</v>
      </c>
      <c r="R1778">
        <v>26.24</v>
      </c>
      <c r="S1778" t="s">
        <v>88</v>
      </c>
      <c r="T1778" t="s">
        <v>777</v>
      </c>
    </row>
    <row r="1779" spans="1:20" x14ac:dyDescent="0.3">
      <c r="A1779">
        <v>1778</v>
      </c>
      <c r="B1779">
        <v>106</v>
      </c>
      <c r="C1779">
        <v>5</v>
      </c>
      <c r="D1779">
        <v>112.31</v>
      </c>
      <c r="E1779">
        <v>11.23</v>
      </c>
      <c r="F1779">
        <v>0</v>
      </c>
      <c r="G1779">
        <v>0.1</v>
      </c>
      <c r="H1779" t="s">
        <v>622</v>
      </c>
      <c r="J1779" t="s">
        <v>623</v>
      </c>
      <c r="K1779" s="1"/>
      <c r="L1779" s="1">
        <v>46138.379259259258</v>
      </c>
      <c r="M1779" s="2">
        <v>46138</v>
      </c>
      <c r="N1779" t="s">
        <v>637</v>
      </c>
      <c r="O1779" t="s">
        <v>625</v>
      </c>
      <c r="P1779">
        <v>1</v>
      </c>
      <c r="Q1779">
        <v>0</v>
      </c>
      <c r="R1779">
        <v>112.31</v>
      </c>
      <c r="S1779" t="s">
        <v>207</v>
      </c>
      <c r="T1779" t="s">
        <v>779</v>
      </c>
    </row>
    <row r="1780" spans="1:20" x14ac:dyDescent="0.3">
      <c r="A1780">
        <v>1779</v>
      </c>
      <c r="B1780">
        <v>149</v>
      </c>
      <c r="C1780">
        <v>2</v>
      </c>
      <c r="D1780">
        <v>20.02</v>
      </c>
      <c r="E1780">
        <v>2</v>
      </c>
      <c r="F1780">
        <v>0</v>
      </c>
      <c r="G1780">
        <v>0.1</v>
      </c>
      <c r="H1780" t="s">
        <v>622</v>
      </c>
      <c r="J1780" t="s">
        <v>623</v>
      </c>
      <c r="K1780" s="1"/>
      <c r="L1780" s="1">
        <v>46138.472546296296</v>
      </c>
      <c r="M1780" s="2">
        <v>46138</v>
      </c>
      <c r="N1780" t="s">
        <v>637</v>
      </c>
      <c r="O1780" t="s">
        <v>625</v>
      </c>
      <c r="P1780">
        <v>1</v>
      </c>
      <c r="Q1780">
        <v>0</v>
      </c>
      <c r="R1780">
        <v>20.02</v>
      </c>
      <c r="S1780" t="s">
        <v>293</v>
      </c>
      <c r="T1780" t="s">
        <v>776</v>
      </c>
    </row>
    <row r="1781" spans="1:20" x14ac:dyDescent="0.3">
      <c r="A1781">
        <v>1780</v>
      </c>
      <c r="B1781">
        <v>250</v>
      </c>
      <c r="C1781">
        <v>4</v>
      </c>
      <c r="D1781">
        <v>106.5</v>
      </c>
      <c r="E1781">
        <v>10.65</v>
      </c>
      <c r="F1781">
        <v>0</v>
      </c>
      <c r="G1781">
        <v>0.1</v>
      </c>
      <c r="H1781" t="s">
        <v>622</v>
      </c>
      <c r="J1781" t="s">
        <v>623</v>
      </c>
      <c r="K1781" s="1"/>
      <c r="L1781" s="1">
        <v>46138.606296296297</v>
      </c>
      <c r="M1781" s="2">
        <v>46138</v>
      </c>
      <c r="N1781" t="s">
        <v>637</v>
      </c>
      <c r="O1781" t="s">
        <v>625</v>
      </c>
      <c r="P1781">
        <v>1</v>
      </c>
      <c r="Q1781">
        <v>0</v>
      </c>
      <c r="R1781">
        <v>106.5</v>
      </c>
      <c r="S1781" t="s">
        <v>495</v>
      </c>
      <c r="T1781" t="s">
        <v>778</v>
      </c>
    </row>
    <row r="1782" spans="1:20" x14ac:dyDescent="0.3">
      <c r="A1782">
        <v>1781</v>
      </c>
      <c r="B1782">
        <v>32</v>
      </c>
      <c r="C1782">
        <v>4</v>
      </c>
      <c r="D1782">
        <v>17.36</v>
      </c>
      <c r="E1782">
        <v>1.74</v>
      </c>
      <c r="F1782">
        <v>0</v>
      </c>
      <c r="G1782">
        <v>0.1</v>
      </c>
      <c r="H1782" t="s">
        <v>622</v>
      </c>
      <c r="J1782" t="s">
        <v>623</v>
      </c>
      <c r="K1782" s="1"/>
      <c r="L1782" s="1">
        <v>46139.375949074078</v>
      </c>
      <c r="M1782" s="2">
        <v>46139</v>
      </c>
      <c r="N1782" t="s">
        <v>637</v>
      </c>
      <c r="O1782" t="s">
        <v>625</v>
      </c>
      <c r="P1782">
        <v>1</v>
      </c>
      <c r="Q1782">
        <v>0</v>
      </c>
      <c r="R1782">
        <v>17.36</v>
      </c>
      <c r="S1782" t="s">
        <v>60</v>
      </c>
      <c r="T1782" t="s">
        <v>778</v>
      </c>
    </row>
    <row r="1783" spans="1:20" x14ac:dyDescent="0.3">
      <c r="A1783">
        <v>1782</v>
      </c>
      <c r="B1783">
        <v>98</v>
      </c>
      <c r="C1783">
        <v>2</v>
      </c>
      <c r="D1783">
        <v>69.86</v>
      </c>
      <c r="E1783">
        <v>6.99</v>
      </c>
      <c r="F1783">
        <v>0</v>
      </c>
      <c r="G1783">
        <v>0.1</v>
      </c>
      <c r="H1783" t="s">
        <v>622</v>
      </c>
      <c r="J1783" t="s">
        <v>623</v>
      </c>
      <c r="K1783" s="1"/>
      <c r="L1783" s="1">
        <v>46139.406458333331</v>
      </c>
      <c r="M1783" s="2">
        <v>46139</v>
      </c>
      <c r="N1783" t="s">
        <v>637</v>
      </c>
      <c r="O1783" t="s">
        <v>625</v>
      </c>
      <c r="P1783">
        <v>1</v>
      </c>
      <c r="Q1783">
        <v>0</v>
      </c>
      <c r="R1783">
        <v>69.86</v>
      </c>
      <c r="S1783" t="s">
        <v>191</v>
      </c>
      <c r="T1783" t="s">
        <v>776</v>
      </c>
    </row>
    <row r="1784" spans="1:20" x14ac:dyDescent="0.3">
      <c r="A1784">
        <v>1783</v>
      </c>
      <c r="B1784">
        <v>243</v>
      </c>
      <c r="C1784">
        <v>2</v>
      </c>
      <c r="D1784">
        <v>55.58</v>
      </c>
      <c r="E1784">
        <v>5.56</v>
      </c>
      <c r="F1784">
        <v>0</v>
      </c>
      <c r="G1784">
        <v>0.1</v>
      </c>
      <c r="H1784" t="s">
        <v>622</v>
      </c>
      <c r="J1784" t="s">
        <v>623</v>
      </c>
      <c r="K1784" s="1"/>
      <c r="L1784" s="1">
        <v>46139.407916666663</v>
      </c>
      <c r="M1784" s="2">
        <v>46139</v>
      </c>
      <c r="N1784" t="s">
        <v>637</v>
      </c>
      <c r="O1784" t="s">
        <v>625</v>
      </c>
      <c r="P1784">
        <v>1</v>
      </c>
      <c r="Q1784">
        <v>0</v>
      </c>
      <c r="R1784">
        <v>55.58</v>
      </c>
      <c r="S1784" t="s">
        <v>481</v>
      </c>
      <c r="T1784" t="s">
        <v>776</v>
      </c>
    </row>
    <row r="1785" spans="1:20" x14ac:dyDescent="0.3">
      <c r="A1785">
        <v>1784</v>
      </c>
      <c r="B1785">
        <v>145</v>
      </c>
      <c r="C1785">
        <v>4</v>
      </c>
      <c r="D1785">
        <v>207.67</v>
      </c>
      <c r="E1785">
        <v>20.77</v>
      </c>
      <c r="F1785">
        <v>0</v>
      </c>
      <c r="G1785">
        <v>0.1</v>
      </c>
      <c r="H1785" t="s">
        <v>622</v>
      </c>
      <c r="J1785" t="s">
        <v>623</v>
      </c>
      <c r="K1785" s="1"/>
      <c r="L1785" s="1">
        <v>46139.421435185184</v>
      </c>
      <c r="M1785" s="2">
        <v>46139</v>
      </c>
      <c r="N1785" t="s">
        <v>637</v>
      </c>
      <c r="O1785" t="s">
        <v>625</v>
      </c>
      <c r="P1785">
        <v>1</v>
      </c>
      <c r="Q1785">
        <v>0</v>
      </c>
      <c r="R1785">
        <v>207.67</v>
      </c>
      <c r="S1785" t="s">
        <v>285</v>
      </c>
      <c r="T1785" t="s">
        <v>778</v>
      </c>
    </row>
    <row r="1786" spans="1:20" x14ac:dyDescent="0.3">
      <c r="A1786">
        <v>1785</v>
      </c>
      <c r="B1786">
        <v>243</v>
      </c>
      <c r="C1786">
        <v>5</v>
      </c>
      <c r="D1786">
        <v>13.62</v>
      </c>
      <c r="E1786">
        <v>1.36</v>
      </c>
      <c r="F1786">
        <v>0</v>
      </c>
      <c r="G1786">
        <v>0.1</v>
      </c>
      <c r="H1786" t="s">
        <v>622</v>
      </c>
      <c r="J1786" t="s">
        <v>623</v>
      </c>
      <c r="K1786" s="1"/>
      <c r="L1786" s="1">
        <v>46139.429652777777</v>
      </c>
      <c r="M1786" s="2">
        <v>46139</v>
      </c>
      <c r="N1786" t="s">
        <v>637</v>
      </c>
      <c r="O1786" t="s">
        <v>625</v>
      </c>
      <c r="P1786">
        <v>1</v>
      </c>
      <c r="Q1786">
        <v>0</v>
      </c>
      <c r="R1786">
        <v>13.62</v>
      </c>
      <c r="S1786" t="s">
        <v>481</v>
      </c>
      <c r="T1786" t="s">
        <v>779</v>
      </c>
    </row>
    <row r="1787" spans="1:20" x14ac:dyDescent="0.3">
      <c r="A1787">
        <v>1786</v>
      </c>
      <c r="B1787">
        <v>7</v>
      </c>
      <c r="C1787">
        <v>2</v>
      </c>
      <c r="D1787">
        <v>191.08</v>
      </c>
      <c r="E1787">
        <v>19.11</v>
      </c>
      <c r="F1787">
        <v>0</v>
      </c>
      <c r="G1787">
        <v>0.1</v>
      </c>
      <c r="H1787" t="s">
        <v>622</v>
      </c>
      <c r="J1787" t="s">
        <v>623</v>
      </c>
      <c r="K1787" s="1"/>
      <c r="L1787" s="1">
        <v>46139.580775462964</v>
      </c>
      <c r="M1787" s="2">
        <v>46139</v>
      </c>
      <c r="N1787" t="s">
        <v>637</v>
      </c>
      <c r="O1787" t="s">
        <v>625</v>
      </c>
      <c r="P1787">
        <v>1</v>
      </c>
      <c r="Q1787">
        <v>0</v>
      </c>
      <c r="R1787">
        <v>191.08</v>
      </c>
      <c r="S1787" t="s">
        <v>10</v>
      </c>
      <c r="T1787" t="s">
        <v>776</v>
      </c>
    </row>
    <row r="1788" spans="1:20" x14ac:dyDescent="0.3">
      <c r="A1788">
        <v>1787</v>
      </c>
      <c r="B1788">
        <v>150</v>
      </c>
      <c r="C1788">
        <v>3</v>
      </c>
      <c r="D1788">
        <v>76.239999999999995</v>
      </c>
      <c r="E1788">
        <v>7.62</v>
      </c>
      <c r="F1788">
        <v>0</v>
      </c>
      <c r="G1788">
        <v>0.1</v>
      </c>
      <c r="H1788" t="s">
        <v>622</v>
      </c>
      <c r="J1788" t="s">
        <v>623</v>
      </c>
      <c r="K1788" s="1"/>
      <c r="L1788" s="1">
        <v>46139.602210648147</v>
      </c>
      <c r="M1788" s="2">
        <v>46139</v>
      </c>
      <c r="N1788" t="s">
        <v>637</v>
      </c>
      <c r="O1788" t="s">
        <v>625</v>
      </c>
      <c r="P1788">
        <v>1</v>
      </c>
      <c r="Q1788">
        <v>0</v>
      </c>
      <c r="R1788">
        <v>76.239999999999995</v>
      </c>
      <c r="S1788" t="s">
        <v>295</v>
      </c>
      <c r="T1788" t="s">
        <v>777</v>
      </c>
    </row>
    <row r="1789" spans="1:20" x14ac:dyDescent="0.3">
      <c r="A1789">
        <v>1788</v>
      </c>
      <c r="B1789">
        <v>202</v>
      </c>
      <c r="C1789">
        <v>3</v>
      </c>
      <c r="D1789">
        <v>20.41</v>
      </c>
      <c r="E1789">
        <v>0</v>
      </c>
      <c r="F1789">
        <v>1</v>
      </c>
      <c r="G1789">
        <v>0.1</v>
      </c>
      <c r="H1789" t="s">
        <v>622</v>
      </c>
      <c r="J1789" t="s">
        <v>623</v>
      </c>
      <c r="K1789" s="1"/>
      <c r="L1789" s="1">
        <v>46139.680914351855</v>
      </c>
      <c r="M1789" s="2">
        <v>46139</v>
      </c>
      <c r="N1789" t="s">
        <v>637</v>
      </c>
      <c r="O1789" t="s">
        <v>629</v>
      </c>
      <c r="P1789">
        <v>1</v>
      </c>
      <c r="Q1789">
        <v>0</v>
      </c>
      <c r="R1789">
        <v>20.41</v>
      </c>
      <c r="S1789" t="s">
        <v>399</v>
      </c>
      <c r="T1789" t="s">
        <v>777</v>
      </c>
    </row>
    <row r="1790" spans="1:20" x14ac:dyDescent="0.3">
      <c r="A1790">
        <v>1789</v>
      </c>
      <c r="B1790">
        <v>202</v>
      </c>
      <c r="C1790">
        <v>2</v>
      </c>
      <c r="D1790">
        <v>47.87</v>
      </c>
      <c r="E1790">
        <v>4.79</v>
      </c>
      <c r="F1790">
        <v>0</v>
      </c>
      <c r="G1790">
        <v>0.1</v>
      </c>
      <c r="H1790" t="s">
        <v>626</v>
      </c>
      <c r="I1790">
        <v>3</v>
      </c>
      <c r="J1790" t="s">
        <v>632</v>
      </c>
      <c r="K1790" s="1">
        <v>46142.197314814817</v>
      </c>
      <c r="L1790" s="1">
        <v>46140.322314814817</v>
      </c>
      <c r="M1790" s="2">
        <v>46140</v>
      </c>
      <c r="N1790" t="s">
        <v>637</v>
      </c>
      <c r="O1790" t="s">
        <v>625</v>
      </c>
      <c r="P1790">
        <v>1</v>
      </c>
      <c r="Q1790">
        <v>1</v>
      </c>
      <c r="R1790">
        <v>0</v>
      </c>
      <c r="S1790" t="s">
        <v>399</v>
      </c>
      <c r="T1790" t="s">
        <v>776</v>
      </c>
    </row>
    <row r="1791" spans="1:20" x14ac:dyDescent="0.3">
      <c r="A1791">
        <v>1790</v>
      </c>
      <c r="B1791">
        <v>105</v>
      </c>
      <c r="C1791">
        <v>4</v>
      </c>
      <c r="D1791">
        <v>83.39</v>
      </c>
      <c r="E1791">
        <v>8.34</v>
      </c>
      <c r="F1791">
        <v>0</v>
      </c>
      <c r="G1791">
        <v>0.1</v>
      </c>
      <c r="H1791" t="s">
        <v>622</v>
      </c>
      <c r="J1791" t="s">
        <v>623</v>
      </c>
      <c r="K1791" s="1"/>
      <c r="L1791" s="1">
        <v>46140.432789351849</v>
      </c>
      <c r="M1791" s="2">
        <v>46140</v>
      </c>
      <c r="N1791" t="s">
        <v>637</v>
      </c>
      <c r="O1791" t="s">
        <v>625</v>
      </c>
      <c r="P1791">
        <v>1</v>
      </c>
      <c r="Q1791">
        <v>0</v>
      </c>
      <c r="R1791">
        <v>83.39</v>
      </c>
      <c r="S1791" t="s">
        <v>205</v>
      </c>
      <c r="T1791" t="s">
        <v>778</v>
      </c>
    </row>
    <row r="1792" spans="1:20" x14ac:dyDescent="0.3">
      <c r="A1792">
        <v>1791</v>
      </c>
      <c r="B1792">
        <v>172</v>
      </c>
      <c r="C1792">
        <v>3</v>
      </c>
      <c r="D1792">
        <v>40.729999999999997</v>
      </c>
      <c r="E1792">
        <v>4.07</v>
      </c>
      <c r="F1792">
        <v>0</v>
      </c>
      <c r="G1792">
        <v>0.1</v>
      </c>
      <c r="H1792" t="s">
        <v>622</v>
      </c>
      <c r="J1792" t="s">
        <v>623</v>
      </c>
      <c r="K1792" s="1"/>
      <c r="L1792" s="1">
        <v>46140.587453703702</v>
      </c>
      <c r="M1792" s="2">
        <v>46140</v>
      </c>
      <c r="N1792" t="s">
        <v>637</v>
      </c>
      <c r="O1792" t="s">
        <v>625</v>
      </c>
      <c r="P1792">
        <v>1</v>
      </c>
      <c r="Q1792">
        <v>0</v>
      </c>
      <c r="R1792">
        <v>40.729999999999997</v>
      </c>
      <c r="S1792" t="s">
        <v>339</v>
      </c>
      <c r="T1792" t="s">
        <v>777</v>
      </c>
    </row>
    <row r="1793" spans="1:20" x14ac:dyDescent="0.3">
      <c r="A1793">
        <v>1792</v>
      </c>
      <c r="B1793">
        <v>176</v>
      </c>
      <c r="C1793">
        <v>5</v>
      </c>
      <c r="D1793">
        <v>287.14999999999998</v>
      </c>
      <c r="E1793">
        <v>28.72</v>
      </c>
      <c r="F1793">
        <v>0</v>
      </c>
      <c r="G1793">
        <v>0.1</v>
      </c>
      <c r="H1793" t="s">
        <v>622</v>
      </c>
      <c r="J1793" t="s">
        <v>623</v>
      </c>
      <c r="K1793" s="1"/>
      <c r="L1793" s="1">
        <v>46140.611759259256</v>
      </c>
      <c r="M1793" s="2">
        <v>46140</v>
      </c>
      <c r="N1793" t="s">
        <v>637</v>
      </c>
      <c r="O1793" t="s">
        <v>625</v>
      </c>
      <c r="P1793">
        <v>1</v>
      </c>
      <c r="Q1793">
        <v>0</v>
      </c>
      <c r="R1793">
        <v>287.14999999999998</v>
      </c>
      <c r="S1793" t="s">
        <v>347</v>
      </c>
      <c r="T1793" t="s">
        <v>779</v>
      </c>
    </row>
    <row r="1794" spans="1:20" x14ac:dyDescent="0.3">
      <c r="A1794">
        <v>1793</v>
      </c>
      <c r="B1794">
        <v>229</v>
      </c>
      <c r="C1794">
        <v>3</v>
      </c>
      <c r="D1794">
        <v>107.66</v>
      </c>
      <c r="E1794">
        <v>10.77</v>
      </c>
      <c r="F1794">
        <v>0</v>
      </c>
      <c r="G1794">
        <v>0.1</v>
      </c>
      <c r="H1794" t="s">
        <v>622</v>
      </c>
      <c r="J1794" t="s">
        <v>623</v>
      </c>
      <c r="K1794" s="1"/>
      <c r="L1794" s="1">
        <v>46140.681377314817</v>
      </c>
      <c r="M1794" s="2">
        <v>46140</v>
      </c>
      <c r="N1794" t="s">
        <v>637</v>
      </c>
      <c r="O1794" t="s">
        <v>625</v>
      </c>
      <c r="P1794">
        <v>1</v>
      </c>
      <c r="Q1794">
        <v>0</v>
      </c>
      <c r="R1794">
        <v>107.66</v>
      </c>
      <c r="S1794" t="s">
        <v>453</v>
      </c>
      <c r="T1794" t="s">
        <v>777</v>
      </c>
    </row>
    <row r="1795" spans="1:20" x14ac:dyDescent="0.3">
      <c r="A1795">
        <v>1794</v>
      </c>
      <c r="B1795">
        <v>250</v>
      </c>
      <c r="C1795">
        <v>2</v>
      </c>
      <c r="D1795">
        <v>107.8</v>
      </c>
      <c r="E1795">
        <v>10.78</v>
      </c>
      <c r="F1795">
        <v>0</v>
      </c>
      <c r="G1795">
        <v>0.1</v>
      </c>
      <c r="H1795" t="s">
        <v>622</v>
      </c>
      <c r="J1795" t="s">
        <v>623</v>
      </c>
      <c r="K1795" s="1"/>
      <c r="L1795" s="1">
        <v>46140.725254629629</v>
      </c>
      <c r="M1795" s="2">
        <v>46140</v>
      </c>
      <c r="N1795" t="s">
        <v>637</v>
      </c>
      <c r="O1795" t="s">
        <v>625</v>
      </c>
      <c r="P1795">
        <v>1</v>
      </c>
      <c r="Q1795">
        <v>0</v>
      </c>
      <c r="R1795">
        <v>107.8</v>
      </c>
      <c r="S1795" t="s">
        <v>495</v>
      </c>
      <c r="T1795" t="s">
        <v>776</v>
      </c>
    </row>
    <row r="1796" spans="1:20" x14ac:dyDescent="0.3">
      <c r="A1796">
        <v>1795</v>
      </c>
      <c r="B1796">
        <v>201</v>
      </c>
      <c r="C1796">
        <v>5</v>
      </c>
      <c r="D1796">
        <v>35.299999999999997</v>
      </c>
      <c r="E1796">
        <v>3.53</v>
      </c>
      <c r="F1796">
        <v>0</v>
      </c>
      <c r="G1796">
        <v>0.1</v>
      </c>
      <c r="H1796" t="s">
        <v>622</v>
      </c>
      <c r="J1796" t="s">
        <v>623</v>
      </c>
      <c r="K1796" s="1"/>
      <c r="L1796" s="1">
        <v>46140.786238425928</v>
      </c>
      <c r="M1796" s="2">
        <v>46140</v>
      </c>
      <c r="N1796" t="s">
        <v>637</v>
      </c>
      <c r="O1796" t="s">
        <v>625</v>
      </c>
      <c r="P1796">
        <v>1</v>
      </c>
      <c r="Q1796">
        <v>0</v>
      </c>
      <c r="R1796">
        <v>35.299999999999997</v>
      </c>
      <c r="S1796" t="s">
        <v>397</v>
      </c>
      <c r="T1796" t="s">
        <v>779</v>
      </c>
    </row>
    <row r="1797" spans="1:20" x14ac:dyDescent="0.3">
      <c r="A1797">
        <v>1796</v>
      </c>
      <c r="B1797">
        <v>163</v>
      </c>
      <c r="C1797">
        <v>5</v>
      </c>
      <c r="D1797">
        <v>36.25</v>
      </c>
      <c r="E1797">
        <v>3.63</v>
      </c>
      <c r="F1797">
        <v>0</v>
      </c>
      <c r="G1797">
        <v>0.1</v>
      </c>
      <c r="H1797" t="s">
        <v>622</v>
      </c>
      <c r="J1797" t="s">
        <v>623</v>
      </c>
      <c r="K1797" s="1"/>
      <c r="L1797" s="1">
        <v>46140.796354166669</v>
      </c>
      <c r="M1797" s="2">
        <v>46140</v>
      </c>
      <c r="N1797" t="s">
        <v>637</v>
      </c>
      <c r="O1797" t="s">
        <v>625</v>
      </c>
      <c r="P1797">
        <v>1</v>
      </c>
      <c r="Q1797">
        <v>0</v>
      </c>
      <c r="R1797">
        <v>36.25</v>
      </c>
      <c r="S1797" t="s">
        <v>321</v>
      </c>
      <c r="T1797" t="s">
        <v>779</v>
      </c>
    </row>
    <row r="1798" spans="1:20" x14ac:dyDescent="0.3">
      <c r="A1798">
        <v>1797</v>
      </c>
      <c r="B1798">
        <v>250</v>
      </c>
      <c r="C1798">
        <v>2</v>
      </c>
      <c r="D1798">
        <v>61.87</v>
      </c>
      <c r="E1798">
        <v>6.19</v>
      </c>
      <c r="F1798">
        <v>0</v>
      </c>
      <c r="G1798">
        <v>0.1</v>
      </c>
      <c r="H1798" t="s">
        <v>622</v>
      </c>
      <c r="J1798" t="s">
        <v>623</v>
      </c>
      <c r="K1798" s="1"/>
      <c r="L1798" s="1">
        <v>46141.303217592591</v>
      </c>
      <c r="M1798" s="2">
        <v>46141</v>
      </c>
      <c r="N1798" t="s">
        <v>637</v>
      </c>
      <c r="O1798" t="s">
        <v>625</v>
      </c>
      <c r="P1798">
        <v>1</v>
      </c>
      <c r="Q1798">
        <v>0</v>
      </c>
      <c r="R1798">
        <v>61.87</v>
      </c>
      <c r="S1798" t="s">
        <v>495</v>
      </c>
      <c r="T1798" t="s">
        <v>776</v>
      </c>
    </row>
    <row r="1799" spans="1:20" x14ac:dyDescent="0.3">
      <c r="A1799">
        <v>1798</v>
      </c>
      <c r="B1799">
        <v>117</v>
      </c>
      <c r="C1799">
        <v>2</v>
      </c>
      <c r="D1799">
        <v>63.06</v>
      </c>
      <c r="E1799">
        <v>0</v>
      </c>
      <c r="F1799">
        <v>1</v>
      </c>
      <c r="G1799">
        <v>0.1</v>
      </c>
      <c r="H1799" t="s">
        <v>622</v>
      </c>
      <c r="J1799" t="s">
        <v>623</v>
      </c>
      <c r="K1799" s="1"/>
      <c r="L1799" s="1">
        <v>46141.3125</v>
      </c>
      <c r="M1799" s="2">
        <v>46141</v>
      </c>
      <c r="N1799" t="s">
        <v>637</v>
      </c>
      <c r="O1799" t="s">
        <v>629</v>
      </c>
      <c r="P1799">
        <v>1</v>
      </c>
      <c r="Q1799">
        <v>0</v>
      </c>
      <c r="R1799">
        <v>63.06</v>
      </c>
      <c r="S1799" t="s">
        <v>229</v>
      </c>
      <c r="T1799" t="s">
        <v>776</v>
      </c>
    </row>
    <row r="1800" spans="1:20" x14ac:dyDescent="0.3">
      <c r="A1800">
        <v>1799</v>
      </c>
      <c r="B1800">
        <v>162</v>
      </c>
      <c r="C1800">
        <v>3</v>
      </c>
      <c r="D1800">
        <v>67.97</v>
      </c>
      <c r="E1800">
        <v>6.8</v>
      </c>
      <c r="F1800">
        <v>0</v>
      </c>
      <c r="G1800">
        <v>0.1</v>
      </c>
      <c r="H1800" t="s">
        <v>622</v>
      </c>
      <c r="J1800" t="s">
        <v>623</v>
      </c>
      <c r="K1800" s="1"/>
      <c r="L1800" s="1">
        <v>46141.317511574074</v>
      </c>
      <c r="M1800" s="2">
        <v>46141</v>
      </c>
      <c r="N1800" t="s">
        <v>637</v>
      </c>
      <c r="O1800" t="s">
        <v>625</v>
      </c>
      <c r="P1800">
        <v>1</v>
      </c>
      <c r="Q1800">
        <v>0</v>
      </c>
      <c r="R1800">
        <v>67.97</v>
      </c>
      <c r="S1800" t="s">
        <v>319</v>
      </c>
      <c r="T1800" t="s">
        <v>777</v>
      </c>
    </row>
    <row r="1801" spans="1:20" x14ac:dyDescent="0.3">
      <c r="A1801">
        <v>1800</v>
      </c>
      <c r="B1801">
        <v>249</v>
      </c>
      <c r="C1801">
        <v>5</v>
      </c>
      <c r="D1801">
        <v>96.86</v>
      </c>
      <c r="E1801">
        <v>9.69</v>
      </c>
      <c r="F1801">
        <v>0</v>
      </c>
      <c r="G1801">
        <v>0.1</v>
      </c>
      <c r="H1801" t="s">
        <v>622</v>
      </c>
      <c r="J1801" t="s">
        <v>623</v>
      </c>
      <c r="K1801" s="1"/>
      <c r="L1801" s="1">
        <v>46141.363125000003</v>
      </c>
      <c r="M1801" s="2">
        <v>46141</v>
      </c>
      <c r="N1801" t="s">
        <v>637</v>
      </c>
      <c r="O1801" t="s">
        <v>625</v>
      </c>
      <c r="P1801">
        <v>1</v>
      </c>
      <c r="Q1801">
        <v>0</v>
      </c>
      <c r="R1801">
        <v>96.86</v>
      </c>
      <c r="S1801" t="s">
        <v>493</v>
      </c>
      <c r="T1801" t="s">
        <v>779</v>
      </c>
    </row>
    <row r="1802" spans="1:20" x14ac:dyDescent="0.3">
      <c r="A1802">
        <v>1801</v>
      </c>
      <c r="B1802">
        <v>156</v>
      </c>
      <c r="C1802">
        <v>4</v>
      </c>
      <c r="D1802">
        <v>10.58</v>
      </c>
      <c r="E1802">
        <v>1.06</v>
      </c>
      <c r="F1802">
        <v>0</v>
      </c>
      <c r="G1802">
        <v>0.1</v>
      </c>
      <c r="H1802" t="s">
        <v>622</v>
      </c>
      <c r="J1802" t="s">
        <v>623</v>
      </c>
      <c r="K1802" s="1"/>
      <c r="L1802" s="1">
        <v>46141.37190972222</v>
      </c>
      <c r="M1802" s="2">
        <v>46141</v>
      </c>
      <c r="N1802" t="s">
        <v>637</v>
      </c>
      <c r="O1802" t="s">
        <v>625</v>
      </c>
      <c r="P1802">
        <v>1</v>
      </c>
      <c r="Q1802">
        <v>0</v>
      </c>
      <c r="R1802">
        <v>10.58</v>
      </c>
      <c r="S1802" t="s">
        <v>307</v>
      </c>
      <c r="T1802" t="s">
        <v>778</v>
      </c>
    </row>
    <row r="1803" spans="1:20" x14ac:dyDescent="0.3">
      <c r="A1803">
        <v>1802</v>
      </c>
      <c r="B1803">
        <v>156</v>
      </c>
      <c r="C1803">
        <v>5</v>
      </c>
      <c r="D1803">
        <v>15.74</v>
      </c>
      <c r="E1803">
        <v>1.57</v>
      </c>
      <c r="F1803">
        <v>0</v>
      </c>
      <c r="G1803">
        <v>0.1</v>
      </c>
      <c r="H1803" t="s">
        <v>622</v>
      </c>
      <c r="J1803" t="s">
        <v>623</v>
      </c>
      <c r="K1803" s="1"/>
      <c r="L1803" s="1">
        <v>46141.507881944446</v>
      </c>
      <c r="M1803" s="2">
        <v>46141</v>
      </c>
      <c r="N1803" t="s">
        <v>637</v>
      </c>
      <c r="O1803" t="s">
        <v>625</v>
      </c>
      <c r="P1803">
        <v>1</v>
      </c>
      <c r="Q1803">
        <v>0</v>
      </c>
      <c r="R1803">
        <v>15.74</v>
      </c>
      <c r="S1803" t="s">
        <v>307</v>
      </c>
      <c r="T1803" t="s">
        <v>779</v>
      </c>
    </row>
    <row r="1804" spans="1:20" x14ac:dyDescent="0.3">
      <c r="A1804">
        <v>1803</v>
      </c>
      <c r="B1804">
        <v>16</v>
      </c>
      <c r="C1804">
        <v>5</v>
      </c>
      <c r="D1804">
        <v>231.77</v>
      </c>
      <c r="E1804">
        <v>23.18</v>
      </c>
      <c r="F1804">
        <v>0</v>
      </c>
      <c r="G1804">
        <v>0.1</v>
      </c>
      <c r="H1804" t="s">
        <v>622</v>
      </c>
      <c r="J1804" t="s">
        <v>623</v>
      </c>
      <c r="K1804" s="1"/>
      <c r="L1804" s="1">
        <v>46141.61787037037</v>
      </c>
      <c r="M1804" s="2">
        <v>46141</v>
      </c>
      <c r="N1804" t="s">
        <v>637</v>
      </c>
      <c r="O1804" t="s">
        <v>625</v>
      </c>
      <c r="P1804">
        <v>1</v>
      </c>
      <c r="Q1804">
        <v>0</v>
      </c>
      <c r="R1804">
        <v>231.77</v>
      </c>
      <c r="S1804" t="s">
        <v>28</v>
      </c>
      <c r="T1804" t="s">
        <v>779</v>
      </c>
    </row>
    <row r="1805" spans="1:20" x14ac:dyDescent="0.3">
      <c r="A1805">
        <v>1804</v>
      </c>
      <c r="B1805">
        <v>166</v>
      </c>
      <c r="C1805">
        <v>4</v>
      </c>
      <c r="D1805">
        <v>71.739999999999995</v>
      </c>
      <c r="E1805">
        <v>7.17</v>
      </c>
      <c r="F1805">
        <v>0</v>
      </c>
      <c r="G1805">
        <v>0.1</v>
      </c>
      <c r="H1805" t="s">
        <v>622</v>
      </c>
      <c r="J1805" t="s">
        <v>623</v>
      </c>
      <c r="K1805" s="1"/>
      <c r="L1805" s="1">
        <v>46141.7424537037</v>
      </c>
      <c r="M1805" s="2">
        <v>46141</v>
      </c>
      <c r="N1805" t="s">
        <v>637</v>
      </c>
      <c r="O1805" t="s">
        <v>625</v>
      </c>
      <c r="P1805">
        <v>1</v>
      </c>
      <c r="Q1805">
        <v>0</v>
      </c>
      <c r="R1805">
        <v>71.739999999999995</v>
      </c>
      <c r="S1805" t="s">
        <v>327</v>
      </c>
      <c r="T1805" t="s">
        <v>778</v>
      </c>
    </row>
    <row r="1806" spans="1:20" x14ac:dyDescent="0.3">
      <c r="A1806">
        <v>1805</v>
      </c>
      <c r="B1806">
        <v>252</v>
      </c>
      <c r="C1806">
        <v>3</v>
      </c>
      <c r="D1806">
        <v>39.229999999999997</v>
      </c>
      <c r="E1806">
        <v>3.92</v>
      </c>
      <c r="F1806">
        <v>0</v>
      </c>
      <c r="G1806">
        <v>0.1</v>
      </c>
      <c r="H1806" t="s">
        <v>622</v>
      </c>
      <c r="J1806" t="s">
        <v>623</v>
      </c>
      <c r="K1806" s="1"/>
      <c r="L1806" s="1">
        <v>46141.748217592591</v>
      </c>
      <c r="M1806" s="2">
        <v>46141</v>
      </c>
      <c r="N1806" t="s">
        <v>637</v>
      </c>
      <c r="O1806" t="s">
        <v>625</v>
      </c>
      <c r="P1806">
        <v>1</v>
      </c>
      <c r="Q1806">
        <v>0</v>
      </c>
      <c r="R1806">
        <v>39.229999999999997</v>
      </c>
      <c r="S1806" t="s">
        <v>499</v>
      </c>
      <c r="T1806" t="s">
        <v>777</v>
      </c>
    </row>
    <row r="1807" spans="1:20" x14ac:dyDescent="0.3">
      <c r="A1807">
        <v>1806</v>
      </c>
      <c r="B1807">
        <v>217</v>
      </c>
      <c r="C1807">
        <v>2</v>
      </c>
      <c r="D1807">
        <v>31.04</v>
      </c>
      <c r="E1807">
        <v>3.1</v>
      </c>
      <c r="F1807">
        <v>0</v>
      </c>
      <c r="G1807">
        <v>0.1</v>
      </c>
      <c r="H1807" t="s">
        <v>622</v>
      </c>
      <c r="J1807" t="s">
        <v>623</v>
      </c>
      <c r="K1807" s="1"/>
      <c r="L1807" s="1">
        <v>46141.822500000002</v>
      </c>
      <c r="M1807" s="2">
        <v>46141</v>
      </c>
      <c r="N1807" t="s">
        <v>637</v>
      </c>
      <c r="O1807" t="s">
        <v>625</v>
      </c>
      <c r="P1807">
        <v>1</v>
      </c>
      <c r="Q1807">
        <v>0</v>
      </c>
      <c r="R1807">
        <v>31.04</v>
      </c>
      <c r="S1807" t="s">
        <v>429</v>
      </c>
      <c r="T1807" t="s">
        <v>776</v>
      </c>
    </row>
    <row r="1808" spans="1:20" x14ac:dyDescent="0.3">
      <c r="A1808">
        <v>1807</v>
      </c>
      <c r="B1808">
        <v>110</v>
      </c>
      <c r="C1808">
        <v>4</v>
      </c>
      <c r="D1808">
        <v>35.9</v>
      </c>
      <c r="E1808">
        <v>3.59</v>
      </c>
      <c r="F1808">
        <v>0</v>
      </c>
      <c r="G1808">
        <v>0.1</v>
      </c>
      <c r="H1808" t="s">
        <v>622</v>
      </c>
      <c r="J1808" t="s">
        <v>623</v>
      </c>
      <c r="K1808" s="1"/>
      <c r="L1808" s="1">
        <v>46142.394606481481</v>
      </c>
      <c r="M1808" s="2">
        <v>46142</v>
      </c>
      <c r="N1808" t="s">
        <v>637</v>
      </c>
      <c r="O1808" t="s">
        <v>625</v>
      </c>
      <c r="P1808">
        <v>1</v>
      </c>
      <c r="Q1808">
        <v>0</v>
      </c>
      <c r="R1808">
        <v>35.9</v>
      </c>
      <c r="S1808" t="s">
        <v>215</v>
      </c>
      <c r="T1808" t="s">
        <v>778</v>
      </c>
    </row>
    <row r="1809" spans="1:20" x14ac:dyDescent="0.3">
      <c r="A1809">
        <v>1808</v>
      </c>
      <c r="B1809">
        <v>232</v>
      </c>
      <c r="C1809">
        <v>2</v>
      </c>
      <c r="D1809">
        <v>19.57</v>
      </c>
      <c r="E1809">
        <v>1.96</v>
      </c>
      <c r="F1809">
        <v>0</v>
      </c>
      <c r="G1809">
        <v>0.1</v>
      </c>
      <c r="H1809" t="s">
        <v>622</v>
      </c>
      <c r="J1809" t="s">
        <v>623</v>
      </c>
      <c r="K1809" s="1"/>
      <c r="L1809" s="1">
        <v>46142.400787037041</v>
      </c>
      <c r="M1809" s="2">
        <v>46142</v>
      </c>
      <c r="N1809" t="s">
        <v>637</v>
      </c>
      <c r="O1809" t="s">
        <v>625</v>
      </c>
      <c r="P1809">
        <v>1</v>
      </c>
      <c r="Q1809">
        <v>0</v>
      </c>
      <c r="R1809">
        <v>19.57</v>
      </c>
      <c r="S1809" t="s">
        <v>459</v>
      </c>
      <c r="T1809" t="s">
        <v>776</v>
      </c>
    </row>
    <row r="1810" spans="1:20" x14ac:dyDescent="0.3">
      <c r="A1810">
        <v>1809</v>
      </c>
      <c r="B1810">
        <v>44</v>
      </c>
      <c r="C1810">
        <v>4</v>
      </c>
      <c r="D1810">
        <v>41.06</v>
      </c>
      <c r="E1810">
        <v>4.1100000000000003</v>
      </c>
      <c r="F1810">
        <v>0</v>
      </c>
      <c r="G1810">
        <v>0.1</v>
      </c>
      <c r="H1810" t="s">
        <v>622</v>
      </c>
      <c r="J1810" t="s">
        <v>623</v>
      </c>
      <c r="K1810" s="1"/>
      <c r="L1810" s="1">
        <v>46142.412731481483</v>
      </c>
      <c r="M1810" s="2">
        <v>46142</v>
      </c>
      <c r="N1810" t="s">
        <v>637</v>
      </c>
      <c r="O1810" t="s">
        <v>625</v>
      </c>
      <c r="P1810">
        <v>1</v>
      </c>
      <c r="Q1810">
        <v>0</v>
      </c>
      <c r="R1810">
        <v>41.06</v>
      </c>
      <c r="S1810" t="s">
        <v>84</v>
      </c>
      <c r="T1810" t="s">
        <v>778</v>
      </c>
    </row>
    <row r="1811" spans="1:20" x14ac:dyDescent="0.3">
      <c r="A1811">
        <v>1810</v>
      </c>
      <c r="B1811">
        <v>185</v>
      </c>
      <c r="C1811">
        <v>4</v>
      </c>
      <c r="D1811">
        <v>55.69</v>
      </c>
      <c r="E1811">
        <v>5.57</v>
      </c>
      <c r="F1811">
        <v>0</v>
      </c>
      <c r="G1811">
        <v>0.1</v>
      </c>
      <c r="H1811" t="s">
        <v>622</v>
      </c>
      <c r="J1811" t="s">
        <v>623</v>
      </c>
      <c r="K1811" s="1"/>
      <c r="L1811" s="1">
        <v>46142.417048611111</v>
      </c>
      <c r="M1811" s="2">
        <v>46142</v>
      </c>
      <c r="N1811" t="s">
        <v>637</v>
      </c>
      <c r="O1811" t="s">
        <v>625</v>
      </c>
      <c r="P1811">
        <v>1</v>
      </c>
      <c r="Q1811">
        <v>0</v>
      </c>
      <c r="R1811">
        <v>55.69</v>
      </c>
      <c r="S1811" t="s">
        <v>365</v>
      </c>
      <c r="T1811" t="s">
        <v>778</v>
      </c>
    </row>
    <row r="1812" spans="1:20" x14ac:dyDescent="0.3">
      <c r="A1812">
        <v>1811</v>
      </c>
      <c r="B1812">
        <v>91</v>
      </c>
      <c r="C1812">
        <v>4</v>
      </c>
      <c r="D1812">
        <v>22.53</v>
      </c>
      <c r="E1812">
        <v>2.25</v>
      </c>
      <c r="F1812">
        <v>0</v>
      </c>
      <c r="G1812">
        <v>0.1</v>
      </c>
      <c r="H1812" t="s">
        <v>622</v>
      </c>
      <c r="J1812" t="s">
        <v>623</v>
      </c>
      <c r="K1812" s="1"/>
      <c r="L1812" s="1">
        <v>46142.480231481481</v>
      </c>
      <c r="M1812" s="2">
        <v>46142</v>
      </c>
      <c r="N1812" t="s">
        <v>637</v>
      </c>
      <c r="O1812" t="s">
        <v>625</v>
      </c>
      <c r="P1812">
        <v>1</v>
      </c>
      <c r="Q1812">
        <v>0</v>
      </c>
      <c r="R1812">
        <v>22.53</v>
      </c>
      <c r="S1812" t="s">
        <v>177</v>
      </c>
      <c r="T1812" t="s">
        <v>778</v>
      </c>
    </row>
    <row r="1813" spans="1:20" x14ac:dyDescent="0.3">
      <c r="A1813">
        <v>1812</v>
      </c>
      <c r="B1813">
        <v>250</v>
      </c>
      <c r="C1813">
        <v>2</v>
      </c>
      <c r="D1813">
        <v>153.03</v>
      </c>
      <c r="E1813">
        <v>15.3</v>
      </c>
      <c r="F1813">
        <v>0</v>
      </c>
      <c r="G1813">
        <v>0.1</v>
      </c>
      <c r="H1813" t="s">
        <v>622</v>
      </c>
      <c r="J1813" t="s">
        <v>623</v>
      </c>
      <c r="K1813" s="1"/>
      <c r="L1813" s="1">
        <v>46142.730775462966</v>
      </c>
      <c r="M1813" s="2">
        <v>46142</v>
      </c>
      <c r="N1813" t="s">
        <v>637</v>
      </c>
      <c r="O1813" t="s">
        <v>625</v>
      </c>
      <c r="P1813">
        <v>1</v>
      </c>
      <c r="Q1813">
        <v>0</v>
      </c>
      <c r="R1813">
        <v>153.03</v>
      </c>
      <c r="S1813" t="s">
        <v>495</v>
      </c>
      <c r="T1813" t="s">
        <v>776</v>
      </c>
    </row>
    <row r="1814" spans="1:20" x14ac:dyDescent="0.3">
      <c r="A1814">
        <v>1813</v>
      </c>
      <c r="B1814">
        <v>156</v>
      </c>
      <c r="C1814">
        <v>4</v>
      </c>
      <c r="D1814">
        <v>35.1</v>
      </c>
      <c r="E1814">
        <v>3.51</v>
      </c>
      <c r="F1814">
        <v>0</v>
      </c>
      <c r="G1814">
        <v>0.1</v>
      </c>
      <c r="H1814" t="s">
        <v>622</v>
      </c>
      <c r="J1814" t="s">
        <v>623</v>
      </c>
      <c r="K1814" s="1"/>
      <c r="L1814" s="1">
        <v>46142.775833333333</v>
      </c>
      <c r="M1814" s="2">
        <v>46142</v>
      </c>
      <c r="N1814" t="s">
        <v>637</v>
      </c>
      <c r="O1814" t="s">
        <v>625</v>
      </c>
      <c r="P1814">
        <v>1</v>
      </c>
      <c r="Q1814">
        <v>0</v>
      </c>
      <c r="R1814">
        <v>35.1</v>
      </c>
      <c r="S1814" t="s">
        <v>307</v>
      </c>
      <c r="T1814" t="s">
        <v>778</v>
      </c>
    </row>
    <row r="1815" spans="1:20" x14ac:dyDescent="0.3">
      <c r="A1815">
        <v>1814</v>
      </c>
      <c r="B1815">
        <v>229</v>
      </c>
      <c r="C1815">
        <v>4</v>
      </c>
      <c r="D1815">
        <v>75.44</v>
      </c>
      <c r="E1815">
        <v>7.54</v>
      </c>
      <c r="F1815">
        <v>0</v>
      </c>
      <c r="G1815">
        <v>0.1</v>
      </c>
      <c r="H1815" t="s">
        <v>622</v>
      </c>
      <c r="J1815" t="s">
        <v>623</v>
      </c>
      <c r="K1815" s="1"/>
      <c r="L1815" s="1">
        <v>46142.790416666663</v>
      </c>
      <c r="M1815" s="2">
        <v>46142</v>
      </c>
      <c r="N1815" t="s">
        <v>637</v>
      </c>
      <c r="O1815" t="s">
        <v>625</v>
      </c>
      <c r="P1815">
        <v>1</v>
      </c>
      <c r="Q1815">
        <v>0</v>
      </c>
      <c r="R1815">
        <v>75.44</v>
      </c>
      <c r="S1815" t="s">
        <v>453</v>
      </c>
      <c r="T1815" t="s">
        <v>778</v>
      </c>
    </row>
    <row r="1816" spans="1:20" x14ac:dyDescent="0.3">
      <c r="A1816">
        <v>1815</v>
      </c>
      <c r="B1816">
        <v>149</v>
      </c>
      <c r="C1816">
        <v>4</v>
      </c>
      <c r="D1816">
        <v>24.26</v>
      </c>
      <c r="E1816">
        <v>2.4300000000000002</v>
      </c>
      <c r="F1816">
        <v>0</v>
      </c>
      <c r="G1816">
        <v>0.1</v>
      </c>
      <c r="H1816" t="s">
        <v>622</v>
      </c>
      <c r="J1816" t="s">
        <v>623</v>
      </c>
      <c r="K1816" s="1"/>
      <c r="L1816" s="1">
        <v>46143.306504629632</v>
      </c>
      <c r="M1816" s="2">
        <v>46143</v>
      </c>
      <c r="N1816" t="s">
        <v>638</v>
      </c>
      <c r="O1816" t="s">
        <v>625</v>
      </c>
      <c r="P1816">
        <v>1</v>
      </c>
      <c r="Q1816">
        <v>0</v>
      </c>
      <c r="R1816">
        <v>24.26</v>
      </c>
      <c r="S1816" t="s">
        <v>293</v>
      </c>
      <c r="T1816" t="s">
        <v>778</v>
      </c>
    </row>
    <row r="1817" spans="1:20" x14ac:dyDescent="0.3">
      <c r="A1817">
        <v>1816</v>
      </c>
      <c r="B1817">
        <v>250</v>
      </c>
      <c r="C1817">
        <v>3</v>
      </c>
      <c r="D1817">
        <v>121.97</v>
      </c>
      <c r="E1817">
        <v>12.2</v>
      </c>
      <c r="F1817">
        <v>0</v>
      </c>
      <c r="G1817">
        <v>0.1</v>
      </c>
      <c r="H1817" t="s">
        <v>622</v>
      </c>
      <c r="J1817" t="s">
        <v>623</v>
      </c>
      <c r="K1817" s="1"/>
      <c r="L1817" s="1">
        <v>46143.337789351855</v>
      </c>
      <c r="M1817" s="2">
        <v>46143</v>
      </c>
      <c r="N1817" t="s">
        <v>638</v>
      </c>
      <c r="O1817" t="s">
        <v>625</v>
      </c>
      <c r="P1817">
        <v>1</v>
      </c>
      <c r="Q1817">
        <v>0</v>
      </c>
      <c r="R1817">
        <v>121.97</v>
      </c>
      <c r="S1817" t="s">
        <v>495</v>
      </c>
      <c r="T1817" t="s">
        <v>777</v>
      </c>
    </row>
    <row r="1818" spans="1:20" x14ac:dyDescent="0.3">
      <c r="A1818">
        <v>1817</v>
      </c>
      <c r="B1818">
        <v>105</v>
      </c>
      <c r="C1818">
        <v>2</v>
      </c>
      <c r="D1818">
        <v>110.01</v>
      </c>
      <c r="E1818">
        <v>11</v>
      </c>
      <c r="F1818">
        <v>0</v>
      </c>
      <c r="G1818">
        <v>0.1</v>
      </c>
      <c r="H1818" t="s">
        <v>622</v>
      </c>
      <c r="J1818" t="s">
        <v>623</v>
      </c>
      <c r="K1818" s="1"/>
      <c r="L1818" s="1">
        <v>46143.351747685185</v>
      </c>
      <c r="M1818" s="2">
        <v>46143</v>
      </c>
      <c r="N1818" t="s">
        <v>638</v>
      </c>
      <c r="O1818" t="s">
        <v>625</v>
      </c>
      <c r="P1818">
        <v>1</v>
      </c>
      <c r="Q1818">
        <v>0</v>
      </c>
      <c r="R1818">
        <v>110.01</v>
      </c>
      <c r="S1818" t="s">
        <v>205</v>
      </c>
      <c r="T1818" t="s">
        <v>776</v>
      </c>
    </row>
    <row r="1819" spans="1:20" x14ac:dyDescent="0.3">
      <c r="A1819">
        <v>1818</v>
      </c>
      <c r="B1819">
        <v>243</v>
      </c>
      <c r="C1819">
        <v>3</v>
      </c>
      <c r="D1819">
        <v>30.45</v>
      </c>
      <c r="E1819">
        <v>3.05</v>
      </c>
      <c r="F1819">
        <v>0</v>
      </c>
      <c r="G1819">
        <v>0.1</v>
      </c>
      <c r="H1819" t="s">
        <v>622</v>
      </c>
      <c r="J1819" t="s">
        <v>623</v>
      </c>
      <c r="K1819" s="1"/>
      <c r="L1819" s="1">
        <v>46143.380497685182</v>
      </c>
      <c r="M1819" s="2">
        <v>46143</v>
      </c>
      <c r="N1819" t="s">
        <v>638</v>
      </c>
      <c r="O1819" t="s">
        <v>625</v>
      </c>
      <c r="P1819">
        <v>1</v>
      </c>
      <c r="Q1819">
        <v>0</v>
      </c>
      <c r="R1819">
        <v>30.45</v>
      </c>
      <c r="S1819" t="s">
        <v>481</v>
      </c>
      <c r="T1819" t="s">
        <v>777</v>
      </c>
    </row>
    <row r="1820" spans="1:20" x14ac:dyDescent="0.3">
      <c r="A1820">
        <v>1819</v>
      </c>
      <c r="B1820">
        <v>179</v>
      </c>
      <c r="C1820">
        <v>5</v>
      </c>
      <c r="D1820">
        <v>177.27</v>
      </c>
      <c r="E1820">
        <v>17.73</v>
      </c>
      <c r="F1820">
        <v>0</v>
      </c>
      <c r="G1820">
        <v>0.1</v>
      </c>
      <c r="H1820" t="s">
        <v>626</v>
      </c>
      <c r="I1820">
        <v>4</v>
      </c>
      <c r="J1820" t="s">
        <v>628</v>
      </c>
      <c r="K1820" s="1">
        <v>46144.499594907407</v>
      </c>
      <c r="L1820" s="1">
        <v>46143.416261574072</v>
      </c>
      <c r="M1820" s="2">
        <v>46143</v>
      </c>
      <c r="N1820" t="s">
        <v>638</v>
      </c>
      <c r="O1820" t="s">
        <v>625</v>
      </c>
      <c r="P1820">
        <v>1</v>
      </c>
      <c r="Q1820">
        <v>1</v>
      </c>
      <c r="R1820">
        <v>0</v>
      </c>
      <c r="S1820" t="s">
        <v>353</v>
      </c>
      <c r="T1820" t="s">
        <v>779</v>
      </c>
    </row>
    <row r="1821" spans="1:20" x14ac:dyDescent="0.3">
      <c r="A1821">
        <v>1820</v>
      </c>
      <c r="B1821">
        <v>156</v>
      </c>
      <c r="C1821">
        <v>3</v>
      </c>
      <c r="D1821">
        <v>29.5</v>
      </c>
      <c r="E1821">
        <v>2.95</v>
      </c>
      <c r="F1821">
        <v>0</v>
      </c>
      <c r="G1821">
        <v>0.1</v>
      </c>
      <c r="H1821" t="s">
        <v>622</v>
      </c>
      <c r="J1821" t="s">
        <v>623</v>
      </c>
      <c r="K1821" s="1"/>
      <c r="L1821" s="1">
        <v>46143.430868055555</v>
      </c>
      <c r="M1821" s="2">
        <v>46143</v>
      </c>
      <c r="N1821" t="s">
        <v>638</v>
      </c>
      <c r="O1821" t="s">
        <v>625</v>
      </c>
      <c r="P1821">
        <v>1</v>
      </c>
      <c r="Q1821">
        <v>0</v>
      </c>
      <c r="R1821">
        <v>29.5</v>
      </c>
      <c r="S1821" t="s">
        <v>307</v>
      </c>
      <c r="T1821" t="s">
        <v>777</v>
      </c>
    </row>
    <row r="1822" spans="1:20" x14ac:dyDescent="0.3">
      <c r="A1822">
        <v>1821</v>
      </c>
      <c r="B1822">
        <v>137</v>
      </c>
      <c r="C1822">
        <v>5</v>
      </c>
      <c r="D1822">
        <v>26.93</v>
      </c>
      <c r="E1822">
        <v>2.69</v>
      </c>
      <c r="F1822">
        <v>0</v>
      </c>
      <c r="G1822">
        <v>0.1</v>
      </c>
      <c r="H1822" t="s">
        <v>622</v>
      </c>
      <c r="J1822" t="s">
        <v>623</v>
      </c>
      <c r="K1822" s="1"/>
      <c r="L1822" s="1">
        <v>46143.455833333333</v>
      </c>
      <c r="M1822" s="2">
        <v>46143</v>
      </c>
      <c r="N1822" t="s">
        <v>638</v>
      </c>
      <c r="O1822" t="s">
        <v>625</v>
      </c>
      <c r="P1822">
        <v>1</v>
      </c>
      <c r="Q1822">
        <v>0</v>
      </c>
      <c r="R1822">
        <v>26.93</v>
      </c>
      <c r="S1822" t="s">
        <v>269</v>
      </c>
      <c r="T1822" t="s">
        <v>779</v>
      </c>
    </row>
    <row r="1823" spans="1:20" x14ac:dyDescent="0.3">
      <c r="A1823">
        <v>1822</v>
      </c>
      <c r="B1823">
        <v>200</v>
      </c>
      <c r="C1823">
        <v>5</v>
      </c>
      <c r="D1823">
        <v>25.49</v>
      </c>
      <c r="E1823">
        <v>2.5499999999999998</v>
      </c>
      <c r="F1823">
        <v>0</v>
      </c>
      <c r="G1823">
        <v>0.1</v>
      </c>
      <c r="H1823" t="s">
        <v>622</v>
      </c>
      <c r="J1823" t="s">
        <v>623</v>
      </c>
      <c r="K1823" s="1"/>
      <c r="L1823" s="1">
        <v>46143.462534722225</v>
      </c>
      <c r="M1823" s="2">
        <v>46143</v>
      </c>
      <c r="N1823" t="s">
        <v>638</v>
      </c>
      <c r="O1823" t="s">
        <v>625</v>
      </c>
      <c r="P1823">
        <v>1</v>
      </c>
      <c r="Q1823">
        <v>0</v>
      </c>
      <c r="R1823">
        <v>25.49</v>
      </c>
      <c r="S1823" t="s">
        <v>395</v>
      </c>
      <c r="T1823" t="s">
        <v>779</v>
      </c>
    </row>
    <row r="1824" spans="1:20" x14ac:dyDescent="0.3">
      <c r="A1824">
        <v>1823</v>
      </c>
      <c r="B1824">
        <v>301</v>
      </c>
      <c r="C1824">
        <v>3</v>
      </c>
      <c r="D1824">
        <v>88.48</v>
      </c>
      <c r="E1824">
        <v>8.85</v>
      </c>
      <c r="F1824">
        <v>0</v>
      </c>
      <c r="G1824">
        <v>0.1</v>
      </c>
      <c r="H1824" t="s">
        <v>622</v>
      </c>
      <c r="J1824" t="s">
        <v>623</v>
      </c>
      <c r="K1824" s="1"/>
      <c r="L1824" s="1">
        <v>46143.464814814812</v>
      </c>
      <c r="M1824" s="2">
        <v>46143</v>
      </c>
      <c r="N1824" t="s">
        <v>638</v>
      </c>
      <c r="O1824" t="s">
        <v>625</v>
      </c>
      <c r="P1824">
        <v>1</v>
      </c>
      <c r="Q1824">
        <v>0</v>
      </c>
      <c r="R1824">
        <v>88.48</v>
      </c>
      <c r="S1824" t="s">
        <v>597</v>
      </c>
      <c r="T1824" t="s">
        <v>777</v>
      </c>
    </row>
    <row r="1825" spans="1:20" x14ac:dyDescent="0.3">
      <c r="A1825">
        <v>1824</v>
      </c>
      <c r="B1825">
        <v>131</v>
      </c>
      <c r="C1825">
        <v>2</v>
      </c>
      <c r="D1825">
        <v>214.27</v>
      </c>
      <c r="E1825">
        <v>21.43</v>
      </c>
      <c r="F1825">
        <v>0</v>
      </c>
      <c r="G1825">
        <v>0.1</v>
      </c>
      <c r="H1825" t="s">
        <v>622</v>
      </c>
      <c r="J1825" t="s">
        <v>623</v>
      </c>
      <c r="K1825" s="1"/>
      <c r="L1825" s="1">
        <v>46143.475219907406</v>
      </c>
      <c r="M1825" s="2">
        <v>46143</v>
      </c>
      <c r="N1825" t="s">
        <v>638</v>
      </c>
      <c r="O1825" t="s">
        <v>625</v>
      </c>
      <c r="P1825">
        <v>1</v>
      </c>
      <c r="Q1825">
        <v>0</v>
      </c>
      <c r="R1825">
        <v>214.27</v>
      </c>
      <c r="S1825" t="s">
        <v>257</v>
      </c>
      <c r="T1825" t="s">
        <v>776</v>
      </c>
    </row>
    <row r="1826" spans="1:20" x14ac:dyDescent="0.3">
      <c r="A1826">
        <v>1825</v>
      </c>
      <c r="B1826">
        <v>190</v>
      </c>
      <c r="C1826">
        <v>3</v>
      </c>
      <c r="D1826">
        <v>168.94</v>
      </c>
      <c r="E1826">
        <v>16.89</v>
      </c>
      <c r="F1826">
        <v>0</v>
      </c>
      <c r="G1826">
        <v>0.1</v>
      </c>
      <c r="H1826" t="s">
        <v>622</v>
      </c>
      <c r="J1826" t="s">
        <v>623</v>
      </c>
      <c r="K1826" s="1"/>
      <c r="L1826" s="1">
        <v>46143.489629629628</v>
      </c>
      <c r="M1826" s="2">
        <v>46143</v>
      </c>
      <c r="N1826" t="s">
        <v>638</v>
      </c>
      <c r="O1826" t="s">
        <v>625</v>
      </c>
      <c r="P1826">
        <v>1</v>
      </c>
      <c r="Q1826">
        <v>0</v>
      </c>
      <c r="R1826">
        <v>168.94</v>
      </c>
      <c r="S1826" t="s">
        <v>375</v>
      </c>
      <c r="T1826" t="s">
        <v>777</v>
      </c>
    </row>
    <row r="1827" spans="1:20" x14ac:dyDescent="0.3">
      <c r="A1827">
        <v>1826</v>
      </c>
      <c r="B1827">
        <v>116</v>
      </c>
      <c r="C1827">
        <v>2</v>
      </c>
      <c r="D1827">
        <v>47.36</v>
      </c>
      <c r="E1827">
        <v>4.74</v>
      </c>
      <c r="F1827">
        <v>0</v>
      </c>
      <c r="G1827">
        <v>0.1</v>
      </c>
      <c r="H1827" t="s">
        <v>622</v>
      </c>
      <c r="J1827" t="s">
        <v>623</v>
      </c>
      <c r="K1827" s="1"/>
      <c r="L1827" s="1">
        <v>46143.509710648148</v>
      </c>
      <c r="M1827" s="2">
        <v>46143</v>
      </c>
      <c r="N1827" t="s">
        <v>638</v>
      </c>
      <c r="O1827" t="s">
        <v>625</v>
      </c>
      <c r="P1827">
        <v>1</v>
      </c>
      <c r="Q1827">
        <v>0</v>
      </c>
      <c r="R1827">
        <v>47.36</v>
      </c>
      <c r="S1827" t="s">
        <v>227</v>
      </c>
      <c r="T1827" t="s">
        <v>776</v>
      </c>
    </row>
    <row r="1828" spans="1:20" x14ac:dyDescent="0.3">
      <c r="A1828">
        <v>1827</v>
      </c>
      <c r="B1828">
        <v>178</v>
      </c>
      <c r="C1828">
        <v>4</v>
      </c>
      <c r="D1828">
        <v>200.01</v>
      </c>
      <c r="E1828">
        <v>20</v>
      </c>
      <c r="F1828">
        <v>0</v>
      </c>
      <c r="G1828">
        <v>0.1</v>
      </c>
      <c r="H1828" t="s">
        <v>622</v>
      </c>
      <c r="J1828" t="s">
        <v>623</v>
      </c>
      <c r="K1828" s="1"/>
      <c r="L1828" s="1">
        <v>46143.518217592595</v>
      </c>
      <c r="M1828" s="2">
        <v>46143</v>
      </c>
      <c r="N1828" t="s">
        <v>638</v>
      </c>
      <c r="O1828" t="s">
        <v>625</v>
      </c>
      <c r="P1828">
        <v>1</v>
      </c>
      <c r="Q1828">
        <v>0</v>
      </c>
      <c r="R1828">
        <v>200.01</v>
      </c>
      <c r="S1828" t="s">
        <v>351</v>
      </c>
      <c r="T1828" t="s">
        <v>778</v>
      </c>
    </row>
    <row r="1829" spans="1:20" x14ac:dyDescent="0.3">
      <c r="A1829">
        <v>1828</v>
      </c>
      <c r="B1829">
        <v>137</v>
      </c>
      <c r="C1829">
        <v>5</v>
      </c>
      <c r="D1829">
        <v>26.4</v>
      </c>
      <c r="E1829">
        <v>2.64</v>
      </c>
      <c r="F1829">
        <v>0</v>
      </c>
      <c r="G1829">
        <v>0.1</v>
      </c>
      <c r="H1829" t="s">
        <v>622</v>
      </c>
      <c r="J1829" t="s">
        <v>623</v>
      </c>
      <c r="K1829" s="1"/>
      <c r="L1829" s="1">
        <v>46143.698125000003</v>
      </c>
      <c r="M1829" s="2">
        <v>46143</v>
      </c>
      <c r="N1829" t="s">
        <v>638</v>
      </c>
      <c r="O1829" t="s">
        <v>625</v>
      </c>
      <c r="P1829">
        <v>1</v>
      </c>
      <c r="Q1829">
        <v>0</v>
      </c>
      <c r="R1829">
        <v>26.4</v>
      </c>
      <c r="S1829" t="s">
        <v>269</v>
      </c>
      <c r="T1829" t="s">
        <v>779</v>
      </c>
    </row>
    <row r="1830" spans="1:20" x14ac:dyDescent="0.3">
      <c r="A1830">
        <v>1829</v>
      </c>
      <c r="B1830">
        <v>80</v>
      </c>
      <c r="C1830">
        <v>5</v>
      </c>
      <c r="D1830">
        <v>17</v>
      </c>
      <c r="E1830">
        <v>1.7</v>
      </c>
      <c r="F1830">
        <v>0</v>
      </c>
      <c r="G1830">
        <v>0.1</v>
      </c>
      <c r="H1830" t="s">
        <v>622</v>
      </c>
      <c r="J1830" t="s">
        <v>623</v>
      </c>
      <c r="K1830" s="1"/>
      <c r="L1830" s="1">
        <v>46144.336423611108</v>
      </c>
      <c r="M1830" s="2">
        <v>46144</v>
      </c>
      <c r="N1830" t="s">
        <v>638</v>
      </c>
      <c r="O1830" t="s">
        <v>625</v>
      </c>
      <c r="P1830">
        <v>1</v>
      </c>
      <c r="Q1830">
        <v>0</v>
      </c>
      <c r="R1830">
        <v>17</v>
      </c>
      <c r="S1830" t="s">
        <v>156</v>
      </c>
      <c r="T1830" t="s">
        <v>779</v>
      </c>
    </row>
    <row r="1831" spans="1:20" x14ac:dyDescent="0.3">
      <c r="A1831">
        <v>1830</v>
      </c>
      <c r="B1831">
        <v>127</v>
      </c>
      <c r="C1831">
        <v>3</v>
      </c>
      <c r="D1831">
        <v>73.22</v>
      </c>
      <c r="E1831">
        <v>7.32</v>
      </c>
      <c r="F1831">
        <v>0</v>
      </c>
      <c r="G1831">
        <v>0.1</v>
      </c>
      <c r="H1831" t="s">
        <v>622</v>
      </c>
      <c r="J1831" t="s">
        <v>623</v>
      </c>
      <c r="K1831" s="1"/>
      <c r="L1831" s="1">
        <v>46144.483587962961</v>
      </c>
      <c r="M1831" s="2">
        <v>46144</v>
      </c>
      <c r="N1831" t="s">
        <v>638</v>
      </c>
      <c r="O1831" t="s">
        <v>625</v>
      </c>
      <c r="P1831">
        <v>1</v>
      </c>
      <c r="Q1831">
        <v>0</v>
      </c>
      <c r="R1831">
        <v>73.22</v>
      </c>
      <c r="S1831" t="s">
        <v>249</v>
      </c>
      <c r="T1831" t="s">
        <v>777</v>
      </c>
    </row>
    <row r="1832" spans="1:20" x14ac:dyDescent="0.3">
      <c r="A1832">
        <v>1831</v>
      </c>
      <c r="B1832">
        <v>186</v>
      </c>
      <c r="C1832">
        <v>5</v>
      </c>
      <c r="D1832">
        <v>104.48</v>
      </c>
      <c r="E1832">
        <v>10.45</v>
      </c>
      <c r="F1832">
        <v>0</v>
      </c>
      <c r="G1832">
        <v>0.1</v>
      </c>
      <c r="H1832" t="s">
        <v>622</v>
      </c>
      <c r="J1832" t="s">
        <v>623</v>
      </c>
      <c r="K1832" s="1"/>
      <c r="L1832" s="1">
        <v>46144.518518518518</v>
      </c>
      <c r="M1832" s="2">
        <v>46144</v>
      </c>
      <c r="N1832" t="s">
        <v>638</v>
      </c>
      <c r="O1832" t="s">
        <v>625</v>
      </c>
      <c r="P1832">
        <v>1</v>
      </c>
      <c r="Q1832">
        <v>0</v>
      </c>
      <c r="R1832">
        <v>104.48</v>
      </c>
      <c r="S1832" t="s">
        <v>367</v>
      </c>
      <c r="T1832" t="s">
        <v>779</v>
      </c>
    </row>
    <row r="1833" spans="1:20" x14ac:dyDescent="0.3">
      <c r="A1833">
        <v>1832</v>
      </c>
      <c r="B1833">
        <v>178</v>
      </c>
      <c r="C1833">
        <v>3</v>
      </c>
      <c r="D1833">
        <v>131.75</v>
      </c>
      <c r="E1833">
        <v>13.18</v>
      </c>
      <c r="F1833">
        <v>0</v>
      </c>
      <c r="G1833">
        <v>0.1</v>
      </c>
      <c r="H1833" t="s">
        <v>622</v>
      </c>
      <c r="J1833" t="s">
        <v>623</v>
      </c>
      <c r="K1833" s="1"/>
      <c r="L1833" s="1">
        <v>46144.545578703706</v>
      </c>
      <c r="M1833" s="2">
        <v>46144</v>
      </c>
      <c r="N1833" t="s">
        <v>638</v>
      </c>
      <c r="O1833" t="s">
        <v>625</v>
      </c>
      <c r="P1833">
        <v>1</v>
      </c>
      <c r="Q1833">
        <v>0</v>
      </c>
      <c r="R1833">
        <v>131.75</v>
      </c>
      <c r="S1833" t="s">
        <v>351</v>
      </c>
      <c r="T1833" t="s">
        <v>777</v>
      </c>
    </row>
    <row r="1834" spans="1:20" x14ac:dyDescent="0.3">
      <c r="A1834">
        <v>1833</v>
      </c>
      <c r="B1834">
        <v>57</v>
      </c>
      <c r="C1834">
        <v>4</v>
      </c>
      <c r="D1834">
        <v>143.62</v>
      </c>
      <c r="E1834">
        <v>14.36</v>
      </c>
      <c r="F1834">
        <v>0</v>
      </c>
      <c r="G1834">
        <v>0.1</v>
      </c>
      <c r="H1834" t="s">
        <v>622</v>
      </c>
      <c r="J1834" t="s">
        <v>623</v>
      </c>
      <c r="K1834" s="1"/>
      <c r="L1834" s="1">
        <v>46144.545682870368</v>
      </c>
      <c r="M1834" s="2">
        <v>46144</v>
      </c>
      <c r="N1834" t="s">
        <v>638</v>
      </c>
      <c r="O1834" t="s">
        <v>625</v>
      </c>
      <c r="P1834">
        <v>1</v>
      </c>
      <c r="Q1834">
        <v>0</v>
      </c>
      <c r="R1834">
        <v>143.62</v>
      </c>
      <c r="S1834" t="s">
        <v>110</v>
      </c>
      <c r="T1834" t="s">
        <v>778</v>
      </c>
    </row>
    <row r="1835" spans="1:20" x14ac:dyDescent="0.3">
      <c r="A1835">
        <v>1834</v>
      </c>
      <c r="B1835">
        <v>145</v>
      </c>
      <c r="C1835">
        <v>2</v>
      </c>
      <c r="D1835">
        <v>195.91</v>
      </c>
      <c r="E1835">
        <v>19.59</v>
      </c>
      <c r="F1835">
        <v>0</v>
      </c>
      <c r="G1835">
        <v>0.1</v>
      </c>
      <c r="H1835" t="s">
        <v>622</v>
      </c>
      <c r="J1835" t="s">
        <v>623</v>
      </c>
      <c r="K1835" s="1"/>
      <c r="L1835" s="1">
        <v>46144.575937499998</v>
      </c>
      <c r="M1835" s="2">
        <v>46144</v>
      </c>
      <c r="N1835" t="s">
        <v>638</v>
      </c>
      <c r="O1835" t="s">
        <v>625</v>
      </c>
      <c r="P1835">
        <v>1</v>
      </c>
      <c r="Q1835">
        <v>0</v>
      </c>
      <c r="R1835">
        <v>195.91</v>
      </c>
      <c r="S1835" t="s">
        <v>285</v>
      </c>
      <c r="T1835" t="s">
        <v>776</v>
      </c>
    </row>
    <row r="1836" spans="1:20" x14ac:dyDescent="0.3">
      <c r="A1836">
        <v>1835</v>
      </c>
      <c r="B1836">
        <v>136</v>
      </c>
      <c r="C1836">
        <v>2</v>
      </c>
      <c r="D1836">
        <v>42.53</v>
      </c>
      <c r="E1836">
        <v>4.25</v>
      </c>
      <c r="F1836">
        <v>0</v>
      </c>
      <c r="G1836">
        <v>0.1</v>
      </c>
      <c r="H1836" t="s">
        <v>622</v>
      </c>
      <c r="J1836" t="s">
        <v>623</v>
      </c>
      <c r="K1836" s="1"/>
      <c r="L1836" s="1">
        <v>46144.635613425926</v>
      </c>
      <c r="M1836" s="2">
        <v>46144</v>
      </c>
      <c r="N1836" t="s">
        <v>638</v>
      </c>
      <c r="O1836" t="s">
        <v>625</v>
      </c>
      <c r="P1836">
        <v>1</v>
      </c>
      <c r="Q1836">
        <v>0</v>
      </c>
      <c r="R1836">
        <v>42.53</v>
      </c>
      <c r="S1836" t="s">
        <v>267</v>
      </c>
      <c r="T1836" t="s">
        <v>776</v>
      </c>
    </row>
    <row r="1837" spans="1:20" x14ac:dyDescent="0.3">
      <c r="A1837">
        <v>1836</v>
      </c>
      <c r="B1837">
        <v>250</v>
      </c>
      <c r="C1837">
        <v>2</v>
      </c>
      <c r="D1837">
        <v>141.55000000000001</v>
      </c>
      <c r="E1837">
        <v>14.16</v>
      </c>
      <c r="F1837">
        <v>0</v>
      </c>
      <c r="G1837">
        <v>0.1</v>
      </c>
      <c r="H1837" t="s">
        <v>622</v>
      </c>
      <c r="J1837" t="s">
        <v>623</v>
      </c>
      <c r="K1837" s="1"/>
      <c r="L1837" s="1">
        <v>46144.663576388892</v>
      </c>
      <c r="M1837" s="2">
        <v>46144</v>
      </c>
      <c r="N1837" t="s">
        <v>638</v>
      </c>
      <c r="O1837" t="s">
        <v>625</v>
      </c>
      <c r="P1837">
        <v>1</v>
      </c>
      <c r="Q1837">
        <v>0</v>
      </c>
      <c r="R1837">
        <v>141.55000000000001</v>
      </c>
      <c r="S1837" t="s">
        <v>495</v>
      </c>
      <c r="T1837" t="s">
        <v>776</v>
      </c>
    </row>
    <row r="1838" spans="1:20" x14ac:dyDescent="0.3">
      <c r="A1838">
        <v>1837</v>
      </c>
      <c r="B1838">
        <v>250</v>
      </c>
      <c r="C1838">
        <v>5</v>
      </c>
      <c r="D1838">
        <v>68.67</v>
      </c>
      <c r="E1838">
        <v>0</v>
      </c>
      <c r="F1838">
        <v>1</v>
      </c>
      <c r="G1838">
        <v>0.1</v>
      </c>
      <c r="H1838" t="s">
        <v>622</v>
      </c>
      <c r="J1838" t="s">
        <v>623</v>
      </c>
      <c r="K1838" s="1"/>
      <c r="L1838" s="1">
        <v>46144.822210648148</v>
      </c>
      <c r="M1838" s="2">
        <v>46144</v>
      </c>
      <c r="N1838" t="s">
        <v>638</v>
      </c>
      <c r="O1838" t="s">
        <v>629</v>
      </c>
      <c r="P1838">
        <v>1</v>
      </c>
      <c r="Q1838">
        <v>0</v>
      </c>
      <c r="R1838">
        <v>68.67</v>
      </c>
      <c r="S1838" t="s">
        <v>495</v>
      </c>
      <c r="T1838" t="s">
        <v>779</v>
      </c>
    </row>
    <row r="1839" spans="1:20" x14ac:dyDescent="0.3">
      <c r="A1839">
        <v>1838</v>
      </c>
      <c r="B1839">
        <v>138</v>
      </c>
      <c r="C1839">
        <v>4</v>
      </c>
      <c r="D1839">
        <v>23.96</v>
      </c>
      <c r="E1839">
        <v>2.4</v>
      </c>
      <c r="F1839">
        <v>0</v>
      </c>
      <c r="G1839">
        <v>0.1</v>
      </c>
      <c r="H1839" t="s">
        <v>622</v>
      </c>
      <c r="J1839" t="s">
        <v>623</v>
      </c>
      <c r="K1839" s="1"/>
      <c r="L1839" s="1">
        <v>46144.822928240741</v>
      </c>
      <c r="M1839" s="2">
        <v>46144</v>
      </c>
      <c r="N1839" t="s">
        <v>638</v>
      </c>
      <c r="O1839" t="s">
        <v>625</v>
      </c>
      <c r="P1839">
        <v>1</v>
      </c>
      <c r="Q1839">
        <v>0</v>
      </c>
      <c r="R1839">
        <v>23.96</v>
      </c>
      <c r="S1839" t="s">
        <v>271</v>
      </c>
      <c r="T1839" t="s">
        <v>778</v>
      </c>
    </row>
    <row r="1840" spans="1:20" x14ac:dyDescent="0.3">
      <c r="A1840">
        <v>1839</v>
      </c>
      <c r="B1840">
        <v>259</v>
      </c>
      <c r="C1840">
        <v>5</v>
      </c>
      <c r="D1840">
        <v>29.62</v>
      </c>
      <c r="E1840">
        <v>2.96</v>
      </c>
      <c r="F1840">
        <v>0</v>
      </c>
      <c r="G1840">
        <v>0.1</v>
      </c>
      <c r="H1840" t="s">
        <v>622</v>
      </c>
      <c r="J1840" t="s">
        <v>623</v>
      </c>
      <c r="K1840" s="1"/>
      <c r="L1840" s="1">
        <v>46145.372777777775</v>
      </c>
      <c r="M1840" s="2">
        <v>46145</v>
      </c>
      <c r="N1840" t="s">
        <v>638</v>
      </c>
      <c r="O1840" t="s">
        <v>625</v>
      </c>
      <c r="P1840">
        <v>1</v>
      </c>
      <c r="Q1840">
        <v>0</v>
      </c>
      <c r="R1840">
        <v>29.62</v>
      </c>
      <c r="S1840" t="s">
        <v>513</v>
      </c>
      <c r="T1840" t="s">
        <v>779</v>
      </c>
    </row>
    <row r="1841" spans="1:20" x14ac:dyDescent="0.3">
      <c r="A1841">
        <v>1840</v>
      </c>
      <c r="B1841">
        <v>244</v>
      </c>
      <c r="C1841">
        <v>3</v>
      </c>
      <c r="D1841">
        <v>89.73</v>
      </c>
      <c r="E1841">
        <v>8.9700000000000006</v>
      </c>
      <c r="F1841">
        <v>0</v>
      </c>
      <c r="G1841">
        <v>0.1</v>
      </c>
      <c r="H1841" t="s">
        <v>622</v>
      </c>
      <c r="J1841" t="s">
        <v>623</v>
      </c>
      <c r="K1841" s="1"/>
      <c r="L1841" s="1">
        <v>46145.485509259262</v>
      </c>
      <c r="M1841" s="2">
        <v>46145</v>
      </c>
      <c r="N1841" t="s">
        <v>638</v>
      </c>
      <c r="O1841" t="s">
        <v>625</v>
      </c>
      <c r="P1841">
        <v>1</v>
      </c>
      <c r="Q1841">
        <v>0</v>
      </c>
      <c r="R1841">
        <v>89.73</v>
      </c>
      <c r="S1841" t="s">
        <v>483</v>
      </c>
      <c r="T1841" t="s">
        <v>777</v>
      </c>
    </row>
    <row r="1842" spans="1:20" x14ac:dyDescent="0.3">
      <c r="A1842">
        <v>1841</v>
      </c>
      <c r="B1842">
        <v>136</v>
      </c>
      <c r="C1842">
        <v>4</v>
      </c>
      <c r="D1842">
        <v>98.56</v>
      </c>
      <c r="E1842">
        <v>9.86</v>
      </c>
      <c r="F1842">
        <v>0</v>
      </c>
      <c r="G1842">
        <v>0.1</v>
      </c>
      <c r="H1842" t="s">
        <v>622</v>
      </c>
      <c r="J1842" t="s">
        <v>623</v>
      </c>
      <c r="K1842" s="1"/>
      <c r="L1842" s="1">
        <v>46145.538472222222</v>
      </c>
      <c r="M1842" s="2">
        <v>46145</v>
      </c>
      <c r="N1842" t="s">
        <v>638</v>
      </c>
      <c r="O1842" t="s">
        <v>625</v>
      </c>
      <c r="P1842">
        <v>1</v>
      </c>
      <c r="Q1842">
        <v>0</v>
      </c>
      <c r="R1842">
        <v>98.56</v>
      </c>
      <c r="S1842" t="s">
        <v>267</v>
      </c>
      <c r="T1842" t="s">
        <v>778</v>
      </c>
    </row>
    <row r="1843" spans="1:20" x14ac:dyDescent="0.3">
      <c r="A1843">
        <v>1842</v>
      </c>
      <c r="B1843">
        <v>196</v>
      </c>
      <c r="C1843">
        <v>4</v>
      </c>
      <c r="D1843">
        <v>24.32</v>
      </c>
      <c r="E1843">
        <v>2.4300000000000002</v>
      </c>
      <c r="F1843">
        <v>0</v>
      </c>
      <c r="G1843">
        <v>0.1</v>
      </c>
      <c r="H1843" t="s">
        <v>622</v>
      </c>
      <c r="J1843" t="s">
        <v>623</v>
      </c>
      <c r="K1843" s="1"/>
      <c r="L1843" s="1">
        <v>46145.690127314818</v>
      </c>
      <c r="M1843" s="2">
        <v>46145</v>
      </c>
      <c r="N1843" t="s">
        <v>638</v>
      </c>
      <c r="O1843" t="s">
        <v>625</v>
      </c>
      <c r="P1843">
        <v>1</v>
      </c>
      <c r="Q1843">
        <v>0</v>
      </c>
      <c r="R1843">
        <v>24.32</v>
      </c>
      <c r="S1843" t="s">
        <v>387</v>
      </c>
      <c r="T1843" t="s">
        <v>778</v>
      </c>
    </row>
    <row r="1844" spans="1:20" x14ac:dyDescent="0.3">
      <c r="A1844">
        <v>1843</v>
      </c>
      <c r="B1844">
        <v>218</v>
      </c>
      <c r="C1844">
        <v>4</v>
      </c>
      <c r="D1844">
        <v>35.64</v>
      </c>
      <c r="E1844">
        <v>3.56</v>
      </c>
      <c r="F1844">
        <v>0</v>
      </c>
      <c r="G1844">
        <v>0.1</v>
      </c>
      <c r="H1844" t="s">
        <v>622</v>
      </c>
      <c r="J1844" t="s">
        <v>623</v>
      </c>
      <c r="K1844" s="1"/>
      <c r="L1844" s="1">
        <v>46145.764537037037</v>
      </c>
      <c r="M1844" s="2">
        <v>46145</v>
      </c>
      <c r="N1844" t="s">
        <v>638</v>
      </c>
      <c r="O1844" t="s">
        <v>625</v>
      </c>
      <c r="P1844">
        <v>1</v>
      </c>
      <c r="Q1844">
        <v>0</v>
      </c>
      <c r="R1844">
        <v>35.64</v>
      </c>
      <c r="S1844" t="s">
        <v>431</v>
      </c>
      <c r="T1844" t="s">
        <v>778</v>
      </c>
    </row>
    <row r="1845" spans="1:20" x14ac:dyDescent="0.3">
      <c r="A1845">
        <v>1844</v>
      </c>
      <c r="B1845">
        <v>241</v>
      </c>
      <c r="C1845">
        <v>4</v>
      </c>
      <c r="D1845">
        <v>54.58</v>
      </c>
      <c r="E1845">
        <v>5.46</v>
      </c>
      <c r="F1845">
        <v>0</v>
      </c>
      <c r="G1845">
        <v>0.1</v>
      </c>
      <c r="H1845" t="s">
        <v>622</v>
      </c>
      <c r="J1845" t="s">
        <v>623</v>
      </c>
      <c r="K1845" s="1"/>
      <c r="L1845" s="1">
        <v>46145.825046296297</v>
      </c>
      <c r="M1845" s="2">
        <v>46145</v>
      </c>
      <c r="N1845" t="s">
        <v>638</v>
      </c>
      <c r="O1845" t="s">
        <v>625</v>
      </c>
      <c r="P1845">
        <v>1</v>
      </c>
      <c r="Q1845">
        <v>0</v>
      </c>
      <c r="R1845">
        <v>54.58</v>
      </c>
      <c r="S1845" t="s">
        <v>477</v>
      </c>
      <c r="T1845" t="s">
        <v>778</v>
      </c>
    </row>
    <row r="1846" spans="1:20" x14ac:dyDescent="0.3">
      <c r="A1846">
        <v>1845</v>
      </c>
      <c r="B1846">
        <v>262</v>
      </c>
      <c r="C1846">
        <v>2</v>
      </c>
      <c r="D1846">
        <v>111.94</v>
      </c>
      <c r="E1846">
        <v>11.19</v>
      </c>
      <c r="F1846">
        <v>0</v>
      </c>
      <c r="G1846">
        <v>0.1</v>
      </c>
      <c r="H1846" t="s">
        <v>622</v>
      </c>
      <c r="J1846" t="s">
        <v>623</v>
      </c>
      <c r="K1846" s="1"/>
      <c r="L1846" s="1">
        <v>46146.297361111108</v>
      </c>
      <c r="M1846" s="2">
        <v>46146</v>
      </c>
      <c r="N1846" t="s">
        <v>638</v>
      </c>
      <c r="O1846" t="s">
        <v>625</v>
      </c>
      <c r="P1846">
        <v>1</v>
      </c>
      <c r="Q1846">
        <v>0</v>
      </c>
      <c r="R1846">
        <v>111.94</v>
      </c>
      <c r="S1846" t="s">
        <v>519</v>
      </c>
      <c r="T1846" t="s">
        <v>776</v>
      </c>
    </row>
    <row r="1847" spans="1:20" x14ac:dyDescent="0.3">
      <c r="A1847">
        <v>1846</v>
      </c>
      <c r="B1847">
        <v>208</v>
      </c>
      <c r="C1847">
        <v>2</v>
      </c>
      <c r="D1847">
        <v>44.99</v>
      </c>
      <c r="E1847">
        <v>4.5</v>
      </c>
      <c r="F1847">
        <v>0</v>
      </c>
      <c r="G1847">
        <v>0.1</v>
      </c>
      <c r="H1847" t="s">
        <v>622</v>
      </c>
      <c r="J1847" t="s">
        <v>623</v>
      </c>
      <c r="K1847" s="1"/>
      <c r="L1847" s="1">
        <v>46146.321377314816</v>
      </c>
      <c r="M1847" s="2">
        <v>46146</v>
      </c>
      <c r="N1847" t="s">
        <v>638</v>
      </c>
      <c r="O1847" t="s">
        <v>625</v>
      </c>
      <c r="P1847">
        <v>1</v>
      </c>
      <c r="Q1847">
        <v>0</v>
      </c>
      <c r="R1847">
        <v>44.99</v>
      </c>
      <c r="S1847" t="s">
        <v>411</v>
      </c>
      <c r="T1847" t="s">
        <v>776</v>
      </c>
    </row>
    <row r="1848" spans="1:20" x14ac:dyDescent="0.3">
      <c r="A1848">
        <v>1847</v>
      </c>
      <c r="B1848">
        <v>40</v>
      </c>
      <c r="C1848">
        <v>4</v>
      </c>
      <c r="D1848">
        <v>74</v>
      </c>
      <c r="E1848">
        <v>7.4</v>
      </c>
      <c r="F1848">
        <v>0</v>
      </c>
      <c r="G1848">
        <v>0.1</v>
      </c>
      <c r="H1848" t="s">
        <v>622</v>
      </c>
      <c r="J1848" t="s">
        <v>623</v>
      </c>
      <c r="K1848" s="1"/>
      <c r="L1848" s="1">
        <v>46146.436145833337</v>
      </c>
      <c r="M1848" s="2">
        <v>46146</v>
      </c>
      <c r="N1848" t="s">
        <v>638</v>
      </c>
      <c r="O1848" t="s">
        <v>625</v>
      </c>
      <c r="P1848">
        <v>1</v>
      </c>
      <c r="Q1848">
        <v>0</v>
      </c>
      <c r="R1848">
        <v>74</v>
      </c>
      <c r="S1848" t="s">
        <v>76</v>
      </c>
      <c r="T1848" t="s">
        <v>778</v>
      </c>
    </row>
    <row r="1849" spans="1:20" x14ac:dyDescent="0.3">
      <c r="A1849">
        <v>1848</v>
      </c>
      <c r="B1849">
        <v>244</v>
      </c>
      <c r="C1849">
        <v>2</v>
      </c>
      <c r="D1849">
        <v>81.83</v>
      </c>
      <c r="E1849">
        <v>8.18</v>
      </c>
      <c r="F1849">
        <v>0</v>
      </c>
      <c r="G1849">
        <v>0.1</v>
      </c>
      <c r="H1849" t="s">
        <v>622</v>
      </c>
      <c r="J1849" t="s">
        <v>623</v>
      </c>
      <c r="K1849" s="1"/>
      <c r="L1849" s="1">
        <v>46146.651805555557</v>
      </c>
      <c r="M1849" s="2">
        <v>46146</v>
      </c>
      <c r="N1849" t="s">
        <v>638</v>
      </c>
      <c r="O1849" t="s">
        <v>625</v>
      </c>
      <c r="P1849">
        <v>1</v>
      </c>
      <c r="Q1849">
        <v>0</v>
      </c>
      <c r="R1849">
        <v>81.83</v>
      </c>
      <c r="S1849" t="s">
        <v>483</v>
      </c>
      <c r="T1849" t="s">
        <v>776</v>
      </c>
    </row>
    <row r="1850" spans="1:20" x14ac:dyDescent="0.3">
      <c r="A1850">
        <v>1849</v>
      </c>
      <c r="B1850">
        <v>250</v>
      </c>
      <c r="C1850">
        <v>4</v>
      </c>
      <c r="D1850">
        <v>99.44</v>
      </c>
      <c r="E1850">
        <v>0</v>
      </c>
      <c r="F1850">
        <v>1</v>
      </c>
      <c r="G1850">
        <v>0.1</v>
      </c>
      <c r="H1850" t="s">
        <v>622</v>
      </c>
      <c r="J1850" t="s">
        <v>623</v>
      </c>
      <c r="K1850" s="1"/>
      <c r="L1850" s="1">
        <v>46146.693761574075</v>
      </c>
      <c r="M1850" s="2">
        <v>46146</v>
      </c>
      <c r="N1850" t="s">
        <v>638</v>
      </c>
      <c r="O1850" t="s">
        <v>629</v>
      </c>
      <c r="P1850">
        <v>1</v>
      </c>
      <c r="Q1850">
        <v>0</v>
      </c>
      <c r="R1850">
        <v>99.44</v>
      </c>
      <c r="S1850" t="s">
        <v>495</v>
      </c>
      <c r="T1850" t="s">
        <v>778</v>
      </c>
    </row>
    <row r="1851" spans="1:20" x14ac:dyDescent="0.3">
      <c r="A1851">
        <v>1850</v>
      </c>
      <c r="B1851">
        <v>117</v>
      </c>
      <c r="C1851">
        <v>5</v>
      </c>
      <c r="D1851">
        <v>88.37</v>
      </c>
      <c r="E1851">
        <v>8.84</v>
      </c>
      <c r="F1851">
        <v>0</v>
      </c>
      <c r="G1851">
        <v>0.1</v>
      </c>
      <c r="H1851" t="s">
        <v>622</v>
      </c>
      <c r="J1851" t="s">
        <v>623</v>
      </c>
      <c r="K1851" s="1"/>
      <c r="L1851" s="1">
        <v>46147.341979166667</v>
      </c>
      <c r="M1851" s="2">
        <v>46147</v>
      </c>
      <c r="N1851" t="s">
        <v>638</v>
      </c>
      <c r="O1851" t="s">
        <v>625</v>
      </c>
      <c r="P1851">
        <v>1</v>
      </c>
      <c r="Q1851">
        <v>0</v>
      </c>
      <c r="R1851">
        <v>88.37</v>
      </c>
      <c r="S1851" t="s">
        <v>229</v>
      </c>
      <c r="T1851" t="s">
        <v>779</v>
      </c>
    </row>
    <row r="1852" spans="1:20" x14ac:dyDescent="0.3">
      <c r="A1852">
        <v>1851</v>
      </c>
      <c r="B1852">
        <v>88</v>
      </c>
      <c r="C1852">
        <v>4</v>
      </c>
      <c r="D1852">
        <v>46.14</v>
      </c>
      <c r="E1852">
        <v>4.6100000000000003</v>
      </c>
      <c r="F1852">
        <v>0</v>
      </c>
      <c r="G1852">
        <v>0.1</v>
      </c>
      <c r="H1852" t="s">
        <v>622</v>
      </c>
      <c r="J1852" t="s">
        <v>623</v>
      </c>
      <c r="K1852" s="1"/>
      <c r="L1852" s="1">
        <v>46147.482499999998</v>
      </c>
      <c r="M1852" s="2">
        <v>46147</v>
      </c>
      <c r="N1852" t="s">
        <v>638</v>
      </c>
      <c r="O1852" t="s">
        <v>625</v>
      </c>
      <c r="P1852">
        <v>1</v>
      </c>
      <c r="Q1852">
        <v>0</v>
      </c>
      <c r="R1852">
        <v>46.14</v>
      </c>
      <c r="S1852" t="s">
        <v>171</v>
      </c>
      <c r="T1852" t="s">
        <v>778</v>
      </c>
    </row>
    <row r="1853" spans="1:20" x14ac:dyDescent="0.3">
      <c r="A1853">
        <v>1852</v>
      </c>
      <c r="B1853">
        <v>44</v>
      </c>
      <c r="C1853">
        <v>3</v>
      </c>
      <c r="D1853">
        <v>35.96</v>
      </c>
      <c r="E1853">
        <v>3.6</v>
      </c>
      <c r="F1853">
        <v>0</v>
      </c>
      <c r="G1853">
        <v>0.1</v>
      </c>
      <c r="H1853" t="s">
        <v>622</v>
      </c>
      <c r="J1853" t="s">
        <v>623</v>
      </c>
      <c r="K1853" s="1"/>
      <c r="L1853" s="1">
        <v>46147.486921296295</v>
      </c>
      <c r="M1853" s="2">
        <v>46147</v>
      </c>
      <c r="N1853" t="s">
        <v>638</v>
      </c>
      <c r="O1853" t="s">
        <v>625</v>
      </c>
      <c r="P1853">
        <v>1</v>
      </c>
      <c r="Q1853">
        <v>0</v>
      </c>
      <c r="R1853">
        <v>35.96</v>
      </c>
      <c r="S1853" t="s">
        <v>84</v>
      </c>
      <c r="T1853" t="s">
        <v>777</v>
      </c>
    </row>
    <row r="1854" spans="1:20" x14ac:dyDescent="0.3">
      <c r="A1854">
        <v>1853</v>
      </c>
      <c r="B1854">
        <v>234</v>
      </c>
      <c r="C1854">
        <v>3</v>
      </c>
      <c r="D1854">
        <v>185.35</v>
      </c>
      <c r="E1854">
        <v>18.54</v>
      </c>
      <c r="F1854">
        <v>0</v>
      </c>
      <c r="G1854">
        <v>0.1</v>
      </c>
      <c r="H1854" t="s">
        <v>622</v>
      </c>
      <c r="J1854" t="s">
        <v>623</v>
      </c>
      <c r="K1854" s="1"/>
      <c r="L1854" s="1">
        <v>46147.500185185185</v>
      </c>
      <c r="M1854" s="2">
        <v>46147</v>
      </c>
      <c r="N1854" t="s">
        <v>638</v>
      </c>
      <c r="O1854" t="s">
        <v>625</v>
      </c>
      <c r="P1854">
        <v>1</v>
      </c>
      <c r="Q1854">
        <v>0</v>
      </c>
      <c r="R1854">
        <v>185.35</v>
      </c>
      <c r="S1854" t="s">
        <v>463</v>
      </c>
      <c r="T1854" t="s">
        <v>777</v>
      </c>
    </row>
    <row r="1855" spans="1:20" x14ac:dyDescent="0.3">
      <c r="A1855">
        <v>1854</v>
      </c>
      <c r="B1855">
        <v>229</v>
      </c>
      <c r="C1855">
        <v>5</v>
      </c>
      <c r="D1855">
        <v>84.91</v>
      </c>
      <c r="E1855">
        <v>8.49</v>
      </c>
      <c r="F1855">
        <v>0</v>
      </c>
      <c r="G1855">
        <v>0.1</v>
      </c>
      <c r="H1855" t="s">
        <v>622</v>
      </c>
      <c r="J1855" t="s">
        <v>623</v>
      </c>
      <c r="K1855" s="1"/>
      <c r="L1855" s="1">
        <v>46147.548993055556</v>
      </c>
      <c r="M1855" s="2">
        <v>46147</v>
      </c>
      <c r="N1855" t="s">
        <v>638</v>
      </c>
      <c r="O1855" t="s">
        <v>625</v>
      </c>
      <c r="P1855">
        <v>1</v>
      </c>
      <c r="Q1855">
        <v>0</v>
      </c>
      <c r="R1855">
        <v>84.91</v>
      </c>
      <c r="S1855" t="s">
        <v>453</v>
      </c>
      <c r="T1855" t="s">
        <v>779</v>
      </c>
    </row>
    <row r="1856" spans="1:20" x14ac:dyDescent="0.3">
      <c r="A1856">
        <v>1855</v>
      </c>
      <c r="B1856">
        <v>53</v>
      </c>
      <c r="C1856">
        <v>2</v>
      </c>
      <c r="D1856">
        <v>29.48</v>
      </c>
      <c r="E1856">
        <v>2.95</v>
      </c>
      <c r="F1856">
        <v>0</v>
      </c>
      <c r="G1856">
        <v>0.1</v>
      </c>
      <c r="H1856" t="s">
        <v>622</v>
      </c>
      <c r="J1856" t="s">
        <v>623</v>
      </c>
      <c r="K1856" s="1"/>
      <c r="L1856" s="1">
        <v>46147.681770833333</v>
      </c>
      <c r="M1856" s="2">
        <v>46147</v>
      </c>
      <c r="N1856" t="s">
        <v>638</v>
      </c>
      <c r="O1856" t="s">
        <v>625</v>
      </c>
      <c r="P1856">
        <v>1</v>
      </c>
      <c r="Q1856">
        <v>0</v>
      </c>
      <c r="R1856">
        <v>29.48</v>
      </c>
      <c r="S1856" t="s">
        <v>102</v>
      </c>
      <c r="T1856" t="s">
        <v>776</v>
      </c>
    </row>
    <row r="1857" spans="1:20" x14ac:dyDescent="0.3">
      <c r="A1857">
        <v>1856</v>
      </c>
      <c r="B1857">
        <v>158</v>
      </c>
      <c r="C1857">
        <v>3</v>
      </c>
      <c r="D1857">
        <v>33.82</v>
      </c>
      <c r="E1857">
        <v>3.38</v>
      </c>
      <c r="F1857">
        <v>0</v>
      </c>
      <c r="G1857">
        <v>0.1</v>
      </c>
      <c r="H1857" t="s">
        <v>622</v>
      </c>
      <c r="J1857" t="s">
        <v>623</v>
      </c>
      <c r="K1857" s="1"/>
      <c r="L1857" s="1">
        <v>46147.731874999998</v>
      </c>
      <c r="M1857" s="2">
        <v>46147</v>
      </c>
      <c r="N1857" t="s">
        <v>638</v>
      </c>
      <c r="O1857" t="s">
        <v>625</v>
      </c>
      <c r="P1857">
        <v>1</v>
      </c>
      <c r="Q1857">
        <v>0</v>
      </c>
      <c r="R1857">
        <v>33.82</v>
      </c>
      <c r="S1857" t="s">
        <v>311</v>
      </c>
      <c r="T1857" t="s">
        <v>777</v>
      </c>
    </row>
    <row r="1858" spans="1:20" x14ac:dyDescent="0.3">
      <c r="A1858">
        <v>1857</v>
      </c>
      <c r="B1858">
        <v>229</v>
      </c>
      <c r="C1858">
        <v>5</v>
      </c>
      <c r="D1858">
        <v>101.49</v>
      </c>
      <c r="E1858">
        <v>10.15</v>
      </c>
      <c r="F1858">
        <v>0</v>
      </c>
      <c r="G1858">
        <v>0.1</v>
      </c>
      <c r="H1858" t="s">
        <v>622</v>
      </c>
      <c r="J1858" t="s">
        <v>623</v>
      </c>
      <c r="K1858" s="1"/>
      <c r="L1858" s="1">
        <v>46148.614201388889</v>
      </c>
      <c r="M1858" s="2">
        <v>46148</v>
      </c>
      <c r="N1858" t="s">
        <v>638</v>
      </c>
      <c r="O1858" t="s">
        <v>625</v>
      </c>
      <c r="P1858">
        <v>1</v>
      </c>
      <c r="Q1858">
        <v>0</v>
      </c>
      <c r="R1858">
        <v>101.49</v>
      </c>
      <c r="S1858" t="s">
        <v>453</v>
      </c>
      <c r="T1858" t="s">
        <v>779</v>
      </c>
    </row>
    <row r="1859" spans="1:20" x14ac:dyDescent="0.3">
      <c r="A1859">
        <v>1858</v>
      </c>
      <c r="B1859">
        <v>94</v>
      </c>
      <c r="C1859">
        <v>3</v>
      </c>
      <c r="D1859">
        <v>235.76</v>
      </c>
      <c r="E1859">
        <v>23.58</v>
      </c>
      <c r="F1859">
        <v>0</v>
      </c>
      <c r="G1859">
        <v>0.1</v>
      </c>
      <c r="H1859" t="s">
        <v>622</v>
      </c>
      <c r="J1859" t="s">
        <v>623</v>
      </c>
      <c r="K1859" s="1"/>
      <c r="L1859" s="1">
        <v>46148.6328125</v>
      </c>
      <c r="M1859" s="2">
        <v>46148</v>
      </c>
      <c r="N1859" t="s">
        <v>638</v>
      </c>
      <c r="O1859" t="s">
        <v>625</v>
      </c>
      <c r="P1859">
        <v>1</v>
      </c>
      <c r="Q1859">
        <v>0</v>
      </c>
      <c r="R1859">
        <v>235.76</v>
      </c>
      <c r="S1859" t="s">
        <v>183</v>
      </c>
      <c r="T1859" t="s">
        <v>777</v>
      </c>
    </row>
    <row r="1860" spans="1:20" x14ac:dyDescent="0.3">
      <c r="A1860">
        <v>1859</v>
      </c>
      <c r="B1860">
        <v>250</v>
      </c>
      <c r="C1860">
        <v>5</v>
      </c>
      <c r="D1860">
        <v>25</v>
      </c>
      <c r="E1860">
        <v>2.5</v>
      </c>
      <c r="F1860">
        <v>0</v>
      </c>
      <c r="G1860">
        <v>0.1</v>
      </c>
      <c r="H1860" t="s">
        <v>622</v>
      </c>
      <c r="J1860" t="s">
        <v>623</v>
      </c>
      <c r="K1860" s="1"/>
      <c r="L1860" s="1">
        <v>46149.318541666667</v>
      </c>
      <c r="M1860" s="2">
        <v>46149</v>
      </c>
      <c r="N1860" t="s">
        <v>638</v>
      </c>
      <c r="O1860" t="s">
        <v>625</v>
      </c>
      <c r="P1860">
        <v>1</v>
      </c>
      <c r="Q1860">
        <v>0</v>
      </c>
      <c r="R1860">
        <v>25</v>
      </c>
      <c r="S1860" t="s">
        <v>495</v>
      </c>
      <c r="T1860" t="s">
        <v>779</v>
      </c>
    </row>
    <row r="1861" spans="1:20" x14ac:dyDescent="0.3">
      <c r="A1861">
        <v>1860</v>
      </c>
      <c r="B1861">
        <v>234</v>
      </c>
      <c r="C1861">
        <v>4</v>
      </c>
      <c r="D1861">
        <v>117.34</v>
      </c>
      <c r="E1861">
        <v>11.73</v>
      </c>
      <c r="F1861">
        <v>0</v>
      </c>
      <c r="G1861">
        <v>0.1</v>
      </c>
      <c r="H1861" t="s">
        <v>622</v>
      </c>
      <c r="J1861" t="s">
        <v>623</v>
      </c>
      <c r="K1861" s="1"/>
      <c r="L1861" s="1">
        <v>46149.383240740739</v>
      </c>
      <c r="M1861" s="2">
        <v>46149</v>
      </c>
      <c r="N1861" t="s">
        <v>638</v>
      </c>
      <c r="O1861" t="s">
        <v>625</v>
      </c>
      <c r="P1861">
        <v>1</v>
      </c>
      <c r="Q1861">
        <v>0</v>
      </c>
      <c r="R1861">
        <v>117.34</v>
      </c>
      <c r="S1861" t="s">
        <v>463</v>
      </c>
      <c r="T1861" t="s">
        <v>778</v>
      </c>
    </row>
    <row r="1862" spans="1:20" x14ac:dyDescent="0.3">
      <c r="A1862">
        <v>1861</v>
      </c>
      <c r="B1862">
        <v>64</v>
      </c>
      <c r="C1862">
        <v>2</v>
      </c>
      <c r="D1862">
        <v>35.21</v>
      </c>
      <c r="E1862">
        <v>3.52</v>
      </c>
      <c r="F1862">
        <v>0</v>
      </c>
      <c r="G1862">
        <v>0.1</v>
      </c>
      <c r="H1862" t="s">
        <v>622</v>
      </c>
      <c r="J1862" t="s">
        <v>623</v>
      </c>
      <c r="K1862" s="1"/>
      <c r="L1862" s="1">
        <v>46149.439293981479</v>
      </c>
      <c r="M1862" s="2">
        <v>46149</v>
      </c>
      <c r="N1862" t="s">
        <v>638</v>
      </c>
      <c r="O1862" t="s">
        <v>625</v>
      </c>
      <c r="P1862">
        <v>1</v>
      </c>
      <c r="Q1862">
        <v>0</v>
      </c>
      <c r="R1862">
        <v>35.21</v>
      </c>
      <c r="S1862" t="s">
        <v>124</v>
      </c>
      <c r="T1862" t="s">
        <v>776</v>
      </c>
    </row>
    <row r="1863" spans="1:20" x14ac:dyDescent="0.3">
      <c r="A1863">
        <v>1862</v>
      </c>
      <c r="B1863">
        <v>136</v>
      </c>
      <c r="C1863">
        <v>4</v>
      </c>
      <c r="D1863">
        <v>74.28</v>
      </c>
      <c r="E1863">
        <v>7.43</v>
      </c>
      <c r="F1863">
        <v>0</v>
      </c>
      <c r="G1863">
        <v>0.1</v>
      </c>
      <c r="H1863" t="s">
        <v>622</v>
      </c>
      <c r="J1863" t="s">
        <v>623</v>
      </c>
      <c r="K1863" s="1"/>
      <c r="L1863" s="1">
        <v>46149.545555555553</v>
      </c>
      <c r="M1863" s="2">
        <v>46149</v>
      </c>
      <c r="N1863" t="s">
        <v>638</v>
      </c>
      <c r="O1863" t="s">
        <v>625</v>
      </c>
      <c r="P1863">
        <v>1</v>
      </c>
      <c r="Q1863">
        <v>0</v>
      </c>
      <c r="R1863">
        <v>74.28</v>
      </c>
      <c r="S1863" t="s">
        <v>267</v>
      </c>
      <c r="T1863" t="s">
        <v>778</v>
      </c>
    </row>
    <row r="1864" spans="1:20" x14ac:dyDescent="0.3">
      <c r="A1864">
        <v>1863</v>
      </c>
      <c r="B1864">
        <v>21</v>
      </c>
      <c r="C1864">
        <v>5</v>
      </c>
      <c r="D1864">
        <v>21.36</v>
      </c>
      <c r="E1864">
        <v>2.14</v>
      </c>
      <c r="F1864">
        <v>0</v>
      </c>
      <c r="G1864">
        <v>0.1</v>
      </c>
      <c r="H1864" t="s">
        <v>622</v>
      </c>
      <c r="J1864" t="s">
        <v>623</v>
      </c>
      <c r="K1864" s="1"/>
      <c r="L1864" s="1">
        <v>46149.577928240738</v>
      </c>
      <c r="M1864" s="2">
        <v>46149</v>
      </c>
      <c r="N1864" t="s">
        <v>638</v>
      </c>
      <c r="O1864" t="s">
        <v>625</v>
      </c>
      <c r="P1864">
        <v>1</v>
      </c>
      <c r="Q1864">
        <v>0</v>
      </c>
      <c r="R1864">
        <v>21.36</v>
      </c>
      <c r="S1864" t="s">
        <v>38</v>
      </c>
      <c r="T1864" t="s">
        <v>779</v>
      </c>
    </row>
    <row r="1865" spans="1:20" x14ac:dyDescent="0.3">
      <c r="A1865">
        <v>1864</v>
      </c>
      <c r="B1865">
        <v>229</v>
      </c>
      <c r="C1865">
        <v>4</v>
      </c>
      <c r="D1865">
        <v>83.45</v>
      </c>
      <c r="E1865">
        <v>8.35</v>
      </c>
      <c r="F1865">
        <v>0</v>
      </c>
      <c r="G1865">
        <v>0.1</v>
      </c>
      <c r="H1865" t="s">
        <v>622</v>
      </c>
      <c r="J1865" t="s">
        <v>623</v>
      </c>
      <c r="K1865" s="1"/>
      <c r="L1865" s="1">
        <v>46149.692384259259</v>
      </c>
      <c r="M1865" s="2">
        <v>46149</v>
      </c>
      <c r="N1865" t="s">
        <v>638</v>
      </c>
      <c r="O1865" t="s">
        <v>625</v>
      </c>
      <c r="P1865">
        <v>1</v>
      </c>
      <c r="Q1865">
        <v>0</v>
      </c>
      <c r="R1865">
        <v>83.45</v>
      </c>
      <c r="S1865" t="s">
        <v>453</v>
      </c>
      <c r="T1865" t="s">
        <v>778</v>
      </c>
    </row>
    <row r="1866" spans="1:20" x14ac:dyDescent="0.3">
      <c r="A1866">
        <v>1865</v>
      </c>
      <c r="B1866">
        <v>187</v>
      </c>
      <c r="C1866">
        <v>5</v>
      </c>
      <c r="D1866">
        <v>24.83</v>
      </c>
      <c r="E1866">
        <v>2.48</v>
      </c>
      <c r="F1866">
        <v>0</v>
      </c>
      <c r="G1866">
        <v>0.1</v>
      </c>
      <c r="H1866" t="s">
        <v>622</v>
      </c>
      <c r="J1866" t="s">
        <v>623</v>
      </c>
      <c r="K1866" s="1"/>
      <c r="L1866" s="1">
        <v>46149.778229166666</v>
      </c>
      <c r="M1866" s="2">
        <v>46149</v>
      </c>
      <c r="N1866" t="s">
        <v>638</v>
      </c>
      <c r="O1866" t="s">
        <v>625</v>
      </c>
      <c r="P1866">
        <v>1</v>
      </c>
      <c r="Q1866">
        <v>0</v>
      </c>
      <c r="R1866">
        <v>24.83</v>
      </c>
      <c r="S1866" t="s">
        <v>369</v>
      </c>
      <c r="T1866" t="s">
        <v>779</v>
      </c>
    </row>
    <row r="1867" spans="1:20" x14ac:dyDescent="0.3">
      <c r="A1867">
        <v>1866</v>
      </c>
      <c r="B1867">
        <v>221</v>
      </c>
      <c r="C1867">
        <v>5</v>
      </c>
      <c r="D1867">
        <v>107.78</v>
      </c>
      <c r="E1867">
        <v>10.78</v>
      </c>
      <c r="F1867">
        <v>0</v>
      </c>
      <c r="G1867">
        <v>0.1</v>
      </c>
      <c r="H1867" t="s">
        <v>622</v>
      </c>
      <c r="J1867" t="s">
        <v>623</v>
      </c>
      <c r="K1867" s="1"/>
      <c r="L1867" s="1">
        <v>46150.416284722225</v>
      </c>
      <c r="M1867" s="2">
        <v>46150</v>
      </c>
      <c r="N1867" t="s">
        <v>638</v>
      </c>
      <c r="O1867" t="s">
        <v>625</v>
      </c>
      <c r="P1867">
        <v>1</v>
      </c>
      <c r="Q1867">
        <v>0</v>
      </c>
      <c r="R1867">
        <v>107.78</v>
      </c>
      <c r="S1867" t="s">
        <v>437</v>
      </c>
      <c r="T1867" t="s">
        <v>779</v>
      </c>
    </row>
    <row r="1868" spans="1:20" x14ac:dyDescent="0.3">
      <c r="A1868">
        <v>1867</v>
      </c>
      <c r="B1868">
        <v>137</v>
      </c>
      <c r="C1868">
        <v>4</v>
      </c>
      <c r="D1868">
        <v>46.16</v>
      </c>
      <c r="E1868">
        <v>0</v>
      </c>
      <c r="F1868">
        <v>1</v>
      </c>
      <c r="G1868">
        <v>0.1</v>
      </c>
      <c r="H1868" t="s">
        <v>622</v>
      </c>
      <c r="J1868" t="s">
        <v>623</v>
      </c>
      <c r="K1868" s="1"/>
      <c r="L1868" s="1">
        <v>46150.478784722225</v>
      </c>
      <c r="M1868" s="2">
        <v>46150</v>
      </c>
      <c r="N1868" t="s">
        <v>638</v>
      </c>
      <c r="O1868" t="s">
        <v>629</v>
      </c>
      <c r="P1868">
        <v>1</v>
      </c>
      <c r="Q1868">
        <v>0</v>
      </c>
      <c r="R1868">
        <v>46.16</v>
      </c>
      <c r="S1868" t="s">
        <v>269</v>
      </c>
      <c r="T1868" t="s">
        <v>778</v>
      </c>
    </row>
    <row r="1869" spans="1:20" x14ac:dyDescent="0.3">
      <c r="A1869">
        <v>1868</v>
      </c>
      <c r="B1869">
        <v>250</v>
      </c>
      <c r="C1869">
        <v>4</v>
      </c>
      <c r="D1869">
        <v>87.87</v>
      </c>
      <c r="E1869">
        <v>8.7899999999999991</v>
      </c>
      <c r="F1869">
        <v>0</v>
      </c>
      <c r="G1869">
        <v>0.1</v>
      </c>
      <c r="H1869" t="s">
        <v>622</v>
      </c>
      <c r="J1869" t="s">
        <v>623</v>
      </c>
      <c r="K1869" s="1"/>
      <c r="L1869" s="1">
        <v>46150.705185185187</v>
      </c>
      <c r="M1869" s="2">
        <v>46150</v>
      </c>
      <c r="N1869" t="s">
        <v>638</v>
      </c>
      <c r="O1869" t="s">
        <v>625</v>
      </c>
      <c r="P1869">
        <v>1</v>
      </c>
      <c r="Q1869">
        <v>0</v>
      </c>
      <c r="R1869">
        <v>87.87</v>
      </c>
      <c r="S1869" t="s">
        <v>495</v>
      </c>
      <c r="T1869" t="s">
        <v>778</v>
      </c>
    </row>
    <row r="1870" spans="1:20" x14ac:dyDescent="0.3">
      <c r="A1870">
        <v>1869</v>
      </c>
      <c r="B1870">
        <v>47</v>
      </c>
      <c r="C1870">
        <v>2</v>
      </c>
      <c r="D1870">
        <v>35.01</v>
      </c>
      <c r="E1870">
        <v>3.5</v>
      </c>
      <c r="F1870">
        <v>0</v>
      </c>
      <c r="G1870">
        <v>0.1</v>
      </c>
      <c r="H1870" t="s">
        <v>622</v>
      </c>
      <c r="J1870" t="s">
        <v>623</v>
      </c>
      <c r="K1870" s="1"/>
      <c r="L1870" s="1">
        <v>46151.37777777778</v>
      </c>
      <c r="M1870" s="2">
        <v>46151</v>
      </c>
      <c r="N1870" t="s">
        <v>638</v>
      </c>
      <c r="O1870" t="s">
        <v>625</v>
      </c>
      <c r="P1870">
        <v>1</v>
      </c>
      <c r="Q1870">
        <v>0</v>
      </c>
      <c r="R1870">
        <v>35.01</v>
      </c>
      <c r="S1870" t="s">
        <v>90</v>
      </c>
      <c r="T1870" t="s">
        <v>776</v>
      </c>
    </row>
    <row r="1871" spans="1:20" x14ac:dyDescent="0.3">
      <c r="A1871">
        <v>1870</v>
      </c>
      <c r="B1871">
        <v>47</v>
      </c>
      <c r="C1871">
        <v>4</v>
      </c>
      <c r="D1871">
        <v>32.729999999999997</v>
      </c>
      <c r="E1871">
        <v>3.27</v>
      </c>
      <c r="F1871">
        <v>0</v>
      </c>
      <c r="G1871">
        <v>0.1</v>
      </c>
      <c r="H1871" t="s">
        <v>622</v>
      </c>
      <c r="J1871" t="s">
        <v>623</v>
      </c>
      <c r="K1871" s="1"/>
      <c r="L1871" s="1">
        <v>46151.385833333334</v>
      </c>
      <c r="M1871" s="2">
        <v>46151</v>
      </c>
      <c r="N1871" t="s">
        <v>638</v>
      </c>
      <c r="O1871" t="s">
        <v>625</v>
      </c>
      <c r="P1871">
        <v>1</v>
      </c>
      <c r="Q1871">
        <v>0</v>
      </c>
      <c r="R1871">
        <v>32.729999999999997</v>
      </c>
      <c r="S1871" t="s">
        <v>90</v>
      </c>
      <c r="T1871" t="s">
        <v>778</v>
      </c>
    </row>
    <row r="1872" spans="1:20" x14ac:dyDescent="0.3">
      <c r="A1872">
        <v>1871</v>
      </c>
      <c r="B1872">
        <v>137</v>
      </c>
      <c r="C1872">
        <v>3</v>
      </c>
      <c r="D1872">
        <v>45.7</v>
      </c>
      <c r="E1872">
        <v>4.57</v>
      </c>
      <c r="F1872">
        <v>0</v>
      </c>
      <c r="G1872">
        <v>0.1</v>
      </c>
      <c r="H1872" t="s">
        <v>622</v>
      </c>
      <c r="J1872" t="s">
        <v>623</v>
      </c>
      <c r="K1872" s="1"/>
      <c r="L1872" s="1">
        <v>46151.408043981479</v>
      </c>
      <c r="M1872" s="2">
        <v>46151</v>
      </c>
      <c r="N1872" t="s">
        <v>638</v>
      </c>
      <c r="O1872" t="s">
        <v>625</v>
      </c>
      <c r="P1872">
        <v>1</v>
      </c>
      <c r="Q1872">
        <v>0</v>
      </c>
      <c r="R1872">
        <v>45.7</v>
      </c>
      <c r="S1872" t="s">
        <v>269</v>
      </c>
      <c r="T1872" t="s">
        <v>777</v>
      </c>
    </row>
    <row r="1873" spans="1:20" x14ac:dyDescent="0.3">
      <c r="A1873">
        <v>1872</v>
      </c>
      <c r="B1873">
        <v>89</v>
      </c>
      <c r="C1873">
        <v>2</v>
      </c>
      <c r="D1873">
        <v>143.9</v>
      </c>
      <c r="E1873">
        <v>14.39</v>
      </c>
      <c r="F1873">
        <v>0</v>
      </c>
      <c r="G1873">
        <v>0.1</v>
      </c>
      <c r="H1873" t="s">
        <v>622</v>
      </c>
      <c r="J1873" t="s">
        <v>623</v>
      </c>
      <c r="K1873" s="1"/>
      <c r="L1873" s="1">
        <v>46151.455625000002</v>
      </c>
      <c r="M1873" s="2">
        <v>46151</v>
      </c>
      <c r="N1873" t="s">
        <v>638</v>
      </c>
      <c r="O1873" t="s">
        <v>625</v>
      </c>
      <c r="P1873">
        <v>1</v>
      </c>
      <c r="Q1873">
        <v>0</v>
      </c>
      <c r="R1873">
        <v>143.9</v>
      </c>
      <c r="S1873" t="s">
        <v>173</v>
      </c>
      <c r="T1873" t="s">
        <v>776</v>
      </c>
    </row>
    <row r="1874" spans="1:20" x14ac:dyDescent="0.3">
      <c r="A1874">
        <v>1873</v>
      </c>
      <c r="B1874">
        <v>65</v>
      </c>
      <c r="C1874">
        <v>5</v>
      </c>
      <c r="D1874">
        <v>32.78</v>
      </c>
      <c r="E1874">
        <v>3.28</v>
      </c>
      <c r="F1874">
        <v>0</v>
      </c>
      <c r="G1874">
        <v>0.1</v>
      </c>
      <c r="H1874" t="s">
        <v>622</v>
      </c>
      <c r="J1874" t="s">
        <v>623</v>
      </c>
      <c r="K1874" s="1"/>
      <c r="L1874" s="1">
        <v>46151.504178240742</v>
      </c>
      <c r="M1874" s="2">
        <v>46151</v>
      </c>
      <c r="N1874" t="s">
        <v>638</v>
      </c>
      <c r="O1874" t="s">
        <v>625</v>
      </c>
      <c r="P1874">
        <v>1</v>
      </c>
      <c r="Q1874">
        <v>0</v>
      </c>
      <c r="R1874">
        <v>32.78</v>
      </c>
      <c r="S1874" t="s">
        <v>126</v>
      </c>
      <c r="T1874" t="s">
        <v>779</v>
      </c>
    </row>
    <row r="1875" spans="1:20" x14ac:dyDescent="0.3">
      <c r="A1875">
        <v>1874</v>
      </c>
      <c r="B1875">
        <v>39</v>
      </c>
      <c r="C1875">
        <v>5</v>
      </c>
      <c r="D1875">
        <v>300</v>
      </c>
      <c r="E1875">
        <v>30</v>
      </c>
      <c r="F1875">
        <v>0</v>
      </c>
      <c r="G1875">
        <v>0.1</v>
      </c>
      <c r="H1875" t="s">
        <v>622</v>
      </c>
      <c r="J1875" t="s">
        <v>623</v>
      </c>
      <c r="K1875" s="1"/>
      <c r="L1875" s="1">
        <v>46151.585902777777</v>
      </c>
      <c r="M1875" s="2">
        <v>46151</v>
      </c>
      <c r="N1875" t="s">
        <v>638</v>
      </c>
      <c r="O1875" t="s">
        <v>625</v>
      </c>
      <c r="P1875">
        <v>1</v>
      </c>
      <c r="Q1875">
        <v>0</v>
      </c>
      <c r="R1875">
        <v>300</v>
      </c>
      <c r="S1875" t="s">
        <v>74</v>
      </c>
      <c r="T1875" t="s">
        <v>779</v>
      </c>
    </row>
    <row r="1876" spans="1:20" x14ac:dyDescent="0.3">
      <c r="A1876">
        <v>1875</v>
      </c>
      <c r="B1876">
        <v>201</v>
      </c>
      <c r="C1876">
        <v>2</v>
      </c>
      <c r="D1876">
        <v>33.74</v>
      </c>
      <c r="E1876">
        <v>3.37</v>
      </c>
      <c r="F1876">
        <v>0</v>
      </c>
      <c r="G1876">
        <v>0.1</v>
      </c>
      <c r="H1876" t="s">
        <v>622</v>
      </c>
      <c r="J1876" t="s">
        <v>623</v>
      </c>
      <c r="K1876" s="1"/>
      <c r="L1876" s="1">
        <v>46151.586365740739</v>
      </c>
      <c r="M1876" s="2">
        <v>46151</v>
      </c>
      <c r="N1876" t="s">
        <v>638</v>
      </c>
      <c r="O1876" t="s">
        <v>625</v>
      </c>
      <c r="P1876">
        <v>1</v>
      </c>
      <c r="Q1876">
        <v>0</v>
      </c>
      <c r="R1876">
        <v>33.74</v>
      </c>
      <c r="S1876" t="s">
        <v>397</v>
      </c>
      <c r="T1876" t="s">
        <v>776</v>
      </c>
    </row>
    <row r="1877" spans="1:20" x14ac:dyDescent="0.3">
      <c r="A1877">
        <v>1876</v>
      </c>
      <c r="B1877">
        <v>262</v>
      </c>
      <c r="C1877">
        <v>3</v>
      </c>
      <c r="D1877">
        <v>89.94</v>
      </c>
      <c r="E1877">
        <v>8.99</v>
      </c>
      <c r="F1877">
        <v>0</v>
      </c>
      <c r="G1877">
        <v>0.1</v>
      </c>
      <c r="H1877" t="s">
        <v>622</v>
      </c>
      <c r="J1877" t="s">
        <v>623</v>
      </c>
      <c r="K1877" s="1"/>
      <c r="L1877" s="1">
        <v>46151.586840277778</v>
      </c>
      <c r="M1877" s="2">
        <v>46151</v>
      </c>
      <c r="N1877" t="s">
        <v>638</v>
      </c>
      <c r="O1877" t="s">
        <v>625</v>
      </c>
      <c r="P1877">
        <v>1</v>
      </c>
      <c r="Q1877">
        <v>0</v>
      </c>
      <c r="R1877">
        <v>89.94</v>
      </c>
      <c r="S1877" t="s">
        <v>519</v>
      </c>
      <c r="T1877" t="s">
        <v>777</v>
      </c>
    </row>
    <row r="1878" spans="1:20" x14ac:dyDescent="0.3">
      <c r="A1878">
        <v>1877</v>
      </c>
      <c r="B1878">
        <v>252</v>
      </c>
      <c r="C1878">
        <v>2</v>
      </c>
      <c r="D1878">
        <v>29.15</v>
      </c>
      <c r="E1878">
        <v>2.92</v>
      </c>
      <c r="F1878">
        <v>0</v>
      </c>
      <c r="G1878">
        <v>0.1</v>
      </c>
      <c r="H1878" t="s">
        <v>622</v>
      </c>
      <c r="J1878" t="s">
        <v>623</v>
      </c>
      <c r="K1878" s="1"/>
      <c r="L1878" s="1">
        <v>46151.600162037037</v>
      </c>
      <c r="M1878" s="2">
        <v>46151</v>
      </c>
      <c r="N1878" t="s">
        <v>638</v>
      </c>
      <c r="O1878" t="s">
        <v>625</v>
      </c>
      <c r="P1878">
        <v>1</v>
      </c>
      <c r="Q1878">
        <v>0</v>
      </c>
      <c r="R1878">
        <v>29.15</v>
      </c>
      <c r="S1878" t="s">
        <v>499</v>
      </c>
      <c r="T1878" t="s">
        <v>776</v>
      </c>
    </row>
    <row r="1879" spans="1:20" x14ac:dyDescent="0.3">
      <c r="A1879">
        <v>1878</v>
      </c>
      <c r="B1879">
        <v>232</v>
      </c>
      <c r="C1879">
        <v>2</v>
      </c>
      <c r="D1879">
        <v>28.19</v>
      </c>
      <c r="E1879">
        <v>2.82</v>
      </c>
      <c r="F1879">
        <v>0</v>
      </c>
      <c r="G1879">
        <v>0.1</v>
      </c>
      <c r="H1879" t="s">
        <v>622</v>
      </c>
      <c r="J1879" t="s">
        <v>623</v>
      </c>
      <c r="K1879" s="1"/>
      <c r="L1879" s="1">
        <v>46151.640983796293</v>
      </c>
      <c r="M1879" s="2">
        <v>46151</v>
      </c>
      <c r="N1879" t="s">
        <v>638</v>
      </c>
      <c r="O1879" t="s">
        <v>625</v>
      </c>
      <c r="P1879">
        <v>1</v>
      </c>
      <c r="Q1879">
        <v>0</v>
      </c>
      <c r="R1879">
        <v>28.19</v>
      </c>
      <c r="S1879" t="s">
        <v>459</v>
      </c>
      <c r="T1879" t="s">
        <v>776</v>
      </c>
    </row>
    <row r="1880" spans="1:20" x14ac:dyDescent="0.3">
      <c r="A1880">
        <v>1879</v>
      </c>
      <c r="B1880">
        <v>39</v>
      </c>
      <c r="C1880">
        <v>2</v>
      </c>
      <c r="D1880">
        <v>173.22</v>
      </c>
      <c r="E1880">
        <v>17.32</v>
      </c>
      <c r="F1880">
        <v>0</v>
      </c>
      <c r="G1880">
        <v>0.1</v>
      </c>
      <c r="H1880" t="s">
        <v>622</v>
      </c>
      <c r="J1880" t="s">
        <v>623</v>
      </c>
      <c r="K1880" s="1"/>
      <c r="L1880" s="1">
        <v>46151.665381944447</v>
      </c>
      <c r="M1880" s="2">
        <v>46151</v>
      </c>
      <c r="N1880" t="s">
        <v>638</v>
      </c>
      <c r="O1880" t="s">
        <v>625</v>
      </c>
      <c r="P1880">
        <v>1</v>
      </c>
      <c r="Q1880">
        <v>0</v>
      </c>
      <c r="R1880">
        <v>173.22</v>
      </c>
      <c r="S1880" t="s">
        <v>74</v>
      </c>
      <c r="T1880" t="s">
        <v>776</v>
      </c>
    </row>
    <row r="1881" spans="1:20" x14ac:dyDescent="0.3">
      <c r="A1881">
        <v>1880</v>
      </c>
      <c r="B1881">
        <v>40</v>
      </c>
      <c r="C1881">
        <v>4</v>
      </c>
      <c r="D1881">
        <v>99.48</v>
      </c>
      <c r="E1881">
        <v>9.9499999999999993</v>
      </c>
      <c r="F1881">
        <v>0</v>
      </c>
      <c r="G1881">
        <v>0.1</v>
      </c>
      <c r="H1881" t="s">
        <v>622</v>
      </c>
      <c r="J1881" t="s">
        <v>623</v>
      </c>
      <c r="K1881" s="1"/>
      <c r="L1881" s="1">
        <v>46151.733391203707</v>
      </c>
      <c r="M1881" s="2">
        <v>46151</v>
      </c>
      <c r="N1881" t="s">
        <v>638</v>
      </c>
      <c r="O1881" t="s">
        <v>625</v>
      </c>
      <c r="P1881">
        <v>1</v>
      </c>
      <c r="Q1881">
        <v>0</v>
      </c>
      <c r="R1881">
        <v>99.48</v>
      </c>
      <c r="S1881" t="s">
        <v>76</v>
      </c>
      <c r="T1881" t="s">
        <v>778</v>
      </c>
    </row>
    <row r="1882" spans="1:20" x14ac:dyDescent="0.3">
      <c r="A1882">
        <v>1881</v>
      </c>
      <c r="B1882">
        <v>250</v>
      </c>
      <c r="C1882">
        <v>4</v>
      </c>
      <c r="D1882">
        <v>78.12</v>
      </c>
      <c r="E1882">
        <v>7.81</v>
      </c>
      <c r="F1882">
        <v>0</v>
      </c>
      <c r="G1882">
        <v>0.1</v>
      </c>
      <c r="H1882" t="s">
        <v>622</v>
      </c>
      <c r="J1882" t="s">
        <v>623</v>
      </c>
      <c r="K1882" s="1"/>
      <c r="L1882" s="1">
        <v>46151.827789351853</v>
      </c>
      <c r="M1882" s="2">
        <v>46151</v>
      </c>
      <c r="N1882" t="s">
        <v>638</v>
      </c>
      <c r="O1882" t="s">
        <v>625</v>
      </c>
      <c r="P1882">
        <v>1</v>
      </c>
      <c r="Q1882">
        <v>0</v>
      </c>
      <c r="R1882">
        <v>78.12</v>
      </c>
      <c r="S1882" t="s">
        <v>495</v>
      </c>
      <c r="T1882" t="s">
        <v>778</v>
      </c>
    </row>
    <row r="1883" spans="1:20" x14ac:dyDescent="0.3">
      <c r="A1883">
        <v>1882</v>
      </c>
      <c r="B1883">
        <v>39</v>
      </c>
      <c r="C1883">
        <v>4</v>
      </c>
      <c r="D1883">
        <v>223.01</v>
      </c>
      <c r="E1883">
        <v>22.3</v>
      </c>
      <c r="F1883">
        <v>0</v>
      </c>
      <c r="G1883">
        <v>0.1</v>
      </c>
      <c r="H1883" t="s">
        <v>622</v>
      </c>
      <c r="J1883" t="s">
        <v>623</v>
      </c>
      <c r="K1883" s="1"/>
      <c r="L1883" s="1">
        <v>46152.377222222225</v>
      </c>
      <c r="M1883" s="2">
        <v>46152</v>
      </c>
      <c r="N1883" t="s">
        <v>638</v>
      </c>
      <c r="O1883" t="s">
        <v>625</v>
      </c>
      <c r="P1883">
        <v>1</v>
      </c>
      <c r="Q1883">
        <v>0</v>
      </c>
      <c r="R1883">
        <v>223.01</v>
      </c>
      <c r="S1883" t="s">
        <v>74</v>
      </c>
      <c r="T1883" t="s">
        <v>778</v>
      </c>
    </row>
    <row r="1884" spans="1:20" x14ac:dyDescent="0.3">
      <c r="A1884">
        <v>1883</v>
      </c>
      <c r="B1884">
        <v>273</v>
      </c>
      <c r="C1884">
        <v>5</v>
      </c>
      <c r="D1884">
        <v>27.09</v>
      </c>
      <c r="E1884">
        <v>2.71</v>
      </c>
      <c r="F1884">
        <v>0</v>
      </c>
      <c r="G1884">
        <v>0.1</v>
      </c>
      <c r="H1884" t="s">
        <v>622</v>
      </c>
      <c r="J1884" t="s">
        <v>623</v>
      </c>
      <c r="K1884" s="1"/>
      <c r="L1884" s="1">
        <v>46152.486377314817</v>
      </c>
      <c r="M1884" s="2">
        <v>46152</v>
      </c>
      <c r="N1884" t="s">
        <v>638</v>
      </c>
      <c r="O1884" t="s">
        <v>625</v>
      </c>
      <c r="P1884">
        <v>1</v>
      </c>
      <c r="Q1884">
        <v>0</v>
      </c>
      <c r="R1884">
        <v>27.09</v>
      </c>
      <c r="S1884" t="s">
        <v>541</v>
      </c>
      <c r="T1884" t="s">
        <v>779</v>
      </c>
    </row>
    <row r="1885" spans="1:20" x14ac:dyDescent="0.3">
      <c r="A1885">
        <v>1884</v>
      </c>
      <c r="B1885">
        <v>197</v>
      </c>
      <c r="C1885">
        <v>5</v>
      </c>
      <c r="D1885">
        <v>88.93</v>
      </c>
      <c r="E1885">
        <v>8.89</v>
      </c>
      <c r="F1885">
        <v>0</v>
      </c>
      <c r="G1885">
        <v>0.1</v>
      </c>
      <c r="H1885" t="s">
        <v>622</v>
      </c>
      <c r="J1885" t="s">
        <v>623</v>
      </c>
      <c r="K1885" s="1"/>
      <c r="L1885" s="1">
        <v>46152.625636574077</v>
      </c>
      <c r="M1885" s="2">
        <v>46152</v>
      </c>
      <c r="N1885" t="s">
        <v>638</v>
      </c>
      <c r="O1885" t="s">
        <v>625</v>
      </c>
      <c r="P1885">
        <v>1</v>
      </c>
      <c r="Q1885">
        <v>0</v>
      </c>
      <c r="R1885">
        <v>88.93</v>
      </c>
      <c r="S1885" t="s">
        <v>389</v>
      </c>
      <c r="T1885" t="s">
        <v>779</v>
      </c>
    </row>
    <row r="1886" spans="1:20" x14ac:dyDescent="0.3">
      <c r="A1886">
        <v>1885</v>
      </c>
      <c r="B1886">
        <v>39</v>
      </c>
      <c r="C1886">
        <v>5</v>
      </c>
      <c r="D1886">
        <v>111.47</v>
      </c>
      <c r="E1886">
        <v>11.15</v>
      </c>
      <c r="F1886">
        <v>0</v>
      </c>
      <c r="G1886">
        <v>0.1</v>
      </c>
      <c r="H1886" t="s">
        <v>622</v>
      </c>
      <c r="J1886" t="s">
        <v>623</v>
      </c>
      <c r="K1886" s="1"/>
      <c r="L1886" s="1">
        <v>46153.292245370372</v>
      </c>
      <c r="M1886" s="2">
        <v>46153</v>
      </c>
      <c r="N1886" t="s">
        <v>638</v>
      </c>
      <c r="O1886" t="s">
        <v>625</v>
      </c>
      <c r="P1886">
        <v>1</v>
      </c>
      <c r="Q1886">
        <v>0</v>
      </c>
      <c r="R1886">
        <v>111.47</v>
      </c>
      <c r="S1886" t="s">
        <v>74</v>
      </c>
      <c r="T1886" t="s">
        <v>779</v>
      </c>
    </row>
    <row r="1887" spans="1:20" x14ac:dyDescent="0.3">
      <c r="A1887">
        <v>1886</v>
      </c>
      <c r="B1887">
        <v>21</v>
      </c>
      <c r="C1887">
        <v>3</v>
      </c>
      <c r="D1887">
        <v>23.43</v>
      </c>
      <c r="E1887">
        <v>0</v>
      </c>
      <c r="F1887">
        <v>1</v>
      </c>
      <c r="G1887">
        <v>0.1</v>
      </c>
      <c r="H1887" t="s">
        <v>622</v>
      </c>
      <c r="J1887" t="s">
        <v>623</v>
      </c>
      <c r="K1887" s="1"/>
      <c r="L1887" s="1">
        <v>46153.338043981479</v>
      </c>
      <c r="M1887" s="2">
        <v>46153</v>
      </c>
      <c r="N1887" t="s">
        <v>638</v>
      </c>
      <c r="O1887" t="s">
        <v>629</v>
      </c>
      <c r="P1887">
        <v>1</v>
      </c>
      <c r="Q1887">
        <v>0</v>
      </c>
      <c r="R1887">
        <v>23.43</v>
      </c>
      <c r="S1887" t="s">
        <v>38</v>
      </c>
      <c r="T1887" t="s">
        <v>777</v>
      </c>
    </row>
    <row r="1888" spans="1:20" x14ac:dyDescent="0.3">
      <c r="A1888">
        <v>1887</v>
      </c>
      <c r="B1888">
        <v>39</v>
      </c>
      <c r="C1888">
        <v>2</v>
      </c>
      <c r="D1888">
        <v>131.32</v>
      </c>
      <c r="E1888">
        <v>13.13</v>
      </c>
      <c r="F1888">
        <v>0</v>
      </c>
      <c r="G1888">
        <v>0.1</v>
      </c>
      <c r="H1888" t="s">
        <v>622</v>
      </c>
      <c r="J1888" t="s">
        <v>623</v>
      </c>
      <c r="K1888" s="1"/>
      <c r="L1888" s="1">
        <v>46153.369467592594</v>
      </c>
      <c r="M1888" s="2">
        <v>46153</v>
      </c>
      <c r="N1888" t="s">
        <v>638</v>
      </c>
      <c r="O1888" t="s">
        <v>625</v>
      </c>
      <c r="P1888">
        <v>1</v>
      </c>
      <c r="Q1888">
        <v>0</v>
      </c>
      <c r="R1888">
        <v>131.32</v>
      </c>
      <c r="S1888" t="s">
        <v>74</v>
      </c>
      <c r="T1888" t="s">
        <v>776</v>
      </c>
    </row>
    <row r="1889" spans="1:20" x14ac:dyDescent="0.3">
      <c r="A1889">
        <v>1888</v>
      </c>
      <c r="B1889">
        <v>39</v>
      </c>
      <c r="C1889">
        <v>4</v>
      </c>
      <c r="D1889">
        <v>103.69</v>
      </c>
      <c r="E1889">
        <v>10.37</v>
      </c>
      <c r="F1889">
        <v>0</v>
      </c>
      <c r="G1889">
        <v>0.1</v>
      </c>
      <c r="H1889" t="s">
        <v>622</v>
      </c>
      <c r="J1889" t="s">
        <v>623</v>
      </c>
      <c r="K1889" s="1"/>
      <c r="L1889" s="1">
        <v>46153.493136574078</v>
      </c>
      <c r="M1889" s="2">
        <v>46153</v>
      </c>
      <c r="N1889" t="s">
        <v>638</v>
      </c>
      <c r="O1889" t="s">
        <v>625</v>
      </c>
      <c r="P1889">
        <v>1</v>
      </c>
      <c r="Q1889">
        <v>0</v>
      </c>
      <c r="R1889">
        <v>103.69</v>
      </c>
      <c r="S1889" t="s">
        <v>74</v>
      </c>
      <c r="T1889" t="s">
        <v>778</v>
      </c>
    </row>
    <row r="1890" spans="1:20" x14ac:dyDescent="0.3">
      <c r="A1890">
        <v>1889</v>
      </c>
      <c r="B1890">
        <v>144</v>
      </c>
      <c r="C1890">
        <v>5</v>
      </c>
      <c r="D1890">
        <v>57.71</v>
      </c>
      <c r="E1890">
        <v>5.77</v>
      </c>
      <c r="F1890">
        <v>0</v>
      </c>
      <c r="G1890">
        <v>0.1</v>
      </c>
      <c r="H1890" t="s">
        <v>622</v>
      </c>
      <c r="J1890" t="s">
        <v>623</v>
      </c>
      <c r="K1890" s="1"/>
      <c r="L1890" s="1">
        <v>46153.504513888889</v>
      </c>
      <c r="M1890" s="2">
        <v>46153</v>
      </c>
      <c r="N1890" t="s">
        <v>638</v>
      </c>
      <c r="O1890" t="s">
        <v>625</v>
      </c>
      <c r="P1890">
        <v>1</v>
      </c>
      <c r="Q1890">
        <v>0</v>
      </c>
      <c r="R1890">
        <v>57.71</v>
      </c>
      <c r="S1890" t="s">
        <v>283</v>
      </c>
      <c r="T1890" t="s">
        <v>779</v>
      </c>
    </row>
    <row r="1891" spans="1:20" x14ac:dyDescent="0.3">
      <c r="A1891">
        <v>1890</v>
      </c>
      <c r="B1891">
        <v>22</v>
      </c>
      <c r="C1891">
        <v>2</v>
      </c>
      <c r="D1891">
        <v>137.32</v>
      </c>
      <c r="E1891">
        <v>13.73</v>
      </c>
      <c r="F1891">
        <v>0</v>
      </c>
      <c r="G1891">
        <v>0.1</v>
      </c>
      <c r="H1891" t="s">
        <v>622</v>
      </c>
      <c r="J1891" t="s">
        <v>623</v>
      </c>
      <c r="K1891" s="1"/>
      <c r="L1891" s="1">
        <v>46153.522488425922</v>
      </c>
      <c r="M1891" s="2">
        <v>46153</v>
      </c>
      <c r="N1891" t="s">
        <v>638</v>
      </c>
      <c r="O1891" t="s">
        <v>625</v>
      </c>
      <c r="P1891">
        <v>1</v>
      </c>
      <c r="Q1891">
        <v>0</v>
      </c>
      <c r="R1891">
        <v>137.32</v>
      </c>
      <c r="S1891" t="s">
        <v>40</v>
      </c>
      <c r="T1891" t="s">
        <v>776</v>
      </c>
    </row>
    <row r="1892" spans="1:20" x14ac:dyDescent="0.3">
      <c r="A1892">
        <v>1891</v>
      </c>
      <c r="B1892">
        <v>156</v>
      </c>
      <c r="C1892">
        <v>2</v>
      </c>
      <c r="D1892">
        <v>34.340000000000003</v>
      </c>
      <c r="E1892">
        <v>3.43</v>
      </c>
      <c r="F1892">
        <v>0</v>
      </c>
      <c r="G1892">
        <v>0.1</v>
      </c>
      <c r="H1892" t="s">
        <v>622</v>
      </c>
      <c r="J1892" t="s">
        <v>623</v>
      </c>
      <c r="K1892" s="1"/>
      <c r="L1892" s="1">
        <v>46153.549722222226</v>
      </c>
      <c r="M1892" s="2">
        <v>46153</v>
      </c>
      <c r="N1892" t="s">
        <v>638</v>
      </c>
      <c r="O1892" t="s">
        <v>625</v>
      </c>
      <c r="P1892">
        <v>1</v>
      </c>
      <c r="Q1892">
        <v>0</v>
      </c>
      <c r="R1892">
        <v>34.340000000000003</v>
      </c>
      <c r="S1892" t="s">
        <v>307</v>
      </c>
      <c r="T1892" t="s">
        <v>776</v>
      </c>
    </row>
    <row r="1893" spans="1:20" x14ac:dyDescent="0.3">
      <c r="A1893">
        <v>1892</v>
      </c>
      <c r="B1893">
        <v>229</v>
      </c>
      <c r="C1893">
        <v>4</v>
      </c>
      <c r="D1893">
        <v>94.54</v>
      </c>
      <c r="E1893">
        <v>9.4499999999999993</v>
      </c>
      <c r="F1893">
        <v>0</v>
      </c>
      <c r="G1893">
        <v>0.1</v>
      </c>
      <c r="H1893" t="s">
        <v>622</v>
      </c>
      <c r="J1893" t="s">
        <v>623</v>
      </c>
      <c r="K1893" s="1"/>
      <c r="L1893" s="1">
        <v>46153.560034722221</v>
      </c>
      <c r="M1893" s="2">
        <v>46153</v>
      </c>
      <c r="N1893" t="s">
        <v>638</v>
      </c>
      <c r="O1893" t="s">
        <v>625</v>
      </c>
      <c r="P1893">
        <v>1</v>
      </c>
      <c r="Q1893">
        <v>0</v>
      </c>
      <c r="R1893">
        <v>94.54</v>
      </c>
      <c r="S1893" t="s">
        <v>453</v>
      </c>
      <c r="T1893" t="s">
        <v>778</v>
      </c>
    </row>
    <row r="1894" spans="1:20" x14ac:dyDescent="0.3">
      <c r="A1894">
        <v>1893</v>
      </c>
      <c r="B1894">
        <v>39</v>
      </c>
      <c r="C1894">
        <v>4</v>
      </c>
      <c r="D1894">
        <v>109.76</v>
      </c>
      <c r="E1894">
        <v>10.98</v>
      </c>
      <c r="F1894">
        <v>0</v>
      </c>
      <c r="G1894">
        <v>0.1</v>
      </c>
      <c r="H1894" t="s">
        <v>622</v>
      </c>
      <c r="J1894" t="s">
        <v>623</v>
      </c>
      <c r="K1894" s="1"/>
      <c r="L1894" s="1">
        <v>46153.651331018518</v>
      </c>
      <c r="M1894" s="2">
        <v>46153</v>
      </c>
      <c r="N1894" t="s">
        <v>638</v>
      </c>
      <c r="O1894" t="s">
        <v>625</v>
      </c>
      <c r="P1894">
        <v>1</v>
      </c>
      <c r="Q1894">
        <v>0</v>
      </c>
      <c r="R1894">
        <v>109.76</v>
      </c>
      <c r="S1894" t="s">
        <v>74</v>
      </c>
      <c r="T1894" t="s">
        <v>778</v>
      </c>
    </row>
    <row r="1895" spans="1:20" x14ac:dyDescent="0.3">
      <c r="A1895">
        <v>1894</v>
      </c>
      <c r="B1895">
        <v>178</v>
      </c>
      <c r="C1895">
        <v>4</v>
      </c>
      <c r="D1895">
        <v>300</v>
      </c>
      <c r="E1895">
        <v>30</v>
      </c>
      <c r="F1895">
        <v>0</v>
      </c>
      <c r="G1895">
        <v>0.1</v>
      </c>
      <c r="H1895" t="s">
        <v>622</v>
      </c>
      <c r="J1895" t="s">
        <v>623</v>
      </c>
      <c r="K1895" s="1"/>
      <c r="L1895" s="1">
        <v>46153.651805555557</v>
      </c>
      <c r="M1895" s="2">
        <v>46153</v>
      </c>
      <c r="N1895" t="s">
        <v>638</v>
      </c>
      <c r="O1895" t="s">
        <v>625</v>
      </c>
      <c r="P1895">
        <v>1</v>
      </c>
      <c r="Q1895">
        <v>0</v>
      </c>
      <c r="R1895">
        <v>300</v>
      </c>
      <c r="S1895" t="s">
        <v>351</v>
      </c>
      <c r="T1895" t="s">
        <v>778</v>
      </c>
    </row>
    <row r="1896" spans="1:20" x14ac:dyDescent="0.3">
      <c r="A1896">
        <v>1895</v>
      </c>
      <c r="B1896">
        <v>7</v>
      </c>
      <c r="C1896">
        <v>5</v>
      </c>
      <c r="D1896">
        <v>80.09</v>
      </c>
      <c r="E1896">
        <v>0</v>
      </c>
      <c r="F1896">
        <v>1</v>
      </c>
      <c r="G1896">
        <v>0.1</v>
      </c>
      <c r="H1896" t="s">
        <v>622</v>
      </c>
      <c r="J1896" t="s">
        <v>623</v>
      </c>
      <c r="K1896" s="1"/>
      <c r="L1896" s="1">
        <v>46153.682245370372</v>
      </c>
      <c r="M1896" s="2">
        <v>46153</v>
      </c>
      <c r="N1896" t="s">
        <v>638</v>
      </c>
      <c r="O1896" t="s">
        <v>629</v>
      </c>
      <c r="P1896">
        <v>1</v>
      </c>
      <c r="Q1896">
        <v>0</v>
      </c>
      <c r="R1896">
        <v>80.09</v>
      </c>
      <c r="S1896" t="s">
        <v>10</v>
      </c>
      <c r="T1896" t="s">
        <v>779</v>
      </c>
    </row>
    <row r="1897" spans="1:20" x14ac:dyDescent="0.3">
      <c r="A1897">
        <v>1896</v>
      </c>
      <c r="B1897">
        <v>281</v>
      </c>
      <c r="C1897">
        <v>3</v>
      </c>
      <c r="D1897">
        <v>137.1</v>
      </c>
      <c r="E1897">
        <v>13.71</v>
      </c>
      <c r="F1897">
        <v>0</v>
      </c>
      <c r="G1897">
        <v>0.1</v>
      </c>
      <c r="H1897" t="s">
        <v>622</v>
      </c>
      <c r="J1897" t="s">
        <v>623</v>
      </c>
      <c r="K1897" s="1"/>
      <c r="L1897" s="1">
        <v>46153.791770833333</v>
      </c>
      <c r="M1897" s="2">
        <v>46153</v>
      </c>
      <c r="N1897" t="s">
        <v>638</v>
      </c>
      <c r="O1897" t="s">
        <v>625</v>
      </c>
      <c r="P1897">
        <v>1</v>
      </c>
      <c r="Q1897">
        <v>0</v>
      </c>
      <c r="R1897">
        <v>137.1</v>
      </c>
      <c r="S1897" t="s">
        <v>557</v>
      </c>
      <c r="T1897" t="s">
        <v>777</v>
      </c>
    </row>
    <row r="1898" spans="1:20" x14ac:dyDescent="0.3">
      <c r="A1898">
        <v>1897</v>
      </c>
      <c r="B1898">
        <v>293</v>
      </c>
      <c r="C1898">
        <v>3</v>
      </c>
      <c r="D1898">
        <v>36.630000000000003</v>
      </c>
      <c r="E1898">
        <v>3.66</v>
      </c>
      <c r="F1898">
        <v>0</v>
      </c>
      <c r="G1898">
        <v>0.1</v>
      </c>
      <c r="H1898" t="s">
        <v>622</v>
      </c>
      <c r="J1898" t="s">
        <v>623</v>
      </c>
      <c r="K1898" s="1"/>
      <c r="L1898" s="1">
        <v>46154.355798611112</v>
      </c>
      <c r="M1898" s="2">
        <v>46154</v>
      </c>
      <c r="N1898" t="s">
        <v>638</v>
      </c>
      <c r="O1898" t="s">
        <v>625</v>
      </c>
      <c r="P1898">
        <v>1</v>
      </c>
      <c r="Q1898">
        <v>0</v>
      </c>
      <c r="R1898">
        <v>36.630000000000003</v>
      </c>
      <c r="S1898" t="s">
        <v>581</v>
      </c>
      <c r="T1898" t="s">
        <v>777</v>
      </c>
    </row>
    <row r="1899" spans="1:20" x14ac:dyDescent="0.3">
      <c r="A1899">
        <v>1898</v>
      </c>
      <c r="B1899">
        <v>65</v>
      </c>
      <c r="C1899">
        <v>3</v>
      </c>
      <c r="D1899">
        <v>43.09</v>
      </c>
      <c r="E1899">
        <v>4.3099999999999996</v>
      </c>
      <c r="F1899">
        <v>0</v>
      </c>
      <c r="G1899">
        <v>0.1</v>
      </c>
      <c r="H1899" t="s">
        <v>622</v>
      </c>
      <c r="J1899" t="s">
        <v>623</v>
      </c>
      <c r="K1899" s="1"/>
      <c r="L1899" s="1">
        <v>46154.357754629629</v>
      </c>
      <c r="M1899" s="2">
        <v>46154</v>
      </c>
      <c r="N1899" t="s">
        <v>638</v>
      </c>
      <c r="O1899" t="s">
        <v>625</v>
      </c>
      <c r="P1899">
        <v>1</v>
      </c>
      <c r="Q1899">
        <v>0</v>
      </c>
      <c r="R1899">
        <v>43.09</v>
      </c>
      <c r="S1899" t="s">
        <v>126</v>
      </c>
      <c r="T1899" t="s">
        <v>777</v>
      </c>
    </row>
    <row r="1900" spans="1:20" x14ac:dyDescent="0.3">
      <c r="A1900">
        <v>1899</v>
      </c>
      <c r="B1900">
        <v>91</v>
      </c>
      <c r="C1900">
        <v>4</v>
      </c>
      <c r="D1900">
        <v>33.380000000000003</v>
      </c>
      <c r="E1900">
        <v>3.34</v>
      </c>
      <c r="F1900">
        <v>0</v>
      </c>
      <c r="G1900">
        <v>0.1</v>
      </c>
      <c r="H1900" t="s">
        <v>622</v>
      </c>
      <c r="J1900" t="s">
        <v>623</v>
      </c>
      <c r="K1900" s="1"/>
      <c r="L1900" s="1">
        <v>46154.387488425928</v>
      </c>
      <c r="M1900" s="2">
        <v>46154</v>
      </c>
      <c r="N1900" t="s">
        <v>638</v>
      </c>
      <c r="O1900" t="s">
        <v>625</v>
      </c>
      <c r="P1900">
        <v>1</v>
      </c>
      <c r="Q1900">
        <v>0</v>
      </c>
      <c r="R1900">
        <v>33.380000000000003</v>
      </c>
      <c r="S1900" t="s">
        <v>177</v>
      </c>
      <c r="T1900" t="s">
        <v>778</v>
      </c>
    </row>
    <row r="1901" spans="1:20" x14ac:dyDescent="0.3">
      <c r="A1901">
        <v>1900</v>
      </c>
      <c r="B1901">
        <v>137</v>
      </c>
      <c r="C1901">
        <v>3</v>
      </c>
      <c r="D1901">
        <v>19.8</v>
      </c>
      <c r="E1901">
        <v>1.98</v>
      </c>
      <c r="F1901">
        <v>0</v>
      </c>
      <c r="G1901">
        <v>0.1</v>
      </c>
      <c r="H1901" t="s">
        <v>622</v>
      </c>
      <c r="J1901" t="s">
        <v>623</v>
      </c>
      <c r="K1901" s="1"/>
      <c r="L1901" s="1">
        <v>46154.404479166667</v>
      </c>
      <c r="M1901" s="2">
        <v>46154</v>
      </c>
      <c r="N1901" t="s">
        <v>638</v>
      </c>
      <c r="O1901" t="s">
        <v>625</v>
      </c>
      <c r="P1901">
        <v>1</v>
      </c>
      <c r="Q1901">
        <v>0</v>
      </c>
      <c r="R1901">
        <v>19.8</v>
      </c>
      <c r="S1901" t="s">
        <v>269</v>
      </c>
      <c r="T1901" t="s">
        <v>777</v>
      </c>
    </row>
    <row r="1902" spans="1:20" x14ac:dyDescent="0.3">
      <c r="A1902">
        <v>1901</v>
      </c>
      <c r="B1902">
        <v>250</v>
      </c>
      <c r="C1902">
        <v>2</v>
      </c>
      <c r="D1902">
        <v>96.56</v>
      </c>
      <c r="E1902">
        <v>9.66</v>
      </c>
      <c r="F1902">
        <v>0</v>
      </c>
      <c r="G1902">
        <v>0.1</v>
      </c>
      <c r="H1902" t="s">
        <v>622</v>
      </c>
      <c r="J1902" t="s">
        <v>623</v>
      </c>
      <c r="K1902" s="1"/>
      <c r="L1902" s="1">
        <v>46154.405173611114</v>
      </c>
      <c r="M1902" s="2">
        <v>46154</v>
      </c>
      <c r="N1902" t="s">
        <v>638</v>
      </c>
      <c r="O1902" t="s">
        <v>625</v>
      </c>
      <c r="P1902">
        <v>1</v>
      </c>
      <c r="Q1902">
        <v>0</v>
      </c>
      <c r="R1902">
        <v>96.56</v>
      </c>
      <c r="S1902" t="s">
        <v>495</v>
      </c>
      <c r="T1902" t="s">
        <v>776</v>
      </c>
    </row>
    <row r="1903" spans="1:20" x14ac:dyDescent="0.3">
      <c r="A1903">
        <v>1902</v>
      </c>
      <c r="B1903">
        <v>229</v>
      </c>
      <c r="C1903">
        <v>4</v>
      </c>
      <c r="D1903">
        <v>56.79</v>
      </c>
      <c r="E1903">
        <v>5.68</v>
      </c>
      <c r="F1903">
        <v>0</v>
      </c>
      <c r="G1903">
        <v>0.1</v>
      </c>
      <c r="H1903" t="s">
        <v>622</v>
      </c>
      <c r="J1903" t="s">
        <v>623</v>
      </c>
      <c r="K1903" s="1"/>
      <c r="L1903" s="1">
        <v>46154.575740740744</v>
      </c>
      <c r="M1903" s="2">
        <v>46154</v>
      </c>
      <c r="N1903" t="s">
        <v>638</v>
      </c>
      <c r="O1903" t="s">
        <v>625</v>
      </c>
      <c r="P1903">
        <v>1</v>
      </c>
      <c r="Q1903">
        <v>0</v>
      </c>
      <c r="R1903">
        <v>56.79</v>
      </c>
      <c r="S1903" t="s">
        <v>453</v>
      </c>
      <c r="T1903" t="s">
        <v>778</v>
      </c>
    </row>
    <row r="1904" spans="1:20" x14ac:dyDescent="0.3">
      <c r="A1904">
        <v>1903</v>
      </c>
      <c r="B1904">
        <v>202</v>
      </c>
      <c r="C1904">
        <v>2</v>
      </c>
      <c r="D1904">
        <v>34.21</v>
      </c>
      <c r="E1904">
        <v>3.42</v>
      </c>
      <c r="F1904">
        <v>0</v>
      </c>
      <c r="G1904">
        <v>0.1</v>
      </c>
      <c r="H1904" t="s">
        <v>622</v>
      </c>
      <c r="J1904" t="s">
        <v>623</v>
      </c>
      <c r="K1904" s="1"/>
      <c r="L1904" s="1">
        <v>46154.680266203701</v>
      </c>
      <c r="M1904" s="2">
        <v>46154</v>
      </c>
      <c r="N1904" t="s">
        <v>638</v>
      </c>
      <c r="O1904" t="s">
        <v>625</v>
      </c>
      <c r="P1904">
        <v>1</v>
      </c>
      <c r="Q1904">
        <v>0</v>
      </c>
      <c r="R1904">
        <v>34.21</v>
      </c>
      <c r="S1904" t="s">
        <v>399</v>
      </c>
      <c r="T1904" t="s">
        <v>776</v>
      </c>
    </row>
    <row r="1905" spans="1:20" x14ac:dyDescent="0.3">
      <c r="A1905">
        <v>1904</v>
      </c>
      <c r="B1905">
        <v>16</v>
      </c>
      <c r="C1905">
        <v>2</v>
      </c>
      <c r="D1905">
        <v>208.21</v>
      </c>
      <c r="E1905">
        <v>20.82</v>
      </c>
      <c r="F1905">
        <v>0</v>
      </c>
      <c r="G1905">
        <v>0.1</v>
      </c>
      <c r="H1905" t="s">
        <v>622</v>
      </c>
      <c r="J1905" t="s">
        <v>623</v>
      </c>
      <c r="K1905" s="1"/>
      <c r="L1905" s="1">
        <v>46155.340925925928</v>
      </c>
      <c r="M1905" s="2">
        <v>46155</v>
      </c>
      <c r="N1905" t="s">
        <v>638</v>
      </c>
      <c r="O1905" t="s">
        <v>625</v>
      </c>
      <c r="P1905">
        <v>1</v>
      </c>
      <c r="Q1905">
        <v>0</v>
      </c>
      <c r="R1905">
        <v>208.21</v>
      </c>
      <c r="S1905" t="s">
        <v>28</v>
      </c>
      <c r="T1905" t="s">
        <v>776</v>
      </c>
    </row>
    <row r="1906" spans="1:20" x14ac:dyDescent="0.3">
      <c r="A1906">
        <v>1905</v>
      </c>
      <c r="B1906">
        <v>34</v>
      </c>
      <c r="C1906">
        <v>4</v>
      </c>
      <c r="D1906">
        <v>258.92</v>
      </c>
      <c r="E1906">
        <v>25.89</v>
      </c>
      <c r="F1906">
        <v>0</v>
      </c>
      <c r="G1906">
        <v>0.1</v>
      </c>
      <c r="H1906" t="s">
        <v>622</v>
      </c>
      <c r="J1906" t="s">
        <v>623</v>
      </c>
      <c r="K1906" s="1"/>
      <c r="L1906" s="1">
        <v>46155.380185185182</v>
      </c>
      <c r="M1906" s="2">
        <v>46155</v>
      </c>
      <c r="N1906" t="s">
        <v>638</v>
      </c>
      <c r="O1906" t="s">
        <v>625</v>
      </c>
      <c r="P1906">
        <v>1</v>
      </c>
      <c r="Q1906">
        <v>0</v>
      </c>
      <c r="R1906">
        <v>258.92</v>
      </c>
      <c r="S1906" t="s">
        <v>64</v>
      </c>
      <c r="T1906" t="s">
        <v>778</v>
      </c>
    </row>
    <row r="1907" spans="1:20" x14ac:dyDescent="0.3">
      <c r="A1907">
        <v>1906</v>
      </c>
      <c r="B1907">
        <v>150</v>
      </c>
      <c r="C1907">
        <v>2</v>
      </c>
      <c r="D1907">
        <v>54.6</v>
      </c>
      <c r="E1907">
        <v>5.46</v>
      </c>
      <c r="F1907">
        <v>0</v>
      </c>
      <c r="G1907">
        <v>0.1</v>
      </c>
      <c r="H1907" t="s">
        <v>622</v>
      </c>
      <c r="J1907" t="s">
        <v>623</v>
      </c>
      <c r="K1907" s="1"/>
      <c r="L1907" s="1">
        <v>46155.38989583333</v>
      </c>
      <c r="M1907" s="2">
        <v>46155</v>
      </c>
      <c r="N1907" t="s">
        <v>638</v>
      </c>
      <c r="O1907" t="s">
        <v>625</v>
      </c>
      <c r="P1907">
        <v>1</v>
      </c>
      <c r="Q1907">
        <v>0</v>
      </c>
      <c r="R1907">
        <v>54.6</v>
      </c>
      <c r="S1907" t="s">
        <v>295</v>
      </c>
      <c r="T1907" t="s">
        <v>776</v>
      </c>
    </row>
    <row r="1908" spans="1:20" x14ac:dyDescent="0.3">
      <c r="A1908">
        <v>1907</v>
      </c>
      <c r="B1908">
        <v>185</v>
      </c>
      <c r="C1908">
        <v>4</v>
      </c>
      <c r="D1908">
        <v>104.24</v>
      </c>
      <c r="E1908">
        <v>10.42</v>
      </c>
      <c r="F1908">
        <v>0</v>
      </c>
      <c r="G1908">
        <v>0.1</v>
      </c>
      <c r="H1908" t="s">
        <v>622</v>
      </c>
      <c r="J1908" t="s">
        <v>623</v>
      </c>
      <c r="K1908" s="1"/>
      <c r="L1908" s="1">
        <v>46155.449490740742</v>
      </c>
      <c r="M1908" s="2">
        <v>46155</v>
      </c>
      <c r="N1908" t="s">
        <v>638</v>
      </c>
      <c r="O1908" t="s">
        <v>625</v>
      </c>
      <c r="P1908">
        <v>1</v>
      </c>
      <c r="Q1908">
        <v>0</v>
      </c>
      <c r="R1908">
        <v>104.24</v>
      </c>
      <c r="S1908" t="s">
        <v>365</v>
      </c>
      <c r="T1908" t="s">
        <v>778</v>
      </c>
    </row>
    <row r="1909" spans="1:20" x14ac:dyDescent="0.3">
      <c r="A1909">
        <v>1908</v>
      </c>
      <c r="B1909">
        <v>104</v>
      </c>
      <c r="C1909">
        <v>2</v>
      </c>
      <c r="D1909">
        <v>167.03</v>
      </c>
      <c r="E1909">
        <v>16.7</v>
      </c>
      <c r="F1909">
        <v>0</v>
      </c>
      <c r="G1909">
        <v>0.1</v>
      </c>
      <c r="H1909" t="s">
        <v>626</v>
      </c>
      <c r="I1909">
        <v>5</v>
      </c>
      <c r="J1909" t="s">
        <v>631</v>
      </c>
      <c r="K1909" s="1">
        <v>46155.561608796299</v>
      </c>
      <c r="L1909" s="1">
        <v>46155.519942129627</v>
      </c>
      <c r="M1909" s="2">
        <v>46155</v>
      </c>
      <c r="N1909" t="s">
        <v>638</v>
      </c>
      <c r="O1909" t="s">
        <v>625</v>
      </c>
      <c r="P1909">
        <v>1</v>
      </c>
      <c r="Q1909">
        <v>1</v>
      </c>
      <c r="R1909">
        <v>0</v>
      </c>
      <c r="S1909" t="s">
        <v>203</v>
      </c>
      <c r="T1909" t="s">
        <v>776</v>
      </c>
    </row>
    <row r="1910" spans="1:20" x14ac:dyDescent="0.3">
      <c r="A1910">
        <v>1909</v>
      </c>
      <c r="B1910">
        <v>158</v>
      </c>
      <c r="C1910">
        <v>4</v>
      </c>
      <c r="D1910">
        <v>28.93</v>
      </c>
      <c r="E1910">
        <v>2.89</v>
      </c>
      <c r="F1910">
        <v>0</v>
      </c>
      <c r="G1910">
        <v>0.1</v>
      </c>
      <c r="H1910" t="s">
        <v>626</v>
      </c>
      <c r="I1910">
        <v>5</v>
      </c>
      <c r="J1910" t="s">
        <v>631</v>
      </c>
      <c r="K1910" s="1">
        <v>46156.710636574076</v>
      </c>
      <c r="L1910" s="1">
        <v>46155.585636574076</v>
      </c>
      <c r="M1910" s="2">
        <v>46155</v>
      </c>
      <c r="N1910" t="s">
        <v>638</v>
      </c>
      <c r="O1910" t="s">
        <v>625</v>
      </c>
      <c r="P1910">
        <v>1</v>
      </c>
      <c r="Q1910">
        <v>1</v>
      </c>
      <c r="R1910">
        <v>0</v>
      </c>
      <c r="S1910" t="s">
        <v>311</v>
      </c>
      <c r="T1910" t="s">
        <v>778</v>
      </c>
    </row>
    <row r="1911" spans="1:20" x14ac:dyDescent="0.3">
      <c r="A1911">
        <v>1910</v>
      </c>
      <c r="B1911">
        <v>162</v>
      </c>
      <c r="C1911">
        <v>2</v>
      </c>
      <c r="D1911">
        <v>87.51</v>
      </c>
      <c r="E1911">
        <v>8.75</v>
      </c>
      <c r="F1911">
        <v>0</v>
      </c>
      <c r="G1911">
        <v>0.1</v>
      </c>
      <c r="H1911" t="s">
        <v>626</v>
      </c>
      <c r="I1911">
        <v>5</v>
      </c>
      <c r="J1911" t="s">
        <v>627</v>
      </c>
      <c r="K1911" s="1">
        <v>46156.772615740738</v>
      </c>
      <c r="L1911" s="1">
        <v>46155.647615740738</v>
      </c>
      <c r="M1911" s="2">
        <v>46155</v>
      </c>
      <c r="N1911" t="s">
        <v>638</v>
      </c>
      <c r="O1911" t="s">
        <v>625</v>
      </c>
      <c r="P1911">
        <v>1</v>
      </c>
      <c r="Q1911">
        <v>1</v>
      </c>
      <c r="R1911">
        <v>0</v>
      </c>
      <c r="S1911" t="s">
        <v>319</v>
      </c>
      <c r="T1911" t="s">
        <v>776</v>
      </c>
    </row>
    <row r="1912" spans="1:20" x14ac:dyDescent="0.3">
      <c r="A1912">
        <v>1911</v>
      </c>
      <c r="B1912">
        <v>117</v>
      </c>
      <c r="C1912">
        <v>5</v>
      </c>
      <c r="D1912">
        <v>70.930000000000007</v>
      </c>
      <c r="E1912">
        <v>0</v>
      </c>
      <c r="F1912">
        <v>1</v>
      </c>
      <c r="G1912">
        <v>0.1</v>
      </c>
      <c r="H1912" t="s">
        <v>622</v>
      </c>
      <c r="J1912" t="s">
        <v>623</v>
      </c>
      <c r="K1912" s="1"/>
      <c r="L1912" s="1">
        <v>46155.744293981479</v>
      </c>
      <c r="M1912" s="2">
        <v>46155</v>
      </c>
      <c r="N1912" t="s">
        <v>638</v>
      </c>
      <c r="O1912" t="s">
        <v>629</v>
      </c>
      <c r="P1912">
        <v>1</v>
      </c>
      <c r="Q1912">
        <v>0</v>
      </c>
      <c r="R1912">
        <v>70.930000000000007</v>
      </c>
      <c r="S1912" t="s">
        <v>229</v>
      </c>
      <c r="T1912" t="s">
        <v>779</v>
      </c>
    </row>
    <row r="1913" spans="1:20" x14ac:dyDescent="0.3">
      <c r="A1913">
        <v>1912</v>
      </c>
      <c r="B1913">
        <v>243</v>
      </c>
      <c r="C1913">
        <v>5</v>
      </c>
      <c r="D1913">
        <v>33.369999999999997</v>
      </c>
      <c r="E1913">
        <v>3.34</v>
      </c>
      <c r="F1913">
        <v>0</v>
      </c>
      <c r="G1913">
        <v>0.1</v>
      </c>
      <c r="H1913" t="s">
        <v>622</v>
      </c>
      <c r="J1913" t="s">
        <v>623</v>
      </c>
      <c r="K1913" s="1"/>
      <c r="L1913" s="1">
        <v>46156.346828703703</v>
      </c>
      <c r="M1913" s="2">
        <v>46156</v>
      </c>
      <c r="N1913" t="s">
        <v>638</v>
      </c>
      <c r="O1913" t="s">
        <v>625</v>
      </c>
      <c r="P1913">
        <v>1</v>
      </c>
      <c r="Q1913">
        <v>0</v>
      </c>
      <c r="R1913">
        <v>33.369999999999997</v>
      </c>
      <c r="S1913" t="s">
        <v>481</v>
      </c>
      <c r="T1913" t="s">
        <v>779</v>
      </c>
    </row>
    <row r="1914" spans="1:20" x14ac:dyDescent="0.3">
      <c r="A1914">
        <v>1913</v>
      </c>
      <c r="B1914">
        <v>17</v>
      </c>
      <c r="C1914">
        <v>3</v>
      </c>
      <c r="D1914">
        <v>109.03</v>
      </c>
      <c r="E1914">
        <v>10.9</v>
      </c>
      <c r="F1914">
        <v>0</v>
      </c>
      <c r="G1914">
        <v>0.1</v>
      </c>
      <c r="H1914" t="s">
        <v>622</v>
      </c>
      <c r="J1914" t="s">
        <v>623</v>
      </c>
      <c r="K1914" s="1"/>
      <c r="L1914" s="1">
        <v>46156.380844907406</v>
      </c>
      <c r="M1914" s="2">
        <v>46156</v>
      </c>
      <c r="N1914" t="s">
        <v>638</v>
      </c>
      <c r="O1914" t="s">
        <v>625</v>
      </c>
      <c r="P1914">
        <v>1</v>
      </c>
      <c r="Q1914">
        <v>0</v>
      </c>
      <c r="R1914">
        <v>109.03</v>
      </c>
      <c r="S1914" t="s">
        <v>30</v>
      </c>
      <c r="T1914" t="s">
        <v>777</v>
      </c>
    </row>
    <row r="1915" spans="1:20" x14ac:dyDescent="0.3">
      <c r="A1915">
        <v>1914</v>
      </c>
      <c r="B1915">
        <v>17</v>
      </c>
      <c r="C1915">
        <v>5</v>
      </c>
      <c r="D1915">
        <v>67.17</v>
      </c>
      <c r="E1915">
        <v>6.72</v>
      </c>
      <c r="F1915">
        <v>0</v>
      </c>
      <c r="G1915">
        <v>0.1</v>
      </c>
      <c r="H1915" t="s">
        <v>622</v>
      </c>
      <c r="J1915" t="s">
        <v>623</v>
      </c>
      <c r="K1915" s="1"/>
      <c r="L1915" s="1">
        <v>46156.599143518521</v>
      </c>
      <c r="M1915" s="2">
        <v>46156</v>
      </c>
      <c r="N1915" t="s">
        <v>638</v>
      </c>
      <c r="O1915" t="s">
        <v>625</v>
      </c>
      <c r="P1915">
        <v>1</v>
      </c>
      <c r="Q1915">
        <v>0</v>
      </c>
      <c r="R1915">
        <v>67.17</v>
      </c>
      <c r="S1915" t="s">
        <v>30</v>
      </c>
      <c r="T1915" t="s">
        <v>779</v>
      </c>
    </row>
    <row r="1916" spans="1:20" x14ac:dyDescent="0.3">
      <c r="A1916">
        <v>1915</v>
      </c>
      <c r="B1916">
        <v>235</v>
      </c>
      <c r="C1916">
        <v>2</v>
      </c>
      <c r="D1916">
        <v>27.49</v>
      </c>
      <c r="E1916">
        <v>2.75</v>
      </c>
      <c r="F1916">
        <v>0</v>
      </c>
      <c r="G1916">
        <v>0.1</v>
      </c>
      <c r="H1916" t="s">
        <v>622</v>
      </c>
      <c r="J1916" t="s">
        <v>623</v>
      </c>
      <c r="K1916" s="1"/>
      <c r="L1916" s="1">
        <v>46156.620821759258</v>
      </c>
      <c r="M1916" s="2">
        <v>46156</v>
      </c>
      <c r="N1916" t="s">
        <v>638</v>
      </c>
      <c r="O1916" t="s">
        <v>625</v>
      </c>
      <c r="P1916">
        <v>1</v>
      </c>
      <c r="Q1916">
        <v>0</v>
      </c>
      <c r="R1916">
        <v>27.49</v>
      </c>
      <c r="S1916" t="s">
        <v>465</v>
      </c>
      <c r="T1916" t="s">
        <v>776</v>
      </c>
    </row>
    <row r="1917" spans="1:20" x14ac:dyDescent="0.3">
      <c r="A1917">
        <v>1916</v>
      </c>
      <c r="B1917">
        <v>156</v>
      </c>
      <c r="C1917">
        <v>2</v>
      </c>
      <c r="D1917">
        <v>13.9</v>
      </c>
      <c r="E1917">
        <v>1.39</v>
      </c>
      <c r="F1917">
        <v>0</v>
      </c>
      <c r="G1917">
        <v>0.1</v>
      </c>
      <c r="H1917" t="s">
        <v>622</v>
      </c>
      <c r="J1917" t="s">
        <v>623</v>
      </c>
      <c r="K1917" s="1"/>
      <c r="L1917" s="1">
        <v>46157.345555555556</v>
      </c>
      <c r="M1917" s="2">
        <v>46157</v>
      </c>
      <c r="N1917" t="s">
        <v>638</v>
      </c>
      <c r="O1917" t="s">
        <v>625</v>
      </c>
      <c r="P1917">
        <v>1</v>
      </c>
      <c r="Q1917">
        <v>0</v>
      </c>
      <c r="R1917">
        <v>13.9</v>
      </c>
      <c r="S1917" t="s">
        <v>307</v>
      </c>
      <c r="T1917" t="s">
        <v>776</v>
      </c>
    </row>
    <row r="1918" spans="1:20" x14ac:dyDescent="0.3">
      <c r="A1918">
        <v>1917</v>
      </c>
      <c r="B1918">
        <v>245</v>
      </c>
      <c r="C1918">
        <v>5</v>
      </c>
      <c r="D1918">
        <v>33.590000000000003</v>
      </c>
      <c r="E1918">
        <v>0</v>
      </c>
      <c r="F1918">
        <v>1</v>
      </c>
      <c r="G1918">
        <v>0.1</v>
      </c>
      <c r="H1918" t="s">
        <v>622</v>
      </c>
      <c r="J1918" t="s">
        <v>623</v>
      </c>
      <c r="K1918" s="1"/>
      <c r="L1918" s="1">
        <v>46157.37195601852</v>
      </c>
      <c r="M1918" s="2">
        <v>46157</v>
      </c>
      <c r="N1918" t="s">
        <v>638</v>
      </c>
      <c r="O1918" t="s">
        <v>629</v>
      </c>
      <c r="P1918">
        <v>1</v>
      </c>
      <c r="Q1918">
        <v>0</v>
      </c>
      <c r="R1918">
        <v>33.590000000000003</v>
      </c>
      <c r="S1918" t="s">
        <v>485</v>
      </c>
      <c r="T1918" t="s">
        <v>779</v>
      </c>
    </row>
    <row r="1919" spans="1:20" x14ac:dyDescent="0.3">
      <c r="A1919">
        <v>1918</v>
      </c>
      <c r="B1919">
        <v>297</v>
      </c>
      <c r="C1919">
        <v>2</v>
      </c>
      <c r="D1919">
        <v>127.54</v>
      </c>
      <c r="E1919">
        <v>12.75</v>
      </c>
      <c r="F1919">
        <v>0</v>
      </c>
      <c r="G1919">
        <v>0.1</v>
      </c>
      <c r="H1919" t="s">
        <v>622</v>
      </c>
      <c r="J1919" t="s">
        <v>623</v>
      </c>
      <c r="K1919" s="1"/>
      <c r="L1919" s="1">
        <v>46157.37222222222</v>
      </c>
      <c r="M1919" s="2">
        <v>46157</v>
      </c>
      <c r="N1919" t="s">
        <v>638</v>
      </c>
      <c r="O1919" t="s">
        <v>625</v>
      </c>
      <c r="P1919">
        <v>1</v>
      </c>
      <c r="Q1919">
        <v>0</v>
      </c>
      <c r="R1919">
        <v>127.54</v>
      </c>
      <c r="S1919" t="s">
        <v>589</v>
      </c>
      <c r="T1919" t="s">
        <v>776</v>
      </c>
    </row>
    <row r="1920" spans="1:20" x14ac:dyDescent="0.3">
      <c r="A1920">
        <v>1919</v>
      </c>
      <c r="B1920">
        <v>14</v>
      </c>
      <c r="C1920">
        <v>2</v>
      </c>
      <c r="D1920">
        <v>37.67</v>
      </c>
      <c r="E1920">
        <v>3.77</v>
      </c>
      <c r="F1920">
        <v>0</v>
      </c>
      <c r="G1920">
        <v>0.1</v>
      </c>
      <c r="H1920" t="s">
        <v>622</v>
      </c>
      <c r="J1920" t="s">
        <v>623</v>
      </c>
      <c r="K1920" s="1"/>
      <c r="L1920" s="1">
        <v>46157.466620370367</v>
      </c>
      <c r="M1920" s="2">
        <v>46157</v>
      </c>
      <c r="N1920" t="s">
        <v>638</v>
      </c>
      <c r="O1920" t="s">
        <v>625</v>
      </c>
      <c r="P1920">
        <v>1</v>
      </c>
      <c r="Q1920">
        <v>0</v>
      </c>
      <c r="R1920">
        <v>37.67</v>
      </c>
      <c r="S1920" t="s">
        <v>24</v>
      </c>
      <c r="T1920" t="s">
        <v>776</v>
      </c>
    </row>
    <row r="1921" spans="1:20" x14ac:dyDescent="0.3">
      <c r="A1921">
        <v>1920</v>
      </c>
      <c r="B1921">
        <v>156</v>
      </c>
      <c r="C1921">
        <v>3</v>
      </c>
      <c r="D1921">
        <v>32.799999999999997</v>
      </c>
      <c r="E1921">
        <v>0</v>
      </c>
      <c r="F1921">
        <v>1</v>
      </c>
      <c r="G1921">
        <v>0.1</v>
      </c>
      <c r="H1921" t="s">
        <v>622</v>
      </c>
      <c r="J1921" t="s">
        <v>623</v>
      </c>
      <c r="K1921" s="1"/>
      <c r="L1921" s="1">
        <v>46157.529421296298</v>
      </c>
      <c r="M1921" s="2">
        <v>46157</v>
      </c>
      <c r="N1921" t="s">
        <v>638</v>
      </c>
      <c r="O1921" t="s">
        <v>629</v>
      </c>
      <c r="P1921">
        <v>1</v>
      </c>
      <c r="Q1921">
        <v>0</v>
      </c>
      <c r="R1921">
        <v>32.799999999999997</v>
      </c>
      <c r="S1921" t="s">
        <v>307</v>
      </c>
      <c r="T1921" t="s">
        <v>777</v>
      </c>
    </row>
    <row r="1922" spans="1:20" x14ac:dyDescent="0.3">
      <c r="A1922">
        <v>1921</v>
      </c>
      <c r="B1922">
        <v>294</v>
      </c>
      <c r="C1922">
        <v>2</v>
      </c>
      <c r="D1922">
        <v>21.22</v>
      </c>
      <c r="E1922">
        <v>2.12</v>
      </c>
      <c r="F1922">
        <v>0</v>
      </c>
      <c r="G1922">
        <v>0.1</v>
      </c>
      <c r="H1922" t="s">
        <v>622</v>
      </c>
      <c r="J1922" t="s">
        <v>623</v>
      </c>
      <c r="K1922" s="1"/>
      <c r="L1922" s="1">
        <v>46157.725370370368</v>
      </c>
      <c r="M1922" s="2">
        <v>46157</v>
      </c>
      <c r="N1922" t="s">
        <v>638</v>
      </c>
      <c r="O1922" t="s">
        <v>625</v>
      </c>
      <c r="P1922">
        <v>1</v>
      </c>
      <c r="Q1922">
        <v>0</v>
      </c>
      <c r="R1922">
        <v>21.22</v>
      </c>
      <c r="S1922" t="s">
        <v>583</v>
      </c>
      <c r="T1922" t="s">
        <v>776</v>
      </c>
    </row>
    <row r="1923" spans="1:20" x14ac:dyDescent="0.3">
      <c r="A1923">
        <v>1922</v>
      </c>
      <c r="B1923">
        <v>39</v>
      </c>
      <c r="C1923">
        <v>4</v>
      </c>
      <c r="D1923">
        <v>283.45</v>
      </c>
      <c r="E1923">
        <v>0</v>
      </c>
      <c r="F1923">
        <v>1</v>
      </c>
      <c r="G1923">
        <v>0.1</v>
      </c>
      <c r="H1923" t="s">
        <v>622</v>
      </c>
      <c r="J1923" t="s">
        <v>623</v>
      </c>
      <c r="K1923" s="1"/>
      <c r="L1923" s="1">
        <v>46157.813125000001</v>
      </c>
      <c r="M1923" s="2">
        <v>46157</v>
      </c>
      <c r="N1923" t="s">
        <v>638</v>
      </c>
      <c r="O1923" t="s">
        <v>629</v>
      </c>
      <c r="P1923">
        <v>1</v>
      </c>
      <c r="Q1923">
        <v>0</v>
      </c>
      <c r="R1923">
        <v>283.45</v>
      </c>
      <c r="S1923" t="s">
        <v>74</v>
      </c>
      <c r="T1923" t="s">
        <v>778</v>
      </c>
    </row>
    <row r="1924" spans="1:20" x14ac:dyDescent="0.3">
      <c r="A1924">
        <v>1923</v>
      </c>
      <c r="B1924">
        <v>27</v>
      </c>
      <c r="C1924">
        <v>5</v>
      </c>
      <c r="D1924">
        <v>179.81</v>
      </c>
      <c r="E1924">
        <v>17.98</v>
      </c>
      <c r="F1924">
        <v>0</v>
      </c>
      <c r="G1924">
        <v>0.1</v>
      </c>
      <c r="H1924" t="s">
        <v>622</v>
      </c>
      <c r="J1924" t="s">
        <v>623</v>
      </c>
      <c r="K1924" s="1"/>
      <c r="L1924" s="1">
        <v>46158.356736111113</v>
      </c>
      <c r="M1924" s="2">
        <v>46158</v>
      </c>
      <c r="N1924" t="s">
        <v>638</v>
      </c>
      <c r="O1924" t="s">
        <v>625</v>
      </c>
      <c r="P1924">
        <v>1</v>
      </c>
      <c r="Q1924">
        <v>0</v>
      </c>
      <c r="R1924">
        <v>179.81</v>
      </c>
      <c r="S1924" t="s">
        <v>50</v>
      </c>
      <c r="T1924" t="s">
        <v>779</v>
      </c>
    </row>
    <row r="1925" spans="1:20" x14ac:dyDescent="0.3">
      <c r="A1925">
        <v>1924</v>
      </c>
      <c r="B1925">
        <v>96</v>
      </c>
      <c r="C1925">
        <v>5</v>
      </c>
      <c r="D1925">
        <v>161.16999999999999</v>
      </c>
      <c r="E1925">
        <v>16.12</v>
      </c>
      <c r="F1925">
        <v>0</v>
      </c>
      <c r="G1925">
        <v>0.1</v>
      </c>
      <c r="H1925" t="s">
        <v>622</v>
      </c>
      <c r="J1925" t="s">
        <v>623</v>
      </c>
      <c r="K1925" s="1"/>
      <c r="L1925" s="1">
        <v>46158.383472222224</v>
      </c>
      <c r="M1925" s="2">
        <v>46158</v>
      </c>
      <c r="N1925" t="s">
        <v>638</v>
      </c>
      <c r="O1925" t="s">
        <v>625</v>
      </c>
      <c r="P1925">
        <v>1</v>
      </c>
      <c r="Q1925">
        <v>0</v>
      </c>
      <c r="R1925">
        <v>161.16999999999999</v>
      </c>
      <c r="S1925" t="s">
        <v>187</v>
      </c>
      <c r="T1925" t="s">
        <v>779</v>
      </c>
    </row>
    <row r="1926" spans="1:20" x14ac:dyDescent="0.3">
      <c r="A1926">
        <v>1925</v>
      </c>
      <c r="B1926">
        <v>39</v>
      </c>
      <c r="C1926">
        <v>3</v>
      </c>
      <c r="D1926">
        <v>201.2</v>
      </c>
      <c r="E1926">
        <v>20.12</v>
      </c>
      <c r="F1926">
        <v>0</v>
      </c>
      <c r="G1926">
        <v>0.1</v>
      </c>
      <c r="H1926" t="s">
        <v>622</v>
      </c>
      <c r="J1926" t="s">
        <v>623</v>
      </c>
      <c r="K1926" s="1"/>
      <c r="L1926" s="1">
        <v>46158.40079861111</v>
      </c>
      <c r="M1926" s="2">
        <v>46158</v>
      </c>
      <c r="N1926" t="s">
        <v>638</v>
      </c>
      <c r="O1926" t="s">
        <v>625</v>
      </c>
      <c r="P1926">
        <v>1</v>
      </c>
      <c r="Q1926">
        <v>0</v>
      </c>
      <c r="R1926">
        <v>201.2</v>
      </c>
      <c r="S1926" t="s">
        <v>74</v>
      </c>
      <c r="T1926" t="s">
        <v>777</v>
      </c>
    </row>
    <row r="1927" spans="1:20" x14ac:dyDescent="0.3">
      <c r="A1927">
        <v>1926</v>
      </c>
      <c r="B1927">
        <v>297</v>
      </c>
      <c r="C1927">
        <v>2</v>
      </c>
      <c r="D1927">
        <v>52.8</v>
      </c>
      <c r="E1927">
        <v>5.28</v>
      </c>
      <c r="F1927">
        <v>0</v>
      </c>
      <c r="G1927">
        <v>0.1</v>
      </c>
      <c r="H1927" t="s">
        <v>622</v>
      </c>
      <c r="J1927" t="s">
        <v>623</v>
      </c>
      <c r="K1927" s="1"/>
      <c r="L1927" s="1">
        <v>46158.40121527778</v>
      </c>
      <c r="M1927" s="2">
        <v>46158</v>
      </c>
      <c r="N1927" t="s">
        <v>638</v>
      </c>
      <c r="O1927" t="s">
        <v>625</v>
      </c>
      <c r="P1927">
        <v>1</v>
      </c>
      <c r="Q1927">
        <v>0</v>
      </c>
      <c r="R1927">
        <v>52.8</v>
      </c>
      <c r="S1927" t="s">
        <v>589</v>
      </c>
      <c r="T1927" t="s">
        <v>776</v>
      </c>
    </row>
    <row r="1928" spans="1:20" x14ac:dyDescent="0.3">
      <c r="A1928">
        <v>1927</v>
      </c>
      <c r="B1928">
        <v>91</v>
      </c>
      <c r="C1928">
        <v>2</v>
      </c>
      <c r="D1928">
        <v>29.46</v>
      </c>
      <c r="E1928">
        <v>2.95</v>
      </c>
      <c r="F1928">
        <v>0</v>
      </c>
      <c r="G1928">
        <v>0.1</v>
      </c>
      <c r="H1928" t="s">
        <v>622</v>
      </c>
      <c r="J1928" t="s">
        <v>623</v>
      </c>
      <c r="K1928" s="1"/>
      <c r="L1928" s="1">
        <v>46158.431817129633</v>
      </c>
      <c r="M1928" s="2">
        <v>46158</v>
      </c>
      <c r="N1928" t="s">
        <v>638</v>
      </c>
      <c r="O1928" t="s">
        <v>625</v>
      </c>
      <c r="P1928">
        <v>1</v>
      </c>
      <c r="Q1928">
        <v>0</v>
      </c>
      <c r="R1928">
        <v>29.46</v>
      </c>
      <c r="S1928" t="s">
        <v>177</v>
      </c>
      <c r="T1928" t="s">
        <v>776</v>
      </c>
    </row>
    <row r="1929" spans="1:20" x14ac:dyDescent="0.3">
      <c r="A1929">
        <v>1928</v>
      </c>
      <c r="B1929">
        <v>218</v>
      </c>
      <c r="C1929">
        <v>4</v>
      </c>
      <c r="D1929">
        <v>36.729999999999997</v>
      </c>
      <c r="E1929">
        <v>3.67</v>
      </c>
      <c r="F1929">
        <v>0</v>
      </c>
      <c r="G1929">
        <v>0.1</v>
      </c>
      <c r="H1929" t="s">
        <v>622</v>
      </c>
      <c r="J1929" t="s">
        <v>623</v>
      </c>
      <c r="K1929" s="1"/>
      <c r="L1929" s="1">
        <v>46158.43273148148</v>
      </c>
      <c r="M1929" s="2">
        <v>46158</v>
      </c>
      <c r="N1929" t="s">
        <v>638</v>
      </c>
      <c r="O1929" t="s">
        <v>625</v>
      </c>
      <c r="P1929">
        <v>1</v>
      </c>
      <c r="Q1929">
        <v>0</v>
      </c>
      <c r="R1929">
        <v>36.729999999999997</v>
      </c>
      <c r="S1929" t="s">
        <v>431</v>
      </c>
      <c r="T1929" t="s">
        <v>778</v>
      </c>
    </row>
    <row r="1930" spans="1:20" x14ac:dyDescent="0.3">
      <c r="A1930">
        <v>1929</v>
      </c>
      <c r="B1930">
        <v>84</v>
      </c>
      <c r="C1930">
        <v>3</v>
      </c>
      <c r="D1930">
        <v>130.72</v>
      </c>
      <c r="E1930">
        <v>13.07</v>
      </c>
      <c r="F1930">
        <v>0</v>
      </c>
      <c r="G1930">
        <v>0.1</v>
      </c>
      <c r="H1930" t="s">
        <v>622</v>
      </c>
      <c r="J1930" t="s">
        <v>623</v>
      </c>
      <c r="K1930" s="1"/>
      <c r="L1930" s="1">
        <v>46158.446446759262</v>
      </c>
      <c r="M1930" s="2">
        <v>46158</v>
      </c>
      <c r="N1930" t="s">
        <v>638</v>
      </c>
      <c r="O1930" t="s">
        <v>625</v>
      </c>
      <c r="P1930">
        <v>1</v>
      </c>
      <c r="Q1930">
        <v>0</v>
      </c>
      <c r="R1930">
        <v>130.72</v>
      </c>
      <c r="S1930" t="s">
        <v>163</v>
      </c>
      <c r="T1930" t="s">
        <v>777</v>
      </c>
    </row>
    <row r="1931" spans="1:20" x14ac:dyDescent="0.3">
      <c r="A1931">
        <v>1930</v>
      </c>
      <c r="B1931">
        <v>149</v>
      </c>
      <c r="C1931">
        <v>5</v>
      </c>
      <c r="D1931">
        <v>31.23</v>
      </c>
      <c r="E1931">
        <v>3.12</v>
      </c>
      <c r="F1931">
        <v>0</v>
      </c>
      <c r="G1931">
        <v>0.1</v>
      </c>
      <c r="H1931" t="s">
        <v>622</v>
      </c>
      <c r="J1931" t="s">
        <v>623</v>
      </c>
      <c r="K1931" s="1"/>
      <c r="L1931" s="1">
        <v>46158.475891203707</v>
      </c>
      <c r="M1931" s="2">
        <v>46158</v>
      </c>
      <c r="N1931" t="s">
        <v>638</v>
      </c>
      <c r="O1931" t="s">
        <v>625</v>
      </c>
      <c r="P1931">
        <v>1</v>
      </c>
      <c r="Q1931">
        <v>0</v>
      </c>
      <c r="R1931">
        <v>31.23</v>
      </c>
      <c r="S1931" t="s">
        <v>293</v>
      </c>
      <c r="T1931" t="s">
        <v>779</v>
      </c>
    </row>
    <row r="1932" spans="1:20" x14ac:dyDescent="0.3">
      <c r="A1932">
        <v>1931</v>
      </c>
      <c r="B1932">
        <v>294</v>
      </c>
      <c r="C1932">
        <v>5</v>
      </c>
      <c r="D1932">
        <v>18.399999999999999</v>
      </c>
      <c r="E1932">
        <v>1.84</v>
      </c>
      <c r="F1932">
        <v>0</v>
      </c>
      <c r="G1932">
        <v>0.1</v>
      </c>
      <c r="H1932" t="s">
        <v>626</v>
      </c>
      <c r="I1932">
        <v>5</v>
      </c>
      <c r="J1932" t="s">
        <v>627</v>
      </c>
      <c r="K1932" s="1">
        <v>46159.835879629631</v>
      </c>
      <c r="L1932" s="1">
        <v>46158.710879629631</v>
      </c>
      <c r="M1932" s="2">
        <v>46158</v>
      </c>
      <c r="N1932" t="s">
        <v>638</v>
      </c>
      <c r="O1932" t="s">
        <v>625</v>
      </c>
      <c r="P1932">
        <v>1</v>
      </c>
      <c r="Q1932">
        <v>1</v>
      </c>
      <c r="R1932">
        <v>0</v>
      </c>
      <c r="S1932" t="s">
        <v>583</v>
      </c>
      <c r="T1932" t="s">
        <v>779</v>
      </c>
    </row>
    <row r="1933" spans="1:20" x14ac:dyDescent="0.3">
      <c r="A1933">
        <v>1932</v>
      </c>
      <c r="B1933">
        <v>250</v>
      </c>
      <c r="C1933">
        <v>4</v>
      </c>
      <c r="D1933">
        <v>60.82</v>
      </c>
      <c r="E1933">
        <v>6.08</v>
      </c>
      <c r="F1933">
        <v>0</v>
      </c>
      <c r="G1933">
        <v>0.1</v>
      </c>
      <c r="H1933" t="s">
        <v>622</v>
      </c>
      <c r="J1933" t="s">
        <v>623</v>
      </c>
      <c r="K1933" s="1"/>
      <c r="L1933" s="1">
        <v>46159.464988425927</v>
      </c>
      <c r="M1933" s="2">
        <v>46159</v>
      </c>
      <c r="N1933" t="s">
        <v>638</v>
      </c>
      <c r="O1933" t="s">
        <v>625</v>
      </c>
      <c r="P1933">
        <v>1</v>
      </c>
      <c r="Q1933">
        <v>0</v>
      </c>
      <c r="R1933">
        <v>60.82</v>
      </c>
      <c r="S1933" t="s">
        <v>495</v>
      </c>
      <c r="T1933" t="s">
        <v>778</v>
      </c>
    </row>
    <row r="1934" spans="1:20" x14ac:dyDescent="0.3">
      <c r="A1934">
        <v>1933</v>
      </c>
      <c r="B1934">
        <v>136</v>
      </c>
      <c r="C1934">
        <v>4</v>
      </c>
      <c r="D1934">
        <v>56.86</v>
      </c>
      <c r="E1934">
        <v>5.69</v>
      </c>
      <c r="F1934">
        <v>0</v>
      </c>
      <c r="G1934">
        <v>0.1</v>
      </c>
      <c r="H1934" t="s">
        <v>622</v>
      </c>
      <c r="J1934" t="s">
        <v>623</v>
      </c>
      <c r="K1934" s="1"/>
      <c r="L1934" s="1">
        <v>46159.474953703706</v>
      </c>
      <c r="M1934" s="2">
        <v>46159</v>
      </c>
      <c r="N1934" t="s">
        <v>638</v>
      </c>
      <c r="O1934" t="s">
        <v>625</v>
      </c>
      <c r="P1934">
        <v>1</v>
      </c>
      <c r="Q1934">
        <v>0</v>
      </c>
      <c r="R1934">
        <v>56.86</v>
      </c>
      <c r="S1934" t="s">
        <v>267</v>
      </c>
      <c r="T1934" t="s">
        <v>778</v>
      </c>
    </row>
    <row r="1935" spans="1:20" x14ac:dyDescent="0.3">
      <c r="A1935">
        <v>1934</v>
      </c>
      <c r="B1935">
        <v>182</v>
      </c>
      <c r="C1935">
        <v>4</v>
      </c>
      <c r="D1935">
        <v>62.66</v>
      </c>
      <c r="E1935">
        <v>6.27</v>
      </c>
      <c r="F1935">
        <v>0</v>
      </c>
      <c r="G1935">
        <v>0.1</v>
      </c>
      <c r="H1935" t="s">
        <v>622</v>
      </c>
      <c r="J1935" t="s">
        <v>623</v>
      </c>
      <c r="K1935" s="1"/>
      <c r="L1935" s="1">
        <v>46160.360810185186</v>
      </c>
      <c r="M1935" s="2">
        <v>46160</v>
      </c>
      <c r="N1935" t="s">
        <v>638</v>
      </c>
      <c r="O1935" t="s">
        <v>625</v>
      </c>
      <c r="P1935">
        <v>1</v>
      </c>
      <c r="Q1935">
        <v>0</v>
      </c>
      <c r="R1935">
        <v>62.66</v>
      </c>
      <c r="S1935" t="s">
        <v>359</v>
      </c>
      <c r="T1935" t="s">
        <v>778</v>
      </c>
    </row>
    <row r="1936" spans="1:20" x14ac:dyDescent="0.3">
      <c r="A1936">
        <v>1935</v>
      </c>
      <c r="B1936">
        <v>39</v>
      </c>
      <c r="C1936">
        <v>5</v>
      </c>
      <c r="D1936">
        <v>234.81</v>
      </c>
      <c r="E1936">
        <v>23.48</v>
      </c>
      <c r="F1936">
        <v>0</v>
      </c>
      <c r="G1936">
        <v>0.1</v>
      </c>
      <c r="H1936" t="s">
        <v>622</v>
      </c>
      <c r="J1936" t="s">
        <v>623</v>
      </c>
      <c r="K1936" s="1"/>
      <c r="L1936" s="1">
        <v>46160.381597222222</v>
      </c>
      <c r="M1936" s="2">
        <v>46160</v>
      </c>
      <c r="N1936" t="s">
        <v>638</v>
      </c>
      <c r="O1936" t="s">
        <v>625</v>
      </c>
      <c r="P1936">
        <v>1</v>
      </c>
      <c r="Q1936">
        <v>0</v>
      </c>
      <c r="R1936">
        <v>234.81</v>
      </c>
      <c r="S1936" t="s">
        <v>74</v>
      </c>
      <c r="T1936" t="s">
        <v>779</v>
      </c>
    </row>
    <row r="1937" spans="1:20" x14ac:dyDescent="0.3">
      <c r="A1937">
        <v>1936</v>
      </c>
      <c r="B1937">
        <v>250</v>
      </c>
      <c r="C1937">
        <v>2</v>
      </c>
      <c r="D1937">
        <v>130.94</v>
      </c>
      <c r="E1937">
        <v>13.09</v>
      </c>
      <c r="F1937">
        <v>0</v>
      </c>
      <c r="G1937">
        <v>0.1</v>
      </c>
      <c r="H1937" t="s">
        <v>622</v>
      </c>
      <c r="J1937" t="s">
        <v>623</v>
      </c>
      <c r="K1937" s="1"/>
      <c r="L1937" s="1">
        <v>46160.412847222222</v>
      </c>
      <c r="M1937" s="2">
        <v>46160</v>
      </c>
      <c r="N1937" t="s">
        <v>638</v>
      </c>
      <c r="O1937" t="s">
        <v>625</v>
      </c>
      <c r="P1937">
        <v>1</v>
      </c>
      <c r="Q1937">
        <v>0</v>
      </c>
      <c r="R1937">
        <v>130.94</v>
      </c>
      <c r="S1937" t="s">
        <v>495</v>
      </c>
      <c r="T1937" t="s">
        <v>776</v>
      </c>
    </row>
    <row r="1938" spans="1:20" x14ac:dyDescent="0.3">
      <c r="A1938">
        <v>1937</v>
      </c>
      <c r="B1938">
        <v>250</v>
      </c>
      <c r="C1938">
        <v>3</v>
      </c>
      <c r="D1938">
        <v>172.68</v>
      </c>
      <c r="E1938">
        <v>17.27</v>
      </c>
      <c r="F1938">
        <v>0</v>
      </c>
      <c r="G1938">
        <v>0.1</v>
      </c>
      <c r="H1938" t="s">
        <v>622</v>
      </c>
      <c r="J1938" t="s">
        <v>623</v>
      </c>
      <c r="K1938" s="1"/>
      <c r="L1938" s="1">
        <v>46160.419456018521</v>
      </c>
      <c r="M1938" s="2">
        <v>46160</v>
      </c>
      <c r="N1938" t="s">
        <v>638</v>
      </c>
      <c r="O1938" t="s">
        <v>625</v>
      </c>
      <c r="P1938">
        <v>1</v>
      </c>
      <c r="Q1938">
        <v>0</v>
      </c>
      <c r="R1938">
        <v>172.68</v>
      </c>
      <c r="S1938" t="s">
        <v>495</v>
      </c>
      <c r="T1938" t="s">
        <v>777</v>
      </c>
    </row>
    <row r="1939" spans="1:20" x14ac:dyDescent="0.3">
      <c r="A1939">
        <v>1938</v>
      </c>
      <c r="B1939">
        <v>243</v>
      </c>
      <c r="C1939">
        <v>3</v>
      </c>
      <c r="D1939">
        <v>23.99</v>
      </c>
      <c r="E1939">
        <v>2.4</v>
      </c>
      <c r="F1939">
        <v>0</v>
      </c>
      <c r="G1939">
        <v>0.1</v>
      </c>
      <c r="H1939" t="s">
        <v>622</v>
      </c>
      <c r="J1939" t="s">
        <v>623</v>
      </c>
      <c r="K1939" s="1"/>
      <c r="L1939" s="1">
        <v>46160.422546296293</v>
      </c>
      <c r="M1939" s="2">
        <v>46160</v>
      </c>
      <c r="N1939" t="s">
        <v>638</v>
      </c>
      <c r="O1939" t="s">
        <v>625</v>
      </c>
      <c r="P1939">
        <v>1</v>
      </c>
      <c r="Q1939">
        <v>0</v>
      </c>
      <c r="R1939">
        <v>23.99</v>
      </c>
      <c r="S1939" t="s">
        <v>481</v>
      </c>
      <c r="T1939" t="s">
        <v>777</v>
      </c>
    </row>
    <row r="1940" spans="1:20" x14ac:dyDescent="0.3">
      <c r="A1940">
        <v>1939</v>
      </c>
      <c r="B1940">
        <v>281</v>
      </c>
      <c r="C1940">
        <v>5</v>
      </c>
      <c r="D1940">
        <v>119.65</v>
      </c>
      <c r="E1940">
        <v>11.97</v>
      </c>
      <c r="F1940">
        <v>0</v>
      </c>
      <c r="G1940">
        <v>0.1</v>
      </c>
      <c r="H1940" t="s">
        <v>622</v>
      </c>
      <c r="J1940" t="s">
        <v>623</v>
      </c>
      <c r="K1940" s="1"/>
      <c r="L1940" s="1">
        <v>46160.435949074075</v>
      </c>
      <c r="M1940" s="2">
        <v>46160</v>
      </c>
      <c r="N1940" t="s">
        <v>638</v>
      </c>
      <c r="O1940" t="s">
        <v>625</v>
      </c>
      <c r="P1940">
        <v>1</v>
      </c>
      <c r="Q1940">
        <v>0</v>
      </c>
      <c r="R1940">
        <v>119.65</v>
      </c>
      <c r="S1940" t="s">
        <v>557</v>
      </c>
      <c r="T1940" t="s">
        <v>779</v>
      </c>
    </row>
    <row r="1941" spans="1:20" x14ac:dyDescent="0.3">
      <c r="A1941">
        <v>1940</v>
      </c>
      <c r="B1941">
        <v>230</v>
      </c>
      <c r="C1941">
        <v>4</v>
      </c>
      <c r="D1941">
        <v>231.02</v>
      </c>
      <c r="E1941">
        <v>23.1</v>
      </c>
      <c r="F1941">
        <v>0</v>
      </c>
      <c r="G1941">
        <v>0.1</v>
      </c>
      <c r="H1941" t="s">
        <v>622</v>
      </c>
      <c r="J1941" t="s">
        <v>623</v>
      </c>
      <c r="K1941" s="1"/>
      <c r="L1941" s="1">
        <v>46160.490127314813</v>
      </c>
      <c r="M1941" s="2">
        <v>46160</v>
      </c>
      <c r="N1941" t="s">
        <v>638</v>
      </c>
      <c r="O1941" t="s">
        <v>625</v>
      </c>
      <c r="P1941">
        <v>1</v>
      </c>
      <c r="Q1941">
        <v>0</v>
      </c>
      <c r="R1941">
        <v>231.02</v>
      </c>
      <c r="S1941" t="s">
        <v>455</v>
      </c>
      <c r="T1941" t="s">
        <v>778</v>
      </c>
    </row>
    <row r="1942" spans="1:20" x14ac:dyDescent="0.3">
      <c r="A1942">
        <v>1941</v>
      </c>
      <c r="B1942">
        <v>149</v>
      </c>
      <c r="C1942">
        <v>5</v>
      </c>
      <c r="D1942">
        <v>35.659999999999997</v>
      </c>
      <c r="E1942">
        <v>3.57</v>
      </c>
      <c r="F1942">
        <v>0</v>
      </c>
      <c r="G1942">
        <v>0.1</v>
      </c>
      <c r="H1942" t="s">
        <v>622</v>
      </c>
      <c r="J1942" t="s">
        <v>623</v>
      </c>
      <c r="K1942" s="1"/>
      <c r="L1942" s="1">
        <v>46160.512685185182</v>
      </c>
      <c r="M1942" s="2">
        <v>46160</v>
      </c>
      <c r="N1942" t="s">
        <v>638</v>
      </c>
      <c r="O1942" t="s">
        <v>625</v>
      </c>
      <c r="P1942">
        <v>1</v>
      </c>
      <c r="Q1942">
        <v>0</v>
      </c>
      <c r="R1942">
        <v>35.659999999999997</v>
      </c>
      <c r="S1942" t="s">
        <v>293</v>
      </c>
      <c r="T1942" t="s">
        <v>779</v>
      </c>
    </row>
    <row r="1943" spans="1:20" x14ac:dyDescent="0.3">
      <c r="A1943">
        <v>1942</v>
      </c>
      <c r="B1943">
        <v>190</v>
      </c>
      <c r="C1943">
        <v>4</v>
      </c>
      <c r="D1943">
        <v>112.21</v>
      </c>
      <c r="E1943">
        <v>11.22</v>
      </c>
      <c r="F1943">
        <v>0</v>
      </c>
      <c r="G1943">
        <v>0.1</v>
      </c>
      <c r="H1943" t="s">
        <v>622</v>
      </c>
      <c r="J1943" t="s">
        <v>623</v>
      </c>
      <c r="K1943" s="1"/>
      <c r="L1943" s="1">
        <v>46160.629525462966</v>
      </c>
      <c r="M1943" s="2">
        <v>46160</v>
      </c>
      <c r="N1943" t="s">
        <v>638</v>
      </c>
      <c r="O1943" t="s">
        <v>625</v>
      </c>
      <c r="P1943">
        <v>1</v>
      </c>
      <c r="Q1943">
        <v>0</v>
      </c>
      <c r="R1943">
        <v>112.21</v>
      </c>
      <c r="S1943" t="s">
        <v>375</v>
      </c>
      <c r="T1943" t="s">
        <v>778</v>
      </c>
    </row>
    <row r="1944" spans="1:20" x14ac:dyDescent="0.3">
      <c r="A1944">
        <v>1943</v>
      </c>
      <c r="B1944">
        <v>277</v>
      </c>
      <c r="C1944">
        <v>2</v>
      </c>
      <c r="D1944">
        <v>78.239999999999995</v>
      </c>
      <c r="E1944">
        <v>7.82</v>
      </c>
      <c r="F1944">
        <v>0</v>
      </c>
      <c r="G1944">
        <v>0.1</v>
      </c>
      <c r="H1944" t="s">
        <v>622</v>
      </c>
      <c r="J1944" t="s">
        <v>623</v>
      </c>
      <c r="K1944" s="1"/>
      <c r="L1944" s="1">
        <v>46160.684027777781</v>
      </c>
      <c r="M1944" s="2">
        <v>46160</v>
      </c>
      <c r="N1944" t="s">
        <v>638</v>
      </c>
      <c r="O1944" t="s">
        <v>625</v>
      </c>
      <c r="P1944">
        <v>1</v>
      </c>
      <c r="Q1944">
        <v>0</v>
      </c>
      <c r="R1944">
        <v>78.239999999999995</v>
      </c>
      <c r="S1944" t="s">
        <v>549</v>
      </c>
      <c r="T1944" t="s">
        <v>776</v>
      </c>
    </row>
    <row r="1945" spans="1:20" x14ac:dyDescent="0.3">
      <c r="A1945">
        <v>1944</v>
      </c>
      <c r="B1945">
        <v>185</v>
      </c>
      <c r="C1945">
        <v>4</v>
      </c>
      <c r="D1945">
        <v>128.26</v>
      </c>
      <c r="E1945">
        <v>12.83</v>
      </c>
      <c r="F1945">
        <v>0</v>
      </c>
      <c r="G1945">
        <v>0.1</v>
      </c>
      <c r="H1945" t="s">
        <v>622</v>
      </c>
      <c r="J1945" t="s">
        <v>623</v>
      </c>
      <c r="K1945" s="1"/>
      <c r="L1945" s="1">
        <v>46160.767881944441</v>
      </c>
      <c r="M1945" s="2">
        <v>46160</v>
      </c>
      <c r="N1945" t="s">
        <v>638</v>
      </c>
      <c r="O1945" t="s">
        <v>625</v>
      </c>
      <c r="P1945">
        <v>1</v>
      </c>
      <c r="Q1945">
        <v>0</v>
      </c>
      <c r="R1945">
        <v>128.26</v>
      </c>
      <c r="S1945" t="s">
        <v>365</v>
      </c>
      <c r="T1945" t="s">
        <v>778</v>
      </c>
    </row>
    <row r="1946" spans="1:20" x14ac:dyDescent="0.3">
      <c r="A1946">
        <v>1945</v>
      </c>
      <c r="B1946">
        <v>16</v>
      </c>
      <c r="C1946">
        <v>5</v>
      </c>
      <c r="D1946">
        <v>300</v>
      </c>
      <c r="E1946">
        <v>30</v>
      </c>
      <c r="F1946">
        <v>0</v>
      </c>
      <c r="G1946">
        <v>0.1</v>
      </c>
      <c r="H1946" t="s">
        <v>622</v>
      </c>
      <c r="J1946" t="s">
        <v>623</v>
      </c>
      <c r="K1946" s="1"/>
      <c r="L1946" s="1">
        <v>46160.807233796295</v>
      </c>
      <c r="M1946" s="2">
        <v>46160</v>
      </c>
      <c r="N1946" t="s">
        <v>638</v>
      </c>
      <c r="O1946" t="s">
        <v>625</v>
      </c>
      <c r="P1946">
        <v>1</v>
      </c>
      <c r="Q1946">
        <v>0</v>
      </c>
      <c r="R1946">
        <v>300</v>
      </c>
      <c r="S1946" t="s">
        <v>28</v>
      </c>
      <c r="T1946" t="s">
        <v>779</v>
      </c>
    </row>
    <row r="1947" spans="1:20" x14ac:dyDescent="0.3">
      <c r="A1947">
        <v>1946</v>
      </c>
      <c r="B1947">
        <v>250</v>
      </c>
      <c r="C1947">
        <v>4</v>
      </c>
      <c r="D1947">
        <v>51.34</v>
      </c>
      <c r="E1947">
        <v>5.13</v>
      </c>
      <c r="F1947">
        <v>0</v>
      </c>
      <c r="G1947">
        <v>0.1</v>
      </c>
      <c r="H1947" t="s">
        <v>622</v>
      </c>
      <c r="J1947" t="s">
        <v>623</v>
      </c>
      <c r="K1947" s="1"/>
      <c r="L1947" s="1">
        <v>46161.466840277775</v>
      </c>
      <c r="M1947" s="2">
        <v>46161</v>
      </c>
      <c r="N1947" t="s">
        <v>638</v>
      </c>
      <c r="O1947" t="s">
        <v>625</v>
      </c>
      <c r="P1947">
        <v>1</v>
      </c>
      <c r="Q1947">
        <v>0</v>
      </c>
      <c r="R1947">
        <v>51.34</v>
      </c>
      <c r="S1947" t="s">
        <v>495</v>
      </c>
      <c r="T1947" t="s">
        <v>778</v>
      </c>
    </row>
    <row r="1948" spans="1:20" x14ac:dyDescent="0.3">
      <c r="A1948">
        <v>1947</v>
      </c>
      <c r="B1948">
        <v>39</v>
      </c>
      <c r="C1948">
        <v>5</v>
      </c>
      <c r="D1948">
        <v>127.94</v>
      </c>
      <c r="E1948">
        <v>12.79</v>
      </c>
      <c r="F1948">
        <v>0</v>
      </c>
      <c r="G1948">
        <v>0.1</v>
      </c>
      <c r="H1948" t="s">
        <v>622</v>
      </c>
      <c r="J1948" t="s">
        <v>623</v>
      </c>
      <c r="K1948" s="1"/>
      <c r="L1948" s="1">
        <v>46161.597025462965</v>
      </c>
      <c r="M1948" s="2">
        <v>46161</v>
      </c>
      <c r="N1948" t="s">
        <v>638</v>
      </c>
      <c r="O1948" t="s">
        <v>625</v>
      </c>
      <c r="P1948">
        <v>1</v>
      </c>
      <c r="Q1948">
        <v>0</v>
      </c>
      <c r="R1948">
        <v>127.94</v>
      </c>
      <c r="S1948" t="s">
        <v>74</v>
      </c>
      <c r="T1948" t="s">
        <v>779</v>
      </c>
    </row>
    <row r="1949" spans="1:20" x14ac:dyDescent="0.3">
      <c r="A1949">
        <v>1948</v>
      </c>
      <c r="B1949">
        <v>189</v>
      </c>
      <c r="C1949">
        <v>4</v>
      </c>
      <c r="D1949">
        <v>46.69</v>
      </c>
      <c r="E1949">
        <v>4.67</v>
      </c>
      <c r="F1949">
        <v>0</v>
      </c>
      <c r="G1949">
        <v>0.1</v>
      </c>
      <c r="H1949" t="s">
        <v>622</v>
      </c>
      <c r="J1949" t="s">
        <v>623</v>
      </c>
      <c r="K1949" s="1"/>
      <c r="L1949" s="1">
        <v>46161.673784722225</v>
      </c>
      <c r="M1949" s="2">
        <v>46161</v>
      </c>
      <c r="N1949" t="s">
        <v>638</v>
      </c>
      <c r="O1949" t="s">
        <v>625</v>
      </c>
      <c r="P1949">
        <v>1</v>
      </c>
      <c r="Q1949">
        <v>0</v>
      </c>
      <c r="R1949">
        <v>46.69</v>
      </c>
      <c r="S1949" t="s">
        <v>373</v>
      </c>
      <c r="T1949" t="s">
        <v>778</v>
      </c>
    </row>
    <row r="1950" spans="1:20" x14ac:dyDescent="0.3">
      <c r="A1950">
        <v>1949</v>
      </c>
      <c r="B1950">
        <v>231</v>
      </c>
      <c r="C1950">
        <v>2</v>
      </c>
      <c r="D1950">
        <v>131.44999999999999</v>
      </c>
      <c r="E1950">
        <v>13.15</v>
      </c>
      <c r="F1950">
        <v>0</v>
      </c>
      <c r="G1950">
        <v>0.1</v>
      </c>
      <c r="H1950" t="s">
        <v>622</v>
      </c>
      <c r="J1950" t="s">
        <v>623</v>
      </c>
      <c r="K1950" s="1"/>
      <c r="L1950" s="1">
        <v>46161.752002314817</v>
      </c>
      <c r="M1950" s="2">
        <v>46161</v>
      </c>
      <c r="N1950" t="s">
        <v>638</v>
      </c>
      <c r="O1950" t="s">
        <v>625</v>
      </c>
      <c r="P1950">
        <v>1</v>
      </c>
      <c r="Q1950">
        <v>0</v>
      </c>
      <c r="R1950">
        <v>131.44999999999999</v>
      </c>
      <c r="S1950" t="s">
        <v>457</v>
      </c>
      <c r="T1950" t="s">
        <v>776</v>
      </c>
    </row>
    <row r="1951" spans="1:20" x14ac:dyDescent="0.3">
      <c r="A1951">
        <v>1950</v>
      </c>
      <c r="B1951">
        <v>47</v>
      </c>
      <c r="C1951">
        <v>5</v>
      </c>
      <c r="D1951">
        <v>17.48</v>
      </c>
      <c r="E1951">
        <v>1.75</v>
      </c>
      <c r="F1951">
        <v>0</v>
      </c>
      <c r="G1951">
        <v>0.1</v>
      </c>
      <c r="H1951" t="s">
        <v>622</v>
      </c>
      <c r="J1951" t="s">
        <v>623</v>
      </c>
      <c r="K1951" s="1"/>
      <c r="L1951" s="1">
        <v>46161.783136574071</v>
      </c>
      <c r="M1951" s="2">
        <v>46161</v>
      </c>
      <c r="N1951" t="s">
        <v>638</v>
      </c>
      <c r="O1951" t="s">
        <v>625</v>
      </c>
      <c r="P1951">
        <v>1</v>
      </c>
      <c r="Q1951">
        <v>0</v>
      </c>
      <c r="R1951">
        <v>17.48</v>
      </c>
      <c r="S1951" t="s">
        <v>90</v>
      </c>
      <c r="T1951" t="s">
        <v>779</v>
      </c>
    </row>
    <row r="1952" spans="1:20" x14ac:dyDescent="0.3">
      <c r="A1952">
        <v>1951</v>
      </c>
      <c r="B1952">
        <v>253</v>
      </c>
      <c r="C1952">
        <v>5</v>
      </c>
      <c r="D1952">
        <v>28.21</v>
      </c>
      <c r="E1952">
        <v>2.82</v>
      </c>
      <c r="F1952">
        <v>0</v>
      </c>
      <c r="G1952">
        <v>0.1</v>
      </c>
      <c r="H1952" t="s">
        <v>622</v>
      </c>
      <c r="J1952" t="s">
        <v>623</v>
      </c>
      <c r="K1952" s="1"/>
      <c r="L1952" s="1">
        <v>46162.319479166668</v>
      </c>
      <c r="M1952" s="2">
        <v>46162</v>
      </c>
      <c r="N1952" t="s">
        <v>638</v>
      </c>
      <c r="O1952" t="s">
        <v>625</v>
      </c>
      <c r="P1952">
        <v>1</v>
      </c>
      <c r="Q1952">
        <v>0</v>
      </c>
      <c r="R1952">
        <v>28.21</v>
      </c>
      <c r="S1952" t="s">
        <v>501</v>
      </c>
      <c r="T1952" t="s">
        <v>779</v>
      </c>
    </row>
    <row r="1953" spans="1:20" x14ac:dyDescent="0.3">
      <c r="A1953">
        <v>1952</v>
      </c>
      <c r="B1953">
        <v>82</v>
      </c>
      <c r="C1953">
        <v>5</v>
      </c>
      <c r="D1953">
        <v>44.32</v>
      </c>
      <c r="E1953">
        <v>4.43</v>
      </c>
      <c r="F1953">
        <v>0</v>
      </c>
      <c r="G1953">
        <v>0.1</v>
      </c>
      <c r="H1953" t="s">
        <v>622</v>
      </c>
      <c r="J1953" t="s">
        <v>623</v>
      </c>
      <c r="K1953" s="1"/>
      <c r="L1953" s="1">
        <v>46162.375208333331</v>
      </c>
      <c r="M1953" s="2">
        <v>46162</v>
      </c>
      <c r="N1953" t="s">
        <v>638</v>
      </c>
      <c r="O1953" t="s">
        <v>625</v>
      </c>
      <c r="P1953">
        <v>1</v>
      </c>
      <c r="Q1953">
        <v>0</v>
      </c>
      <c r="R1953">
        <v>44.32</v>
      </c>
      <c r="S1953" t="s">
        <v>159</v>
      </c>
      <c r="T1953" t="s">
        <v>779</v>
      </c>
    </row>
    <row r="1954" spans="1:20" x14ac:dyDescent="0.3">
      <c r="A1954">
        <v>1953</v>
      </c>
      <c r="B1954">
        <v>149</v>
      </c>
      <c r="C1954">
        <v>5</v>
      </c>
      <c r="D1954">
        <v>29.31</v>
      </c>
      <c r="E1954">
        <v>2.93</v>
      </c>
      <c r="F1954">
        <v>0</v>
      </c>
      <c r="G1954">
        <v>0.1</v>
      </c>
      <c r="H1954" t="s">
        <v>622</v>
      </c>
      <c r="J1954" t="s">
        <v>623</v>
      </c>
      <c r="K1954" s="1"/>
      <c r="L1954" s="1">
        <v>46162.392025462963</v>
      </c>
      <c r="M1954" s="2">
        <v>46162</v>
      </c>
      <c r="N1954" t="s">
        <v>638</v>
      </c>
      <c r="O1954" t="s">
        <v>625</v>
      </c>
      <c r="P1954">
        <v>1</v>
      </c>
      <c r="Q1954">
        <v>0</v>
      </c>
      <c r="R1954">
        <v>29.31</v>
      </c>
      <c r="S1954" t="s">
        <v>293</v>
      </c>
      <c r="T1954" t="s">
        <v>779</v>
      </c>
    </row>
    <row r="1955" spans="1:20" x14ac:dyDescent="0.3">
      <c r="A1955">
        <v>1954</v>
      </c>
      <c r="B1955">
        <v>292</v>
      </c>
      <c r="C1955">
        <v>5</v>
      </c>
      <c r="D1955">
        <v>18.66</v>
      </c>
      <c r="E1955">
        <v>1.87</v>
      </c>
      <c r="F1955">
        <v>0</v>
      </c>
      <c r="G1955">
        <v>0.1</v>
      </c>
      <c r="H1955" t="s">
        <v>622</v>
      </c>
      <c r="J1955" t="s">
        <v>623</v>
      </c>
      <c r="K1955" s="1"/>
      <c r="L1955" s="1">
        <v>46162.495138888888</v>
      </c>
      <c r="M1955" s="2">
        <v>46162</v>
      </c>
      <c r="N1955" t="s">
        <v>638</v>
      </c>
      <c r="O1955" t="s">
        <v>625</v>
      </c>
      <c r="P1955">
        <v>1</v>
      </c>
      <c r="Q1955">
        <v>0</v>
      </c>
      <c r="R1955">
        <v>18.66</v>
      </c>
      <c r="S1955" t="s">
        <v>579</v>
      </c>
      <c r="T1955" t="s">
        <v>779</v>
      </c>
    </row>
    <row r="1956" spans="1:20" x14ac:dyDescent="0.3">
      <c r="A1956">
        <v>1955</v>
      </c>
      <c r="B1956">
        <v>27</v>
      </c>
      <c r="C1956">
        <v>3</v>
      </c>
      <c r="D1956">
        <v>95.92</v>
      </c>
      <c r="E1956">
        <v>9.59</v>
      </c>
      <c r="F1956">
        <v>0</v>
      </c>
      <c r="G1956">
        <v>0.1</v>
      </c>
      <c r="H1956" t="s">
        <v>622</v>
      </c>
      <c r="J1956" t="s">
        <v>623</v>
      </c>
      <c r="K1956" s="1"/>
      <c r="L1956" s="1">
        <v>46162.624120370368</v>
      </c>
      <c r="M1956" s="2">
        <v>46162</v>
      </c>
      <c r="N1956" t="s">
        <v>638</v>
      </c>
      <c r="O1956" t="s">
        <v>625</v>
      </c>
      <c r="P1956">
        <v>1</v>
      </c>
      <c r="Q1956">
        <v>0</v>
      </c>
      <c r="R1956">
        <v>95.92</v>
      </c>
      <c r="S1956" t="s">
        <v>50</v>
      </c>
      <c r="T1956" t="s">
        <v>777</v>
      </c>
    </row>
    <row r="1957" spans="1:20" x14ac:dyDescent="0.3">
      <c r="A1957">
        <v>1956</v>
      </c>
      <c r="B1957">
        <v>39</v>
      </c>
      <c r="C1957">
        <v>5</v>
      </c>
      <c r="D1957">
        <v>228.92</v>
      </c>
      <c r="E1957">
        <v>22.89</v>
      </c>
      <c r="F1957">
        <v>0</v>
      </c>
      <c r="G1957">
        <v>0.1</v>
      </c>
      <c r="H1957" t="s">
        <v>622</v>
      </c>
      <c r="J1957" t="s">
        <v>623</v>
      </c>
      <c r="K1957" s="1"/>
      <c r="L1957" s="1">
        <v>46162.67496527778</v>
      </c>
      <c r="M1957" s="2">
        <v>46162</v>
      </c>
      <c r="N1957" t="s">
        <v>638</v>
      </c>
      <c r="O1957" t="s">
        <v>625</v>
      </c>
      <c r="P1957">
        <v>1</v>
      </c>
      <c r="Q1957">
        <v>0</v>
      </c>
      <c r="R1957">
        <v>228.92</v>
      </c>
      <c r="S1957" t="s">
        <v>74</v>
      </c>
      <c r="T1957" t="s">
        <v>779</v>
      </c>
    </row>
    <row r="1958" spans="1:20" x14ac:dyDescent="0.3">
      <c r="A1958">
        <v>1957</v>
      </c>
      <c r="B1958">
        <v>250</v>
      </c>
      <c r="C1958">
        <v>3</v>
      </c>
      <c r="D1958">
        <v>50.23</v>
      </c>
      <c r="E1958">
        <v>5.0199999999999996</v>
      </c>
      <c r="F1958">
        <v>0</v>
      </c>
      <c r="G1958">
        <v>0.1</v>
      </c>
      <c r="H1958" t="s">
        <v>622</v>
      </c>
      <c r="J1958" t="s">
        <v>623</v>
      </c>
      <c r="K1958" s="1"/>
      <c r="L1958" s="1">
        <v>46162.700428240743</v>
      </c>
      <c r="M1958" s="2">
        <v>46162</v>
      </c>
      <c r="N1958" t="s">
        <v>638</v>
      </c>
      <c r="O1958" t="s">
        <v>625</v>
      </c>
      <c r="P1958">
        <v>1</v>
      </c>
      <c r="Q1958">
        <v>0</v>
      </c>
      <c r="R1958">
        <v>50.23</v>
      </c>
      <c r="S1958" t="s">
        <v>495</v>
      </c>
      <c r="T1958" t="s">
        <v>777</v>
      </c>
    </row>
    <row r="1959" spans="1:20" x14ac:dyDescent="0.3">
      <c r="A1959">
        <v>1958</v>
      </c>
      <c r="B1959">
        <v>261</v>
      </c>
      <c r="C1959">
        <v>3</v>
      </c>
      <c r="D1959">
        <v>55.96</v>
      </c>
      <c r="E1959">
        <v>5.6</v>
      </c>
      <c r="F1959">
        <v>0</v>
      </c>
      <c r="G1959">
        <v>0.1</v>
      </c>
      <c r="H1959" t="s">
        <v>622</v>
      </c>
      <c r="J1959" t="s">
        <v>623</v>
      </c>
      <c r="K1959" s="1"/>
      <c r="L1959" s="1">
        <v>46163.437222222223</v>
      </c>
      <c r="M1959" s="2">
        <v>46163</v>
      </c>
      <c r="N1959" t="s">
        <v>638</v>
      </c>
      <c r="O1959" t="s">
        <v>625</v>
      </c>
      <c r="P1959">
        <v>1</v>
      </c>
      <c r="Q1959">
        <v>0</v>
      </c>
      <c r="R1959">
        <v>55.96</v>
      </c>
      <c r="S1959" t="s">
        <v>517</v>
      </c>
      <c r="T1959" t="s">
        <v>777</v>
      </c>
    </row>
    <row r="1960" spans="1:20" x14ac:dyDescent="0.3">
      <c r="A1960">
        <v>1959</v>
      </c>
      <c r="B1960">
        <v>229</v>
      </c>
      <c r="C1960">
        <v>2</v>
      </c>
      <c r="D1960">
        <v>148.16</v>
      </c>
      <c r="E1960">
        <v>14.82</v>
      </c>
      <c r="F1960">
        <v>0</v>
      </c>
      <c r="G1960">
        <v>0.1</v>
      </c>
      <c r="H1960" t="s">
        <v>622</v>
      </c>
      <c r="J1960" t="s">
        <v>623</v>
      </c>
      <c r="K1960" s="1"/>
      <c r="L1960" s="1">
        <v>46163.590046296296</v>
      </c>
      <c r="M1960" s="2">
        <v>46163</v>
      </c>
      <c r="N1960" t="s">
        <v>638</v>
      </c>
      <c r="O1960" t="s">
        <v>625</v>
      </c>
      <c r="P1960">
        <v>1</v>
      </c>
      <c r="Q1960">
        <v>0</v>
      </c>
      <c r="R1960">
        <v>148.16</v>
      </c>
      <c r="S1960" t="s">
        <v>453</v>
      </c>
      <c r="T1960" t="s">
        <v>776</v>
      </c>
    </row>
    <row r="1961" spans="1:20" x14ac:dyDescent="0.3">
      <c r="A1961">
        <v>1960</v>
      </c>
      <c r="B1961">
        <v>156</v>
      </c>
      <c r="C1961">
        <v>3</v>
      </c>
      <c r="D1961">
        <v>36.44</v>
      </c>
      <c r="E1961">
        <v>3.64</v>
      </c>
      <c r="F1961">
        <v>0</v>
      </c>
      <c r="G1961">
        <v>0.1</v>
      </c>
      <c r="H1961" t="s">
        <v>622</v>
      </c>
      <c r="J1961" t="s">
        <v>623</v>
      </c>
      <c r="K1961" s="1"/>
      <c r="L1961" s="1">
        <v>46163.626030092593</v>
      </c>
      <c r="M1961" s="2">
        <v>46163</v>
      </c>
      <c r="N1961" t="s">
        <v>638</v>
      </c>
      <c r="O1961" t="s">
        <v>625</v>
      </c>
      <c r="P1961">
        <v>1</v>
      </c>
      <c r="Q1961">
        <v>0</v>
      </c>
      <c r="R1961">
        <v>36.44</v>
      </c>
      <c r="S1961" t="s">
        <v>307</v>
      </c>
      <c r="T1961" t="s">
        <v>777</v>
      </c>
    </row>
    <row r="1962" spans="1:20" x14ac:dyDescent="0.3">
      <c r="A1962">
        <v>1961</v>
      </c>
      <c r="B1962">
        <v>250</v>
      </c>
      <c r="C1962">
        <v>5</v>
      </c>
      <c r="D1962">
        <v>78.150000000000006</v>
      </c>
      <c r="E1962">
        <v>7.82</v>
      </c>
      <c r="F1962">
        <v>0</v>
      </c>
      <c r="G1962">
        <v>0.1</v>
      </c>
      <c r="H1962" t="s">
        <v>622</v>
      </c>
      <c r="J1962" t="s">
        <v>623</v>
      </c>
      <c r="K1962" s="1"/>
      <c r="L1962" s="1">
        <v>46163.722534722219</v>
      </c>
      <c r="M1962" s="2">
        <v>46163</v>
      </c>
      <c r="N1962" t="s">
        <v>638</v>
      </c>
      <c r="O1962" t="s">
        <v>625</v>
      </c>
      <c r="P1962">
        <v>1</v>
      </c>
      <c r="Q1962">
        <v>0</v>
      </c>
      <c r="R1962">
        <v>78.150000000000006</v>
      </c>
      <c r="S1962" t="s">
        <v>495</v>
      </c>
      <c r="T1962" t="s">
        <v>779</v>
      </c>
    </row>
    <row r="1963" spans="1:20" x14ac:dyDescent="0.3">
      <c r="A1963">
        <v>1962</v>
      </c>
      <c r="B1963">
        <v>41</v>
      </c>
      <c r="C1963">
        <v>4</v>
      </c>
      <c r="D1963">
        <v>104.54</v>
      </c>
      <c r="E1963">
        <v>10.45</v>
      </c>
      <c r="F1963">
        <v>0</v>
      </c>
      <c r="G1963">
        <v>0.1</v>
      </c>
      <c r="H1963" t="s">
        <v>622</v>
      </c>
      <c r="J1963" t="s">
        <v>623</v>
      </c>
      <c r="K1963" s="1"/>
      <c r="L1963" s="1">
        <v>46164.418715277781</v>
      </c>
      <c r="M1963" s="2">
        <v>46164</v>
      </c>
      <c r="N1963" t="s">
        <v>638</v>
      </c>
      <c r="O1963" t="s">
        <v>625</v>
      </c>
      <c r="P1963">
        <v>1</v>
      </c>
      <c r="Q1963">
        <v>0</v>
      </c>
      <c r="R1963">
        <v>104.54</v>
      </c>
      <c r="S1963" t="s">
        <v>78</v>
      </c>
      <c r="T1963" t="s">
        <v>778</v>
      </c>
    </row>
    <row r="1964" spans="1:20" x14ac:dyDescent="0.3">
      <c r="A1964">
        <v>1963</v>
      </c>
      <c r="B1964">
        <v>252</v>
      </c>
      <c r="C1964">
        <v>4</v>
      </c>
      <c r="D1964">
        <v>31.44</v>
      </c>
      <c r="E1964">
        <v>3.14</v>
      </c>
      <c r="F1964">
        <v>0</v>
      </c>
      <c r="G1964">
        <v>0.1</v>
      </c>
      <c r="H1964" t="s">
        <v>622</v>
      </c>
      <c r="J1964" t="s">
        <v>623</v>
      </c>
      <c r="K1964" s="1"/>
      <c r="L1964" s="1">
        <v>46164.454039351855</v>
      </c>
      <c r="M1964" s="2">
        <v>46164</v>
      </c>
      <c r="N1964" t="s">
        <v>638</v>
      </c>
      <c r="O1964" t="s">
        <v>625</v>
      </c>
      <c r="P1964">
        <v>1</v>
      </c>
      <c r="Q1964">
        <v>0</v>
      </c>
      <c r="R1964">
        <v>31.44</v>
      </c>
      <c r="S1964" t="s">
        <v>499</v>
      </c>
      <c r="T1964" t="s">
        <v>778</v>
      </c>
    </row>
    <row r="1965" spans="1:20" x14ac:dyDescent="0.3">
      <c r="A1965">
        <v>1964</v>
      </c>
      <c r="B1965">
        <v>25</v>
      </c>
      <c r="C1965">
        <v>3</v>
      </c>
      <c r="D1965">
        <v>132.16</v>
      </c>
      <c r="E1965">
        <v>13.22</v>
      </c>
      <c r="F1965">
        <v>0</v>
      </c>
      <c r="G1965">
        <v>0.1</v>
      </c>
      <c r="H1965" t="s">
        <v>626</v>
      </c>
      <c r="I1965">
        <v>4</v>
      </c>
      <c r="J1965" t="s">
        <v>628</v>
      </c>
      <c r="K1965" s="1">
        <v>46165.060532407406</v>
      </c>
      <c r="L1965" s="1">
        <v>46164.602199074077</v>
      </c>
      <c r="M1965" s="2">
        <v>46164</v>
      </c>
      <c r="N1965" t="s">
        <v>638</v>
      </c>
      <c r="O1965" t="s">
        <v>625</v>
      </c>
      <c r="P1965">
        <v>1</v>
      </c>
      <c r="Q1965">
        <v>1</v>
      </c>
      <c r="R1965">
        <v>0</v>
      </c>
      <c r="S1965" t="s">
        <v>46</v>
      </c>
      <c r="T1965" t="s">
        <v>777</v>
      </c>
    </row>
    <row r="1966" spans="1:20" x14ac:dyDescent="0.3">
      <c r="A1966">
        <v>1965</v>
      </c>
      <c r="B1966">
        <v>285</v>
      </c>
      <c r="C1966">
        <v>4</v>
      </c>
      <c r="D1966">
        <v>50.27</v>
      </c>
      <c r="E1966">
        <v>5.03</v>
      </c>
      <c r="F1966">
        <v>0</v>
      </c>
      <c r="G1966">
        <v>0.1</v>
      </c>
      <c r="H1966" t="s">
        <v>622</v>
      </c>
      <c r="J1966" t="s">
        <v>623</v>
      </c>
      <c r="K1966" s="1"/>
      <c r="L1966" s="1">
        <v>46164.685312499998</v>
      </c>
      <c r="M1966" s="2">
        <v>46164</v>
      </c>
      <c r="N1966" t="s">
        <v>638</v>
      </c>
      <c r="O1966" t="s">
        <v>625</v>
      </c>
      <c r="P1966">
        <v>1</v>
      </c>
      <c r="Q1966">
        <v>0</v>
      </c>
      <c r="R1966">
        <v>50.27</v>
      </c>
      <c r="S1966" t="s">
        <v>565</v>
      </c>
      <c r="T1966" t="s">
        <v>778</v>
      </c>
    </row>
    <row r="1967" spans="1:20" x14ac:dyDescent="0.3">
      <c r="A1967">
        <v>1966</v>
      </c>
      <c r="B1967">
        <v>11</v>
      </c>
      <c r="C1967">
        <v>5</v>
      </c>
      <c r="D1967">
        <v>280.92</v>
      </c>
      <c r="E1967">
        <v>28.09</v>
      </c>
      <c r="F1967">
        <v>0</v>
      </c>
      <c r="G1967">
        <v>0.1</v>
      </c>
      <c r="H1967" t="s">
        <v>622</v>
      </c>
      <c r="J1967" t="s">
        <v>623</v>
      </c>
      <c r="K1967" s="1"/>
      <c r="L1967" s="1">
        <v>46164.768564814818</v>
      </c>
      <c r="M1967" s="2">
        <v>46164</v>
      </c>
      <c r="N1967" t="s">
        <v>638</v>
      </c>
      <c r="O1967" t="s">
        <v>625</v>
      </c>
      <c r="P1967">
        <v>1</v>
      </c>
      <c r="Q1967">
        <v>0</v>
      </c>
      <c r="R1967">
        <v>280.92</v>
      </c>
      <c r="S1967" t="s">
        <v>18</v>
      </c>
      <c r="T1967" t="s">
        <v>779</v>
      </c>
    </row>
    <row r="1968" spans="1:20" x14ac:dyDescent="0.3">
      <c r="A1968">
        <v>1967</v>
      </c>
      <c r="B1968">
        <v>170</v>
      </c>
      <c r="C1968">
        <v>5</v>
      </c>
      <c r="D1968">
        <v>99.06</v>
      </c>
      <c r="E1968">
        <v>9.91</v>
      </c>
      <c r="F1968">
        <v>0</v>
      </c>
      <c r="G1968">
        <v>0.1</v>
      </c>
      <c r="H1968" t="s">
        <v>622</v>
      </c>
      <c r="J1968" t="s">
        <v>623</v>
      </c>
      <c r="K1968" s="1"/>
      <c r="L1968" s="1">
        <v>46165.330358796295</v>
      </c>
      <c r="M1968" s="2">
        <v>46165</v>
      </c>
      <c r="N1968" t="s">
        <v>638</v>
      </c>
      <c r="O1968" t="s">
        <v>625</v>
      </c>
      <c r="P1968">
        <v>1</v>
      </c>
      <c r="Q1968">
        <v>0</v>
      </c>
      <c r="R1968">
        <v>99.06</v>
      </c>
      <c r="S1968" t="s">
        <v>335</v>
      </c>
      <c r="T1968" t="s">
        <v>779</v>
      </c>
    </row>
    <row r="1969" spans="1:20" x14ac:dyDescent="0.3">
      <c r="A1969">
        <v>1968</v>
      </c>
      <c r="B1969">
        <v>96</v>
      </c>
      <c r="C1969">
        <v>3</v>
      </c>
      <c r="D1969">
        <v>152.94</v>
      </c>
      <c r="E1969">
        <v>15.29</v>
      </c>
      <c r="F1969">
        <v>0</v>
      </c>
      <c r="G1969">
        <v>0.1</v>
      </c>
      <c r="H1969" t="s">
        <v>622</v>
      </c>
      <c r="J1969" t="s">
        <v>623</v>
      </c>
      <c r="K1969" s="1"/>
      <c r="L1969" s="1">
        <v>46165.366620370369</v>
      </c>
      <c r="M1969" s="2">
        <v>46165</v>
      </c>
      <c r="N1969" t="s">
        <v>638</v>
      </c>
      <c r="O1969" t="s">
        <v>625</v>
      </c>
      <c r="P1969">
        <v>1</v>
      </c>
      <c r="Q1969">
        <v>0</v>
      </c>
      <c r="R1969">
        <v>152.94</v>
      </c>
      <c r="S1969" t="s">
        <v>187</v>
      </c>
      <c r="T1969" t="s">
        <v>777</v>
      </c>
    </row>
    <row r="1970" spans="1:20" x14ac:dyDescent="0.3">
      <c r="A1970">
        <v>1969</v>
      </c>
      <c r="B1970">
        <v>200</v>
      </c>
      <c r="C1970">
        <v>2</v>
      </c>
      <c r="D1970">
        <v>38.82</v>
      </c>
      <c r="E1970">
        <v>3.88</v>
      </c>
      <c r="F1970">
        <v>0</v>
      </c>
      <c r="G1970">
        <v>0.1</v>
      </c>
      <c r="H1970" t="s">
        <v>622</v>
      </c>
      <c r="J1970" t="s">
        <v>623</v>
      </c>
      <c r="K1970" s="1"/>
      <c r="L1970" s="1">
        <v>46165.387592592589</v>
      </c>
      <c r="M1970" s="2">
        <v>46165</v>
      </c>
      <c r="N1970" t="s">
        <v>638</v>
      </c>
      <c r="O1970" t="s">
        <v>625</v>
      </c>
      <c r="P1970">
        <v>1</v>
      </c>
      <c r="Q1970">
        <v>0</v>
      </c>
      <c r="R1970">
        <v>38.82</v>
      </c>
      <c r="S1970" t="s">
        <v>395</v>
      </c>
      <c r="T1970" t="s">
        <v>776</v>
      </c>
    </row>
    <row r="1971" spans="1:20" x14ac:dyDescent="0.3">
      <c r="A1971">
        <v>1970</v>
      </c>
      <c r="B1971">
        <v>82</v>
      </c>
      <c r="C1971">
        <v>5</v>
      </c>
      <c r="D1971">
        <v>48.94</v>
      </c>
      <c r="E1971">
        <v>4.8899999999999997</v>
      </c>
      <c r="F1971">
        <v>0</v>
      </c>
      <c r="G1971">
        <v>0.1</v>
      </c>
      <c r="H1971" t="s">
        <v>622</v>
      </c>
      <c r="J1971" t="s">
        <v>623</v>
      </c>
      <c r="K1971" s="1"/>
      <c r="L1971" s="1">
        <v>46165.388807870368</v>
      </c>
      <c r="M1971" s="2">
        <v>46165</v>
      </c>
      <c r="N1971" t="s">
        <v>638</v>
      </c>
      <c r="O1971" t="s">
        <v>625</v>
      </c>
      <c r="P1971">
        <v>1</v>
      </c>
      <c r="Q1971">
        <v>0</v>
      </c>
      <c r="R1971">
        <v>48.94</v>
      </c>
      <c r="S1971" t="s">
        <v>159</v>
      </c>
      <c r="T1971" t="s">
        <v>779</v>
      </c>
    </row>
    <row r="1972" spans="1:20" x14ac:dyDescent="0.3">
      <c r="A1972">
        <v>1971</v>
      </c>
      <c r="B1972">
        <v>137</v>
      </c>
      <c r="C1972">
        <v>5</v>
      </c>
      <c r="D1972">
        <v>29.7</v>
      </c>
      <c r="E1972">
        <v>2.97</v>
      </c>
      <c r="F1972">
        <v>0</v>
      </c>
      <c r="G1972">
        <v>0.1</v>
      </c>
      <c r="H1972" t="s">
        <v>622</v>
      </c>
      <c r="J1972" t="s">
        <v>623</v>
      </c>
      <c r="K1972" s="1"/>
      <c r="L1972" s="1">
        <v>46165.414386574077</v>
      </c>
      <c r="M1972" s="2">
        <v>46165</v>
      </c>
      <c r="N1972" t="s">
        <v>638</v>
      </c>
      <c r="O1972" t="s">
        <v>625</v>
      </c>
      <c r="P1972">
        <v>1</v>
      </c>
      <c r="Q1972">
        <v>0</v>
      </c>
      <c r="R1972">
        <v>29.7</v>
      </c>
      <c r="S1972" t="s">
        <v>269</v>
      </c>
      <c r="T1972" t="s">
        <v>779</v>
      </c>
    </row>
    <row r="1973" spans="1:20" x14ac:dyDescent="0.3">
      <c r="A1973">
        <v>1972</v>
      </c>
      <c r="B1973">
        <v>39</v>
      </c>
      <c r="C1973">
        <v>3</v>
      </c>
      <c r="D1973">
        <v>275.08</v>
      </c>
      <c r="E1973">
        <v>27.51</v>
      </c>
      <c r="F1973">
        <v>0</v>
      </c>
      <c r="G1973">
        <v>0.1</v>
      </c>
      <c r="H1973" t="s">
        <v>622</v>
      </c>
      <c r="J1973" t="s">
        <v>623</v>
      </c>
      <c r="K1973" s="1"/>
      <c r="L1973" s="1">
        <v>46165.512812499997</v>
      </c>
      <c r="M1973" s="2">
        <v>46165</v>
      </c>
      <c r="N1973" t="s">
        <v>638</v>
      </c>
      <c r="O1973" t="s">
        <v>625</v>
      </c>
      <c r="P1973">
        <v>1</v>
      </c>
      <c r="Q1973">
        <v>0</v>
      </c>
      <c r="R1973">
        <v>275.08</v>
      </c>
      <c r="S1973" t="s">
        <v>74</v>
      </c>
      <c r="T1973" t="s">
        <v>777</v>
      </c>
    </row>
    <row r="1974" spans="1:20" x14ac:dyDescent="0.3">
      <c r="A1974">
        <v>1973</v>
      </c>
      <c r="B1974">
        <v>285</v>
      </c>
      <c r="C1974">
        <v>2</v>
      </c>
      <c r="D1974">
        <v>28.62</v>
      </c>
      <c r="E1974">
        <v>2.86</v>
      </c>
      <c r="F1974">
        <v>0</v>
      </c>
      <c r="G1974">
        <v>0.1</v>
      </c>
      <c r="H1974" t="s">
        <v>622</v>
      </c>
      <c r="J1974" t="s">
        <v>623</v>
      </c>
      <c r="K1974" s="1"/>
      <c r="L1974" s="1">
        <v>46165.522777777776</v>
      </c>
      <c r="M1974" s="2">
        <v>46165</v>
      </c>
      <c r="N1974" t="s">
        <v>638</v>
      </c>
      <c r="O1974" t="s">
        <v>625</v>
      </c>
      <c r="P1974">
        <v>1</v>
      </c>
      <c r="Q1974">
        <v>0</v>
      </c>
      <c r="R1974">
        <v>28.62</v>
      </c>
      <c r="S1974" t="s">
        <v>565</v>
      </c>
      <c r="T1974" t="s">
        <v>776</v>
      </c>
    </row>
    <row r="1975" spans="1:20" x14ac:dyDescent="0.3">
      <c r="A1975">
        <v>1974</v>
      </c>
      <c r="B1975">
        <v>65</v>
      </c>
      <c r="C1975">
        <v>5</v>
      </c>
      <c r="D1975">
        <v>19.52</v>
      </c>
      <c r="E1975">
        <v>0</v>
      </c>
      <c r="F1975">
        <v>1</v>
      </c>
      <c r="G1975">
        <v>0.1</v>
      </c>
      <c r="H1975" t="s">
        <v>626</v>
      </c>
      <c r="I1975">
        <v>2</v>
      </c>
      <c r="J1975" t="s">
        <v>627</v>
      </c>
      <c r="K1975" s="1">
        <v>46166.433032407411</v>
      </c>
      <c r="L1975" s="1">
        <v>46165.558032407411</v>
      </c>
      <c r="M1975" s="2">
        <v>46165</v>
      </c>
      <c r="N1975" t="s">
        <v>638</v>
      </c>
      <c r="O1975" t="s">
        <v>629</v>
      </c>
      <c r="P1975">
        <v>1</v>
      </c>
      <c r="Q1975">
        <v>1</v>
      </c>
      <c r="R1975">
        <v>0</v>
      </c>
      <c r="S1975" t="s">
        <v>126</v>
      </c>
      <c r="T1975" t="s">
        <v>779</v>
      </c>
    </row>
    <row r="1976" spans="1:20" x14ac:dyDescent="0.3">
      <c r="A1976">
        <v>1975</v>
      </c>
      <c r="B1976">
        <v>87</v>
      </c>
      <c r="C1976">
        <v>3</v>
      </c>
      <c r="D1976">
        <v>92.46</v>
      </c>
      <c r="E1976">
        <v>9.25</v>
      </c>
      <c r="F1976">
        <v>0</v>
      </c>
      <c r="G1976">
        <v>0.1</v>
      </c>
      <c r="H1976" t="s">
        <v>622</v>
      </c>
      <c r="J1976" t="s">
        <v>623</v>
      </c>
      <c r="K1976" s="1"/>
      <c r="L1976" s="1">
        <v>46165.721689814818</v>
      </c>
      <c r="M1976" s="2">
        <v>46165</v>
      </c>
      <c r="N1976" t="s">
        <v>638</v>
      </c>
      <c r="O1976" t="s">
        <v>625</v>
      </c>
      <c r="P1976">
        <v>1</v>
      </c>
      <c r="Q1976">
        <v>0</v>
      </c>
      <c r="R1976">
        <v>92.46</v>
      </c>
      <c r="S1976" t="s">
        <v>169</v>
      </c>
      <c r="T1976" t="s">
        <v>777</v>
      </c>
    </row>
    <row r="1977" spans="1:20" x14ac:dyDescent="0.3">
      <c r="A1977">
        <v>1976</v>
      </c>
      <c r="B1977">
        <v>304</v>
      </c>
      <c r="C1977">
        <v>2</v>
      </c>
      <c r="D1977">
        <v>23.32</v>
      </c>
      <c r="E1977">
        <v>2.33</v>
      </c>
      <c r="F1977">
        <v>0</v>
      </c>
      <c r="G1977">
        <v>0.1</v>
      </c>
      <c r="H1977" t="s">
        <v>622</v>
      </c>
      <c r="J1977" t="s">
        <v>623</v>
      </c>
      <c r="K1977" s="1"/>
      <c r="L1977" s="1">
        <v>46165.764421296299</v>
      </c>
      <c r="M1977" s="2">
        <v>46165</v>
      </c>
      <c r="N1977" t="s">
        <v>638</v>
      </c>
      <c r="O1977" t="s">
        <v>625</v>
      </c>
      <c r="P1977">
        <v>1</v>
      </c>
      <c r="Q1977">
        <v>0</v>
      </c>
      <c r="R1977">
        <v>23.32</v>
      </c>
      <c r="S1977" t="s">
        <v>603</v>
      </c>
      <c r="T1977" t="s">
        <v>776</v>
      </c>
    </row>
    <row r="1978" spans="1:20" x14ac:dyDescent="0.3">
      <c r="A1978">
        <v>1977</v>
      </c>
      <c r="B1978">
        <v>16</v>
      </c>
      <c r="C1978">
        <v>2</v>
      </c>
      <c r="D1978">
        <v>233.98</v>
      </c>
      <c r="E1978">
        <v>23.4</v>
      </c>
      <c r="F1978">
        <v>0</v>
      </c>
      <c r="G1978">
        <v>0.1</v>
      </c>
      <c r="H1978" t="s">
        <v>622</v>
      </c>
      <c r="J1978" t="s">
        <v>623</v>
      </c>
      <c r="K1978" s="1"/>
      <c r="L1978" s="1">
        <v>46166.340046296296</v>
      </c>
      <c r="M1978" s="2">
        <v>46166</v>
      </c>
      <c r="N1978" t="s">
        <v>638</v>
      </c>
      <c r="O1978" t="s">
        <v>625</v>
      </c>
      <c r="P1978">
        <v>1</v>
      </c>
      <c r="Q1978">
        <v>0</v>
      </c>
      <c r="R1978">
        <v>233.98</v>
      </c>
      <c r="S1978" t="s">
        <v>28</v>
      </c>
      <c r="T1978" t="s">
        <v>776</v>
      </c>
    </row>
    <row r="1979" spans="1:20" x14ac:dyDescent="0.3">
      <c r="A1979">
        <v>1978</v>
      </c>
      <c r="B1979">
        <v>289</v>
      </c>
      <c r="C1979">
        <v>2</v>
      </c>
      <c r="D1979">
        <v>77.59</v>
      </c>
      <c r="E1979">
        <v>7.76</v>
      </c>
      <c r="F1979">
        <v>0</v>
      </c>
      <c r="G1979">
        <v>0.1</v>
      </c>
      <c r="H1979" t="s">
        <v>622</v>
      </c>
      <c r="J1979" t="s">
        <v>623</v>
      </c>
      <c r="K1979" s="1"/>
      <c r="L1979" s="1">
        <v>46166.412523148145</v>
      </c>
      <c r="M1979" s="2">
        <v>46166</v>
      </c>
      <c r="N1979" t="s">
        <v>638</v>
      </c>
      <c r="O1979" t="s">
        <v>625</v>
      </c>
      <c r="P1979">
        <v>1</v>
      </c>
      <c r="Q1979">
        <v>0</v>
      </c>
      <c r="R1979">
        <v>77.59</v>
      </c>
      <c r="S1979" t="s">
        <v>573</v>
      </c>
      <c r="T1979" t="s">
        <v>776</v>
      </c>
    </row>
    <row r="1980" spans="1:20" x14ac:dyDescent="0.3">
      <c r="A1980">
        <v>1979</v>
      </c>
      <c r="B1980">
        <v>139</v>
      </c>
      <c r="C1980">
        <v>2</v>
      </c>
      <c r="D1980">
        <v>83.54</v>
      </c>
      <c r="E1980">
        <v>8.35</v>
      </c>
      <c r="F1980">
        <v>0</v>
      </c>
      <c r="G1980">
        <v>0.1</v>
      </c>
      <c r="H1980" t="s">
        <v>622</v>
      </c>
      <c r="J1980" t="s">
        <v>623</v>
      </c>
      <c r="K1980" s="1"/>
      <c r="L1980" s="1">
        <v>46166.472060185188</v>
      </c>
      <c r="M1980" s="2">
        <v>46166</v>
      </c>
      <c r="N1980" t="s">
        <v>638</v>
      </c>
      <c r="O1980" t="s">
        <v>625</v>
      </c>
      <c r="P1980">
        <v>1</v>
      </c>
      <c r="Q1980">
        <v>0</v>
      </c>
      <c r="R1980">
        <v>83.54</v>
      </c>
      <c r="S1980" t="s">
        <v>273</v>
      </c>
      <c r="T1980" t="s">
        <v>776</v>
      </c>
    </row>
    <row r="1981" spans="1:20" x14ac:dyDescent="0.3">
      <c r="A1981">
        <v>1980</v>
      </c>
      <c r="B1981">
        <v>172</v>
      </c>
      <c r="C1981">
        <v>2</v>
      </c>
      <c r="D1981">
        <v>38.94</v>
      </c>
      <c r="E1981">
        <v>3.89</v>
      </c>
      <c r="F1981">
        <v>0</v>
      </c>
      <c r="G1981">
        <v>0.1</v>
      </c>
      <c r="H1981" t="s">
        <v>622</v>
      </c>
      <c r="J1981" t="s">
        <v>623</v>
      </c>
      <c r="K1981" s="1"/>
      <c r="L1981" s="1">
        <v>46166.558472222219</v>
      </c>
      <c r="M1981" s="2">
        <v>46166</v>
      </c>
      <c r="N1981" t="s">
        <v>638</v>
      </c>
      <c r="O1981" t="s">
        <v>625</v>
      </c>
      <c r="P1981">
        <v>1</v>
      </c>
      <c r="Q1981">
        <v>0</v>
      </c>
      <c r="R1981">
        <v>38.94</v>
      </c>
      <c r="S1981" t="s">
        <v>339</v>
      </c>
      <c r="T1981" t="s">
        <v>776</v>
      </c>
    </row>
    <row r="1982" spans="1:20" x14ac:dyDescent="0.3">
      <c r="A1982">
        <v>1981</v>
      </c>
      <c r="B1982">
        <v>91</v>
      </c>
      <c r="C1982">
        <v>5</v>
      </c>
      <c r="D1982">
        <v>25.08</v>
      </c>
      <c r="E1982">
        <v>0</v>
      </c>
      <c r="F1982">
        <v>1</v>
      </c>
      <c r="G1982">
        <v>0.1</v>
      </c>
      <c r="H1982" t="s">
        <v>622</v>
      </c>
      <c r="J1982" t="s">
        <v>623</v>
      </c>
      <c r="K1982" s="1"/>
      <c r="L1982" s="1">
        <v>46166.572650462964</v>
      </c>
      <c r="M1982" s="2">
        <v>46166</v>
      </c>
      <c r="N1982" t="s">
        <v>638</v>
      </c>
      <c r="O1982" t="s">
        <v>629</v>
      </c>
      <c r="P1982">
        <v>1</v>
      </c>
      <c r="Q1982">
        <v>0</v>
      </c>
      <c r="R1982">
        <v>25.08</v>
      </c>
      <c r="S1982" t="s">
        <v>177</v>
      </c>
      <c r="T1982" t="s">
        <v>779</v>
      </c>
    </row>
    <row r="1983" spans="1:20" x14ac:dyDescent="0.3">
      <c r="A1983">
        <v>1982</v>
      </c>
      <c r="B1983">
        <v>137</v>
      </c>
      <c r="C1983">
        <v>5</v>
      </c>
      <c r="D1983">
        <v>16.91</v>
      </c>
      <c r="E1983">
        <v>1.69</v>
      </c>
      <c r="F1983">
        <v>0</v>
      </c>
      <c r="G1983">
        <v>0.1</v>
      </c>
      <c r="H1983" t="s">
        <v>622</v>
      </c>
      <c r="J1983" t="s">
        <v>623</v>
      </c>
      <c r="K1983" s="1"/>
      <c r="L1983" s="1">
        <v>46166.629699074074</v>
      </c>
      <c r="M1983" s="2">
        <v>46166</v>
      </c>
      <c r="N1983" t="s">
        <v>638</v>
      </c>
      <c r="O1983" t="s">
        <v>625</v>
      </c>
      <c r="P1983">
        <v>1</v>
      </c>
      <c r="Q1983">
        <v>0</v>
      </c>
      <c r="R1983">
        <v>16.91</v>
      </c>
      <c r="S1983" t="s">
        <v>269</v>
      </c>
      <c r="T1983" t="s">
        <v>779</v>
      </c>
    </row>
    <row r="1984" spans="1:20" x14ac:dyDescent="0.3">
      <c r="A1984">
        <v>1983</v>
      </c>
      <c r="B1984">
        <v>173</v>
      </c>
      <c r="C1984">
        <v>3</v>
      </c>
      <c r="D1984">
        <v>118.34</v>
      </c>
      <c r="E1984">
        <v>11.83</v>
      </c>
      <c r="F1984">
        <v>0</v>
      </c>
      <c r="G1984">
        <v>0.1</v>
      </c>
      <c r="H1984" t="s">
        <v>622</v>
      </c>
      <c r="J1984" t="s">
        <v>623</v>
      </c>
      <c r="K1984" s="1"/>
      <c r="L1984" s="1">
        <v>46166.689085648148</v>
      </c>
      <c r="M1984" s="2">
        <v>46166</v>
      </c>
      <c r="N1984" t="s">
        <v>638</v>
      </c>
      <c r="O1984" t="s">
        <v>625</v>
      </c>
      <c r="P1984">
        <v>1</v>
      </c>
      <c r="Q1984">
        <v>0</v>
      </c>
      <c r="R1984">
        <v>118.34</v>
      </c>
      <c r="S1984" t="s">
        <v>341</v>
      </c>
      <c r="T1984" t="s">
        <v>777</v>
      </c>
    </row>
    <row r="1985" spans="1:20" x14ac:dyDescent="0.3">
      <c r="A1985">
        <v>1984</v>
      </c>
      <c r="B1985">
        <v>39</v>
      </c>
      <c r="C1985">
        <v>3</v>
      </c>
      <c r="D1985">
        <v>124.78</v>
      </c>
      <c r="E1985">
        <v>12.48</v>
      </c>
      <c r="F1985">
        <v>0</v>
      </c>
      <c r="G1985">
        <v>0.1</v>
      </c>
      <c r="H1985" t="s">
        <v>622</v>
      </c>
      <c r="J1985" t="s">
        <v>623</v>
      </c>
      <c r="K1985" s="1"/>
      <c r="L1985" s="1">
        <v>46166.722731481481</v>
      </c>
      <c r="M1985" s="2">
        <v>46166</v>
      </c>
      <c r="N1985" t="s">
        <v>638</v>
      </c>
      <c r="O1985" t="s">
        <v>625</v>
      </c>
      <c r="P1985">
        <v>1</v>
      </c>
      <c r="Q1985">
        <v>0</v>
      </c>
      <c r="R1985">
        <v>124.78</v>
      </c>
      <c r="S1985" t="s">
        <v>74</v>
      </c>
      <c r="T1985" t="s">
        <v>777</v>
      </c>
    </row>
    <row r="1986" spans="1:20" x14ac:dyDescent="0.3">
      <c r="A1986">
        <v>1985</v>
      </c>
      <c r="B1986">
        <v>7</v>
      </c>
      <c r="C1986">
        <v>2</v>
      </c>
      <c r="D1986">
        <v>131.13</v>
      </c>
      <c r="E1986">
        <v>13.11</v>
      </c>
      <c r="F1986">
        <v>0</v>
      </c>
      <c r="G1986">
        <v>0.1</v>
      </c>
      <c r="H1986" t="s">
        <v>622</v>
      </c>
      <c r="J1986" t="s">
        <v>623</v>
      </c>
      <c r="K1986" s="1"/>
      <c r="L1986" s="1">
        <v>46166.755914351852</v>
      </c>
      <c r="M1986" s="2">
        <v>46166</v>
      </c>
      <c r="N1986" t="s">
        <v>638</v>
      </c>
      <c r="O1986" t="s">
        <v>625</v>
      </c>
      <c r="P1986">
        <v>1</v>
      </c>
      <c r="Q1986">
        <v>0</v>
      </c>
      <c r="R1986">
        <v>131.13</v>
      </c>
      <c r="S1986" t="s">
        <v>10</v>
      </c>
      <c r="T1986" t="s">
        <v>776</v>
      </c>
    </row>
    <row r="1987" spans="1:20" x14ac:dyDescent="0.3">
      <c r="A1987">
        <v>1986</v>
      </c>
      <c r="B1987">
        <v>45</v>
      </c>
      <c r="C1987">
        <v>3</v>
      </c>
      <c r="D1987">
        <v>83.64</v>
      </c>
      <c r="E1987">
        <v>8.36</v>
      </c>
      <c r="F1987">
        <v>0</v>
      </c>
      <c r="G1987">
        <v>0.1</v>
      </c>
      <c r="H1987" t="s">
        <v>622</v>
      </c>
      <c r="J1987" t="s">
        <v>623</v>
      </c>
      <c r="K1987" s="1"/>
      <c r="L1987" s="1">
        <v>46166.797280092593</v>
      </c>
      <c r="M1987" s="2">
        <v>46166</v>
      </c>
      <c r="N1987" t="s">
        <v>638</v>
      </c>
      <c r="O1987" t="s">
        <v>625</v>
      </c>
      <c r="P1987">
        <v>1</v>
      </c>
      <c r="Q1987">
        <v>0</v>
      </c>
      <c r="R1987">
        <v>83.64</v>
      </c>
      <c r="S1987" t="s">
        <v>86</v>
      </c>
      <c r="T1987" t="s">
        <v>777</v>
      </c>
    </row>
    <row r="1988" spans="1:20" x14ac:dyDescent="0.3">
      <c r="A1988">
        <v>1987</v>
      </c>
      <c r="B1988">
        <v>59</v>
      </c>
      <c r="C1988">
        <v>2</v>
      </c>
      <c r="D1988">
        <v>34.32</v>
      </c>
      <c r="E1988">
        <v>3.43</v>
      </c>
      <c r="F1988">
        <v>0</v>
      </c>
      <c r="G1988">
        <v>0.1</v>
      </c>
      <c r="H1988" t="s">
        <v>622</v>
      </c>
      <c r="J1988" t="s">
        <v>623</v>
      </c>
      <c r="K1988" s="1"/>
      <c r="L1988" s="1">
        <v>46167.371631944443</v>
      </c>
      <c r="M1988" s="2">
        <v>46167</v>
      </c>
      <c r="N1988" t="s">
        <v>638</v>
      </c>
      <c r="O1988" t="s">
        <v>625</v>
      </c>
      <c r="P1988">
        <v>1</v>
      </c>
      <c r="Q1988">
        <v>0</v>
      </c>
      <c r="R1988">
        <v>34.32</v>
      </c>
      <c r="S1988" t="s">
        <v>114</v>
      </c>
      <c r="T1988" t="s">
        <v>776</v>
      </c>
    </row>
    <row r="1989" spans="1:20" x14ac:dyDescent="0.3">
      <c r="A1989">
        <v>1988</v>
      </c>
      <c r="B1989">
        <v>259</v>
      </c>
      <c r="C1989">
        <v>2</v>
      </c>
      <c r="D1989">
        <v>32.44</v>
      </c>
      <c r="E1989">
        <v>3.24</v>
      </c>
      <c r="F1989">
        <v>0</v>
      </c>
      <c r="G1989">
        <v>0.1</v>
      </c>
      <c r="H1989" t="s">
        <v>622</v>
      </c>
      <c r="J1989" t="s">
        <v>623</v>
      </c>
      <c r="K1989" s="1"/>
      <c r="L1989" s="1">
        <v>46167.41814814815</v>
      </c>
      <c r="M1989" s="2">
        <v>46167</v>
      </c>
      <c r="N1989" t="s">
        <v>638</v>
      </c>
      <c r="O1989" t="s">
        <v>625</v>
      </c>
      <c r="P1989">
        <v>1</v>
      </c>
      <c r="Q1989">
        <v>0</v>
      </c>
      <c r="R1989">
        <v>32.44</v>
      </c>
      <c r="S1989" t="s">
        <v>513</v>
      </c>
      <c r="T1989" t="s">
        <v>776</v>
      </c>
    </row>
    <row r="1990" spans="1:20" x14ac:dyDescent="0.3">
      <c r="A1990">
        <v>1989</v>
      </c>
      <c r="B1990">
        <v>39</v>
      </c>
      <c r="C1990">
        <v>3</v>
      </c>
      <c r="D1990">
        <v>106.75</v>
      </c>
      <c r="E1990">
        <v>10.68</v>
      </c>
      <c r="F1990">
        <v>0</v>
      </c>
      <c r="G1990">
        <v>0.1</v>
      </c>
      <c r="H1990" t="s">
        <v>622</v>
      </c>
      <c r="J1990" t="s">
        <v>623</v>
      </c>
      <c r="K1990" s="1"/>
      <c r="L1990" s="1">
        <v>46167.433993055558</v>
      </c>
      <c r="M1990" s="2">
        <v>46167</v>
      </c>
      <c r="N1990" t="s">
        <v>638</v>
      </c>
      <c r="O1990" t="s">
        <v>625</v>
      </c>
      <c r="P1990">
        <v>1</v>
      </c>
      <c r="Q1990">
        <v>0</v>
      </c>
      <c r="R1990">
        <v>106.75</v>
      </c>
      <c r="S1990" t="s">
        <v>74</v>
      </c>
      <c r="T1990" t="s">
        <v>777</v>
      </c>
    </row>
    <row r="1991" spans="1:20" x14ac:dyDescent="0.3">
      <c r="A1991">
        <v>1990</v>
      </c>
      <c r="B1991">
        <v>39</v>
      </c>
      <c r="C1991">
        <v>3</v>
      </c>
      <c r="D1991">
        <v>105.66</v>
      </c>
      <c r="E1991">
        <v>10.57</v>
      </c>
      <c r="F1991">
        <v>0</v>
      </c>
      <c r="G1991">
        <v>0.1</v>
      </c>
      <c r="H1991" t="s">
        <v>622</v>
      </c>
      <c r="J1991" t="s">
        <v>623</v>
      </c>
      <c r="K1991" s="1"/>
      <c r="L1991" s="1">
        <v>46167.473449074074</v>
      </c>
      <c r="M1991" s="2">
        <v>46167</v>
      </c>
      <c r="N1991" t="s">
        <v>638</v>
      </c>
      <c r="O1991" t="s">
        <v>625</v>
      </c>
      <c r="P1991">
        <v>1</v>
      </c>
      <c r="Q1991">
        <v>0</v>
      </c>
      <c r="R1991">
        <v>105.66</v>
      </c>
      <c r="S1991" t="s">
        <v>74</v>
      </c>
      <c r="T1991" t="s">
        <v>777</v>
      </c>
    </row>
    <row r="1992" spans="1:20" x14ac:dyDescent="0.3">
      <c r="A1992">
        <v>1991</v>
      </c>
      <c r="B1992">
        <v>65</v>
      </c>
      <c r="C1992">
        <v>2</v>
      </c>
      <c r="D1992">
        <v>47.93</v>
      </c>
      <c r="E1992">
        <v>4.79</v>
      </c>
      <c r="F1992">
        <v>0</v>
      </c>
      <c r="G1992">
        <v>0.1</v>
      </c>
      <c r="H1992" t="s">
        <v>622</v>
      </c>
      <c r="J1992" t="s">
        <v>623</v>
      </c>
      <c r="K1992" s="1"/>
      <c r="L1992" s="1">
        <v>46167.555752314816</v>
      </c>
      <c r="M1992" s="2">
        <v>46167</v>
      </c>
      <c r="N1992" t="s">
        <v>638</v>
      </c>
      <c r="O1992" t="s">
        <v>625</v>
      </c>
      <c r="P1992">
        <v>1</v>
      </c>
      <c r="Q1992">
        <v>0</v>
      </c>
      <c r="R1992">
        <v>47.93</v>
      </c>
      <c r="S1992" t="s">
        <v>126</v>
      </c>
      <c r="T1992" t="s">
        <v>776</v>
      </c>
    </row>
    <row r="1993" spans="1:20" x14ac:dyDescent="0.3">
      <c r="A1993">
        <v>1992</v>
      </c>
      <c r="B1993">
        <v>155</v>
      </c>
      <c r="C1993">
        <v>4</v>
      </c>
      <c r="D1993">
        <v>30.25</v>
      </c>
      <c r="E1993">
        <v>0</v>
      </c>
      <c r="F1993">
        <v>1</v>
      </c>
      <c r="G1993">
        <v>0.1</v>
      </c>
      <c r="H1993" t="s">
        <v>622</v>
      </c>
      <c r="J1993" t="s">
        <v>623</v>
      </c>
      <c r="K1993" s="1"/>
      <c r="L1993" s="1">
        <v>46167.563773148147</v>
      </c>
      <c r="M1993" s="2">
        <v>46167</v>
      </c>
      <c r="N1993" t="s">
        <v>638</v>
      </c>
      <c r="O1993" t="s">
        <v>629</v>
      </c>
      <c r="P1993">
        <v>1</v>
      </c>
      <c r="Q1993">
        <v>0</v>
      </c>
      <c r="R1993">
        <v>30.25</v>
      </c>
      <c r="S1993" t="s">
        <v>305</v>
      </c>
      <c r="T1993" t="s">
        <v>778</v>
      </c>
    </row>
    <row r="1994" spans="1:20" x14ac:dyDescent="0.3">
      <c r="A1994">
        <v>1993</v>
      </c>
      <c r="B1994">
        <v>229</v>
      </c>
      <c r="C1994">
        <v>4</v>
      </c>
      <c r="D1994">
        <v>161.62</v>
      </c>
      <c r="E1994">
        <v>16.16</v>
      </c>
      <c r="F1994">
        <v>0</v>
      </c>
      <c r="G1994">
        <v>0.1</v>
      </c>
      <c r="H1994" t="s">
        <v>622</v>
      </c>
      <c r="J1994" t="s">
        <v>623</v>
      </c>
      <c r="K1994" s="1"/>
      <c r="L1994" s="1">
        <v>46167.577986111108</v>
      </c>
      <c r="M1994" s="2">
        <v>46167</v>
      </c>
      <c r="N1994" t="s">
        <v>638</v>
      </c>
      <c r="O1994" t="s">
        <v>625</v>
      </c>
      <c r="P1994">
        <v>1</v>
      </c>
      <c r="Q1994">
        <v>0</v>
      </c>
      <c r="R1994">
        <v>161.62</v>
      </c>
      <c r="S1994" t="s">
        <v>453</v>
      </c>
      <c r="T1994" t="s">
        <v>778</v>
      </c>
    </row>
    <row r="1995" spans="1:20" x14ac:dyDescent="0.3">
      <c r="A1995">
        <v>1994</v>
      </c>
      <c r="B1995">
        <v>190</v>
      </c>
      <c r="C1995">
        <v>2</v>
      </c>
      <c r="D1995">
        <v>283.67</v>
      </c>
      <c r="E1995">
        <v>28.37</v>
      </c>
      <c r="F1995">
        <v>0</v>
      </c>
      <c r="G1995">
        <v>0.1</v>
      </c>
      <c r="H1995" t="s">
        <v>622</v>
      </c>
      <c r="J1995" t="s">
        <v>623</v>
      </c>
      <c r="K1995" s="1"/>
      <c r="L1995" s="1">
        <v>46167.632094907407</v>
      </c>
      <c r="M1995" s="2">
        <v>46167</v>
      </c>
      <c r="N1995" t="s">
        <v>638</v>
      </c>
      <c r="O1995" t="s">
        <v>625</v>
      </c>
      <c r="P1995">
        <v>1</v>
      </c>
      <c r="Q1995">
        <v>0</v>
      </c>
      <c r="R1995">
        <v>283.67</v>
      </c>
      <c r="S1995" t="s">
        <v>375</v>
      </c>
      <c r="T1995" t="s">
        <v>776</v>
      </c>
    </row>
    <row r="1996" spans="1:20" x14ac:dyDescent="0.3">
      <c r="A1996">
        <v>1995</v>
      </c>
      <c r="B1996">
        <v>285</v>
      </c>
      <c r="C1996">
        <v>2</v>
      </c>
      <c r="D1996">
        <v>42.8</v>
      </c>
      <c r="E1996">
        <v>4.28</v>
      </c>
      <c r="F1996">
        <v>0</v>
      </c>
      <c r="G1996">
        <v>0.1</v>
      </c>
      <c r="H1996" t="s">
        <v>622</v>
      </c>
      <c r="J1996" t="s">
        <v>623</v>
      </c>
      <c r="K1996" s="1"/>
      <c r="L1996" s="1">
        <v>46167.687002314815</v>
      </c>
      <c r="M1996" s="2">
        <v>46167</v>
      </c>
      <c r="N1996" t="s">
        <v>638</v>
      </c>
      <c r="O1996" t="s">
        <v>625</v>
      </c>
      <c r="P1996">
        <v>1</v>
      </c>
      <c r="Q1996">
        <v>0</v>
      </c>
      <c r="R1996">
        <v>42.8</v>
      </c>
      <c r="S1996" t="s">
        <v>565</v>
      </c>
      <c r="T1996" t="s">
        <v>776</v>
      </c>
    </row>
    <row r="1997" spans="1:20" x14ac:dyDescent="0.3">
      <c r="A1997">
        <v>1996</v>
      </c>
      <c r="B1997">
        <v>201</v>
      </c>
      <c r="C1997">
        <v>5</v>
      </c>
      <c r="D1997">
        <v>23.7</v>
      </c>
      <c r="E1997">
        <v>2.37</v>
      </c>
      <c r="F1997">
        <v>0</v>
      </c>
      <c r="G1997">
        <v>0.1</v>
      </c>
      <c r="H1997" t="s">
        <v>622</v>
      </c>
      <c r="J1997" t="s">
        <v>623</v>
      </c>
      <c r="K1997" s="1"/>
      <c r="L1997" s="1">
        <v>46167.702650462961</v>
      </c>
      <c r="M1997" s="2">
        <v>46167</v>
      </c>
      <c r="N1997" t="s">
        <v>638</v>
      </c>
      <c r="O1997" t="s">
        <v>625</v>
      </c>
      <c r="P1997">
        <v>1</v>
      </c>
      <c r="Q1997">
        <v>0</v>
      </c>
      <c r="R1997">
        <v>23.7</v>
      </c>
      <c r="S1997" t="s">
        <v>397</v>
      </c>
      <c r="T1997" t="s">
        <v>779</v>
      </c>
    </row>
    <row r="1998" spans="1:20" x14ac:dyDescent="0.3">
      <c r="A1998">
        <v>1997</v>
      </c>
      <c r="B1998">
        <v>285</v>
      </c>
      <c r="C1998">
        <v>3</v>
      </c>
      <c r="D1998">
        <v>34.54</v>
      </c>
      <c r="E1998">
        <v>3.45</v>
      </c>
      <c r="F1998">
        <v>0</v>
      </c>
      <c r="G1998">
        <v>0.1</v>
      </c>
      <c r="H1998" t="s">
        <v>622</v>
      </c>
      <c r="J1998" t="s">
        <v>623</v>
      </c>
      <c r="K1998" s="1"/>
      <c r="L1998" s="1">
        <v>46167.768877314818</v>
      </c>
      <c r="M1998" s="2">
        <v>46167</v>
      </c>
      <c r="N1998" t="s">
        <v>638</v>
      </c>
      <c r="O1998" t="s">
        <v>625</v>
      </c>
      <c r="P1998">
        <v>1</v>
      </c>
      <c r="Q1998">
        <v>0</v>
      </c>
      <c r="R1998">
        <v>34.54</v>
      </c>
      <c r="S1998" t="s">
        <v>565</v>
      </c>
      <c r="T1998" t="s">
        <v>777</v>
      </c>
    </row>
    <row r="1999" spans="1:20" x14ac:dyDescent="0.3">
      <c r="A1999">
        <v>1998</v>
      </c>
      <c r="B1999">
        <v>16</v>
      </c>
      <c r="C1999">
        <v>5</v>
      </c>
      <c r="D1999">
        <v>215.24</v>
      </c>
      <c r="E1999">
        <v>21.52</v>
      </c>
      <c r="F1999">
        <v>0</v>
      </c>
      <c r="G1999">
        <v>0.1</v>
      </c>
      <c r="H1999" t="s">
        <v>622</v>
      </c>
      <c r="J1999" t="s">
        <v>623</v>
      </c>
      <c r="K1999" s="1"/>
      <c r="L1999" s="1">
        <v>46168.41207175926</v>
      </c>
      <c r="M1999" s="2">
        <v>46168</v>
      </c>
      <c r="N1999" t="s">
        <v>638</v>
      </c>
      <c r="O1999" t="s">
        <v>625</v>
      </c>
      <c r="P1999">
        <v>1</v>
      </c>
      <c r="Q1999">
        <v>0</v>
      </c>
      <c r="R1999">
        <v>215.24</v>
      </c>
      <c r="S1999" t="s">
        <v>28</v>
      </c>
      <c r="T1999" t="s">
        <v>779</v>
      </c>
    </row>
    <row r="2000" spans="1:20" x14ac:dyDescent="0.3">
      <c r="A2000">
        <v>1999</v>
      </c>
      <c r="B2000">
        <v>89</v>
      </c>
      <c r="C2000">
        <v>5</v>
      </c>
      <c r="D2000">
        <v>162.61000000000001</v>
      </c>
      <c r="E2000">
        <v>16.260000000000002</v>
      </c>
      <c r="F2000">
        <v>0</v>
      </c>
      <c r="G2000">
        <v>0.1</v>
      </c>
      <c r="H2000" t="s">
        <v>622</v>
      </c>
      <c r="J2000" t="s">
        <v>623</v>
      </c>
      <c r="K2000" s="1"/>
      <c r="L2000" s="1">
        <v>46168.435011574074</v>
      </c>
      <c r="M2000" s="2">
        <v>46168</v>
      </c>
      <c r="N2000" t="s">
        <v>638</v>
      </c>
      <c r="O2000" t="s">
        <v>625</v>
      </c>
      <c r="P2000">
        <v>1</v>
      </c>
      <c r="Q2000">
        <v>0</v>
      </c>
      <c r="R2000">
        <v>162.61000000000001</v>
      </c>
      <c r="S2000" t="s">
        <v>173</v>
      </c>
      <c r="T2000" t="s">
        <v>779</v>
      </c>
    </row>
    <row r="2001" spans="1:20" x14ac:dyDescent="0.3">
      <c r="A2001">
        <v>2000</v>
      </c>
      <c r="B2001">
        <v>22</v>
      </c>
      <c r="C2001">
        <v>4</v>
      </c>
      <c r="D2001">
        <v>173.18</v>
      </c>
      <c r="E2001">
        <v>17.32</v>
      </c>
      <c r="F2001">
        <v>0</v>
      </c>
      <c r="G2001">
        <v>0.1</v>
      </c>
      <c r="H2001" t="s">
        <v>622</v>
      </c>
      <c r="J2001" t="s">
        <v>623</v>
      </c>
      <c r="K2001" s="1"/>
      <c r="L2001" s="1">
        <v>46168.512118055558</v>
      </c>
      <c r="M2001" s="2">
        <v>46168</v>
      </c>
      <c r="N2001" t="s">
        <v>638</v>
      </c>
      <c r="O2001" t="s">
        <v>625</v>
      </c>
      <c r="P2001">
        <v>1</v>
      </c>
      <c r="Q2001">
        <v>0</v>
      </c>
      <c r="R2001">
        <v>173.18</v>
      </c>
      <c r="S2001" t="s">
        <v>40</v>
      </c>
      <c r="T2001" t="s">
        <v>778</v>
      </c>
    </row>
    <row r="2002" spans="1:20" x14ac:dyDescent="0.3">
      <c r="A2002">
        <v>2001</v>
      </c>
      <c r="B2002">
        <v>136</v>
      </c>
      <c r="C2002">
        <v>5</v>
      </c>
      <c r="D2002">
        <v>80.91</v>
      </c>
      <c r="E2002">
        <v>8.09</v>
      </c>
      <c r="F2002">
        <v>0</v>
      </c>
      <c r="G2002">
        <v>0.1</v>
      </c>
      <c r="H2002" t="s">
        <v>622</v>
      </c>
      <c r="J2002" t="s">
        <v>623</v>
      </c>
      <c r="K2002" s="1"/>
      <c r="L2002" s="1">
        <v>46168.525405092594</v>
      </c>
      <c r="M2002" s="2">
        <v>46168</v>
      </c>
      <c r="N2002" t="s">
        <v>638</v>
      </c>
      <c r="O2002" t="s">
        <v>625</v>
      </c>
      <c r="P2002">
        <v>1</v>
      </c>
      <c r="Q2002">
        <v>0</v>
      </c>
      <c r="R2002">
        <v>80.91</v>
      </c>
      <c r="S2002" t="s">
        <v>267</v>
      </c>
      <c r="T2002" t="s">
        <v>779</v>
      </c>
    </row>
    <row r="2003" spans="1:20" x14ac:dyDescent="0.3">
      <c r="A2003">
        <v>2002</v>
      </c>
      <c r="B2003">
        <v>117</v>
      </c>
      <c r="C2003">
        <v>4</v>
      </c>
      <c r="D2003">
        <v>60.63</v>
      </c>
      <c r="E2003">
        <v>6.06</v>
      </c>
      <c r="F2003">
        <v>0</v>
      </c>
      <c r="G2003">
        <v>0.1</v>
      </c>
      <c r="H2003" t="s">
        <v>622</v>
      </c>
      <c r="J2003" t="s">
        <v>623</v>
      </c>
      <c r="K2003" s="1"/>
      <c r="L2003" s="1">
        <v>46168.668807870374</v>
      </c>
      <c r="M2003" s="2">
        <v>46168</v>
      </c>
      <c r="N2003" t="s">
        <v>638</v>
      </c>
      <c r="O2003" t="s">
        <v>625</v>
      </c>
      <c r="P2003">
        <v>1</v>
      </c>
      <c r="Q2003">
        <v>0</v>
      </c>
      <c r="R2003">
        <v>60.63</v>
      </c>
      <c r="S2003" t="s">
        <v>229</v>
      </c>
      <c r="T2003" t="s">
        <v>778</v>
      </c>
    </row>
    <row r="2004" spans="1:20" x14ac:dyDescent="0.3">
      <c r="A2004">
        <v>2003</v>
      </c>
      <c r="B2004">
        <v>139</v>
      </c>
      <c r="C2004">
        <v>3</v>
      </c>
      <c r="D2004">
        <v>107.91</v>
      </c>
      <c r="E2004">
        <v>10.79</v>
      </c>
      <c r="F2004">
        <v>0</v>
      </c>
      <c r="G2004">
        <v>0.1</v>
      </c>
      <c r="H2004" t="s">
        <v>622</v>
      </c>
      <c r="J2004" t="s">
        <v>623</v>
      </c>
      <c r="K2004" s="1"/>
      <c r="L2004" s="1">
        <v>46169.367048611108</v>
      </c>
      <c r="M2004" s="2">
        <v>46169</v>
      </c>
      <c r="N2004" t="s">
        <v>638</v>
      </c>
      <c r="O2004" t="s">
        <v>625</v>
      </c>
      <c r="P2004">
        <v>1</v>
      </c>
      <c r="Q2004">
        <v>0</v>
      </c>
      <c r="R2004">
        <v>107.91</v>
      </c>
      <c r="S2004" t="s">
        <v>273</v>
      </c>
      <c r="T2004" t="s">
        <v>777</v>
      </c>
    </row>
    <row r="2005" spans="1:20" x14ac:dyDescent="0.3">
      <c r="A2005">
        <v>2004</v>
      </c>
      <c r="B2005">
        <v>213</v>
      </c>
      <c r="C2005">
        <v>2</v>
      </c>
      <c r="D2005">
        <v>198.25</v>
      </c>
      <c r="E2005">
        <v>19.829999999999998</v>
      </c>
      <c r="F2005">
        <v>0</v>
      </c>
      <c r="G2005">
        <v>0.1</v>
      </c>
      <c r="H2005" t="s">
        <v>622</v>
      </c>
      <c r="J2005" t="s">
        <v>623</v>
      </c>
      <c r="K2005" s="1"/>
      <c r="L2005" s="1">
        <v>46169.627372685187</v>
      </c>
      <c r="M2005" s="2">
        <v>46169</v>
      </c>
      <c r="N2005" t="s">
        <v>638</v>
      </c>
      <c r="O2005" t="s">
        <v>625</v>
      </c>
      <c r="P2005">
        <v>1</v>
      </c>
      <c r="Q2005">
        <v>0</v>
      </c>
      <c r="R2005">
        <v>198.25</v>
      </c>
      <c r="S2005" t="s">
        <v>421</v>
      </c>
      <c r="T2005" t="s">
        <v>776</v>
      </c>
    </row>
    <row r="2006" spans="1:20" x14ac:dyDescent="0.3">
      <c r="A2006">
        <v>2005</v>
      </c>
      <c r="B2006">
        <v>183</v>
      </c>
      <c r="C2006">
        <v>2</v>
      </c>
      <c r="D2006">
        <v>122.84</v>
      </c>
      <c r="E2006">
        <v>12.28</v>
      </c>
      <c r="F2006">
        <v>0</v>
      </c>
      <c r="G2006">
        <v>0.1</v>
      </c>
      <c r="H2006" t="s">
        <v>626</v>
      </c>
      <c r="I2006">
        <v>5</v>
      </c>
      <c r="J2006" t="s">
        <v>628</v>
      </c>
      <c r="K2006" s="1">
        <v>46169.863657407404</v>
      </c>
      <c r="L2006" s="1">
        <v>46169.655324074076</v>
      </c>
      <c r="M2006" s="2">
        <v>46169</v>
      </c>
      <c r="N2006" t="s">
        <v>638</v>
      </c>
      <c r="O2006" t="s">
        <v>625</v>
      </c>
      <c r="P2006">
        <v>1</v>
      </c>
      <c r="Q2006">
        <v>1</v>
      </c>
      <c r="R2006">
        <v>0</v>
      </c>
      <c r="S2006" t="s">
        <v>361</v>
      </c>
      <c r="T2006" t="s">
        <v>776</v>
      </c>
    </row>
    <row r="2007" spans="1:20" x14ac:dyDescent="0.3">
      <c r="A2007">
        <v>2006</v>
      </c>
      <c r="B2007">
        <v>237</v>
      </c>
      <c r="C2007">
        <v>5</v>
      </c>
      <c r="D2007">
        <v>136.15</v>
      </c>
      <c r="E2007">
        <v>13.62</v>
      </c>
      <c r="F2007">
        <v>0</v>
      </c>
      <c r="G2007">
        <v>0.1</v>
      </c>
      <c r="H2007" t="s">
        <v>622</v>
      </c>
      <c r="J2007" t="s">
        <v>623</v>
      </c>
      <c r="K2007" s="1"/>
      <c r="L2007" s="1">
        <v>46169.672974537039</v>
      </c>
      <c r="M2007" s="2">
        <v>46169</v>
      </c>
      <c r="N2007" t="s">
        <v>638</v>
      </c>
      <c r="O2007" t="s">
        <v>625</v>
      </c>
      <c r="P2007">
        <v>1</v>
      </c>
      <c r="Q2007">
        <v>0</v>
      </c>
      <c r="R2007">
        <v>136.15</v>
      </c>
      <c r="S2007" t="s">
        <v>469</v>
      </c>
      <c r="T2007" t="s">
        <v>779</v>
      </c>
    </row>
    <row r="2008" spans="1:20" x14ac:dyDescent="0.3">
      <c r="A2008">
        <v>2007</v>
      </c>
      <c r="B2008">
        <v>59</v>
      </c>
      <c r="C2008">
        <v>5</v>
      </c>
      <c r="D2008">
        <v>37.72</v>
      </c>
      <c r="E2008">
        <v>3.77</v>
      </c>
      <c r="F2008">
        <v>0</v>
      </c>
      <c r="G2008">
        <v>0.1</v>
      </c>
      <c r="H2008" t="s">
        <v>622</v>
      </c>
      <c r="J2008" t="s">
        <v>623</v>
      </c>
      <c r="K2008" s="1"/>
      <c r="L2008" s="1">
        <v>46169.715856481482</v>
      </c>
      <c r="M2008" s="2">
        <v>46169</v>
      </c>
      <c r="N2008" t="s">
        <v>638</v>
      </c>
      <c r="O2008" t="s">
        <v>625</v>
      </c>
      <c r="P2008">
        <v>1</v>
      </c>
      <c r="Q2008">
        <v>0</v>
      </c>
      <c r="R2008">
        <v>37.72</v>
      </c>
      <c r="S2008" t="s">
        <v>114</v>
      </c>
      <c r="T2008" t="s">
        <v>779</v>
      </c>
    </row>
    <row r="2009" spans="1:20" x14ac:dyDescent="0.3">
      <c r="A2009">
        <v>2008</v>
      </c>
      <c r="B2009">
        <v>38</v>
      </c>
      <c r="C2009">
        <v>2</v>
      </c>
      <c r="D2009">
        <v>13.91</v>
      </c>
      <c r="E2009">
        <v>1.39</v>
      </c>
      <c r="F2009">
        <v>0</v>
      </c>
      <c r="G2009">
        <v>0.1</v>
      </c>
      <c r="H2009" t="s">
        <v>622</v>
      </c>
      <c r="J2009" t="s">
        <v>623</v>
      </c>
      <c r="K2009" s="1"/>
      <c r="L2009" s="1">
        <v>46170.36550925926</v>
      </c>
      <c r="M2009" s="2">
        <v>46170</v>
      </c>
      <c r="N2009" t="s">
        <v>638</v>
      </c>
      <c r="O2009" t="s">
        <v>625</v>
      </c>
      <c r="P2009">
        <v>1</v>
      </c>
      <c r="Q2009">
        <v>0</v>
      </c>
      <c r="R2009">
        <v>13.91</v>
      </c>
      <c r="S2009" t="s">
        <v>72</v>
      </c>
      <c r="T2009" t="s">
        <v>776</v>
      </c>
    </row>
    <row r="2010" spans="1:20" x14ac:dyDescent="0.3">
      <c r="A2010">
        <v>2009</v>
      </c>
      <c r="B2010">
        <v>200</v>
      </c>
      <c r="C2010">
        <v>2</v>
      </c>
      <c r="D2010">
        <v>35.869999999999997</v>
      </c>
      <c r="E2010">
        <v>3.59</v>
      </c>
      <c r="F2010">
        <v>0</v>
      </c>
      <c r="G2010">
        <v>0.1</v>
      </c>
      <c r="H2010" t="s">
        <v>622</v>
      </c>
      <c r="J2010" t="s">
        <v>623</v>
      </c>
      <c r="K2010" s="1"/>
      <c r="L2010" s="1">
        <v>46170.407395833332</v>
      </c>
      <c r="M2010" s="2">
        <v>46170</v>
      </c>
      <c r="N2010" t="s">
        <v>638</v>
      </c>
      <c r="O2010" t="s">
        <v>625</v>
      </c>
      <c r="P2010">
        <v>1</v>
      </c>
      <c r="Q2010">
        <v>0</v>
      </c>
      <c r="R2010">
        <v>35.869999999999997</v>
      </c>
      <c r="S2010" t="s">
        <v>395</v>
      </c>
      <c r="T2010" t="s">
        <v>776</v>
      </c>
    </row>
    <row r="2011" spans="1:20" x14ac:dyDescent="0.3">
      <c r="A2011">
        <v>2010</v>
      </c>
      <c r="B2011">
        <v>265</v>
      </c>
      <c r="C2011">
        <v>2</v>
      </c>
      <c r="D2011">
        <v>103.94</v>
      </c>
      <c r="E2011">
        <v>10.39</v>
      </c>
      <c r="F2011">
        <v>0</v>
      </c>
      <c r="G2011">
        <v>0.1</v>
      </c>
      <c r="H2011" t="s">
        <v>622</v>
      </c>
      <c r="J2011" t="s">
        <v>623</v>
      </c>
      <c r="K2011" s="1"/>
      <c r="L2011" s="1">
        <v>46170.583553240744</v>
      </c>
      <c r="M2011" s="2">
        <v>46170</v>
      </c>
      <c r="N2011" t="s">
        <v>638</v>
      </c>
      <c r="O2011" t="s">
        <v>625</v>
      </c>
      <c r="P2011">
        <v>1</v>
      </c>
      <c r="Q2011">
        <v>0</v>
      </c>
      <c r="R2011">
        <v>103.94</v>
      </c>
      <c r="S2011" t="s">
        <v>525</v>
      </c>
      <c r="T2011" t="s">
        <v>776</v>
      </c>
    </row>
    <row r="2012" spans="1:20" x14ac:dyDescent="0.3">
      <c r="A2012">
        <v>2011</v>
      </c>
      <c r="B2012">
        <v>250</v>
      </c>
      <c r="C2012">
        <v>2</v>
      </c>
      <c r="D2012">
        <v>111.27</v>
      </c>
      <c r="E2012">
        <v>11.13</v>
      </c>
      <c r="F2012">
        <v>0</v>
      </c>
      <c r="G2012">
        <v>0.1</v>
      </c>
      <c r="H2012" t="s">
        <v>622</v>
      </c>
      <c r="J2012" t="s">
        <v>623</v>
      </c>
      <c r="K2012" s="1"/>
      <c r="L2012" s="1">
        <v>46170.677893518521</v>
      </c>
      <c r="M2012" s="2">
        <v>46170</v>
      </c>
      <c r="N2012" t="s">
        <v>638</v>
      </c>
      <c r="O2012" t="s">
        <v>625</v>
      </c>
      <c r="P2012">
        <v>1</v>
      </c>
      <c r="Q2012">
        <v>0</v>
      </c>
      <c r="R2012">
        <v>111.27</v>
      </c>
      <c r="S2012" t="s">
        <v>495</v>
      </c>
      <c r="T2012" t="s">
        <v>776</v>
      </c>
    </row>
    <row r="2013" spans="1:20" x14ac:dyDescent="0.3">
      <c r="A2013">
        <v>2012</v>
      </c>
      <c r="B2013">
        <v>250</v>
      </c>
      <c r="C2013">
        <v>2</v>
      </c>
      <c r="D2013">
        <v>68.36</v>
      </c>
      <c r="E2013">
        <v>6.84</v>
      </c>
      <c r="F2013">
        <v>0</v>
      </c>
      <c r="G2013">
        <v>0.1</v>
      </c>
      <c r="H2013" t="s">
        <v>622</v>
      </c>
      <c r="J2013" t="s">
        <v>623</v>
      </c>
      <c r="K2013" s="1"/>
      <c r="L2013" s="1">
        <v>46170.717523148145</v>
      </c>
      <c r="M2013" s="2">
        <v>46170</v>
      </c>
      <c r="N2013" t="s">
        <v>638</v>
      </c>
      <c r="O2013" t="s">
        <v>625</v>
      </c>
      <c r="P2013">
        <v>1</v>
      </c>
      <c r="Q2013">
        <v>0</v>
      </c>
      <c r="R2013">
        <v>68.36</v>
      </c>
      <c r="S2013" t="s">
        <v>495</v>
      </c>
      <c r="T2013" t="s">
        <v>776</v>
      </c>
    </row>
    <row r="2014" spans="1:20" x14ac:dyDescent="0.3">
      <c r="A2014">
        <v>2013</v>
      </c>
      <c r="B2014">
        <v>285</v>
      </c>
      <c r="C2014">
        <v>2</v>
      </c>
      <c r="D2014">
        <v>30.45</v>
      </c>
      <c r="E2014">
        <v>3.05</v>
      </c>
      <c r="F2014">
        <v>0</v>
      </c>
      <c r="G2014">
        <v>0.1</v>
      </c>
      <c r="H2014" t="s">
        <v>622</v>
      </c>
      <c r="J2014" t="s">
        <v>623</v>
      </c>
      <c r="K2014" s="1"/>
      <c r="L2014" s="1">
        <v>46170.721770833334</v>
      </c>
      <c r="M2014" s="2">
        <v>46170</v>
      </c>
      <c r="N2014" t="s">
        <v>638</v>
      </c>
      <c r="O2014" t="s">
        <v>625</v>
      </c>
      <c r="P2014">
        <v>1</v>
      </c>
      <c r="Q2014">
        <v>0</v>
      </c>
      <c r="R2014">
        <v>30.45</v>
      </c>
      <c r="S2014" t="s">
        <v>565</v>
      </c>
      <c r="T2014" t="s">
        <v>776</v>
      </c>
    </row>
    <row r="2015" spans="1:20" x14ac:dyDescent="0.3">
      <c r="A2015">
        <v>2014</v>
      </c>
      <c r="B2015">
        <v>229</v>
      </c>
      <c r="C2015">
        <v>4</v>
      </c>
      <c r="D2015">
        <v>41.11</v>
      </c>
      <c r="E2015">
        <v>4.1100000000000003</v>
      </c>
      <c r="F2015">
        <v>0</v>
      </c>
      <c r="G2015">
        <v>0.1</v>
      </c>
      <c r="H2015" t="s">
        <v>622</v>
      </c>
      <c r="J2015" t="s">
        <v>623</v>
      </c>
      <c r="K2015" s="1"/>
      <c r="L2015" s="1">
        <v>46170.734409722223</v>
      </c>
      <c r="M2015" s="2">
        <v>46170</v>
      </c>
      <c r="N2015" t="s">
        <v>638</v>
      </c>
      <c r="O2015" t="s">
        <v>625</v>
      </c>
      <c r="P2015">
        <v>1</v>
      </c>
      <c r="Q2015">
        <v>0</v>
      </c>
      <c r="R2015">
        <v>41.11</v>
      </c>
      <c r="S2015" t="s">
        <v>453</v>
      </c>
      <c r="T2015" t="s">
        <v>778</v>
      </c>
    </row>
    <row r="2016" spans="1:20" x14ac:dyDescent="0.3">
      <c r="A2016">
        <v>2015</v>
      </c>
      <c r="B2016">
        <v>39</v>
      </c>
      <c r="C2016">
        <v>3</v>
      </c>
      <c r="D2016">
        <v>205.14</v>
      </c>
      <c r="E2016">
        <v>20.51</v>
      </c>
      <c r="F2016">
        <v>0</v>
      </c>
      <c r="G2016">
        <v>0.1</v>
      </c>
      <c r="H2016" t="s">
        <v>622</v>
      </c>
      <c r="J2016" t="s">
        <v>623</v>
      </c>
      <c r="K2016" s="1"/>
      <c r="L2016" s="1">
        <v>46170.753229166665</v>
      </c>
      <c r="M2016" s="2">
        <v>46170</v>
      </c>
      <c r="N2016" t="s">
        <v>638</v>
      </c>
      <c r="O2016" t="s">
        <v>625</v>
      </c>
      <c r="P2016">
        <v>1</v>
      </c>
      <c r="Q2016">
        <v>0</v>
      </c>
      <c r="R2016">
        <v>205.14</v>
      </c>
      <c r="S2016" t="s">
        <v>74</v>
      </c>
      <c r="T2016" t="s">
        <v>777</v>
      </c>
    </row>
    <row r="2017" spans="1:20" x14ac:dyDescent="0.3">
      <c r="A2017">
        <v>2016</v>
      </c>
      <c r="B2017">
        <v>171</v>
      </c>
      <c r="C2017">
        <v>5</v>
      </c>
      <c r="D2017">
        <v>220</v>
      </c>
      <c r="E2017">
        <v>22</v>
      </c>
      <c r="F2017">
        <v>0</v>
      </c>
      <c r="G2017">
        <v>0.1</v>
      </c>
      <c r="H2017" t="s">
        <v>622</v>
      </c>
      <c r="J2017" t="s">
        <v>623</v>
      </c>
      <c r="K2017" s="1"/>
      <c r="L2017" s="1">
        <v>46171.37</v>
      </c>
      <c r="M2017" s="2">
        <v>46171</v>
      </c>
      <c r="N2017" t="s">
        <v>638</v>
      </c>
      <c r="O2017" t="s">
        <v>625</v>
      </c>
      <c r="P2017">
        <v>1</v>
      </c>
      <c r="Q2017">
        <v>0</v>
      </c>
      <c r="R2017">
        <v>220</v>
      </c>
      <c r="S2017" t="s">
        <v>337</v>
      </c>
      <c r="T2017" t="s">
        <v>779</v>
      </c>
    </row>
    <row r="2018" spans="1:20" x14ac:dyDescent="0.3">
      <c r="A2018">
        <v>2017</v>
      </c>
      <c r="B2018">
        <v>250</v>
      </c>
      <c r="C2018">
        <v>2</v>
      </c>
      <c r="D2018">
        <v>114.23</v>
      </c>
      <c r="E2018">
        <v>11.42</v>
      </c>
      <c r="F2018">
        <v>0</v>
      </c>
      <c r="G2018">
        <v>0.1</v>
      </c>
      <c r="H2018" t="s">
        <v>622</v>
      </c>
      <c r="J2018" t="s">
        <v>623</v>
      </c>
      <c r="K2018" s="1"/>
      <c r="L2018" s="1">
        <v>46171.402731481481</v>
      </c>
      <c r="M2018" s="2">
        <v>46171</v>
      </c>
      <c r="N2018" t="s">
        <v>638</v>
      </c>
      <c r="O2018" t="s">
        <v>625</v>
      </c>
      <c r="P2018">
        <v>1</v>
      </c>
      <c r="Q2018">
        <v>0</v>
      </c>
      <c r="R2018">
        <v>114.23</v>
      </c>
      <c r="S2018" t="s">
        <v>495</v>
      </c>
      <c r="T2018" t="s">
        <v>776</v>
      </c>
    </row>
    <row r="2019" spans="1:20" x14ac:dyDescent="0.3">
      <c r="A2019">
        <v>2018</v>
      </c>
      <c r="B2019">
        <v>13</v>
      </c>
      <c r="C2019">
        <v>4</v>
      </c>
      <c r="D2019">
        <v>27.27</v>
      </c>
      <c r="E2019">
        <v>2.73</v>
      </c>
      <c r="F2019">
        <v>0</v>
      </c>
      <c r="G2019">
        <v>0.1</v>
      </c>
      <c r="H2019" t="s">
        <v>626</v>
      </c>
      <c r="I2019">
        <v>3</v>
      </c>
      <c r="J2019" t="s">
        <v>632</v>
      </c>
      <c r="K2019" s="1">
        <v>46173.425381944442</v>
      </c>
      <c r="L2019" s="1">
        <v>46171.467048611114</v>
      </c>
      <c r="M2019" s="2">
        <v>46171</v>
      </c>
      <c r="N2019" t="s">
        <v>638</v>
      </c>
      <c r="O2019" t="s">
        <v>625</v>
      </c>
      <c r="P2019">
        <v>1</v>
      </c>
      <c r="Q2019">
        <v>1</v>
      </c>
      <c r="R2019">
        <v>0</v>
      </c>
      <c r="S2019" t="s">
        <v>22</v>
      </c>
      <c r="T2019" t="s">
        <v>778</v>
      </c>
    </row>
    <row r="2020" spans="1:20" x14ac:dyDescent="0.3">
      <c r="A2020">
        <v>2019</v>
      </c>
      <c r="B2020">
        <v>250</v>
      </c>
      <c r="C2020">
        <v>2</v>
      </c>
      <c r="D2020">
        <v>106.95</v>
      </c>
      <c r="E2020">
        <v>10.7</v>
      </c>
      <c r="F2020">
        <v>0</v>
      </c>
      <c r="G2020">
        <v>0.1</v>
      </c>
      <c r="H2020" t="s">
        <v>622</v>
      </c>
      <c r="J2020" t="s">
        <v>623</v>
      </c>
      <c r="K2020" s="1"/>
      <c r="L2020" s="1">
        <v>46171.506944444445</v>
      </c>
      <c r="M2020" s="2">
        <v>46171</v>
      </c>
      <c r="N2020" t="s">
        <v>638</v>
      </c>
      <c r="O2020" t="s">
        <v>625</v>
      </c>
      <c r="P2020">
        <v>1</v>
      </c>
      <c r="Q2020">
        <v>0</v>
      </c>
      <c r="R2020">
        <v>106.95</v>
      </c>
      <c r="S2020" t="s">
        <v>495</v>
      </c>
      <c r="T2020" t="s">
        <v>776</v>
      </c>
    </row>
    <row r="2021" spans="1:20" x14ac:dyDescent="0.3">
      <c r="A2021">
        <v>2020</v>
      </c>
      <c r="B2021">
        <v>245</v>
      </c>
      <c r="C2021">
        <v>5</v>
      </c>
      <c r="D2021">
        <v>19.82</v>
      </c>
      <c r="E2021">
        <v>1.98</v>
      </c>
      <c r="F2021">
        <v>0</v>
      </c>
      <c r="G2021">
        <v>0.1</v>
      </c>
      <c r="H2021" t="s">
        <v>622</v>
      </c>
      <c r="J2021" t="s">
        <v>623</v>
      </c>
      <c r="K2021" s="1"/>
      <c r="L2021" s="1">
        <v>46172.335613425923</v>
      </c>
      <c r="M2021" s="2">
        <v>46172</v>
      </c>
      <c r="N2021" t="s">
        <v>638</v>
      </c>
      <c r="O2021" t="s">
        <v>625</v>
      </c>
      <c r="P2021">
        <v>1</v>
      </c>
      <c r="Q2021">
        <v>0</v>
      </c>
      <c r="R2021">
        <v>19.82</v>
      </c>
      <c r="S2021" t="s">
        <v>485</v>
      </c>
      <c r="T2021" t="s">
        <v>779</v>
      </c>
    </row>
    <row r="2022" spans="1:20" x14ac:dyDescent="0.3">
      <c r="A2022">
        <v>2021</v>
      </c>
      <c r="B2022">
        <v>229</v>
      </c>
      <c r="C2022">
        <v>5</v>
      </c>
      <c r="D2022">
        <v>90.27</v>
      </c>
      <c r="E2022">
        <v>9.0299999999999994</v>
      </c>
      <c r="F2022">
        <v>0</v>
      </c>
      <c r="G2022">
        <v>0.1</v>
      </c>
      <c r="H2022" t="s">
        <v>622</v>
      </c>
      <c r="J2022" t="s">
        <v>623</v>
      </c>
      <c r="K2022" s="1"/>
      <c r="L2022" s="1">
        <v>46172.689826388887</v>
      </c>
      <c r="M2022" s="2">
        <v>46172</v>
      </c>
      <c r="N2022" t="s">
        <v>638</v>
      </c>
      <c r="O2022" t="s">
        <v>625</v>
      </c>
      <c r="P2022">
        <v>1</v>
      </c>
      <c r="Q2022">
        <v>0</v>
      </c>
      <c r="R2022">
        <v>90.27</v>
      </c>
      <c r="S2022" t="s">
        <v>453</v>
      </c>
      <c r="T2022" t="s">
        <v>779</v>
      </c>
    </row>
    <row r="2023" spans="1:20" x14ac:dyDescent="0.3">
      <c r="A2023">
        <v>2022</v>
      </c>
      <c r="B2023">
        <v>241</v>
      </c>
      <c r="C2023">
        <v>4</v>
      </c>
      <c r="D2023">
        <v>33.17</v>
      </c>
      <c r="E2023">
        <v>3.32</v>
      </c>
      <c r="F2023">
        <v>0</v>
      </c>
      <c r="G2023">
        <v>0.1</v>
      </c>
      <c r="H2023" t="s">
        <v>622</v>
      </c>
      <c r="J2023" t="s">
        <v>623</v>
      </c>
      <c r="K2023" s="1"/>
      <c r="L2023" s="1">
        <v>46172.726307870369</v>
      </c>
      <c r="M2023" s="2">
        <v>46172</v>
      </c>
      <c r="N2023" t="s">
        <v>638</v>
      </c>
      <c r="O2023" t="s">
        <v>625</v>
      </c>
      <c r="P2023">
        <v>1</v>
      </c>
      <c r="Q2023">
        <v>0</v>
      </c>
      <c r="R2023">
        <v>33.17</v>
      </c>
      <c r="S2023" t="s">
        <v>477</v>
      </c>
      <c r="T2023" t="s">
        <v>778</v>
      </c>
    </row>
    <row r="2024" spans="1:20" x14ac:dyDescent="0.3">
      <c r="A2024">
        <v>2023</v>
      </c>
      <c r="B2024">
        <v>137</v>
      </c>
      <c r="C2024">
        <v>3</v>
      </c>
      <c r="D2024">
        <v>16.61</v>
      </c>
      <c r="E2024">
        <v>1.66</v>
      </c>
      <c r="F2024">
        <v>0</v>
      </c>
      <c r="G2024">
        <v>0.1</v>
      </c>
      <c r="H2024" t="s">
        <v>622</v>
      </c>
      <c r="J2024" t="s">
        <v>623</v>
      </c>
      <c r="K2024" s="1"/>
      <c r="L2024" s="1">
        <v>46172.726990740739</v>
      </c>
      <c r="M2024" s="2">
        <v>46172</v>
      </c>
      <c r="N2024" t="s">
        <v>638</v>
      </c>
      <c r="O2024" t="s">
        <v>625</v>
      </c>
      <c r="P2024">
        <v>1</v>
      </c>
      <c r="Q2024">
        <v>0</v>
      </c>
      <c r="R2024">
        <v>16.61</v>
      </c>
      <c r="S2024" t="s">
        <v>269</v>
      </c>
      <c r="T2024" t="s">
        <v>777</v>
      </c>
    </row>
    <row r="2025" spans="1:20" x14ac:dyDescent="0.3">
      <c r="A2025">
        <v>2024</v>
      </c>
      <c r="B2025">
        <v>25</v>
      </c>
      <c r="C2025">
        <v>2</v>
      </c>
      <c r="D2025">
        <v>120.17</v>
      </c>
      <c r="E2025">
        <v>12.02</v>
      </c>
      <c r="F2025">
        <v>0</v>
      </c>
      <c r="G2025">
        <v>0.1</v>
      </c>
      <c r="H2025" t="s">
        <v>622</v>
      </c>
      <c r="J2025" t="s">
        <v>623</v>
      </c>
      <c r="K2025" s="1"/>
      <c r="L2025" s="1">
        <v>46172.766574074078</v>
      </c>
      <c r="M2025" s="2">
        <v>46172</v>
      </c>
      <c r="N2025" t="s">
        <v>638</v>
      </c>
      <c r="O2025" t="s">
        <v>625</v>
      </c>
      <c r="P2025">
        <v>1</v>
      </c>
      <c r="Q2025">
        <v>0</v>
      </c>
      <c r="R2025">
        <v>120.17</v>
      </c>
      <c r="S2025" t="s">
        <v>46</v>
      </c>
      <c r="T2025" t="s">
        <v>776</v>
      </c>
    </row>
    <row r="2026" spans="1:20" x14ac:dyDescent="0.3">
      <c r="A2026">
        <v>2025</v>
      </c>
      <c r="B2026">
        <v>221</v>
      </c>
      <c r="C2026">
        <v>3</v>
      </c>
      <c r="D2026">
        <v>200.03</v>
      </c>
      <c r="E2026">
        <v>20</v>
      </c>
      <c r="F2026">
        <v>0</v>
      </c>
      <c r="G2026">
        <v>0.1</v>
      </c>
      <c r="H2026" t="s">
        <v>622</v>
      </c>
      <c r="J2026" t="s">
        <v>623</v>
      </c>
      <c r="K2026" s="1"/>
      <c r="L2026" s="1">
        <v>46172.785439814812</v>
      </c>
      <c r="M2026" s="2">
        <v>46172</v>
      </c>
      <c r="N2026" t="s">
        <v>638</v>
      </c>
      <c r="O2026" t="s">
        <v>625</v>
      </c>
      <c r="P2026">
        <v>1</v>
      </c>
      <c r="Q2026">
        <v>0</v>
      </c>
      <c r="R2026">
        <v>200.03</v>
      </c>
      <c r="S2026" t="s">
        <v>437</v>
      </c>
      <c r="T2026" t="s">
        <v>777</v>
      </c>
    </row>
    <row r="2027" spans="1:20" x14ac:dyDescent="0.3">
      <c r="A2027">
        <v>2026</v>
      </c>
      <c r="B2027">
        <v>58</v>
      </c>
      <c r="C2027">
        <v>2</v>
      </c>
      <c r="D2027">
        <v>31.65</v>
      </c>
      <c r="E2027">
        <v>3.17</v>
      </c>
      <c r="F2027">
        <v>0</v>
      </c>
      <c r="G2027">
        <v>0.1</v>
      </c>
      <c r="H2027" t="s">
        <v>622</v>
      </c>
      <c r="J2027" t="s">
        <v>623</v>
      </c>
      <c r="K2027" s="1"/>
      <c r="L2027" s="1">
        <v>46173.51421296296</v>
      </c>
      <c r="M2027" s="2">
        <v>46173</v>
      </c>
      <c r="N2027" t="s">
        <v>638</v>
      </c>
      <c r="O2027" t="s">
        <v>625</v>
      </c>
      <c r="P2027">
        <v>1</v>
      </c>
      <c r="Q2027">
        <v>0</v>
      </c>
      <c r="R2027">
        <v>31.65</v>
      </c>
      <c r="S2027" t="s">
        <v>112</v>
      </c>
      <c r="T2027" t="s">
        <v>776</v>
      </c>
    </row>
    <row r="2028" spans="1:20" x14ac:dyDescent="0.3">
      <c r="A2028">
        <v>2027</v>
      </c>
      <c r="B2028">
        <v>246</v>
      </c>
      <c r="C2028">
        <v>3</v>
      </c>
      <c r="D2028">
        <v>52.62</v>
      </c>
      <c r="E2028">
        <v>5.26</v>
      </c>
      <c r="F2028">
        <v>0</v>
      </c>
      <c r="G2028">
        <v>0.1</v>
      </c>
      <c r="H2028" t="s">
        <v>622</v>
      </c>
      <c r="J2028" t="s">
        <v>623</v>
      </c>
      <c r="K2028" s="1"/>
      <c r="L2028" s="1">
        <v>46174.399780092594</v>
      </c>
      <c r="M2028" s="2">
        <v>46174</v>
      </c>
      <c r="N2028" t="s">
        <v>639</v>
      </c>
      <c r="O2028" t="s">
        <v>625</v>
      </c>
      <c r="P2028">
        <v>1</v>
      </c>
      <c r="Q2028">
        <v>0</v>
      </c>
      <c r="R2028">
        <v>52.62</v>
      </c>
      <c r="S2028" t="s">
        <v>487</v>
      </c>
      <c r="T2028" t="s">
        <v>777</v>
      </c>
    </row>
    <row r="2029" spans="1:20" x14ac:dyDescent="0.3">
      <c r="A2029">
        <v>2028</v>
      </c>
      <c r="B2029">
        <v>250</v>
      </c>
      <c r="C2029">
        <v>3</v>
      </c>
      <c r="D2029">
        <v>78.11</v>
      </c>
      <c r="E2029">
        <v>7.81</v>
      </c>
      <c r="F2029">
        <v>0</v>
      </c>
      <c r="G2029">
        <v>0.1</v>
      </c>
      <c r="H2029" t="s">
        <v>622</v>
      </c>
      <c r="J2029" t="s">
        <v>623</v>
      </c>
      <c r="K2029" s="1"/>
      <c r="L2029" s="1">
        <v>46174.405590277776</v>
      </c>
      <c r="M2029" s="2">
        <v>46174</v>
      </c>
      <c r="N2029" t="s">
        <v>639</v>
      </c>
      <c r="O2029" t="s">
        <v>625</v>
      </c>
      <c r="P2029">
        <v>1</v>
      </c>
      <c r="Q2029">
        <v>0</v>
      </c>
      <c r="R2029">
        <v>78.11</v>
      </c>
      <c r="S2029" t="s">
        <v>495</v>
      </c>
      <c r="T2029" t="s">
        <v>777</v>
      </c>
    </row>
    <row r="2030" spans="1:20" x14ac:dyDescent="0.3">
      <c r="A2030">
        <v>2029</v>
      </c>
      <c r="B2030">
        <v>188</v>
      </c>
      <c r="C2030">
        <v>2</v>
      </c>
      <c r="D2030">
        <v>245.96</v>
      </c>
      <c r="E2030">
        <v>24.6</v>
      </c>
      <c r="F2030">
        <v>0</v>
      </c>
      <c r="G2030">
        <v>0.1</v>
      </c>
      <c r="H2030" t="s">
        <v>622</v>
      </c>
      <c r="J2030" t="s">
        <v>623</v>
      </c>
      <c r="K2030" s="1"/>
      <c r="L2030" s="1">
        <v>46174.411620370367</v>
      </c>
      <c r="M2030" s="2">
        <v>46174</v>
      </c>
      <c r="N2030" t="s">
        <v>639</v>
      </c>
      <c r="O2030" t="s">
        <v>625</v>
      </c>
      <c r="P2030">
        <v>1</v>
      </c>
      <c r="Q2030">
        <v>0</v>
      </c>
      <c r="R2030">
        <v>245.96</v>
      </c>
      <c r="S2030" t="s">
        <v>371</v>
      </c>
      <c r="T2030" t="s">
        <v>776</v>
      </c>
    </row>
    <row r="2031" spans="1:20" x14ac:dyDescent="0.3">
      <c r="A2031">
        <v>2030</v>
      </c>
      <c r="B2031">
        <v>202</v>
      </c>
      <c r="C2031">
        <v>4</v>
      </c>
      <c r="D2031">
        <v>33.6</v>
      </c>
      <c r="E2031">
        <v>3.36</v>
      </c>
      <c r="F2031">
        <v>0</v>
      </c>
      <c r="G2031">
        <v>0.1</v>
      </c>
      <c r="H2031" t="s">
        <v>622</v>
      </c>
      <c r="J2031" t="s">
        <v>623</v>
      </c>
      <c r="K2031" s="1"/>
      <c r="L2031" s="1">
        <v>46174.525810185187</v>
      </c>
      <c r="M2031" s="2">
        <v>46174</v>
      </c>
      <c r="N2031" t="s">
        <v>639</v>
      </c>
      <c r="O2031" t="s">
        <v>625</v>
      </c>
      <c r="P2031">
        <v>1</v>
      </c>
      <c r="Q2031">
        <v>0</v>
      </c>
      <c r="R2031">
        <v>33.6</v>
      </c>
      <c r="S2031" t="s">
        <v>399</v>
      </c>
      <c r="T2031" t="s">
        <v>778</v>
      </c>
    </row>
    <row r="2032" spans="1:20" x14ac:dyDescent="0.3">
      <c r="A2032">
        <v>2031</v>
      </c>
      <c r="B2032">
        <v>13</v>
      </c>
      <c r="C2032">
        <v>2</v>
      </c>
      <c r="D2032">
        <v>38.31</v>
      </c>
      <c r="E2032">
        <v>3.83</v>
      </c>
      <c r="F2032">
        <v>0</v>
      </c>
      <c r="G2032">
        <v>0.1</v>
      </c>
      <c r="H2032" t="s">
        <v>622</v>
      </c>
      <c r="J2032" t="s">
        <v>623</v>
      </c>
      <c r="K2032" s="1"/>
      <c r="L2032" s="1">
        <v>46174.546817129631</v>
      </c>
      <c r="M2032" s="2">
        <v>46174</v>
      </c>
      <c r="N2032" t="s">
        <v>639</v>
      </c>
      <c r="O2032" t="s">
        <v>625</v>
      </c>
      <c r="P2032">
        <v>1</v>
      </c>
      <c r="Q2032">
        <v>0</v>
      </c>
      <c r="R2032">
        <v>38.31</v>
      </c>
      <c r="S2032" t="s">
        <v>22</v>
      </c>
      <c r="T2032" t="s">
        <v>776</v>
      </c>
    </row>
    <row r="2033" spans="1:20" x14ac:dyDescent="0.3">
      <c r="A2033">
        <v>2032</v>
      </c>
      <c r="B2033">
        <v>106</v>
      </c>
      <c r="C2033">
        <v>2</v>
      </c>
      <c r="D2033">
        <v>109.78</v>
      </c>
      <c r="E2033">
        <v>10.98</v>
      </c>
      <c r="F2033">
        <v>0</v>
      </c>
      <c r="G2033">
        <v>0.1</v>
      </c>
      <c r="H2033" t="s">
        <v>622</v>
      </c>
      <c r="J2033" t="s">
        <v>623</v>
      </c>
      <c r="K2033" s="1"/>
      <c r="L2033" s="1">
        <v>46174.65357638889</v>
      </c>
      <c r="M2033" s="2">
        <v>46174</v>
      </c>
      <c r="N2033" t="s">
        <v>639</v>
      </c>
      <c r="O2033" t="s">
        <v>625</v>
      </c>
      <c r="P2033">
        <v>1</v>
      </c>
      <c r="Q2033">
        <v>0</v>
      </c>
      <c r="R2033">
        <v>109.78</v>
      </c>
      <c r="S2033" t="s">
        <v>207</v>
      </c>
      <c r="T2033" t="s">
        <v>776</v>
      </c>
    </row>
    <row r="2034" spans="1:20" x14ac:dyDescent="0.3">
      <c r="A2034">
        <v>2033</v>
      </c>
      <c r="B2034">
        <v>179</v>
      </c>
      <c r="C2034">
        <v>3</v>
      </c>
      <c r="D2034">
        <v>127.21</v>
      </c>
      <c r="E2034">
        <v>12.72</v>
      </c>
      <c r="F2034">
        <v>0</v>
      </c>
      <c r="G2034">
        <v>0.1</v>
      </c>
      <c r="H2034" t="s">
        <v>622</v>
      </c>
      <c r="J2034" t="s">
        <v>623</v>
      </c>
      <c r="K2034" s="1"/>
      <c r="L2034" s="1">
        <v>46174.65525462963</v>
      </c>
      <c r="M2034" s="2">
        <v>46174</v>
      </c>
      <c r="N2034" t="s">
        <v>639</v>
      </c>
      <c r="O2034" t="s">
        <v>625</v>
      </c>
      <c r="P2034">
        <v>1</v>
      </c>
      <c r="Q2034">
        <v>0</v>
      </c>
      <c r="R2034">
        <v>127.21</v>
      </c>
      <c r="S2034" t="s">
        <v>353</v>
      </c>
      <c r="T2034" t="s">
        <v>777</v>
      </c>
    </row>
    <row r="2035" spans="1:20" x14ac:dyDescent="0.3">
      <c r="A2035">
        <v>2034</v>
      </c>
      <c r="B2035">
        <v>285</v>
      </c>
      <c r="C2035">
        <v>5</v>
      </c>
      <c r="D2035">
        <v>20.91</v>
      </c>
      <c r="E2035">
        <v>2.09</v>
      </c>
      <c r="F2035">
        <v>0</v>
      </c>
      <c r="G2035">
        <v>0.1</v>
      </c>
      <c r="H2035" t="s">
        <v>622</v>
      </c>
      <c r="J2035" t="s">
        <v>623</v>
      </c>
      <c r="K2035" s="1"/>
      <c r="L2035" s="1">
        <v>46174.656354166669</v>
      </c>
      <c r="M2035" s="2">
        <v>46174</v>
      </c>
      <c r="N2035" t="s">
        <v>639</v>
      </c>
      <c r="O2035" t="s">
        <v>625</v>
      </c>
      <c r="P2035">
        <v>1</v>
      </c>
      <c r="Q2035">
        <v>0</v>
      </c>
      <c r="R2035">
        <v>20.91</v>
      </c>
      <c r="S2035" t="s">
        <v>565</v>
      </c>
      <c r="T2035" t="s">
        <v>779</v>
      </c>
    </row>
    <row r="2036" spans="1:20" x14ac:dyDescent="0.3">
      <c r="A2036">
        <v>2035</v>
      </c>
      <c r="B2036">
        <v>65</v>
      </c>
      <c r="C2036">
        <v>2</v>
      </c>
      <c r="D2036">
        <v>29.75</v>
      </c>
      <c r="E2036">
        <v>2.98</v>
      </c>
      <c r="F2036">
        <v>0</v>
      </c>
      <c r="G2036">
        <v>0.1</v>
      </c>
      <c r="H2036" t="s">
        <v>622</v>
      </c>
      <c r="J2036" t="s">
        <v>623</v>
      </c>
      <c r="K2036" s="1"/>
      <c r="L2036" s="1">
        <v>46174.710740740738</v>
      </c>
      <c r="M2036" s="2">
        <v>46174</v>
      </c>
      <c r="N2036" t="s">
        <v>639</v>
      </c>
      <c r="O2036" t="s">
        <v>625</v>
      </c>
      <c r="P2036">
        <v>1</v>
      </c>
      <c r="Q2036">
        <v>0</v>
      </c>
      <c r="R2036">
        <v>29.75</v>
      </c>
      <c r="S2036" t="s">
        <v>126</v>
      </c>
      <c r="T2036" t="s">
        <v>776</v>
      </c>
    </row>
    <row r="2037" spans="1:20" x14ac:dyDescent="0.3">
      <c r="A2037">
        <v>2036</v>
      </c>
      <c r="B2037">
        <v>250</v>
      </c>
      <c r="C2037">
        <v>5</v>
      </c>
      <c r="D2037">
        <v>42.85</v>
      </c>
      <c r="E2037">
        <v>4.29</v>
      </c>
      <c r="F2037">
        <v>0</v>
      </c>
      <c r="G2037">
        <v>0.1</v>
      </c>
      <c r="H2037" t="s">
        <v>622</v>
      </c>
      <c r="J2037" t="s">
        <v>623</v>
      </c>
      <c r="K2037" s="1"/>
      <c r="L2037" s="1">
        <v>46175.31449074074</v>
      </c>
      <c r="M2037" s="2">
        <v>46175</v>
      </c>
      <c r="N2037" t="s">
        <v>639</v>
      </c>
      <c r="O2037" t="s">
        <v>625</v>
      </c>
      <c r="P2037">
        <v>1</v>
      </c>
      <c r="Q2037">
        <v>0</v>
      </c>
      <c r="R2037">
        <v>42.85</v>
      </c>
      <c r="S2037" t="s">
        <v>495</v>
      </c>
      <c r="T2037" t="s">
        <v>779</v>
      </c>
    </row>
    <row r="2038" spans="1:20" x14ac:dyDescent="0.3">
      <c r="A2038">
        <v>2037</v>
      </c>
      <c r="B2038">
        <v>223</v>
      </c>
      <c r="C2038">
        <v>2</v>
      </c>
      <c r="D2038">
        <v>25.55</v>
      </c>
      <c r="E2038">
        <v>2.56</v>
      </c>
      <c r="F2038">
        <v>0</v>
      </c>
      <c r="G2038">
        <v>0.1</v>
      </c>
      <c r="H2038" t="s">
        <v>622</v>
      </c>
      <c r="J2038" t="s">
        <v>623</v>
      </c>
      <c r="K2038" s="1"/>
      <c r="L2038" s="1">
        <v>46175.442453703705</v>
      </c>
      <c r="M2038" s="2">
        <v>46175</v>
      </c>
      <c r="N2038" t="s">
        <v>639</v>
      </c>
      <c r="O2038" t="s">
        <v>625</v>
      </c>
      <c r="P2038">
        <v>1</v>
      </c>
      <c r="Q2038">
        <v>0</v>
      </c>
      <c r="R2038">
        <v>25.55</v>
      </c>
      <c r="S2038" t="s">
        <v>441</v>
      </c>
      <c r="T2038" t="s">
        <v>776</v>
      </c>
    </row>
    <row r="2039" spans="1:20" x14ac:dyDescent="0.3">
      <c r="A2039">
        <v>2038</v>
      </c>
      <c r="B2039">
        <v>9</v>
      </c>
      <c r="C2039">
        <v>4</v>
      </c>
      <c r="D2039">
        <v>46.66</v>
      </c>
      <c r="E2039">
        <v>4.67</v>
      </c>
      <c r="F2039">
        <v>0</v>
      </c>
      <c r="G2039">
        <v>0.1</v>
      </c>
      <c r="H2039" t="s">
        <v>622</v>
      </c>
      <c r="J2039" t="s">
        <v>623</v>
      </c>
      <c r="K2039" s="1"/>
      <c r="L2039" s="1">
        <v>46175.443599537037</v>
      </c>
      <c r="M2039" s="2">
        <v>46175</v>
      </c>
      <c r="N2039" t="s">
        <v>639</v>
      </c>
      <c r="O2039" t="s">
        <v>625</v>
      </c>
      <c r="P2039">
        <v>1</v>
      </c>
      <c r="Q2039">
        <v>0</v>
      </c>
      <c r="R2039">
        <v>46.66</v>
      </c>
      <c r="S2039" t="s">
        <v>14</v>
      </c>
      <c r="T2039" t="s">
        <v>778</v>
      </c>
    </row>
    <row r="2040" spans="1:20" x14ac:dyDescent="0.3">
      <c r="A2040">
        <v>2039</v>
      </c>
      <c r="B2040">
        <v>39</v>
      </c>
      <c r="C2040">
        <v>3</v>
      </c>
      <c r="D2040">
        <v>159.16</v>
      </c>
      <c r="E2040">
        <v>0</v>
      </c>
      <c r="F2040">
        <v>1</v>
      </c>
      <c r="G2040">
        <v>0.1</v>
      </c>
      <c r="H2040" t="s">
        <v>622</v>
      </c>
      <c r="J2040" t="s">
        <v>623</v>
      </c>
      <c r="K2040" s="1"/>
      <c r="L2040" s="1">
        <v>46175.476354166669</v>
      </c>
      <c r="M2040" s="2">
        <v>46175</v>
      </c>
      <c r="N2040" t="s">
        <v>639</v>
      </c>
      <c r="O2040" t="s">
        <v>629</v>
      </c>
      <c r="P2040">
        <v>1</v>
      </c>
      <c r="Q2040">
        <v>0</v>
      </c>
      <c r="R2040">
        <v>159.16</v>
      </c>
      <c r="S2040" t="s">
        <v>74</v>
      </c>
      <c r="T2040" t="s">
        <v>777</v>
      </c>
    </row>
    <row r="2041" spans="1:20" x14ac:dyDescent="0.3">
      <c r="A2041">
        <v>2040</v>
      </c>
      <c r="B2041">
        <v>52</v>
      </c>
      <c r="C2041">
        <v>2</v>
      </c>
      <c r="D2041">
        <v>46.32</v>
      </c>
      <c r="E2041">
        <v>0</v>
      </c>
      <c r="F2041">
        <v>1</v>
      </c>
      <c r="G2041">
        <v>0.1</v>
      </c>
      <c r="H2041" t="s">
        <v>622</v>
      </c>
      <c r="J2041" t="s">
        <v>623</v>
      </c>
      <c r="K2041" s="1"/>
      <c r="L2041" s="1">
        <v>46175.476967592593</v>
      </c>
      <c r="M2041" s="2">
        <v>46175</v>
      </c>
      <c r="N2041" t="s">
        <v>639</v>
      </c>
      <c r="O2041" t="s">
        <v>629</v>
      </c>
      <c r="P2041">
        <v>1</v>
      </c>
      <c r="Q2041">
        <v>0</v>
      </c>
      <c r="R2041">
        <v>46.32</v>
      </c>
      <c r="S2041" t="s">
        <v>100</v>
      </c>
      <c r="T2041" t="s">
        <v>776</v>
      </c>
    </row>
    <row r="2042" spans="1:20" x14ac:dyDescent="0.3">
      <c r="A2042">
        <v>2041</v>
      </c>
      <c r="B2042">
        <v>136</v>
      </c>
      <c r="C2042">
        <v>3</v>
      </c>
      <c r="D2042">
        <v>113.05</v>
      </c>
      <c r="E2042">
        <v>11.31</v>
      </c>
      <c r="F2042">
        <v>0</v>
      </c>
      <c r="G2042">
        <v>0.1</v>
      </c>
      <c r="H2042" t="s">
        <v>622</v>
      </c>
      <c r="J2042" t="s">
        <v>623</v>
      </c>
      <c r="K2042" s="1"/>
      <c r="L2042" s="1">
        <v>46175.47859953704</v>
      </c>
      <c r="M2042" s="2">
        <v>46175</v>
      </c>
      <c r="N2042" t="s">
        <v>639</v>
      </c>
      <c r="O2042" t="s">
        <v>625</v>
      </c>
      <c r="P2042">
        <v>1</v>
      </c>
      <c r="Q2042">
        <v>0</v>
      </c>
      <c r="R2042">
        <v>113.05</v>
      </c>
      <c r="S2042" t="s">
        <v>267</v>
      </c>
      <c r="T2042" t="s">
        <v>777</v>
      </c>
    </row>
    <row r="2043" spans="1:20" x14ac:dyDescent="0.3">
      <c r="A2043">
        <v>2042</v>
      </c>
      <c r="B2043">
        <v>39</v>
      </c>
      <c r="C2043">
        <v>2</v>
      </c>
      <c r="D2043">
        <v>300</v>
      </c>
      <c r="E2043">
        <v>30</v>
      </c>
      <c r="F2043">
        <v>0</v>
      </c>
      <c r="G2043">
        <v>0.1</v>
      </c>
      <c r="H2043" t="s">
        <v>622</v>
      </c>
      <c r="J2043" t="s">
        <v>623</v>
      </c>
      <c r="K2043" s="1"/>
      <c r="L2043" s="1">
        <v>46175.68445601852</v>
      </c>
      <c r="M2043" s="2">
        <v>46175</v>
      </c>
      <c r="N2043" t="s">
        <v>639</v>
      </c>
      <c r="O2043" t="s">
        <v>625</v>
      </c>
      <c r="P2043">
        <v>1</v>
      </c>
      <c r="Q2043">
        <v>0</v>
      </c>
      <c r="R2043">
        <v>300</v>
      </c>
      <c r="S2043" t="s">
        <v>74</v>
      </c>
      <c r="T2043" t="s">
        <v>776</v>
      </c>
    </row>
    <row r="2044" spans="1:20" x14ac:dyDescent="0.3">
      <c r="A2044">
        <v>2043</v>
      </c>
      <c r="B2044">
        <v>156</v>
      </c>
      <c r="C2044">
        <v>4</v>
      </c>
      <c r="D2044">
        <v>44.28</v>
      </c>
      <c r="E2044">
        <v>4.43</v>
      </c>
      <c r="F2044">
        <v>0</v>
      </c>
      <c r="G2044">
        <v>0.1</v>
      </c>
      <c r="H2044" t="s">
        <v>622</v>
      </c>
      <c r="J2044" t="s">
        <v>623</v>
      </c>
      <c r="K2044" s="1"/>
      <c r="L2044" s="1">
        <v>46175.728425925925</v>
      </c>
      <c r="M2044" s="2">
        <v>46175</v>
      </c>
      <c r="N2044" t="s">
        <v>639</v>
      </c>
      <c r="O2044" t="s">
        <v>625</v>
      </c>
      <c r="P2044">
        <v>1</v>
      </c>
      <c r="Q2044">
        <v>0</v>
      </c>
      <c r="R2044">
        <v>44.28</v>
      </c>
      <c r="S2044" t="s">
        <v>307</v>
      </c>
      <c r="T2044" t="s">
        <v>778</v>
      </c>
    </row>
    <row r="2045" spans="1:20" x14ac:dyDescent="0.3">
      <c r="A2045">
        <v>2044</v>
      </c>
      <c r="B2045">
        <v>134</v>
      </c>
      <c r="C2045">
        <v>3</v>
      </c>
      <c r="D2045">
        <v>157.35</v>
      </c>
      <c r="E2045">
        <v>15.74</v>
      </c>
      <c r="F2045">
        <v>0</v>
      </c>
      <c r="G2045">
        <v>0.1</v>
      </c>
      <c r="H2045" t="s">
        <v>622</v>
      </c>
      <c r="J2045" t="s">
        <v>623</v>
      </c>
      <c r="K2045" s="1"/>
      <c r="L2045" s="1">
        <v>46175.813425925924</v>
      </c>
      <c r="M2045" s="2">
        <v>46175</v>
      </c>
      <c r="N2045" t="s">
        <v>639</v>
      </c>
      <c r="O2045" t="s">
        <v>625</v>
      </c>
      <c r="P2045">
        <v>1</v>
      </c>
      <c r="Q2045">
        <v>0</v>
      </c>
      <c r="R2045">
        <v>157.35</v>
      </c>
      <c r="S2045" t="s">
        <v>263</v>
      </c>
      <c r="T2045" t="s">
        <v>777</v>
      </c>
    </row>
    <row r="2046" spans="1:20" x14ac:dyDescent="0.3">
      <c r="A2046">
        <v>2045</v>
      </c>
      <c r="B2046">
        <v>156</v>
      </c>
      <c r="C2046">
        <v>2</v>
      </c>
      <c r="D2046">
        <v>35.549999999999997</v>
      </c>
      <c r="E2046">
        <v>3.56</v>
      </c>
      <c r="F2046">
        <v>0</v>
      </c>
      <c r="G2046">
        <v>0.1</v>
      </c>
      <c r="H2046" t="s">
        <v>622</v>
      </c>
      <c r="J2046" t="s">
        <v>623</v>
      </c>
      <c r="K2046" s="1"/>
      <c r="L2046" s="1">
        <v>46176.426770833335</v>
      </c>
      <c r="M2046" s="2">
        <v>46176</v>
      </c>
      <c r="N2046" t="s">
        <v>639</v>
      </c>
      <c r="O2046" t="s">
        <v>625</v>
      </c>
      <c r="P2046">
        <v>1</v>
      </c>
      <c r="Q2046">
        <v>0</v>
      </c>
      <c r="R2046">
        <v>35.549999999999997</v>
      </c>
      <c r="S2046" t="s">
        <v>307</v>
      </c>
      <c r="T2046" t="s">
        <v>776</v>
      </c>
    </row>
    <row r="2047" spans="1:20" x14ac:dyDescent="0.3">
      <c r="A2047">
        <v>2046</v>
      </c>
      <c r="B2047">
        <v>195</v>
      </c>
      <c r="C2047">
        <v>4</v>
      </c>
      <c r="D2047">
        <v>150.12</v>
      </c>
      <c r="E2047">
        <v>15.01</v>
      </c>
      <c r="F2047">
        <v>0</v>
      </c>
      <c r="G2047">
        <v>0.1</v>
      </c>
      <c r="H2047" t="s">
        <v>626</v>
      </c>
      <c r="I2047">
        <v>2</v>
      </c>
      <c r="J2047" t="s">
        <v>628</v>
      </c>
      <c r="K2047" s="1">
        <v>46177.647847222222</v>
      </c>
      <c r="L2047" s="1">
        <v>46176.481180555558</v>
      </c>
      <c r="M2047" s="2">
        <v>46176</v>
      </c>
      <c r="N2047" t="s">
        <v>639</v>
      </c>
      <c r="O2047" t="s">
        <v>625</v>
      </c>
      <c r="P2047">
        <v>1</v>
      </c>
      <c r="Q2047">
        <v>1</v>
      </c>
      <c r="R2047">
        <v>0</v>
      </c>
      <c r="S2047" t="s">
        <v>385</v>
      </c>
      <c r="T2047" t="s">
        <v>778</v>
      </c>
    </row>
    <row r="2048" spans="1:20" x14ac:dyDescent="0.3">
      <c r="A2048">
        <v>2047</v>
      </c>
      <c r="B2048">
        <v>200</v>
      </c>
      <c r="C2048">
        <v>2</v>
      </c>
      <c r="D2048">
        <v>26.24</v>
      </c>
      <c r="E2048">
        <v>2.62</v>
      </c>
      <c r="F2048">
        <v>0</v>
      </c>
      <c r="G2048">
        <v>0.1</v>
      </c>
      <c r="H2048" t="s">
        <v>622</v>
      </c>
      <c r="J2048" t="s">
        <v>623</v>
      </c>
      <c r="K2048" s="1"/>
      <c r="L2048" s="1">
        <v>46176.508958333332</v>
      </c>
      <c r="M2048" s="2">
        <v>46176</v>
      </c>
      <c r="N2048" t="s">
        <v>639</v>
      </c>
      <c r="O2048" t="s">
        <v>625</v>
      </c>
      <c r="P2048">
        <v>1</v>
      </c>
      <c r="Q2048">
        <v>0</v>
      </c>
      <c r="R2048">
        <v>26.24</v>
      </c>
      <c r="S2048" t="s">
        <v>395</v>
      </c>
      <c r="T2048" t="s">
        <v>776</v>
      </c>
    </row>
    <row r="2049" spans="1:20" x14ac:dyDescent="0.3">
      <c r="A2049">
        <v>2048</v>
      </c>
      <c r="B2049">
        <v>237</v>
      </c>
      <c r="C2049">
        <v>4</v>
      </c>
      <c r="D2049">
        <v>214.12</v>
      </c>
      <c r="E2049">
        <v>21.41</v>
      </c>
      <c r="F2049">
        <v>0</v>
      </c>
      <c r="G2049">
        <v>0.1</v>
      </c>
      <c r="H2049" t="s">
        <v>622</v>
      </c>
      <c r="J2049" t="s">
        <v>623</v>
      </c>
      <c r="K2049" s="1"/>
      <c r="L2049" s="1">
        <v>46176.555393518516</v>
      </c>
      <c r="M2049" s="2">
        <v>46176</v>
      </c>
      <c r="N2049" t="s">
        <v>639</v>
      </c>
      <c r="O2049" t="s">
        <v>625</v>
      </c>
      <c r="P2049">
        <v>1</v>
      </c>
      <c r="Q2049">
        <v>0</v>
      </c>
      <c r="R2049">
        <v>214.12</v>
      </c>
      <c r="S2049" t="s">
        <v>469</v>
      </c>
      <c r="T2049" t="s">
        <v>778</v>
      </c>
    </row>
    <row r="2050" spans="1:20" x14ac:dyDescent="0.3">
      <c r="A2050">
        <v>2049</v>
      </c>
      <c r="B2050">
        <v>304</v>
      </c>
      <c r="C2050">
        <v>4</v>
      </c>
      <c r="D2050">
        <v>23.66</v>
      </c>
      <c r="E2050">
        <v>2.37</v>
      </c>
      <c r="F2050">
        <v>0</v>
      </c>
      <c r="G2050">
        <v>0.1</v>
      </c>
      <c r="H2050" t="s">
        <v>626</v>
      </c>
      <c r="I2050">
        <v>2</v>
      </c>
      <c r="J2050" t="s">
        <v>627</v>
      </c>
      <c r="K2050" s="1">
        <v>46178.006504629629</v>
      </c>
      <c r="L2050" s="1">
        <v>46176.631504629629</v>
      </c>
      <c r="M2050" s="2">
        <v>46176</v>
      </c>
      <c r="N2050" t="s">
        <v>639</v>
      </c>
      <c r="O2050" t="s">
        <v>625</v>
      </c>
      <c r="P2050">
        <v>1</v>
      </c>
      <c r="Q2050">
        <v>1</v>
      </c>
      <c r="R2050">
        <v>0</v>
      </c>
      <c r="S2050" t="s">
        <v>603</v>
      </c>
      <c r="T2050" t="s">
        <v>778</v>
      </c>
    </row>
    <row r="2051" spans="1:20" x14ac:dyDescent="0.3">
      <c r="A2051">
        <v>2050</v>
      </c>
      <c r="B2051">
        <v>246</v>
      </c>
      <c r="C2051">
        <v>2</v>
      </c>
      <c r="D2051">
        <v>39.44</v>
      </c>
      <c r="E2051">
        <v>3.94</v>
      </c>
      <c r="F2051">
        <v>0</v>
      </c>
      <c r="G2051">
        <v>0.1</v>
      </c>
      <c r="H2051" t="s">
        <v>622</v>
      </c>
      <c r="J2051" t="s">
        <v>623</v>
      </c>
      <c r="K2051" s="1"/>
      <c r="L2051" s="1">
        <v>46176.685127314813</v>
      </c>
      <c r="M2051" s="2">
        <v>46176</v>
      </c>
      <c r="N2051" t="s">
        <v>639</v>
      </c>
      <c r="O2051" t="s">
        <v>625</v>
      </c>
      <c r="P2051">
        <v>1</v>
      </c>
      <c r="Q2051">
        <v>0</v>
      </c>
      <c r="R2051">
        <v>39.44</v>
      </c>
      <c r="S2051" t="s">
        <v>487</v>
      </c>
      <c r="T2051" t="s">
        <v>776</v>
      </c>
    </row>
    <row r="2052" spans="1:20" x14ac:dyDescent="0.3">
      <c r="A2052">
        <v>2051</v>
      </c>
      <c r="B2052">
        <v>158</v>
      </c>
      <c r="C2052">
        <v>3</v>
      </c>
      <c r="D2052">
        <v>33.71</v>
      </c>
      <c r="E2052">
        <v>3.37</v>
      </c>
      <c r="F2052">
        <v>0</v>
      </c>
      <c r="G2052">
        <v>0.1</v>
      </c>
      <c r="H2052" t="s">
        <v>622</v>
      </c>
      <c r="J2052" t="s">
        <v>623</v>
      </c>
      <c r="K2052" s="1"/>
      <c r="L2052" s="1">
        <v>46176.767569444448</v>
      </c>
      <c r="M2052" s="2">
        <v>46176</v>
      </c>
      <c r="N2052" t="s">
        <v>639</v>
      </c>
      <c r="O2052" t="s">
        <v>625</v>
      </c>
      <c r="P2052">
        <v>1</v>
      </c>
      <c r="Q2052">
        <v>0</v>
      </c>
      <c r="R2052">
        <v>33.71</v>
      </c>
      <c r="S2052" t="s">
        <v>311</v>
      </c>
      <c r="T2052" t="s">
        <v>777</v>
      </c>
    </row>
    <row r="2053" spans="1:20" x14ac:dyDescent="0.3">
      <c r="A2053">
        <v>2052</v>
      </c>
      <c r="B2053">
        <v>229</v>
      </c>
      <c r="C2053">
        <v>2</v>
      </c>
      <c r="D2053">
        <v>93</v>
      </c>
      <c r="E2053">
        <v>9.3000000000000007</v>
      </c>
      <c r="F2053">
        <v>0</v>
      </c>
      <c r="G2053">
        <v>0.1</v>
      </c>
      <c r="H2053" t="s">
        <v>622</v>
      </c>
      <c r="J2053" t="s">
        <v>623</v>
      </c>
      <c r="K2053" s="1"/>
      <c r="L2053" s="1">
        <v>46176.791284722225</v>
      </c>
      <c r="M2053" s="2">
        <v>46176</v>
      </c>
      <c r="N2053" t="s">
        <v>639</v>
      </c>
      <c r="O2053" t="s">
        <v>625</v>
      </c>
      <c r="P2053">
        <v>1</v>
      </c>
      <c r="Q2053">
        <v>0</v>
      </c>
      <c r="R2053">
        <v>93</v>
      </c>
      <c r="S2053" t="s">
        <v>453</v>
      </c>
      <c r="T2053" t="s">
        <v>776</v>
      </c>
    </row>
    <row r="2054" spans="1:20" x14ac:dyDescent="0.3">
      <c r="A2054">
        <v>2053</v>
      </c>
      <c r="B2054">
        <v>134</v>
      </c>
      <c r="C2054">
        <v>5</v>
      </c>
      <c r="D2054">
        <v>107.19</v>
      </c>
      <c r="E2054">
        <v>10.72</v>
      </c>
      <c r="F2054">
        <v>0</v>
      </c>
      <c r="G2054">
        <v>0.1</v>
      </c>
      <c r="H2054" t="s">
        <v>622</v>
      </c>
      <c r="J2054" t="s">
        <v>623</v>
      </c>
      <c r="K2054" s="1"/>
      <c r="L2054" s="1">
        <v>46177.359502314815</v>
      </c>
      <c r="M2054" s="2">
        <v>46177</v>
      </c>
      <c r="N2054" t="s">
        <v>639</v>
      </c>
      <c r="O2054" t="s">
        <v>625</v>
      </c>
      <c r="P2054">
        <v>1</v>
      </c>
      <c r="Q2054">
        <v>0</v>
      </c>
      <c r="R2054">
        <v>107.19</v>
      </c>
      <c r="S2054" t="s">
        <v>263</v>
      </c>
      <c r="T2054" t="s">
        <v>779</v>
      </c>
    </row>
    <row r="2055" spans="1:20" x14ac:dyDescent="0.3">
      <c r="A2055">
        <v>2054</v>
      </c>
      <c r="B2055">
        <v>65</v>
      </c>
      <c r="C2055">
        <v>5</v>
      </c>
      <c r="D2055">
        <v>51.07</v>
      </c>
      <c r="E2055">
        <v>5.1100000000000003</v>
      </c>
      <c r="F2055">
        <v>0</v>
      </c>
      <c r="G2055">
        <v>0.1</v>
      </c>
      <c r="H2055" t="s">
        <v>622</v>
      </c>
      <c r="J2055" t="s">
        <v>623</v>
      </c>
      <c r="K2055" s="1"/>
      <c r="L2055" s="1">
        <v>46177.384699074071</v>
      </c>
      <c r="M2055" s="2">
        <v>46177</v>
      </c>
      <c r="N2055" t="s">
        <v>639</v>
      </c>
      <c r="O2055" t="s">
        <v>625</v>
      </c>
      <c r="P2055">
        <v>1</v>
      </c>
      <c r="Q2055">
        <v>0</v>
      </c>
      <c r="R2055">
        <v>51.07</v>
      </c>
      <c r="S2055" t="s">
        <v>126</v>
      </c>
      <c r="T2055" t="s">
        <v>779</v>
      </c>
    </row>
    <row r="2056" spans="1:20" x14ac:dyDescent="0.3">
      <c r="A2056">
        <v>2055</v>
      </c>
      <c r="B2056">
        <v>137</v>
      </c>
      <c r="C2056">
        <v>4</v>
      </c>
      <c r="D2056">
        <v>19.71</v>
      </c>
      <c r="E2056">
        <v>0</v>
      </c>
      <c r="F2056">
        <v>1</v>
      </c>
      <c r="G2056">
        <v>0.1</v>
      </c>
      <c r="H2056" t="s">
        <v>622</v>
      </c>
      <c r="J2056" t="s">
        <v>623</v>
      </c>
      <c r="K2056" s="1"/>
      <c r="L2056" s="1">
        <v>46177.390243055554</v>
      </c>
      <c r="M2056" s="2">
        <v>46177</v>
      </c>
      <c r="N2056" t="s">
        <v>639</v>
      </c>
      <c r="O2056" t="s">
        <v>629</v>
      </c>
      <c r="P2056">
        <v>1</v>
      </c>
      <c r="Q2056">
        <v>0</v>
      </c>
      <c r="R2056">
        <v>19.71</v>
      </c>
      <c r="S2056" t="s">
        <v>269</v>
      </c>
      <c r="T2056" t="s">
        <v>778</v>
      </c>
    </row>
    <row r="2057" spans="1:20" x14ac:dyDescent="0.3">
      <c r="A2057">
        <v>2056</v>
      </c>
      <c r="B2057">
        <v>94</v>
      </c>
      <c r="C2057">
        <v>4</v>
      </c>
      <c r="D2057">
        <v>184.73</v>
      </c>
      <c r="E2057">
        <v>18.47</v>
      </c>
      <c r="F2057">
        <v>0</v>
      </c>
      <c r="G2057">
        <v>0.1</v>
      </c>
      <c r="H2057" t="s">
        <v>622</v>
      </c>
      <c r="J2057" t="s">
        <v>623</v>
      </c>
      <c r="K2057" s="1"/>
      <c r="L2057" s="1">
        <v>46177.431157407409</v>
      </c>
      <c r="M2057" s="2">
        <v>46177</v>
      </c>
      <c r="N2057" t="s">
        <v>639</v>
      </c>
      <c r="O2057" t="s">
        <v>625</v>
      </c>
      <c r="P2057">
        <v>1</v>
      </c>
      <c r="Q2057">
        <v>0</v>
      </c>
      <c r="R2057">
        <v>184.73</v>
      </c>
      <c r="S2057" t="s">
        <v>183</v>
      </c>
      <c r="T2057" t="s">
        <v>778</v>
      </c>
    </row>
    <row r="2058" spans="1:20" x14ac:dyDescent="0.3">
      <c r="A2058">
        <v>2057</v>
      </c>
      <c r="B2058">
        <v>49</v>
      </c>
      <c r="C2058">
        <v>2</v>
      </c>
      <c r="D2058">
        <v>88.49</v>
      </c>
      <c r="E2058">
        <v>8.85</v>
      </c>
      <c r="F2058">
        <v>0</v>
      </c>
      <c r="G2058">
        <v>0.1</v>
      </c>
      <c r="H2058" t="s">
        <v>622</v>
      </c>
      <c r="J2058" t="s">
        <v>623</v>
      </c>
      <c r="K2058" s="1"/>
      <c r="L2058" s="1">
        <v>46177.618472222224</v>
      </c>
      <c r="M2058" s="2">
        <v>46177</v>
      </c>
      <c r="N2058" t="s">
        <v>639</v>
      </c>
      <c r="O2058" t="s">
        <v>625</v>
      </c>
      <c r="P2058">
        <v>1</v>
      </c>
      <c r="Q2058">
        <v>0</v>
      </c>
      <c r="R2058">
        <v>88.49</v>
      </c>
      <c r="S2058" t="s">
        <v>94</v>
      </c>
      <c r="T2058" t="s">
        <v>776</v>
      </c>
    </row>
    <row r="2059" spans="1:20" x14ac:dyDescent="0.3">
      <c r="A2059">
        <v>2058</v>
      </c>
      <c r="B2059">
        <v>26</v>
      </c>
      <c r="C2059">
        <v>2</v>
      </c>
      <c r="D2059">
        <v>25.85</v>
      </c>
      <c r="E2059">
        <v>2.59</v>
      </c>
      <c r="F2059">
        <v>0</v>
      </c>
      <c r="G2059">
        <v>0.1</v>
      </c>
      <c r="H2059" t="s">
        <v>622</v>
      </c>
      <c r="J2059" t="s">
        <v>623</v>
      </c>
      <c r="K2059" s="1"/>
      <c r="L2059" s="1">
        <v>46177.691319444442</v>
      </c>
      <c r="M2059" s="2">
        <v>46177</v>
      </c>
      <c r="N2059" t="s">
        <v>639</v>
      </c>
      <c r="O2059" t="s">
        <v>625</v>
      </c>
      <c r="P2059">
        <v>1</v>
      </c>
      <c r="Q2059">
        <v>0</v>
      </c>
      <c r="R2059">
        <v>25.85</v>
      </c>
      <c r="S2059" t="s">
        <v>48</v>
      </c>
      <c r="T2059" t="s">
        <v>776</v>
      </c>
    </row>
    <row r="2060" spans="1:20" x14ac:dyDescent="0.3">
      <c r="A2060">
        <v>2059</v>
      </c>
      <c r="B2060">
        <v>137</v>
      </c>
      <c r="C2060">
        <v>5</v>
      </c>
      <c r="D2060">
        <v>23.5</v>
      </c>
      <c r="E2060">
        <v>2.35</v>
      </c>
      <c r="F2060">
        <v>0</v>
      </c>
      <c r="G2060">
        <v>0.1</v>
      </c>
      <c r="H2060" t="s">
        <v>622</v>
      </c>
      <c r="J2060" t="s">
        <v>623</v>
      </c>
      <c r="K2060" s="1"/>
      <c r="L2060" s="1">
        <v>46177.718576388892</v>
      </c>
      <c r="M2060" s="2">
        <v>46177</v>
      </c>
      <c r="N2060" t="s">
        <v>639</v>
      </c>
      <c r="O2060" t="s">
        <v>625</v>
      </c>
      <c r="P2060">
        <v>1</v>
      </c>
      <c r="Q2060">
        <v>0</v>
      </c>
      <c r="R2060">
        <v>23.5</v>
      </c>
      <c r="S2060" t="s">
        <v>269</v>
      </c>
      <c r="T2060" t="s">
        <v>779</v>
      </c>
    </row>
    <row r="2061" spans="1:20" x14ac:dyDescent="0.3">
      <c r="A2061">
        <v>2060</v>
      </c>
      <c r="B2061">
        <v>29</v>
      </c>
      <c r="C2061">
        <v>2</v>
      </c>
      <c r="D2061">
        <v>45.07</v>
      </c>
      <c r="E2061">
        <v>4.51</v>
      </c>
      <c r="F2061">
        <v>0</v>
      </c>
      <c r="G2061">
        <v>0.1</v>
      </c>
      <c r="H2061" t="s">
        <v>622</v>
      </c>
      <c r="J2061" t="s">
        <v>623</v>
      </c>
      <c r="K2061" s="1"/>
      <c r="L2061" s="1">
        <v>46178.292083333334</v>
      </c>
      <c r="M2061" s="2">
        <v>46178</v>
      </c>
      <c r="N2061" t="s">
        <v>639</v>
      </c>
      <c r="O2061" t="s">
        <v>625</v>
      </c>
      <c r="P2061">
        <v>1</v>
      </c>
      <c r="Q2061">
        <v>0</v>
      </c>
      <c r="R2061">
        <v>45.07</v>
      </c>
      <c r="S2061" t="s">
        <v>54</v>
      </c>
      <c r="T2061" t="s">
        <v>776</v>
      </c>
    </row>
    <row r="2062" spans="1:20" x14ac:dyDescent="0.3">
      <c r="A2062">
        <v>2061</v>
      </c>
      <c r="B2062">
        <v>39</v>
      </c>
      <c r="C2062">
        <v>4</v>
      </c>
      <c r="D2062">
        <v>130.72</v>
      </c>
      <c r="E2062">
        <v>13.07</v>
      </c>
      <c r="F2062">
        <v>0</v>
      </c>
      <c r="G2062">
        <v>0.1</v>
      </c>
      <c r="H2062" t="s">
        <v>622</v>
      </c>
      <c r="J2062" t="s">
        <v>623</v>
      </c>
      <c r="K2062" s="1"/>
      <c r="L2062" s="1">
        <v>46178.310208333336</v>
      </c>
      <c r="M2062" s="2">
        <v>46178</v>
      </c>
      <c r="N2062" t="s">
        <v>639</v>
      </c>
      <c r="O2062" t="s">
        <v>625</v>
      </c>
      <c r="P2062">
        <v>1</v>
      </c>
      <c r="Q2062">
        <v>0</v>
      </c>
      <c r="R2062">
        <v>130.72</v>
      </c>
      <c r="S2062" t="s">
        <v>74</v>
      </c>
      <c r="T2062" t="s">
        <v>778</v>
      </c>
    </row>
    <row r="2063" spans="1:20" x14ac:dyDescent="0.3">
      <c r="A2063">
        <v>2062</v>
      </c>
      <c r="B2063">
        <v>66</v>
      </c>
      <c r="C2063">
        <v>3</v>
      </c>
      <c r="D2063">
        <v>51.42</v>
      </c>
      <c r="E2063">
        <v>5.14</v>
      </c>
      <c r="F2063">
        <v>0</v>
      </c>
      <c r="G2063">
        <v>0.1</v>
      </c>
      <c r="H2063" t="s">
        <v>622</v>
      </c>
      <c r="J2063" t="s">
        <v>623</v>
      </c>
      <c r="K2063" s="1"/>
      <c r="L2063" s="1">
        <v>46178.32849537037</v>
      </c>
      <c r="M2063" s="2">
        <v>46178</v>
      </c>
      <c r="N2063" t="s">
        <v>639</v>
      </c>
      <c r="O2063" t="s">
        <v>625</v>
      </c>
      <c r="P2063">
        <v>1</v>
      </c>
      <c r="Q2063">
        <v>0</v>
      </c>
      <c r="R2063">
        <v>51.42</v>
      </c>
      <c r="S2063" t="s">
        <v>128</v>
      </c>
      <c r="T2063" t="s">
        <v>777</v>
      </c>
    </row>
    <row r="2064" spans="1:20" x14ac:dyDescent="0.3">
      <c r="A2064">
        <v>2063</v>
      </c>
      <c r="B2064">
        <v>107</v>
      </c>
      <c r="C2064">
        <v>2</v>
      </c>
      <c r="D2064">
        <v>46.07</v>
      </c>
      <c r="E2064">
        <v>4.6100000000000003</v>
      </c>
      <c r="F2064">
        <v>0</v>
      </c>
      <c r="G2064">
        <v>0.1</v>
      </c>
      <c r="H2064" t="s">
        <v>622</v>
      </c>
      <c r="J2064" t="s">
        <v>623</v>
      </c>
      <c r="K2064" s="1"/>
      <c r="L2064" s="1">
        <v>46178.387025462966</v>
      </c>
      <c r="M2064" s="2">
        <v>46178</v>
      </c>
      <c r="N2064" t="s">
        <v>639</v>
      </c>
      <c r="O2064" t="s">
        <v>625</v>
      </c>
      <c r="P2064">
        <v>1</v>
      </c>
      <c r="Q2064">
        <v>0</v>
      </c>
      <c r="R2064">
        <v>46.07</v>
      </c>
      <c r="S2064" t="s">
        <v>209</v>
      </c>
      <c r="T2064" t="s">
        <v>776</v>
      </c>
    </row>
    <row r="2065" spans="1:20" x14ac:dyDescent="0.3">
      <c r="A2065">
        <v>2064</v>
      </c>
      <c r="B2065">
        <v>137</v>
      </c>
      <c r="C2065">
        <v>4</v>
      </c>
      <c r="D2065">
        <v>16.62</v>
      </c>
      <c r="E2065">
        <v>1.66</v>
      </c>
      <c r="F2065">
        <v>0</v>
      </c>
      <c r="G2065">
        <v>0.1</v>
      </c>
      <c r="H2065" t="s">
        <v>622</v>
      </c>
      <c r="J2065" t="s">
        <v>623</v>
      </c>
      <c r="K2065" s="1"/>
      <c r="L2065" s="1">
        <v>46178.416770833333</v>
      </c>
      <c r="M2065" s="2">
        <v>46178</v>
      </c>
      <c r="N2065" t="s">
        <v>639</v>
      </c>
      <c r="O2065" t="s">
        <v>625</v>
      </c>
      <c r="P2065">
        <v>1</v>
      </c>
      <c r="Q2065">
        <v>0</v>
      </c>
      <c r="R2065">
        <v>16.62</v>
      </c>
      <c r="S2065" t="s">
        <v>269</v>
      </c>
      <c r="T2065" t="s">
        <v>778</v>
      </c>
    </row>
    <row r="2066" spans="1:20" x14ac:dyDescent="0.3">
      <c r="A2066">
        <v>2065</v>
      </c>
      <c r="B2066">
        <v>136</v>
      </c>
      <c r="C2066">
        <v>2</v>
      </c>
      <c r="D2066">
        <v>83.1</v>
      </c>
      <c r="E2066">
        <v>0</v>
      </c>
      <c r="F2066">
        <v>1</v>
      </c>
      <c r="G2066">
        <v>0.1</v>
      </c>
      <c r="H2066" t="s">
        <v>622</v>
      </c>
      <c r="J2066" t="s">
        <v>623</v>
      </c>
      <c r="K2066" s="1"/>
      <c r="L2066" s="1">
        <v>46178.427465277775</v>
      </c>
      <c r="M2066" s="2">
        <v>46178</v>
      </c>
      <c r="N2066" t="s">
        <v>639</v>
      </c>
      <c r="O2066" t="s">
        <v>629</v>
      </c>
      <c r="P2066">
        <v>1</v>
      </c>
      <c r="Q2066">
        <v>0</v>
      </c>
      <c r="R2066">
        <v>83.1</v>
      </c>
      <c r="S2066" t="s">
        <v>267</v>
      </c>
      <c r="T2066" t="s">
        <v>776</v>
      </c>
    </row>
    <row r="2067" spans="1:20" x14ac:dyDescent="0.3">
      <c r="A2067">
        <v>2066</v>
      </c>
      <c r="B2067">
        <v>190</v>
      </c>
      <c r="C2067">
        <v>4</v>
      </c>
      <c r="D2067">
        <v>229.54</v>
      </c>
      <c r="E2067">
        <v>22.95</v>
      </c>
      <c r="F2067">
        <v>0</v>
      </c>
      <c r="G2067">
        <v>0.1</v>
      </c>
      <c r="H2067" t="s">
        <v>622</v>
      </c>
      <c r="J2067" t="s">
        <v>623</v>
      </c>
      <c r="K2067" s="1"/>
      <c r="L2067" s="1">
        <v>46178.44902777778</v>
      </c>
      <c r="M2067" s="2">
        <v>46178</v>
      </c>
      <c r="N2067" t="s">
        <v>639</v>
      </c>
      <c r="O2067" t="s">
        <v>625</v>
      </c>
      <c r="P2067">
        <v>1</v>
      </c>
      <c r="Q2067">
        <v>0</v>
      </c>
      <c r="R2067">
        <v>229.54</v>
      </c>
      <c r="S2067" t="s">
        <v>375</v>
      </c>
      <c r="T2067" t="s">
        <v>778</v>
      </c>
    </row>
    <row r="2068" spans="1:20" x14ac:dyDescent="0.3">
      <c r="A2068">
        <v>2067</v>
      </c>
      <c r="B2068">
        <v>147</v>
      </c>
      <c r="C2068">
        <v>2</v>
      </c>
      <c r="D2068">
        <v>92.83</v>
      </c>
      <c r="E2068">
        <v>9.2799999999999994</v>
      </c>
      <c r="F2068">
        <v>0</v>
      </c>
      <c r="G2068">
        <v>0.1</v>
      </c>
      <c r="H2068" t="s">
        <v>622</v>
      </c>
      <c r="J2068" t="s">
        <v>623</v>
      </c>
      <c r="K2068" s="1"/>
      <c r="L2068" s="1">
        <v>46178.495462962965</v>
      </c>
      <c r="M2068" s="2">
        <v>46178</v>
      </c>
      <c r="N2068" t="s">
        <v>639</v>
      </c>
      <c r="O2068" t="s">
        <v>625</v>
      </c>
      <c r="P2068">
        <v>1</v>
      </c>
      <c r="Q2068">
        <v>0</v>
      </c>
      <c r="R2068">
        <v>92.83</v>
      </c>
      <c r="S2068" t="s">
        <v>289</v>
      </c>
      <c r="T2068" t="s">
        <v>776</v>
      </c>
    </row>
    <row r="2069" spans="1:20" x14ac:dyDescent="0.3">
      <c r="A2069">
        <v>2068</v>
      </c>
      <c r="B2069">
        <v>290</v>
      </c>
      <c r="C2069">
        <v>3</v>
      </c>
      <c r="D2069">
        <v>17.350000000000001</v>
      </c>
      <c r="E2069">
        <v>1.74</v>
      </c>
      <c r="F2069">
        <v>0</v>
      </c>
      <c r="G2069">
        <v>0.1</v>
      </c>
      <c r="H2069" t="s">
        <v>622</v>
      </c>
      <c r="J2069" t="s">
        <v>623</v>
      </c>
      <c r="K2069" s="1"/>
      <c r="L2069" s="1">
        <v>46178.556168981479</v>
      </c>
      <c r="M2069" s="2">
        <v>46178</v>
      </c>
      <c r="N2069" t="s">
        <v>639</v>
      </c>
      <c r="O2069" t="s">
        <v>625</v>
      </c>
      <c r="P2069">
        <v>1</v>
      </c>
      <c r="Q2069">
        <v>0</v>
      </c>
      <c r="R2069">
        <v>17.350000000000001</v>
      </c>
      <c r="S2069" t="s">
        <v>575</v>
      </c>
      <c r="T2069" t="s">
        <v>777</v>
      </c>
    </row>
    <row r="2070" spans="1:20" x14ac:dyDescent="0.3">
      <c r="A2070">
        <v>2069</v>
      </c>
      <c r="B2070">
        <v>134</v>
      </c>
      <c r="C2070">
        <v>3</v>
      </c>
      <c r="D2070">
        <v>64.31</v>
      </c>
      <c r="E2070">
        <v>6.43</v>
      </c>
      <c r="F2070">
        <v>0</v>
      </c>
      <c r="G2070">
        <v>0.1</v>
      </c>
      <c r="H2070" t="s">
        <v>622</v>
      </c>
      <c r="J2070" t="s">
        <v>623</v>
      </c>
      <c r="K2070" s="1"/>
      <c r="L2070" s="1">
        <v>46178.588680555556</v>
      </c>
      <c r="M2070" s="2">
        <v>46178</v>
      </c>
      <c r="N2070" t="s">
        <v>639</v>
      </c>
      <c r="O2070" t="s">
        <v>625</v>
      </c>
      <c r="P2070">
        <v>1</v>
      </c>
      <c r="Q2070">
        <v>0</v>
      </c>
      <c r="R2070">
        <v>64.31</v>
      </c>
      <c r="S2070" t="s">
        <v>263</v>
      </c>
      <c r="T2070" t="s">
        <v>777</v>
      </c>
    </row>
    <row r="2071" spans="1:20" x14ac:dyDescent="0.3">
      <c r="A2071">
        <v>2070</v>
      </c>
      <c r="B2071">
        <v>134</v>
      </c>
      <c r="C2071">
        <v>2</v>
      </c>
      <c r="D2071">
        <v>103</v>
      </c>
      <c r="E2071">
        <v>10.3</v>
      </c>
      <c r="F2071">
        <v>0</v>
      </c>
      <c r="G2071">
        <v>0.1</v>
      </c>
      <c r="H2071" t="s">
        <v>622</v>
      </c>
      <c r="J2071" t="s">
        <v>623</v>
      </c>
      <c r="K2071" s="1"/>
      <c r="L2071" s="1">
        <v>46178.60255787037</v>
      </c>
      <c r="M2071" s="2">
        <v>46178</v>
      </c>
      <c r="N2071" t="s">
        <v>639</v>
      </c>
      <c r="O2071" t="s">
        <v>625</v>
      </c>
      <c r="P2071">
        <v>1</v>
      </c>
      <c r="Q2071">
        <v>0</v>
      </c>
      <c r="R2071">
        <v>103</v>
      </c>
      <c r="S2071" t="s">
        <v>263</v>
      </c>
      <c r="T2071" t="s">
        <v>776</v>
      </c>
    </row>
    <row r="2072" spans="1:20" x14ac:dyDescent="0.3">
      <c r="A2072">
        <v>2071</v>
      </c>
      <c r="B2072">
        <v>183</v>
      </c>
      <c r="C2072">
        <v>2</v>
      </c>
      <c r="D2072">
        <v>97.02</v>
      </c>
      <c r="E2072">
        <v>9.6999999999999993</v>
      </c>
      <c r="F2072">
        <v>0</v>
      </c>
      <c r="G2072">
        <v>0.1</v>
      </c>
      <c r="H2072" t="s">
        <v>622</v>
      </c>
      <c r="J2072" t="s">
        <v>623</v>
      </c>
      <c r="K2072" s="1"/>
      <c r="L2072" s="1">
        <v>46178.629560185182</v>
      </c>
      <c r="M2072" s="2">
        <v>46178</v>
      </c>
      <c r="N2072" t="s">
        <v>639</v>
      </c>
      <c r="O2072" t="s">
        <v>625</v>
      </c>
      <c r="P2072">
        <v>1</v>
      </c>
      <c r="Q2072">
        <v>0</v>
      </c>
      <c r="R2072">
        <v>97.02</v>
      </c>
      <c r="S2072" t="s">
        <v>361</v>
      </c>
      <c r="T2072" t="s">
        <v>776</v>
      </c>
    </row>
    <row r="2073" spans="1:20" x14ac:dyDescent="0.3">
      <c r="A2073">
        <v>2072</v>
      </c>
      <c r="B2073">
        <v>90</v>
      </c>
      <c r="C2073">
        <v>5</v>
      </c>
      <c r="D2073">
        <v>130.33000000000001</v>
      </c>
      <c r="E2073">
        <v>13.03</v>
      </c>
      <c r="F2073">
        <v>0</v>
      </c>
      <c r="G2073">
        <v>0.1</v>
      </c>
      <c r="H2073" t="s">
        <v>622</v>
      </c>
      <c r="J2073" t="s">
        <v>623</v>
      </c>
      <c r="K2073" s="1"/>
      <c r="L2073" s="1">
        <v>46178.645486111112</v>
      </c>
      <c r="M2073" s="2">
        <v>46178</v>
      </c>
      <c r="N2073" t="s">
        <v>639</v>
      </c>
      <c r="O2073" t="s">
        <v>625</v>
      </c>
      <c r="P2073">
        <v>1</v>
      </c>
      <c r="Q2073">
        <v>0</v>
      </c>
      <c r="R2073">
        <v>130.33000000000001</v>
      </c>
      <c r="S2073" t="s">
        <v>175</v>
      </c>
      <c r="T2073" t="s">
        <v>779</v>
      </c>
    </row>
    <row r="2074" spans="1:20" x14ac:dyDescent="0.3">
      <c r="A2074">
        <v>2073</v>
      </c>
      <c r="B2074">
        <v>138</v>
      </c>
      <c r="C2074">
        <v>4</v>
      </c>
      <c r="D2074">
        <v>27.14</v>
      </c>
      <c r="E2074">
        <v>0</v>
      </c>
      <c r="F2074">
        <v>1</v>
      </c>
      <c r="G2074">
        <v>0.1</v>
      </c>
      <c r="H2074" t="s">
        <v>622</v>
      </c>
      <c r="J2074" t="s">
        <v>623</v>
      </c>
      <c r="K2074" s="1"/>
      <c r="L2074" s="1">
        <v>46178.683842592596</v>
      </c>
      <c r="M2074" s="2">
        <v>46178</v>
      </c>
      <c r="N2074" t="s">
        <v>639</v>
      </c>
      <c r="O2074" t="s">
        <v>629</v>
      </c>
      <c r="P2074">
        <v>1</v>
      </c>
      <c r="Q2074">
        <v>0</v>
      </c>
      <c r="R2074">
        <v>27.14</v>
      </c>
      <c r="S2074" t="s">
        <v>271</v>
      </c>
      <c r="T2074" t="s">
        <v>778</v>
      </c>
    </row>
    <row r="2075" spans="1:20" x14ac:dyDescent="0.3">
      <c r="A2075">
        <v>2074</v>
      </c>
      <c r="B2075">
        <v>137</v>
      </c>
      <c r="C2075">
        <v>2</v>
      </c>
      <c r="D2075">
        <v>30.52</v>
      </c>
      <c r="E2075">
        <v>3.05</v>
      </c>
      <c r="F2075">
        <v>0</v>
      </c>
      <c r="G2075">
        <v>0.1</v>
      </c>
      <c r="H2075" t="s">
        <v>622</v>
      </c>
      <c r="J2075" t="s">
        <v>623</v>
      </c>
      <c r="K2075" s="1"/>
      <c r="L2075" s="1">
        <v>46179.391261574077</v>
      </c>
      <c r="M2075" s="2">
        <v>46179</v>
      </c>
      <c r="N2075" t="s">
        <v>639</v>
      </c>
      <c r="O2075" t="s">
        <v>625</v>
      </c>
      <c r="P2075">
        <v>1</v>
      </c>
      <c r="Q2075">
        <v>0</v>
      </c>
      <c r="R2075">
        <v>30.52</v>
      </c>
      <c r="S2075" t="s">
        <v>269</v>
      </c>
      <c r="T2075" t="s">
        <v>776</v>
      </c>
    </row>
    <row r="2076" spans="1:20" x14ac:dyDescent="0.3">
      <c r="A2076">
        <v>2075</v>
      </c>
      <c r="B2076">
        <v>183</v>
      </c>
      <c r="C2076">
        <v>3</v>
      </c>
      <c r="D2076">
        <v>98.73</v>
      </c>
      <c r="E2076">
        <v>9.8699999999999992</v>
      </c>
      <c r="F2076">
        <v>0</v>
      </c>
      <c r="G2076">
        <v>0.1</v>
      </c>
      <c r="H2076" t="s">
        <v>622</v>
      </c>
      <c r="J2076" t="s">
        <v>623</v>
      </c>
      <c r="K2076" s="1"/>
      <c r="L2076" s="1">
        <v>46179.753900462965</v>
      </c>
      <c r="M2076" s="2">
        <v>46179</v>
      </c>
      <c r="N2076" t="s">
        <v>639</v>
      </c>
      <c r="O2076" t="s">
        <v>625</v>
      </c>
      <c r="P2076">
        <v>1</v>
      </c>
      <c r="Q2076">
        <v>0</v>
      </c>
      <c r="R2076">
        <v>98.73</v>
      </c>
      <c r="S2076" t="s">
        <v>361</v>
      </c>
      <c r="T2076" t="s">
        <v>777</v>
      </c>
    </row>
    <row r="2077" spans="1:20" x14ac:dyDescent="0.3">
      <c r="A2077">
        <v>2076</v>
      </c>
      <c r="B2077">
        <v>196</v>
      </c>
      <c r="C2077">
        <v>5</v>
      </c>
      <c r="D2077">
        <v>21.1</v>
      </c>
      <c r="E2077">
        <v>2.11</v>
      </c>
      <c r="F2077">
        <v>0</v>
      </c>
      <c r="G2077">
        <v>0.1</v>
      </c>
      <c r="H2077" t="s">
        <v>626</v>
      </c>
      <c r="I2077">
        <v>3</v>
      </c>
      <c r="J2077" t="s">
        <v>632</v>
      </c>
      <c r="K2077" s="1">
        <v>46180.553414351853</v>
      </c>
      <c r="L2077" s="1">
        <v>46179.761747685188</v>
      </c>
      <c r="M2077" s="2">
        <v>46179</v>
      </c>
      <c r="N2077" t="s">
        <v>639</v>
      </c>
      <c r="O2077" t="s">
        <v>625</v>
      </c>
      <c r="P2077">
        <v>1</v>
      </c>
      <c r="Q2077">
        <v>1</v>
      </c>
      <c r="R2077">
        <v>0</v>
      </c>
      <c r="S2077" t="s">
        <v>387</v>
      </c>
      <c r="T2077" t="s">
        <v>779</v>
      </c>
    </row>
    <row r="2078" spans="1:20" x14ac:dyDescent="0.3">
      <c r="A2078">
        <v>2077</v>
      </c>
      <c r="B2078">
        <v>117</v>
      </c>
      <c r="C2078">
        <v>2</v>
      </c>
      <c r="D2078">
        <v>73.05</v>
      </c>
      <c r="E2078">
        <v>7.31</v>
      </c>
      <c r="F2078">
        <v>0</v>
      </c>
      <c r="G2078">
        <v>0.1</v>
      </c>
      <c r="H2078" t="s">
        <v>622</v>
      </c>
      <c r="J2078" t="s">
        <v>623</v>
      </c>
      <c r="K2078" s="1"/>
      <c r="L2078" s="1">
        <v>46179.771701388891</v>
      </c>
      <c r="M2078" s="2">
        <v>46179</v>
      </c>
      <c r="N2078" t="s">
        <v>639</v>
      </c>
      <c r="O2078" t="s">
        <v>625</v>
      </c>
      <c r="P2078">
        <v>1</v>
      </c>
      <c r="Q2078">
        <v>0</v>
      </c>
      <c r="R2078">
        <v>73.05</v>
      </c>
      <c r="S2078" t="s">
        <v>229</v>
      </c>
      <c r="T2078" t="s">
        <v>776</v>
      </c>
    </row>
    <row r="2079" spans="1:20" x14ac:dyDescent="0.3">
      <c r="A2079">
        <v>2078</v>
      </c>
      <c r="B2079">
        <v>213</v>
      </c>
      <c r="C2079">
        <v>3</v>
      </c>
      <c r="D2079">
        <v>300</v>
      </c>
      <c r="E2079">
        <v>30</v>
      </c>
      <c r="F2079">
        <v>0</v>
      </c>
      <c r="G2079">
        <v>0.1</v>
      </c>
      <c r="H2079" t="s">
        <v>622</v>
      </c>
      <c r="J2079" t="s">
        <v>623</v>
      </c>
      <c r="K2079" s="1"/>
      <c r="L2079" s="1">
        <v>46180.329409722224</v>
      </c>
      <c r="M2079" s="2">
        <v>46180</v>
      </c>
      <c r="N2079" t="s">
        <v>639</v>
      </c>
      <c r="O2079" t="s">
        <v>625</v>
      </c>
      <c r="P2079">
        <v>1</v>
      </c>
      <c r="Q2079">
        <v>0</v>
      </c>
      <c r="R2079">
        <v>300</v>
      </c>
      <c r="S2079" t="s">
        <v>421</v>
      </c>
      <c r="T2079" t="s">
        <v>777</v>
      </c>
    </row>
    <row r="2080" spans="1:20" x14ac:dyDescent="0.3">
      <c r="A2080">
        <v>2079</v>
      </c>
      <c r="B2080">
        <v>121</v>
      </c>
      <c r="C2080">
        <v>5</v>
      </c>
      <c r="D2080">
        <v>34.020000000000003</v>
      </c>
      <c r="E2080">
        <v>3.4</v>
      </c>
      <c r="F2080">
        <v>0</v>
      </c>
      <c r="G2080">
        <v>0.1</v>
      </c>
      <c r="H2080" t="s">
        <v>622</v>
      </c>
      <c r="J2080" t="s">
        <v>623</v>
      </c>
      <c r="K2080" s="1"/>
      <c r="L2080" s="1">
        <v>46180.401296296295</v>
      </c>
      <c r="M2080" s="2">
        <v>46180</v>
      </c>
      <c r="N2080" t="s">
        <v>639</v>
      </c>
      <c r="O2080" t="s">
        <v>625</v>
      </c>
      <c r="P2080">
        <v>1</v>
      </c>
      <c r="Q2080">
        <v>0</v>
      </c>
      <c r="R2080">
        <v>34.020000000000003</v>
      </c>
      <c r="S2080" t="s">
        <v>237</v>
      </c>
      <c r="T2080" t="s">
        <v>779</v>
      </c>
    </row>
    <row r="2081" spans="1:20" x14ac:dyDescent="0.3">
      <c r="A2081">
        <v>2080</v>
      </c>
      <c r="B2081">
        <v>136</v>
      </c>
      <c r="C2081">
        <v>3</v>
      </c>
      <c r="D2081">
        <v>91.48</v>
      </c>
      <c r="E2081">
        <v>9.15</v>
      </c>
      <c r="F2081">
        <v>0</v>
      </c>
      <c r="G2081">
        <v>0.1</v>
      </c>
      <c r="H2081" t="s">
        <v>622</v>
      </c>
      <c r="J2081" t="s">
        <v>623</v>
      </c>
      <c r="K2081" s="1"/>
      <c r="L2081" s="1">
        <v>46180.539351851854</v>
      </c>
      <c r="M2081" s="2">
        <v>46180</v>
      </c>
      <c r="N2081" t="s">
        <v>639</v>
      </c>
      <c r="O2081" t="s">
        <v>625</v>
      </c>
      <c r="P2081">
        <v>1</v>
      </c>
      <c r="Q2081">
        <v>0</v>
      </c>
      <c r="R2081">
        <v>91.48</v>
      </c>
      <c r="S2081" t="s">
        <v>267</v>
      </c>
      <c r="T2081" t="s">
        <v>777</v>
      </c>
    </row>
    <row r="2082" spans="1:20" x14ac:dyDescent="0.3">
      <c r="A2082">
        <v>2081</v>
      </c>
      <c r="B2082">
        <v>250</v>
      </c>
      <c r="C2082">
        <v>5</v>
      </c>
      <c r="D2082">
        <v>63.1</v>
      </c>
      <c r="E2082">
        <v>6.31</v>
      </c>
      <c r="F2082">
        <v>0</v>
      </c>
      <c r="G2082">
        <v>0.1</v>
      </c>
      <c r="H2082" t="s">
        <v>622</v>
      </c>
      <c r="J2082" t="s">
        <v>623</v>
      </c>
      <c r="K2082" s="1"/>
      <c r="L2082" s="1">
        <v>46181.530798611115</v>
      </c>
      <c r="M2082" s="2">
        <v>46181</v>
      </c>
      <c r="N2082" t="s">
        <v>639</v>
      </c>
      <c r="O2082" t="s">
        <v>625</v>
      </c>
      <c r="P2082">
        <v>1</v>
      </c>
      <c r="Q2082">
        <v>0</v>
      </c>
      <c r="R2082">
        <v>63.1</v>
      </c>
      <c r="S2082" t="s">
        <v>495</v>
      </c>
      <c r="T2082" t="s">
        <v>779</v>
      </c>
    </row>
    <row r="2083" spans="1:20" x14ac:dyDescent="0.3">
      <c r="A2083">
        <v>2082</v>
      </c>
      <c r="B2083">
        <v>183</v>
      </c>
      <c r="C2083">
        <v>5</v>
      </c>
      <c r="D2083">
        <v>73.89</v>
      </c>
      <c r="E2083">
        <v>7.39</v>
      </c>
      <c r="F2083">
        <v>0</v>
      </c>
      <c r="G2083">
        <v>0.1</v>
      </c>
      <c r="H2083" t="s">
        <v>622</v>
      </c>
      <c r="J2083" t="s">
        <v>623</v>
      </c>
      <c r="K2083" s="1"/>
      <c r="L2083" s="1">
        <v>46181.61991898148</v>
      </c>
      <c r="M2083" s="2">
        <v>46181</v>
      </c>
      <c r="N2083" t="s">
        <v>639</v>
      </c>
      <c r="O2083" t="s">
        <v>625</v>
      </c>
      <c r="P2083">
        <v>1</v>
      </c>
      <c r="Q2083">
        <v>0</v>
      </c>
      <c r="R2083">
        <v>73.89</v>
      </c>
      <c r="S2083" t="s">
        <v>361</v>
      </c>
      <c r="T2083" t="s">
        <v>779</v>
      </c>
    </row>
    <row r="2084" spans="1:20" x14ac:dyDescent="0.3">
      <c r="A2084">
        <v>2083</v>
      </c>
      <c r="B2084">
        <v>202</v>
      </c>
      <c r="C2084">
        <v>4</v>
      </c>
      <c r="D2084">
        <v>26.27</v>
      </c>
      <c r="E2084">
        <v>2.63</v>
      </c>
      <c r="F2084">
        <v>0</v>
      </c>
      <c r="G2084">
        <v>0.1</v>
      </c>
      <c r="H2084" t="s">
        <v>622</v>
      </c>
      <c r="J2084" t="s">
        <v>623</v>
      </c>
      <c r="K2084" s="1"/>
      <c r="L2084" s="1">
        <v>46181.729085648149</v>
      </c>
      <c r="M2084" s="2">
        <v>46181</v>
      </c>
      <c r="N2084" t="s">
        <v>639</v>
      </c>
      <c r="O2084" t="s">
        <v>625</v>
      </c>
      <c r="P2084">
        <v>1</v>
      </c>
      <c r="Q2084">
        <v>0</v>
      </c>
      <c r="R2084">
        <v>26.27</v>
      </c>
      <c r="S2084" t="s">
        <v>399</v>
      </c>
      <c r="T2084" t="s">
        <v>778</v>
      </c>
    </row>
    <row r="2085" spans="1:20" x14ac:dyDescent="0.3">
      <c r="A2085">
        <v>2084</v>
      </c>
      <c r="B2085">
        <v>134</v>
      </c>
      <c r="C2085">
        <v>2</v>
      </c>
      <c r="D2085">
        <v>73.23</v>
      </c>
      <c r="E2085">
        <v>7.32</v>
      </c>
      <c r="F2085">
        <v>0</v>
      </c>
      <c r="G2085">
        <v>0.1</v>
      </c>
      <c r="H2085" t="s">
        <v>622</v>
      </c>
      <c r="J2085" t="s">
        <v>623</v>
      </c>
      <c r="K2085" s="1"/>
      <c r="L2085" s="1">
        <v>46182.352534722224</v>
      </c>
      <c r="M2085" s="2">
        <v>46182</v>
      </c>
      <c r="N2085" t="s">
        <v>639</v>
      </c>
      <c r="O2085" t="s">
        <v>625</v>
      </c>
      <c r="P2085">
        <v>1</v>
      </c>
      <c r="Q2085">
        <v>0</v>
      </c>
      <c r="R2085">
        <v>73.23</v>
      </c>
      <c r="S2085" t="s">
        <v>263</v>
      </c>
      <c r="T2085" t="s">
        <v>776</v>
      </c>
    </row>
    <row r="2086" spans="1:20" x14ac:dyDescent="0.3">
      <c r="A2086">
        <v>2085</v>
      </c>
      <c r="B2086">
        <v>241</v>
      </c>
      <c r="C2086">
        <v>3</v>
      </c>
      <c r="D2086">
        <v>41.79</v>
      </c>
      <c r="E2086">
        <v>4.18</v>
      </c>
      <c r="F2086">
        <v>0</v>
      </c>
      <c r="G2086">
        <v>0.1</v>
      </c>
      <c r="H2086" t="s">
        <v>622</v>
      </c>
      <c r="J2086" t="s">
        <v>623</v>
      </c>
      <c r="K2086" s="1"/>
      <c r="L2086" s="1">
        <v>46182.531608796293</v>
      </c>
      <c r="M2086" s="2">
        <v>46182</v>
      </c>
      <c r="N2086" t="s">
        <v>639</v>
      </c>
      <c r="O2086" t="s">
        <v>625</v>
      </c>
      <c r="P2086">
        <v>1</v>
      </c>
      <c r="Q2086">
        <v>0</v>
      </c>
      <c r="R2086">
        <v>41.79</v>
      </c>
      <c r="S2086" t="s">
        <v>477</v>
      </c>
      <c r="T2086" t="s">
        <v>777</v>
      </c>
    </row>
    <row r="2087" spans="1:20" x14ac:dyDescent="0.3">
      <c r="A2087">
        <v>2086</v>
      </c>
      <c r="B2087">
        <v>134</v>
      </c>
      <c r="C2087">
        <v>5</v>
      </c>
      <c r="D2087">
        <v>83.92</v>
      </c>
      <c r="E2087">
        <v>8.39</v>
      </c>
      <c r="F2087">
        <v>0</v>
      </c>
      <c r="G2087">
        <v>0.1</v>
      </c>
      <c r="H2087" t="s">
        <v>622</v>
      </c>
      <c r="J2087" t="s">
        <v>623</v>
      </c>
      <c r="K2087" s="1"/>
      <c r="L2087" s="1">
        <v>46182.539189814815</v>
      </c>
      <c r="M2087" s="2">
        <v>46182</v>
      </c>
      <c r="N2087" t="s">
        <v>639</v>
      </c>
      <c r="O2087" t="s">
        <v>625</v>
      </c>
      <c r="P2087">
        <v>1</v>
      </c>
      <c r="Q2087">
        <v>0</v>
      </c>
      <c r="R2087">
        <v>83.92</v>
      </c>
      <c r="S2087" t="s">
        <v>263</v>
      </c>
      <c r="T2087" t="s">
        <v>779</v>
      </c>
    </row>
    <row r="2088" spans="1:20" x14ac:dyDescent="0.3">
      <c r="A2088">
        <v>2087</v>
      </c>
      <c r="B2088">
        <v>138</v>
      </c>
      <c r="C2088">
        <v>3</v>
      </c>
      <c r="D2088">
        <v>24.7</v>
      </c>
      <c r="E2088">
        <v>2.4700000000000002</v>
      </c>
      <c r="F2088">
        <v>0</v>
      </c>
      <c r="G2088">
        <v>0.1</v>
      </c>
      <c r="H2088" t="s">
        <v>622</v>
      </c>
      <c r="J2088" t="s">
        <v>623</v>
      </c>
      <c r="K2088" s="1"/>
      <c r="L2088" s="1">
        <v>46182.629467592589</v>
      </c>
      <c r="M2088" s="2">
        <v>46182</v>
      </c>
      <c r="N2088" t="s">
        <v>639</v>
      </c>
      <c r="O2088" t="s">
        <v>625</v>
      </c>
      <c r="P2088">
        <v>1</v>
      </c>
      <c r="Q2088">
        <v>0</v>
      </c>
      <c r="R2088">
        <v>24.7</v>
      </c>
      <c r="S2088" t="s">
        <v>271</v>
      </c>
      <c r="T2088" t="s">
        <v>777</v>
      </c>
    </row>
    <row r="2089" spans="1:20" x14ac:dyDescent="0.3">
      <c r="A2089">
        <v>2088</v>
      </c>
      <c r="B2089">
        <v>156</v>
      </c>
      <c r="C2089">
        <v>4</v>
      </c>
      <c r="D2089">
        <v>29.35</v>
      </c>
      <c r="E2089">
        <v>2.94</v>
      </c>
      <c r="F2089">
        <v>0</v>
      </c>
      <c r="G2089">
        <v>0.1</v>
      </c>
      <c r="H2089" t="s">
        <v>622</v>
      </c>
      <c r="J2089" t="s">
        <v>623</v>
      </c>
      <c r="K2089" s="1"/>
      <c r="L2089" s="1">
        <v>46183.413472222222</v>
      </c>
      <c r="M2089" s="2">
        <v>46183</v>
      </c>
      <c r="N2089" t="s">
        <v>639</v>
      </c>
      <c r="O2089" t="s">
        <v>625</v>
      </c>
      <c r="P2089">
        <v>1</v>
      </c>
      <c r="Q2089">
        <v>0</v>
      </c>
      <c r="R2089">
        <v>29.35</v>
      </c>
      <c r="S2089" t="s">
        <v>307</v>
      </c>
      <c r="T2089" t="s">
        <v>778</v>
      </c>
    </row>
    <row r="2090" spans="1:20" x14ac:dyDescent="0.3">
      <c r="A2090">
        <v>2089</v>
      </c>
      <c r="B2090">
        <v>177</v>
      </c>
      <c r="C2090">
        <v>3</v>
      </c>
      <c r="D2090">
        <v>27.84</v>
      </c>
      <c r="E2090">
        <v>2.78</v>
      </c>
      <c r="F2090">
        <v>0</v>
      </c>
      <c r="G2090">
        <v>0.1</v>
      </c>
      <c r="H2090" t="s">
        <v>622</v>
      </c>
      <c r="J2090" t="s">
        <v>623</v>
      </c>
      <c r="K2090" s="1"/>
      <c r="L2090" s="1">
        <v>46183.417870370373</v>
      </c>
      <c r="M2090" s="2">
        <v>46183</v>
      </c>
      <c r="N2090" t="s">
        <v>639</v>
      </c>
      <c r="O2090" t="s">
        <v>625</v>
      </c>
      <c r="P2090">
        <v>1</v>
      </c>
      <c r="Q2090">
        <v>0</v>
      </c>
      <c r="R2090">
        <v>27.84</v>
      </c>
      <c r="S2090" t="s">
        <v>349</v>
      </c>
      <c r="T2090" t="s">
        <v>777</v>
      </c>
    </row>
    <row r="2091" spans="1:20" x14ac:dyDescent="0.3">
      <c r="A2091">
        <v>2090</v>
      </c>
      <c r="B2091">
        <v>39</v>
      </c>
      <c r="C2091">
        <v>4</v>
      </c>
      <c r="D2091">
        <v>156.44999999999999</v>
      </c>
      <c r="E2091">
        <v>0</v>
      </c>
      <c r="F2091">
        <v>1</v>
      </c>
      <c r="G2091">
        <v>0.1</v>
      </c>
      <c r="H2091" t="s">
        <v>622</v>
      </c>
      <c r="J2091" t="s">
        <v>623</v>
      </c>
      <c r="K2091" s="1"/>
      <c r="L2091" s="1">
        <v>46183.467905092592</v>
      </c>
      <c r="M2091" s="2">
        <v>46183</v>
      </c>
      <c r="N2091" t="s">
        <v>639</v>
      </c>
      <c r="O2091" t="s">
        <v>629</v>
      </c>
      <c r="P2091">
        <v>1</v>
      </c>
      <c r="Q2091">
        <v>0</v>
      </c>
      <c r="R2091">
        <v>156.44999999999999</v>
      </c>
      <c r="S2091" t="s">
        <v>74</v>
      </c>
      <c r="T2091" t="s">
        <v>778</v>
      </c>
    </row>
    <row r="2092" spans="1:20" x14ac:dyDescent="0.3">
      <c r="A2092">
        <v>2091</v>
      </c>
      <c r="B2092">
        <v>57</v>
      </c>
      <c r="C2092">
        <v>4</v>
      </c>
      <c r="D2092">
        <v>105.25</v>
      </c>
      <c r="E2092">
        <v>10.53</v>
      </c>
      <c r="F2092">
        <v>0</v>
      </c>
      <c r="G2092">
        <v>0.1</v>
      </c>
      <c r="H2092" t="s">
        <v>622</v>
      </c>
      <c r="J2092" t="s">
        <v>623</v>
      </c>
      <c r="K2092" s="1"/>
      <c r="L2092" s="1">
        <v>46183.501932870371</v>
      </c>
      <c r="M2092" s="2">
        <v>46183</v>
      </c>
      <c r="N2092" t="s">
        <v>639</v>
      </c>
      <c r="O2092" t="s">
        <v>625</v>
      </c>
      <c r="P2092">
        <v>1</v>
      </c>
      <c r="Q2092">
        <v>0</v>
      </c>
      <c r="R2092">
        <v>105.25</v>
      </c>
      <c r="S2092" t="s">
        <v>110</v>
      </c>
      <c r="T2092" t="s">
        <v>778</v>
      </c>
    </row>
    <row r="2093" spans="1:20" x14ac:dyDescent="0.3">
      <c r="A2093">
        <v>2092</v>
      </c>
      <c r="B2093">
        <v>96</v>
      </c>
      <c r="C2093">
        <v>3</v>
      </c>
      <c r="D2093">
        <v>215.1</v>
      </c>
      <c r="E2093">
        <v>21.51</v>
      </c>
      <c r="F2093">
        <v>0</v>
      </c>
      <c r="G2093">
        <v>0.1</v>
      </c>
      <c r="H2093" t="s">
        <v>622</v>
      </c>
      <c r="J2093" t="s">
        <v>623</v>
      </c>
      <c r="K2093" s="1"/>
      <c r="L2093" s="1">
        <v>46183.525578703702</v>
      </c>
      <c r="M2093" s="2">
        <v>46183</v>
      </c>
      <c r="N2093" t="s">
        <v>639</v>
      </c>
      <c r="O2093" t="s">
        <v>625</v>
      </c>
      <c r="P2093">
        <v>1</v>
      </c>
      <c r="Q2093">
        <v>0</v>
      </c>
      <c r="R2093">
        <v>215.1</v>
      </c>
      <c r="S2093" t="s">
        <v>187</v>
      </c>
      <c r="T2093" t="s">
        <v>777</v>
      </c>
    </row>
    <row r="2094" spans="1:20" x14ac:dyDescent="0.3">
      <c r="A2094">
        <v>2093</v>
      </c>
      <c r="B2094">
        <v>123</v>
      </c>
      <c r="C2094">
        <v>4</v>
      </c>
      <c r="D2094">
        <v>27.06</v>
      </c>
      <c r="E2094">
        <v>2.71</v>
      </c>
      <c r="F2094">
        <v>0</v>
      </c>
      <c r="G2094">
        <v>0.1</v>
      </c>
      <c r="H2094" t="s">
        <v>622</v>
      </c>
      <c r="J2094" t="s">
        <v>623</v>
      </c>
      <c r="K2094" s="1"/>
      <c r="L2094" s="1">
        <v>46183.682314814818</v>
      </c>
      <c r="M2094" s="2">
        <v>46183</v>
      </c>
      <c r="N2094" t="s">
        <v>639</v>
      </c>
      <c r="O2094" t="s">
        <v>625</v>
      </c>
      <c r="P2094">
        <v>1</v>
      </c>
      <c r="Q2094">
        <v>0</v>
      </c>
      <c r="R2094">
        <v>27.06</v>
      </c>
      <c r="S2094" t="s">
        <v>241</v>
      </c>
      <c r="T2094" t="s">
        <v>778</v>
      </c>
    </row>
    <row r="2095" spans="1:20" x14ac:dyDescent="0.3">
      <c r="A2095">
        <v>2094</v>
      </c>
      <c r="B2095">
        <v>238</v>
      </c>
      <c r="C2095">
        <v>2</v>
      </c>
      <c r="D2095">
        <v>15.66</v>
      </c>
      <c r="E2095">
        <v>1.57</v>
      </c>
      <c r="F2095">
        <v>0</v>
      </c>
      <c r="G2095">
        <v>0.1</v>
      </c>
      <c r="H2095" t="s">
        <v>622</v>
      </c>
      <c r="J2095" t="s">
        <v>623</v>
      </c>
      <c r="K2095" s="1"/>
      <c r="L2095" s="1">
        <v>46183.683576388888</v>
      </c>
      <c r="M2095" s="2">
        <v>46183</v>
      </c>
      <c r="N2095" t="s">
        <v>639</v>
      </c>
      <c r="O2095" t="s">
        <v>625</v>
      </c>
      <c r="P2095">
        <v>1</v>
      </c>
      <c r="Q2095">
        <v>0</v>
      </c>
      <c r="R2095">
        <v>15.66</v>
      </c>
      <c r="S2095" t="s">
        <v>471</v>
      </c>
      <c r="T2095" t="s">
        <v>776</v>
      </c>
    </row>
    <row r="2096" spans="1:20" x14ac:dyDescent="0.3">
      <c r="A2096">
        <v>2095</v>
      </c>
      <c r="B2096">
        <v>65</v>
      </c>
      <c r="C2096">
        <v>4</v>
      </c>
      <c r="D2096">
        <v>46.44</v>
      </c>
      <c r="E2096">
        <v>4.6399999999999997</v>
      </c>
      <c r="F2096">
        <v>0</v>
      </c>
      <c r="G2096">
        <v>0.1</v>
      </c>
      <c r="H2096" t="s">
        <v>622</v>
      </c>
      <c r="J2096" t="s">
        <v>623</v>
      </c>
      <c r="K2096" s="1"/>
      <c r="L2096" s="1">
        <v>46183.695613425924</v>
      </c>
      <c r="M2096" s="2">
        <v>46183</v>
      </c>
      <c r="N2096" t="s">
        <v>639</v>
      </c>
      <c r="O2096" t="s">
        <v>625</v>
      </c>
      <c r="P2096">
        <v>1</v>
      </c>
      <c r="Q2096">
        <v>0</v>
      </c>
      <c r="R2096">
        <v>46.44</v>
      </c>
      <c r="S2096" t="s">
        <v>126</v>
      </c>
      <c r="T2096" t="s">
        <v>778</v>
      </c>
    </row>
    <row r="2097" spans="1:20" x14ac:dyDescent="0.3">
      <c r="A2097">
        <v>2096</v>
      </c>
      <c r="B2097">
        <v>69</v>
      </c>
      <c r="C2097">
        <v>2</v>
      </c>
      <c r="D2097">
        <v>27.92</v>
      </c>
      <c r="E2097">
        <v>2.79</v>
      </c>
      <c r="F2097">
        <v>0</v>
      </c>
      <c r="G2097">
        <v>0.1</v>
      </c>
      <c r="H2097" t="s">
        <v>622</v>
      </c>
      <c r="J2097" t="s">
        <v>623</v>
      </c>
      <c r="K2097" s="1"/>
      <c r="L2097" s="1">
        <v>46184.304699074077</v>
      </c>
      <c r="M2097" s="2">
        <v>46184</v>
      </c>
      <c r="N2097" t="s">
        <v>639</v>
      </c>
      <c r="O2097" t="s">
        <v>625</v>
      </c>
      <c r="P2097">
        <v>1</v>
      </c>
      <c r="Q2097">
        <v>0</v>
      </c>
      <c r="R2097">
        <v>27.92</v>
      </c>
      <c r="S2097" t="s">
        <v>134</v>
      </c>
      <c r="T2097" t="s">
        <v>776</v>
      </c>
    </row>
    <row r="2098" spans="1:20" x14ac:dyDescent="0.3">
      <c r="A2098">
        <v>2097</v>
      </c>
      <c r="B2098">
        <v>31</v>
      </c>
      <c r="C2098">
        <v>2</v>
      </c>
      <c r="D2098">
        <v>50.4</v>
      </c>
      <c r="E2098">
        <v>5.04</v>
      </c>
      <c r="F2098">
        <v>0</v>
      </c>
      <c r="G2098">
        <v>0.1</v>
      </c>
      <c r="H2098" t="s">
        <v>622</v>
      </c>
      <c r="J2098" t="s">
        <v>623</v>
      </c>
      <c r="K2098" s="1"/>
      <c r="L2098" s="1">
        <v>46184.335138888891</v>
      </c>
      <c r="M2098" s="2">
        <v>46184</v>
      </c>
      <c r="N2098" t="s">
        <v>639</v>
      </c>
      <c r="O2098" t="s">
        <v>625</v>
      </c>
      <c r="P2098">
        <v>1</v>
      </c>
      <c r="Q2098">
        <v>0</v>
      </c>
      <c r="R2098">
        <v>50.4</v>
      </c>
      <c r="S2098" t="s">
        <v>58</v>
      </c>
      <c r="T2098" t="s">
        <v>776</v>
      </c>
    </row>
    <row r="2099" spans="1:20" x14ac:dyDescent="0.3">
      <c r="A2099">
        <v>2098</v>
      </c>
      <c r="B2099">
        <v>279</v>
      </c>
      <c r="C2099">
        <v>3</v>
      </c>
      <c r="D2099">
        <v>300</v>
      </c>
      <c r="E2099">
        <v>30</v>
      </c>
      <c r="F2099">
        <v>0</v>
      </c>
      <c r="G2099">
        <v>0.1</v>
      </c>
      <c r="H2099" t="s">
        <v>622</v>
      </c>
      <c r="J2099" t="s">
        <v>623</v>
      </c>
      <c r="K2099" s="1"/>
      <c r="L2099" s="1">
        <v>46184.354849537034</v>
      </c>
      <c r="M2099" s="2">
        <v>46184</v>
      </c>
      <c r="N2099" t="s">
        <v>639</v>
      </c>
      <c r="O2099" t="s">
        <v>625</v>
      </c>
      <c r="P2099">
        <v>1</v>
      </c>
      <c r="Q2099">
        <v>0</v>
      </c>
      <c r="R2099">
        <v>300</v>
      </c>
      <c r="S2099" t="s">
        <v>553</v>
      </c>
      <c r="T2099" t="s">
        <v>777</v>
      </c>
    </row>
    <row r="2100" spans="1:20" x14ac:dyDescent="0.3">
      <c r="A2100">
        <v>2099</v>
      </c>
      <c r="B2100">
        <v>250</v>
      </c>
      <c r="C2100">
        <v>3</v>
      </c>
      <c r="D2100">
        <v>78.31</v>
      </c>
      <c r="E2100">
        <v>7.83</v>
      </c>
      <c r="F2100">
        <v>0</v>
      </c>
      <c r="G2100">
        <v>0.1</v>
      </c>
      <c r="H2100" t="s">
        <v>622</v>
      </c>
      <c r="J2100" t="s">
        <v>623</v>
      </c>
      <c r="K2100" s="1"/>
      <c r="L2100" s="1">
        <v>46184.429884259262</v>
      </c>
      <c r="M2100" s="2">
        <v>46184</v>
      </c>
      <c r="N2100" t="s">
        <v>639</v>
      </c>
      <c r="O2100" t="s">
        <v>625</v>
      </c>
      <c r="P2100">
        <v>1</v>
      </c>
      <c r="Q2100">
        <v>0</v>
      </c>
      <c r="R2100">
        <v>78.31</v>
      </c>
      <c r="S2100" t="s">
        <v>495</v>
      </c>
      <c r="T2100" t="s">
        <v>777</v>
      </c>
    </row>
    <row r="2101" spans="1:20" x14ac:dyDescent="0.3">
      <c r="A2101">
        <v>2100</v>
      </c>
      <c r="B2101">
        <v>118</v>
      </c>
      <c r="C2101">
        <v>2</v>
      </c>
      <c r="D2101">
        <v>25</v>
      </c>
      <c r="E2101">
        <v>2.5</v>
      </c>
      <c r="F2101">
        <v>0</v>
      </c>
      <c r="G2101">
        <v>0.1</v>
      </c>
      <c r="H2101" t="s">
        <v>622</v>
      </c>
      <c r="J2101" t="s">
        <v>623</v>
      </c>
      <c r="K2101" s="1"/>
      <c r="L2101" s="1">
        <v>46184.539907407408</v>
      </c>
      <c r="M2101" s="2">
        <v>46184</v>
      </c>
      <c r="N2101" t="s">
        <v>639</v>
      </c>
      <c r="O2101" t="s">
        <v>625</v>
      </c>
      <c r="P2101">
        <v>1</v>
      </c>
      <c r="Q2101">
        <v>0</v>
      </c>
      <c r="R2101">
        <v>25</v>
      </c>
      <c r="S2101" t="s">
        <v>231</v>
      </c>
      <c r="T2101" t="s">
        <v>776</v>
      </c>
    </row>
    <row r="2102" spans="1:20" x14ac:dyDescent="0.3">
      <c r="A2102">
        <v>2101</v>
      </c>
      <c r="B2102">
        <v>232</v>
      </c>
      <c r="C2102">
        <v>2</v>
      </c>
      <c r="D2102">
        <v>53.66</v>
      </c>
      <c r="E2102">
        <v>5.37</v>
      </c>
      <c r="F2102">
        <v>0</v>
      </c>
      <c r="G2102">
        <v>0.1</v>
      </c>
      <c r="H2102" t="s">
        <v>622</v>
      </c>
      <c r="J2102" t="s">
        <v>623</v>
      </c>
      <c r="K2102" s="1"/>
      <c r="L2102" s="1">
        <v>46184.666284722225</v>
      </c>
      <c r="M2102" s="2">
        <v>46184</v>
      </c>
      <c r="N2102" t="s">
        <v>639</v>
      </c>
      <c r="O2102" t="s">
        <v>625</v>
      </c>
      <c r="P2102">
        <v>1</v>
      </c>
      <c r="Q2102">
        <v>0</v>
      </c>
      <c r="R2102">
        <v>53.66</v>
      </c>
      <c r="S2102" t="s">
        <v>459</v>
      </c>
      <c r="T2102" t="s">
        <v>776</v>
      </c>
    </row>
    <row r="2103" spans="1:20" x14ac:dyDescent="0.3">
      <c r="A2103">
        <v>2102</v>
      </c>
      <c r="B2103">
        <v>73</v>
      </c>
      <c r="C2103">
        <v>4</v>
      </c>
      <c r="D2103">
        <v>23.71</v>
      </c>
      <c r="E2103">
        <v>2.37</v>
      </c>
      <c r="F2103">
        <v>0</v>
      </c>
      <c r="G2103">
        <v>0.1</v>
      </c>
      <c r="H2103" t="s">
        <v>622</v>
      </c>
      <c r="J2103" t="s">
        <v>623</v>
      </c>
      <c r="K2103" s="1"/>
      <c r="L2103" s="1">
        <v>46184.687905092593</v>
      </c>
      <c r="M2103" s="2">
        <v>46184</v>
      </c>
      <c r="N2103" t="s">
        <v>639</v>
      </c>
      <c r="O2103" t="s">
        <v>625</v>
      </c>
      <c r="P2103">
        <v>1</v>
      </c>
      <c r="Q2103">
        <v>0</v>
      </c>
      <c r="R2103">
        <v>23.71</v>
      </c>
      <c r="S2103" t="s">
        <v>142</v>
      </c>
      <c r="T2103" t="s">
        <v>778</v>
      </c>
    </row>
    <row r="2104" spans="1:20" x14ac:dyDescent="0.3">
      <c r="A2104">
        <v>2103</v>
      </c>
      <c r="B2104">
        <v>122</v>
      </c>
      <c r="C2104">
        <v>2</v>
      </c>
      <c r="D2104">
        <v>146.21</v>
      </c>
      <c r="E2104">
        <v>14.62</v>
      </c>
      <c r="F2104">
        <v>0</v>
      </c>
      <c r="G2104">
        <v>0.1</v>
      </c>
      <c r="H2104" t="s">
        <v>622</v>
      </c>
      <c r="J2104" t="s">
        <v>623</v>
      </c>
      <c r="K2104" s="1"/>
      <c r="L2104" s="1">
        <v>46184.728113425925</v>
      </c>
      <c r="M2104" s="2">
        <v>46184</v>
      </c>
      <c r="N2104" t="s">
        <v>639</v>
      </c>
      <c r="O2104" t="s">
        <v>625</v>
      </c>
      <c r="P2104">
        <v>1</v>
      </c>
      <c r="Q2104">
        <v>0</v>
      </c>
      <c r="R2104">
        <v>146.21</v>
      </c>
      <c r="S2104" t="s">
        <v>239</v>
      </c>
      <c r="T2104" t="s">
        <v>776</v>
      </c>
    </row>
    <row r="2105" spans="1:20" x14ac:dyDescent="0.3">
      <c r="A2105">
        <v>2104</v>
      </c>
      <c r="B2105">
        <v>134</v>
      </c>
      <c r="C2105">
        <v>4</v>
      </c>
      <c r="D2105">
        <v>149.19999999999999</v>
      </c>
      <c r="E2105">
        <v>14.92</v>
      </c>
      <c r="F2105">
        <v>0</v>
      </c>
      <c r="G2105">
        <v>0.1</v>
      </c>
      <c r="H2105" t="s">
        <v>622</v>
      </c>
      <c r="J2105" t="s">
        <v>623</v>
      </c>
      <c r="K2105" s="1"/>
      <c r="L2105" s="1">
        <v>46185.384398148148</v>
      </c>
      <c r="M2105" s="2">
        <v>46185</v>
      </c>
      <c r="N2105" t="s">
        <v>639</v>
      </c>
      <c r="O2105" t="s">
        <v>625</v>
      </c>
      <c r="P2105">
        <v>1</v>
      </c>
      <c r="Q2105">
        <v>0</v>
      </c>
      <c r="R2105">
        <v>149.19999999999999</v>
      </c>
      <c r="S2105" t="s">
        <v>263</v>
      </c>
      <c r="T2105" t="s">
        <v>778</v>
      </c>
    </row>
    <row r="2106" spans="1:20" x14ac:dyDescent="0.3">
      <c r="A2106">
        <v>2105</v>
      </c>
      <c r="B2106">
        <v>117</v>
      </c>
      <c r="C2106">
        <v>5</v>
      </c>
      <c r="D2106">
        <v>91.78</v>
      </c>
      <c r="E2106">
        <v>9.18</v>
      </c>
      <c r="F2106">
        <v>0</v>
      </c>
      <c r="G2106">
        <v>0.1</v>
      </c>
      <c r="H2106" t="s">
        <v>622</v>
      </c>
      <c r="J2106" t="s">
        <v>623</v>
      </c>
      <c r="K2106" s="1"/>
      <c r="L2106" s="1">
        <v>46185.396041666667</v>
      </c>
      <c r="M2106" s="2">
        <v>46185</v>
      </c>
      <c r="N2106" t="s">
        <v>639</v>
      </c>
      <c r="O2106" t="s">
        <v>625</v>
      </c>
      <c r="P2106">
        <v>1</v>
      </c>
      <c r="Q2106">
        <v>0</v>
      </c>
      <c r="R2106">
        <v>91.78</v>
      </c>
      <c r="S2106" t="s">
        <v>229</v>
      </c>
      <c r="T2106" t="s">
        <v>779</v>
      </c>
    </row>
    <row r="2107" spans="1:20" x14ac:dyDescent="0.3">
      <c r="A2107">
        <v>2106</v>
      </c>
      <c r="B2107">
        <v>87</v>
      </c>
      <c r="C2107">
        <v>4</v>
      </c>
      <c r="D2107">
        <v>120.96</v>
      </c>
      <c r="E2107">
        <v>12.1</v>
      </c>
      <c r="F2107">
        <v>0</v>
      </c>
      <c r="G2107">
        <v>0.1</v>
      </c>
      <c r="H2107" t="s">
        <v>622</v>
      </c>
      <c r="J2107" t="s">
        <v>623</v>
      </c>
      <c r="K2107" s="1"/>
      <c r="L2107" s="1">
        <v>46185.475763888891</v>
      </c>
      <c r="M2107" s="2">
        <v>46185</v>
      </c>
      <c r="N2107" t="s">
        <v>639</v>
      </c>
      <c r="O2107" t="s">
        <v>625</v>
      </c>
      <c r="P2107">
        <v>1</v>
      </c>
      <c r="Q2107">
        <v>0</v>
      </c>
      <c r="R2107">
        <v>120.96</v>
      </c>
      <c r="S2107" t="s">
        <v>169</v>
      </c>
      <c r="T2107" t="s">
        <v>778</v>
      </c>
    </row>
    <row r="2108" spans="1:20" x14ac:dyDescent="0.3">
      <c r="A2108">
        <v>2107</v>
      </c>
      <c r="B2108">
        <v>183</v>
      </c>
      <c r="C2108">
        <v>3</v>
      </c>
      <c r="D2108">
        <v>82.61</v>
      </c>
      <c r="E2108">
        <v>8.26</v>
      </c>
      <c r="F2108">
        <v>0</v>
      </c>
      <c r="G2108">
        <v>0.1</v>
      </c>
      <c r="H2108" t="s">
        <v>622</v>
      </c>
      <c r="J2108" t="s">
        <v>623</v>
      </c>
      <c r="K2108" s="1"/>
      <c r="L2108" s="1">
        <v>46185.491030092591</v>
      </c>
      <c r="M2108" s="2">
        <v>46185</v>
      </c>
      <c r="N2108" t="s">
        <v>639</v>
      </c>
      <c r="O2108" t="s">
        <v>625</v>
      </c>
      <c r="P2108">
        <v>1</v>
      </c>
      <c r="Q2108">
        <v>0</v>
      </c>
      <c r="R2108">
        <v>82.61</v>
      </c>
      <c r="S2108" t="s">
        <v>361</v>
      </c>
      <c r="T2108" t="s">
        <v>777</v>
      </c>
    </row>
    <row r="2109" spans="1:20" x14ac:dyDescent="0.3">
      <c r="A2109">
        <v>2108</v>
      </c>
      <c r="B2109">
        <v>82</v>
      </c>
      <c r="C2109">
        <v>2</v>
      </c>
      <c r="D2109">
        <v>28.91</v>
      </c>
      <c r="E2109">
        <v>2.89</v>
      </c>
      <c r="F2109">
        <v>0</v>
      </c>
      <c r="G2109">
        <v>0.1</v>
      </c>
      <c r="H2109" t="s">
        <v>622</v>
      </c>
      <c r="J2109" t="s">
        <v>623</v>
      </c>
      <c r="K2109" s="1"/>
      <c r="L2109" s="1">
        <v>46185.493344907409</v>
      </c>
      <c r="M2109" s="2">
        <v>46185</v>
      </c>
      <c r="N2109" t="s">
        <v>639</v>
      </c>
      <c r="O2109" t="s">
        <v>625</v>
      </c>
      <c r="P2109">
        <v>1</v>
      </c>
      <c r="Q2109">
        <v>0</v>
      </c>
      <c r="R2109">
        <v>28.91</v>
      </c>
      <c r="S2109" t="s">
        <v>159</v>
      </c>
      <c r="T2109" t="s">
        <v>776</v>
      </c>
    </row>
    <row r="2110" spans="1:20" x14ac:dyDescent="0.3">
      <c r="A2110">
        <v>2109</v>
      </c>
      <c r="B2110">
        <v>250</v>
      </c>
      <c r="C2110">
        <v>5</v>
      </c>
      <c r="D2110">
        <v>59.05</v>
      </c>
      <c r="E2110">
        <v>5.91</v>
      </c>
      <c r="F2110">
        <v>0</v>
      </c>
      <c r="G2110">
        <v>0.1</v>
      </c>
      <c r="H2110" t="s">
        <v>622</v>
      </c>
      <c r="J2110" t="s">
        <v>623</v>
      </c>
      <c r="K2110" s="1"/>
      <c r="L2110" s="1">
        <v>46185.535798611112</v>
      </c>
      <c r="M2110" s="2">
        <v>46185</v>
      </c>
      <c r="N2110" t="s">
        <v>639</v>
      </c>
      <c r="O2110" t="s">
        <v>625</v>
      </c>
      <c r="P2110">
        <v>1</v>
      </c>
      <c r="Q2110">
        <v>0</v>
      </c>
      <c r="R2110">
        <v>59.05</v>
      </c>
      <c r="S2110" t="s">
        <v>495</v>
      </c>
      <c r="T2110" t="s">
        <v>779</v>
      </c>
    </row>
    <row r="2111" spans="1:20" x14ac:dyDescent="0.3">
      <c r="A2111">
        <v>2110</v>
      </c>
      <c r="B2111">
        <v>50</v>
      </c>
      <c r="C2111">
        <v>5</v>
      </c>
      <c r="D2111">
        <v>74.099999999999994</v>
      </c>
      <c r="E2111">
        <v>7.41</v>
      </c>
      <c r="F2111">
        <v>0</v>
      </c>
      <c r="G2111">
        <v>0.1</v>
      </c>
      <c r="H2111" t="s">
        <v>622</v>
      </c>
      <c r="J2111" t="s">
        <v>623</v>
      </c>
      <c r="K2111" s="1"/>
      <c r="L2111" s="1">
        <v>46185.754282407404</v>
      </c>
      <c r="M2111" s="2">
        <v>46185</v>
      </c>
      <c r="N2111" t="s">
        <v>639</v>
      </c>
      <c r="O2111" t="s">
        <v>625</v>
      </c>
      <c r="P2111">
        <v>1</v>
      </c>
      <c r="Q2111">
        <v>0</v>
      </c>
      <c r="R2111">
        <v>74.099999999999994</v>
      </c>
      <c r="S2111" t="s">
        <v>96</v>
      </c>
      <c r="T2111" t="s">
        <v>779</v>
      </c>
    </row>
    <row r="2112" spans="1:20" x14ac:dyDescent="0.3">
      <c r="A2112">
        <v>2111</v>
      </c>
      <c r="B2112">
        <v>250</v>
      </c>
      <c r="C2112">
        <v>4</v>
      </c>
      <c r="D2112">
        <v>81.95</v>
      </c>
      <c r="E2112">
        <v>0</v>
      </c>
      <c r="F2112">
        <v>1</v>
      </c>
      <c r="G2112">
        <v>0.1</v>
      </c>
      <c r="H2112" t="s">
        <v>622</v>
      </c>
      <c r="J2112" t="s">
        <v>623</v>
      </c>
      <c r="K2112" s="1"/>
      <c r="L2112" s="1">
        <v>46185.779444444444</v>
      </c>
      <c r="M2112" s="2">
        <v>46185</v>
      </c>
      <c r="N2112" t="s">
        <v>639</v>
      </c>
      <c r="O2112" t="s">
        <v>629</v>
      </c>
      <c r="P2112">
        <v>1</v>
      </c>
      <c r="Q2112">
        <v>0</v>
      </c>
      <c r="R2112">
        <v>81.95</v>
      </c>
      <c r="S2112" t="s">
        <v>495</v>
      </c>
      <c r="T2112" t="s">
        <v>778</v>
      </c>
    </row>
    <row r="2113" spans="1:20" x14ac:dyDescent="0.3">
      <c r="A2113">
        <v>2112</v>
      </c>
      <c r="B2113">
        <v>40</v>
      </c>
      <c r="C2113">
        <v>3</v>
      </c>
      <c r="D2113">
        <v>34.94</v>
      </c>
      <c r="E2113">
        <v>3.49</v>
      </c>
      <c r="F2113">
        <v>0</v>
      </c>
      <c r="G2113">
        <v>0.1</v>
      </c>
      <c r="H2113" t="s">
        <v>622</v>
      </c>
      <c r="J2113" t="s">
        <v>623</v>
      </c>
      <c r="K2113" s="1"/>
      <c r="L2113" s="1">
        <v>46186.460879629631</v>
      </c>
      <c r="M2113" s="2">
        <v>46186</v>
      </c>
      <c r="N2113" t="s">
        <v>639</v>
      </c>
      <c r="O2113" t="s">
        <v>625</v>
      </c>
      <c r="P2113">
        <v>1</v>
      </c>
      <c r="Q2113">
        <v>0</v>
      </c>
      <c r="R2113">
        <v>34.94</v>
      </c>
      <c r="S2113" t="s">
        <v>76</v>
      </c>
      <c r="T2113" t="s">
        <v>777</v>
      </c>
    </row>
    <row r="2114" spans="1:20" x14ac:dyDescent="0.3">
      <c r="A2114">
        <v>2113</v>
      </c>
      <c r="B2114">
        <v>133</v>
      </c>
      <c r="C2114">
        <v>2</v>
      </c>
      <c r="D2114">
        <v>123.18</v>
      </c>
      <c r="E2114">
        <v>12.32</v>
      </c>
      <c r="F2114">
        <v>0</v>
      </c>
      <c r="G2114">
        <v>0.1</v>
      </c>
      <c r="H2114" t="s">
        <v>622</v>
      </c>
      <c r="J2114" t="s">
        <v>623</v>
      </c>
      <c r="K2114" s="1"/>
      <c r="L2114" s="1">
        <v>46186.545925925922</v>
      </c>
      <c r="M2114" s="2">
        <v>46186</v>
      </c>
      <c r="N2114" t="s">
        <v>639</v>
      </c>
      <c r="O2114" t="s">
        <v>625</v>
      </c>
      <c r="P2114">
        <v>1</v>
      </c>
      <c r="Q2114">
        <v>0</v>
      </c>
      <c r="R2114">
        <v>123.18</v>
      </c>
      <c r="S2114" t="s">
        <v>261</v>
      </c>
      <c r="T2114" t="s">
        <v>776</v>
      </c>
    </row>
    <row r="2115" spans="1:20" x14ac:dyDescent="0.3">
      <c r="A2115">
        <v>2114</v>
      </c>
      <c r="B2115">
        <v>302</v>
      </c>
      <c r="C2115">
        <v>5</v>
      </c>
      <c r="D2115">
        <v>18.309999999999999</v>
      </c>
      <c r="E2115">
        <v>1.83</v>
      </c>
      <c r="F2115">
        <v>0</v>
      </c>
      <c r="G2115">
        <v>0.1</v>
      </c>
      <c r="H2115" t="s">
        <v>626</v>
      </c>
      <c r="I2115">
        <v>5</v>
      </c>
      <c r="J2115" t="s">
        <v>628</v>
      </c>
      <c r="K2115" s="1">
        <v>46188.055231481485</v>
      </c>
      <c r="L2115" s="1">
        <v>46186.596898148149</v>
      </c>
      <c r="M2115" s="2">
        <v>46186</v>
      </c>
      <c r="N2115" t="s">
        <v>639</v>
      </c>
      <c r="O2115" t="s">
        <v>625</v>
      </c>
      <c r="P2115">
        <v>1</v>
      </c>
      <c r="Q2115">
        <v>1</v>
      </c>
      <c r="R2115">
        <v>0</v>
      </c>
      <c r="S2115" t="s">
        <v>599</v>
      </c>
      <c r="T2115" t="s">
        <v>779</v>
      </c>
    </row>
    <row r="2116" spans="1:20" x14ac:dyDescent="0.3">
      <c r="A2116">
        <v>2115</v>
      </c>
      <c r="B2116">
        <v>290</v>
      </c>
      <c r="C2116">
        <v>4</v>
      </c>
      <c r="D2116">
        <v>28.21</v>
      </c>
      <c r="E2116">
        <v>2.82</v>
      </c>
      <c r="F2116">
        <v>0</v>
      </c>
      <c r="G2116">
        <v>0.1</v>
      </c>
      <c r="H2116" t="s">
        <v>622</v>
      </c>
      <c r="J2116" t="s">
        <v>623</v>
      </c>
      <c r="K2116" s="1"/>
      <c r="L2116" s="1">
        <v>46186.621400462966</v>
      </c>
      <c r="M2116" s="2">
        <v>46186</v>
      </c>
      <c r="N2116" t="s">
        <v>639</v>
      </c>
      <c r="O2116" t="s">
        <v>625</v>
      </c>
      <c r="P2116">
        <v>1</v>
      </c>
      <c r="Q2116">
        <v>0</v>
      </c>
      <c r="R2116">
        <v>28.21</v>
      </c>
      <c r="S2116" t="s">
        <v>575</v>
      </c>
      <c r="T2116" t="s">
        <v>778</v>
      </c>
    </row>
    <row r="2117" spans="1:20" x14ac:dyDescent="0.3">
      <c r="A2117">
        <v>2116</v>
      </c>
      <c r="B2117">
        <v>90</v>
      </c>
      <c r="C2117">
        <v>5</v>
      </c>
      <c r="D2117">
        <v>149.53</v>
      </c>
      <c r="E2117">
        <v>14.95</v>
      </c>
      <c r="F2117">
        <v>0</v>
      </c>
      <c r="G2117">
        <v>0.1</v>
      </c>
      <c r="H2117" t="s">
        <v>622</v>
      </c>
      <c r="J2117" t="s">
        <v>623</v>
      </c>
      <c r="K2117" s="1"/>
      <c r="L2117" s="1">
        <v>46186.672581018516</v>
      </c>
      <c r="M2117" s="2">
        <v>46186</v>
      </c>
      <c r="N2117" t="s">
        <v>639</v>
      </c>
      <c r="O2117" t="s">
        <v>625</v>
      </c>
      <c r="P2117">
        <v>1</v>
      </c>
      <c r="Q2117">
        <v>0</v>
      </c>
      <c r="R2117">
        <v>149.53</v>
      </c>
      <c r="S2117" t="s">
        <v>175</v>
      </c>
      <c r="T2117" t="s">
        <v>779</v>
      </c>
    </row>
    <row r="2118" spans="1:20" x14ac:dyDescent="0.3">
      <c r="A2118">
        <v>2117</v>
      </c>
      <c r="B2118">
        <v>235</v>
      </c>
      <c r="C2118">
        <v>4</v>
      </c>
      <c r="D2118">
        <v>43.18</v>
      </c>
      <c r="E2118">
        <v>4.32</v>
      </c>
      <c r="F2118">
        <v>0</v>
      </c>
      <c r="G2118">
        <v>0.1</v>
      </c>
      <c r="H2118" t="s">
        <v>622</v>
      </c>
      <c r="J2118" t="s">
        <v>623</v>
      </c>
      <c r="K2118" s="1"/>
      <c r="L2118" s="1">
        <v>46186.698541666665</v>
      </c>
      <c r="M2118" s="2">
        <v>46186</v>
      </c>
      <c r="N2118" t="s">
        <v>639</v>
      </c>
      <c r="O2118" t="s">
        <v>625</v>
      </c>
      <c r="P2118">
        <v>1</v>
      </c>
      <c r="Q2118">
        <v>0</v>
      </c>
      <c r="R2118">
        <v>43.18</v>
      </c>
      <c r="S2118" t="s">
        <v>465</v>
      </c>
      <c r="T2118" t="s">
        <v>778</v>
      </c>
    </row>
    <row r="2119" spans="1:20" x14ac:dyDescent="0.3">
      <c r="A2119">
        <v>2118</v>
      </c>
      <c r="B2119">
        <v>131</v>
      </c>
      <c r="C2119">
        <v>4</v>
      </c>
      <c r="D2119">
        <v>181.97</v>
      </c>
      <c r="E2119">
        <v>18.2</v>
      </c>
      <c r="F2119">
        <v>0</v>
      </c>
      <c r="G2119">
        <v>0.1</v>
      </c>
      <c r="H2119" t="s">
        <v>622</v>
      </c>
      <c r="J2119" t="s">
        <v>623</v>
      </c>
      <c r="K2119" s="1"/>
      <c r="L2119" s="1">
        <v>46186.700162037036</v>
      </c>
      <c r="M2119" s="2">
        <v>46186</v>
      </c>
      <c r="N2119" t="s">
        <v>639</v>
      </c>
      <c r="O2119" t="s">
        <v>625</v>
      </c>
      <c r="P2119">
        <v>1</v>
      </c>
      <c r="Q2119">
        <v>0</v>
      </c>
      <c r="R2119">
        <v>181.97</v>
      </c>
      <c r="S2119" t="s">
        <v>257</v>
      </c>
      <c r="T2119" t="s">
        <v>778</v>
      </c>
    </row>
    <row r="2120" spans="1:20" x14ac:dyDescent="0.3">
      <c r="A2120">
        <v>2119</v>
      </c>
      <c r="B2120">
        <v>229</v>
      </c>
      <c r="C2120">
        <v>3</v>
      </c>
      <c r="D2120">
        <v>83.69</v>
      </c>
      <c r="E2120">
        <v>8.3699999999999992</v>
      </c>
      <c r="F2120">
        <v>0</v>
      </c>
      <c r="G2120">
        <v>0.1</v>
      </c>
      <c r="H2120" t="s">
        <v>622</v>
      </c>
      <c r="J2120" t="s">
        <v>623</v>
      </c>
      <c r="K2120" s="1"/>
      <c r="L2120" s="1">
        <v>46186.774513888886</v>
      </c>
      <c r="M2120" s="2">
        <v>46186</v>
      </c>
      <c r="N2120" t="s">
        <v>639</v>
      </c>
      <c r="O2120" t="s">
        <v>625</v>
      </c>
      <c r="P2120">
        <v>1</v>
      </c>
      <c r="Q2120">
        <v>0</v>
      </c>
      <c r="R2120">
        <v>83.69</v>
      </c>
      <c r="S2120" t="s">
        <v>453</v>
      </c>
      <c r="T2120" t="s">
        <v>777</v>
      </c>
    </row>
    <row r="2121" spans="1:20" x14ac:dyDescent="0.3">
      <c r="A2121">
        <v>2120</v>
      </c>
      <c r="B2121">
        <v>39</v>
      </c>
      <c r="C2121">
        <v>5</v>
      </c>
      <c r="D2121">
        <v>109.12</v>
      </c>
      <c r="E2121">
        <v>10.91</v>
      </c>
      <c r="F2121">
        <v>0</v>
      </c>
      <c r="G2121">
        <v>0.1</v>
      </c>
      <c r="H2121" t="s">
        <v>622</v>
      </c>
      <c r="J2121" t="s">
        <v>623</v>
      </c>
      <c r="K2121" s="1"/>
      <c r="L2121" s="1">
        <v>46186.790208333332</v>
      </c>
      <c r="M2121" s="2">
        <v>46186</v>
      </c>
      <c r="N2121" t="s">
        <v>639</v>
      </c>
      <c r="O2121" t="s">
        <v>625</v>
      </c>
      <c r="P2121">
        <v>1</v>
      </c>
      <c r="Q2121">
        <v>0</v>
      </c>
      <c r="R2121">
        <v>109.12</v>
      </c>
      <c r="S2121" t="s">
        <v>74</v>
      </c>
      <c r="T2121" t="s">
        <v>779</v>
      </c>
    </row>
    <row r="2122" spans="1:20" x14ac:dyDescent="0.3">
      <c r="A2122">
        <v>2121</v>
      </c>
      <c r="B2122">
        <v>156</v>
      </c>
      <c r="C2122">
        <v>5</v>
      </c>
      <c r="D2122">
        <v>40.5</v>
      </c>
      <c r="E2122">
        <v>4.05</v>
      </c>
      <c r="F2122">
        <v>0</v>
      </c>
      <c r="G2122">
        <v>0.1</v>
      </c>
      <c r="H2122" t="s">
        <v>622</v>
      </c>
      <c r="J2122" t="s">
        <v>623</v>
      </c>
      <c r="K2122" s="1"/>
      <c r="L2122" s="1">
        <v>46187.338819444441</v>
      </c>
      <c r="M2122" s="2">
        <v>46187</v>
      </c>
      <c r="N2122" t="s">
        <v>639</v>
      </c>
      <c r="O2122" t="s">
        <v>625</v>
      </c>
      <c r="P2122">
        <v>1</v>
      </c>
      <c r="Q2122">
        <v>0</v>
      </c>
      <c r="R2122">
        <v>40.5</v>
      </c>
      <c r="S2122" t="s">
        <v>307</v>
      </c>
      <c r="T2122" t="s">
        <v>779</v>
      </c>
    </row>
    <row r="2123" spans="1:20" x14ac:dyDescent="0.3">
      <c r="A2123">
        <v>2122</v>
      </c>
      <c r="B2123">
        <v>36</v>
      </c>
      <c r="C2123">
        <v>5</v>
      </c>
      <c r="D2123">
        <v>183.41</v>
      </c>
      <c r="E2123">
        <v>18.34</v>
      </c>
      <c r="F2123">
        <v>0</v>
      </c>
      <c r="G2123">
        <v>0.1</v>
      </c>
      <c r="H2123" t="s">
        <v>622</v>
      </c>
      <c r="J2123" t="s">
        <v>623</v>
      </c>
      <c r="K2123" s="1"/>
      <c r="L2123" s="1">
        <v>46187.427199074074</v>
      </c>
      <c r="M2123" s="2">
        <v>46187</v>
      </c>
      <c r="N2123" t="s">
        <v>639</v>
      </c>
      <c r="O2123" t="s">
        <v>625</v>
      </c>
      <c r="P2123">
        <v>1</v>
      </c>
      <c r="Q2123">
        <v>0</v>
      </c>
      <c r="R2123">
        <v>183.41</v>
      </c>
      <c r="S2123" t="s">
        <v>68</v>
      </c>
      <c r="T2123" t="s">
        <v>779</v>
      </c>
    </row>
    <row r="2124" spans="1:20" x14ac:dyDescent="0.3">
      <c r="A2124">
        <v>2123</v>
      </c>
      <c r="B2124">
        <v>297</v>
      </c>
      <c r="C2124">
        <v>5</v>
      </c>
      <c r="D2124">
        <v>133.66999999999999</v>
      </c>
      <c r="E2124">
        <v>13.37</v>
      </c>
      <c r="F2124">
        <v>0</v>
      </c>
      <c r="G2124">
        <v>0.1</v>
      </c>
      <c r="H2124" t="s">
        <v>622</v>
      </c>
      <c r="J2124" t="s">
        <v>623</v>
      </c>
      <c r="K2124" s="1"/>
      <c r="L2124" s="1">
        <v>46187.583472222221</v>
      </c>
      <c r="M2124" s="2">
        <v>46187</v>
      </c>
      <c r="N2124" t="s">
        <v>639</v>
      </c>
      <c r="O2124" t="s">
        <v>625</v>
      </c>
      <c r="P2124">
        <v>1</v>
      </c>
      <c r="Q2124">
        <v>0</v>
      </c>
      <c r="R2124">
        <v>133.66999999999999</v>
      </c>
      <c r="S2124" t="s">
        <v>589</v>
      </c>
      <c r="T2124" t="s">
        <v>779</v>
      </c>
    </row>
    <row r="2125" spans="1:20" x14ac:dyDescent="0.3">
      <c r="A2125">
        <v>2124</v>
      </c>
      <c r="B2125">
        <v>172</v>
      </c>
      <c r="C2125">
        <v>4</v>
      </c>
      <c r="D2125">
        <v>23.51</v>
      </c>
      <c r="E2125">
        <v>2.35</v>
      </c>
      <c r="F2125">
        <v>0</v>
      </c>
      <c r="G2125">
        <v>0.1</v>
      </c>
      <c r="H2125" t="s">
        <v>622</v>
      </c>
      <c r="J2125" t="s">
        <v>623</v>
      </c>
      <c r="K2125" s="1"/>
      <c r="L2125" s="1">
        <v>46187.784594907411</v>
      </c>
      <c r="M2125" s="2">
        <v>46187</v>
      </c>
      <c r="N2125" t="s">
        <v>639</v>
      </c>
      <c r="O2125" t="s">
        <v>625</v>
      </c>
      <c r="P2125">
        <v>1</v>
      </c>
      <c r="Q2125">
        <v>0</v>
      </c>
      <c r="R2125">
        <v>23.51</v>
      </c>
      <c r="S2125" t="s">
        <v>339</v>
      </c>
      <c r="T2125" t="s">
        <v>778</v>
      </c>
    </row>
    <row r="2126" spans="1:20" x14ac:dyDescent="0.3">
      <c r="A2126">
        <v>2125</v>
      </c>
      <c r="B2126">
        <v>229</v>
      </c>
      <c r="C2126">
        <v>3</v>
      </c>
      <c r="D2126">
        <v>113.98</v>
      </c>
      <c r="E2126">
        <v>11.4</v>
      </c>
      <c r="F2126">
        <v>0</v>
      </c>
      <c r="G2126">
        <v>0.1</v>
      </c>
      <c r="H2126" t="s">
        <v>622</v>
      </c>
      <c r="J2126" t="s">
        <v>623</v>
      </c>
      <c r="K2126" s="1"/>
      <c r="L2126" s="1">
        <v>46188.587187500001</v>
      </c>
      <c r="M2126" s="2">
        <v>46188</v>
      </c>
      <c r="N2126" t="s">
        <v>639</v>
      </c>
      <c r="O2126" t="s">
        <v>625</v>
      </c>
      <c r="P2126">
        <v>1</v>
      </c>
      <c r="Q2126">
        <v>0</v>
      </c>
      <c r="R2126">
        <v>113.98</v>
      </c>
      <c r="S2126" t="s">
        <v>453</v>
      </c>
      <c r="T2126" t="s">
        <v>777</v>
      </c>
    </row>
    <row r="2127" spans="1:20" x14ac:dyDescent="0.3">
      <c r="A2127">
        <v>2126</v>
      </c>
      <c r="B2127">
        <v>227</v>
      </c>
      <c r="C2127">
        <v>4</v>
      </c>
      <c r="D2127">
        <v>27.41</v>
      </c>
      <c r="E2127">
        <v>2.74</v>
      </c>
      <c r="F2127">
        <v>0</v>
      </c>
      <c r="G2127">
        <v>0.1</v>
      </c>
      <c r="H2127" t="s">
        <v>622</v>
      </c>
      <c r="J2127" t="s">
        <v>623</v>
      </c>
      <c r="K2127" s="1"/>
      <c r="L2127" s="1">
        <v>46188.596134259256</v>
      </c>
      <c r="M2127" s="2">
        <v>46188</v>
      </c>
      <c r="N2127" t="s">
        <v>639</v>
      </c>
      <c r="O2127" t="s">
        <v>625</v>
      </c>
      <c r="P2127">
        <v>1</v>
      </c>
      <c r="Q2127">
        <v>0</v>
      </c>
      <c r="R2127">
        <v>27.41</v>
      </c>
      <c r="S2127" t="s">
        <v>449</v>
      </c>
      <c r="T2127" t="s">
        <v>778</v>
      </c>
    </row>
    <row r="2128" spans="1:20" x14ac:dyDescent="0.3">
      <c r="A2128">
        <v>2127</v>
      </c>
      <c r="B2128">
        <v>47</v>
      </c>
      <c r="C2128">
        <v>2</v>
      </c>
      <c r="D2128">
        <v>60.43</v>
      </c>
      <c r="E2128">
        <v>6.04</v>
      </c>
      <c r="F2128">
        <v>0</v>
      </c>
      <c r="G2128">
        <v>0.1</v>
      </c>
      <c r="H2128" t="s">
        <v>622</v>
      </c>
      <c r="J2128" t="s">
        <v>623</v>
      </c>
      <c r="K2128" s="1"/>
      <c r="L2128" s="1">
        <v>46188.671111111114</v>
      </c>
      <c r="M2128" s="2">
        <v>46188</v>
      </c>
      <c r="N2128" t="s">
        <v>639</v>
      </c>
      <c r="O2128" t="s">
        <v>625</v>
      </c>
      <c r="P2128">
        <v>1</v>
      </c>
      <c r="Q2128">
        <v>0</v>
      </c>
      <c r="R2128">
        <v>60.43</v>
      </c>
      <c r="S2128" t="s">
        <v>90</v>
      </c>
      <c r="T2128" t="s">
        <v>776</v>
      </c>
    </row>
    <row r="2129" spans="1:20" x14ac:dyDescent="0.3">
      <c r="A2129">
        <v>2128</v>
      </c>
      <c r="B2129">
        <v>229</v>
      </c>
      <c r="C2129">
        <v>2</v>
      </c>
      <c r="D2129">
        <v>58.86</v>
      </c>
      <c r="E2129">
        <v>5.89</v>
      </c>
      <c r="F2129">
        <v>0</v>
      </c>
      <c r="G2129">
        <v>0.1</v>
      </c>
      <c r="H2129" t="s">
        <v>622</v>
      </c>
      <c r="J2129" t="s">
        <v>623</v>
      </c>
      <c r="K2129" s="1"/>
      <c r="L2129" s="1">
        <v>46189.402291666665</v>
      </c>
      <c r="M2129" s="2">
        <v>46189</v>
      </c>
      <c r="N2129" t="s">
        <v>639</v>
      </c>
      <c r="O2129" t="s">
        <v>625</v>
      </c>
      <c r="P2129">
        <v>1</v>
      </c>
      <c r="Q2129">
        <v>0</v>
      </c>
      <c r="R2129">
        <v>58.86</v>
      </c>
      <c r="S2129" t="s">
        <v>453</v>
      </c>
      <c r="T2129" t="s">
        <v>776</v>
      </c>
    </row>
    <row r="2130" spans="1:20" x14ac:dyDescent="0.3">
      <c r="A2130">
        <v>2129</v>
      </c>
      <c r="B2130">
        <v>221</v>
      </c>
      <c r="C2130">
        <v>5</v>
      </c>
      <c r="D2130">
        <v>166.64</v>
      </c>
      <c r="E2130">
        <v>16.66</v>
      </c>
      <c r="F2130">
        <v>0</v>
      </c>
      <c r="G2130">
        <v>0.1</v>
      </c>
      <c r="H2130" t="s">
        <v>622</v>
      </c>
      <c r="J2130" t="s">
        <v>623</v>
      </c>
      <c r="K2130" s="1"/>
      <c r="L2130" s="1">
        <v>46189.411747685182</v>
      </c>
      <c r="M2130" s="2">
        <v>46189</v>
      </c>
      <c r="N2130" t="s">
        <v>639</v>
      </c>
      <c r="O2130" t="s">
        <v>625</v>
      </c>
      <c r="P2130">
        <v>1</v>
      </c>
      <c r="Q2130">
        <v>0</v>
      </c>
      <c r="R2130">
        <v>166.64</v>
      </c>
      <c r="S2130" t="s">
        <v>437</v>
      </c>
      <c r="T2130" t="s">
        <v>779</v>
      </c>
    </row>
    <row r="2131" spans="1:20" x14ac:dyDescent="0.3">
      <c r="A2131">
        <v>2130</v>
      </c>
      <c r="B2131">
        <v>267</v>
      </c>
      <c r="C2131">
        <v>5</v>
      </c>
      <c r="D2131">
        <v>57.37</v>
      </c>
      <c r="E2131">
        <v>5.74</v>
      </c>
      <c r="F2131">
        <v>0</v>
      </c>
      <c r="G2131">
        <v>0.1</v>
      </c>
      <c r="H2131" t="s">
        <v>622</v>
      </c>
      <c r="J2131" t="s">
        <v>623</v>
      </c>
      <c r="K2131" s="1"/>
      <c r="L2131" s="1">
        <v>46189.452407407407</v>
      </c>
      <c r="M2131" s="2">
        <v>46189</v>
      </c>
      <c r="N2131" t="s">
        <v>639</v>
      </c>
      <c r="O2131" t="s">
        <v>625</v>
      </c>
      <c r="P2131">
        <v>1</v>
      </c>
      <c r="Q2131">
        <v>0</v>
      </c>
      <c r="R2131">
        <v>57.37</v>
      </c>
      <c r="S2131" t="s">
        <v>529</v>
      </c>
      <c r="T2131" t="s">
        <v>779</v>
      </c>
    </row>
    <row r="2132" spans="1:20" x14ac:dyDescent="0.3">
      <c r="A2132">
        <v>2131</v>
      </c>
      <c r="B2132">
        <v>136</v>
      </c>
      <c r="C2132">
        <v>3</v>
      </c>
      <c r="D2132">
        <v>66.099999999999994</v>
      </c>
      <c r="E2132">
        <v>6.61</v>
      </c>
      <c r="F2132">
        <v>0</v>
      </c>
      <c r="G2132">
        <v>0.1</v>
      </c>
      <c r="H2132" t="s">
        <v>622</v>
      </c>
      <c r="J2132" t="s">
        <v>623</v>
      </c>
      <c r="K2132" s="1"/>
      <c r="L2132" s="1">
        <v>46189.484155092592</v>
      </c>
      <c r="M2132" s="2">
        <v>46189</v>
      </c>
      <c r="N2132" t="s">
        <v>639</v>
      </c>
      <c r="O2132" t="s">
        <v>625</v>
      </c>
      <c r="P2132">
        <v>1</v>
      </c>
      <c r="Q2132">
        <v>0</v>
      </c>
      <c r="R2132">
        <v>66.099999999999994</v>
      </c>
      <c r="S2132" t="s">
        <v>267</v>
      </c>
      <c r="T2132" t="s">
        <v>777</v>
      </c>
    </row>
    <row r="2133" spans="1:20" x14ac:dyDescent="0.3">
      <c r="A2133">
        <v>2132</v>
      </c>
      <c r="B2133">
        <v>303</v>
      </c>
      <c r="C2133">
        <v>3</v>
      </c>
      <c r="D2133">
        <v>26.85</v>
      </c>
      <c r="E2133">
        <v>2.69</v>
      </c>
      <c r="F2133">
        <v>0</v>
      </c>
      <c r="G2133">
        <v>0.1</v>
      </c>
      <c r="H2133" t="s">
        <v>622</v>
      </c>
      <c r="J2133" t="s">
        <v>623</v>
      </c>
      <c r="K2133" s="1"/>
      <c r="L2133" s="1">
        <v>46189.579710648148</v>
      </c>
      <c r="M2133" s="2">
        <v>46189</v>
      </c>
      <c r="N2133" t="s">
        <v>639</v>
      </c>
      <c r="O2133" t="s">
        <v>625</v>
      </c>
      <c r="P2133">
        <v>1</v>
      </c>
      <c r="Q2133">
        <v>0</v>
      </c>
      <c r="R2133">
        <v>26.85</v>
      </c>
      <c r="S2133" t="s">
        <v>601</v>
      </c>
      <c r="T2133" t="s">
        <v>777</v>
      </c>
    </row>
    <row r="2134" spans="1:20" x14ac:dyDescent="0.3">
      <c r="A2134">
        <v>2133</v>
      </c>
      <c r="B2134">
        <v>190</v>
      </c>
      <c r="C2134">
        <v>3</v>
      </c>
      <c r="D2134">
        <v>300</v>
      </c>
      <c r="E2134">
        <v>30</v>
      </c>
      <c r="F2134">
        <v>0</v>
      </c>
      <c r="G2134">
        <v>0.1</v>
      </c>
      <c r="H2134" t="s">
        <v>622</v>
      </c>
      <c r="J2134" t="s">
        <v>623</v>
      </c>
      <c r="K2134" s="1"/>
      <c r="L2134" s="1">
        <v>46189.62290509259</v>
      </c>
      <c r="M2134" s="2">
        <v>46189</v>
      </c>
      <c r="N2134" t="s">
        <v>639</v>
      </c>
      <c r="O2134" t="s">
        <v>625</v>
      </c>
      <c r="P2134">
        <v>1</v>
      </c>
      <c r="Q2134">
        <v>0</v>
      </c>
      <c r="R2134">
        <v>300</v>
      </c>
      <c r="S2134" t="s">
        <v>375</v>
      </c>
      <c r="T2134" t="s">
        <v>777</v>
      </c>
    </row>
    <row r="2135" spans="1:20" x14ac:dyDescent="0.3">
      <c r="A2135">
        <v>2134</v>
      </c>
      <c r="B2135">
        <v>44</v>
      </c>
      <c r="C2135">
        <v>2</v>
      </c>
      <c r="D2135">
        <v>25.67</v>
      </c>
      <c r="E2135">
        <v>2.57</v>
      </c>
      <c r="F2135">
        <v>0</v>
      </c>
      <c r="G2135">
        <v>0.1</v>
      </c>
      <c r="H2135" t="s">
        <v>622</v>
      </c>
      <c r="J2135" t="s">
        <v>623</v>
      </c>
      <c r="K2135" s="1"/>
      <c r="L2135" s="1">
        <v>46189.692048611112</v>
      </c>
      <c r="M2135" s="2">
        <v>46189</v>
      </c>
      <c r="N2135" t="s">
        <v>639</v>
      </c>
      <c r="O2135" t="s">
        <v>625</v>
      </c>
      <c r="P2135">
        <v>1</v>
      </c>
      <c r="Q2135">
        <v>0</v>
      </c>
      <c r="R2135">
        <v>25.67</v>
      </c>
      <c r="S2135" t="s">
        <v>84</v>
      </c>
      <c r="T2135" t="s">
        <v>776</v>
      </c>
    </row>
    <row r="2136" spans="1:20" x14ac:dyDescent="0.3">
      <c r="A2136">
        <v>2135</v>
      </c>
      <c r="B2136">
        <v>156</v>
      </c>
      <c r="C2136">
        <v>3</v>
      </c>
      <c r="D2136">
        <v>29.16</v>
      </c>
      <c r="E2136">
        <v>2.92</v>
      </c>
      <c r="F2136">
        <v>0</v>
      </c>
      <c r="G2136">
        <v>0.1</v>
      </c>
      <c r="H2136" t="s">
        <v>626</v>
      </c>
      <c r="I2136">
        <v>4</v>
      </c>
      <c r="J2136" t="s">
        <v>628</v>
      </c>
      <c r="K2136" s="1">
        <v>46190.567743055559</v>
      </c>
      <c r="L2136" s="1">
        <v>46190.526076388887</v>
      </c>
      <c r="M2136" s="2">
        <v>46190</v>
      </c>
      <c r="N2136" t="s">
        <v>639</v>
      </c>
      <c r="O2136" t="s">
        <v>625</v>
      </c>
      <c r="P2136">
        <v>1</v>
      </c>
      <c r="Q2136">
        <v>1</v>
      </c>
      <c r="R2136">
        <v>0</v>
      </c>
      <c r="S2136" t="s">
        <v>307</v>
      </c>
      <c r="T2136" t="s">
        <v>777</v>
      </c>
    </row>
    <row r="2137" spans="1:20" x14ac:dyDescent="0.3">
      <c r="A2137">
        <v>2136</v>
      </c>
      <c r="B2137">
        <v>158</v>
      </c>
      <c r="C2137">
        <v>2</v>
      </c>
      <c r="D2137">
        <v>29.48</v>
      </c>
      <c r="E2137">
        <v>2.95</v>
      </c>
      <c r="F2137">
        <v>0</v>
      </c>
      <c r="G2137">
        <v>0.1</v>
      </c>
      <c r="H2137" t="s">
        <v>622</v>
      </c>
      <c r="J2137" t="s">
        <v>623</v>
      </c>
      <c r="K2137" s="1"/>
      <c r="L2137" s="1">
        <v>46190.665196759262</v>
      </c>
      <c r="M2137" s="2">
        <v>46190</v>
      </c>
      <c r="N2137" t="s">
        <v>639</v>
      </c>
      <c r="O2137" t="s">
        <v>625</v>
      </c>
      <c r="P2137">
        <v>1</v>
      </c>
      <c r="Q2137">
        <v>0</v>
      </c>
      <c r="R2137">
        <v>29.48</v>
      </c>
      <c r="S2137" t="s">
        <v>311</v>
      </c>
      <c r="T2137" t="s">
        <v>776</v>
      </c>
    </row>
    <row r="2138" spans="1:20" x14ac:dyDescent="0.3">
      <c r="A2138">
        <v>2137</v>
      </c>
      <c r="B2138">
        <v>285</v>
      </c>
      <c r="C2138">
        <v>2</v>
      </c>
      <c r="D2138">
        <v>39.99</v>
      </c>
      <c r="E2138">
        <v>4</v>
      </c>
      <c r="F2138">
        <v>0</v>
      </c>
      <c r="G2138">
        <v>0.1</v>
      </c>
      <c r="H2138" t="s">
        <v>622</v>
      </c>
      <c r="J2138" t="s">
        <v>623</v>
      </c>
      <c r="K2138" s="1"/>
      <c r="L2138" s="1">
        <v>46190.721678240741</v>
      </c>
      <c r="M2138" s="2">
        <v>46190</v>
      </c>
      <c r="N2138" t="s">
        <v>639</v>
      </c>
      <c r="O2138" t="s">
        <v>625</v>
      </c>
      <c r="P2138">
        <v>1</v>
      </c>
      <c r="Q2138">
        <v>0</v>
      </c>
      <c r="R2138">
        <v>39.99</v>
      </c>
      <c r="S2138" t="s">
        <v>565</v>
      </c>
      <c r="T2138" t="s">
        <v>776</v>
      </c>
    </row>
    <row r="2139" spans="1:20" x14ac:dyDescent="0.3">
      <c r="A2139">
        <v>2138</v>
      </c>
      <c r="B2139">
        <v>117</v>
      </c>
      <c r="C2139">
        <v>4</v>
      </c>
      <c r="D2139">
        <v>119.42</v>
      </c>
      <c r="E2139">
        <v>11.94</v>
      </c>
      <c r="F2139">
        <v>0</v>
      </c>
      <c r="G2139">
        <v>0.1</v>
      </c>
      <c r="H2139" t="s">
        <v>622</v>
      </c>
      <c r="J2139" t="s">
        <v>623</v>
      </c>
      <c r="K2139" s="1"/>
      <c r="L2139" s="1">
        <v>46190.730416666665</v>
      </c>
      <c r="M2139" s="2">
        <v>46190</v>
      </c>
      <c r="N2139" t="s">
        <v>639</v>
      </c>
      <c r="O2139" t="s">
        <v>625</v>
      </c>
      <c r="P2139">
        <v>1</v>
      </c>
      <c r="Q2139">
        <v>0</v>
      </c>
      <c r="R2139">
        <v>119.42</v>
      </c>
      <c r="S2139" t="s">
        <v>229</v>
      </c>
      <c r="T2139" t="s">
        <v>778</v>
      </c>
    </row>
    <row r="2140" spans="1:20" x14ac:dyDescent="0.3">
      <c r="A2140">
        <v>2139</v>
      </c>
      <c r="B2140">
        <v>250</v>
      </c>
      <c r="C2140">
        <v>5</v>
      </c>
      <c r="D2140">
        <v>121.52</v>
      </c>
      <c r="E2140">
        <v>12.15</v>
      </c>
      <c r="F2140">
        <v>0</v>
      </c>
      <c r="G2140">
        <v>0.1</v>
      </c>
      <c r="H2140" t="s">
        <v>622</v>
      </c>
      <c r="J2140" t="s">
        <v>623</v>
      </c>
      <c r="K2140" s="1"/>
      <c r="L2140" s="1">
        <v>46190.742847222224</v>
      </c>
      <c r="M2140" s="2">
        <v>46190</v>
      </c>
      <c r="N2140" t="s">
        <v>639</v>
      </c>
      <c r="O2140" t="s">
        <v>625</v>
      </c>
      <c r="P2140">
        <v>1</v>
      </c>
      <c r="Q2140">
        <v>0</v>
      </c>
      <c r="R2140">
        <v>121.52</v>
      </c>
      <c r="S2140" t="s">
        <v>495</v>
      </c>
      <c r="T2140" t="s">
        <v>779</v>
      </c>
    </row>
    <row r="2141" spans="1:20" x14ac:dyDescent="0.3">
      <c r="A2141">
        <v>2140</v>
      </c>
      <c r="B2141">
        <v>187</v>
      </c>
      <c r="C2141">
        <v>3</v>
      </c>
      <c r="D2141">
        <v>32.44</v>
      </c>
      <c r="E2141">
        <v>3.24</v>
      </c>
      <c r="F2141">
        <v>0</v>
      </c>
      <c r="G2141">
        <v>0.1</v>
      </c>
      <c r="H2141" t="s">
        <v>622</v>
      </c>
      <c r="J2141" t="s">
        <v>623</v>
      </c>
      <c r="K2141" s="1"/>
      <c r="L2141" s="1">
        <v>46190.75372685185</v>
      </c>
      <c r="M2141" s="2">
        <v>46190</v>
      </c>
      <c r="N2141" t="s">
        <v>639</v>
      </c>
      <c r="O2141" t="s">
        <v>625</v>
      </c>
      <c r="P2141">
        <v>1</v>
      </c>
      <c r="Q2141">
        <v>0</v>
      </c>
      <c r="R2141">
        <v>32.44</v>
      </c>
      <c r="S2141" t="s">
        <v>369</v>
      </c>
      <c r="T2141" t="s">
        <v>777</v>
      </c>
    </row>
    <row r="2142" spans="1:20" x14ac:dyDescent="0.3">
      <c r="A2142">
        <v>2141</v>
      </c>
      <c r="B2142">
        <v>25</v>
      </c>
      <c r="C2142">
        <v>2</v>
      </c>
      <c r="D2142">
        <v>68.13</v>
      </c>
      <c r="E2142">
        <v>6.81</v>
      </c>
      <c r="F2142">
        <v>0</v>
      </c>
      <c r="G2142">
        <v>0.1</v>
      </c>
      <c r="H2142" t="s">
        <v>622</v>
      </c>
      <c r="J2142" t="s">
        <v>623</v>
      </c>
      <c r="K2142" s="1"/>
      <c r="L2142" s="1">
        <v>46190.809398148151</v>
      </c>
      <c r="M2142" s="2">
        <v>46190</v>
      </c>
      <c r="N2142" t="s">
        <v>639</v>
      </c>
      <c r="O2142" t="s">
        <v>625</v>
      </c>
      <c r="P2142">
        <v>1</v>
      </c>
      <c r="Q2142">
        <v>0</v>
      </c>
      <c r="R2142">
        <v>68.13</v>
      </c>
      <c r="S2142" t="s">
        <v>46</v>
      </c>
      <c r="T2142" t="s">
        <v>776</v>
      </c>
    </row>
    <row r="2143" spans="1:20" x14ac:dyDescent="0.3">
      <c r="A2143">
        <v>2142</v>
      </c>
      <c r="B2143">
        <v>269</v>
      </c>
      <c r="C2143">
        <v>3</v>
      </c>
      <c r="D2143">
        <v>146.11000000000001</v>
      </c>
      <c r="E2143">
        <v>14.61</v>
      </c>
      <c r="F2143">
        <v>0</v>
      </c>
      <c r="G2143">
        <v>0.1</v>
      </c>
      <c r="H2143" t="s">
        <v>626</v>
      </c>
      <c r="I2143">
        <v>5</v>
      </c>
      <c r="J2143" t="s">
        <v>627</v>
      </c>
      <c r="K2143" s="1">
        <v>46191.873518518521</v>
      </c>
      <c r="L2143" s="1">
        <v>46191.373518518521</v>
      </c>
      <c r="M2143" s="2">
        <v>46191</v>
      </c>
      <c r="N2143" t="s">
        <v>639</v>
      </c>
      <c r="O2143" t="s">
        <v>625</v>
      </c>
      <c r="P2143">
        <v>1</v>
      </c>
      <c r="Q2143">
        <v>1</v>
      </c>
      <c r="R2143">
        <v>0</v>
      </c>
      <c r="S2143" t="s">
        <v>533</v>
      </c>
      <c r="T2143" t="s">
        <v>777</v>
      </c>
    </row>
    <row r="2144" spans="1:20" x14ac:dyDescent="0.3">
      <c r="A2144">
        <v>2143</v>
      </c>
      <c r="B2144">
        <v>39</v>
      </c>
      <c r="C2144">
        <v>2</v>
      </c>
      <c r="D2144">
        <v>268.89999999999998</v>
      </c>
      <c r="E2144">
        <v>26.89</v>
      </c>
      <c r="F2144">
        <v>0</v>
      </c>
      <c r="G2144">
        <v>0.1</v>
      </c>
      <c r="H2144" t="s">
        <v>622</v>
      </c>
      <c r="J2144" t="s">
        <v>623</v>
      </c>
      <c r="K2144" s="1"/>
      <c r="L2144" s="1">
        <v>46191.407025462962</v>
      </c>
      <c r="M2144" s="2">
        <v>46191</v>
      </c>
      <c r="N2144" t="s">
        <v>639</v>
      </c>
      <c r="O2144" t="s">
        <v>625</v>
      </c>
      <c r="P2144">
        <v>1</v>
      </c>
      <c r="Q2144">
        <v>0</v>
      </c>
      <c r="R2144">
        <v>268.89999999999998</v>
      </c>
      <c r="S2144" t="s">
        <v>74</v>
      </c>
      <c r="T2144" t="s">
        <v>776</v>
      </c>
    </row>
    <row r="2145" spans="1:20" x14ac:dyDescent="0.3">
      <c r="A2145">
        <v>2144</v>
      </c>
      <c r="B2145">
        <v>52</v>
      </c>
      <c r="C2145">
        <v>2</v>
      </c>
      <c r="D2145">
        <v>21.56</v>
      </c>
      <c r="E2145">
        <v>2.16</v>
      </c>
      <c r="F2145">
        <v>0</v>
      </c>
      <c r="G2145">
        <v>0.1</v>
      </c>
      <c r="H2145" t="s">
        <v>622</v>
      </c>
      <c r="J2145" t="s">
        <v>623</v>
      </c>
      <c r="K2145" s="1"/>
      <c r="L2145" s="1">
        <v>46191.421064814815</v>
      </c>
      <c r="M2145" s="2">
        <v>46191</v>
      </c>
      <c r="N2145" t="s">
        <v>639</v>
      </c>
      <c r="O2145" t="s">
        <v>625</v>
      </c>
      <c r="P2145">
        <v>1</v>
      </c>
      <c r="Q2145">
        <v>0</v>
      </c>
      <c r="R2145">
        <v>21.56</v>
      </c>
      <c r="S2145" t="s">
        <v>100</v>
      </c>
      <c r="T2145" t="s">
        <v>776</v>
      </c>
    </row>
    <row r="2146" spans="1:20" x14ac:dyDescent="0.3">
      <c r="A2146">
        <v>2145</v>
      </c>
      <c r="B2146">
        <v>229</v>
      </c>
      <c r="C2146">
        <v>4</v>
      </c>
      <c r="D2146">
        <v>98.95</v>
      </c>
      <c r="E2146">
        <v>9.9</v>
      </c>
      <c r="F2146">
        <v>0</v>
      </c>
      <c r="G2146">
        <v>0.1</v>
      </c>
      <c r="H2146" t="s">
        <v>622</v>
      </c>
      <c r="J2146" t="s">
        <v>623</v>
      </c>
      <c r="K2146" s="1"/>
      <c r="L2146" s="1">
        <v>46191.42491898148</v>
      </c>
      <c r="M2146" s="2">
        <v>46191</v>
      </c>
      <c r="N2146" t="s">
        <v>639</v>
      </c>
      <c r="O2146" t="s">
        <v>625</v>
      </c>
      <c r="P2146">
        <v>1</v>
      </c>
      <c r="Q2146">
        <v>0</v>
      </c>
      <c r="R2146">
        <v>98.95</v>
      </c>
      <c r="S2146" t="s">
        <v>453</v>
      </c>
      <c r="T2146" t="s">
        <v>778</v>
      </c>
    </row>
    <row r="2147" spans="1:20" x14ac:dyDescent="0.3">
      <c r="A2147">
        <v>2146</v>
      </c>
      <c r="B2147">
        <v>243</v>
      </c>
      <c r="C2147">
        <v>2</v>
      </c>
      <c r="D2147">
        <v>30.63</v>
      </c>
      <c r="E2147">
        <v>3.06</v>
      </c>
      <c r="F2147">
        <v>0</v>
      </c>
      <c r="G2147">
        <v>0.1</v>
      </c>
      <c r="H2147" t="s">
        <v>622</v>
      </c>
      <c r="J2147" t="s">
        <v>623</v>
      </c>
      <c r="K2147" s="1"/>
      <c r="L2147" s="1">
        <v>46191.472060185188</v>
      </c>
      <c r="M2147" s="2">
        <v>46191</v>
      </c>
      <c r="N2147" t="s">
        <v>639</v>
      </c>
      <c r="O2147" t="s">
        <v>625</v>
      </c>
      <c r="P2147">
        <v>1</v>
      </c>
      <c r="Q2147">
        <v>0</v>
      </c>
      <c r="R2147">
        <v>30.63</v>
      </c>
      <c r="S2147" t="s">
        <v>481</v>
      </c>
      <c r="T2147" t="s">
        <v>776</v>
      </c>
    </row>
    <row r="2148" spans="1:20" x14ac:dyDescent="0.3">
      <c r="A2148">
        <v>2147</v>
      </c>
      <c r="B2148">
        <v>134</v>
      </c>
      <c r="C2148">
        <v>5</v>
      </c>
      <c r="D2148">
        <v>165.16</v>
      </c>
      <c r="E2148">
        <v>16.52</v>
      </c>
      <c r="F2148">
        <v>0</v>
      </c>
      <c r="G2148">
        <v>0.1</v>
      </c>
      <c r="H2148" t="s">
        <v>622</v>
      </c>
      <c r="J2148" t="s">
        <v>623</v>
      </c>
      <c r="K2148" s="1"/>
      <c r="L2148" s="1">
        <v>46191.53328703704</v>
      </c>
      <c r="M2148" s="2">
        <v>46191</v>
      </c>
      <c r="N2148" t="s">
        <v>639</v>
      </c>
      <c r="O2148" t="s">
        <v>625</v>
      </c>
      <c r="P2148">
        <v>1</v>
      </c>
      <c r="Q2148">
        <v>0</v>
      </c>
      <c r="R2148">
        <v>165.16</v>
      </c>
      <c r="S2148" t="s">
        <v>263</v>
      </c>
      <c r="T2148" t="s">
        <v>779</v>
      </c>
    </row>
    <row r="2149" spans="1:20" x14ac:dyDescent="0.3">
      <c r="A2149">
        <v>2148</v>
      </c>
      <c r="B2149">
        <v>137</v>
      </c>
      <c r="C2149">
        <v>5</v>
      </c>
      <c r="D2149">
        <v>29.51</v>
      </c>
      <c r="E2149">
        <v>2.95</v>
      </c>
      <c r="F2149">
        <v>0</v>
      </c>
      <c r="G2149">
        <v>0.1</v>
      </c>
      <c r="H2149" t="s">
        <v>622</v>
      </c>
      <c r="J2149" t="s">
        <v>623</v>
      </c>
      <c r="K2149" s="1"/>
      <c r="L2149" s="1">
        <v>46191.55128472222</v>
      </c>
      <c r="M2149" s="2">
        <v>46191</v>
      </c>
      <c r="N2149" t="s">
        <v>639</v>
      </c>
      <c r="O2149" t="s">
        <v>625</v>
      </c>
      <c r="P2149">
        <v>1</v>
      </c>
      <c r="Q2149">
        <v>0</v>
      </c>
      <c r="R2149">
        <v>29.51</v>
      </c>
      <c r="S2149" t="s">
        <v>269</v>
      </c>
      <c r="T2149" t="s">
        <v>779</v>
      </c>
    </row>
    <row r="2150" spans="1:20" x14ac:dyDescent="0.3">
      <c r="A2150">
        <v>2149</v>
      </c>
      <c r="B2150">
        <v>104</v>
      </c>
      <c r="C2150">
        <v>4</v>
      </c>
      <c r="D2150">
        <v>222.25</v>
      </c>
      <c r="E2150">
        <v>22.23</v>
      </c>
      <c r="F2150">
        <v>0</v>
      </c>
      <c r="G2150">
        <v>0.1</v>
      </c>
      <c r="H2150" t="s">
        <v>622</v>
      </c>
      <c r="J2150" t="s">
        <v>623</v>
      </c>
      <c r="K2150" s="1"/>
      <c r="L2150" s="1">
        <v>46191.658078703702</v>
      </c>
      <c r="M2150" s="2">
        <v>46191</v>
      </c>
      <c r="N2150" t="s">
        <v>639</v>
      </c>
      <c r="O2150" t="s">
        <v>625</v>
      </c>
      <c r="P2150">
        <v>1</v>
      </c>
      <c r="Q2150">
        <v>0</v>
      </c>
      <c r="R2150">
        <v>222.25</v>
      </c>
      <c r="S2150" t="s">
        <v>203</v>
      </c>
      <c r="T2150" t="s">
        <v>778</v>
      </c>
    </row>
    <row r="2151" spans="1:20" x14ac:dyDescent="0.3">
      <c r="A2151">
        <v>2150</v>
      </c>
      <c r="B2151">
        <v>48</v>
      </c>
      <c r="C2151">
        <v>5</v>
      </c>
      <c r="D2151">
        <v>135.32</v>
      </c>
      <c r="E2151">
        <v>13.53</v>
      </c>
      <c r="F2151">
        <v>0</v>
      </c>
      <c r="G2151">
        <v>0.1</v>
      </c>
      <c r="H2151" t="s">
        <v>622</v>
      </c>
      <c r="J2151" t="s">
        <v>623</v>
      </c>
      <c r="K2151" s="1"/>
      <c r="L2151" s="1">
        <v>46191.695694444446</v>
      </c>
      <c r="M2151" s="2">
        <v>46191</v>
      </c>
      <c r="N2151" t="s">
        <v>639</v>
      </c>
      <c r="O2151" t="s">
        <v>625</v>
      </c>
      <c r="P2151">
        <v>1</v>
      </c>
      <c r="Q2151">
        <v>0</v>
      </c>
      <c r="R2151">
        <v>135.32</v>
      </c>
      <c r="S2151" t="s">
        <v>92</v>
      </c>
      <c r="T2151" t="s">
        <v>779</v>
      </c>
    </row>
    <row r="2152" spans="1:20" x14ac:dyDescent="0.3">
      <c r="A2152">
        <v>2151</v>
      </c>
      <c r="B2152">
        <v>246</v>
      </c>
      <c r="C2152">
        <v>4</v>
      </c>
      <c r="D2152">
        <v>30.64</v>
      </c>
      <c r="E2152">
        <v>3.06</v>
      </c>
      <c r="F2152">
        <v>0</v>
      </c>
      <c r="G2152">
        <v>0.1</v>
      </c>
      <c r="H2152" t="s">
        <v>622</v>
      </c>
      <c r="J2152" t="s">
        <v>623</v>
      </c>
      <c r="K2152" s="1"/>
      <c r="L2152" s="1">
        <v>46191.724386574075</v>
      </c>
      <c r="M2152" s="2">
        <v>46191</v>
      </c>
      <c r="N2152" t="s">
        <v>639</v>
      </c>
      <c r="O2152" t="s">
        <v>625</v>
      </c>
      <c r="P2152">
        <v>1</v>
      </c>
      <c r="Q2152">
        <v>0</v>
      </c>
      <c r="R2152">
        <v>30.64</v>
      </c>
      <c r="S2152" t="s">
        <v>487</v>
      </c>
      <c r="T2152" t="s">
        <v>778</v>
      </c>
    </row>
    <row r="2153" spans="1:20" x14ac:dyDescent="0.3">
      <c r="A2153">
        <v>2152</v>
      </c>
      <c r="B2153">
        <v>232</v>
      </c>
      <c r="C2153">
        <v>2</v>
      </c>
      <c r="D2153">
        <v>80</v>
      </c>
      <c r="E2153">
        <v>8</v>
      </c>
      <c r="F2153">
        <v>0</v>
      </c>
      <c r="G2153">
        <v>0.1</v>
      </c>
      <c r="H2153" t="s">
        <v>622</v>
      </c>
      <c r="J2153" t="s">
        <v>623</v>
      </c>
      <c r="K2153" s="1"/>
      <c r="L2153" s="1">
        <v>46192.477951388886</v>
      </c>
      <c r="M2153" s="2">
        <v>46192</v>
      </c>
      <c r="N2153" t="s">
        <v>639</v>
      </c>
      <c r="O2153" t="s">
        <v>625</v>
      </c>
      <c r="P2153">
        <v>1</v>
      </c>
      <c r="Q2153">
        <v>0</v>
      </c>
      <c r="R2153">
        <v>80</v>
      </c>
      <c r="S2153" t="s">
        <v>459</v>
      </c>
      <c r="T2153" t="s">
        <v>776</v>
      </c>
    </row>
    <row r="2154" spans="1:20" x14ac:dyDescent="0.3">
      <c r="A2154">
        <v>2153</v>
      </c>
      <c r="B2154">
        <v>65</v>
      </c>
      <c r="C2154">
        <v>5</v>
      </c>
      <c r="D2154">
        <v>25.52</v>
      </c>
      <c r="E2154">
        <v>2.5499999999999998</v>
      </c>
      <c r="F2154">
        <v>0</v>
      </c>
      <c r="G2154">
        <v>0.1</v>
      </c>
      <c r="H2154" t="s">
        <v>622</v>
      </c>
      <c r="J2154" t="s">
        <v>623</v>
      </c>
      <c r="K2154" s="1"/>
      <c r="L2154" s="1">
        <v>46192.514189814814</v>
      </c>
      <c r="M2154" s="2">
        <v>46192</v>
      </c>
      <c r="N2154" t="s">
        <v>639</v>
      </c>
      <c r="O2154" t="s">
        <v>625</v>
      </c>
      <c r="P2154">
        <v>1</v>
      </c>
      <c r="Q2154">
        <v>0</v>
      </c>
      <c r="R2154">
        <v>25.52</v>
      </c>
      <c r="S2154" t="s">
        <v>126</v>
      </c>
      <c r="T2154" t="s">
        <v>779</v>
      </c>
    </row>
    <row r="2155" spans="1:20" x14ac:dyDescent="0.3">
      <c r="A2155">
        <v>2154</v>
      </c>
      <c r="B2155">
        <v>156</v>
      </c>
      <c r="C2155">
        <v>5</v>
      </c>
      <c r="D2155">
        <v>30.18</v>
      </c>
      <c r="E2155">
        <v>3.02</v>
      </c>
      <c r="F2155">
        <v>0</v>
      </c>
      <c r="G2155">
        <v>0.1</v>
      </c>
      <c r="H2155" t="s">
        <v>622</v>
      </c>
      <c r="J2155" t="s">
        <v>623</v>
      </c>
      <c r="K2155" s="1"/>
      <c r="L2155" s="1">
        <v>46192.656527777777</v>
      </c>
      <c r="M2155" s="2">
        <v>46192</v>
      </c>
      <c r="N2155" t="s">
        <v>639</v>
      </c>
      <c r="O2155" t="s">
        <v>625</v>
      </c>
      <c r="P2155">
        <v>1</v>
      </c>
      <c r="Q2155">
        <v>0</v>
      </c>
      <c r="R2155">
        <v>30.18</v>
      </c>
      <c r="S2155" t="s">
        <v>307</v>
      </c>
      <c r="T2155" t="s">
        <v>779</v>
      </c>
    </row>
    <row r="2156" spans="1:20" x14ac:dyDescent="0.3">
      <c r="A2156">
        <v>2155</v>
      </c>
      <c r="B2156">
        <v>197</v>
      </c>
      <c r="C2156">
        <v>5</v>
      </c>
      <c r="D2156">
        <v>137.22999999999999</v>
      </c>
      <c r="E2156">
        <v>13.72</v>
      </c>
      <c r="F2156">
        <v>0</v>
      </c>
      <c r="G2156">
        <v>0.1</v>
      </c>
      <c r="H2156" t="s">
        <v>622</v>
      </c>
      <c r="J2156" t="s">
        <v>623</v>
      </c>
      <c r="K2156" s="1"/>
      <c r="L2156" s="1">
        <v>46192.688437500001</v>
      </c>
      <c r="M2156" s="2">
        <v>46192</v>
      </c>
      <c r="N2156" t="s">
        <v>639</v>
      </c>
      <c r="O2156" t="s">
        <v>625</v>
      </c>
      <c r="P2156">
        <v>1</v>
      </c>
      <c r="Q2156">
        <v>0</v>
      </c>
      <c r="R2156">
        <v>137.22999999999999</v>
      </c>
      <c r="S2156" t="s">
        <v>389</v>
      </c>
      <c r="T2156" t="s">
        <v>779</v>
      </c>
    </row>
    <row r="2157" spans="1:20" x14ac:dyDescent="0.3">
      <c r="A2157">
        <v>2156</v>
      </c>
      <c r="B2157">
        <v>282</v>
      </c>
      <c r="C2157">
        <v>3</v>
      </c>
      <c r="D2157">
        <v>160.61000000000001</v>
      </c>
      <c r="E2157">
        <v>16.059999999999999</v>
      </c>
      <c r="F2157">
        <v>0</v>
      </c>
      <c r="G2157">
        <v>0.1</v>
      </c>
      <c r="H2157" t="s">
        <v>622</v>
      </c>
      <c r="J2157" t="s">
        <v>623</v>
      </c>
      <c r="K2157" s="1"/>
      <c r="L2157" s="1">
        <v>46193.351412037038</v>
      </c>
      <c r="M2157" s="2">
        <v>46193</v>
      </c>
      <c r="N2157" t="s">
        <v>639</v>
      </c>
      <c r="O2157" t="s">
        <v>625</v>
      </c>
      <c r="P2157">
        <v>1</v>
      </c>
      <c r="Q2157">
        <v>0</v>
      </c>
      <c r="R2157">
        <v>160.61000000000001</v>
      </c>
      <c r="S2157" t="s">
        <v>559</v>
      </c>
      <c r="T2157" t="s">
        <v>777</v>
      </c>
    </row>
    <row r="2158" spans="1:20" x14ac:dyDescent="0.3">
      <c r="A2158">
        <v>2157</v>
      </c>
      <c r="B2158">
        <v>201</v>
      </c>
      <c r="C2158">
        <v>3</v>
      </c>
      <c r="D2158">
        <v>20.64</v>
      </c>
      <c r="E2158">
        <v>2.06</v>
      </c>
      <c r="F2158">
        <v>0</v>
      </c>
      <c r="G2158">
        <v>0.1</v>
      </c>
      <c r="H2158" t="s">
        <v>622</v>
      </c>
      <c r="J2158" t="s">
        <v>623</v>
      </c>
      <c r="K2158" s="1"/>
      <c r="L2158" s="1">
        <v>46193.463877314818</v>
      </c>
      <c r="M2158" s="2">
        <v>46193</v>
      </c>
      <c r="N2158" t="s">
        <v>639</v>
      </c>
      <c r="O2158" t="s">
        <v>625</v>
      </c>
      <c r="P2158">
        <v>1</v>
      </c>
      <c r="Q2158">
        <v>0</v>
      </c>
      <c r="R2158">
        <v>20.64</v>
      </c>
      <c r="S2158" t="s">
        <v>397</v>
      </c>
      <c r="T2158" t="s">
        <v>777</v>
      </c>
    </row>
    <row r="2159" spans="1:20" x14ac:dyDescent="0.3">
      <c r="A2159">
        <v>2158</v>
      </c>
      <c r="B2159">
        <v>107</v>
      </c>
      <c r="C2159">
        <v>4</v>
      </c>
      <c r="D2159">
        <v>38.47</v>
      </c>
      <c r="E2159">
        <v>3.85</v>
      </c>
      <c r="F2159">
        <v>0</v>
      </c>
      <c r="G2159">
        <v>0.1</v>
      </c>
      <c r="H2159" t="s">
        <v>622</v>
      </c>
      <c r="J2159" t="s">
        <v>623</v>
      </c>
      <c r="K2159" s="1"/>
      <c r="L2159" s="1">
        <v>46193.609270833331</v>
      </c>
      <c r="M2159" s="2">
        <v>46193</v>
      </c>
      <c r="N2159" t="s">
        <v>639</v>
      </c>
      <c r="O2159" t="s">
        <v>625</v>
      </c>
      <c r="P2159">
        <v>1</v>
      </c>
      <c r="Q2159">
        <v>0</v>
      </c>
      <c r="R2159">
        <v>38.47</v>
      </c>
      <c r="S2159" t="s">
        <v>209</v>
      </c>
      <c r="T2159" t="s">
        <v>778</v>
      </c>
    </row>
    <row r="2160" spans="1:20" x14ac:dyDescent="0.3">
      <c r="A2160">
        <v>2159</v>
      </c>
      <c r="B2160">
        <v>297</v>
      </c>
      <c r="C2160">
        <v>5</v>
      </c>
      <c r="D2160">
        <v>114.64</v>
      </c>
      <c r="E2160">
        <v>11.46</v>
      </c>
      <c r="F2160">
        <v>0</v>
      </c>
      <c r="G2160">
        <v>0.1</v>
      </c>
      <c r="H2160" t="s">
        <v>622</v>
      </c>
      <c r="J2160" t="s">
        <v>623</v>
      </c>
      <c r="K2160" s="1"/>
      <c r="L2160" s="1">
        <v>46193.649907407409</v>
      </c>
      <c r="M2160" s="2">
        <v>46193</v>
      </c>
      <c r="N2160" t="s">
        <v>639</v>
      </c>
      <c r="O2160" t="s">
        <v>625</v>
      </c>
      <c r="P2160">
        <v>1</v>
      </c>
      <c r="Q2160">
        <v>0</v>
      </c>
      <c r="R2160">
        <v>114.64</v>
      </c>
      <c r="S2160" t="s">
        <v>589</v>
      </c>
      <c r="T2160" t="s">
        <v>779</v>
      </c>
    </row>
    <row r="2161" spans="1:20" x14ac:dyDescent="0.3">
      <c r="A2161">
        <v>2160</v>
      </c>
      <c r="B2161">
        <v>134</v>
      </c>
      <c r="C2161">
        <v>3</v>
      </c>
      <c r="D2161">
        <v>203.85</v>
      </c>
      <c r="E2161">
        <v>20.39</v>
      </c>
      <c r="F2161">
        <v>0</v>
      </c>
      <c r="G2161">
        <v>0.1</v>
      </c>
      <c r="H2161" t="s">
        <v>622</v>
      </c>
      <c r="J2161" t="s">
        <v>623</v>
      </c>
      <c r="K2161" s="1"/>
      <c r="L2161" s="1">
        <v>46193.753125000003</v>
      </c>
      <c r="M2161" s="2">
        <v>46193</v>
      </c>
      <c r="N2161" t="s">
        <v>639</v>
      </c>
      <c r="O2161" t="s">
        <v>625</v>
      </c>
      <c r="P2161">
        <v>1</v>
      </c>
      <c r="Q2161">
        <v>0</v>
      </c>
      <c r="R2161">
        <v>203.85</v>
      </c>
      <c r="S2161" t="s">
        <v>263</v>
      </c>
      <c r="T2161" t="s">
        <v>777</v>
      </c>
    </row>
    <row r="2162" spans="1:20" x14ac:dyDescent="0.3">
      <c r="A2162">
        <v>2161</v>
      </c>
      <c r="B2162">
        <v>261</v>
      </c>
      <c r="C2162">
        <v>5</v>
      </c>
      <c r="D2162">
        <v>93.59</v>
      </c>
      <c r="E2162">
        <v>9.36</v>
      </c>
      <c r="F2162">
        <v>0</v>
      </c>
      <c r="G2162">
        <v>0.1</v>
      </c>
      <c r="H2162" t="s">
        <v>622</v>
      </c>
      <c r="J2162" t="s">
        <v>623</v>
      </c>
      <c r="K2162" s="1"/>
      <c r="L2162" s="1">
        <v>46193.755185185182</v>
      </c>
      <c r="M2162" s="2">
        <v>46193</v>
      </c>
      <c r="N2162" t="s">
        <v>639</v>
      </c>
      <c r="O2162" t="s">
        <v>625</v>
      </c>
      <c r="P2162">
        <v>1</v>
      </c>
      <c r="Q2162">
        <v>0</v>
      </c>
      <c r="R2162">
        <v>93.59</v>
      </c>
      <c r="S2162" t="s">
        <v>517</v>
      </c>
      <c r="T2162" t="s">
        <v>779</v>
      </c>
    </row>
    <row r="2163" spans="1:20" x14ac:dyDescent="0.3">
      <c r="A2163">
        <v>2162</v>
      </c>
      <c r="B2163">
        <v>134</v>
      </c>
      <c r="C2163">
        <v>3</v>
      </c>
      <c r="D2163">
        <v>64.45</v>
      </c>
      <c r="E2163">
        <v>0</v>
      </c>
      <c r="F2163">
        <v>1</v>
      </c>
      <c r="G2163">
        <v>0.1</v>
      </c>
      <c r="H2163" t="s">
        <v>622</v>
      </c>
      <c r="J2163" t="s">
        <v>623</v>
      </c>
      <c r="K2163" s="1"/>
      <c r="L2163" s="1">
        <v>46193.770532407405</v>
      </c>
      <c r="M2163" s="2">
        <v>46193</v>
      </c>
      <c r="N2163" t="s">
        <v>639</v>
      </c>
      <c r="O2163" t="s">
        <v>629</v>
      </c>
      <c r="P2163">
        <v>1</v>
      </c>
      <c r="Q2163">
        <v>0</v>
      </c>
      <c r="R2163">
        <v>64.45</v>
      </c>
      <c r="S2163" t="s">
        <v>263</v>
      </c>
      <c r="T2163" t="s">
        <v>777</v>
      </c>
    </row>
    <row r="2164" spans="1:20" x14ac:dyDescent="0.3">
      <c r="A2164">
        <v>2163</v>
      </c>
      <c r="B2164">
        <v>62</v>
      </c>
      <c r="C2164">
        <v>2</v>
      </c>
      <c r="D2164">
        <v>24.19</v>
      </c>
      <c r="E2164">
        <v>2.42</v>
      </c>
      <c r="F2164">
        <v>0</v>
      </c>
      <c r="G2164">
        <v>0.1</v>
      </c>
      <c r="H2164" t="s">
        <v>622</v>
      </c>
      <c r="J2164" t="s">
        <v>623</v>
      </c>
      <c r="K2164" s="1"/>
      <c r="L2164" s="1">
        <v>46194.412453703706</v>
      </c>
      <c r="M2164" s="2">
        <v>46194</v>
      </c>
      <c r="N2164" t="s">
        <v>639</v>
      </c>
      <c r="O2164" t="s">
        <v>625</v>
      </c>
      <c r="P2164">
        <v>1</v>
      </c>
      <c r="Q2164">
        <v>0</v>
      </c>
      <c r="R2164">
        <v>24.19</v>
      </c>
      <c r="S2164" t="s">
        <v>120</v>
      </c>
      <c r="T2164" t="s">
        <v>776</v>
      </c>
    </row>
    <row r="2165" spans="1:20" x14ac:dyDescent="0.3">
      <c r="A2165">
        <v>2164</v>
      </c>
      <c r="B2165">
        <v>134</v>
      </c>
      <c r="C2165">
        <v>4</v>
      </c>
      <c r="D2165">
        <v>108.76</v>
      </c>
      <c r="E2165">
        <v>10.88</v>
      </c>
      <c r="F2165">
        <v>0</v>
      </c>
      <c r="G2165">
        <v>0.1</v>
      </c>
      <c r="H2165" t="s">
        <v>622</v>
      </c>
      <c r="J2165" t="s">
        <v>623</v>
      </c>
      <c r="K2165" s="1"/>
      <c r="L2165" s="1">
        <v>46194.565833333334</v>
      </c>
      <c r="M2165" s="2">
        <v>46194</v>
      </c>
      <c r="N2165" t="s">
        <v>639</v>
      </c>
      <c r="O2165" t="s">
        <v>625</v>
      </c>
      <c r="P2165">
        <v>1</v>
      </c>
      <c r="Q2165">
        <v>0</v>
      </c>
      <c r="R2165">
        <v>108.76</v>
      </c>
      <c r="S2165" t="s">
        <v>263</v>
      </c>
      <c r="T2165" t="s">
        <v>778</v>
      </c>
    </row>
    <row r="2166" spans="1:20" x14ac:dyDescent="0.3">
      <c r="A2166">
        <v>2165</v>
      </c>
      <c r="B2166">
        <v>86</v>
      </c>
      <c r="C2166">
        <v>5</v>
      </c>
      <c r="D2166">
        <v>34.619999999999997</v>
      </c>
      <c r="E2166">
        <v>3.46</v>
      </c>
      <c r="F2166">
        <v>0</v>
      </c>
      <c r="G2166">
        <v>0.1</v>
      </c>
      <c r="H2166" t="s">
        <v>622</v>
      </c>
      <c r="J2166" t="s">
        <v>623</v>
      </c>
      <c r="K2166" s="1"/>
      <c r="L2166" s="1">
        <v>46195.360555555555</v>
      </c>
      <c r="M2166" s="2">
        <v>46195</v>
      </c>
      <c r="N2166" t="s">
        <v>639</v>
      </c>
      <c r="O2166" t="s">
        <v>625</v>
      </c>
      <c r="P2166">
        <v>1</v>
      </c>
      <c r="Q2166">
        <v>0</v>
      </c>
      <c r="R2166">
        <v>34.619999999999997</v>
      </c>
      <c r="S2166" t="s">
        <v>167</v>
      </c>
      <c r="T2166" t="s">
        <v>779</v>
      </c>
    </row>
    <row r="2167" spans="1:20" x14ac:dyDescent="0.3">
      <c r="A2167">
        <v>2166</v>
      </c>
      <c r="B2167">
        <v>128</v>
      </c>
      <c r="C2167">
        <v>2</v>
      </c>
      <c r="D2167">
        <v>22.09</v>
      </c>
      <c r="E2167">
        <v>2.21</v>
      </c>
      <c r="F2167">
        <v>0</v>
      </c>
      <c r="G2167">
        <v>0.1</v>
      </c>
      <c r="H2167" t="s">
        <v>622</v>
      </c>
      <c r="J2167" t="s">
        <v>623</v>
      </c>
      <c r="K2167" s="1"/>
      <c r="L2167" s="1">
        <v>46195.412662037037</v>
      </c>
      <c r="M2167" s="2">
        <v>46195</v>
      </c>
      <c r="N2167" t="s">
        <v>639</v>
      </c>
      <c r="O2167" t="s">
        <v>625</v>
      </c>
      <c r="P2167">
        <v>1</v>
      </c>
      <c r="Q2167">
        <v>0</v>
      </c>
      <c r="R2167">
        <v>22.09</v>
      </c>
      <c r="S2167" t="s">
        <v>251</v>
      </c>
      <c r="T2167" t="s">
        <v>776</v>
      </c>
    </row>
    <row r="2168" spans="1:20" x14ac:dyDescent="0.3">
      <c r="A2168">
        <v>2167</v>
      </c>
      <c r="B2168">
        <v>210</v>
      </c>
      <c r="C2168">
        <v>4</v>
      </c>
      <c r="D2168">
        <v>29.35</v>
      </c>
      <c r="E2168">
        <v>2.94</v>
      </c>
      <c r="F2168">
        <v>0</v>
      </c>
      <c r="G2168">
        <v>0.1</v>
      </c>
      <c r="H2168" t="s">
        <v>622</v>
      </c>
      <c r="J2168" t="s">
        <v>623</v>
      </c>
      <c r="K2168" s="1"/>
      <c r="L2168" s="1">
        <v>46195.419629629629</v>
      </c>
      <c r="M2168" s="2">
        <v>46195</v>
      </c>
      <c r="N2168" t="s">
        <v>639</v>
      </c>
      <c r="O2168" t="s">
        <v>625</v>
      </c>
      <c r="P2168">
        <v>1</v>
      </c>
      <c r="Q2168">
        <v>0</v>
      </c>
      <c r="R2168">
        <v>29.35</v>
      </c>
      <c r="S2168" t="s">
        <v>415</v>
      </c>
      <c r="T2168" t="s">
        <v>778</v>
      </c>
    </row>
    <row r="2169" spans="1:20" x14ac:dyDescent="0.3">
      <c r="A2169">
        <v>2168</v>
      </c>
      <c r="B2169">
        <v>61</v>
      </c>
      <c r="C2169">
        <v>5</v>
      </c>
      <c r="D2169">
        <v>83.62</v>
      </c>
      <c r="E2169">
        <v>8.36</v>
      </c>
      <c r="F2169">
        <v>0</v>
      </c>
      <c r="G2169">
        <v>0.1</v>
      </c>
      <c r="H2169" t="s">
        <v>622</v>
      </c>
      <c r="J2169" t="s">
        <v>623</v>
      </c>
      <c r="K2169" s="1"/>
      <c r="L2169" s="1">
        <v>46195.487743055557</v>
      </c>
      <c r="M2169" s="2">
        <v>46195</v>
      </c>
      <c r="N2169" t="s">
        <v>639</v>
      </c>
      <c r="O2169" t="s">
        <v>625</v>
      </c>
      <c r="P2169">
        <v>1</v>
      </c>
      <c r="Q2169">
        <v>0</v>
      </c>
      <c r="R2169">
        <v>83.62</v>
      </c>
      <c r="S2169" t="s">
        <v>118</v>
      </c>
      <c r="T2169" t="s">
        <v>779</v>
      </c>
    </row>
    <row r="2170" spans="1:20" x14ac:dyDescent="0.3">
      <c r="A2170">
        <v>2169</v>
      </c>
      <c r="B2170">
        <v>263</v>
      </c>
      <c r="C2170">
        <v>4</v>
      </c>
      <c r="D2170">
        <v>22.53</v>
      </c>
      <c r="E2170">
        <v>2.25</v>
      </c>
      <c r="F2170">
        <v>0</v>
      </c>
      <c r="G2170">
        <v>0.1</v>
      </c>
      <c r="H2170" t="s">
        <v>622</v>
      </c>
      <c r="J2170" t="s">
        <v>623</v>
      </c>
      <c r="K2170" s="1"/>
      <c r="L2170" s="1">
        <v>46195.637685185182</v>
      </c>
      <c r="M2170" s="2">
        <v>46195</v>
      </c>
      <c r="N2170" t="s">
        <v>639</v>
      </c>
      <c r="O2170" t="s">
        <v>625</v>
      </c>
      <c r="P2170">
        <v>1</v>
      </c>
      <c r="Q2170">
        <v>0</v>
      </c>
      <c r="R2170">
        <v>22.53</v>
      </c>
      <c r="S2170" t="s">
        <v>521</v>
      </c>
      <c r="T2170" t="s">
        <v>778</v>
      </c>
    </row>
    <row r="2171" spans="1:20" x14ac:dyDescent="0.3">
      <c r="A2171">
        <v>2170</v>
      </c>
      <c r="B2171">
        <v>146</v>
      </c>
      <c r="C2171">
        <v>5</v>
      </c>
      <c r="D2171">
        <v>29.27</v>
      </c>
      <c r="E2171">
        <v>2.93</v>
      </c>
      <c r="F2171">
        <v>0</v>
      </c>
      <c r="G2171">
        <v>0.1</v>
      </c>
      <c r="H2171" t="s">
        <v>622</v>
      </c>
      <c r="J2171" t="s">
        <v>623</v>
      </c>
      <c r="K2171" s="1"/>
      <c r="L2171" s="1">
        <v>46195.680046296293</v>
      </c>
      <c r="M2171" s="2">
        <v>46195</v>
      </c>
      <c r="N2171" t="s">
        <v>639</v>
      </c>
      <c r="O2171" t="s">
        <v>625</v>
      </c>
      <c r="P2171">
        <v>1</v>
      </c>
      <c r="Q2171">
        <v>0</v>
      </c>
      <c r="R2171">
        <v>29.27</v>
      </c>
      <c r="S2171" t="s">
        <v>287</v>
      </c>
      <c r="T2171" t="s">
        <v>779</v>
      </c>
    </row>
    <row r="2172" spans="1:20" x14ac:dyDescent="0.3">
      <c r="A2172">
        <v>2171</v>
      </c>
      <c r="B2172">
        <v>87</v>
      </c>
      <c r="C2172">
        <v>3</v>
      </c>
      <c r="D2172">
        <v>100.35</v>
      </c>
      <c r="E2172">
        <v>10.039999999999999</v>
      </c>
      <c r="F2172">
        <v>0</v>
      </c>
      <c r="G2172">
        <v>0.1</v>
      </c>
      <c r="H2172" t="s">
        <v>622</v>
      </c>
      <c r="J2172" t="s">
        <v>623</v>
      </c>
      <c r="K2172" s="1"/>
      <c r="L2172" s="1">
        <v>46196.384548611109</v>
      </c>
      <c r="M2172" s="2">
        <v>46196</v>
      </c>
      <c r="N2172" t="s">
        <v>639</v>
      </c>
      <c r="O2172" t="s">
        <v>625</v>
      </c>
      <c r="P2172">
        <v>1</v>
      </c>
      <c r="Q2172">
        <v>0</v>
      </c>
      <c r="R2172">
        <v>100.35</v>
      </c>
      <c r="S2172" t="s">
        <v>169</v>
      </c>
      <c r="T2172" t="s">
        <v>777</v>
      </c>
    </row>
    <row r="2173" spans="1:20" x14ac:dyDescent="0.3">
      <c r="A2173">
        <v>2172</v>
      </c>
      <c r="B2173">
        <v>255</v>
      </c>
      <c r="C2173">
        <v>4</v>
      </c>
      <c r="D2173">
        <v>38.700000000000003</v>
      </c>
      <c r="E2173">
        <v>3.87</v>
      </c>
      <c r="F2173">
        <v>0</v>
      </c>
      <c r="G2173">
        <v>0.1</v>
      </c>
      <c r="H2173" t="s">
        <v>622</v>
      </c>
      <c r="J2173" t="s">
        <v>623</v>
      </c>
      <c r="K2173" s="1"/>
      <c r="L2173" s="1">
        <v>46196.41815972222</v>
      </c>
      <c r="M2173" s="2">
        <v>46196</v>
      </c>
      <c r="N2173" t="s">
        <v>639</v>
      </c>
      <c r="O2173" t="s">
        <v>625</v>
      </c>
      <c r="P2173">
        <v>1</v>
      </c>
      <c r="Q2173">
        <v>0</v>
      </c>
      <c r="R2173">
        <v>38.700000000000003</v>
      </c>
      <c r="S2173" t="s">
        <v>505</v>
      </c>
      <c r="T2173" t="s">
        <v>778</v>
      </c>
    </row>
    <row r="2174" spans="1:20" x14ac:dyDescent="0.3">
      <c r="A2174">
        <v>2173</v>
      </c>
      <c r="B2174">
        <v>134</v>
      </c>
      <c r="C2174">
        <v>2</v>
      </c>
      <c r="D2174">
        <v>86.59</v>
      </c>
      <c r="E2174">
        <v>8.66</v>
      </c>
      <c r="F2174">
        <v>0</v>
      </c>
      <c r="G2174">
        <v>0.1</v>
      </c>
      <c r="H2174" t="s">
        <v>622</v>
      </c>
      <c r="J2174" t="s">
        <v>623</v>
      </c>
      <c r="K2174" s="1"/>
      <c r="L2174" s="1">
        <v>46196.42386574074</v>
      </c>
      <c r="M2174" s="2">
        <v>46196</v>
      </c>
      <c r="N2174" t="s">
        <v>639</v>
      </c>
      <c r="O2174" t="s">
        <v>625</v>
      </c>
      <c r="P2174">
        <v>1</v>
      </c>
      <c r="Q2174">
        <v>0</v>
      </c>
      <c r="R2174">
        <v>86.59</v>
      </c>
      <c r="S2174" t="s">
        <v>263</v>
      </c>
      <c r="T2174" t="s">
        <v>776</v>
      </c>
    </row>
    <row r="2175" spans="1:20" x14ac:dyDescent="0.3">
      <c r="A2175">
        <v>2174</v>
      </c>
      <c r="B2175">
        <v>106</v>
      </c>
      <c r="C2175">
        <v>4</v>
      </c>
      <c r="D2175">
        <v>72.83</v>
      </c>
      <c r="E2175">
        <v>7.28</v>
      </c>
      <c r="F2175">
        <v>0</v>
      </c>
      <c r="G2175">
        <v>0.1</v>
      </c>
      <c r="H2175" t="s">
        <v>622</v>
      </c>
      <c r="J2175" t="s">
        <v>623</v>
      </c>
      <c r="K2175" s="1"/>
      <c r="L2175" s="1">
        <v>46196.45076388889</v>
      </c>
      <c r="M2175" s="2">
        <v>46196</v>
      </c>
      <c r="N2175" t="s">
        <v>639</v>
      </c>
      <c r="O2175" t="s">
        <v>625</v>
      </c>
      <c r="P2175">
        <v>1</v>
      </c>
      <c r="Q2175">
        <v>0</v>
      </c>
      <c r="R2175">
        <v>72.83</v>
      </c>
      <c r="S2175" t="s">
        <v>207</v>
      </c>
      <c r="T2175" t="s">
        <v>778</v>
      </c>
    </row>
    <row r="2176" spans="1:20" x14ac:dyDescent="0.3">
      <c r="A2176">
        <v>2175</v>
      </c>
      <c r="B2176">
        <v>243</v>
      </c>
      <c r="C2176">
        <v>3</v>
      </c>
      <c r="D2176">
        <v>24.99</v>
      </c>
      <c r="E2176">
        <v>2.5</v>
      </c>
      <c r="F2176">
        <v>0</v>
      </c>
      <c r="G2176">
        <v>0.1</v>
      </c>
      <c r="H2176" t="s">
        <v>622</v>
      </c>
      <c r="J2176" t="s">
        <v>623</v>
      </c>
      <c r="K2176" s="1"/>
      <c r="L2176" s="1">
        <v>46196.484247685185</v>
      </c>
      <c r="M2176" s="2">
        <v>46196</v>
      </c>
      <c r="N2176" t="s">
        <v>639</v>
      </c>
      <c r="O2176" t="s">
        <v>625</v>
      </c>
      <c r="P2176">
        <v>1</v>
      </c>
      <c r="Q2176">
        <v>0</v>
      </c>
      <c r="R2176">
        <v>24.99</v>
      </c>
      <c r="S2176" t="s">
        <v>481</v>
      </c>
      <c r="T2176" t="s">
        <v>777</v>
      </c>
    </row>
    <row r="2177" spans="1:20" x14ac:dyDescent="0.3">
      <c r="A2177">
        <v>2176</v>
      </c>
      <c r="B2177">
        <v>128</v>
      </c>
      <c r="C2177">
        <v>3</v>
      </c>
      <c r="D2177">
        <v>19.02</v>
      </c>
      <c r="E2177">
        <v>1.9</v>
      </c>
      <c r="F2177">
        <v>0</v>
      </c>
      <c r="G2177">
        <v>0.1</v>
      </c>
      <c r="H2177" t="s">
        <v>622</v>
      </c>
      <c r="J2177" t="s">
        <v>623</v>
      </c>
      <c r="K2177" s="1"/>
      <c r="L2177" s="1">
        <v>46196.485625000001</v>
      </c>
      <c r="M2177" s="2">
        <v>46196</v>
      </c>
      <c r="N2177" t="s">
        <v>639</v>
      </c>
      <c r="O2177" t="s">
        <v>625</v>
      </c>
      <c r="P2177">
        <v>1</v>
      </c>
      <c r="Q2177">
        <v>0</v>
      </c>
      <c r="R2177">
        <v>19.02</v>
      </c>
      <c r="S2177" t="s">
        <v>251</v>
      </c>
      <c r="T2177" t="s">
        <v>777</v>
      </c>
    </row>
    <row r="2178" spans="1:20" x14ac:dyDescent="0.3">
      <c r="A2178">
        <v>2177</v>
      </c>
      <c r="B2178">
        <v>200</v>
      </c>
      <c r="C2178">
        <v>3</v>
      </c>
      <c r="D2178">
        <v>31.73</v>
      </c>
      <c r="E2178">
        <v>3.17</v>
      </c>
      <c r="F2178">
        <v>0</v>
      </c>
      <c r="G2178">
        <v>0.1</v>
      </c>
      <c r="H2178" t="s">
        <v>622</v>
      </c>
      <c r="J2178" t="s">
        <v>623</v>
      </c>
      <c r="K2178" s="1"/>
      <c r="L2178" s="1">
        <v>46196.563657407409</v>
      </c>
      <c r="M2178" s="2">
        <v>46196</v>
      </c>
      <c r="N2178" t="s">
        <v>639</v>
      </c>
      <c r="O2178" t="s">
        <v>625</v>
      </c>
      <c r="P2178">
        <v>1</v>
      </c>
      <c r="Q2178">
        <v>0</v>
      </c>
      <c r="R2178">
        <v>31.73</v>
      </c>
      <c r="S2178" t="s">
        <v>395</v>
      </c>
      <c r="T2178" t="s">
        <v>777</v>
      </c>
    </row>
    <row r="2179" spans="1:20" x14ac:dyDescent="0.3">
      <c r="A2179">
        <v>2178</v>
      </c>
      <c r="B2179">
        <v>278</v>
      </c>
      <c r="C2179">
        <v>3</v>
      </c>
      <c r="D2179">
        <v>181.58</v>
      </c>
      <c r="E2179">
        <v>18.16</v>
      </c>
      <c r="F2179">
        <v>0</v>
      </c>
      <c r="G2179">
        <v>0.1</v>
      </c>
      <c r="H2179" t="s">
        <v>622</v>
      </c>
      <c r="J2179" t="s">
        <v>623</v>
      </c>
      <c r="K2179" s="1"/>
      <c r="L2179" s="1">
        <v>46196.646574074075</v>
      </c>
      <c r="M2179" s="2">
        <v>46196</v>
      </c>
      <c r="N2179" t="s">
        <v>639</v>
      </c>
      <c r="O2179" t="s">
        <v>625</v>
      </c>
      <c r="P2179">
        <v>1</v>
      </c>
      <c r="Q2179">
        <v>0</v>
      </c>
      <c r="R2179">
        <v>181.58</v>
      </c>
      <c r="S2179" t="s">
        <v>551</v>
      </c>
      <c r="T2179" t="s">
        <v>777</v>
      </c>
    </row>
    <row r="2180" spans="1:20" x14ac:dyDescent="0.3">
      <c r="A2180">
        <v>2179</v>
      </c>
      <c r="B2180">
        <v>278</v>
      </c>
      <c r="C2180">
        <v>2</v>
      </c>
      <c r="D2180">
        <v>106.63</v>
      </c>
      <c r="E2180">
        <v>10.66</v>
      </c>
      <c r="F2180">
        <v>0</v>
      </c>
      <c r="G2180">
        <v>0.1</v>
      </c>
      <c r="H2180" t="s">
        <v>622</v>
      </c>
      <c r="J2180" t="s">
        <v>623</v>
      </c>
      <c r="K2180" s="1"/>
      <c r="L2180" s="1">
        <v>46197.309548611112</v>
      </c>
      <c r="M2180" s="2">
        <v>46197</v>
      </c>
      <c r="N2180" t="s">
        <v>639</v>
      </c>
      <c r="O2180" t="s">
        <v>625</v>
      </c>
      <c r="P2180">
        <v>1</v>
      </c>
      <c r="Q2180">
        <v>0</v>
      </c>
      <c r="R2180">
        <v>106.63</v>
      </c>
      <c r="S2180" t="s">
        <v>551</v>
      </c>
      <c r="T2180" t="s">
        <v>776</v>
      </c>
    </row>
    <row r="2181" spans="1:20" x14ac:dyDescent="0.3">
      <c r="A2181">
        <v>2180</v>
      </c>
      <c r="B2181">
        <v>96</v>
      </c>
      <c r="C2181">
        <v>2</v>
      </c>
      <c r="D2181">
        <v>126.49</v>
      </c>
      <c r="E2181">
        <v>12.65</v>
      </c>
      <c r="F2181">
        <v>0</v>
      </c>
      <c r="G2181">
        <v>0.1</v>
      </c>
      <c r="H2181" t="s">
        <v>622</v>
      </c>
      <c r="J2181" t="s">
        <v>623</v>
      </c>
      <c r="K2181" s="1"/>
      <c r="L2181" s="1">
        <v>46197.608726851853</v>
      </c>
      <c r="M2181" s="2">
        <v>46197</v>
      </c>
      <c r="N2181" t="s">
        <v>639</v>
      </c>
      <c r="O2181" t="s">
        <v>625</v>
      </c>
      <c r="P2181">
        <v>1</v>
      </c>
      <c r="Q2181">
        <v>0</v>
      </c>
      <c r="R2181">
        <v>126.49</v>
      </c>
      <c r="S2181" t="s">
        <v>187</v>
      </c>
      <c r="T2181" t="s">
        <v>776</v>
      </c>
    </row>
    <row r="2182" spans="1:20" x14ac:dyDescent="0.3">
      <c r="A2182">
        <v>2181</v>
      </c>
      <c r="B2182">
        <v>41</v>
      </c>
      <c r="C2182">
        <v>4</v>
      </c>
      <c r="D2182">
        <v>185.78</v>
      </c>
      <c r="E2182">
        <v>18.579999999999998</v>
      </c>
      <c r="F2182">
        <v>0</v>
      </c>
      <c r="G2182">
        <v>0.1</v>
      </c>
      <c r="H2182" t="s">
        <v>622</v>
      </c>
      <c r="J2182" t="s">
        <v>623</v>
      </c>
      <c r="K2182" s="1"/>
      <c r="L2182" s="1">
        <v>46197.685891203706</v>
      </c>
      <c r="M2182" s="2">
        <v>46197</v>
      </c>
      <c r="N2182" t="s">
        <v>639</v>
      </c>
      <c r="O2182" t="s">
        <v>625</v>
      </c>
      <c r="P2182">
        <v>1</v>
      </c>
      <c r="Q2182">
        <v>0</v>
      </c>
      <c r="R2182">
        <v>185.78</v>
      </c>
      <c r="S2182" t="s">
        <v>78</v>
      </c>
      <c r="T2182" t="s">
        <v>778</v>
      </c>
    </row>
    <row r="2183" spans="1:20" x14ac:dyDescent="0.3">
      <c r="A2183">
        <v>2182</v>
      </c>
      <c r="B2183">
        <v>101</v>
      </c>
      <c r="C2183">
        <v>2</v>
      </c>
      <c r="D2183">
        <v>47.23</v>
      </c>
      <c r="E2183">
        <v>4.72</v>
      </c>
      <c r="F2183">
        <v>0</v>
      </c>
      <c r="G2183">
        <v>0.1</v>
      </c>
      <c r="H2183" t="s">
        <v>622</v>
      </c>
      <c r="J2183" t="s">
        <v>623</v>
      </c>
      <c r="K2183" s="1"/>
      <c r="L2183" s="1">
        <v>46198.310347222221</v>
      </c>
      <c r="M2183" s="2">
        <v>46198</v>
      </c>
      <c r="N2183" t="s">
        <v>639</v>
      </c>
      <c r="O2183" t="s">
        <v>625</v>
      </c>
      <c r="P2183">
        <v>1</v>
      </c>
      <c r="Q2183">
        <v>0</v>
      </c>
      <c r="R2183">
        <v>47.23</v>
      </c>
      <c r="S2183" t="s">
        <v>197</v>
      </c>
      <c r="T2183" t="s">
        <v>776</v>
      </c>
    </row>
    <row r="2184" spans="1:20" x14ac:dyDescent="0.3">
      <c r="A2184">
        <v>2183</v>
      </c>
      <c r="B2184">
        <v>304</v>
      </c>
      <c r="C2184">
        <v>5</v>
      </c>
      <c r="D2184">
        <v>19.059999999999999</v>
      </c>
      <c r="E2184">
        <v>1.91</v>
      </c>
      <c r="F2184">
        <v>0</v>
      </c>
      <c r="G2184">
        <v>0.1</v>
      </c>
      <c r="H2184" t="s">
        <v>622</v>
      </c>
      <c r="J2184" t="s">
        <v>623</v>
      </c>
      <c r="K2184" s="1"/>
      <c r="L2184" s="1">
        <v>46198.399953703702</v>
      </c>
      <c r="M2184" s="2">
        <v>46198</v>
      </c>
      <c r="N2184" t="s">
        <v>639</v>
      </c>
      <c r="O2184" t="s">
        <v>625</v>
      </c>
      <c r="P2184">
        <v>1</v>
      </c>
      <c r="Q2184">
        <v>0</v>
      </c>
      <c r="R2184">
        <v>19.059999999999999</v>
      </c>
      <c r="S2184" t="s">
        <v>603</v>
      </c>
      <c r="T2184" t="s">
        <v>779</v>
      </c>
    </row>
    <row r="2185" spans="1:20" x14ac:dyDescent="0.3">
      <c r="A2185">
        <v>2184</v>
      </c>
      <c r="B2185">
        <v>245</v>
      </c>
      <c r="C2185">
        <v>5</v>
      </c>
      <c r="D2185">
        <v>33.79</v>
      </c>
      <c r="E2185">
        <v>3.38</v>
      </c>
      <c r="F2185">
        <v>0</v>
      </c>
      <c r="G2185">
        <v>0.1</v>
      </c>
      <c r="H2185" t="s">
        <v>622</v>
      </c>
      <c r="J2185" t="s">
        <v>623</v>
      </c>
      <c r="K2185" s="1"/>
      <c r="L2185" s="1">
        <v>46198.432488425926</v>
      </c>
      <c r="M2185" s="2">
        <v>46198</v>
      </c>
      <c r="N2185" t="s">
        <v>639</v>
      </c>
      <c r="O2185" t="s">
        <v>625</v>
      </c>
      <c r="P2185">
        <v>1</v>
      </c>
      <c r="Q2185">
        <v>0</v>
      </c>
      <c r="R2185">
        <v>33.79</v>
      </c>
      <c r="S2185" t="s">
        <v>485</v>
      </c>
      <c r="T2185" t="s">
        <v>779</v>
      </c>
    </row>
    <row r="2186" spans="1:20" x14ac:dyDescent="0.3">
      <c r="A2186">
        <v>2185</v>
      </c>
      <c r="B2186">
        <v>126</v>
      </c>
      <c r="C2186">
        <v>4</v>
      </c>
      <c r="D2186">
        <v>114.97</v>
      </c>
      <c r="E2186">
        <v>11.5</v>
      </c>
      <c r="F2186">
        <v>0</v>
      </c>
      <c r="G2186">
        <v>0.1</v>
      </c>
      <c r="H2186" t="s">
        <v>622</v>
      </c>
      <c r="J2186" t="s">
        <v>623</v>
      </c>
      <c r="K2186" s="1"/>
      <c r="L2186" s="1">
        <v>46198.439131944448</v>
      </c>
      <c r="M2186" s="2">
        <v>46198</v>
      </c>
      <c r="N2186" t="s">
        <v>639</v>
      </c>
      <c r="O2186" t="s">
        <v>625</v>
      </c>
      <c r="P2186">
        <v>1</v>
      </c>
      <c r="Q2186">
        <v>0</v>
      </c>
      <c r="R2186">
        <v>114.97</v>
      </c>
      <c r="S2186" t="s">
        <v>247</v>
      </c>
      <c r="T2186" t="s">
        <v>778</v>
      </c>
    </row>
    <row r="2187" spans="1:20" x14ac:dyDescent="0.3">
      <c r="A2187">
        <v>2186</v>
      </c>
      <c r="B2187">
        <v>65</v>
      </c>
      <c r="C2187">
        <v>2</v>
      </c>
      <c r="D2187">
        <v>23.24</v>
      </c>
      <c r="E2187">
        <v>2.3199999999999998</v>
      </c>
      <c r="F2187">
        <v>0</v>
      </c>
      <c r="G2187">
        <v>0.1</v>
      </c>
      <c r="H2187" t="s">
        <v>622</v>
      </c>
      <c r="J2187" t="s">
        <v>623</v>
      </c>
      <c r="K2187" s="1"/>
      <c r="L2187" s="1">
        <v>46198.472604166665</v>
      </c>
      <c r="M2187" s="2">
        <v>46198</v>
      </c>
      <c r="N2187" t="s">
        <v>639</v>
      </c>
      <c r="O2187" t="s">
        <v>625</v>
      </c>
      <c r="P2187">
        <v>1</v>
      </c>
      <c r="Q2187">
        <v>0</v>
      </c>
      <c r="R2187">
        <v>23.24</v>
      </c>
      <c r="S2187" t="s">
        <v>126</v>
      </c>
      <c r="T2187" t="s">
        <v>776</v>
      </c>
    </row>
    <row r="2188" spans="1:20" x14ac:dyDescent="0.3">
      <c r="A2188">
        <v>2187</v>
      </c>
      <c r="B2188">
        <v>183</v>
      </c>
      <c r="C2188">
        <v>5</v>
      </c>
      <c r="D2188">
        <v>124.78</v>
      </c>
      <c r="E2188">
        <v>12.48</v>
      </c>
      <c r="F2188">
        <v>0</v>
      </c>
      <c r="G2188">
        <v>0.1</v>
      </c>
      <c r="H2188" t="s">
        <v>622</v>
      </c>
      <c r="J2188" t="s">
        <v>623</v>
      </c>
      <c r="K2188" s="1"/>
      <c r="L2188" s="1">
        <v>46198.529664351852</v>
      </c>
      <c r="M2188" s="2">
        <v>46198</v>
      </c>
      <c r="N2188" t="s">
        <v>639</v>
      </c>
      <c r="O2188" t="s">
        <v>625</v>
      </c>
      <c r="P2188">
        <v>1</v>
      </c>
      <c r="Q2188">
        <v>0</v>
      </c>
      <c r="R2188">
        <v>124.78</v>
      </c>
      <c r="S2188" t="s">
        <v>361</v>
      </c>
      <c r="T2188" t="s">
        <v>779</v>
      </c>
    </row>
    <row r="2189" spans="1:20" x14ac:dyDescent="0.3">
      <c r="A2189">
        <v>2188</v>
      </c>
      <c r="B2189">
        <v>125</v>
      </c>
      <c r="C2189">
        <v>2</v>
      </c>
      <c r="D2189">
        <v>41.04</v>
      </c>
      <c r="E2189">
        <v>4.0999999999999996</v>
      </c>
      <c r="F2189">
        <v>0</v>
      </c>
      <c r="G2189">
        <v>0.1</v>
      </c>
      <c r="H2189" t="s">
        <v>622</v>
      </c>
      <c r="J2189" t="s">
        <v>623</v>
      </c>
      <c r="K2189" s="1"/>
      <c r="L2189" s="1">
        <v>46198.602743055555</v>
      </c>
      <c r="M2189" s="2">
        <v>46198</v>
      </c>
      <c r="N2189" t="s">
        <v>639</v>
      </c>
      <c r="O2189" t="s">
        <v>625</v>
      </c>
      <c r="P2189">
        <v>1</v>
      </c>
      <c r="Q2189">
        <v>0</v>
      </c>
      <c r="R2189">
        <v>41.04</v>
      </c>
      <c r="S2189" t="s">
        <v>245</v>
      </c>
      <c r="T2189" t="s">
        <v>776</v>
      </c>
    </row>
    <row r="2190" spans="1:20" x14ac:dyDescent="0.3">
      <c r="A2190">
        <v>2189</v>
      </c>
      <c r="B2190">
        <v>134</v>
      </c>
      <c r="C2190">
        <v>4</v>
      </c>
      <c r="D2190">
        <v>220</v>
      </c>
      <c r="E2190">
        <v>22</v>
      </c>
      <c r="F2190">
        <v>0</v>
      </c>
      <c r="G2190">
        <v>0.1</v>
      </c>
      <c r="H2190" t="s">
        <v>622</v>
      </c>
      <c r="J2190" t="s">
        <v>623</v>
      </c>
      <c r="K2190" s="1"/>
      <c r="L2190" s="1">
        <v>46198.658703703702</v>
      </c>
      <c r="M2190" s="2">
        <v>46198</v>
      </c>
      <c r="N2190" t="s">
        <v>639</v>
      </c>
      <c r="O2190" t="s">
        <v>625</v>
      </c>
      <c r="P2190">
        <v>1</v>
      </c>
      <c r="Q2190">
        <v>0</v>
      </c>
      <c r="R2190">
        <v>220</v>
      </c>
      <c r="S2190" t="s">
        <v>263</v>
      </c>
      <c r="T2190" t="s">
        <v>778</v>
      </c>
    </row>
    <row r="2191" spans="1:20" x14ac:dyDescent="0.3">
      <c r="A2191">
        <v>2190</v>
      </c>
      <c r="B2191">
        <v>141</v>
      </c>
      <c r="C2191">
        <v>5</v>
      </c>
      <c r="D2191">
        <v>77.78</v>
      </c>
      <c r="E2191">
        <v>0</v>
      </c>
      <c r="F2191">
        <v>1</v>
      </c>
      <c r="G2191">
        <v>0.1</v>
      </c>
      <c r="H2191" t="s">
        <v>622</v>
      </c>
      <c r="J2191" t="s">
        <v>623</v>
      </c>
      <c r="K2191" s="1"/>
      <c r="L2191" s="1">
        <v>46198.670416666668</v>
      </c>
      <c r="M2191" s="2">
        <v>46198</v>
      </c>
      <c r="N2191" t="s">
        <v>639</v>
      </c>
      <c r="O2191" t="s">
        <v>629</v>
      </c>
      <c r="P2191">
        <v>1</v>
      </c>
      <c r="Q2191">
        <v>0</v>
      </c>
      <c r="R2191">
        <v>77.78</v>
      </c>
      <c r="S2191" t="s">
        <v>277</v>
      </c>
      <c r="T2191" t="s">
        <v>779</v>
      </c>
    </row>
    <row r="2192" spans="1:20" x14ac:dyDescent="0.3">
      <c r="A2192">
        <v>2191</v>
      </c>
      <c r="B2192">
        <v>271</v>
      </c>
      <c r="C2192">
        <v>3</v>
      </c>
      <c r="D2192">
        <v>48.34</v>
      </c>
      <c r="E2192">
        <v>4.83</v>
      </c>
      <c r="F2192">
        <v>0</v>
      </c>
      <c r="G2192">
        <v>0.1</v>
      </c>
      <c r="H2192" t="s">
        <v>622</v>
      </c>
      <c r="J2192" t="s">
        <v>623</v>
      </c>
      <c r="K2192" s="1"/>
      <c r="L2192" s="1">
        <v>46198.676724537036</v>
      </c>
      <c r="M2192" s="2">
        <v>46198</v>
      </c>
      <c r="N2192" t="s">
        <v>639</v>
      </c>
      <c r="O2192" t="s">
        <v>625</v>
      </c>
      <c r="P2192">
        <v>1</v>
      </c>
      <c r="Q2192">
        <v>0</v>
      </c>
      <c r="R2192">
        <v>48.34</v>
      </c>
      <c r="S2192" t="s">
        <v>537</v>
      </c>
      <c r="T2192" t="s">
        <v>777</v>
      </c>
    </row>
    <row r="2193" spans="1:20" x14ac:dyDescent="0.3">
      <c r="A2193">
        <v>2192</v>
      </c>
      <c r="B2193">
        <v>128</v>
      </c>
      <c r="C2193">
        <v>5</v>
      </c>
      <c r="D2193">
        <v>35.26</v>
      </c>
      <c r="E2193">
        <v>3.53</v>
      </c>
      <c r="F2193">
        <v>0</v>
      </c>
      <c r="G2193">
        <v>0.1</v>
      </c>
      <c r="H2193" t="s">
        <v>622</v>
      </c>
      <c r="J2193" t="s">
        <v>623</v>
      </c>
      <c r="K2193" s="1"/>
      <c r="L2193" s="1">
        <v>46198.693124999998</v>
      </c>
      <c r="M2193" s="2">
        <v>46198</v>
      </c>
      <c r="N2193" t="s">
        <v>639</v>
      </c>
      <c r="O2193" t="s">
        <v>625</v>
      </c>
      <c r="P2193">
        <v>1</v>
      </c>
      <c r="Q2193">
        <v>0</v>
      </c>
      <c r="R2193">
        <v>35.26</v>
      </c>
      <c r="S2193" t="s">
        <v>251</v>
      </c>
      <c r="T2193" t="s">
        <v>779</v>
      </c>
    </row>
    <row r="2194" spans="1:20" x14ac:dyDescent="0.3">
      <c r="A2194">
        <v>2193</v>
      </c>
      <c r="B2194">
        <v>170</v>
      </c>
      <c r="C2194">
        <v>5</v>
      </c>
      <c r="D2194">
        <v>143.99</v>
      </c>
      <c r="E2194">
        <v>14.4</v>
      </c>
      <c r="F2194">
        <v>0</v>
      </c>
      <c r="G2194">
        <v>0.1</v>
      </c>
      <c r="H2194" t="s">
        <v>622</v>
      </c>
      <c r="J2194" t="s">
        <v>623</v>
      </c>
      <c r="K2194" s="1"/>
      <c r="L2194" s="1">
        <v>46198.701874999999</v>
      </c>
      <c r="M2194" s="2">
        <v>46198</v>
      </c>
      <c r="N2194" t="s">
        <v>639</v>
      </c>
      <c r="O2194" t="s">
        <v>625</v>
      </c>
      <c r="P2194">
        <v>1</v>
      </c>
      <c r="Q2194">
        <v>0</v>
      </c>
      <c r="R2194">
        <v>143.99</v>
      </c>
      <c r="S2194" t="s">
        <v>335</v>
      </c>
      <c r="T2194" t="s">
        <v>779</v>
      </c>
    </row>
    <row r="2195" spans="1:20" x14ac:dyDescent="0.3">
      <c r="A2195">
        <v>2194</v>
      </c>
      <c r="B2195">
        <v>128</v>
      </c>
      <c r="C2195">
        <v>2</v>
      </c>
      <c r="D2195">
        <v>24.45</v>
      </c>
      <c r="E2195">
        <v>2.4500000000000002</v>
      </c>
      <c r="F2195">
        <v>0</v>
      </c>
      <c r="G2195">
        <v>0.1</v>
      </c>
      <c r="H2195" t="s">
        <v>622</v>
      </c>
      <c r="J2195" t="s">
        <v>623</v>
      </c>
      <c r="K2195" s="1"/>
      <c r="L2195" s="1">
        <v>46198.722546296296</v>
      </c>
      <c r="M2195" s="2">
        <v>46198</v>
      </c>
      <c r="N2195" t="s">
        <v>639</v>
      </c>
      <c r="O2195" t="s">
        <v>625</v>
      </c>
      <c r="P2195">
        <v>1</v>
      </c>
      <c r="Q2195">
        <v>0</v>
      </c>
      <c r="R2195">
        <v>24.45</v>
      </c>
      <c r="S2195" t="s">
        <v>251</v>
      </c>
      <c r="T2195" t="s">
        <v>776</v>
      </c>
    </row>
    <row r="2196" spans="1:20" x14ac:dyDescent="0.3">
      <c r="A2196">
        <v>2195</v>
      </c>
      <c r="B2196">
        <v>128</v>
      </c>
      <c r="C2196">
        <v>5</v>
      </c>
      <c r="D2196">
        <v>20.22</v>
      </c>
      <c r="E2196">
        <v>2.02</v>
      </c>
      <c r="F2196">
        <v>0</v>
      </c>
      <c r="G2196">
        <v>0.1</v>
      </c>
      <c r="H2196" t="s">
        <v>626</v>
      </c>
      <c r="I2196">
        <v>4</v>
      </c>
      <c r="J2196" t="s">
        <v>628</v>
      </c>
      <c r="K2196" s="1">
        <v>46200.652199074073</v>
      </c>
      <c r="L2196" s="1">
        <v>46198.818865740737</v>
      </c>
      <c r="M2196" s="2">
        <v>46198</v>
      </c>
      <c r="N2196" t="s">
        <v>639</v>
      </c>
      <c r="O2196" t="s">
        <v>625</v>
      </c>
      <c r="P2196">
        <v>1</v>
      </c>
      <c r="Q2196">
        <v>1</v>
      </c>
      <c r="R2196">
        <v>0</v>
      </c>
      <c r="S2196" t="s">
        <v>251</v>
      </c>
      <c r="T2196" t="s">
        <v>779</v>
      </c>
    </row>
    <row r="2197" spans="1:20" x14ac:dyDescent="0.3">
      <c r="A2197">
        <v>2196</v>
      </c>
      <c r="B2197">
        <v>127</v>
      </c>
      <c r="C2197">
        <v>4</v>
      </c>
      <c r="D2197">
        <v>93.66</v>
      </c>
      <c r="E2197">
        <v>9.3699999999999992</v>
      </c>
      <c r="F2197">
        <v>0</v>
      </c>
      <c r="G2197">
        <v>0.1</v>
      </c>
      <c r="H2197" t="s">
        <v>622</v>
      </c>
      <c r="J2197" t="s">
        <v>623</v>
      </c>
      <c r="K2197" s="1"/>
      <c r="L2197" s="1">
        <v>46199.352800925924</v>
      </c>
      <c r="M2197" s="2">
        <v>46199</v>
      </c>
      <c r="N2197" t="s">
        <v>639</v>
      </c>
      <c r="O2197" t="s">
        <v>625</v>
      </c>
      <c r="P2197">
        <v>1</v>
      </c>
      <c r="Q2197">
        <v>0</v>
      </c>
      <c r="R2197">
        <v>93.66</v>
      </c>
      <c r="S2197" t="s">
        <v>249</v>
      </c>
      <c r="T2197" t="s">
        <v>778</v>
      </c>
    </row>
    <row r="2198" spans="1:20" x14ac:dyDescent="0.3">
      <c r="A2198">
        <v>2197</v>
      </c>
      <c r="B2198">
        <v>16</v>
      </c>
      <c r="C2198">
        <v>5</v>
      </c>
      <c r="D2198">
        <v>135.1</v>
      </c>
      <c r="E2198">
        <v>13.51</v>
      </c>
      <c r="F2198">
        <v>0</v>
      </c>
      <c r="G2198">
        <v>0.1</v>
      </c>
      <c r="H2198" t="s">
        <v>622</v>
      </c>
      <c r="J2198" t="s">
        <v>623</v>
      </c>
      <c r="K2198" s="1"/>
      <c r="L2198" s="1">
        <v>46199.454664351855</v>
      </c>
      <c r="M2198" s="2">
        <v>46199</v>
      </c>
      <c r="N2198" t="s">
        <v>639</v>
      </c>
      <c r="O2198" t="s">
        <v>625</v>
      </c>
      <c r="P2198">
        <v>1</v>
      </c>
      <c r="Q2198">
        <v>0</v>
      </c>
      <c r="R2198">
        <v>135.1</v>
      </c>
      <c r="S2198" t="s">
        <v>28</v>
      </c>
      <c r="T2198" t="s">
        <v>779</v>
      </c>
    </row>
    <row r="2199" spans="1:20" x14ac:dyDescent="0.3">
      <c r="A2199">
        <v>2198</v>
      </c>
      <c r="B2199">
        <v>221</v>
      </c>
      <c r="C2199">
        <v>2</v>
      </c>
      <c r="D2199">
        <v>193.75</v>
      </c>
      <c r="E2199">
        <v>0</v>
      </c>
      <c r="F2199">
        <v>1</v>
      </c>
      <c r="G2199">
        <v>0.1</v>
      </c>
      <c r="H2199" t="s">
        <v>626</v>
      </c>
      <c r="I2199">
        <v>5</v>
      </c>
      <c r="J2199" t="s">
        <v>631</v>
      </c>
      <c r="K2199" s="1">
        <v>46199.670486111114</v>
      </c>
      <c r="L2199" s="1">
        <v>46199.587152777778</v>
      </c>
      <c r="M2199" s="2">
        <v>46199</v>
      </c>
      <c r="N2199" t="s">
        <v>639</v>
      </c>
      <c r="O2199" t="s">
        <v>629</v>
      </c>
      <c r="P2199">
        <v>1</v>
      </c>
      <c r="Q2199">
        <v>1</v>
      </c>
      <c r="R2199">
        <v>0</v>
      </c>
      <c r="S2199" t="s">
        <v>437</v>
      </c>
      <c r="T2199" t="s">
        <v>776</v>
      </c>
    </row>
    <row r="2200" spans="1:20" x14ac:dyDescent="0.3">
      <c r="A2200">
        <v>2199</v>
      </c>
      <c r="B2200">
        <v>156</v>
      </c>
      <c r="C2200">
        <v>2</v>
      </c>
      <c r="D2200">
        <v>55.22</v>
      </c>
      <c r="E2200">
        <v>0</v>
      </c>
      <c r="F2200">
        <v>1</v>
      </c>
      <c r="G2200">
        <v>0.1</v>
      </c>
      <c r="H2200" t="s">
        <v>622</v>
      </c>
      <c r="J2200" t="s">
        <v>623</v>
      </c>
      <c r="K2200" s="1"/>
      <c r="L2200" s="1">
        <v>46199.592291666668</v>
      </c>
      <c r="M2200" s="2">
        <v>46199</v>
      </c>
      <c r="N2200" t="s">
        <v>639</v>
      </c>
      <c r="O2200" t="s">
        <v>629</v>
      </c>
      <c r="P2200">
        <v>1</v>
      </c>
      <c r="Q2200">
        <v>0</v>
      </c>
      <c r="R2200">
        <v>55.22</v>
      </c>
      <c r="S2200" t="s">
        <v>307</v>
      </c>
      <c r="T2200" t="s">
        <v>776</v>
      </c>
    </row>
    <row r="2201" spans="1:20" x14ac:dyDescent="0.3">
      <c r="A2201">
        <v>2200</v>
      </c>
      <c r="B2201">
        <v>47</v>
      </c>
      <c r="C2201">
        <v>4</v>
      </c>
      <c r="D2201">
        <v>23.28</v>
      </c>
      <c r="E2201">
        <v>2.33</v>
      </c>
      <c r="F2201">
        <v>0</v>
      </c>
      <c r="G2201">
        <v>0.1</v>
      </c>
      <c r="H2201" t="s">
        <v>622</v>
      </c>
      <c r="J2201" t="s">
        <v>623</v>
      </c>
      <c r="K2201" s="1"/>
      <c r="L2201" s="1">
        <v>46199.669340277775</v>
      </c>
      <c r="M2201" s="2">
        <v>46199</v>
      </c>
      <c r="N2201" t="s">
        <v>639</v>
      </c>
      <c r="O2201" t="s">
        <v>625</v>
      </c>
      <c r="P2201">
        <v>1</v>
      </c>
      <c r="Q2201">
        <v>0</v>
      </c>
      <c r="R2201">
        <v>23.28</v>
      </c>
      <c r="S2201" t="s">
        <v>90</v>
      </c>
      <c r="T2201" t="s">
        <v>778</v>
      </c>
    </row>
    <row r="2202" spans="1:20" x14ac:dyDescent="0.3">
      <c r="A2202">
        <v>2201</v>
      </c>
      <c r="B2202">
        <v>128</v>
      </c>
      <c r="C2202">
        <v>2</v>
      </c>
      <c r="D2202">
        <v>15.68</v>
      </c>
      <c r="E2202">
        <v>1.57</v>
      </c>
      <c r="F2202">
        <v>0</v>
      </c>
      <c r="G2202">
        <v>0.1</v>
      </c>
      <c r="H2202" t="s">
        <v>622</v>
      </c>
      <c r="J2202" t="s">
        <v>623</v>
      </c>
      <c r="K2202" s="1"/>
      <c r="L2202" s="1">
        <v>46200.372928240744</v>
      </c>
      <c r="M2202" s="2">
        <v>46200</v>
      </c>
      <c r="N2202" t="s">
        <v>639</v>
      </c>
      <c r="O2202" t="s">
        <v>625</v>
      </c>
      <c r="P2202">
        <v>1</v>
      </c>
      <c r="Q2202">
        <v>0</v>
      </c>
      <c r="R2202">
        <v>15.68</v>
      </c>
      <c r="S2202" t="s">
        <v>251</v>
      </c>
      <c r="T2202" t="s">
        <v>776</v>
      </c>
    </row>
    <row r="2203" spans="1:20" x14ac:dyDescent="0.3">
      <c r="A2203">
        <v>2202</v>
      </c>
      <c r="B2203">
        <v>48</v>
      </c>
      <c r="C2203">
        <v>5</v>
      </c>
      <c r="D2203">
        <v>101.67</v>
      </c>
      <c r="E2203">
        <v>10.17</v>
      </c>
      <c r="F2203">
        <v>0</v>
      </c>
      <c r="G2203">
        <v>0.1</v>
      </c>
      <c r="H2203" t="s">
        <v>622</v>
      </c>
      <c r="J2203" t="s">
        <v>623</v>
      </c>
      <c r="K2203" s="1"/>
      <c r="L2203" s="1">
        <v>46200.473043981481</v>
      </c>
      <c r="M2203" s="2">
        <v>46200</v>
      </c>
      <c r="N2203" t="s">
        <v>639</v>
      </c>
      <c r="O2203" t="s">
        <v>625</v>
      </c>
      <c r="P2203">
        <v>1</v>
      </c>
      <c r="Q2203">
        <v>0</v>
      </c>
      <c r="R2203">
        <v>101.67</v>
      </c>
      <c r="S2203" t="s">
        <v>92</v>
      </c>
      <c r="T2203" t="s">
        <v>779</v>
      </c>
    </row>
    <row r="2204" spans="1:20" x14ac:dyDescent="0.3">
      <c r="A2204">
        <v>2203</v>
      </c>
      <c r="B2204">
        <v>254</v>
      </c>
      <c r="C2204">
        <v>4</v>
      </c>
      <c r="D2204">
        <v>179.45</v>
      </c>
      <c r="E2204">
        <v>17.95</v>
      </c>
      <c r="F2204">
        <v>0</v>
      </c>
      <c r="G2204">
        <v>0.1</v>
      </c>
      <c r="H2204" t="s">
        <v>622</v>
      </c>
      <c r="J2204" t="s">
        <v>623</v>
      </c>
      <c r="K2204" s="1"/>
      <c r="L2204" s="1">
        <v>46200.615324074075</v>
      </c>
      <c r="M2204" s="2">
        <v>46200</v>
      </c>
      <c r="N2204" t="s">
        <v>639</v>
      </c>
      <c r="O2204" t="s">
        <v>625</v>
      </c>
      <c r="P2204">
        <v>1</v>
      </c>
      <c r="Q2204">
        <v>0</v>
      </c>
      <c r="R2204">
        <v>179.45</v>
      </c>
      <c r="S2204" t="s">
        <v>503</v>
      </c>
      <c r="T2204" t="s">
        <v>778</v>
      </c>
    </row>
    <row r="2205" spans="1:20" x14ac:dyDescent="0.3">
      <c r="A2205">
        <v>2204</v>
      </c>
      <c r="B2205">
        <v>246</v>
      </c>
      <c r="C2205">
        <v>3</v>
      </c>
      <c r="D2205">
        <v>31.87</v>
      </c>
      <c r="E2205">
        <v>3.19</v>
      </c>
      <c r="F2205">
        <v>0</v>
      </c>
      <c r="G2205">
        <v>0.1</v>
      </c>
      <c r="H2205" t="s">
        <v>622</v>
      </c>
      <c r="J2205" t="s">
        <v>623</v>
      </c>
      <c r="K2205" s="1"/>
      <c r="L2205" s="1">
        <v>46200.642951388887</v>
      </c>
      <c r="M2205" s="2">
        <v>46200</v>
      </c>
      <c r="N2205" t="s">
        <v>639</v>
      </c>
      <c r="O2205" t="s">
        <v>625</v>
      </c>
      <c r="P2205">
        <v>1</v>
      </c>
      <c r="Q2205">
        <v>0</v>
      </c>
      <c r="R2205">
        <v>31.87</v>
      </c>
      <c r="S2205" t="s">
        <v>487</v>
      </c>
      <c r="T2205" t="s">
        <v>777</v>
      </c>
    </row>
    <row r="2206" spans="1:20" x14ac:dyDescent="0.3">
      <c r="A2206">
        <v>2205</v>
      </c>
      <c r="B2206">
        <v>250</v>
      </c>
      <c r="C2206">
        <v>4</v>
      </c>
      <c r="D2206">
        <v>220</v>
      </c>
      <c r="E2206">
        <v>22</v>
      </c>
      <c r="F2206">
        <v>0</v>
      </c>
      <c r="G2206">
        <v>0.1</v>
      </c>
      <c r="H2206" t="s">
        <v>622</v>
      </c>
      <c r="J2206" t="s">
        <v>623</v>
      </c>
      <c r="K2206" s="1"/>
      <c r="L2206" s="1">
        <v>46200.651365740741</v>
      </c>
      <c r="M2206" s="2">
        <v>46200</v>
      </c>
      <c r="N2206" t="s">
        <v>639</v>
      </c>
      <c r="O2206" t="s">
        <v>625</v>
      </c>
      <c r="P2206">
        <v>1</v>
      </c>
      <c r="Q2206">
        <v>0</v>
      </c>
      <c r="R2206">
        <v>220</v>
      </c>
      <c r="S2206" t="s">
        <v>495</v>
      </c>
      <c r="T2206" t="s">
        <v>778</v>
      </c>
    </row>
    <row r="2207" spans="1:20" x14ac:dyDescent="0.3">
      <c r="A2207">
        <v>2206</v>
      </c>
      <c r="B2207">
        <v>139</v>
      </c>
      <c r="C2207">
        <v>3</v>
      </c>
      <c r="D2207">
        <v>82.6</v>
      </c>
      <c r="E2207">
        <v>8.26</v>
      </c>
      <c r="F2207">
        <v>0</v>
      </c>
      <c r="G2207">
        <v>0.1</v>
      </c>
      <c r="H2207" t="s">
        <v>622</v>
      </c>
      <c r="J2207" t="s">
        <v>623</v>
      </c>
      <c r="K2207" s="1"/>
      <c r="L2207" s="1">
        <v>46200.714386574073</v>
      </c>
      <c r="M2207" s="2">
        <v>46200</v>
      </c>
      <c r="N2207" t="s">
        <v>639</v>
      </c>
      <c r="O2207" t="s">
        <v>625</v>
      </c>
      <c r="P2207">
        <v>1</v>
      </c>
      <c r="Q2207">
        <v>0</v>
      </c>
      <c r="R2207">
        <v>82.6</v>
      </c>
      <c r="S2207" t="s">
        <v>273</v>
      </c>
      <c r="T2207" t="s">
        <v>777</v>
      </c>
    </row>
    <row r="2208" spans="1:20" x14ac:dyDescent="0.3">
      <c r="A2208">
        <v>2207</v>
      </c>
      <c r="B2208">
        <v>16</v>
      </c>
      <c r="C2208">
        <v>2</v>
      </c>
      <c r="D2208">
        <v>129.97999999999999</v>
      </c>
      <c r="E2208">
        <v>13</v>
      </c>
      <c r="F2208">
        <v>0</v>
      </c>
      <c r="G2208">
        <v>0.1</v>
      </c>
      <c r="H2208" t="s">
        <v>626</v>
      </c>
      <c r="I2208">
        <v>2</v>
      </c>
      <c r="J2208" t="s">
        <v>631</v>
      </c>
      <c r="K2208" s="1">
        <v>46201.710347222222</v>
      </c>
      <c r="L2208" s="1">
        <v>46200.752013888887</v>
      </c>
      <c r="M2208" s="2">
        <v>46200</v>
      </c>
      <c r="N2208" t="s">
        <v>639</v>
      </c>
      <c r="O2208" t="s">
        <v>625</v>
      </c>
      <c r="P2208">
        <v>1</v>
      </c>
      <c r="Q2208">
        <v>1</v>
      </c>
      <c r="R2208">
        <v>0</v>
      </c>
      <c r="S2208" t="s">
        <v>28</v>
      </c>
      <c r="T2208" t="s">
        <v>776</v>
      </c>
    </row>
    <row r="2209" spans="1:20" x14ac:dyDescent="0.3">
      <c r="A2209">
        <v>2208</v>
      </c>
      <c r="B2209">
        <v>128</v>
      </c>
      <c r="C2209">
        <v>2</v>
      </c>
      <c r="D2209">
        <v>42.82</v>
      </c>
      <c r="E2209">
        <v>4.28</v>
      </c>
      <c r="F2209">
        <v>0</v>
      </c>
      <c r="G2209">
        <v>0.1</v>
      </c>
      <c r="H2209" t="s">
        <v>622</v>
      </c>
      <c r="J2209" t="s">
        <v>623</v>
      </c>
      <c r="K2209" s="1"/>
      <c r="L2209" s="1">
        <v>46200.793414351851</v>
      </c>
      <c r="M2209" s="2">
        <v>46200</v>
      </c>
      <c r="N2209" t="s">
        <v>639</v>
      </c>
      <c r="O2209" t="s">
        <v>625</v>
      </c>
      <c r="P2209">
        <v>1</v>
      </c>
      <c r="Q2209">
        <v>0</v>
      </c>
      <c r="R2209">
        <v>42.82</v>
      </c>
      <c r="S2209" t="s">
        <v>251</v>
      </c>
      <c r="T2209" t="s">
        <v>776</v>
      </c>
    </row>
    <row r="2210" spans="1:20" x14ac:dyDescent="0.3">
      <c r="A2210">
        <v>2209</v>
      </c>
      <c r="B2210">
        <v>6</v>
      </c>
      <c r="C2210">
        <v>4</v>
      </c>
      <c r="D2210">
        <v>37.6</v>
      </c>
      <c r="E2210">
        <v>3.76</v>
      </c>
      <c r="F2210">
        <v>0</v>
      </c>
      <c r="G2210">
        <v>0.1</v>
      </c>
      <c r="H2210" t="s">
        <v>622</v>
      </c>
      <c r="J2210" t="s">
        <v>623</v>
      </c>
      <c r="K2210" s="1"/>
      <c r="L2210" s="1">
        <v>46201.424837962964</v>
      </c>
      <c r="M2210" s="2">
        <v>46201</v>
      </c>
      <c r="N2210" t="s">
        <v>639</v>
      </c>
      <c r="O2210" t="s">
        <v>625</v>
      </c>
      <c r="P2210">
        <v>1</v>
      </c>
      <c r="Q2210">
        <v>0</v>
      </c>
      <c r="R2210">
        <v>37.6</v>
      </c>
      <c r="S2210" t="s">
        <v>8</v>
      </c>
      <c r="T2210" t="s">
        <v>778</v>
      </c>
    </row>
    <row r="2211" spans="1:20" x14ac:dyDescent="0.3">
      <c r="A2211">
        <v>2210</v>
      </c>
      <c r="B2211">
        <v>250</v>
      </c>
      <c r="C2211">
        <v>4</v>
      </c>
      <c r="D2211">
        <v>143.61000000000001</v>
      </c>
      <c r="E2211">
        <v>14.36</v>
      </c>
      <c r="F2211">
        <v>0</v>
      </c>
      <c r="G2211">
        <v>0.1</v>
      </c>
      <c r="H2211" t="s">
        <v>622</v>
      </c>
      <c r="J2211" t="s">
        <v>623</v>
      </c>
      <c r="K2211" s="1"/>
      <c r="L2211" s="1">
        <v>46201.77983796296</v>
      </c>
      <c r="M2211" s="2">
        <v>46201</v>
      </c>
      <c r="N2211" t="s">
        <v>639</v>
      </c>
      <c r="O2211" t="s">
        <v>625</v>
      </c>
      <c r="P2211">
        <v>1</v>
      </c>
      <c r="Q2211">
        <v>0</v>
      </c>
      <c r="R2211">
        <v>143.61000000000001</v>
      </c>
      <c r="S2211" t="s">
        <v>495</v>
      </c>
      <c r="T2211" t="s">
        <v>778</v>
      </c>
    </row>
    <row r="2212" spans="1:20" x14ac:dyDescent="0.3">
      <c r="A2212">
        <v>2211</v>
      </c>
      <c r="B2212">
        <v>250</v>
      </c>
      <c r="C2212">
        <v>4</v>
      </c>
      <c r="D2212">
        <v>97.56</v>
      </c>
      <c r="E2212">
        <v>9.76</v>
      </c>
      <c r="F2212">
        <v>0</v>
      </c>
      <c r="G2212">
        <v>0.1</v>
      </c>
      <c r="H2212" t="s">
        <v>622</v>
      </c>
      <c r="J2212" t="s">
        <v>623</v>
      </c>
      <c r="K2212" s="1"/>
      <c r="L2212" s="1">
        <v>46202.405289351853</v>
      </c>
      <c r="M2212" s="2">
        <v>46202</v>
      </c>
      <c r="N2212" t="s">
        <v>639</v>
      </c>
      <c r="O2212" t="s">
        <v>625</v>
      </c>
      <c r="P2212">
        <v>1</v>
      </c>
      <c r="Q2212">
        <v>0</v>
      </c>
      <c r="R2212">
        <v>97.56</v>
      </c>
      <c r="S2212" t="s">
        <v>495</v>
      </c>
      <c r="T2212" t="s">
        <v>778</v>
      </c>
    </row>
    <row r="2213" spans="1:20" x14ac:dyDescent="0.3">
      <c r="A2213">
        <v>2212</v>
      </c>
      <c r="B2213">
        <v>91</v>
      </c>
      <c r="C2213">
        <v>5</v>
      </c>
      <c r="D2213">
        <v>28.2</v>
      </c>
      <c r="E2213">
        <v>2.82</v>
      </c>
      <c r="F2213">
        <v>0</v>
      </c>
      <c r="G2213">
        <v>0.1</v>
      </c>
      <c r="H2213" t="s">
        <v>622</v>
      </c>
      <c r="J2213" t="s">
        <v>623</v>
      </c>
      <c r="K2213" s="1"/>
      <c r="L2213" s="1">
        <v>46202.447974537034</v>
      </c>
      <c r="M2213" s="2">
        <v>46202</v>
      </c>
      <c r="N2213" t="s">
        <v>639</v>
      </c>
      <c r="O2213" t="s">
        <v>625</v>
      </c>
      <c r="P2213">
        <v>1</v>
      </c>
      <c r="Q2213">
        <v>0</v>
      </c>
      <c r="R2213">
        <v>28.2</v>
      </c>
      <c r="S2213" t="s">
        <v>177</v>
      </c>
      <c r="T2213" t="s">
        <v>779</v>
      </c>
    </row>
    <row r="2214" spans="1:20" x14ac:dyDescent="0.3">
      <c r="A2214">
        <v>2213</v>
      </c>
      <c r="B2214">
        <v>229</v>
      </c>
      <c r="C2214">
        <v>2</v>
      </c>
      <c r="D2214">
        <v>64.56</v>
      </c>
      <c r="E2214">
        <v>6.46</v>
      </c>
      <c r="F2214">
        <v>0</v>
      </c>
      <c r="G2214">
        <v>0.1</v>
      </c>
      <c r="H2214" t="s">
        <v>622</v>
      </c>
      <c r="J2214" t="s">
        <v>623</v>
      </c>
      <c r="K2214" s="1"/>
      <c r="L2214" s="1">
        <v>46202.511006944442</v>
      </c>
      <c r="M2214" s="2">
        <v>46202</v>
      </c>
      <c r="N2214" t="s">
        <v>639</v>
      </c>
      <c r="O2214" t="s">
        <v>625</v>
      </c>
      <c r="P2214">
        <v>1</v>
      </c>
      <c r="Q2214">
        <v>0</v>
      </c>
      <c r="R2214">
        <v>64.56</v>
      </c>
      <c r="S2214" t="s">
        <v>453</v>
      </c>
      <c r="T2214" t="s">
        <v>776</v>
      </c>
    </row>
    <row r="2215" spans="1:20" x14ac:dyDescent="0.3">
      <c r="A2215">
        <v>2214</v>
      </c>
      <c r="B2215">
        <v>156</v>
      </c>
      <c r="C2215">
        <v>3</v>
      </c>
      <c r="D2215">
        <v>19.78</v>
      </c>
      <c r="E2215">
        <v>1.98</v>
      </c>
      <c r="F2215">
        <v>0</v>
      </c>
      <c r="G2215">
        <v>0.1</v>
      </c>
      <c r="H2215" t="s">
        <v>622</v>
      </c>
      <c r="J2215" t="s">
        <v>623</v>
      </c>
      <c r="K2215" s="1"/>
      <c r="L2215" s="1">
        <v>46202.561030092591</v>
      </c>
      <c r="M2215" s="2">
        <v>46202</v>
      </c>
      <c r="N2215" t="s">
        <v>639</v>
      </c>
      <c r="O2215" t="s">
        <v>625</v>
      </c>
      <c r="P2215">
        <v>1</v>
      </c>
      <c r="Q2215">
        <v>0</v>
      </c>
      <c r="R2215">
        <v>19.78</v>
      </c>
      <c r="S2215" t="s">
        <v>307</v>
      </c>
      <c r="T2215" t="s">
        <v>777</v>
      </c>
    </row>
    <row r="2216" spans="1:20" x14ac:dyDescent="0.3">
      <c r="A2216">
        <v>2215</v>
      </c>
      <c r="B2216">
        <v>294</v>
      </c>
      <c r="C2216">
        <v>3</v>
      </c>
      <c r="D2216">
        <v>28.64</v>
      </c>
      <c r="E2216">
        <v>2.86</v>
      </c>
      <c r="F2216">
        <v>0</v>
      </c>
      <c r="G2216">
        <v>0.1</v>
      </c>
      <c r="H2216" t="s">
        <v>622</v>
      </c>
      <c r="J2216" t="s">
        <v>623</v>
      </c>
      <c r="K2216" s="1"/>
      <c r="L2216" s="1">
        <v>46202.570787037039</v>
      </c>
      <c r="M2216" s="2">
        <v>46202</v>
      </c>
      <c r="N2216" t="s">
        <v>639</v>
      </c>
      <c r="O2216" t="s">
        <v>625</v>
      </c>
      <c r="P2216">
        <v>1</v>
      </c>
      <c r="Q2216">
        <v>0</v>
      </c>
      <c r="R2216">
        <v>28.64</v>
      </c>
      <c r="S2216" t="s">
        <v>583</v>
      </c>
      <c r="T2216" t="s">
        <v>777</v>
      </c>
    </row>
    <row r="2217" spans="1:20" x14ac:dyDescent="0.3">
      <c r="A2217">
        <v>2216</v>
      </c>
      <c r="B2217">
        <v>132</v>
      </c>
      <c r="C2217">
        <v>2</v>
      </c>
      <c r="D2217">
        <v>265.81</v>
      </c>
      <c r="E2217">
        <v>26.58</v>
      </c>
      <c r="F2217">
        <v>0</v>
      </c>
      <c r="G2217">
        <v>0.1</v>
      </c>
      <c r="H2217" t="s">
        <v>622</v>
      </c>
      <c r="J2217" t="s">
        <v>623</v>
      </c>
      <c r="K2217" s="1"/>
      <c r="L2217" s="1">
        <v>46202.713946759257</v>
      </c>
      <c r="M2217" s="2">
        <v>46202</v>
      </c>
      <c r="N2217" t="s">
        <v>639</v>
      </c>
      <c r="O2217" t="s">
        <v>625</v>
      </c>
      <c r="P2217">
        <v>1</v>
      </c>
      <c r="Q2217">
        <v>0</v>
      </c>
      <c r="R2217">
        <v>265.81</v>
      </c>
      <c r="S2217" t="s">
        <v>259</v>
      </c>
      <c r="T2217" t="s">
        <v>776</v>
      </c>
    </row>
    <row r="2218" spans="1:20" x14ac:dyDescent="0.3">
      <c r="A2218">
        <v>2217</v>
      </c>
      <c r="B2218">
        <v>163</v>
      </c>
      <c r="C2218">
        <v>5</v>
      </c>
      <c r="D2218">
        <v>12.75</v>
      </c>
      <c r="E2218">
        <v>1.28</v>
      </c>
      <c r="F2218">
        <v>0</v>
      </c>
      <c r="G2218">
        <v>0.1</v>
      </c>
      <c r="H2218" t="s">
        <v>622</v>
      </c>
      <c r="J2218" t="s">
        <v>623</v>
      </c>
      <c r="K2218" s="1"/>
      <c r="L2218" s="1">
        <v>46202.790081018517</v>
      </c>
      <c r="M2218" s="2">
        <v>46202</v>
      </c>
      <c r="N2218" t="s">
        <v>639</v>
      </c>
      <c r="O2218" t="s">
        <v>625</v>
      </c>
      <c r="P2218">
        <v>1</v>
      </c>
      <c r="Q2218">
        <v>0</v>
      </c>
      <c r="R2218">
        <v>12.75</v>
      </c>
      <c r="S2218" t="s">
        <v>321</v>
      </c>
      <c r="T2218" t="s">
        <v>779</v>
      </c>
    </row>
    <row r="2219" spans="1:20" x14ac:dyDescent="0.3">
      <c r="A2219">
        <v>2218</v>
      </c>
      <c r="B2219">
        <v>44</v>
      </c>
      <c r="C2219">
        <v>5</v>
      </c>
      <c r="D2219">
        <v>21.41</v>
      </c>
      <c r="E2219">
        <v>2.14</v>
      </c>
      <c r="F2219">
        <v>0</v>
      </c>
      <c r="G2219">
        <v>0.1</v>
      </c>
      <c r="H2219" t="s">
        <v>622</v>
      </c>
      <c r="J2219" t="s">
        <v>623</v>
      </c>
      <c r="K2219" s="1"/>
      <c r="L2219" s="1">
        <v>46203.378865740742</v>
      </c>
      <c r="M2219" s="2">
        <v>46203</v>
      </c>
      <c r="N2219" t="s">
        <v>639</v>
      </c>
      <c r="O2219" t="s">
        <v>625</v>
      </c>
      <c r="P2219">
        <v>1</v>
      </c>
      <c r="Q2219">
        <v>0</v>
      </c>
      <c r="R2219">
        <v>21.41</v>
      </c>
      <c r="S2219" t="s">
        <v>84</v>
      </c>
      <c r="T2219" t="s">
        <v>779</v>
      </c>
    </row>
    <row r="2220" spans="1:20" x14ac:dyDescent="0.3">
      <c r="A2220">
        <v>2219</v>
      </c>
      <c r="B2220">
        <v>264</v>
      </c>
      <c r="C2220">
        <v>3</v>
      </c>
      <c r="D2220">
        <v>179.26</v>
      </c>
      <c r="E2220">
        <v>17.93</v>
      </c>
      <c r="F2220">
        <v>0</v>
      </c>
      <c r="G2220">
        <v>0.1</v>
      </c>
      <c r="H2220" t="s">
        <v>622</v>
      </c>
      <c r="J2220" t="s">
        <v>623</v>
      </c>
      <c r="K2220" s="1"/>
      <c r="L2220" s="1">
        <v>46203.447152777779</v>
      </c>
      <c r="M2220" s="2">
        <v>46203</v>
      </c>
      <c r="N2220" t="s">
        <v>639</v>
      </c>
      <c r="O2220" t="s">
        <v>625</v>
      </c>
      <c r="P2220">
        <v>1</v>
      </c>
      <c r="Q2220">
        <v>0</v>
      </c>
      <c r="R2220">
        <v>179.26</v>
      </c>
      <c r="S2220" t="s">
        <v>523</v>
      </c>
      <c r="T2220" t="s">
        <v>777</v>
      </c>
    </row>
    <row r="2221" spans="1:20" x14ac:dyDescent="0.3">
      <c r="A2221">
        <v>2220</v>
      </c>
      <c r="B2221">
        <v>190</v>
      </c>
      <c r="C2221">
        <v>3</v>
      </c>
      <c r="D2221">
        <v>248.77</v>
      </c>
      <c r="E2221">
        <v>24.88</v>
      </c>
      <c r="F2221">
        <v>0</v>
      </c>
      <c r="G2221">
        <v>0.1</v>
      </c>
      <c r="H2221" t="s">
        <v>622</v>
      </c>
      <c r="J2221" t="s">
        <v>623</v>
      </c>
      <c r="K2221" s="1"/>
      <c r="L2221" s="1">
        <v>46203.492384259262</v>
      </c>
      <c r="M2221" s="2">
        <v>46203</v>
      </c>
      <c r="N2221" t="s">
        <v>639</v>
      </c>
      <c r="O2221" t="s">
        <v>625</v>
      </c>
      <c r="P2221">
        <v>1</v>
      </c>
      <c r="Q2221">
        <v>0</v>
      </c>
      <c r="R2221">
        <v>248.77</v>
      </c>
      <c r="S2221" t="s">
        <v>375</v>
      </c>
      <c r="T2221" t="s">
        <v>777</v>
      </c>
    </row>
    <row r="2222" spans="1:20" x14ac:dyDescent="0.3">
      <c r="A2222">
        <v>2221</v>
      </c>
      <c r="B2222">
        <v>16</v>
      </c>
      <c r="C2222">
        <v>3</v>
      </c>
      <c r="D2222">
        <v>170.4</v>
      </c>
      <c r="E2222">
        <v>17.04</v>
      </c>
      <c r="F2222">
        <v>0</v>
      </c>
      <c r="G2222">
        <v>0.1</v>
      </c>
      <c r="H2222" t="s">
        <v>622</v>
      </c>
      <c r="J2222" t="s">
        <v>623</v>
      </c>
      <c r="K2222" s="1"/>
      <c r="L2222" s="1">
        <v>46203.521874999999</v>
      </c>
      <c r="M2222" s="2">
        <v>46203</v>
      </c>
      <c r="N2222" t="s">
        <v>639</v>
      </c>
      <c r="O2222" t="s">
        <v>625</v>
      </c>
      <c r="P2222">
        <v>1</v>
      </c>
      <c r="Q2222">
        <v>0</v>
      </c>
      <c r="R2222">
        <v>170.4</v>
      </c>
      <c r="S2222" t="s">
        <v>28</v>
      </c>
      <c r="T2222" t="s">
        <v>777</v>
      </c>
    </row>
    <row r="2223" spans="1:20" x14ac:dyDescent="0.3">
      <c r="A2223">
        <v>2222</v>
      </c>
      <c r="B2223">
        <v>185</v>
      </c>
      <c r="C2223">
        <v>2</v>
      </c>
      <c r="D2223">
        <v>60.3</v>
      </c>
      <c r="E2223">
        <v>6.03</v>
      </c>
      <c r="F2223">
        <v>0</v>
      </c>
      <c r="G2223">
        <v>0.1</v>
      </c>
      <c r="H2223" t="s">
        <v>622</v>
      </c>
      <c r="J2223" t="s">
        <v>623</v>
      </c>
      <c r="K2223" s="1"/>
      <c r="L2223" s="1">
        <v>46203.627905092595</v>
      </c>
      <c r="M2223" s="2">
        <v>46203</v>
      </c>
      <c r="N2223" t="s">
        <v>639</v>
      </c>
      <c r="O2223" t="s">
        <v>625</v>
      </c>
      <c r="P2223">
        <v>1</v>
      </c>
      <c r="Q2223">
        <v>0</v>
      </c>
      <c r="R2223">
        <v>60.3</v>
      </c>
      <c r="S2223" t="s">
        <v>365</v>
      </c>
      <c r="T2223" t="s">
        <v>776</v>
      </c>
    </row>
    <row r="2224" spans="1:20" x14ac:dyDescent="0.3">
      <c r="A2224">
        <v>2223</v>
      </c>
      <c r="B2224">
        <v>36</v>
      </c>
      <c r="C2224">
        <v>4</v>
      </c>
      <c r="D2224">
        <v>235.51</v>
      </c>
      <c r="E2224">
        <v>23.55</v>
      </c>
      <c r="F2224">
        <v>0</v>
      </c>
      <c r="G2224">
        <v>0.1</v>
      </c>
      <c r="H2224" t="s">
        <v>622</v>
      </c>
      <c r="J2224" t="s">
        <v>623</v>
      </c>
      <c r="K2224" s="1"/>
      <c r="L2224" s="1">
        <v>46203.693807870368</v>
      </c>
      <c r="M2224" s="2">
        <v>46203</v>
      </c>
      <c r="N2224" t="s">
        <v>639</v>
      </c>
      <c r="O2224" t="s">
        <v>625</v>
      </c>
      <c r="P2224">
        <v>1</v>
      </c>
      <c r="Q2224">
        <v>0</v>
      </c>
      <c r="R2224">
        <v>235.51</v>
      </c>
      <c r="S2224" t="s">
        <v>68</v>
      </c>
      <c r="T2224" t="s">
        <v>778</v>
      </c>
    </row>
    <row r="2225" spans="1:20" x14ac:dyDescent="0.3">
      <c r="A2225">
        <v>2224</v>
      </c>
      <c r="B2225">
        <v>134</v>
      </c>
      <c r="C2225">
        <v>5</v>
      </c>
      <c r="D2225">
        <v>90.87</v>
      </c>
      <c r="E2225">
        <v>9.09</v>
      </c>
      <c r="F2225">
        <v>0</v>
      </c>
      <c r="G2225">
        <v>0.1</v>
      </c>
      <c r="H2225" t="s">
        <v>622</v>
      </c>
      <c r="J2225" t="s">
        <v>623</v>
      </c>
      <c r="K2225" s="1"/>
      <c r="L2225" s="1">
        <v>46203.728206018517</v>
      </c>
      <c r="M2225" s="2">
        <v>46203</v>
      </c>
      <c r="N2225" t="s">
        <v>639</v>
      </c>
      <c r="O2225" t="s">
        <v>625</v>
      </c>
      <c r="P2225">
        <v>1</v>
      </c>
      <c r="Q2225">
        <v>0</v>
      </c>
      <c r="R2225">
        <v>90.87</v>
      </c>
      <c r="S2225" t="s">
        <v>263</v>
      </c>
      <c r="T2225" t="s">
        <v>779</v>
      </c>
    </row>
    <row r="2226" spans="1:20" x14ac:dyDescent="0.3">
      <c r="A2226">
        <v>2225</v>
      </c>
      <c r="B2226">
        <v>73</v>
      </c>
      <c r="C2226">
        <v>3</v>
      </c>
      <c r="D2226">
        <v>50.91</v>
      </c>
      <c r="E2226">
        <v>5.09</v>
      </c>
      <c r="F2226">
        <v>0</v>
      </c>
      <c r="G2226">
        <v>0.1</v>
      </c>
      <c r="H2226" t="s">
        <v>622</v>
      </c>
      <c r="J2226" t="s">
        <v>623</v>
      </c>
      <c r="K2226" s="1"/>
      <c r="L2226" s="1">
        <v>46203.739062499997</v>
      </c>
      <c r="M2226" s="2">
        <v>46203</v>
      </c>
      <c r="N2226" t="s">
        <v>639</v>
      </c>
      <c r="O2226" t="s">
        <v>625</v>
      </c>
      <c r="P2226">
        <v>1</v>
      </c>
      <c r="Q2226">
        <v>0</v>
      </c>
      <c r="R2226">
        <v>50.91</v>
      </c>
      <c r="S2226" t="s">
        <v>142</v>
      </c>
      <c r="T2226" t="s">
        <v>777</v>
      </c>
    </row>
    <row r="2227" spans="1:20" x14ac:dyDescent="0.3">
      <c r="A2227">
        <v>2226</v>
      </c>
      <c r="B2227">
        <v>235</v>
      </c>
      <c r="C2227">
        <v>2</v>
      </c>
      <c r="D2227">
        <v>35.36</v>
      </c>
      <c r="E2227">
        <v>3.54</v>
      </c>
      <c r="F2227">
        <v>0</v>
      </c>
      <c r="G2227">
        <v>0.1</v>
      </c>
      <c r="H2227" t="s">
        <v>622</v>
      </c>
      <c r="J2227" t="s">
        <v>623</v>
      </c>
      <c r="K2227" s="1"/>
      <c r="L2227" s="1">
        <v>46203.766631944447</v>
      </c>
      <c r="M2227" s="2">
        <v>46203</v>
      </c>
      <c r="N2227" t="s">
        <v>639</v>
      </c>
      <c r="O2227" t="s">
        <v>625</v>
      </c>
      <c r="P2227">
        <v>1</v>
      </c>
      <c r="Q2227">
        <v>0</v>
      </c>
      <c r="R2227">
        <v>35.36</v>
      </c>
      <c r="S2227" t="s">
        <v>465</v>
      </c>
      <c r="T2227" t="s">
        <v>776</v>
      </c>
    </row>
    <row r="2228" spans="1:20" x14ac:dyDescent="0.3">
      <c r="A2228">
        <v>2227</v>
      </c>
      <c r="B2228">
        <v>38</v>
      </c>
      <c r="C2228">
        <v>4</v>
      </c>
      <c r="D2228">
        <v>38.369999999999997</v>
      </c>
      <c r="E2228">
        <v>3.84</v>
      </c>
      <c r="F2228">
        <v>0</v>
      </c>
      <c r="G2228">
        <v>0.1</v>
      </c>
      <c r="H2228" t="s">
        <v>622</v>
      </c>
      <c r="J2228" t="s">
        <v>623</v>
      </c>
      <c r="K2228" s="1"/>
      <c r="L2228" s="1">
        <v>46204.31622685185</v>
      </c>
      <c r="M2228" s="2">
        <v>46204</v>
      </c>
      <c r="N2228" t="s">
        <v>640</v>
      </c>
      <c r="O2228" t="s">
        <v>625</v>
      </c>
      <c r="P2228">
        <v>1</v>
      </c>
      <c r="Q2228">
        <v>0</v>
      </c>
      <c r="R2228">
        <v>38.369999999999997</v>
      </c>
      <c r="S2228" t="s">
        <v>72</v>
      </c>
      <c r="T2228" t="s">
        <v>778</v>
      </c>
    </row>
    <row r="2229" spans="1:20" x14ac:dyDescent="0.3">
      <c r="A2229">
        <v>2228</v>
      </c>
      <c r="B2229">
        <v>100</v>
      </c>
      <c r="C2229">
        <v>4</v>
      </c>
      <c r="D2229">
        <v>248.24</v>
      </c>
      <c r="E2229">
        <v>24.82</v>
      </c>
      <c r="F2229">
        <v>0</v>
      </c>
      <c r="G2229">
        <v>0.1</v>
      </c>
      <c r="H2229" t="s">
        <v>622</v>
      </c>
      <c r="J2229" t="s">
        <v>623</v>
      </c>
      <c r="K2229" s="1"/>
      <c r="L2229" s="1">
        <v>46204.357152777775</v>
      </c>
      <c r="M2229" s="2">
        <v>46204</v>
      </c>
      <c r="N2229" t="s">
        <v>640</v>
      </c>
      <c r="O2229" t="s">
        <v>625</v>
      </c>
      <c r="P2229">
        <v>1</v>
      </c>
      <c r="Q2229">
        <v>0</v>
      </c>
      <c r="R2229">
        <v>248.24</v>
      </c>
      <c r="S2229" t="s">
        <v>195</v>
      </c>
      <c r="T2229" t="s">
        <v>778</v>
      </c>
    </row>
    <row r="2230" spans="1:20" x14ac:dyDescent="0.3">
      <c r="A2230">
        <v>2229</v>
      </c>
      <c r="B2230">
        <v>302</v>
      </c>
      <c r="C2230">
        <v>5</v>
      </c>
      <c r="D2230">
        <v>16.18</v>
      </c>
      <c r="E2230">
        <v>1.62</v>
      </c>
      <c r="F2230">
        <v>0</v>
      </c>
      <c r="G2230">
        <v>0.1</v>
      </c>
      <c r="H2230" t="s">
        <v>622</v>
      </c>
      <c r="J2230" t="s">
        <v>623</v>
      </c>
      <c r="K2230" s="1"/>
      <c r="L2230" s="1">
        <v>46204.383240740739</v>
      </c>
      <c r="M2230" s="2">
        <v>46204</v>
      </c>
      <c r="N2230" t="s">
        <v>640</v>
      </c>
      <c r="O2230" t="s">
        <v>625</v>
      </c>
      <c r="P2230">
        <v>1</v>
      </c>
      <c r="Q2230">
        <v>0</v>
      </c>
      <c r="R2230">
        <v>16.18</v>
      </c>
      <c r="S2230" t="s">
        <v>599</v>
      </c>
      <c r="T2230" t="s">
        <v>779</v>
      </c>
    </row>
    <row r="2231" spans="1:20" x14ac:dyDescent="0.3">
      <c r="A2231">
        <v>2230</v>
      </c>
      <c r="B2231">
        <v>210</v>
      </c>
      <c r="C2231">
        <v>5</v>
      </c>
      <c r="D2231">
        <v>25.35</v>
      </c>
      <c r="E2231">
        <v>2.54</v>
      </c>
      <c r="F2231">
        <v>0</v>
      </c>
      <c r="G2231">
        <v>0.1</v>
      </c>
      <c r="H2231" t="s">
        <v>622</v>
      </c>
      <c r="J2231" t="s">
        <v>623</v>
      </c>
      <c r="K2231" s="1"/>
      <c r="L2231" s="1">
        <v>46204.492013888892</v>
      </c>
      <c r="M2231" s="2">
        <v>46204</v>
      </c>
      <c r="N2231" t="s">
        <v>640</v>
      </c>
      <c r="O2231" t="s">
        <v>625</v>
      </c>
      <c r="P2231">
        <v>1</v>
      </c>
      <c r="Q2231">
        <v>0</v>
      </c>
      <c r="R2231">
        <v>25.35</v>
      </c>
      <c r="S2231" t="s">
        <v>415</v>
      </c>
      <c r="T2231" t="s">
        <v>779</v>
      </c>
    </row>
    <row r="2232" spans="1:20" x14ac:dyDescent="0.3">
      <c r="A2232">
        <v>2231</v>
      </c>
      <c r="B2232">
        <v>48</v>
      </c>
      <c r="C2232">
        <v>2</v>
      </c>
      <c r="D2232">
        <v>102.92</v>
      </c>
      <c r="E2232">
        <v>10.29</v>
      </c>
      <c r="F2232">
        <v>0</v>
      </c>
      <c r="G2232">
        <v>0.1</v>
      </c>
      <c r="H2232" t="s">
        <v>622</v>
      </c>
      <c r="J2232" t="s">
        <v>623</v>
      </c>
      <c r="K2232" s="1"/>
      <c r="L2232" s="1">
        <v>46204.662164351852</v>
      </c>
      <c r="M2232" s="2">
        <v>46204</v>
      </c>
      <c r="N2232" t="s">
        <v>640</v>
      </c>
      <c r="O2232" t="s">
        <v>625</v>
      </c>
      <c r="P2232">
        <v>1</v>
      </c>
      <c r="Q2232">
        <v>0</v>
      </c>
      <c r="R2232">
        <v>102.92</v>
      </c>
      <c r="S2232" t="s">
        <v>92</v>
      </c>
      <c r="T2232" t="s">
        <v>776</v>
      </c>
    </row>
    <row r="2233" spans="1:20" x14ac:dyDescent="0.3">
      <c r="A2233">
        <v>2232</v>
      </c>
      <c r="B2233">
        <v>44</v>
      </c>
      <c r="C2233">
        <v>4</v>
      </c>
      <c r="D2233">
        <v>54.42</v>
      </c>
      <c r="E2233">
        <v>5.44</v>
      </c>
      <c r="F2233">
        <v>0</v>
      </c>
      <c r="G2233">
        <v>0.1</v>
      </c>
      <c r="H2233" t="s">
        <v>622</v>
      </c>
      <c r="J2233" t="s">
        <v>623</v>
      </c>
      <c r="K2233" s="1"/>
      <c r="L2233" s="1">
        <v>46204.697638888887</v>
      </c>
      <c r="M2233" s="2">
        <v>46204</v>
      </c>
      <c r="N2233" t="s">
        <v>640</v>
      </c>
      <c r="O2233" t="s">
        <v>625</v>
      </c>
      <c r="P2233">
        <v>1</v>
      </c>
      <c r="Q2233">
        <v>0</v>
      </c>
      <c r="R2233">
        <v>54.42</v>
      </c>
      <c r="S2233" t="s">
        <v>84</v>
      </c>
      <c r="T2233" t="s">
        <v>778</v>
      </c>
    </row>
    <row r="2234" spans="1:20" x14ac:dyDescent="0.3">
      <c r="A2234">
        <v>2233</v>
      </c>
      <c r="B2234">
        <v>250</v>
      </c>
      <c r="C2234">
        <v>4</v>
      </c>
      <c r="D2234">
        <v>84.25</v>
      </c>
      <c r="E2234">
        <v>8.43</v>
      </c>
      <c r="F2234">
        <v>0</v>
      </c>
      <c r="G2234">
        <v>0.1</v>
      </c>
      <c r="H2234" t="s">
        <v>622</v>
      </c>
      <c r="J2234" t="s">
        <v>623</v>
      </c>
      <c r="K2234" s="1"/>
      <c r="L2234" s="1">
        <v>46204.718287037038</v>
      </c>
      <c r="M2234" s="2">
        <v>46204</v>
      </c>
      <c r="N2234" t="s">
        <v>640</v>
      </c>
      <c r="O2234" t="s">
        <v>625</v>
      </c>
      <c r="P2234">
        <v>1</v>
      </c>
      <c r="Q2234">
        <v>0</v>
      </c>
      <c r="R2234">
        <v>84.25</v>
      </c>
      <c r="S2234" t="s">
        <v>495</v>
      </c>
      <c r="T2234" t="s">
        <v>778</v>
      </c>
    </row>
    <row r="2235" spans="1:20" x14ac:dyDescent="0.3">
      <c r="A2235">
        <v>2234</v>
      </c>
      <c r="B2235">
        <v>134</v>
      </c>
      <c r="C2235">
        <v>4</v>
      </c>
      <c r="D2235">
        <v>90.57</v>
      </c>
      <c r="E2235">
        <v>9.06</v>
      </c>
      <c r="F2235">
        <v>0</v>
      </c>
      <c r="G2235">
        <v>0.1</v>
      </c>
      <c r="H2235" t="s">
        <v>622</v>
      </c>
      <c r="J2235" t="s">
        <v>623</v>
      </c>
      <c r="K2235" s="1"/>
      <c r="L2235" s="1">
        <v>46204.775011574071</v>
      </c>
      <c r="M2235" s="2">
        <v>46204</v>
      </c>
      <c r="N2235" t="s">
        <v>640</v>
      </c>
      <c r="O2235" t="s">
        <v>625</v>
      </c>
      <c r="P2235">
        <v>1</v>
      </c>
      <c r="Q2235">
        <v>0</v>
      </c>
      <c r="R2235">
        <v>90.57</v>
      </c>
      <c r="S2235" t="s">
        <v>263</v>
      </c>
      <c r="T2235" t="s">
        <v>778</v>
      </c>
    </row>
    <row r="2236" spans="1:20" x14ac:dyDescent="0.3">
      <c r="A2236">
        <v>2235</v>
      </c>
      <c r="B2236">
        <v>134</v>
      </c>
      <c r="C2236">
        <v>5</v>
      </c>
      <c r="D2236">
        <v>63.45</v>
      </c>
      <c r="E2236">
        <v>6.35</v>
      </c>
      <c r="F2236">
        <v>0</v>
      </c>
      <c r="G2236">
        <v>0.1</v>
      </c>
      <c r="H2236" t="s">
        <v>622</v>
      </c>
      <c r="J2236" t="s">
        <v>623</v>
      </c>
      <c r="K2236" s="1"/>
      <c r="L2236" s="1">
        <v>46204.804062499999</v>
      </c>
      <c r="M2236" s="2">
        <v>46204</v>
      </c>
      <c r="N2236" t="s">
        <v>640</v>
      </c>
      <c r="O2236" t="s">
        <v>625</v>
      </c>
      <c r="P2236">
        <v>1</v>
      </c>
      <c r="Q2236">
        <v>0</v>
      </c>
      <c r="R2236">
        <v>63.45</v>
      </c>
      <c r="S2236" t="s">
        <v>263</v>
      </c>
      <c r="T2236" t="s">
        <v>779</v>
      </c>
    </row>
    <row r="2237" spans="1:20" x14ac:dyDescent="0.3">
      <c r="A2237">
        <v>2236</v>
      </c>
      <c r="B2237">
        <v>179</v>
      </c>
      <c r="C2237">
        <v>5</v>
      </c>
      <c r="D2237">
        <v>141.01</v>
      </c>
      <c r="E2237">
        <v>14.1</v>
      </c>
      <c r="F2237">
        <v>0</v>
      </c>
      <c r="G2237">
        <v>0.1</v>
      </c>
      <c r="H2237" t="s">
        <v>622</v>
      </c>
      <c r="J2237" t="s">
        <v>623</v>
      </c>
      <c r="K2237" s="1"/>
      <c r="L2237" s="1">
        <v>46205.353935185187</v>
      </c>
      <c r="M2237" s="2">
        <v>46205</v>
      </c>
      <c r="N2237" t="s">
        <v>640</v>
      </c>
      <c r="O2237" t="s">
        <v>625</v>
      </c>
      <c r="P2237">
        <v>1</v>
      </c>
      <c r="Q2237">
        <v>0</v>
      </c>
      <c r="R2237">
        <v>141.01</v>
      </c>
      <c r="S2237" t="s">
        <v>353</v>
      </c>
      <c r="T2237" t="s">
        <v>779</v>
      </c>
    </row>
    <row r="2238" spans="1:20" x14ac:dyDescent="0.3">
      <c r="A2238">
        <v>2237</v>
      </c>
      <c r="B2238">
        <v>250</v>
      </c>
      <c r="C2238">
        <v>3</v>
      </c>
      <c r="D2238">
        <v>52.14</v>
      </c>
      <c r="E2238">
        <v>5.21</v>
      </c>
      <c r="F2238">
        <v>0</v>
      </c>
      <c r="G2238">
        <v>0.1</v>
      </c>
      <c r="H2238" t="s">
        <v>622</v>
      </c>
      <c r="J2238" t="s">
        <v>623</v>
      </c>
      <c r="K2238" s="1"/>
      <c r="L2238" s="1">
        <v>46205.635208333333</v>
      </c>
      <c r="M2238" s="2">
        <v>46205</v>
      </c>
      <c r="N2238" t="s">
        <v>640</v>
      </c>
      <c r="O2238" t="s">
        <v>625</v>
      </c>
      <c r="P2238">
        <v>1</v>
      </c>
      <c r="Q2238">
        <v>0</v>
      </c>
      <c r="R2238">
        <v>52.14</v>
      </c>
      <c r="S2238" t="s">
        <v>495</v>
      </c>
      <c r="T2238" t="s">
        <v>777</v>
      </c>
    </row>
    <row r="2239" spans="1:20" x14ac:dyDescent="0.3">
      <c r="A2239">
        <v>2238</v>
      </c>
      <c r="B2239">
        <v>172</v>
      </c>
      <c r="C2239">
        <v>5</v>
      </c>
      <c r="D2239">
        <v>29.01</v>
      </c>
      <c r="E2239">
        <v>2.9</v>
      </c>
      <c r="F2239">
        <v>0</v>
      </c>
      <c r="G2239">
        <v>0.1</v>
      </c>
      <c r="H2239" t="s">
        <v>622</v>
      </c>
      <c r="J2239" t="s">
        <v>623</v>
      </c>
      <c r="K2239" s="1"/>
      <c r="L2239" s="1">
        <v>46205.638148148151</v>
      </c>
      <c r="M2239" s="2">
        <v>46205</v>
      </c>
      <c r="N2239" t="s">
        <v>640</v>
      </c>
      <c r="O2239" t="s">
        <v>625</v>
      </c>
      <c r="P2239">
        <v>1</v>
      </c>
      <c r="Q2239">
        <v>0</v>
      </c>
      <c r="R2239">
        <v>29.01</v>
      </c>
      <c r="S2239" t="s">
        <v>339</v>
      </c>
      <c r="T2239" t="s">
        <v>779</v>
      </c>
    </row>
    <row r="2240" spans="1:20" x14ac:dyDescent="0.3">
      <c r="A2240">
        <v>2239</v>
      </c>
      <c r="B2240">
        <v>65</v>
      </c>
      <c r="C2240">
        <v>3</v>
      </c>
      <c r="D2240">
        <v>34.83</v>
      </c>
      <c r="E2240">
        <v>3.48</v>
      </c>
      <c r="F2240">
        <v>0</v>
      </c>
      <c r="G2240">
        <v>0.1</v>
      </c>
      <c r="H2240" t="s">
        <v>622</v>
      </c>
      <c r="J2240" t="s">
        <v>623</v>
      </c>
      <c r="K2240" s="1"/>
      <c r="L2240" s="1">
        <v>46205.680555555555</v>
      </c>
      <c r="M2240" s="2">
        <v>46205</v>
      </c>
      <c r="N2240" t="s">
        <v>640</v>
      </c>
      <c r="O2240" t="s">
        <v>625</v>
      </c>
      <c r="P2240">
        <v>1</v>
      </c>
      <c r="Q2240">
        <v>0</v>
      </c>
      <c r="R2240">
        <v>34.83</v>
      </c>
      <c r="S2240" t="s">
        <v>126</v>
      </c>
      <c r="T2240" t="s">
        <v>777</v>
      </c>
    </row>
    <row r="2241" spans="1:20" x14ac:dyDescent="0.3">
      <c r="A2241">
        <v>2240</v>
      </c>
      <c r="B2241">
        <v>250</v>
      </c>
      <c r="C2241">
        <v>3</v>
      </c>
      <c r="D2241">
        <v>66.650000000000006</v>
      </c>
      <c r="E2241">
        <v>6.67</v>
      </c>
      <c r="F2241">
        <v>0</v>
      </c>
      <c r="G2241">
        <v>0.1</v>
      </c>
      <c r="H2241" t="s">
        <v>622</v>
      </c>
      <c r="J2241" t="s">
        <v>623</v>
      </c>
      <c r="K2241" s="1"/>
      <c r="L2241" s="1">
        <v>46205.684861111113</v>
      </c>
      <c r="M2241" s="2">
        <v>46205</v>
      </c>
      <c r="N2241" t="s">
        <v>640</v>
      </c>
      <c r="O2241" t="s">
        <v>625</v>
      </c>
      <c r="P2241">
        <v>1</v>
      </c>
      <c r="Q2241">
        <v>0</v>
      </c>
      <c r="R2241">
        <v>66.650000000000006</v>
      </c>
      <c r="S2241" t="s">
        <v>495</v>
      </c>
      <c r="T2241" t="s">
        <v>777</v>
      </c>
    </row>
    <row r="2242" spans="1:20" x14ac:dyDescent="0.3">
      <c r="A2242">
        <v>2241</v>
      </c>
      <c r="B2242">
        <v>48</v>
      </c>
      <c r="C2242">
        <v>2</v>
      </c>
      <c r="D2242">
        <v>72</v>
      </c>
      <c r="E2242">
        <v>7.2</v>
      </c>
      <c r="F2242">
        <v>0</v>
      </c>
      <c r="G2242">
        <v>0.1</v>
      </c>
      <c r="H2242" t="s">
        <v>622</v>
      </c>
      <c r="J2242" t="s">
        <v>623</v>
      </c>
      <c r="K2242" s="1"/>
      <c r="L2242" s="1">
        <v>46205.691342592596</v>
      </c>
      <c r="M2242" s="2">
        <v>46205</v>
      </c>
      <c r="N2242" t="s">
        <v>640</v>
      </c>
      <c r="O2242" t="s">
        <v>625</v>
      </c>
      <c r="P2242">
        <v>1</v>
      </c>
      <c r="Q2242">
        <v>0</v>
      </c>
      <c r="R2242">
        <v>72</v>
      </c>
      <c r="S2242" t="s">
        <v>92</v>
      </c>
      <c r="T2242" t="s">
        <v>776</v>
      </c>
    </row>
    <row r="2243" spans="1:20" x14ac:dyDescent="0.3">
      <c r="A2243">
        <v>2242</v>
      </c>
      <c r="B2243">
        <v>277</v>
      </c>
      <c r="C2243">
        <v>3</v>
      </c>
      <c r="D2243">
        <v>143.57</v>
      </c>
      <c r="E2243">
        <v>14.36</v>
      </c>
      <c r="F2243">
        <v>0</v>
      </c>
      <c r="G2243">
        <v>0.1</v>
      </c>
      <c r="H2243" t="s">
        <v>622</v>
      </c>
      <c r="J2243" t="s">
        <v>623</v>
      </c>
      <c r="K2243" s="1"/>
      <c r="L2243" s="1">
        <v>46206.359594907408</v>
      </c>
      <c r="M2243" s="2">
        <v>46206</v>
      </c>
      <c r="N2243" t="s">
        <v>640</v>
      </c>
      <c r="O2243" t="s">
        <v>625</v>
      </c>
      <c r="P2243">
        <v>1</v>
      </c>
      <c r="Q2243">
        <v>0</v>
      </c>
      <c r="R2243">
        <v>143.57</v>
      </c>
      <c r="S2243" t="s">
        <v>549</v>
      </c>
      <c r="T2243" t="s">
        <v>777</v>
      </c>
    </row>
    <row r="2244" spans="1:20" x14ac:dyDescent="0.3">
      <c r="A2244">
        <v>2243</v>
      </c>
      <c r="B2244">
        <v>202</v>
      </c>
      <c r="C2244">
        <v>3</v>
      </c>
      <c r="D2244">
        <v>39.06</v>
      </c>
      <c r="E2244">
        <v>3.91</v>
      </c>
      <c r="F2244">
        <v>0</v>
      </c>
      <c r="G2244">
        <v>0.1</v>
      </c>
      <c r="H2244" t="s">
        <v>622</v>
      </c>
      <c r="J2244" t="s">
        <v>623</v>
      </c>
      <c r="K2244" s="1"/>
      <c r="L2244" s="1">
        <v>46206.381967592592</v>
      </c>
      <c r="M2244" s="2">
        <v>46206</v>
      </c>
      <c r="N2244" t="s">
        <v>640</v>
      </c>
      <c r="O2244" t="s">
        <v>625</v>
      </c>
      <c r="P2244">
        <v>1</v>
      </c>
      <c r="Q2244">
        <v>0</v>
      </c>
      <c r="R2244">
        <v>39.06</v>
      </c>
      <c r="S2244" t="s">
        <v>399</v>
      </c>
      <c r="T2244" t="s">
        <v>777</v>
      </c>
    </row>
    <row r="2245" spans="1:20" x14ac:dyDescent="0.3">
      <c r="A2245">
        <v>2244</v>
      </c>
      <c r="B2245">
        <v>183</v>
      </c>
      <c r="C2245">
        <v>4</v>
      </c>
      <c r="D2245">
        <v>121.04</v>
      </c>
      <c r="E2245">
        <v>12.1</v>
      </c>
      <c r="F2245">
        <v>0</v>
      </c>
      <c r="G2245">
        <v>0.1</v>
      </c>
      <c r="H2245" t="s">
        <v>622</v>
      </c>
      <c r="J2245" t="s">
        <v>623</v>
      </c>
      <c r="K2245" s="1"/>
      <c r="L2245" s="1">
        <v>46206.389004629629</v>
      </c>
      <c r="M2245" s="2">
        <v>46206</v>
      </c>
      <c r="N2245" t="s">
        <v>640</v>
      </c>
      <c r="O2245" t="s">
        <v>625</v>
      </c>
      <c r="P2245">
        <v>1</v>
      </c>
      <c r="Q2245">
        <v>0</v>
      </c>
      <c r="R2245">
        <v>121.04</v>
      </c>
      <c r="S2245" t="s">
        <v>361</v>
      </c>
      <c r="T2245" t="s">
        <v>778</v>
      </c>
    </row>
    <row r="2246" spans="1:20" x14ac:dyDescent="0.3">
      <c r="A2246">
        <v>2245</v>
      </c>
      <c r="B2246">
        <v>250</v>
      </c>
      <c r="C2246">
        <v>2</v>
      </c>
      <c r="D2246">
        <v>64.25</v>
      </c>
      <c r="E2246">
        <v>0</v>
      </c>
      <c r="F2246">
        <v>1</v>
      </c>
      <c r="G2246">
        <v>0.1</v>
      </c>
      <c r="H2246" t="s">
        <v>622</v>
      </c>
      <c r="J2246" t="s">
        <v>623</v>
      </c>
      <c r="K2246" s="1"/>
      <c r="L2246" s="1">
        <v>46206.45171296296</v>
      </c>
      <c r="M2246" s="2">
        <v>46206</v>
      </c>
      <c r="N2246" t="s">
        <v>640</v>
      </c>
      <c r="O2246" t="s">
        <v>629</v>
      </c>
      <c r="P2246">
        <v>1</v>
      </c>
      <c r="Q2246">
        <v>0</v>
      </c>
      <c r="R2246">
        <v>64.25</v>
      </c>
      <c r="S2246" t="s">
        <v>495</v>
      </c>
      <c r="T2246" t="s">
        <v>776</v>
      </c>
    </row>
    <row r="2247" spans="1:20" x14ac:dyDescent="0.3">
      <c r="A2247">
        <v>2246</v>
      </c>
      <c r="B2247">
        <v>101</v>
      </c>
      <c r="C2247">
        <v>4</v>
      </c>
      <c r="D2247">
        <v>52.47</v>
      </c>
      <c r="E2247">
        <v>5.25</v>
      </c>
      <c r="F2247">
        <v>0</v>
      </c>
      <c r="G2247">
        <v>0.1</v>
      </c>
      <c r="H2247" t="s">
        <v>622</v>
      </c>
      <c r="J2247" t="s">
        <v>623</v>
      </c>
      <c r="K2247" s="1"/>
      <c r="L2247" s="1">
        <v>46206.498622685183</v>
      </c>
      <c r="M2247" s="2">
        <v>46206</v>
      </c>
      <c r="N2247" t="s">
        <v>640</v>
      </c>
      <c r="O2247" t="s">
        <v>625</v>
      </c>
      <c r="P2247">
        <v>1</v>
      </c>
      <c r="Q2247">
        <v>0</v>
      </c>
      <c r="R2247">
        <v>52.47</v>
      </c>
      <c r="S2247" t="s">
        <v>197</v>
      </c>
      <c r="T2247" t="s">
        <v>778</v>
      </c>
    </row>
    <row r="2248" spans="1:20" x14ac:dyDescent="0.3">
      <c r="A2248">
        <v>2247</v>
      </c>
      <c r="B2248">
        <v>128</v>
      </c>
      <c r="C2248">
        <v>4</v>
      </c>
      <c r="D2248">
        <v>18.71</v>
      </c>
      <c r="E2248">
        <v>1.87</v>
      </c>
      <c r="F2248">
        <v>0</v>
      </c>
      <c r="G2248">
        <v>0.1</v>
      </c>
      <c r="H2248" t="s">
        <v>622</v>
      </c>
      <c r="J2248" t="s">
        <v>623</v>
      </c>
      <c r="K2248" s="1"/>
      <c r="L2248" s="1">
        <v>46206.631689814814</v>
      </c>
      <c r="M2248" s="2">
        <v>46206</v>
      </c>
      <c r="N2248" t="s">
        <v>640</v>
      </c>
      <c r="O2248" t="s">
        <v>625</v>
      </c>
      <c r="P2248">
        <v>1</v>
      </c>
      <c r="Q2248">
        <v>0</v>
      </c>
      <c r="R2248">
        <v>18.71</v>
      </c>
      <c r="S2248" t="s">
        <v>251</v>
      </c>
      <c r="T2248" t="s">
        <v>778</v>
      </c>
    </row>
    <row r="2249" spans="1:20" x14ac:dyDescent="0.3">
      <c r="A2249">
        <v>2248</v>
      </c>
      <c r="B2249">
        <v>134</v>
      </c>
      <c r="C2249">
        <v>5</v>
      </c>
      <c r="D2249">
        <v>140.19</v>
      </c>
      <c r="E2249">
        <v>14.02</v>
      </c>
      <c r="F2249">
        <v>0</v>
      </c>
      <c r="G2249">
        <v>0.1</v>
      </c>
      <c r="H2249" t="s">
        <v>622</v>
      </c>
      <c r="J2249" t="s">
        <v>623</v>
      </c>
      <c r="K2249" s="1"/>
      <c r="L2249" s="1">
        <v>46206.683368055557</v>
      </c>
      <c r="M2249" s="2">
        <v>46206</v>
      </c>
      <c r="N2249" t="s">
        <v>640</v>
      </c>
      <c r="O2249" t="s">
        <v>625</v>
      </c>
      <c r="P2249">
        <v>1</v>
      </c>
      <c r="Q2249">
        <v>0</v>
      </c>
      <c r="R2249">
        <v>140.19</v>
      </c>
      <c r="S2249" t="s">
        <v>263</v>
      </c>
      <c r="T2249" t="s">
        <v>779</v>
      </c>
    </row>
    <row r="2250" spans="1:20" x14ac:dyDescent="0.3">
      <c r="A2250">
        <v>2249</v>
      </c>
      <c r="B2250">
        <v>229</v>
      </c>
      <c r="C2250">
        <v>4</v>
      </c>
      <c r="D2250">
        <v>65.5</v>
      </c>
      <c r="E2250">
        <v>6.55</v>
      </c>
      <c r="F2250">
        <v>0</v>
      </c>
      <c r="G2250">
        <v>0.1</v>
      </c>
      <c r="H2250" t="s">
        <v>622</v>
      </c>
      <c r="J2250" t="s">
        <v>623</v>
      </c>
      <c r="K2250" s="1"/>
      <c r="L2250" s="1">
        <v>46206.695127314815</v>
      </c>
      <c r="M2250" s="2">
        <v>46206</v>
      </c>
      <c r="N2250" t="s">
        <v>640</v>
      </c>
      <c r="O2250" t="s">
        <v>625</v>
      </c>
      <c r="P2250">
        <v>1</v>
      </c>
      <c r="Q2250">
        <v>0</v>
      </c>
      <c r="R2250">
        <v>65.5</v>
      </c>
      <c r="S2250" t="s">
        <v>453</v>
      </c>
      <c r="T2250" t="s">
        <v>778</v>
      </c>
    </row>
    <row r="2251" spans="1:20" x14ac:dyDescent="0.3">
      <c r="A2251">
        <v>2250</v>
      </c>
      <c r="B2251">
        <v>47</v>
      </c>
      <c r="C2251">
        <v>2</v>
      </c>
      <c r="D2251">
        <v>46.36</v>
      </c>
      <c r="E2251">
        <v>0</v>
      </c>
      <c r="F2251">
        <v>1</v>
      </c>
      <c r="G2251">
        <v>0.1</v>
      </c>
      <c r="H2251" t="s">
        <v>622</v>
      </c>
      <c r="J2251" t="s">
        <v>623</v>
      </c>
      <c r="K2251" s="1"/>
      <c r="L2251" s="1">
        <v>46206.759131944447</v>
      </c>
      <c r="M2251" s="2">
        <v>46206</v>
      </c>
      <c r="N2251" t="s">
        <v>640</v>
      </c>
      <c r="O2251" t="s">
        <v>629</v>
      </c>
      <c r="P2251">
        <v>1</v>
      </c>
      <c r="Q2251">
        <v>0</v>
      </c>
      <c r="R2251">
        <v>46.36</v>
      </c>
      <c r="S2251" t="s">
        <v>90</v>
      </c>
      <c r="T2251" t="s">
        <v>776</v>
      </c>
    </row>
    <row r="2252" spans="1:20" x14ac:dyDescent="0.3">
      <c r="A2252">
        <v>2251</v>
      </c>
      <c r="B2252">
        <v>175</v>
      </c>
      <c r="C2252">
        <v>2</v>
      </c>
      <c r="D2252">
        <v>28.17</v>
      </c>
      <c r="E2252">
        <v>2.82</v>
      </c>
      <c r="F2252">
        <v>0</v>
      </c>
      <c r="G2252">
        <v>0.1</v>
      </c>
      <c r="H2252" t="s">
        <v>622</v>
      </c>
      <c r="J2252" t="s">
        <v>623</v>
      </c>
      <c r="K2252" s="1"/>
      <c r="L2252" s="1">
        <v>46206.809374999997</v>
      </c>
      <c r="M2252" s="2">
        <v>46206</v>
      </c>
      <c r="N2252" t="s">
        <v>640</v>
      </c>
      <c r="O2252" t="s">
        <v>625</v>
      </c>
      <c r="P2252">
        <v>1</v>
      </c>
      <c r="Q2252">
        <v>0</v>
      </c>
      <c r="R2252">
        <v>28.17</v>
      </c>
      <c r="S2252" t="s">
        <v>345</v>
      </c>
      <c r="T2252" t="s">
        <v>776</v>
      </c>
    </row>
    <row r="2253" spans="1:20" x14ac:dyDescent="0.3">
      <c r="A2253">
        <v>2252</v>
      </c>
      <c r="B2253">
        <v>128</v>
      </c>
      <c r="C2253">
        <v>3</v>
      </c>
      <c r="D2253">
        <v>51.05</v>
      </c>
      <c r="E2253">
        <v>5.1100000000000003</v>
      </c>
      <c r="F2253">
        <v>0</v>
      </c>
      <c r="G2253">
        <v>0.1</v>
      </c>
      <c r="H2253" t="s">
        <v>622</v>
      </c>
      <c r="J2253" t="s">
        <v>623</v>
      </c>
      <c r="K2253" s="1"/>
      <c r="L2253" s="1">
        <v>46207.297002314815</v>
      </c>
      <c r="M2253" s="2">
        <v>46207</v>
      </c>
      <c r="N2253" t="s">
        <v>640</v>
      </c>
      <c r="O2253" t="s">
        <v>625</v>
      </c>
      <c r="P2253">
        <v>1</v>
      </c>
      <c r="Q2253">
        <v>0</v>
      </c>
      <c r="R2253">
        <v>51.05</v>
      </c>
      <c r="S2253" t="s">
        <v>251</v>
      </c>
      <c r="T2253" t="s">
        <v>777</v>
      </c>
    </row>
    <row r="2254" spans="1:20" x14ac:dyDescent="0.3">
      <c r="A2254">
        <v>2253</v>
      </c>
      <c r="B2254">
        <v>175</v>
      </c>
      <c r="C2254">
        <v>2</v>
      </c>
      <c r="D2254">
        <v>26.73</v>
      </c>
      <c r="E2254">
        <v>2.67</v>
      </c>
      <c r="F2254">
        <v>0</v>
      </c>
      <c r="G2254">
        <v>0.1</v>
      </c>
      <c r="H2254" t="s">
        <v>622</v>
      </c>
      <c r="J2254" t="s">
        <v>623</v>
      </c>
      <c r="K2254" s="1"/>
      <c r="L2254" s="1">
        <v>46207.303148148145</v>
      </c>
      <c r="M2254" s="2">
        <v>46207</v>
      </c>
      <c r="N2254" t="s">
        <v>640</v>
      </c>
      <c r="O2254" t="s">
        <v>625</v>
      </c>
      <c r="P2254">
        <v>1</v>
      </c>
      <c r="Q2254">
        <v>0</v>
      </c>
      <c r="R2254">
        <v>26.73</v>
      </c>
      <c r="S2254" t="s">
        <v>345</v>
      </c>
      <c r="T2254" t="s">
        <v>776</v>
      </c>
    </row>
    <row r="2255" spans="1:20" x14ac:dyDescent="0.3">
      <c r="A2255">
        <v>2254</v>
      </c>
      <c r="B2255">
        <v>213</v>
      </c>
      <c r="C2255">
        <v>3</v>
      </c>
      <c r="D2255">
        <v>160.51</v>
      </c>
      <c r="E2255">
        <v>16.05</v>
      </c>
      <c r="F2255">
        <v>0</v>
      </c>
      <c r="G2255">
        <v>0.1</v>
      </c>
      <c r="H2255" t="s">
        <v>622</v>
      </c>
      <c r="J2255" t="s">
        <v>623</v>
      </c>
      <c r="K2255" s="1"/>
      <c r="L2255" s="1">
        <v>46207.331192129626</v>
      </c>
      <c r="M2255" s="2">
        <v>46207</v>
      </c>
      <c r="N2255" t="s">
        <v>640</v>
      </c>
      <c r="O2255" t="s">
        <v>625</v>
      </c>
      <c r="P2255">
        <v>1</v>
      </c>
      <c r="Q2255">
        <v>0</v>
      </c>
      <c r="R2255">
        <v>160.51</v>
      </c>
      <c r="S2255" t="s">
        <v>421</v>
      </c>
      <c r="T2255" t="s">
        <v>777</v>
      </c>
    </row>
    <row r="2256" spans="1:20" x14ac:dyDescent="0.3">
      <c r="A2256">
        <v>2255</v>
      </c>
      <c r="B2256">
        <v>106</v>
      </c>
      <c r="C2256">
        <v>2</v>
      </c>
      <c r="D2256">
        <v>58.35</v>
      </c>
      <c r="E2256">
        <v>5.84</v>
      </c>
      <c r="F2256">
        <v>0</v>
      </c>
      <c r="G2256">
        <v>0.1</v>
      </c>
      <c r="H2256" t="s">
        <v>622</v>
      </c>
      <c r="J2256" t="s">
        <v>623</v>
      </c>
      <c r="K2256" s="1"/>
      <c r="L2256" s="1">
        <v>46207.389224537037</v>
      </c>
      <c r="M2256" s="2">
        <v>46207</v>
      </c>
      <c r="N2256" t="s">
        <v>640</v>
      </c>
      <c r="O2256" t="s">
        <v>625</v>
      </c>
      <c r="P2256">
        <v>1</v>
      </c>
      <c r="Q2256">
        <v>0</v>
      </c>
      <c r="R2256">
        <v>58.35</v>
      </c>
      <c r="S2256" t="s">
        <v>207</v>
      </c>
      <c r="T2256" t="s">
        <v>776</v>
      </c>
    </row>
    <row r="2257" spans="1:20" x14ac:dyDescent="0.3">
      <c r="A2257">
        <v>2256</v>
      </c>
      <c r="B2257">
        <v>128</v>
      </c>
      <c r="C2257">
        <v>5</v>
      </c>
      <c r="D2257">
        <v>29.88</v>
      </c>
      <c r="E2257">
        <v>2.99</v>
      </c>
      <c r="F2257">
        <v>0</v>
      </c>
      <c r="G2257">
        <v>0.1</v>
      </c>
      <c r="H2257" t="s">
        <v>622</v>
      </c>
      <c r="J2257" t="s">
        <v>623</v>
      </c>
      <c r="K2257" s="1"/>
      <c r="L2257" s="1">
        <v>46207.638541666667</v>
      </c>
      <c r="M2257" s="2">
        <v>46207</v>
      </c>
      <c r="N2257" t="s">
        <v>640</v>
      </c>
      <c r="O2257" t="s">
        <v>625</v>
      </c>
      <c r="P2257">
        <v>1</v>
      </c>
      <c r="Q2257">
        <v>0</v>
      </c>
      <c r="R2257">
        <v>29.88</v>
      </c>
      <c r="S2257" t="s">
        <v>251</v>
      </c>
      <c r="T2257" t="s">
        <v>779</v>
      </c>
    </row>
    <row r="2258" spans="1:20" x14ac:dyDescent="0.3">
      <c r="A2258">
        <v>2257</v>
      </c>
      <c r="B2258">
        <v>244</v>
      </c>
      <c r="C2258">
        <v>3</v>
      </c>
      <c r="D2258">
        <v>72.73</v>
      </c>
      <c r="E2258">
        <v>7.27</v>
      </c>
      <c r="F2258">
        <v>0</v>
      </c>
      <c r="G2258">
        <v>0.1</v>
      </c>
      <c r="H2258" t="s">
        <v>622</v>
      </c>
      <c r="J2258" t="s">
        <v>623</v>
      </c>
      <c r="K2258" s="1"/>
      <c r="L2258" s="1">
        <v>46207.641562500001</v>
      </c>
      <c r="M2258" s="2">
        <v>46207</v>
      </c>
      <c r="N2258" t="s">
        <v>640</v>
      </c>
      <c r="O2258" t="s">
        <v>625</v>
      </c>
      <c r="P2258">
        <v>1</v>
      </c>
      <c r="Q2258">
        <v>0</v>
      </c>
      <c r="R2258">
        <v>72.73</v>
      </c>
      <c r="S2258" t="s">
        <v>483</v>
      </c>
      <c r="T2258" t="s">
        <v>777</v>
      </c>
    </row>
    <row r="2259" spans="1:20" x14ac:dyDescent="0.3">
      <c r="A2259">
        <v>2258</v>
      </c>
      <c r="B2259">
        <v>243</v>
      </c>
      <c r="C2259">
        <v>2</v>
      </c>
      <c r="D2259">
        <v>13.39</v>
      </c>
      <c r="E2259">
        <v>0</v>
      </c>
      <c r="F2259">
        <v>1</v>
      </c>
      <c r="G2259">
        <v>0.1</v>
      </c>
      <c r="H2259" t="s">
        <v>622</v>
      </c>
      <c r="J2259" t="s">
        <v>623</v>
      </c>
      <c r="K2259" s="1"/>
      <c r="L2259" s="1">
        <v>46207.694479166668</v>
      </c>
      <c r="M2259" s="2">
        <v>46207</v>
      </c>
      <c r="N2259" t="s">
        <v>640</v>
      </c>
      <c r="O2259" t="s">
        <v>629</v>
      </c>
      <c r="P2259">
        <v>1</v>
      </c>
      <c r="Q2259">
        <v>0</v>
      </c>
      <c r="R2259">
        <v>13.39</v>
      </c>
      <c r="S2259" t="s">
        <v>481</v>
      </c>
      <c r="T2259" t="s">
        <v>776</v>
      </c>
    </row>
    <row r="2260" spans="1:20" x14ac:dyDescent="0.3">
      <c r="A2260">
        <v>2259</v>
      </c>
      <c r="B2260">
        <v>48</v>
      </c>
      <c r="C2260">
        <v>3</v>
      </c>
      <c r="D2260">
        <v>80.64</v>
      </c>
      <c r="E2260">
        <v>8.06</v>
      </c>
      <c r="F2260">
        <v>0</v>
      </c>
      <c r="G2260">
        <v>0.1</v>
      </c>
      <c r="H2260" t="s">
        <v>622</v>
      </c>
      <c r="J2260" t="s">
        <v>623</v>
      </c>
      <c r="K2260" s="1"/>
      <c r="L2260" s="1">
        <v>46207.718622685185</v>
      </c>
      <c r="M2260" s="2">
        <v>46207</v>
      </c>
      <c r="N2260" t="s">
        <v>640</v>
      </c>
      <c r="O2260" t="s">
        <v>625</v>
      </c>
      <c r="P2260">
        <v>1</v>
      </c>
      <c r="Q2260">
        <v>0</v>
      </c>
      <c r="R2260">
        <v>80.64</v>
      </c>
      <c r="S2260" t="s">
        <v>92</v>
      </c>
      <c r="T2260" t="s">
        <v>777</v>
      </c>
    </row>
    <row r="2261" spans="1:20" x14ac:dyDescent="0.3">
      <c r="A2261">
        <v>2260</v>
      </c>
      <c r="B2261">
        <v>70</v>
      </c>
      <c r="C2261">
        <v>3</v>
      </c>
      <c r="D2261">
        <v>287.17</v>
      </c>
      <c r="E2261">
        <v>28.72</v>
      </c>
      <c r="F2261">
        <v>0</v>
      </c>
      <c r="G2261">
        <v>0.1</v>
      </c>
      <c r="H2261" t="s">
        <v>626</v>
      </c>
      <c r="I2261">
        <v>3</v>
      </c>
      <c r="J2261" t="s">
        <v>632</v>
      </c>
      <c r="K2261" s="1">
        <v>46209.666064814817</v>
      </c>
      <c r="L2261" s="1">
        <v>46207.832731481481</v>
      </c>
      <c r="M2261" s="2">
        <v>46207</v>
      </c>
      <c r="N2261" t="s">
        <v>640</v>
      </c>
      <c r="O2261" t="s">
        <v>625</v>
      </c>
      <c r="P2261">
        <v>1</v>
      </c>
      <c r="Q2261">
        <v>1</v>
      </c>
      <c r="R2261">
        <v>0</v>
      </c>
      <c r="S2261" t="s">
        <v>136</v>
      </c>
      <c r="T2261" t="s">
        <v>777</v>
      </c>
    </row>
    <row r="2262" spans="1:20" x14ac:dyDescent="0.3">
      <c r="A2262">
        <v>2261</v>
      </c>
      <c r="B2262">
        <v>147</v>
      </c>
      <c r="C2262">
        <v>2</v>
      </c>
      <c r="D2262">
        <v>96.57</v>
      </c>
      <c r="E2262">
        <v>9.66</v>
      </c>
      <c r="F2262">
        <v>0</v>
      </c>
      <c r="G2262">
        <v>0.1</v>
      </c>
      <c r="H2262" t="s">
        <v>626</v>
      </c>
      <c r="I2262">
        <v>5</v>
      </c>
      <c r="J2262" t="s">
        <v>627</v>
      </c>
      <c r="K2262" s="1">
        <v>46208.586469907408</v>
      </c>
      <c r="L2262" s="1">
        <v>46208.294803240744</v>
      </c>
      <c r="M2262" s="2">
        <v>46208</v>
      </c>
      <c r="N2262" t="s">
        <v>640</v>
      </c>
      <c r="O2262" t="s">
        <v>625</v>
      </c>
      <c r="P2262">
        <v>1</v>
      </c>
      <c r="Q2262">
        <v>1</v>
      </c>
      <c r="R2262">
        <v>0</v>
      </c>
      <c r="S2262" t="s">
        <v>289</v>
      </c>
      <c r="T2262" t="s">
        <v>776</v>
      </c>
    </row>
    <row r="2263" spans="1:20" x14ac:dyDescent="0.3">
      <c r="A2263">
        <v>2262</v>
      </c>
      <c r="B2263">
        <v>184</v>
      </c>
      <c r="C2263">
        <v>5</v>
      </c>
      <c r="D2263">
        <v>220</v>
      </c>
      <c r="E2263">
        <v>22</v>
      </c>
      <c r="F2263">
        <v>0</v>
      </c>
      <c r="G2263">
        <v>0.1</v>
      </c>
      <c r="H2263" t="s">
        <v>622</v>
      </c>
      <c r="J2263" t="s">
        <v>623</v>
      </c>
      <c r="K2263" s="1"/>
      <c r="L2263" s="1">
        <v>46208.629328703704</v>
      </c>
      <c r="M2263" s="2">
        <v>46208</v>
      </c>
      <c r="N2263" t="s">
        <v>640</v>
      </c>
      <c r="O2263" t="s">
        <v>625</v>
      </c>
      <c r="P2263">
        <v>1</v>
      </c>
      <c r="Q2263">
        <v>0</v>
      </c>
      <c r="R2263">
        <v>220</v>
      </c>
      <c r="S2263" t="s">
        <v>363</v>
      </c>
      <c r="T2263" t="s">
        <v>779</v>
      </c>
    </row>
    <row r="2264" spans="1:20" x14ac:dyDescent="0.3">
      <c r="A2264">
        <v>2263</v>
      </c>
      <c r="B2264">
        <v>90</v>
      </c>
      <c r="C2264">
        <v>4</v>
      </c>
      <c r="D2264">
        <v>204.85</v>
      </c>
      <c r="E2264">
        <v>20.49</v>
      </c>
      <c r="F2264">
        <v>0</v>
      </c>
      <c r="G2264">
        <v>0.1</v>
      </c>
      <c r="H2264" t="s">
        <v>622</v>
      </c>
      <c r="J2264" t="s">
        <v>623</v>
      </c>
      <c r="K2264" s="1"/>
      <c r="L2264" s="1">
        <v>46208.630682870367</v>
      </c>
      <c r="M2264" s="2">
        <v>46208</v>
      </c>
      <c r="N2264" t="s">
        <v>640</v>
      </c>
      <c r="O2264" t="s">
        <v>625</v>
      </c>
      <c r="P2264">
        <v>1</v>
      </c>
      <c r="Q2264">
        <v>0</v>
      </c>
      <c r="R2264">
        <v>204.85</v>
      </c>
      <c r="S2264" t="s">
        <v>175</v>
      </c>
      <c r="T2264" t="s">
        <v>778</v>
      </c>
    </row>
    <row r="2265" spans="1:20" x14ac:dyDescent="0.3">
      <c r="A2265">
        <v>2264</v>
      </c>
      <c r="B2265">
        <v>117</v>
      </c>
      <c r="C2265">
        <v>3</v>
      </c>
      <c r="D2265">
        <v>58.16</v>
      </c>
      <c r="E2265">
        <v>5.82</v>
      </c>
      <c r="F2265">
        <v>0</v>
      </c>
      <c r="G2265">
        <v>0.1</v>
      </c>
      <c r="H2265" t="s">
        <v>622</v>
      </c>
      <c r="J2265" t="s">
        <v>623</v>
      </c>
      <c r="K2265" s="1"/>
      <c r="L2265" s="1">
        <v>46208.638483796298</v>
      </c>
      <c r="M2265" s="2">
        <v>46208</v>
      </c>
      <c r="N2265" t="s">
        <v>640</v>
      </c>
      <c r="O2265" t="s">
        <v>625</v>
      </c>
      <c r="P2265">
        <v>1</v>
      </c>
      <c r="Q2265">
        <v>0</v>
      </c>
      <c r="R2265">
        <v>58.16</v>
      </c>
      <c r="S2265" t="s">
        <v>229</v>
      </c>
      <c r="T2265" t="s">
        <v>777</v>
      </c>
    </row>
    <row r="2266" spans="1:20" x14ac:dyDescent="0.3">
      <c r="A2266">
        <v>2265</v>
      </c>
      <c r="B2266">
        <v>134</v>
      </c>
      <c r="C2266">
        <v>3</v>
      </c>
      <c r="D2266">
        <v>142.31</v>
      </c>
      <c r="E2266">
        <v>14.23</v>
      </c>
      <c r="F2266">
        <v>0</v>
      </c>
      <c r="G2266">
        <v>0.1</v>
      </c>
      <c r="H2266" t="s">
        <v>622</v>
      </c>
      <c r="J2266" t="s">
        <v>623</v>
      </c>
      <c r="K2266" s="1"/>
      <c r="L2266" s="1">
        <v>46209.356840277775</v>
      </c>
      <c r="M2266" s="2">
        <v>46209</v>
      </c>
      <c r="N2266" t="s">
        <v>640</v>
      </c>
      <c r="O2266" t="s">
        <v>625</v>
      </c>
      <c r="P2266">
        <v>1</v>
      </c>
      <c r="Q2266">
        <v>0</v>
      </c>
      <c r="R2266">
        <v>142.31</v>
      </c>
      <c r="S2266" t="s">
        <v>263</v>
      </c>
      <c r="T2266" t="s">
        <v>777</v>
      </c>
    </row>
    <row r="2267" spans="1:20" x14ac:dyDescent="0.3">
      <c r="A2267">
        <v>2266</v>
      </c>
      <c r="B2267">
        <v>137</v>
      </c>
      <c r="C2267">
        <v>3</v>
      </c>
      <c r="D2267">
        <v>47.3</v>
      </c>
      <c r="E2267">
        <v>4.7300000000000004</v>
      </c>
      <c r="F2267">
        <v>0</v>
      </c>
      <c r="G2267">
        <v>0.1</v>
      </c>
      <c r="H2267" t="s">
        <v>622</v>
      </c>
      <c r="J2267" t="s">
        <v>623</v>
      </c>
      <c r="K2267" s="1"/>
      <c r="L2267" s="1">
        <v>46209.523645833331</v>
      </c>
      <c r="M2267" s="2">
        <v>46209</v>
      </c>
      <c r="N2267" t="s">
        <v>640</v>
      </c>
      <c r="O2267" t="s">
        <v>625</v>
      </c>
      <c r="P2267">
        <v>1</v>
      </c>
      <c r="Q2267">
        <v>0</v>
      </c>
      <c r="R2267">
        <v>47.3</v>
      </c>
      <c r="S2267" t="s">
        <v>269</v>
      </c>
      <c r="T2267" t="s">
        <v>777</v>
      </c>
    </row>
    <row r="2268" spans="1:20" x14ac:dyDescent="0.3">
      <c r="A2268">
        <v>2267</v>
      </c>
      <c r="B2268">
        <v>263</v>
      </c>
      <c r="C2268">
        <v>2</v>
      </c>
      <c r="D2268">
        <v>35.61</v>
      </c>
      <c r="E2268">
        <v>3.56</v>
      </c>
      <c r="F2268">
        <v>0</v>
      </c>
      <c r="G2268">
        <v>0.1</v>
      </c>
      <c r="H2268" t="s">
        <v>622</v>
      </c>
      <c r="J2268" t="s">
        <v>623</v>
      </c>
      <c r="K2268" s="1"/>
      <c r="L2268" s="1">
        <v>46210.383564814816</v>
      </c>
      <c r="M2268" s="2">
        <v>46210</v>
      </c>
      <c r="N2268" t="s">
        <v>640</v>
      </c>
      <c r="O2268" t="s">
        <v>625</v>
      </c>
      <c r="P2268">
        <v>1</v>
      </c>
      <c r="Q2268">
        <v>0</v>
      </c>
      <c r="R2268">
        <v>35.61</v>
      </c>
      <c r="S2268" t="s">
        <v>521</v>
      </c>
      <c r="T2268" t="s">
        <v>776</v>
      </c>
    </row>
    <row r="2269" spans="1:20" x14ac:dyDescent="0.3">
      <c r="A2269">
        <v>2268</v>
      </c>
      <c r="B2269">
        <v>51</v>
      </c>
      <c r="C2269">
        <v>3</v>
      </c>
      <c r="D2269">
        <v>130.9</v>
      </c>
      <c r="E2269">
        <v>13.09</v>
      </c>
      <c r="F2269">
        <v>0</v>
      </c>
      <c r="G2269">
        <v>0.1</v>
      </c>
      <c r="H2269" t="s">
        <v>622</v>
      </c>
      <c r="J2269" t="s">
        <v>623</v>
      </c>
      <c r="K2269" s="1"/>
      <c r="L2269" s="1">
        <v>46210.404826388891</v>
      </c>
      <c r="M2269" s="2">
        <v>46210</v>
      </c>
      <c r="N2269" t="s">
        <v>640</v>
      </c>
      <c r="O2269" t="s">
        <v>625</v>
      </c>
      <c r="P2269">
        <v>1</v>
      </c>
      <c r="Q2269">
        <v>0</v>
      </c>
      <c r="R2269">
        <v>130.9</v>
      </c>
      <c r="S2269" t="s">
        <v>98</v>
      </c>
      <c r="T2269" t="s">
        <v>777</v>
      </c>
    </row>
    <row r="2270" spans="1:20" x14ac:dyDescent="0.3">
      <c r="A2270">
        <v>2269</v>
      </c>
      <c r="B2270">
        <v>36</v>
      </c>
      <c r="C2270">
        <v>2</v>
      </c>
      <c r="D2270">
        <v>138.4</v>
      </c>
      <c r="E2270">
        <v>13.84</v>
      </c>
      <c r="F2270">
        <v>0</v>
      </c>
      <c r="G2270">
        <v>0.1</v>
      </c>
      <c r="H2270" t="s">
        <v>622</v>
      </c>
      <c r="J2270" t="s">
        <v>623</v>
      </c>
      <c r="K2270" s="1"/>
      <c r="L2270" s="1">
        <v>46210.463391203702</v>
      </c>
      <c r="M2270" s="2">
        <v>46210</v>
      </c>
      <c r="N2270" t="s">
        <v>640</v>
      </c>
      <c r="O2270" t="s">
        <v>625</v>
      </c>
      <c r="P2270">
        <v>1</v>
      </c>
      <c r="Q2270">
        <v>0</v>
      </c>
      <c r="R2270">
        <v>138.4</v>
      </c>
      <c r="S2270" t="s">
        <v>68</v>
      </c>
      <c r="T2270" t="s">
        <v>776</v>
      </c>
    </row>
    <row r="2271" spans="1:20" x14ac:dyDescent="0.3">
      <c r="A2271">
        <v>2270</v>
      </c>
      <c r="B2271">
        <v>252</v>
      </c>
      <c r="C2271">
        <v>4</v>
      </c>
      <c r="D2271">
        <v>22.41</v>
      </c>
      <c r="E2271">
        <v>2.2400000000000002</v>
      </c>
      <c r="F2271">
        <v>0</v>
      </c>
      <c r="G2271">
        <v>0.1</v>
      </c>
      <c r="H2271" t="s">
        <v>622</v>
      </c>
      <c r="J2271" t="s">
        <v>623</v>
      </c>
      <c r="K2271" s="1"/>
      <c r="L2271" s="1">
        <v>46210.573900462965</v>
      </c>
      <c r="M2271" s="2">
        <v>46210</v>
      </c>
      <c r="N2271" t="s">
        <v>640</v>
      </c>
      <c r="O2271" t="s">
        <v>625</v>
      </c>
      <c r="P2271">
        <v>1</v>
      </c>
      <c r="Q2271">
        <v>0</v>
      </c>
      <c r="R2271">
        <v>22.41</v>
      </c>
      <c r="S2271" t="s">
        <v>499</v>
      </c>
      <c r="T2271" t="s">
        <v>778</v>
      </c>
    </row>
    <row r="2272" spans="1:20" x14ac:dyDescent="0.3">
      <c r="A2272">
        <v>2271</v>
      </c>
      <c r="B2272">
        <v>156</v>
      </c>
      <c r="C2272">
        <v>5</v>
      </c>
      <c r="D2272">
        <v>24.11</v>
      </c>
      <c r="E2272">
        <v>2.41</v>
      </c>
      <c r="F2272">
        <v>0</v>
      </c>
      <c r="G2272">
        <v>0.1</v>
      </c>
      <c r="H2272" t="s">
        <v>622</v>
      </c>
      <c r="J2272" t="s">
        <v>623</v>
      </c>
      <c r="K2272" s="1"/>
      <c r="L2272" s="1">
        <v>46210.65247685185</v>
      </c>
      <c r="M2272" s="2">
        <v>46210</v>
      </c>
      <c r="N2272" t="s">
        <v>640</v>
      </c>
      <c r="O2272" t="s">
        <v>625</v>
      </c>
      <c r="P2272">
        <v>1</v>
      </c>
      <c r="Q2272">
        <v>0</v>
      </c>
      <c r="R2272">
        <v>24.11</v>
      </c>
      <c r="S2272" t="s">
        <v>307</v>
      </c>
      <c r="T2272" t="s">
        <v>779</v>
      </c>
    </row>
    <row r="2273" spans="1:20" x14ac:dyDescent="0.3">
      <c r="A2273">
        <v>2272</v>
      </c>
      <c r="B2273">
        <v>128</v>
      </c>
      <c r="C2273">
        <v>2</v>
      </c>
      <c r="D2273">
        <v>41.55</v>
      </c>
      <c r="E2273">
        <v>4.16</v>
      </c>
      <c r="F2273">
        <v>0</v>
      </c>
      <c r="G2273">
        <v>0.1</v>
      </c>
      <c r="H2273" t="s">
        <v>622</v>
      </c>
      <c r="J2273" t="s">
        <v>623</v>
      </c>
      <c r="K2273" s="1"/>
      <c r="L2273" s="1">
        <v>46211.341585648152</v>
      </c>
      <c r="M2273" s="2">
        <v>46211</v>
      </c>
      <c r="N2273" t="s">
        <v>640</v>
      </c>
      <c r="O2273" t="s">
        <v>625</v>
      </c>
      <c r="P2273">
        <v>1</v>
      </c>
      <c r="Q2273">
        <v>0</v>
      </c>
      <c r="R2273">
        <v>41.55</v>
      </c>
      <c r="S2273" t="s">
        <v>251</v>
      </c>
      <c r="T2273" t="s">
        <v>776</v>
      </c>
    </row>
    <row r="2274" spans="1:20" x14ac:dyDescent="0.3">
      <c r="A2274">
        <v>2273</v>
      </c>
      <c r="B2274">
        <v>128</v>
      </c>
      <c r="C2274">
        <v>4</v>
      </c>
      <c r="D2274">
        <v>30.09</v>
      </c>
      <c r="E2274">
        <v>3.01</v>
      </c>
      <c r="F2274">
        <v>0</v>
      </c>
      <c r="G2274">
        <v>0.1</v>
      </c>
      <c r="H2274" t="s">
        <v>622</v>
      </c>
      <c r="J2274" t="s">
        <v>623</v>
      </c>
      <c r="K2274" s="1"/>
      <c r="L2274" s="1">
        <v>46211.377696759257</v>
      </c>
      <c r="M2274" s="2">
        <v>46211</v>
      </c>
      <c r="N2274" t="s">
        <v>640</v>
      </c>
      <c r="O2274" t="s">
        <v>625</v>
      </c>
      <c r="P2274">
        <v>1</v>
      </c>
      <c r="Q2274">
        <v>0</v>
      </c>
      <c r="R2274">
        <v>30.09</v>
      </c>
      <c r="S2274" t="s">
        <v>251</v>
      </c>
      <c r="T2274" t="s">
        <v>778</v>
      </c>
    </row>
    <row r="2275" spans="1:20" x14ac:dyDescent="0.3">
      <c r="A2275">
        <v>2274</v>
      </c>
      <c r="B2275">
        <v>244</v>
      </c>
      <c r="C2275">
        <v>5</v>
      </c>
      <c r="D2275">
        <v>217.88</v>
      </c>
      <c r="E2275">
        <v>21.79</v>
      </c>
      <c r="F2275">
        <v>0</v>
      </c>
      <c r="G2275">
        <v>0.1</v>
      </c>
      <c r="H2275" t="s">
        <v>622</v>
      </c>
      <c r="J2275" t="s">
        <v>623</v>
      </c>
      <c r="K2275" s="1"/>
      <c r="L2275" s="1">
        <v>46211.671053240738</v>
      </c>
      <c r="M2275" s="2">
        <v>46211</v>
      </c>
      <c r="N2275" t="s">
        <v>640</v>
      </c>
      <c r="O2275" t="s">
        <v>625</v>
      </c>
      <c r="P2275">
        <v>1</v>
      </c>
      <c r="Q2275">
        <v>0</v>
      </c>
      <c r="R2275">
        <v>217.88</v>
      </c>
      <c r="S2275" t="s">
        <v>483</v>
      </c>
      <c r="T2275" t="s">
        <v>779</v>
      </c>
    </row>
    <row r="2276" spans="1:20" x14ac:dyDescent="0.3">
      <c r="A2276">
        <v>2275</v>
      </c>
      <c r="B2276">
        <v>134</v>
      </c>
      <c r="C2276">
        <v>4</v>
      </c>
      <c r="D2276">
        <v>59.65</v>
      </c>
      <c r="E2276">
        <v>5.97</v>
      </c>
      <c r="F2276">
        <v>0</v>
      </c>
      <c r="G2276">
        <v>0.1</v>
      </c>
      <c r="H2276" t="s">
        <v>622</v>
      </c>
      <c r="J2276" t="s">
        <v>623</v>
      </c>
      <c r="K2276" s="1"/>
      <c r="L2276" s="1">
        <v>46211.684282407405</v>
      </c>
      <c r="M2276" s="2">
        <v>46211</v>
      </c>
      <c r="N2276" t="s">
        <v>640</v>
      </c>
      <c r="O2276" t="s">
        <v>625</v>
      </c>
      <c r="P2276">
        <v>1</v>
      </c>
      <c r="Q2276">
        <v>0</v>
      </c>
      <c r="R2276">
        <v>59.65</v>
      </c>
      <c r="S2276" t="s">
        <v>263</v>
      </c>
      <c r="T2276" t="s">
        <v>778</v>
      </c>
    </row>
    <row r="2277" spans="1:20" x14ac:dyDescent="0.3">
      <c r="A2277">
        <v>2276</v>
      </c>
      <c r="B2277">
        <v>190</v>
      </c>
      <c r="C2277">
        <v>4</v>
      </c>
      <c r="D2277">
        <v>172.81</v>
      </c>
      <c r="E2277">
        <v>17.28</v>
      </c>
      <c r="F2277">
        <v>0</v>
      </c>
      <c r="G2277">
        <v>0.1</v>
      </c>
      <c r="H2277" t="s">
        <v>626</v>
      </c>
      <c r="I2277">
        <v>4</v>
      </c>
      <c r="J2277" t="s">
        <v>631</v>
      </c>
      <c r="K2277" s="1">
        <v>46211.741770833331</v>
      </c>
      <c r="L2277" s="1">
        <v>46211.700104166666</v>
      </c>
      <c r="M2277" s="2">
        <v>46211</v>
      </c>
      <c r="N2277" t="s">
        <v>640</v>
      </c>
      <c r="O2277" t="s">
        <v>625</v>
      </c>
      <c r="P2277">
        <v>1</v>
      </c>
      <c r="Q2277">
        <v>1</v>
      </c>
      <c r="R2277">
        <v>0</v>
      </c>
      <c r="S2277" t="s">
        <v>375</v>
      </c>
      <c r="T2277" t="s">
        <v>778</v>
      </c>
    </row>
    <row r="2278" spans="1:20" x14ac:dyDescent="0.3">
      <c r="A2278">
        <v>2277</v>
      </c>
      <c r="B2278">
        <v>48</v>
      </c>
      <c r="C2278">
        <v>4</v>
      </c>
      <c r="D2278">
        <v>87.59</v>
      </c>
      <c r="E2278">
        <v>8.76</v>
      </c>
      <c r="F2278">
        <v>0</v>
      </c>
      <c r="G2278">
        <v>0.1</v>
      </c>
      <c r="H2278" t="s">
        <v>622</v>
      </c>
      <c r="J2278" t="s">
        <v>623</v>
      </c>
      <c r="K2278" s="1"/>
      <c r="L2278" s="1">
        <v>46211.76390046296</v>
      </c>
      <c r="M2278" s="2">
        <v>46211</v>
      </c>
      <c r="N2278" t="s">
        <v>640</v>
      </c>
      <c r="O2278" t="s">
        <v>625</v>
      </c>
      <c r="P2278">
        <v>1</v>
      </c>
      <c r="Q2278">
        <v>0</v>
      </c>
      <c r="R2278">
        <v>87.59</v>
      </c>
      <c r="S2278" t="s">
        <v>92</v>
      </c>
      <c r="T2278" t="s">
        <v>778</v>
      </c>
    </row>
    <row r="2279" spans="1:20" x14ac:dyDescent="0.3">
      <c r="A2279">
        <v>2278</v>
      </c>
      <c r="B2279">
        <v>128</v>
      </c>
      <c r="C2279">
        <v>2</v>
      </c>
      <c r="D2279">
        <v>17.18</v>
      </c>
      <c r="E2279">
        <v>1.72</v>
      </c>
      <c r="F2279">
        <v>0</v>
      </c>
      <c r="G2279">
        <v>0.1</v>
      </c>
      <c r="H2279" t="s">
        <v>622</v>
      </c>
      <c r="J2279" t="s">
        <v>623</v>
      </c>
      <c r="K2279" s="1"/>
      <c r="L2279" s="1">
        <v>46211.806307870371</v>
      </c>
      <c r="M2279" s="2">
        <v>46211</v>
      </c>
      <c r="N2279" t="s">
        <v>640</v>
      </c>
      <c r="O2279" t="s">
        <v>625</v>
      </c>
      <c r="P2279">
        <v>1</v>
      </c>
      <c r="Q2279">
        <v>0</v>
      </c>
      <c r="R2279">
        <v>17.18</v>
      </c>
      <c r="S2279" t="s">
        <v>251</v>
      </c>
      <c r="T2279" t="s">
        <v>776</v>
      </c>
    </row>
    <row r="2280" spans="1:20" x14ac:dyDescent="0.3">
      <c r="A2280">
        <v>2279</v>
      </c>
      <c r="B2280">
        <v>171</v>
      </c>
      <c r="C2280">
        <v>3</v>
      </c>
      <c r="D2280">
        <v>93.41</v>
      </c>
      <c r="E2280">
        <v>9.34</v>
      </c>
      <c r="F2280">
        <v>0</v>
      </c>
      <c r="G2280">
        <v>0.1</v>
      </c>
      <c r="H2280" t="s">
        <v>622</v>
      </c>
      <c r="J2280" t="s">
        <v>623</v>
      </c>
      <c r="K2280" s="1"/>
      <c r="L2280" s="1">
        <v>46211.826840277776</v>
      </c>
      <c r="M2280" s="2">
        <v>46211</v>
      </c>
      <c r="N2280" t="s">
        <v>640</v>
      </c>
      <c r="O2280" t="s">
        <v>625</v>
      </c>
      <c r="P2280">
        <v>1</v>
      </c>
      <c r="Q2280">
        <v>0</v>
      </c>
      <c r="R2280">
        <v>93.41</v>
      </c>
      <c r="S2280" t="s">
        <v>337</v>
      </c>
      <c r="T2280" t="s">
        <v>777</v>
      </c>
    </row>
    <row r="2281" spans="1:20" x14ac:dyDescent="0.3">
      <c r="A2281">
        <v>2280</v>
      </c>
      <c r="B2281">
        <v>190</v>
      </c>
      <c r="C2281">
        <v>3</v>
      </c>
      <c r="D2281">
        <v>300</v>
      </c>
      <c r="E2281">
        <v>30</v>
      </c>
      <c r="F2281">
        <v>0</v>
      </c>
      <c r="G2281">
        <v>0.1</v>
      </c>
      <c r="H2281" t="s">
        <v>622</v>
      </c>
      <c r="J2281" t="s">
        <v>623</v>
      </c>
      <c r="K2281" s="1"/>
      <c r="L2281" s="1">
        <v>46212.329259259262</v>
      </c>
      <c r="M2281" s="2">
        <v>46212</v>
      </c>
      <c r="N2281" t="s">
        <v>640</v>
      </c>
      <c r="O2281" t="s">
        <v>625</v>
      </c>
      <c r="P2281">
        <v>1</v>
      </c>
      <c r="Q2281">
        <v>0</v>
      </c>
      <c r="R2281">
        <v>300</v>
      </c>
      <c r="S2281" t="s">
        <v>375</v>
      </c>
      <c r="T2281" t="s">
        <v>777</v>
      </c>
    </row>
    <row r="2282" spans="1:20" x14ac:dyDescent="0.3">
      <c r="A2282">
        <v>2281</v>
      </c>
      <c r="B2282">
        <v>154</v>
      </c>
      <c r="C2282">
        <v>2</v>
      </c>
      <c r="D2282">
        <v>49.97</v>
      </c>
      <c r="E2282">
        <v>5</v>
      </c>
      <c r="F2282">
        <v>0</v>
      </c>
      <c r="G2282">
        <v>0.1</v>
      </c>
      <c r="H2282" t="s">
        <v>622</v>
      </c>
      <c r="J2282" t="s">
        <v>623</v>
      </c>
      <c r="K2282" s="1"/>
      <c r="L2282" s="1">
        <v>46212.340405092589</v>
      </c>
      <c r="M2282" s="2">
        <v>46212</v>
      </c>
      <c r="N2282" t="s">
        <v>640</v>
      </c>
      <c r="O2282" t="s">
        <v>625</v>
      </c>
      <c r="P2282">
        <v>1</v>
      </c>
      <c r="Q2282">
        <v>0</v>
      </c>
      <c r="R2282">
        <v>49.97</v>
      </c>
      <c r="S2282" t="s">
        <v>303</v>
      </c>
      <c r="T2282" t="s">
        <v>776</v>
      </c>
    </row>
    <row r="2283" spans="1:20" x14ac:dyDescent="0.3">
      <c r="A2283">
        <v>2282</v>
      </c>
      <c r="B2283">
        <v>70</v>
      </c>
      <c r="C2283">
        <v>2</v>
      </c>
      <c r="D2283">
        <v>88.66</v>
      </c>
      <c r="E2283">
        <v>0</v>
      </c>
      <c r="F2283">
        <v>1</v>
      </c>
      <c r="G2283">
        <v>0.1</v>
      </c>
      <c r="H2283" t="s">
        <v>622</v>
      </c>
      <c r="J2283" t="s">
        <v>623</v>
      </c>
      <c r="K2283" s="1"/>
      <c r="L2283" s="1">
        <v>46212.407719907409</v>
      </c>
      <c r="M2283" s="2">
        <v>46212</v>
      </c>
      <c r="N2283" t="s">
        <v>640</v>
      </c>
      <c r="O2283" t="s">
        <v>629</v>
      </c>
      <c r="P2283">
        <v>1</v>
      </c>
      <c r="Q2283">
        <v>0</v>
      </c>
      <c r="R2283">
        <v>88.66</v>
      </c>
      <c r="S2283" t="s">
        <v>136</v>
      </c>
      <c r="T2283" t="s">
        <v>776</v>
      </c>
    </row>
    <row r="2284" spans="1:20" x14ac:dyDescent="0.3">
      <c r="A2284">
        <v>2283</v>
      </c>
      <c r="B2284">
        <v>183</v>
      </c>
      <c r="C2284">
        <v>5</v>
      </c>
      <c r="D2284">
        <v>53.37</v>
      </c>
      <c r="E2284">
        <v>5.34</v>
      </c>
      <c r="F2284">
        <v>0</v>
      </c>
      <c r="G2284">
        <v>0.1</v>
      </c>
      <c r="H2284" t="s">
        <v>622</v>
      </c>
      <c r="J2284" t="s">
        <v>623</v>
      </c>
      <c r="K2284" s="1"/>
      <c r="L2284" s="1">
        <v>46212.441111111111</v>
      </c>
      <c r="M2284" s="2">
        <v>46212</v>
      </c>
      <c r="N2284" t="s">
        <v>640</v>
      </c>
      <c r="O2284" t="s">
        <v>625</v>
      </c>
      <c r="P2284">
        <v>1</v>
      </c>
      <c r="Q2284">
        <v>0</v>
      </c>
      <c r="R2284">
        <v>53.37</v>
      </c>
      <c r="S2284" t="s">
        <v>361</v>
      </c>
      <c r="T2284" t="s">
        <v>779</v>
      </c>
    </row>
    <row r="2285" spans="1:20" x14ac:dyDescent="0.3">
      <c r="A2285">
        <v>2284</v>
      </c>
      <c r="B2285">
        <v>128</v>
      </c>
      <c r="C2285">
        <v>2</v>
      </c>
      <c r="D2285">
        <v>36.32</v>
      </c>
      <c r="E2285">
        <v>3.63</v>
      </c>
      <c r="F2285">
        <v>0</v>
      </c>
      <c r="G2285">
        <v>0.1</v>
      </c>
      <c r="H2285" t="s">
        <v>622</v>
      </c>
      <c r="J2285" t="s">
        <v>623</v>
      </c>
      <c r="K2285" s="1"/>
      <c r="L2285" s="1">
        <v>46212.447546296295</v>
      </c>
      <c r="M2285" s="2">
        <v>46212</v>
      </c>
      <c r="N2285" t="s">
        <v>640</v>
      </c>
      <c r="O2285" t="s">
        <v>625</v>
      </c>
      <c r="P2285">
        <v>1</v>
      </c>
      <c r="Q2285">
        <v>0</v>
      </c>
      <c r="R2285">
        <v>36.32</v>
      </c>
      <c r="S2285" t="s">
        <v>251</v>
      </c>
      <c r="T2285" t="s">
        <v>776</v>
      </c>
    </row>
    <row r="2286" spans="1:20" x14ac:dyDescent="0.3">
      <c r="A2286">
        <v>2285</v>
      </c>
      <c r="B2286">
        <v>80</v>
      </c>
      <c r="C2286">
        <v>5</v>
      </c>
      <c r="D2286">
        <v>24.05</v>
      </c>
      <c r="E2286">
        <v>2.41</v>
      </c>
      <c r="F2286">
        <v>0</v>
      </c>
      <c r="G2286">
        <v>0.1</v>
      </c>
      <c r="H2286" t="s">
        <v>622</v>
      </c>
      <c r="J2286" t="s">
        <v>623</v>
      </c>
      <c r="K2286" s="1"/>
      <c r="L2286" s="1">
        <v>46212.469907407409</v>
      </c>
      <c r="M2286" s="2">
        <v>46212</v>
      </c>
      <c r="N2286" t="s">
        <v>640</v>
      </c>
      <c r="O2286" t="s">
        <v>625</v>
      </c>
      <c r="P2286">
        <v>1</v>
      </c>
      <c r="Q2286">
        <v>0</v>
      </c>
      <c r="R2286">
        <v>24.05</v>
      </c>
      <c r="S2286" t="s">
        <v>156</v>
      </c>
      <c r="T2286" t="s">
        <v>779</v>
      </c>
    </row>
    <row r="2287" spans="1:20" x14ac:dyDescent="0.3">
      <c r="A2287">
        <v>2286</v>
      </c>
      <c r="B2287">
        <v>205</v>
      </c>
      <c r="C2287">
        <v>2</v>
      </c>
      <c r="D2287">
        <v>50.15</v>
      </c>
      <c r="E2287">
        <v>5.0199999999999996</v>
      </c>
      <c r="F2287">
        <v>0</v>
      </c>
      <c r="G2287">
        <v>0.1</v>
      </c>
      <c r="H2287" t="s">
        <v>622</v>
      </c>
      <c r="J2287" t="s">
        <v>623</v>
      </c>
      <c r="K2287" s="1"/>
      <c r="L2287" s="1">
        <v>46212.559479166666</v>
      </c>
      <c r="M2287" s="2">
        <v>46212</v>
      </c>
      <c r="N2287" t="s">
        <v>640</v>
      </c>
      <c r="O2287" t="s">
        <v>625</v>
      </c>
      <c r="P2287">
        <v>1</v>
      </c>
      <c r="Q2287">
        <v>0</v>
      </c>
      <c r="R2287">
        <v>50.15</v>
      </c>
      <c r="S2287" t="s">
        <v>405</v>
      </c>
      <c r="T2287" t="s">
        <v>776</v>
      </c>
    </row>
    <row r="2288" spans="1:20" x14ac:dyDescent="0.3">
      <c r="A2288">
        <v>2287</v>
      </c>
      <c r="B2288">
        <v>87</v>
      </c>
      <c r="C2288">
        <v>3</v>
      </c>
      <c r="D2288">
        <v>40.54</v>
      </c>
      <c r="E2288">
        <v>4.05</v>
      </c>
      <c r="F2288">
        <v>0</v>
      </c>
      <c r="G2288">
        <v>0.1</v>
      </c>
      <c r="H2288" t="s">
        <v>622</v>
      </c>
      <c r="J2288" t="s">
        <v>623</v>
      </c>
      <c r="K2288" s="1"/>
      <c r="L2288" s="1">
        <v>46212.656504629631</v>
      </c>
      <c r="M2288" s="2">
        <v>46212</v>
      </c>
      <c r="N2288" t="s">
        <v>640</v>
      </c>
      <c r="O2288" t="s">
        <v>625</v>
      </c>
      <c r="P2288">
        <v>1</v>
      </c>
      <c r="Q2288">
        <v>0</v>
      </c>
      <c r="R2288">
        <v>40.54</v>
      </c>
      <c r="S2288" t="s">
        <v>169</v>
      </c>
      <c r="T2288" t="s">
        <v>777</v>
      </c>
    </row>
    <row r="2289" spans="1:20" x14ac:dyDescent="0.3">
      <c r="A2289">
        <v>2288</v>
      </c>
      <c r="B2289">
        <v>103</v>
      </c>
      <c r="C2289">
        <v>4</v>
      </c>
      <c r="D2289">
        <v>19.78</v>
      </c>
      <c r="E2289">
        <v>1.98</v>
      </c>
      <c r="F2289">
        <v>0</v>
      </c>
      <c r="G2289">
        <v>0.1</v>
      </c>
      <c r="H2289" t="s">
        <v>622</v>
      </c>
      <c r="J2289" t="s">
        <v>623</v>
      </c>
      <c r="K2289" s="1"/>
      <c r="L2289" s="1">
        <v>46212.68650462963</v>
      </c>
      <c r="M2289" s="2">
        <v>46212</v>
      </c>
      <c r="N2289" t="s">
        <v>640</v>
      </c>
      <c r="O2289" t="s">
        <v>625</v>
      </c>
      <c r="P2289">
        <v>1</v>
      </c>
      <c r="Q2289">
        <v>0</v>
      </c>
      <c r="R2289">
        <v>19.78</v>
      </c>
      <c r="S2289" t="s">
        <v>201</v>
      </c>
      <c r="T2289" t="s">
        <v>778</v>
      </c>
    </row>
    <row r="2290" spans="1:20" x14ac:dyDescent="0.3">
      <c r="A2290">
        <v>2289</v>
      </c>
      <c r="B2290">
        <v>150</v>
      </c>
      <c r="C2290">
        <v>2</v>
      </c>
      <c r="D2290">
        <v>49.57</v>
      </c>
      <c r="E2290">
        <v>0</v>
      </c>
      <c r="F2290">
        <v>1</v>
      </c>
      <c r="G2290">
        <v>0.1</v>
      </c>
      <c r="H2290" t="s">
        <v>626</v>
      </c>
      <c r="I2290">
        <v>5</v>
      </c>
      <c r="J2290" t="s">
        <v>631</v>
      </c>
      <c r="K2290" s="1">
        <v>46214.109537037039</v>
      </c>
      <c r="L2290" s="1">
        <v>46212.734537037039</v>
      </c>
      <c r="M2290" s="2">
        <v>46212</v>
      </c>
      <c r="N2290" t="s">
        <v>640</v>
      </c>
      <c r="O2290" t="s">
        <v>629</v>
      </c>
      <c r="P2290">
        <v>1</v>
      </c>
      <c r="Q2290">
        <v>1</v>
      </c>
      <c r="R2290">
        <v>0</v>
      </c>
      <c r="S2290" t="s">
        <v>295</v>
      </c>
      <c r="T2290" t="s">
        <v>776</v>
      </c>
    </row>
    <row r="2291" spans="1:20" x14ac:dyDescent="0.3">
      <c r="A2291">
        <v>2290</v>
      </c>
      <c r="B2291">
        <v>285</v>
      </c>
      <c r="C2291">
        <v>2</v>
      </c>
      <c r="D2291">
        <v>27.61</v>
      </c>
      <c r="E2291">
        <v>2.76</v>
      </c>
      <c r="F2291">
        <v>0</v>
      </c>
      <c r="G2291">
        <v>0.1</v>
      </c>
      <c r="H2291" t="s">
        <v>622</v>
      </c>
      <c r="J2291" t="s">
        <v>623</v>
      </c>
      <c r="K2291" s="1"/>
      <c r="L2291" s="1">
        <v>46212.75199074074</v>
      </c>
      <c r="M2291" s="2">
        <v>46212</v>
      </c>
      <c r="N2291" t="s">
        <v>640</v>
      </c>
      <c r="O2291" t="s">
        <v>625</v>
      </c>
      <c r="P2291">
        <v>1</v>
      </c>
      <c r="Q2291">
        <v>0</v>
      </c>
      <c r="R2291">
        <v>27.61</v>
      </c>
      <c r="S2291" t="s">
        <v>565</v>
      </c>
      <c r="T2291" t="s">
        <v>776</v>
      </c>
    </row>
    <row r="2292" spans="1:20" x14ac:dyDescent="0.3">
      <c r="A2292">
        <v>2291</v>
      </c>
      <c r="B2292">
        <v>66</v>
      </c>
      <c r="C2292">
        <v>2</v>
      </c>
      <c r="D2292">
        <v>87.55</v>
      </c>
      <c r="E2292">
        <v>8.76</v>
      </c>
      <c r="F2292">
        <v>0</v>
      </c>
      <c r="G2292">
        <v>0.1</v>
      </c>
      <c r="H2292" t="s">
        <v>622</v>
      </c>
      <c r="J2292" t="s">
        <v>623</v>
      </c>
      <c r="K2292" s="1"/>
      <c r="L2292" s="1">
        <v>46213.387939814813</v>
      </c>
      <c r="M2292" s="2">
        <v>46213</v>
      </c>
      <c r="N2292" t="s">
        <v>640</v>
      </c>
      <c r="O2292" t="s">
        <v>625</v>
      </c>
      <c r="P2292">
        <v>1</v>
      </c>
      <c r="Q2292">
        <v>0</v>
      </c>
      <c r="R2292">
        <v>87.55</v>
      </c>
      <c r="S2292" t="s">
        <v>128</v>
      </c>
      <c r="T2292" t="s">
        <v>776</v>
      </c>
    </row>
    <row r="2293" spans="1:20" x14ac:dyDescent="0.3">
      <c r="A2293">
        <v>2292</v>
      </c>
      <c r="B2293">
        <v>250</v>
      </c>
      <c r="C2293">
        <v>4</v>
      </c>
      <c r="D2293">
        <v>133.62</v>
      </c>
      <c r="E2293">
        <v>13.36</v>
      </c>
      <c r="F2293">
        <v>0</v>
      </c>
      <c r="G2293">
        <v>0.1</v>
      </c>
      <c r="H2293" t="s">
        <v>622</v>
      </c>
      <c r="J2293" t="s">
        <v>623</v>
      </c>
      <c r="K2293" s="1"/>
      <c r="L2293" s="1">
        <v>46213.389837962961</v>
      </c>
      <c r="M2293" s="2">
        <v>46213</v>
      </c>
      <c r="N2293" t="s">
        <v>640</v>
      </c>
      <c r="O2293" t="s">
        <v>625</v>
      </c>
      <c r="P2293">
        <v>1</v>
      </c>
      <c r="Q2293">
        <v>0</v>
      </c>
      <c r="R2293">
        <v>133.62</v>
      </c>
      <c r="S2293" t="s">
        <v>495</v>
      </c>
      <c r="T2293" t="s">
        <v>778</v>
      </c>
    </row>
    <row r="2294" spans="1:20" x14ac:dyDescent="0.3">
      <c r="A2294">
        <v>2293</v>
      </c>
      <c r="B2294">
        <v>285</v>
      </c>
      <c r="C2294">
        <v>4</v>
      </c>
      <c r="D2294">
        <v>25.58</v>
      </c>
      <c r="E2294">
        <v>2.56</v>
      </c>
      <c r="F2294">
        <v>0</v>
      </c>
      <c r="G2294">
        <v>0.1</v>
      </c>
      <c r="H2294" t="s">
        <v>622</v>
      </c>
      <c r="J2294" t="s">
        <v>623</v>
      </c>
      <c r="K2294" s="1"/>
      <c r="L2294" s="1">
        <v>46213.609444444446</v>
      </c>
      <c r="M2294" s="2">
        <v>46213</v>
      </c>
      <c r="N2294" t="s">
        <v>640</v>
      </c>
      <c r="O2294" t="s">
        <v>625</v>
      </c>
      <c r="P2294">
        <v>1</v>
      </c>
      <c r="Q2294">
        <v>0</v>
      </c>
      <c r="R2294">
        <v>25.58</v>
      </c>
      <c r="S2294" t="s">
        <v>565</v>
      </c>
      <c r="T2294" t="s">
        <v>778</v>
      </c>
    </row>
    <row r="2295" spans="1:20" x14ac:dyDescent="0.3">
      <c r="A2295">
        <v>2294</v>
      </c>
      <c r="B2295">
        <v>250</v>
      </c>
      <c r="C2295">
        <v>2</v>
      </c>
      <c r="D2295">
        <v>177.91</v>
      </c>
      <c r="E2295">
        <v>17.79</v>
      </c>
      <c r="F2295">
        <v>0</v>
      </c>
      <c r="G2295">
        <v>0.1</v>
      </c>
      <c r="H2295" t="s">
        <v>622</v>
      </c>
      <c r="J2295" t="s">
        <v>623</v>
      </c>
      <c r="K2295" s="1"/>
      <c r="L2295" s="1">
        <v>46213.629849537036</v>
      </c>
      <c r="M2295" s="2">
        <v>46213</v>
      </c>
      <c r="N2295" t="s">
        <v>640</v>
      </c>
      <c r="O2295" t="s">
        <v>625</v>
      </c>
      <c r="P2295">
        <v>1</v>
      </c>
      <c r="Q2295">
        <v>0</v>
      </c>
      <c r="R2295">
        <v>177.91</v>
      </c>
      <c r="S2295" t="s">
        <v>495</v>
      </c>
      <c r="T2295" t="s">
        <v>776</v>
      </c>
    </row>
    <row r="2296" spans="1:20" x14ac:dyDescent="0.3">
      <c r="A2296">
        <v>2295</v>
      </c>
      <c r="B2296">
        <v>183</v>
      </c>
      <c r="C2296">
        <v>2</v>
      </c>
      <c r="D2296">
        <v>138.29</v>
      </c>
      <c r="E2296">
        <v>13.83</v>
      </c>
      <c r="F2296">
        <v>0</v>
      </c>
      <c r="G2296">
        <v>0.1</v>
      </c>
      <c r="H2296" t="s">
        <v>626</v>
      </c>
      <c r="I2296">
        <v>2</v>
      </c>
      <c r="J2296" t="s">
        <v>628</v>
      </c>
      <c r="K2296" s="1">
        <v>46214.860729166663</v>
      </c>
      <c r="L2296" s="1">
        <v>46214.360729166663</v>
      </c>
      <c r="M2296" s="2">
        <v>46214</v>
      </c>
      <c r="N2296" t="s">
        <v>640</v>
      </c>
      <c r="O2296" t="s">
        <v>625</v>
      </c>
      <c r="P2296">
        <v>1</v>
      </c>
      <c r="Q2296">
        <v>1</v>
      </c>
      <c r="R2296">
        <v>0</v>
      </c>
      <c r="S2296" t="s">
        <v>361</v>
      </c>
      <c r="T2296" t="s">
        <v>776</v>
      </c>
    </row>
    <row r="2297" spans="1:20" x14ac:dyDescent="0.3">
      <c r="A2297">
        <v>2296</v>
      </c>
      <c r="B2297">
        <v>261</v>
      </c>
      <c r="C2297">
        <v>2</v>
      </c>
      <c r="D2297">
        <v>43.8</v>
      </c>
      <c r="E2297">
        <v>4.38</v>
      </c>
      <c r="F2297">
        <v>0</v>
      </c>
      <c r="G2297">
        <v>0.1</v>
      </c>
      <c r="H2297" t="s">
        <v>622</v>
      </c>
      <c r="J2297" t="s">
        <v>623</v>
      </c>
      <c r="K2297" s="1"/>
      <c r="L2297" s="1">
        <v>46214.367592592593</v>
      </c>
      <c r="M2297" s="2">
        <v>46214</v>
      </c>
      <c r="N2297" t="s">
        <v>640</v>
      </c>
      <c r="O2297" t="s">
        <v>625</v>
      </c>
      <c r="P2297">
        <v>1</v>
      </c>
      <c r="Q2297">
        <v>0</v>
      </c>
      <c r="R2297">
        <v>43.8</v>
      </c>
      <c r="S2297" t="s">
        <v>517</v>
      </c>
      <c r="T2297" t="s">
        <v>776</v>
      </c>
    </row>
    <row r="2298" spans="1:20" x14ac:dyDescent="0.3">
      <c r="A2298">
        <v>2297</v>
      </c>
      <c r="B2298">
        <v>253</v>
      </c>
      <c r="C2298">
        <v>3</v>
      </c>
      <c r="D2298">
        <v>41.29</v>
      </c>
      <c r="E2298">
        <v>4.13</v>
      </c>
      <c r="F2298">
        <v>0</v>
      </c>
      <c r="G2298">
        <v>0.1</v>
      </c>
      <c r="H2298" t="s">
        <v>626</v>
      </c>
      <c r="I2298">
        <v>3</v>
      </c>
      <c r="J2298" t="s">
        <v>631</v>
      </c>
      <c r="K2298" s="1">
        <v>46216.222534722219</v>
      </c>
      <c r="L2298" s="1">
        <v>46214.389201388891</v>
      </c>
      <c r="M2298" s="2">
        <v>46214</v>
      </c>
      <c r="N2298" t="s">
        <v>640</v>
      </c>
      <c r="O2298" t="s">
        <v>625</v>
      </c>
      <c r="P2298">
        <v>1</v>
      </c>
      <c r="Q2298">
        <v>1</v>
      </c>
      <c r="R2298">
        <v>0</v>
      </c>
      <c r="S2298" t="s">
        <v>501</v>
      </c>
      <c r="T2298" t="s">
        <v>777</v>
      </c>
    </row>
    <row r="2299" spans="1:20" x14ac:dyDescent="0.3">
      <c r="A2299">
        <v>2298</v>
      </c>
      <c r="B2299">
        <v>128</v>
      </c>
      <c r="C2299">
        <v>4</v>
      </c>
      <c r="D2299">
        <v>28.67</v>
      </c>
      <c r="E2299">
        <v>2.87</v>
      </c>
      <c r="F2299">
        <v>0</v>
      </c>
      <c r="G2299">
        <v>0.1</v>
      </c>
      <c r="H2299" t="s">
        <v>622</v>
      </c>
      <c r="J2299" t="s">
        <v>623</v>
      </c>
      <c r="K2299" s="1"/>
      <c r="L2299" s="1">
        <v>46214.40552083333</v>
      </c>
      <c r="M2299" s="2">
        <v>46214</v>
      </c>
      <c r="N2299" t="s">
        <v>640</v>
      </c>
      <c r="O2299" t="s">
        <v>625</v>
      </c>
      <c r="P2299">
        <v>1</v>
      </c>
      <c r="Q2299">
        <v>0</v>
      </c>
      <c r="R2299">
        <v>28.67</v>
      </c>
      <c r="S2299" t="s">
        <v>251</v>
      </c>
      <c r="T2299" t="s">
        <v>778</v>
      </c>
    </row>
    <row r="2300" spans="1:20" x14ac:dyDescent="0.3">
      <c r="A2300">
        <v>2299</v>
      </c>
      <c r="B2300">
        <v>134</v>
      </c>
      <c r="C2300">
        <v>4</v>
      </c>
      <c r="D2300">
        <v>186.51</v>
      </c>
      <c r="E2300">
        <v>18.649999999999999</v>
      </c>
      <c r="F2300">
        <v>0</v>
      </c>
      <c r="G2300">
        <v>0.1</v>
      </c>
      <c r="H2300" t="s">
        <v>622</v>
      </c>
      <c r="J2300" t="s">
        <v>623</v>
      </c>
      <c r="K2300" s="1"/>
      <c r="L2300" s="1">
        <v>46214.408449074072</v>
      </c>
      <c r="M2300" s="2">
        <v>46214</v>
      </c>
      <c r="N2300" t="s">
        <v>640</v>
      </c>
      <c r="O2300" t="s">
        <v>625</v>
      </c>
      <c r="P2300">
        <v>1</v>
      </c>
      <c r="Q2300">
        <v>0</v>
      </c>
      <c r="R2300">
        <v>186.51</v>
      </c>
      <c r="S2300" t="s">
        <v>263</v>
      </c>
      <c r="T2300" t="s">
        <v>778</v>
      </c>
    </row>
    <row r="2301" spans="1:20" x14ac:dyDescent="0.3">
      <c r="A2301">
        <v>2300</v>
      </c>
      <c r="B2301">
        <v>128</v>
      </c>
      <c r="C2301">
        <v>5</v>
      </c>
      <c r="D2301">
        <v>36.64</v>
      </c>
      <c r="E2301">
        <v>3.66</v>
      </c>
      <c r="F2301">
        <v>0</v>
      </c>
      <c r="G2301">
        <v>0.1</v>
      </c>
      <c r="H2301" t="s">
        <v>622</v>
      </c>
      <c r="J2301" t="s">
        <v>623</v>
      </c>
      <c r="K2301" s="1"/>
      <c r="L2301" s="1">
        <v>46214.62122685185</v>
      </c>
      <c r="M2301" s="2">
        <v>46214</v>
      </c>
      <c r="N2301" t="s">
        <v>640</v>
      </c>
      <c r="O2301" t="s">
        <v>625</v>
      </c>
      <c r="P2301">
        <v>1</v>
      </c>
      <c r="Q2301">
        <v>0</v>
      </c>
      <c r="R2301">
        <v>36.64</v>
      </c>
      <c r="S2301" t="s">
        <v>251</v>
      </c>
      <c r="T2301" t="s">
        <v>779</v>
      </c>
    </row>
    <row r="2302" spans="1:20" x14ac:dyDescent="0.3">
      <c r="A2302">
        <v>2301</v>
      </c>
      <c r="B2302">
        <v>156</v>
      </c>
      <c r="C2302">
        <v>5</v>
      </c>
      <c r="D2302">
        <v>40.76</v>
      </c>
      <c r="E2302">
        <v>4.08</v>
      </c>
      <c r="F2302">
        <v>0</v>
      </c>
      <c r="G2302">
        <v>0.1</v>
      </c>
      <c r="H2302" t="s">
        <v>622</v>
      </c>
      <c r="J2302" t="s">
        <v>623</v>
      </c>
      <c r="K2302" s="1"/>
      <c r="L2302" s="1">
        <v>46214.638425925928</v>
      </c>
      <c r="M2302" s="2">
        <v>46214</v>
      </c>
      <c r="N2302" t="s">
        <v>640</v>
      </c>
      <c r="O2302" t="s">
        <v>625</v>
      </c>
      <c r="P2302">
        <v>1</v>
      </c>
      <c r="Q2302">
        <v>0</v>
      </c>
      <c r="R2302">
        <v>40.76</v>
      </c>
      <c r="S2302" t="s">
        <v>307</v>
      </c>
      <c r="T2302" t="s">
        <v>779</v>
      </c>
    </row>
    <row r="2303" spans="1:20" x14ac:dyDescent="0.3">
      <c r="A2303">
        <v>2302</v>
      </c>
      <c r="B2303">
        <v>134</v>
      </c>
      <c r="C2303">
        <v>3</v>
      </c>
      <c r="D2303">
        <v>71.680000000000007</v>
      </c>
      <c r="E2303">
        <v>7.17</v>
      </c>
      <c r="F2303">
        <v>0</v>
      </c>
      <c r="G2303">
        <v>0.1</v>
      </c>
      <c r="H2303" t="s">
        <v>622</v>
      </c>
      <c r="J2303" t="s">
        <v>623</v>
      </c>
      <c r="K2303" s="1"/>
      <c r="L2303" s="1">
        <v>46214.730624999997</v>
      </c>
      <c r="M2303" s="2">
        <v>46214</v>
      </c>
      <c r="N2303" t="s">
        <v>640</v>
      </c>
      <c r="O2303" t="s">
        <v>625</v>
      </c>
      <c r="P2303">
        <v>1</v>
      </c>
      <c r="Q2303">
        <v>0</v>
      </c>
      <c r="R2303">
        <v>71.680000000000007</v>
      </c>
      <c r="S2303" t="s">
        <v>263</v>
      </c>
      <c r="T2303" t="s">
        <v>777</v>
      </c>
    </row>
    <row r="2304" spans="1:20" x14ac:dyDescent="0.3">
      <c r="A2304">
        <v>2303</v>
      </c>
      <c r="B2304">
        <v>156</v>
      </c>
      <c r="C2304">
        <v>2</v>
      </c>
      <c r="D2304">
        <v>40.26</v>
      </c>
      <c r="E2304">
        <v>4.03</v>
      </c>
      <c r="F2304">
        <v>0</v>
      </c>
      <c r="G2304">
        <v>0.1</v>
      </c>
      <c r="H2304" t="s">
        <v>622</v>
      </c>
      <c r="J2304" t="s">
        <v>623</v>
      </c>
      <c r="K2304" s="1"/>
      <c r="L2304" s="1">
        <v>46215.410613425927</v>
      </c>
      <c r="M2304" s="2">
        <v>46215</v>
      </c>
      <c r="N2304" t="s">
        <v>640</v>
      </c>
      <c r="O2304" t="s">
        <v>625</v>
      </c>
      <c r="P2304">
        <v>1</v>
      </c>
      <c r="Q2304">
        <v>0</v>
      </c>
      <c r="R2304">
        <v>40.26</v>
      </c>
      <c r="S2304" t="s">
        <v>307</v>
      </c>
      <c r="T2304" t="s">
        <v>776</v>
      </c>
    </row>
    <row r="2305" spans="1:20" x14ac:dyDescent="0.3">
      <c r="A2305">
        <v>2304</v>
      </c>
      <c r="B2305">
        <v>128</v>
      </c>
      <c r="C2305">
        <v>3</v>
      </c>
      <c r="D2305">
        <v>40.26</v>
      </c>
      <c r="E2305">
        <v>4.03</v>
      </c>
      <c r="F2305">
        <v>0</v>
      </c>
      <c r="G2305">
        <v>0.1</v>
      </c>
      <c r="H2305" t="s">
        <v>622</v>
      </c>
      <c r="J2305" t="s">
        <v>623</v>
      </c>
      <c r="K2305" s="1"/>
      <c r="L2305" s="1">
        <v>46215.443969907406</v>
      </c>
      <c r="M2305" s="2">
        <v>46215</v>
      </c>
      <c r="N2305" t="s">
        <v>640</v>
      </c>
      <c r="O2305" t="s">
        <v>625</v>
      </c>
      <c r="P2305">
        <v>1</v>
      </c>
      <c r="Q2305">
        <v>0</v>
      </c>
      <c r="R2305">
        <v>40.26</v>
      </c>
      <c r="S2305" t="s">
        <v>251</v>
      </c>
      <c r="T2305" t="s">
        <v>777</v>
      </c>
    </row>
    <row r="2306" spans="1:20" x14ac:dyDescent="0.3">
      <c r="A2306">
        <v>2305</v>
      </c>
      <c r="B2306">
        <v>299</v>
      </c>
      <c r="C2306">
        <v>5</v>
      </c>
      <c r="D2306">
        <v>81.96</v>
      </c>
      <c r="E2306">
        <v>8.1999999999999993</v>
      </c>
      <c r="F2306">
        <v>0</v>
      </c>
      <c r="G2306">
        <v>0.1</v>
      </c>
      <c r="H2306" t="s">
        <v>622</v>
      </c>
      <c r="J2306" t="s">
        <v>623</v>
      </c>
      <c r="K2306" s="1"/>
      <c r="L2306" s="1">
        <v>46215.775625000002</v>
      </c>
      <c r="M2306" s="2">
        <v>46215</v>
      </c>
      <c r="N2306" t="s">
        <v>640</v>
      </c>
      <c r="O2306" t="s">
        <v>625</v>
      </c>
      <c r="P2306">
        <v>1</v>
      </c>
      <c r="Q2306">
        <v>0</v>
      </c>
      <c r="R2306">
        <v>81.96</v>
      </c>
      <c r="S2306" t="s">
        <v>593</v>
      </c>
      <c r="T2306" t="s">
        <v>779</v>
      </c>
    </row>
    <row r="2307" spans="1:20" x14ac:dyDescent="0.3">
      <c r="A2307">
        <v>2306</v>
      </c>
      <c r="B2307">
        <v>66</v>
      </c>
      <c r="C2307">
        <v>2</v>
      </c>
      <c r="D2307">
        <v>126.53</v>
      </c>
      <c r="E2307">
        <v>12.65</v>
      </c>
      <c r="F2307">
        <v>0</v>
      </c>
      <c r="G2307">
        <v>0.1</v>
      </c>
      <c r="H2307" t="s">
        <v>622</v>
      </c>
      <c r="J2307" t="s">
        <v>623</v>
      </c>
      <c r="K2307" s="1"/>
      <c r="L2307" s="1">
        <v>46216.344895833332</v>
      </c>
      <c r="M2307" s="2">
        <v>46216</v>
      </c>
      <c r="N2307" t="s">
        <v>640</v>
      </c>
      <c r="O2307" t="s">
        <v>625</v>
      </c>
      <c r="P2307">
        <v>1</v>
      </c>
      <c r="Q2307">
        <v>0</v>
      </c>
      <c r="R2307">
        <v>126.53</v>
      </c>
      <c r="S2307" t="s">
        <v>128</v>
      </c>
      <c r="T2307" t="s">
        <v>776</v>
      </c>
    </row>
    <row r="2308" spans="1:20" x14ac:dyDescent="0.3">
      <c r="A2308">
        <v>2307</v>
      </c>
      <c r="B2308">
        <v>281</v>
      </c>
      <c r="C2308">
        <v>5</v>
      </c>
      <c r="D2308">
        <v>127.05</v>
      </c>
      <c r="E2308">
        <v>12.71</v>
      </c>
      <c r="F2308">
        <v>0</v>
      </c>
      <c r="G2308">
        <v>0.1</v>
      </c>
      <c r="H2308" t="s">
        <v>622</v>
      </c>
      <c r="J2308" t="s">
        <v>623</v>
      </c>
      <c r="K2308" s="1"/>
      <c r="L2308" s="1">
        <v>46216.530081018522</v>
      </c>
      <c r="M2308" s="2">
        <v>46216</v>
      </c>
      <c r="N2308" t="s">
        <v>640</v>
      </c>
      <c r="O2308" t="s">
        <v>625</v>
      </c>
      <c r="P2308">
        <v>1</v>
      </c>
      <c r="Q2308">
        <v>0</v>
      </c>
      <c r="R2308">
        <v>127.05</v>
      </c>
      <c r="S2308" t="s">
        <v>557</v>
      </c>
      <c r="T2308" t="s">
        <v>779</v>
      </c>
    </row>
    <row r="2309" spans="1:20" x14ac:dyDescent="0.3">
      <c r="A2309">
        <v>2308</v>
      </c>
      <c r="B2309">
        <v>250</v>
      </c>
      <c r="C2309">
        <v>5</v>
      </c>
      <c r="D2309">
        <v>91.09</v>
      </c>
      <c r="E2309">
        <v>9.11</v>
      </c>
      <c r="F2309">
        <v>0</v>
      </c>
      <c r="G2309">
        <v>0.1</v>
      </c>
      <c r="H2309" t="s">
        <v>622</v>
      </c>
      <c r="J2309" t="s">
        <v>623</v>
      </c>
      <c r="K2309" s="1"/>
      <c r="L2309" s="1">
        <v>46216.640682870369</v>
      </c>
      <c r="M2309" s="2">
        <v>46216</v>
      </c>
      <c r="N2309" t="s">
        <v>640</v>
      </c>
      <c r="O2309" t="s">
        <v>625</v>
      </c>
      <c r="P2309">
        <v>1</v>
      </c>
      <c r="Q2309">
        <v>0</v>
      </c>
      <c r="R2309">
        <v>91.09</v>
      </c>
      <c r="S2309" t="s">
        <v>495</v>
      </c>
      <c r="T2309" t="s">
        <v>779</v>
      </c>
    </row>
    <row r="2310" spans="1:20" x14ac:dyDescent="0.3">
      <c r="A2310">
        <v>2309</v>
      </c>
      <c r="B2310">
        <v>134</v>
      </c>
      <c r="C2310">
        <v>2</v>
      </c>
      <c r="D2310">
        <v>74.709999999999994</v>
      </c>
      <c r="E2310">
        <v>7.47</v>
      </c>
      <c r="F2310">
        <v>0</v>
      </c>
      <c r="G2310">
        <v>0.1</v>
      </c>
      <c r="H2310" t="s">
        <v>622</v>
      </c>
      <c r="J2310" t="s">
        <v>623</v>
      </c>
      <c r="K2310" s="1"/>
      <c r="L2310" s="1">
        <v>46216.644259259258</v>
      </c>
      <c r="M2310" s="2">
        <v>46216</v>
      </c>
      <c r="N2310" t="s">
        <v>640</v>
      </c>
      <c r="O2310" t="s">
        <v>625</v>
      </c>
      <c r="P2310">
        <v>1</v>
      </c>
      <c r="Q2310">
        <v>0</v>
      </c>
      <c r="R2310">
        <v>74.709999999999994</v>
      </c>
      <c r="S2310" t="s">
        <v>263</v>
      </c>
      <c r="T2310" t="s">
        <v>776</v>
      </c>
    </row>
    <row r="2311" spans="1:20" x14ac:dyDescent="0.3">
      <c r="A2311">
        <v>2310</v>
      </c>
      <c r="B2311">
        <v>229</v>
      </c>
      <c r="C2311">
        <v>4</v>
      </c>
      <c r="D2311">
        <v>85.43</v>
      </c>
      <c r="E2311">
        <v>0</v>
      </c>
      <c r="F2311">
        <v>1</v>
      </c>
      <c r="G2311">
        <v>0.1</v>
      </c>
      <c r="H2311" t="s">
        <v>622</v>
      </c>
      <c r="J2311" t="s">
        <v>623</v>
      </c>
      <c r="K2311" s="1"/>
      <c r="L2311" s="1">
        <v>46216.66777777778</v>
      </c>
      <c r="M2311" s="2">
        <v>46216</v>
      </c>
      <c r="N2311" t="s">
        <v>640</v>
      </c>
      <c r="O2311" t="s">
        <v>629</v>
      </c>
      <c r="P2311">
        <v>1</v>
      </c>
      <c r="Q2311">
        <v>0</v>
      </c>
      <c r="R2311">
        <v>85.43</v>
      </c>
      <c r="S2311" t="s">
        <v>453</v>
      </c>
      <c r="T2311" t="s">
        <v>778</v>
      </c>
    </row>
    <row r="2312" spans="1:20" x14ac:dyDescent="0.3">
      <c r="A2312">
        <v>2311</v>
      </c>
      <c r="B2312">
        <v>71</v>
      </c>
      <c r="C2312">
        <v>5</v>
      </c>
      <c r="D2312">
        <v>23.7</v>
      </c>
      <c r="E2312">
        <v>2.37</v>
      </c>
      <c r="F2312">
        <v>0</v>
      </c>
      <c r="G2312">
        <v>0.1</v>
      </c>
      <c r="H2312" t="s">
        <v>622</v>
      </c>
      <c r="J2312" t="s">
        <v>623</v>
      </c>
      <c r="K2312" s="1"/>
      <c r="L2312" s="1">
        <v>46216.687094907407</v>
      </c>
      <c r="M2312" s="2">
        <v>46216</v>
      </c>
      <c r="N2312" t="s">
        <v>640</v>
      </c>
      <c r="O2312" t="s">
        <v>625</v>
      </c>
      <c r="P2312">
        <v>1</v>
      </c>
      <c r="Q2312">
        <v>0</v>
      </c>
      <c r="R2312">
        <v>23.7</v>
      </c>
      <c r="S2312" t="s">
        <v>138</v>
      </c>
      <c r="T2312" t="s">
        <v>779</v>
      </c>
    </row>
    <row r="2313" spans="1:20" x14ac:dyDescent="0.3">
      <c r="A2313">
        <v>2312</v>
      </c>
      <c r="B2313">
        <v>289</v>
      </c>
      <c r="C2313">
        <v>5</v>
      </c>
      <c r="D2313">
        <v>108</v>
      </c>
      <c r="E2313">
        <v>10.8</v>
      </c>
      <c r="F2313">
        <v>0</v>
      </c>
      <c r="G2313">
        <v>0.1</v>
      </c>
      <c r="H2313" t="s">
        <v>622</v>
      </c>
      <c r="J2313" t="s">
        <v>623</v>
      </c>
      <c r="K2313" s="1"/>
      <c r="L2313" s="1">
        <v>46216.761377314811</v>
      </c>
      <c r="M2313" s="2">
        <v>46216</v>
      </c>
      <c r="N2313" t="s">
        <v>640</v>
      </c>
      <c r="O2313" t="s">
        <v>625</v>
      </c>
      <c r="P2313">
        <v>1</v>
      </c>
      <c r="Q2313">
        <v>0</v>
      </c>
      <c r="R2313">
        <v>108</v>
      </c>
      <c r="S2313" t="s">
        <v>573</v>
      </c>
      <c r="T2313" t="s">
        <v>779</v>
      </c>
    </row>
    <row r="2314" spans="1:20" x14ac:dyDescent="0.3">
      <c r="A2314">
        <v>2313</v>
      </c>
      <c r="B2314">
        <v>117</v>
      </c>
      <c r="C2314">
        <v>2</v>
      </c>
      <c r="D2314">
        <v>161.6</v>
      </c>
      <c r="E2314">
        <v>16.16</v>
      </c>
      <c r="F2314">
        <v>0</v>
      </c>
      <c r="G2314">
        <v>0.1</v>
      </c>
      <c r="H2314" t="s">
        <v>622</v>
      </c>
      <c r="J2314" t="s">
        <v>623</v>
      </c>
      <c r="K2314" s="1"/>
      <c r="L2314" s="1">
        <v>46216.798680555556</v>
      </c>
      <c r="M2314" s="2">
        <v>46216</v>
      </c>
      <c r="N2314" t="s">
        <v>640</v>
      </c>
      <c r="O2314" t="s">
        <v>625</v>
      </c>
      <c r="P2314">
        <v>1</v>
      </c>
      <c r="Q2314">
        <v>0</v>
      </c>
      <c r="R2314">
        <v>161.6</v>
      </c>
      <c r="S2314" t="s">
        <v>229</v>
      </c>
      <c r="T2314" t="s">
        <v>776</v>
      </c>
    </row>
    <row r="2315" spans="1:20" x14ac:dyDescent="0.3">
      <c r="A2315">
        <v>2314</v>
      </c>
      <c r="B2315">
        <v>185</v>
      </c>
      <c r="C2315">
        <v>4</v>
      </c>
      <c r="D2315">
        <v>80.88</v>
      </c>
      <c r="E2315">
        <v>8.09</v>
      </c>
      <c r="F2315">
        <v>0</v>
      </c>
      <c r="G2315">
        <v>0.1</v>
      </c>
      <c r="H2315" t="s">
        <v>622</v>
      </c>
      <c r="J2315" t="s">
        <v>623</v>
      </c>
      <c r="K2315" s="1"/>
      <c r="L2315" s="1">
        <v>46217.332037037035</v>
      </c>
      <c r="M2315" s="2">
        <v>46217</v>
      </c>
      <c r="N2315" t="s">
        <v>640</v>
      </c>
      <c r="O2315" t="s">
        <v>625</v>
      </c>
      <c r="P2315">
        <v>1</v>
      </c>
      <c r="Q2315">
        <v>0</v>
      </c>
      <c r="R2315">
        <v>80.88</v>
      </c>
      <c r="S2315" t="s">
        <v>365</v>
      </c>
      <c r="T2315" t="s">
        <v>778</v>
      </c>
    </row>
    <row r="2316" spans="1:20" x14ac:dyDescent="0.3">
      <c r="A2316">
        <v>2315</v>
      </c>
      <c r="B2316">
        <v>134</v>
      </c>
      <c r="C2316">
        <v>4</v>
      </c>
      <c r="D2316">
        <v>129.61000000000001</v>
      </c>
      <c r="E2316">
        <v>0</v>
      </c>
      <c r="F2316">
        <v>1</v>
      </c>
      <c r="G2316">
        <v>0.1</v>
      </c>
      <c r="H2316" t="s">
        <v>622</v>
      </c>
      <c r="J2316" t="s">
        <v>623</v>
      </c>
      <c r="K2316" s="1"/>
      <c r="L2316" s="1">
        <v>46217.34480324074</v>
      </c>
      <c r="M2316" s="2">
        <v>46217</v>
      </c>
      <c r="N2316" t="s">
        <v>640</v>
      </c>
      <c r="O2316" t="s">
        <v>629</v>
      </c>
      <c r="P2316">
        <v>1</v>
      </c>
      <c r="Q2316">
        <v>0</v>
      </c>
      <c r="R2316">
        <v>129.61000000000001</v>
      </c>
      <c r="S2316" t="s">
        <v>263</v>
      </c>
      <c r="T2316" t="s">
        <v>778</v>
      </c>
    </row>
    <row r="2317" spans="1:20" x14ac:dyDescent="0.3">
      <c r="A2317">
        <v>2316</v>
      </c>
      <c r="B2317">
        <v>121</v>
      </c>
      <c r="C2317">
        <v>5</v>
      </c>
      <c r="D2317">
        <v>15.09</v>
      </c>
      <c r="E2317">
        <v>1.51</v>
      </c>
      <c r="F2317">
        <v>0</v>
      </c>
      <c r="G2317">
        <v>0.1</v>
      </c>
      <c r="H2317" t="s">
        <v>622</v>
      </c>
      <c r="J2317" t="s">
        <v>623</v>
      </c>
      <c r="K2317" s="1"/>
      <c r="L2317" s="1">
        <v>46217.376793981479</v>
      </c>
      <c r="M2317" s="2">
        <v>46217</v>
      </c>
      <c r="N2317" t="s">
        <v>640</v>
      </c>
      <c r="O2317" t="s">
        <v>625</v>
      </c>
      <c r="P2317">
        <v>1</v>
      </c>
      <c r="Q2317">
        <v>0</v>
      </c>
      <c r="R2317">
        <v>15.09</v>
      </c>
      <c r="S2317" t="s">
        <v>237</v>
      </c>
      <c r="T2317" t="s">
        <v>779</v>
      </c>
    </row>
    <row r="2318" spans="1:20" x14ac:dyDescent="0.3">
      <c r="A2318">
        <v>2317</v>
      </c>
      <c r="B2318">
        <v>123</v>
      </c>
      <c r="C2318">
        <v>3</v>
      </c>
      <c r="D2318">
        <v>40.299999999999997</v>
      </c>
      <c r="E2318">
        <v>4.03</v>
      </c>
      <c r="F2318">
        <v>0</v>
      </c>
      <c r="G2318">
        <v>0.1</v>
      </c>
      <c r="H2318" t="s">
        <v>626</v>
      </c>
      <c r="I2318">
        <v>3</v>
      </c>
      <c r="J2318" t="s">
        <v>632</v>
      </c>
      <c r="K2318" s="1">
        <v>46218.419444444444</v>
      </c>
      <c r="L2318" s="1">
        <v>46218.294444444444</v>
      </c>
      <c r="M2318" s="2">
        <v>46218</v>
      </c>
      <c r="N2318" t="s">
        <v>640</v>
      </c>
      <c r="O2318" t="s">
        <v>625</v>
      </c>
      <c r="P2318">
        <v>1</v>
      </c>
      <c r="Q2318">
        <v>1</v>
      </c>
      <c r="R2318">
        <v>0</v>
      </c>
      <c r="S2318" t="s">
        <v>241</v>
      </c>
      <c r="T2318" t="s">
        <v>777</v>
      </c>
    </row>
    <row r="2319" spans="1:20" x14ac:dyDescent="0.3">
      <c r="A2319">
        <v>2318</v>
      </c>
      <c r="B2319">
        <v>303</v>
      </c>
      <c r="C2319">
        <v>5</v>
      </c>
      <c r="D2319">
        <v>24.17</v>
      </c>
      <c r="E2319">
        <v>2.42</v>
      </c>
      <c r="F2319">
        <v>0</v>
      </c>
      <c r="G2319">
        <v>0.1</v>
      </c>
      <c r="H2319" t="s">
        <v>622</v>
      </c>
      <c r="J2319" t="s">
        <v>623</v>
      </c>
      <c r="K2319" s="1"/>
      <c r="L2319" s="1">
        <v>46218.356747685182</v>
      </c>
      <c r="M2319" s="2">
        <v>46218</v>
      </c>
      <c r="N2319" t="s">
        <v>640</v>
      </c>
      <c r="O2319" t="s">
        <v>625</v>
      </c>
      <c r="P2319">
        <v>1</v>
      </c>
      <c r="Q2319">
        <v>0</v>
      </c>
      <c r="R2319">
        <v>24.17</v>
      </c>
      <c r="S2319" t="s">
        <v>601</v>
      </c>
      <c r="T2319" t="s">
        <v>779</v>
      </c>
    </row>
    <row r="2320" spans="1:20" x14ac:dyDescent="0.3">
      <c r="A2320">
        <v>2319</v>
      </c>
      <c r="B2320">
        <v>249</v>
      </c>
      <c r="C2320">
        <v>3</v>
      </c>
      <c r="D2320">
        <v>40.29</v>
      </c>
      <c r="E2320">
        <v>4.03</v>
      </c>
      <c r="F2320">
        <v>0</v>
      </c>
      <c r="G2320">
        <v>0.1</v>
      </c>
      <c r="H2320" t="s">
        <v>622</v>
      </c>
      <c r="J2320" t="s">
        <v>623</v>
      </c>
      <c r="K2320" s="1"/>
      <c r="L2320" s="1">
        <v>46218.390729166669</v>
      </c>
      <c r="M2320" s="2">
        <v>46218</v>
      </c>
      <c r="N2320" t="s">
        <v>640</v>
      </c>
      <c r="O2320" t="s">
        <v>625</v>
      </c>
      <c r="P2320">
        <v>1</v>
      </c>
      <c r="Q2320">
        <v>0</v>
      </c>
      <c r="R2320">
        <v>40.29</v>
      </c>
      <c r="S2320" t="s">
        <v>493</v>
      </c>
      <c r="T2320" t="s">
        <v>777</v>
      </c>
    </row>
    <row r="2321" spans="1:20" x14ac:dyDescent="0.3">
      <c r="A2321">
        <v>2320</v>
      </c>
      <c r="B2321">
        <v>128</v>
      </c>
      <c r="C2321">
        <v>5</v>
      </c>
      <c r="D2321">
        <v>52.51</v>
      </c>
      <c r="E2321">
        <v>5.25</v>
      </c>
      <c r="F2321">
        <v>0</v>
      </c>
      <c r="G2321">
        <v>0.1</v>
      </c>
      <c r="H2321" t="s">
        <v>622</v>
      </c>
      <c r="J2321" t="s">
        <v>623</v>
      </c>
      <c r="K2321" s="1"/>
      <c r="L2321" s="1">
        <v>46218.396122685182</v>
      </c>
      <c r="M2321" s="2">
        <v>46218</v>
      </c>
      <c r="N2321" t="s">
        <v>640</v>
      </c>
      <c r="O2321" t="s">
        <v>625</v>
      </c>
      <c r="P2321">
        <v>1</v>
      </c>
      <c r="Q2321">
        <v>0</v>
      </c>
      <c r="R2321">
        <v>52.51</v>
      </c>
      <c r="S2321" t="s">
        <v>251</v>
      </c>
      <c r="T2321" t="s">
        <v>779</v>
      </c>
    </row>
    <row r="2322" spans="1:20" x14ac:dyDescent="0.3">
      <c r="A2322">
        <v>2321</v>
      </c>
      <c r="B2322">
        <v>250</v>
      </c>
      <c r="C2322">
        <v>2</v>
      </c>
      <c r="D2322">
        <v>84.43</v>
      </c>
      <c r="E2322">
        <v>8.44</v>
      </c>
      <c r="F2322">
        <v>0</v>
      </c>
      <c r="G2322">
        <v>0.1</v>
      </c>
      <c r="H2322" t="s">
        <v>622</v>
      </c>
      <c r="J2322" t="s">
        <v>623</v>
      </c>
      <c r="K2322" s="1"/>
      <c r="L2322" s="1">
        <v>46218.484479166669</v>
      </c>
      <c r="M2322" s="2">
        <v>46218</v>
      </c>
      <c r="N2322" t="s">
        <v>640</v>
      </c>
      <c r="O2322" t="s">
        <v>625</v>
      </c>
      <c r="P2322">
        <v>1</v>
      </c>
      <c r="Q2322">
        <v>0</v>
      </c>
      <c r="R2322">
        <v>84.43</v>
      </c>
      <c r="S2322" t="s">
        <v>495</v>
      </c>
      <c r="T2322" t="s">
        <v>776</v>
      </c>
    </row>
    <row r="2323" spans="1:20" x14ac:dyDescent="0.3">
      <c r="A2323">
        <v>2322</v>
      </c>
      <c r="B2323">
        <v>250</v>
      </c>
      <c r="C2323">
        <v>5</v>
      </c>
      <c r="D2323">
        <v>66.88</v>
      </c>
      <c r="E2323">
        <v>6.69</v>
      </c>
      <c r="F2323">
        <v>0</v>
      </c>
      <c r="G2323">
        <v>0.1</v>
      </c>
      <c r="H2323" t="s">
        <v>622</v>
      </c>
      <c r="J2323" t="s">
        <v>623</v>
      </c>
      <c r="K2323" s="1"/>
      <c r="L2323" s="1">
        <v>46218.520324074074</v>
      </c>
      <c r="M2323" s="2">
        <v>46218</v>
      </c>
      <c r="N2323" t="s">
        <v>640</v>
      </c>
      <c r="O2323" t="s">
        <v>625</v>
      </c>
      <c r="P2323">
        <v>1</v>
      </c>
      <c r="Q2323">
        <v>0</v>
      </c>
      <c r="R2323">
        <v>66.88</v>
      </c>
      <c r="S2323" t="s">
        <v>495</v>
      </c>
      <c r="T2323" t="s">
        <v>779</v>
      </c>
    </row>
    <row r="2324" spans="1:20" x14ac:dyDescent="0.3">
      <c r="A2324">
        <v>2323</v>
      </c>
      <c r="B2324">
        <v>200</v>
      </c>
      <c r="C2324">
        <v>4</v>
      </c>
      <c r="D2324">
        <v>27.75</v>
      </c>
      <c r="E2324">
        <v>2.78</v>
      </c>
      <c r="F2324">
        <v>0</v>
      </c>
      <c r="G2324">
        <v>0.1</v>
      </c>
      <c r="H2324" t="s">
        <v>622</v>
      </c>
      <c r="J2324" t="s">
        <v>623</v>
      </c>
      <c r="K2324" s="1"/>
      <c r="L2324" s="1">
        <v>46218.61314814815</v>
      </c>
      <c r="M2324" s="2">
        <v>46218</v>
      </c>
      <c r="N2324" t="s">
        <v>640</v>
      </c>
      <c r="O2324" t="s">
        <v>625</v>
      </c>
      <c r="P2324">
        <v>1</v>
      </c>
      <c r="Q2324">
        <v>0</v>
      </c>
      <c r="R2324">
        <v>27.75</v>
      </c>
      <c r="S2324" t="s">
        <v>395</v>
      </c>
      <c r="T2324" t="s">
        <v>778</v>
      </c>
    </row>
    <row r="2325" spans="1:20" x14ac:dyDescent="0.3">
      <c r="A2325">
        <v>2324</v>
      </c>
      <c r="B2325">
        <v>285</v>
      </c>
      <c r="C2325">
        <v>4</v>
      </c>
      <c r="D2325">
        <v>26.89</v>
      </c>
      <c r="E2325">
        <v>2.69</v>
      </c>
      <c r="F2325">
        <v>0</v>
      </c>
      <c r="G2325">
        <v>0.1</v>
      </c>
      <c r="H2325" t="s">
        <v>622</v>
      </c>
      <c r="J2325" t="s">
        <v>623</v>
      </c>
      <c r="K2325" s="1"/>
      <c r="L2325" s="1">
        <v>46218.636863425927</v>
      </c>
      <c r="M2325" s="2">
        <v>46218</v>
      </c>
      <c r="N2325" t="s">
        <v>640</v>
      </c>
      <c r="O2325" t="s">
        <v>625</v>
      </c>
      <c r="P2325">
        <v>1</v>
      </c>
      <c r="Q2325">
        <v>0</v>
      </c>
      <c r="R2325">
        <v>26.89</v>
      </c>
      <c r="S2325" t="s">
        <v>565</v>
      </c>
      <c r="T2325" t="s">
        <v>778</v>
      </c>
    </row>
    <row r="2326" spans="1:20" x14ac:dyDescent="0.3">
      <c r="A2326">
        <v>2325</v>
      </c>
      <c r="B2326">
        <v>259</v>
      </c>
      <c r="C2326">
        <v>5</v>
      </c>
      <c r="D2326">
        <v>34.67</v>
      </c>
      <c r="E2326">
        <v>3.47</v>
      </c>
      <c r="F2326">
        <v>0</v>
      </c>
      <c r="G2326">
        <v>0.1</v>
      </c>
      <c r="H2326" t="s">
        <v>622</v>
      </c>
      <c r="J2326" t="s">
        <v>623</v>
      </c>
      <c r="K2326" s="1"/>
      <c r="L2326" s="1">
        <v>46218.691168981481</v>
      </c>
      <c r="M2326" s="2">
        <v>46218</v>
      </c>
      <c r="N2326" t="s">
        <v>640</v>
      </c>
      <c r="O2326" t="s">
        <v>625</v>
      </c>
      <c r="P2326">
        <v>1</v>
      </c>
      <c r="Q2326">
        <v>0</v>
      </c>
      <c r="R2326">
        <v>34.67</v>
      </c>
      <c r="S2326" t="s">
        <v>513</v>
      </c>
      <c r="T2326" t="s">
        <v>779</v>
      </c>
    </row>
    <row r="2327" spans="1:20" x14ac:dyDescent="0.3">
      <c r="A2327">
        <v>2326</v>
      </c>
      <c r="B2327">
        <v>281</v>
      </c>
      <c r="C2327">
        <v>5</v>
      </c>
      <c r="D2327">
        <v>267.27999999999997</v>
      </c>
      <c r="E2327">
        <v>26.73</v>
      </c>
      <c r="F2327">
        <v>0</v>
      </c>
      <c r="G2327">
        <v>0.1</v>
      </c>
      <c r="H2327" t="s">
        <v>622</v>
      </c>
      <c r="J2327" t="s">
        <v>623</v>
      </c>
      <c r="K2327" s="1"/>
      <c r="L2327" s="1">
        <v>46218.704606481479</v>
      </c>
      <c r="M2327" s="2">
        <v>46218</v>
      </c>
      <c r="N2327" t="s">
        <v>640</v>
      </c>
      <c r="O2327" t="s">
        <v>625</v>
      </c>
      <c r="P2327">
        <v>1</v>
      </c>
      <c r="Q2327">
        <v>0</v>
      </c>
      <c r="R2327">
        <v>267.27999999999997</v>
      </c>
      <c r="S2327" t="s">
        <v>557</v>
      </c>
      <c r="T2327" t="s">
        <v>779</v>
      </c>
    </row>
    <row r="2328" spans="1:20" x14ac:dyDescent="0.3">
      <c r="A2328">
        <v>2327</v>
      </c>
      <c r="B2328">
        <v>267</v>
      </c>
      <c r="C2328">
        <v>5</v>
      </c>
      <c r="D2328">
        <v>53.14</v>
      </c>
      <c r="E2328">
        <v>5.31</v>
      </c>
      <c r="F2328">
        <v>0</v>
      </c>
      <c r="G2328">
        <v>0.1</v>
      </c>
      <c r="H2328" t="s">
        <v>622</v>
      </c>
      <c r="J2328" t="s">
        <v>623</v>
      </c>
      <c r="K2328" s="1"/>
      <c r="L2328" s="1">
        <v>46218.740474537037</v>
      </c>
      <c r="M2328" s="2">
        <v>46218</v>
      </c>
      <c r="N2328" t="s">
        <v>640</v>
      </c>
      <c r="O2328" t="s">
        <v>625</v>
      </c>
      <c r="P2328">
        <v>1</v>
      </c>
      <c r="Q2328">
        <v>0</v>
      </c>
      <c r="R2328">
        <v>53.14</v>
      </c>
      <c r="S2328" t="s">
        <v>529</v>
      </c>
      <c r="T2328" t="s">
        <v>779</v>
      </c>
    </row>
    <row r="2329" spans="1:20" x14ac:dyDescent="0.3">
      <c r="A2329">
        <v>2328</v>
      </c>
      <c r="B2329">
        <v>128</v>
      </c>
      <c r="C2329">
        <v>5</v>
      </c>
      <c r="D2329">
        <v>21.15</v>
      </c>
      <c r="E2329">
        <v>2.12</v>
      </c>
      <c r="F2329">
        <v>0</v>
      </c>
      <c r="G2329">
        <v>0.1</v>
      </c>
      <c r="H2329" t="s">
        <v>622</v>
      </c>
      <c r="J2329" t="s">
        <v>623</v>
      </c>
      <c r="K2329" s="1"/>
      <c r="L2329" s="1">
        <v>46219.299467592595</v>
      </c>
      <c r="M2329" s="2">
        <v>46219</v>
      </c>
      <c r="N2329" t="s">
        <v>640</v>
      </c>
      <c r="O2329" t="s">
        <v>625</v>
      </c>
      <c r="P2329">
        <v>1</v>
      </c>
      <c r="Q2329">
        <v>0</v>
      </c>
      <c r="R2329">
        <v>21.15</v>
      </c>
      <c r="S2329" t="s">
        <v>251</v>
      </c>
      <c r="T2329" t="s">
        <v>779</v>
      </c>
    </row>
    <row r="2330" spans="1:20" x14ac:dyDescent="0.3">
      <c r="A2330">
        <v>2329</v>
      </c>
      <c r="B2330">
        <v>137</v>
      </c>
      <c r="C2330">
        <v>3</v>
      </c>
      <c r="D2330">
        <v>30.3</v>
      </c>
      <c r="E2330">
        <v>3.03</v>
      </c>
      <c r="F2330">
        <v>0</v>
      </c>
      <c r="G2330">
        <v>0.1</v>
      </c>
      <c r="H2330" t="s">
        <v>622</v>
      </c>
      <c r="J2330" t="s">
        <v>623</v>
      </c>
      <c r="K2330" s="1"/>
      <c r="L2330" s="1">
        <v>46219.348090277781</v>
      </c>
      <c r="M2330" s="2">
        <v>46219</v>
      </c>
      <c r="N2330" t="s">
        <v>640</v>
      </c>
      <c r="O2330" t="s">
        <v>625</v>
      </c>
      <c r="P2330">
        <v>1</v>
      </c>
      <c r="Q2330">
        <v>0</v>
      </c>
      <c r="R2330">
        <v>30.3</v>
      </c>
      <c r="S2330" t="s">
        <v>269</v>
      </c>
      <c r="T2330" t="s">
        <v>777</v>
      </c>
    </row>
    <row r="2331" spans="1:20" x14ac:dyDescent="0.3">
      <c r="A2331">
        <v>2330</v>
      </c>
      <c r="B2331">
        <v>18</v>
      </c>
      <c r="C2331">
        <v>4</v>
      </c>
      <c r="D2331">
        <v>131.41</v>
      </c>
      <c r="E2331">
        <v>13.14</v>
      </c>
      <c r="F2331">
        <v>0</v>
      </c>
      <c r="G2331">
        <v>0.1</v>
      </c>
      <c r="H2331" t="s">
        <v>622</v>
      </c>
      <c r="J2331" t="s">
        <v>623</v>
      </c>
      <c r="K2331" s="1"/>
      <c r="L2331" s="1">
        <v>46219.382708333331</v>
      </c>
      <c r="M2331" s="2">
        <v>46219</v>
      </c>
      <c r="N2331" t="s">
        <v>640</v>
      </c>
      <c r="O2331" t="s">
        <v>625</v>
      </c>
      <c r="P2331">
        <v>1</v>
      </c>
      <c r="Q2331">
        <v>0</v>
      </c>
      <c r="R2331">
        <v>131.41</v>
      </c>
      <c r="S2331" t="s">
        <v>32</v>
      </c>
      <c r="T2331" t="s">
        <v>778</v>
      </c>
    </row>
    <row r="2332" spans="1:20" x14ac:dyDescent="0.3">
      <c r="A2332">
        <v>2331</v>
      </c>
      <c r="B2332">
        <v>229</v>
      </c>
      <c r="C2332">
        <v>4</v>
      </c>
      <c r="D2332">
        <v>40.119999999999997</v>
      </c>
      <c r="E2332">
        <v>0</v>
      </c>
      <c r="F2332">
        <v>1</v>
      </c>
      <c r="G2332">
        <v>0.1</v>
      </c>
      <c r="H2332" t="s">
        <v>622</v>
      </c>
      <c r="J2332" t="s">
        <v>623</v>
      </c>
      <c r="K2332" s="1"/>
      <c r="L2332" s="1">
        <v>46219.396018518521</v>
      </c>
      <c r="M2332" s="2">
        <v>46219</v>
      </c>
      <c r="N2332" t="s">
        <v>640</v>
      </c>
      <c r="O2332" t="s">
        <v>629</v>
      </c>
      <c r="P2332">
        <v>1</v>
      </c>
      <c r="Q2332">
        <v>0</v>
      </c>
      <c r="R2332">
        <v>40.119999999999997</v>
      </c>
      <c r="S2332" t="s">
        <v>453</v>
      </c>
      <c r="T2332" t="s">
        <v>778</v>
      </c>
    </row>
    <row r="2333" spans="1:20" x14ac:dyDescent="0.3">
      <c r="A2333">
        <v>2332</v>
      </c>
      <c r="B2333">
        <v>98</v>
      </c>
      <c r="C2333">
        <v>5</v>
      </c>
      <c r="D2333">
        <v>67.489999999999995</v>
      </c>
      <c r="E2333">
        <v>6.75</v>
      </c>
      <c r="F2333">
        <v>0</v>
      </c>
      <c r="G2333">
        <v>0.1</v>
      </c>
      <c r="H2333" t="s">
        <v>622</v>
      </c>
      <c r="J2333" t="s">
        <v>623</v>
      </c>
      <c r="K2333" s="1"/>
      <c r="L2333" s="1">
        <v>46219.569490740738</v>
      </c>
      <c r="M2333" s="2">
        <v>46219</v>
      </c>
      <c r="N2333" t="s">
        <v>640</v>
      </c>
      <c r="O2333" t="s">
        <v>625</v>
      </c>
      <c r="P2333">
        <v>1</v>
      </c>
      <c r="Q2333">
        <v>0</v>
      </c>
      <c r="R2333">
        <v>67.489999999999995</v>
      </c>
      <c r="S2333" t="s">
        <v>191</v>
      </c>
      <c r="T2333" t="s">
        <v>779</v>
      </c>
    </row>
    <row r="2334" spans="1:20" x14ac:dyDescent="0.3">
      <c r="A2334">
        <v>2333</v>
      </c>
      <c r="B2334">
        <v>250</v>
      </c>
      <c r="C2334">
        <v>2</v>
      </c>
      <c r="D2334">
        <v>51.56</v>
      </c>
      <c r="E2334">
        <v>5.16</v>
      </c>
      <c r="F2334">
        <v>0</v>
      </c>
      <c r="G2334">
        <v>0.1</v>
      </c>
      <c r="H2334" t="s">
        <v>622</v>
      </c>
      <c r="J2334" t="s">
        <v>623</v>
      </c>
      <c r="K2334" s="1"/>
      <c r="L2334" s="1">
        <v>46219.690717592595</v>
      </c>
      <c r="M2334" s="2">
        <v>46219</v>
      </c>
      <c r="N2334" t="s">
        <v>640</v>
      </c>
      <c r="O2334" t="s">
        <v>625</v>
      </c>
      <c r="P2334">
        <v>1</v>
      </c>
      <c r="Q2334">
        <v>0</v>
      </c>
      <c r="R2334">
        <v>51.56</v>
      </c>
      <c r="S2334" t="s">
        <v>495</v>
      </c>
      <c r="T2334" t="s">
        <v>776</v>
      </c>
    </row>
    <row r="2335" spans="1:20" x14ac:dyDescent="0.3">
      <c r="A2335">
        <v>2334</v>
      </c>
      <c r="B2335">
        <v>128</v>
      </c>
      <c r="C2335">
        <v>4</v>
      </c>
      <c r="D2335">
        <v>20.149999999999999</v>
      </c>
      <c r="E2335">
        <v>2.02</v>
      </c>
      <c r="F2335">
        <v>0</v>
      </c>
      <c r="G2335">
        <v>0.1</v>
      </c>
      <c r="H2335" t="s">
        <v>622</v>
      </c>
      <c r="J2335" t="s">
        <v>623</v>
      </c>
      <c r="K2335" s="1"/>
      <c r="L2335" s="1">
        <v>46219.707812499997</v>
      </c>
      <c r="M2335" s="2">
        <v>46219</v>
      </c>
      <c r="N2335" t="s">
        <v>640</v>
      </c>
      <c r="O2335" t="s">
        <v>625</v>
      </c>
      <c r="P2335">
        <v>1</v>
      </c>
      <c r="Q2335">
        <v>0</v>
      </c>
      <c r="R2335">
        <v>20.149999999999999</v>
      </c>
      <c r="S2335" t="s">
        <v>251</v>
      </c>
      <c r="T2335" t="s">
        <v>778</v>
      </c>
    </row>
    <row r="2336" spans="1:20" x14ac:dyDescent="0.3">
      <c r="A2336">
        <v>2335</v>
      </c>
      <c r="B2336">
        <v>243</v>
      </c>
      <c r="C2336">
        <v>5</v>
      </c>
      <c r="D2336">
        <v>58.13</v>
      </c>
      <c r="E2336">
        <v>5.81</v>
      </c>
      <c r="F2336">
        <v>0</v>
      </c>
      <c r="G2336">
        <v>0.1</v>
      </c>
      <c r="H2336" t="s">
        <v>622</v>
      </c>
      <c r="J2336" t="s">
        <v>623</v>
      </c>
      <c r="K2336" s="1"/>
      <c r="L2336" s="1">
        <v>46220.369016203702</v>
      </c>
      <c r="M2336" s="2">
        <v>46220</v>
      </c>
      <c r="N2336" t="s">
        <v>640</v>
      </c>
      <c r="O2336" t="s">
        <v>625</v>
      </c>
      <c r="P2336">
        <v>1</v>
      </c>
      <c r="Q2336">
        <v>0</v>
      </c>
      <c r="R2336">
        <v>58.13</v>
      </c>
      <c r="S2336" t="s">
        <v>481</v>
      </c>
      <c r="T2336" t="s">
        <v>779</v>
      </c>
    </row>
    <row r="2337" spans="1:20" x14ac:dyDescent="0.3">
      <c r="A2337">
        <v>2336</v>
      </c>
      <c r="B2337">
        <v>137</v>
      </c>
      <c r="C2337">
        <v>5</v>
      </c>
      <c r="D2337">
        <v>33.06</v>
      </c>
      <c r="E2337">
        <v>3.31</v>
      </c>
      <c r="F2337">
        <v>0</v>
      </c>
      <c r="G2337">
        <v>0.1</v>
      </c>
      <c r="H2337" t="s">
        <v>622</v>
      </c>
      <c r="J2337" t="s">
        <v>623</v>
      </c>
      <c r="K2337" s="1"/>
      <c r="L2337" s="1">
        <v>46220.505370370367</v>
      </c>
      <c r="M2337" s="2">
        <v>46220</v>
      </c>
      <c r="N2337" t="s">
        <v>640</v>
      </c>
      <c r="O2337" t="s">
        <v>625</v>
      </c>
      <c r="P2337">
        <v>1</v>
      </c>
      <c r="Q2337">
        <v>0</v>
      </c>
      <c r="R2337">
        <v>33.06</v>
      </c>
      <c r="S2337" t="s">
        <v>269</v>
      </c>
      <c r="T2337" t="s">
        <v>779</v>
      </c>
    </row>
    <row r="2338" spans="1:20" x14ac:dyDescent="0.3">
      <c r="A2338">
        <v>2337</v>
      </c>
      <c r="B2338">
        <v>134</v>
      </c>
      <c r="C2338">
        <v>4</v>
      </c>
      <c r="D2338">
        <v>60.05</v>
      </c>
      <c r="E2338">
        <v>6.01</v>
      </c>
      <c r="F2338">
        <v>0</v>
      </c>
      <c r="G2338">
        <v>0.1</v>
      </c>
      <c r="H2338" t="s">
        <v>622</v>
      </c>
      <c r="J2338" t="s">
        <v>623</v>
      </c>
      <c r="K2338" s="1"/>
      <c r="L2338" s="1">
        <v>46220.536053240743</v>
      </c>
      <c r="M2338" s="2">
        <v>46220</v>
      </c>
      <c r="N2338" t="s">
        <v>640</v>
      </c>
      <c r="O2338" t="s">
        <v>625</v>
      </c>
      <c r="P2338">
        <v>1</v>
      </c>
      <c r="Q2338">
        <v>0</v>
      </c>
      <c r="R2338">
        <v>60.05</v>
      </c>
      <c r="S2338" t="s">
        <v>263</v>
      </c>
      <c r="T2338" t="s">
        <v>778</v>
      </c>
    </row>
    <row r="2339" spans="1:20" x14ac:dyDescent="0.3">
      <c r="A2339">
        <v>2338</v>
      </c>
      <c r="B2339">
        <v>48</v>
      </c>
      <c r="C2339">
        <v>2</v>
      </c>
      <c r="D2339">
        <v>46.48</v>
      </c>
      <c r="E2339">
        <v>4.6500000000000004</v>
      </c>
      <c r="F2339">
        <v>0</v>
      </c>
      <c r="G2339">
        <v>0.1</v>
      </c>
      <c r="H2339" t="s">
        <v>622</v>
      </c>
      <c r="J2339" t="s">
        <v>623</v>
      </c>
      <c r="K2339" s="1"/>
      <c r="L2339" s="1">
        <v>46220.668194444443</v>
      </c>
      <c r="M2339" s="2">
        <v>46220</v>
      </c>
      <c r="N2339" t="s">
        <v>640</v>
      </c>
      <c r="O2339" t="s">
        <v>625</v>
      </c>
      <c r="P2339">
        <v>1</v>
      </c>
      <c r="Q2339">
        <v>0</v>
      </c>
      <c r="R2339">
        <v>46.48</v>
      </c>
      <c r="S2339" t="s">
        <v>92</v>
      </c>
      <c r="T2339" t="s">
        <v>776</v>
      </c>
    </row>
    <row r="2340" spans="1:20" x14ac:dyDescent="0.3">
      <c r="A2340">
        <v>2339</v>
      </c>
      <c r="B2340">
        <v>18</v>
      </c>
      <c r="C2340">
        <v>5</v>
      </c>
      <c r="D2340">
        <v>102.95</v>
      </c>
      <c r="E2340">
        <v>10.3</v>
      </c>
      <c r="F2340">
        <v>0</v>
      </c>
      <c r="G2340">
        <v>0.1</v>
      </c>
      <c r="H2340" t="s">
        <v>622</v>
      </c>
      <c r="J2340" t="s">
        <v>623</v>
      </c>
      <c r="K2340" s="1"/>
      <c r="L2340" s="1">
        <v>46220.767789351848</v>
      </c>
      <c r="M2340" s="2">
        <v>46220</v>
      </c>
      <c r="N2340" t="s">
        <v>640</v>
      </c>
      <c r="O2340" t="s">
        <v>625</v>
      </c>
      <c r="P2340">
        <v>1</v>
      </c>
      <c r="Q2340">
        <v>0</v>
      </c>
      <c r="R2340">
        <v>102.95</v>
      </c>
      <c r="S2340" t="s">
        <v>32</v>
      </c>
      <c r="T2340" t="s">
        <v>779</v>
      </c>
    </row>
    <row r="2341" spans="1:20" x14ac:dyDescent="0.3">
      <c r="A2341">
        <v>2340</v>
      </c>
      <c r="B2341">
        <v>128</v>
      </c>
      <c r="C2341">
        <v>4</v>
      </c>
      <c r="D2341">
        <v>35.51</v>
      </c>
      <c r="E2341">
        <v>3.55</v>
      </c>
      <c r="F2341">
        <v>0</v>
      </c>
      <c r="G2341">
        <v>0.1</v>
      </c>
      <c r="H2341" t="s">
        <v>622</v>
      </c>
      <c r="J2341" t="s">
        <v>623</v>
      </c>
      <c r="K2341" s="1"/>
      <c r="L2341" s="1">
        <v>46220.811574074076</v>
      </c>
      <c r="M2341" s="2">
        <v>46220</v>
      </c>
      <c r="N2341" t="s">
        <v>640</v>
      </c>
      <c r="O2341" t="s">
        <v>625</v>
      </c>
      <c r="P2341">
        <v>1</v>
      </c>
      <c r="Q2341">
        <v>0</v>
      </c>
      <c r="R2341">
        <v>35.51</v>
      </c>
      <c r="S2341" t="s">
        <v>251</v>
      </c>
      <c r="T2341" t="s">
        <v>778</v>
      </c>
    </row>
    <row r="2342" spans="1:20" x14ac:dyDescent="0.3">
      <c r="A2342">
        <v>2341</v>
      </c>
      <c r="B2342">
        <v>133</v>
      </c>
      <c r="C2342">
        <v>5</v>
      </c>
      <c r="D2342">
        <v>78.959999999999994</v>
      </c>
      <c r="E2342">
        <v>7.9</v>
      </c>
      <c r="F2342">
        <v>0</v>
      </c>
      <c r="G2342">
        <v>0.1</v>
      </c>
      <c r="H2342" t="s">
        <v>622</v>
      </c>
      <c r="J2342" t="s">
        <v>623</v>
      </c>
      <c r="K2342" s="1"/>
      <c r="L2342" s="1">
        <v>46221.339861111112</v>
      </c>
      <c r="M2342" s="2">
        <v>46221</v>
      </c>
      <c r="N2342" t="s">
        <v>640</v>
      </c>
      <c r="O2342" t="s">
        <v>625</v>
      </c>
      <c r="P2342">
        <v>1</v>
      </c>
      <c r="Q2342">
        <v>0</v>
      </c>
      <c r="R2342">
        <v>78.959999999999994</v>
      </c>
      <c r="S2342" t="s">
        <v>261</v>
      </c>
      <c r="T2342" t="s">
        <v>779</v>
      </c>
    </row>
    <row r="2343" spans="1:20" x14ac:dyDescent="0.3">
      <c r="A2343">
        <v>2342</v>
      </c>
      <c r="B2343">
        <v>227</v>
      </c>
      <c r="C2343">
        <v>2</v>
      </c>
      <c r="D2343">
        <v>30.43</v>
      </c>
      <c r="E2343">
        <v>3.04</v>
      </c>
      <c r="F2343">
        <v>0</v>
      </c>
      <c r="G2343">
        <v>0.1</v>
      </c>
      <c r="H2343" t="s">
        <v>622</v>
      </c>
      <c r="J2343" t="s">
        <v>623</v>
      </c>
      <c r="K2343" s="1"/>
      <c r="L2343" s="1">
        <v>46221.423113425924</v>
      </c>
      <c r="M2343" s="2">
        <v>46221</v>
      </c>
      <c r="N2343" t="s">
        <v>640</v>
      </c>
      <c r="O2343" t="s">
        <v>625</v>
      </c>
      <c r="P2343">
        <v>1</v>
      </c>
      <c r="Q2343">
        <v>0</v>
      </c>
      <c r="R2343">
        <v>30.43</v>
      </c>
      <c r="S2343" t="s">
        <v>449</v>
      </c>
      <c r="T2343" t="s">
        <v>776</v>
      </c>
    </row>
    <row r="2344" spans="1:20" x14ac:dyDescent="0.3">
      <c r="A2344">
        <v>2343</v>
      </c>
      <c r="B2344">
        <v>43</v>
      </c>
      <c r="C2344">
        <v>3</v>
      </c>
      <c r="D2344">
        <v>79.83</v>
      </c>
      <c r="E2344">
        <v>7.98</v>
      </c>
      <c r="F2344">
        <v>0</v>
      </c>
      <c r="G2344">
        <v>0.1</v>
      </c>
      <c r="H2344" t="s">
        <v>622</v>
      </c>
      <c r="J2344" t="s">
        <v>623</v>
      </c>
      <c r="K2344" s="1"/>
      <c r="L2344" s="1">
        <v>46221.676898148151</v>
      </c>
      <c r="M2344" s="2">
        <v>46221</v>
      </c>
      <c r="N2344" t="s">
        <v>640</v>
      </c>
      <c r="O2344" t="s">
        <v>625</v>
      </c>
      <c r="P2344">
        <v>1</v>
      </c>
      <c r="Q2344">
        <v>0</v>
      </c>
      <c r="R2344">
        <v>79.83</v>
      </c>
      <c r="S2344" t="s">
        <v>82</v>
      </c>
      <c r="T2344" t="s">
        <v>777</v>
      </c>
    </row>
    <row r="2345" spans="1:20" x14ac:dyDescent="0.3">
      <c r="A2345">
        <v>2344</v>
      </c>
      <c r="B2345">
        <v>123</v>
      </c>
      <c r="C2345">
        <v>5</v>
      </c>
      <c r="D2345">
        <v>28.76</v>
      </c>
      <c r="E2345">
        <v>2.88</v>
      </c>
      <c r="F2345">
        <v>0</v>
      </c>
      <c r="G2345">
        <v>0.1</v>
      </c>
      <c r="H2345" t="s">
        <v>622</v>
      </c>
      <c r="J2345" t="s">
        <v>623</v>
      </c>
      <c r="K2345" s="1"/>
      <c r="L2345" s="1">
        <v>46221.740567129629</v>
      </c>
      <c r="M2345" s="2">
        <v>46221</v>
      </c>
      <c r="N2345" t="s">
        <v>640</v>
      </c>
      <c r="O2345" t="s">
        <v>625</v>
      </c>
      <c r="P2345">
        <v>1</v>
      </c>
      <c r="Q2345">
        <v>0</v>
      </c>
      <c r="R2345">
        <v>28.76</v>
      </c>
      <c r="S2345" t="s">
        <v>241</v>
      </c>
      <c r="T2345" t="s">
        <v>779</v>
      </c>
    </row>
    <row r="2346" spans="1:20" x14ac:dyDescent="0.3">
      <c r="A2346">
        <v>2345</v>
      </c>
      <c r="B2346">
        <v>263</v>
      </c>
      <c r="C2346">
        <v>4</v>
      </c>
      <c r="D2346">
        <v>12.83</v>
      </c>
      <c r="E2346">
        <v>1.28</v>
      </c>
      <c r="F2346">
        <v>0</v>
      </c>
      <c r="G2346">
        <v>0.1</v>
      </c>
      <c r="H2346" t="s">
        <v>622</v>
      </c>
      <c r="J2346" t="s">
        <v>623</v>
      </c>
      <c r="K2346" s="1"/>
      <c r="L2346" s="1">
        <v>46222.365347222221</v>
      </c>
      <c r="M2346" s="2">
        <v>46222</v>
      </c>
      <c r="N2346" t="s">
        <v>640</v>
      </c>
      <c r="O2346" t="s">
        <v>625</v>
      </c>
      <c r="P2346">
        <v>1</v>
      </c>
      <c r="Q2346">
        <v>0</v>
      </c>
      <c r="R2346">
        <v>12.83</v>
      </c>
      <c r="S2346" t="s">
        <v>521</v>
      </c>
      <c r="T2346" t="s">
        <v>778</v>
      </c>
    </row>
    <row r="2347" spans="1:20" x14ac:dyDescent="0.3">
      <c r="A2347">
        <v>2346</v>
      </c>
      <c r="B2347">
        <v>134</v>
      </c>
      <c r="C2347">
        <v>3</v>
      </c>
      <c r="D2347">
        <v>113.4</v>
      </c>
      <c r="E2347">
        <v>11.34</v>
      </c>
      <c r="F2347">
        <v>0</v>
      </c>
      <c r="G2347">
        <v>0.1</v>
      </c>
      <c r="H2347" t="s">
        <v>622</v>
      </c>
      <c r="J2347" t="s">
        <v>623</v>
      </c>
      <c r="K2347" s="1"/>
      <c r="L2347" s="1">
        <v>46222.37127314815</v>
      </c>
      <c r="M2347" s="2">
        <v>46222</v>
      </c>
      <c r="N2347" t="s">
        <v>640</v>
      </c>
      <c r="O2347" t="s">
        <v>625</v>
      </c>
      <c r="P2347">
        <v>1</v>
      </c>
      <c r="Q2347">
        <v>0</v>
      </c>
      <c r="R2347">
        <v>113.4</v>
      </c>
      <c r="S2347" t="s">
        <v>263</v>
      </c>
      <c r="T2347" t="s">
        <v>777</v>
      </c>
    </row>
    <row r="2348" spans="1:20" x14ac:dyDescent="0.3">
      <c r="A2348">
        <v>2347</v>
      </c>
      <c r="B2348">
        <v>197</v>
      </c>
      <c r="C2348">
        <v>4</v>
      </c>
      <c r="D2348">
        <v>86.79</v>
      </c>
      <c r="E2348">
        <v>8.68</v>
      </c>
      <c r="F2348">
        <v>0</v>
      </c>
      <c r="G2348">
        <v>0.1</v>
      </c>
      <c r="H2348" t="s">
        <v>622</v>
      </c>
      <c r="J2348" t="s">
        <v>623</v>
      </c>
      <c r="K2348" s="1"/>
      <c r="L2348" s="1">
        <v>46222.375462962962</v>
      </c>
      <c r="M2348" s="2">
        <v>46222</v>
      </c>
      <c r="N2348" t="s">
        <v>640</v>
      </c>
      <c r="O2348" t="s">
        <v>625</v>
      </c>
      <c r="P2348">
        <v>1</v>
      </c>
      <c r="Q2348">
        <v>0</v>
      </c>
      <c r="R2348">
        <v>86.79</v>
      </c>
      <c r="S2348" t="s">
        <v>389</v>
      </c>
      <c r="T2348" t="s">
        <v>778</v>
      </c>
    </row>
    <row r="2349" spans="1:20" x14ac:dyDescent="0.3">
      <c r="A2349">
        <v>2348</v>
      </c>
      <c r="B2349">
        <v>128</v>
      </c>
      <c r="C2349">
        <v>3</v>
      </c>
      <c r="D2349">
        <v>38.33</v>
      </c>
      <c r="E2349">
        <v>3.83</v>
      </c>
      <c r="F2349">
        <v>0</v>
      </c>
      <c r="G2349">
        <v>0.1</v>
      </c>
      <c r="H2349" t="s">
        <v>622</v>
      </c>
      <c r="J2349" t="s">
        <v>623</v>
      </c>
      <c r="K2349" s="1"/>
      <c r="L2349" s="1">
        <v>46223.383935185186</v>
      </c>
      <c r="M2349" s="2">
        <v>46223</v>
      </c>
      <c r="N2349" t="s">
        <v>640</v>
      </c>
      <c r="O2349" t="s">
        <v>625</v>
      </c>
      <c r="P2349">
        <v>1</v>
      </c>
      <c r="Q2349">
        <v>0</v>
      </c>
      <c r="R2349">
        <v>38.33</v>
      </c>
      <c r="S2349" t="s">
        <v>251</v>
      </c>
      <c r="T2349" t="s">
        <v>777</v>
      </c>
    </row>
    <row r="2350" spans="1:20" x14ac:dyDescent="0.3">
      <c r="A2350">
        <v>2349</v>
      </c>
      <c r="B2350">
        <v>128</v>
      </c>
      <c r="C2350">
        <v>5</v>
      </c>
      <c r="D2350">
        <v>39.58</v>
      </c>
      <c r="E2350">
        <v>3.96</v>
      </c>
      <c r="F2350">
        <v>0</v>
      </c>
      <c r="G2350">
        <v>0.1</v>
      </c>
      <c r="H2350" t="s">
        <v>626</v>
      </c>
      <c r="I2350">
        <v>5</v>
      </c>
      <c r="J2350" t="s">
        <v>631</v>
      </c>
      <c r="K2350" s="1">
        <v>46224.608703703707</v>
      </c>
      <c r="L2350" s="1">
        <v>46223.442037037035</v>
      </c>
      <c r="M2350" s="2">
        <v>46223</v>
      </c>
      <c r="N2350" t="s">
        <v>640</v>
      </c>
      <c r="O2350" t="s">
        <v>625</v>
      </c>
      <c r="P2350">
        <v>1</v>
      </c>
      <c r="Q2350">
        <v>1</v>
      </c>
      <c r="R2350">
        <v>0</v>
      </c>
      <c r="S2350" t="s">
        <v>251</v>
      </c>
      <c r="T2350" t="s">
        <v>779</v>
      </c>
    </row>
    <row r="2351" spans="1:20" x14ac:dyDescent="0.3">
      <c r="A2351">
        <v>2350</v>
      </c>
      <c r="B2351">
        <v>136</v>
      </c>
      <c r="C2351">
        <v>4</v>
      </c>
      <c r="D2351">
        <v>56.85</v>
      </c>
      <c r="E2351">
        <v>5.69</v>
      </c>
      <c r="F2351">
        <v>0</v>
      </c>
      <c r="G2351">
        <v>0.1</v>
      </c>
      <c r="H2351" t="s">
        <v>622</v>
      </c>
      <c r="J2351" t="s">
        <v>623</v>
      </c>
      <c r="K2351" s="1"/>
      <c r="L2351" s="1">
        <v>46223.4453125</v>
      </c>
      <c r="M2351" s="2">
        <v>46223</v>
      </c>
      <c r="N2351" t="s">
        <v>640</v>
      </c>
      <c r="O2351" t="s">
        <v>625</v>
      </c>
      <c r="P2351">
        <v>1</v>
      </c>
      <c r="Q2351">
        <v>0</v>
      </c>
      <c r="R2351">
        <v>56.85</v>
      </c>
      <c r="S2351" t="s">
        <v>267</v>
      </c>
      <c r="T2351" t="s">
        <v>778</v>
      </c>
    </row>
    <row r="2352" spans="1:20" x14ac:dyDescent="0.3">
      <c r="A2352">
        <v>2351</v>
      </c>
      <c r="B2352">
        <v>224</v>
      </c>
      <c r="C2352">
        <v>5</v>
      </c>
      <c r="D2352">
        <v>51.84</v>
      </c>
      <c r="E2352">
        <v>5.18</v>
      </c>
      <c r="F2352">
        <v>0</v>
      </c>
      <c r="G2352">
        <v>0.1</v>
      </c>
      <c r="H2352" t="s">
        <v>622</v>
      </c>
      <c r="J2352" t="s">
        <v>623</v>
      </c>
      <c r="K2352" s="1"/>
      <c r="L2352" s="1">
        <v>46223.490960648145</v>
      </c>
      <c r="M2352" s="2">
        <v>46223</v>
      </c>
      <c r="N2352" t="s">
        <v>640</v>
      </c>
      <c r="O2352" t="s">
        <v>625</v>
      </c>
      <c r="P2352">
        <v>1</v>
      </c>
      <c r="Q2352">
        <v>0</v>
      </c>
      <c r="R2352">
        <v>51.84</v>
      </c>
      <c r="S2352" t="s">
        <v>443</v>
      </c>
      <c r="T2352" t="s">
        <v>779</v>
      </c>
    </row>
    <row r="2353" spans="1:20" x14ac:dyDescent="0.3">
      <c r="A2353">
        <v>2352</v>
      </c>
      <c r="B2353">
        <v>137</v>
      </c>
      <c r="C2353">
        <v>5</v>
      </c>
      <c r="D2353">
        <v>35.1</v>
      </c>
      <c r="E2353">
        <v>3.51</v>
      </c>
      <c r="F2353">
        <v>0</v>
      </c>
      <c r="G2353">
        <v>0.1</v>
      </c>
      <c r="H2353" t="s">
        <v>622</v>
      </c>
      <c r="J2353" t="s">
        <v>623</v>
      </c>
      <c r="K2353" s="1"/>
      <c r="L2353" s="1">
        <v>46223.56108796296</v>
      </c>
      <c r="M2353" s="2">
        <v>46223</v>
      </c>
      <c r="N2353" t="s">
        <v>640</v>
      </c>
      <c r="O2353" t="s">
        <v>625</v>
      </c>
      <c r="P2353">
        <v>1</v>
      </c>
      <c r="Q2353">
        <v>0</v>
      </c>
      <c r="R2353">
        <v>35.1</v>
      </c>
      <c r="S2353" t="s">
        <v>269</v>
      </c>
      <c r="T2353" t="s">
        <v>779</v>
      </c>
    </row>
    <row r="2354" spans="1:20" x14ac:dyDescent="0.3">
      <c r="A2354">
        <v>2353</v>
      </c>
      <c r="B2354">
        <v>134</v>
      </c>
      <c r="C2354">
        <v>5</v>
      </c>
      <c r="D2354">
        <v>115.34</v>
      </c>
      <c r="E2354">
        <v>11.53</v>
      </c>
      <c r="F2354">
        <v>0</v>
      </c>
      <c r="G2354">
        <v>0.1</v>
      </c>
      <c r="H2354" t="s">
        <v>622</v>
      </c>
      <c r="J2354" t="s">
        <v>623</v>
      </c>
      <c r="K2354" s="1"/>
      <c r="L2354" s="1">
        <v>46223.637002314812</v>
      </c>
      <c r="M2354" s="2">
        <v>46223</v>
      </c>
      <c r="N2354" t="s">
        <v>640</v>
      </c>
      <c r="O2354" t="s">
        <v>625</v>
      </c>
      <c r="P2354">
        <v>1</v>
      </c>
      <c r="Q2354">
        <v>0</v>
      </c>
      <c r="R2354">
        <v>115.34</v>
      </c>
      <c r="S2354" t="s">
        <v>263</v>
      </c>
      <c r="T2354" t="s">
        <v>779</v>
      </c>
    </row>
    <row r="2355" spans="1:20" x14ac:dyDescent="0.3">
      <c r="A2355">
        <v>2354</v>
      </c>
      <c r="B2355">
        <v>134</v>
      </c>
      <c r="C2355">
        <v>2</v>
      </c>
      <c r="D2355">
        <v>74.31</v>
      </c>
      <c r="E2355">
        <v>7.43</v>
      </c>
      <c r="F2355">
        <v>0</v>
      </c>
      <c r="G2355">
        <v>0.1</v>
      </c>
      <c r="H2355" t="s">
        <v>622</v>
      </c>
      <c r="J2355" t="s">
        <v>623</v>
      </c>
      <c r="K2355" s="1"/>
      <c r="L2355" s="1">
        <v>46224.426516203705</v>
      </c>
      <c r="M2355" s="2">
        <v>46224</v>
      </c>
      <c r="N2355" t="s">
        <v>640</v>
      </c>
      <c r="O2355" t="s">
        <v>625</v>
      </c>
      <c r="P2355">
        <v>1</v>
      </c>
      <c r="Q2355">
        <v>0</v>
      </c>
      <c r="R2355">
        <v>74.31</v>
      </c>
      <c r="S2355" t="s">
        <v>263</v>
      </c>
      <c r="T2355" t="s">
        <v>776</v>
      </c>
    </row>
    <row r="2356" spans="1:20" x14ac:dyDescent="0.3">
      <c r="A2356">
        <v>2355</v>
      </c>
      <c r="B2356">
        <v>170</v>
      </c>
      <c r="C2356">
        <v>4</v>
      </c>
      <c r="D2356">
        <v>215.95</v>
      </c>
      <c r="E2356">
        <v>21.6</v>
      </c>
      <c r="F2356">
        <v>0</v>
      </c>
      <c r="G2356">
        <v>0.1</v>
      </c>
      <c r="H2356" t="s">
        <v>622</v>
      </c>
      <c r="J2356" t="s">
        <v>623</v>
      </c>
      <c r="K2356" s="1"/>
      <c r="L2356" s="1">
        <v>46224.427615740744</v>
      </c>
      <c r="M2356" s="2">
        <v>46224</v>
      </c>
      <c r="N2356" t="s">
        <v>640</v>
      </c>
      <c r="O2356" t="s">
        <v>625</v>
      </c>
      <c r="P2356">
        <v>1</v>
      </c>
      <c r="Q2356">
        <v>0</v>
      </c>
      <c r="R2356">
        <v>215.95</v>
      </c>
      <c r="S2356" t="s">
        <v>335</v>
      </c>
      <c r="T2356" t="s">
        <v>778</v>
      </c>
    </row>
    <row r="2357" spans="1:20" x14ac:dyDescent="0.3">
      <c r="A2357">
        <v>2356</v>
      </c>
      <c r="B2357">
        <v>106</v>
      </c>
      <c r="C2357">
        <v>4</v>
      </c>
      <c r="D2357">
        <v>88.17</v>
      </c>
      <c r="E2357">
        <v>8.82</v>
      </c>
      <c r="F2357">
        <v>0</v>
      </c>
      <c r="G2357">
        <v>0.1</v>
      </c>
      <c r="H2357" t="s">
        <v>622</v>
      </c>
      <c r="J2357" t="s">
        <v>623</v>
      </c>
      <c r="K2357" s="1"/>
      <c r="L2357" s="1">
        <v>46224.447685185187</v>
      </c>
      <c r="M2357" s="2">
        <v>46224</v>
      </c>
      <c r="N2357" t="s">
        <v>640</v>
      </c>
      <c r="O2357" t="s">
        <v>625</v>
      </c>
      <c r="P2357">
        <v>1</v>
      </c>
      <c r="Q2357">
        <v>0</v>
      </c>
      <c r="R2357">
        <v>88.17</v>
      </c>
      <c r="S2357" t="s">
        <v>207</v>
      </c>
      <c r="T2357" t="s">
        <v>778</v>
      </c>
    </row>
    <row r="2358" spans="1:20" x14ac:dyDescent="0.3">
      <c r="A2358">
        <v>2357</v>
      </c>
      <c r="B2358">
        <v>150</v>
      </c>
      <c r="C2358">
        <v>3</v>
      </c>
      <c r="D2358">
        <v>82.18</v>
      </c>
      <c r="E2358">
        <v>8.2200000000000006</v>
      </c>
      <c r="F2358">
        <v>0</v>
      </c>
      <c r="G2358">
        <v>0.1</v>
      </c>
      <c r="H2358" t="s">
        <v>622</v>
      </c>
      <c r="J2358" t="s">
        <v>623</v>
      </c>
      <c r="K2358" s="1"/>
      <c r="L2358" s="1">
        <v>46224.4762962963</v>
      </c>
      <c r="M2358" s="2">
        <v>46224</v>
      </c>
      <c r="N2358" t="s">
        <v>640</v>
      </c>
      <c r="O2358" t="s">
        <v>625</v>
      </c>
      <c r="P2358">
        <v>1</v>
      </c>
      <c r="Q2358">
        <v>0</v>
      </c>
      <c r="R2358">
        <v>82.18</v>
      </c>
      <c r="S2358" t="s">
        <v>295</v>
      </c>
      <c r="T2358" t="s">
        <v>777</v>
      </c>
    </row>
    <row r="2359" spans="1:20" x14ac:dyDescent="0.3">
      <c r="A2359">
        <v>2358</v>
      </c>
      <c r="B2359">
        <v>250</v>
      </c>
      <c r="C2359">
        <v>4</v>
      </c>
      <c r="D2359">
        <v>59.15</v>
      </c>
      <c r="E2359">
        <v>5.92</v>
      </c>
      <c r="F2359">
        <v>0</v>
      </c>
      <c r="G2359">
        <v>0.1</v>
      </c>
      <c r="H2359" t="s">
        <v>622</v>
      </c>
      <c r="J2359" t="s">
        <v>623</v>
      </c>
      <c r="K2359" s="1"/>
      <c r="L2359" s="1">
        <v>46224.505543981482</v>
      </c>
      <c r="M2359" s="2">
        <v>46224</v>
      </c>
      <c r="N2359" t="s">
        <v>640</v>
      </c>
      <c r="O2359" t="s">
        <v>625</v>
      </c>
      <c r="P2359">
        <v>1</v>
      </c>
      <c r="Q2359">
        <v>0</v>
      </c>
      <c r="R2359">
        <v>59.15</v>
      </c>
      <c r="S2359" t="s">
        <v>495</v>
      </c>
      <c r="T2359" t="s">
        <v>778</v>
      </c>
    </row>
    <row r="2360" spans="1:20" x14ac:dyDescent="0.3">
      <c r="A2360">
        <v>2359</v>
      </c>
      <c r="B2360">
        <v>184</v>
      </c>
      <c r="C2360">
        <v>2</v>
      </c>
      <c r="D2360">
        <v>53.15</v>
      </c>
      <c r="E2360">
        <v>5.32</v>
      </c>
      <c r="F2360">
        <v>0</v>
      </c>
      <c r="G2360">
        <v>0.1</v>
      </c>
      <c r="H2360" t="s">
        <v>622</v>
      </c>
      <c r="J2360" t="s">
        <v>623</v>
      </c>
      <c r="K2360" s="1"/>
      <c r="L2360" s="1">
        <v>46224.554120370369</v>
      </c>
      <c r="M2360" s="2">
        <v>46224</v>
      </c>
      <c r="N2360" t="s">
        <v>640</v>
      </c>
      <c r="O2360" t="s">
        <v>625</v>
      </c>
      <c r="P2360">
        <v>1</v>
      </c>
      <c r="Q2360">
        <v>0</v>
      </c>
      <c r="R2360">
        <v>53.15</v>
      </c>
      <c r="S2360" t="s">
        <v>363</v>
      </c>
      <c r="T2360" t="s">
        <v>776</v>
      </c>
    </row>
    <row r="2361" spans="1:20" x14ac:dyDescent="0.3">
      <c r="A2361">
        <v>2360</v>
      </c>
      <c r="B2361">
        <v>250</v>
      </c>
      <c r="C2361">
        <v>4</v>
      </c>
      <c r="D2361">
        <v>177.51</v>
      </c>
      <c r="E2361">
        <v>17.75</v>
      </c>
      <c r="F2361">
        <v>0</v>
      </c>
      <c r="G2361">
        <v>0.1</v>
      </c>
      <c r="H2361" t="s">
        <v>622</v>
      </c>
      <c r="J2361" t="s">
        <v>623</v>
      </c>
      <c r="K2361" s="1"/>
      <c r="L2361" s="1">
        <v>46224.634305555555</v>
      </c>
      <c r="M2361" s="2">
        <v>46224</v>
      </c>
      <c r="N2361" t="s">
        <v>640</v>
      </c>
      <c r="O2361" t="s">
        <v>625</v>
      </c>
      <c r="P2361">
        <v>1</v>
      </c>
      <c r="Q2361">
        <v>0</v>
      </c>
      <c r="R2361">
        <v>177.51</v>
      </c>
      <c r="S2361" t="s">
        <v>495</v>
      </c>
      <c r="T2361" t="s">
        <v>778</v>
      </c>
    </row>
    <row r="2362" spans="1:20" x14ac:dyDescent="0.3">
      <c r="A2362">
        <v>2361</v>
      </c>
      <c r="B2362">
        <v>261</v>
      </c>
      <c r="C2362">
        <v>3</v>
      </c>
      <c r="D2362">
        <v>75.55</v>
      </c>
      <c r="E2362">
        <v>7.56</v>
      </c>
      <c r="F2362">
        <v>0</v>
      </c>
      <c r="G2362">
        <v>0.1</v>
      </c>
      <c r="H2362" t="s">
        <v>622</v>
      </c>
      <c r="J2362" t="s">
        <v>623</v>
      </c>
      <c r="K2362" s="1"/>
      <c r="L2362" s="1">
        <v>46224.759456018517</v>
      </c>
      <c r="M2362" s="2">
        <v>46224</v>
      </c>
      <c r="N2362" t="s">
        <v>640</v>
      </c>
      <c r="O2362" t="s">
        <v>625</v>
      </c>
      <c r="P2362">
        <v>1</v>
      </c>
      <c r="Q2362">
        <v>0</v>
      </c>
      <c r="R2362">
        <v>75.55</v>
      </c>
      <c r="S2362" t="s">
        <v>517</v>
      </c>
      <c r="T2362" t="s">
        <v>777</v>
      </c>
    </row>
    <row r="2363" spans="1:20" x14ac:dyDescent="0.3">
      <c r="A2363">
        <v>2362</v>
      </c>
      <c r="B2363">
        <v>134</v>
      </c>
      <c r="C2363">
        <v>3</v>
      </c>
      <c r="D2363">
        <v>104.03</v>
      </c>
      <c r="E2363">
        <v>10.4</v>
      </c>
      <c r="F2363">
        <v>0</v>
      </c>
      <c r="G2363">
        <v>0.1</v>
      </c>
      <c r="H2363" t="s">
        <v>622</v>
      </c>
      <c r="J2363" t="s">
        <v>623</v>
      </c>
      <c r="K2363" s="1"/>
      <c r="L2363" s="1">
        <v>46224.768113425926</v>
      </c>
      <c r="M2363" s="2">
        <v>46224</v>
      </c>
      <c r="N2363" t="s">
        <v>640</v>
      </c>
      <c r="O2363" t="s">
        <v>625</v>
      </c>
      <c r="P2363">
        <v>1</v>
      </c>
      <c r="Q2363">
        <v>0</v>
      </c>
      <c r="R2363">
        <v>104.03</v>
      </c>
      <c r="S2363" t="s">
        <v>263</v>
      </c>
      <c r="T2363" t="s">
        <v>777</v>
      </c>
    </row>
    <row r="2364" spans="1:20" x14ac:dyDescent="0.3">
      <c r="A2364">
        <v>2363</v>
      </c>
      <c r="B2364">
        <v>128</v>
      </c>
      <c r="C2364">
        <v>2</v>
      </c>
      <c r="D2364">
        <v>24.5</v>
      </c>
      <c r="E2364">
        <v>2.4500000000000002</v>
      </c>
      <c r="F2364">
        <v>0</v>
      </c>
      <c r="G2364">
        <v>0.1</v>
      </c>
      <c r="H2364" t="s">
        <v>622</v>
      </c>
      <c r="J2364" t="s">
        <v>623</v>
      </c>
      <c r="K2364" s="1"/>
      <c r="L2364" s="1">
        <v>46225.399004629631</v>
      </c>
      <c r="M2364" s="2">
        <v>46225</v>
      </c>
      <c r="N2364" t="s">
        <v>640</v>
      </c>
      <c r="O2364" t="s">
        <v>625</v>
      </c>
      <c r="P2364">
        <v>1</v>
      </c>
      <c r="Q2364">
        <v>0</v>
      </c>
      <c r="R2364">
        <v>24.5</v>
      </c>
      <c r="S2364" t="s">
        <v>251</v>
      </c>
      <c r="T2364" t="s">
        <v>776</v>
      </c>
    </row>
    <row r="2365" spans="1:20" x14ac:dyDescent="0.3">
      <c r="A2365">
        <v>2364</v>
      </c>
      <c r="B2365">
        <v>230</v>
      </c>
      <c r="C2365">
        <v>5</v>
      </c>
      <c r="D2365">
        <v>271.49</v>
      </c>
      <c r="E2365">
        <v>27.15</v>
      </c>
      <c r="F2365">
        <v>0</v>
      </c>
      <c r="G2365">
        <v>0.1</v>
      </c>
      <c r="H2365" t="s">
        <v>622</v>
      </c>
      <c r="J2365" t="s">
        <v>623</v>
      </c>
      <c r="K2365" s="1"/>
      <c r="L2365" s="1">
        <v>46225.52652777778</v>
      </c>
      <c r="M2365" s="2">
        <v>46225</v>
      </c>
      <c r="N2365" t="s">
        <v>640</v>
      </c>
      <c r="O2365" t="s">
        <v>625</v>
      </c>
      <c r="P2365">
        <v>1</v>
      </c>
      <c r="Q2365">
        <v>0</v>
      </c>
      <c r="R2365">
        <v>271.49</v>
      </c>
      <c r="S2365" t="s">
        <v>455</v>
      </c>
      <c r="T2365" t="s">
        <v>779</v>
      </c>
    </row>
    <row r="2366" spans="1:20" x14ac:dyDescent="0.3">
      <c r="A2366">
        <v>2365</v>
      </c>
      <c r="B2366">
        <v>106</v>
      </c>
      <c r="C2366">
        <v>4</v>
      </c>
      <c r="D2366">
        <v>139.91999999999999</v>
      </c>
      <c r="E2366">
        <v>13.99</v>
      </c>
      <c r="F2366">
        <v>0</v>
      </c>
      <c r="G2366">
        <v>0.1</v>
      </c>
      <c r="H2366" t="s">
        <v>622</v>
      </c>
      <c r="J2366" t="s">
        <v>623</v>
      </c>
      <c r="K2366" s="1"/>
      <c r="L2366" s="1">
        <v>46225.540069444447</v>
      </c>
      <c r="M2366" s="2">
        <v>46225</v>
      </c>
      <c r="N2366" t="s">
        <v>640</v>
      </c>
      <c r="O2366" t="s">
        <v>625</v>
      </c>
      <c r="P2366">
        <v>1</v>
      </c>
      <c r="Q2366">
        <v>0</v>
      </c>
      <c r="R2366">
        <v>139.91999999999999</v>
      </c>
      <c r="S2366" t="s">
        <v>207</v>
      </c>
      <c r="T2366" t="s">
        <v>778</v>
      </c>
    </row>
    <row r="2367" spans="1:20" x14ac:dyDescent="0.3">
      <c r="A2367">
        <v>2366</v>
      </c>
      <c r="B2367">
        <v>134</v>
      </c>
      <c r="C2367">
        <v>5</v>
      </c>
      <c r="D2367">
        <v>89.96</v>
      </c>
      <c r="E2367">
        <v>9</v>
      </c>
      <c r="F2367">
        <v>0</v>
      </c>
      <c r="G2367">
        <v>0.1</v>
      </c>
      <c r="H2367" t="s">
        <v>622</v>
      </c>
      <c r="J2367" t="s">
        <v>623</v>
      </c>
      <c r="K2367" s="1"/>
      <c r="L2367" s="1">
        <v>46225.626481481479</v>
      </c>
      <c r="M2367" s="2">
        <v>46225</v>
      </c>
      <c r="N2367" t="s">
        <v>640</v>
      </c>
      <c r="O2367" t="s">
        <v>625</v>
      </c>
      <c r="P2367">
        <v>1</v>
      </c>
      <c r="Q2367">
        <v>0</v>
      </c>
      <c r="R2367">
        <v>89.96</v>
      </c>
      <c r="S2367" t="s">
        <v>263</v>
      </c>
      <c r="T2367" t="s">
        <v>779</v>
      </c>
    </row>
    <row r="2368" spans="1:20" x14ac:dyDescent="0.3">
      <c r="A2368">
        <v>2367</v>
      </c>
      <c r="B2368">
        <v>39</v>
      </c>
      <c r="C2368">
        <v>2</v>
      </c>
      <c r="D2368">
        <v>187.3</v>
      </c>
      <c r="E2368">
        <v>18.73</v>
      </c>
      <c r="F2368">
        <v>0</v>
      </c>
      <c r="G2368">
        <v>0.1</v>
      </c>
      <c r="H2368" t="s">
        <v>622</v>
      </c>
      <c r="J2368" t="s">
        <v>623</v>
      </c>
      <c r="K2368" s="1"/>
      <c r="L2368" s="1">
        <v>46225.666261574072</v>
      </c>
      <c r="M2368" s="2">
        <v>46225</v>
      </c>
      <c r="N2368" t="s">
        <v>640</v>
      </c>
      <c r="O2368" t="s">
        <v>625</v>
      </c>
      <c r="P2368">
        <v>1</v>
      </c>
      <c r="Q2368">
        <v>0</v>
      </c>
      <c r="R2368">
        <v>187.3</v>
      </c>
      <c r="S2368" t="s">
        <v>74</v>
      </c>
      <c r="T2368" t="s">
        <v>776</v>
      </c>
    </row>
    <row r="2369" spans="1:20" x14ac:dyDescent="0.3">
      <c r="A2369">
        <v>2368</v>
      </c>
      <c r="B2369">
        <v>250</v>
      </c>
      <c r="C2369">
        <v>5</v>
      </c>
      <c r="D2369">
        <v>84.52</v>
      </c>
      <c r="E2369">
        <v>8.4499999999999993</v>
      </c>
      <c r="F2369">
        <v>0</v>
      </c>
      <c r="G2369">
        <v>0.1</v>
      </c>
      <c r="H2369" t="s">
        <v>622</v>
      </c>
      <c r="J2369" t="s">
        <v>623</v>
      </c>
      <c r="K2369" s="1"/>
      <c r="L2369" s="1">
        <v>46225.747476851851</v>
      </c>
      <c r="M2369" s="2">
        <v>46225</v>
      </c>
      <c r="N2369" t="s">
        <v>640</v>
      </c>
      <c r="O2369" t="s">
        <v>625</v>
      </c>
      <c r="P2369">
        <v>1</v>
      </c>
      <c r="Q2369">
        <v>0</v>
      </c>
      <c r="R2369">
        <v>84.52</v>
      </c>
      <c r="S2369" t="s">
        <v>495</v>
      </c>
      <c r="T2369" t="s">
        <v>779</v>
      </c>
    </row>
    <row r="2370" spans="1:20" x14ac:dyDescent="0.3">
      <c r="A2370">
        <v>2369</v>
      </c>
      <c r="B2370">
        <v>66</v>
      </c>
      <c r="C2370">
        <v>4</v>
      </c>
      <c r="D2370">
        <v>103.46</v>
      </c>
      <c r="E2370">
        <v>10.35</v>
      </c>
      <c r="F2370">
        <v>0</v>
      </c>
      <c r="G2370">
        <v>0.1</v>
      </c>
      <c r="H2370" t="s">
        <v>622</v>
      </c>
      <c r="J2370" t="s">
        <v>623</v>
      </c>
      <c r="K2370" s="1"/>
      <c r="L2370" s="1">
        <v>46225.821712962963</v>
      </c>
      <c r="M2370" s="2">
        <v>46225</v>
      </c>
      <c r="N2370" t="s">
        <v>640</v>
      </c>
      <c r="O2370" t="s">
        <v>625</v>
      </c>
      <c r="P2370">
        <v>1</v>
      </c>
      <c r="Q2370">
        <v>0</v>
      </c>
      <c r="R2370">
        <v>103.46</v>
      </c>
      <c r="S2370" t="s">
        <v>128</v>
      </c>
      <c r="T2370" t="s">
        <v>778</v>
      </c>
    </row>
    <row r="2371" spans="1:20" x14ac:dyDescent="0.3">
      <c r="A2371">
        <v>2370</v>
      </c>
      <c r="B2371">
        <v>121</v>
      </c>
      <c r="C2371">
        <v>5</v>
      </c>
      <c r="D2371">
        <v>23.03</v>
      </c>
      <c r="E2371">
        <v>2.2999999999999998</v>
      </c>
      <c r="F2371">
        <v>0</v>
      </c>
      <c r="G2371">
        <v>0.1</v>
      </c>
      <c r="H2371" t="s">
        <v>622</v>
      </c>
      <c r="J2371" t="s">
        <v>623</v>
      </c>
      <c r="K2371" s="1"/>
      <c r="L2371" s="1">
        <v>46226.428206018521</v>
      </c>
      <c r="M2371" s="2">
        <v>46226</v>
      </c>
      <c r="N2371" t="s">
        <v>640</v>
      </c>
      <c r="O2371" t="s">
        <v>625</v>
      </c>
      <c r="P2371">
        <v>1</v>
      </c>
      <c r="Q2371">
        <v>0</v>
      </c>
      <c r="R2371">
        <v>23.03</v>
      </c>
      <c r="S2371" t="s">
        <v>237</v>
      </c>
      <c r="T2371" t="s">
        <v>779</v>
      </c>
    </row>
    <row r="2372" spans="1:20" x14ac:dyDescent="0.3">
      <c r="A2372">
        <v>2371</v>
      </c>
      <c r="B2372">
        <v>128</v>
      </c>
      <c r="C2372">
        <v>4</v>
      </c>
      <c r="D2372">
        <v>24.74</v>
      </c>
      <c r="E2372">
        <v>2.4700000000000002</v>
      </c>
      <c r="F2372">
        <v>0</v>
      </c>
      <c r="G2372">
        <v>0.1</v>
      </c>
      <c r="H2372" t="s">
        <v>622</v>
      </c>
      <c r="J2372" t="s">
        <v>623</v>
      </c>
      <c r="K2372" s="1"/>
      <c r="L2372" s="1">
        <v>46226.567245370374</v>
      </c>
      <c r="M2372" s="2">
        <v>46226</v>
      </c>
      <c r="N2372" t="s">
        <v>640</v>
      </c>
      <c r="O2372" t="s">
        <v>625</v>
      </c>
      <c r="P2372">
        <v>1</v>
      </c>
      <c r="Q2372">
        <v>0</v>
      </c>
      <c r="R2372">
        <v>24.74</v>
      </c>
      <c r="S2372" t="s">
        <v>251</v>
      </c>
      <c r="T2372" t="s">
        <v>778</v>
      </c>
    </row>
    <row r="2373" spans="1:20" x14ac:dyDescent="0.3">
      <c r="A2373">
        <v>2372</v>
      </c>
      <c r="B2373">
        <v>233</v>
      </c>
      <c r="C2373">
        <v>3</v>
      </c>
      <c r="D2373">
        <v>94.96</v>
      </c>
      <c r="E2373">
        <v>9.5</v>
      </c>
      <c r="F2373">
        <v>0</v>
      </c>
      <c r="G2373">
        <v>0.1</v>
      </c>
      <c r="H2373" t="s">
        <v>622</v>
      </c>
      <c r="J2373" t="s">
        <v>623</v>
      </c>
      <c r="K2373" s="1"/>
      <c r="L2373" s="1">
        <v>46227.293483796297</v>
      </c>
      <c r="M2373" s="2">
        <v>46227</v>
      </c>
      <c r="N2373" t="s">
        <v>640</v>
      </c>
      <c r="O2373" t="s">
        <v>625</v>
      </c>
      <c r="P2373">
        <v>1</v>
      </c>
      <c r="Q2373">
        <v>0</v>
      </c>
      <c r="R2373">
        <v>94.96</v>
      </c>
      <c r="S2373" t="s">
        <v>461</v>
      </c>
      <c r="T2373" t="s">
        <v>777</v>
      </c>
    </row>
    <row r="2374" spans="1:20" x14ac:dyDescent="0.3">
      <c r="A2374">
        <v>2373</v>
      </c>
      <c r="B2374">
        <v>137</v>
      </c>
      <c r="C2374">
        <v>5</v>
      </c>
      <c r="D2374">
        <v>22.77</v>
      </c>
      <c r="E2374">
        <v>2.2799999999999998</v>
      </c>
      <c r="F2374">
        <v>0</v>
      </c>
      <c r="G2374">
        <v>0.1</v>
      </c>
      <c r="H2374" t="s">
        <v>622</v>
      </c>
      <c r="J2374" t="s">
        <v>623</v>
      </c>
      <c r="K2374" s="1"/>
      <c r="L2374" s="1">
        <v>46227.393136574072</v>
      </c>
      <c r="M2374" s="2">
        <v>46227</v>
      </c>
      <c r="N2374" t="s">
        <v>640</v>
      </c>
      <c r="O2374" t="s">
        <v>625</v>
      </c>
      <c r="P2374">
        <v>1</v>
      </c>
      <c r="Q2374">
        <v>0</v>
      </c>
      <c r="R2374">
        <v>22.77</v>
      </c>
      <c r="S2374" t="s">
        <v>269</v>
      </c>
      <c r="T2374" t="s">
        <v>779</v>
      </c>
    </row>
    <row r="2375" spans="1:20" x14ac:dyDescent="0.3">
      <c r="A2375">
        <v>2374</v>
      </c>
      <c r="B2375">
        <v>86</v>
      </c>
      <c r="C2375">
        <v>2</v>
      </c>
      <c r="D2375">
        <v>11.5</v>
      </c>
      <c r="E2375">
        <v>1.1499999999999999</v>
      </c>
      <c r="F2375">
        <v>0</v>
      </c>
      <c r="G2375">
        <v>0.1</v>
      </c>
      <c r="H2375" t="s">
        <v>622</v>
      </c>
      <c r="J2375" t="s">
        <v>623</v>
      </c>
      <c r="K2375" s="1"/>
      <c r="L2375" s="1">
        <v>46227.617164351854</v>
      </c>
      <c r="M2375" s="2">
        <v>46227</v>
      </c>
      <c r="N2375" t="s">
        <v>640</v>
      </c>
      <c r="O2375" t="s">
        <v>625</v>
      </c>
      <c r="P2375">
        <v>1</v>
      </c>
      <c r="Q2375">
        <v>0</v>
      </c>
      <c r="R2375">
        <v>11.5</v>
      </c>
      <c r="S2375" t="s">
        <v>167</v>
      </c>
      <c r="T2375" t="s">
        <v>776</v>
      </c>
    </row>
    <row r="2376" spans="1:20" x14ac:dyDescent="0.3">
      <c r="A2376">
        <v>2375</v>
      </c>
      <c r="B2376">
        <v>86</v>
      </c>
      <c r="C2376">
        <v>2</v>
      </c>
      <c r="D2376">
        <v>45.8</v>
      </c>
      <c r="E2376">
        <v>4.58</v>
      </c>
      <c r="F2376">
        <v>0</v>
      </c>
      <c r="G2376">
        <v>0.1</v>
      </c>
      <c r="H2376" t="s">
        <v>622</v>
      </c>
      <c r="J2376" t="s">
        <v>623</v>
      </c>
      <c r="K2376" s="1"/>
      <c r="L2376" s="1">
        <v>46227.629328703704</v>
      </c>
      <c r="M2376" s="2">
        <v>46227</v>
      </c>
      <c r="N2376" t="s">
        <v>640</v>
      </c>
      <c r="O2376" t="s">
        <v>625</v>
      </c>
      <c r="P2376">
        <v>1</v>
      </c>
      <c r="Q2376">
        <v>0</v>
      </c>
      <c r="R2376">
        <v>45.8</v>
      </c>
      <c r="S2376" t="s">
        <v>167</v>
      </c>
      <c r="T2376" t="s">
        <v>776</v>
      </c>
    </row>
    <row r="2377" spans="1:20" x14ac:dyDescent="0.3">
      <c r="A2377">
        <v>2376</v>
      </c>
      <c r="B2377">
        <v>223</v>
      </c>
      <c r="C2377">
        <v>3</v>
      </c>
      <c r="D2377">
        <v>24.74</v>
      </c>
      <c r="E2377">
        <v>2.4700000000000002</v>
      </c>
      <c r="F2377">
        <v>0</v>
      </c>
      <c r="G2377">
        <v>0.1</v>
      </c>
      <c r="H2377" t="s">
        <v>622</v>
      </c>
      <c r="J2377" t="s">
        <v>623</v>
      </c>
      <c r="K2377" s="1"/>
      <c r="L2377" s="1">
        <v>46227.731851851851</v>
      </c>
      <c r="M2377" s="2">
        <v>46227</v>
      </c>
      <c r="N2377" t="s">
        <v>640</v>
      </c>
      <c r="O2377" t="s">
        <v>625</v>
      </c>
      <c r="P2377">
        <v>1</v>
      </c>
      <c r="Q2377">
        <v>0</v>
      </c>
      <c r="R2377">
        <v>24.74</v>
      </c>
      <c r="S2377" t="s">
        <v>441</v>
      </c>
      <c r="T2377" t="s">
        <v>777</v>
      </c>
    </row>
    <row r="2378" spans="1:20" x14ac:dyDescent="0.3">
      <c r="A2378">
        <v>2377</v>
      </c>
      <c r="B2378">
        <v>50</v>
      </c>
      <c r="C2378">
        <v>5</v>
      </c>
      <c r="D2378">
        <v>58.41</v>
      </c>
      <c r="E2378">
        <v>5.84</v>
      </c>
      <c r="F2378">
        <v>0</v>
      </c>
      <c r="G2378">
        <v>0.1</v>
      </c>
      <c r="H2378" t="s">
        <v>622</v>
      </c>
      <c r="J2378" t="s">
        <v>623</v>
      </c>
      <c r="K2378" s="1"/>
      <c r="L2378" s="1">
        <v>46227.744803240741</v>
      </c>
      <c r="M2378" s="2">
        <v>46227</v>
      </c>
      <c r="N2378" t="s">
        <v>640</v>
      </c>
      <c r="O2378" t="s">
        <v>625</v>
      </c>
      <c r="P2378">
        <v>1</v>
      </c>
      <c r="Q2378">
        <v>0</v>
      </c>
      <c r="R2378">
        <v>58.41</v>
      </c>
      <c r="S2378" t="s">
        <v>96</v>
      </c>
      <c r="T2378" t="s">
        <v>779</v>
      </c>
    </row>
    <row r="2379" spans="1:20" x14ac:dyDescent="0.3">
      <c r="A2379">
        <v>2378</v>
      </c>
      <c r="B2379">
        <v>65</v>
      </c>
      <c r="C2379">
        <v>4</v>
      </c>
      <c r="D2379">
        <v>22.94</v>
      </c>
      <c r="E2379">
        <v>2.29</v>
      </c>
      <c r="F2379">
        <v>0</v>
      </c>
      <c r="G2379">
        <v>0.1</v>
      </c>
      <c r="H2379" t="s">
        <v>622</v>
      </c>
      <c r="J2379" t="s">
        <v>623</v>
      </c>
      <c r="K2379" s="1"/>
      <c r="L2379" s="1">
        <v>46228.336226851854</v>
      </c>
      <c r="M2379" s="2">
        <v>46228</v>
      </c>
      <c r="N2379" t="s">
        <v>640</v>
      </c>
      <c r="O2379" t="s">
        <v>625</v>
      </c>
      <c r="P2379">
        <v>1</v>
      </c>
      <c r="Q2379">
        <v>0</v>
      </c>
      <c r="R2379">
        <v>22.94</v>
      </c>
      <c r="S2379" t="s">
        <v>126</v>
      </c>
      <c r="T2379" t="s">
        <v>778</v>
      </c>
    </row>
    <row r="2380" spans="1:20" x14ac:dyDescent="0.3">
      <c r="A2380">
        <v>2379</v>
      </c>
      <c r="B2380">
        <v>285</v>
      </c>
      <c r="C2380">
        <v>5</v>
      </c>
      <c r="D2380">
        <v>25.93</v>
      </c>
      <c r="E2380">
        <v>2.59</v>
      </c>
      <c r="F2380">
        <v>0</v>
      </c>
      <c r="G2380">
        <v>0.1</v>
      </c>
      <c r="H2380" t="s">
        <v>622</v>
      </c>
      <c r="J2380" t="s">
        <v>623</v>
      </c>
      <c r="K2380" s="1"/>
      <c r="L2380" s="1">
        <v>46228.374525462961</v>
      </c>
      <c r="M2380" s="2">
        <v>46228</v>
      </c>
      <c r="N2380" t="s">
        <v>640</v>
      </c>
      <c r="O2380" t="s">
        <v>625</v>
      </c>
      <c r="P2380">
        <v>1</v>
      </c>
      <c r="Q2380">
        <v>0</v>
      </c>
      <c r="R2380">
        <v>25.93</v>
      </c>
      <c r="S2380" t="s">
        <v>565</v>
      </c>
      <c r="T2380" t="s">
        <v>779</v>
      </c>
    </row>
    <row r="2381" spans="1:20" x14ac:dyDescent="0.3">
      <c r="A2381">
        <v>2380</v>
      </c>
      <c r="B2381">
        <v>39</v>
      </c>
      <c r="C2381">
        <v>2</v>
      </c>
      <c r="D2381">
        <v>254.78</v>
      </c>
      <c r="E2381">
        <v>25.48</v>
      </c>
      <c r="F2381">
        <v>0</v>
      </c>
      <c r="G2381">
        <v>0.1</v>
      </c>
      <c r="H2381" t="s">
        <v>622</v>
      </c>
      <c r="J2381" t="s">
        <v>623</v>
      </c>
      <c r="K2381" s="1"/>
      <c r="L2381" s="1">
        <v>46228.377604166664</v>
      </c>
      <c r="M2381" s="2">
        <v>46228</v>
      </c>
      <c r="N2381" t="s">
        <v>640</v>
      </c>
      <c r="O2381" t="s">
        <v>625</v>
      </c>
      <c r="P2381">
        <v>1</v>
      </c>
      <c r="Q2381">
        <v>0</v>
      </c>
      <c r="R2381">
        <v>254.78</v>
      </c>
      <c r="S2381" t="s">
        <v>74</v>
      </c>
      <c r="T2381" t="s">
        <v>776</v>
      </c>
    </row>
    <row r="2382" spans="1:20" x14ac:dyDescent="0.3">
      <c r="A2382">
        <v>2381</v>
      </c>
      <c r="B2382">
        <v>137</v>
      </c>
      <c r="C2382">
        <v>5</v>
      </c>
      <c r="D2382">
        <v>14.06</v>
      </c>
      <c r="E2382">
        <v>0</v>
      </c>
      <c r="F2382">
        <v>1</v>
      </c>
      <c r="G2382">
        <v>0.1</v>
      </c>
      <c r="H2382" t="s">
        <v>622</v>
      </c>
      <c r="J2382" t="s">
        <v>623</v>
      </c>
      <c r="K2382" s="1"/>
      <c r="L2382" s="1">
        <v>46228.40966435185</v>
      </c>
      <c r="M2382" s="2">
        <v>46228</v>
      </c>
      <c r="N2382" t="s">
        <v>640</v>
      </c>
      <c r="O2382" t="s">
        <v>629</v>
      </c>
      <c r="P2382">
        <v>1</v>
      </c>
      <c r="Q2382">
        <v>0</v>
      </c>
      <c r="R2382">
        <v>14.06</v>
      </c>
      <c r="S2382" t="s">
        <v>269</v>
      </c>
      <c r="T2382" t="s">
        <v>779</v>
      </c>
    </row>
    <row r="2383" spans="1:20" x14ac:dyDescent="0.3">
      <c r="A2383">
        <v>2382</v>
      </c>
      <c r="B2383">
        <v>250</v>
      </c>
      <c r="C2383">
        <v>4</v>
      </c>
      <c r="D2383">
        <v>76.81</v>
      </c>
      <c r="E2383">
        <v>7.68</v>
      </c>
      <c r="F2383">
        <v>0</v>
      </c>
      <c r="G2383">
        <v>0.1</v>
      </c>
      <c r="H2383" t="s">
        <v>622</v>
      </c>
      <c r="J2383" t="s">
        <v>623</v>
      </c>
      <c r="K2383" s="1"/>
      <c r="L2383" s="1">
        <v>46228.423182870371</v>
      </c>
      <c r="M2383" s="2">
        <v>46228</v>
      </c>
      <c r="N2383" t="s">
        <v>640</v>
      </c>
      <c r="O2383" t="s">
        <v>625</v>
      </c>
      <c r="P2383">
        <v>1</v>
      </c>
      <c r="Q2383">
        <v>0</v>
      </c>
      <c r="R2383">
        <v>76.81</v>
      </c>
      <c r="S2383" t="s">
        <v>495</v>
      </c>
      <c r="T2383" t="s">
        <v>778</v>
      </c>
    </row>
    <row r="2384" spans="1:20" x14ac:dyDescent="0.3">
      <c r="A2384">
        <v>2383</v>
      </c>
      <c r="B2384">
        <v>106</v>
      </c>
      <c r="C2384">
        <v>3</v>
      </c>
      <c r="D2384">
        <v>104.54</v>
      </c>
      <c r="E2384">
        <v>10.45</v>
      </c>
      <c r="F2384">
        <v>0</v>
      </c>
      <c r="G2384">
        <v>0.1</v>
      </c>
      <c r="H2384" t="s">
        <v>622</v>
      </c>
      <c r="J2384" t="s">
        <v>623</v>
      </c>
      <c r="K2384" s="1"/>
      <c r="L2384" s="1">
        <v>46228.481805555559</v>
      </c>
      <c r="M2384" s="2">
        <v>46228</v>
      </c>
      <c r="N2384" t="s">
        <v>640</v>
      </c>
      <c r="O2384" t="s">
        <v>625</v>
      </c>
      <c r="P2384">
        <v>1</v>
      </c>
      <c r="Q2384">
        <v>0</v>
      </c>
      <c r="R2384">
        <v>104.54</v>
      </c>
      <c r="S2384" t="s">
        <v>207</v>
      </c>
      <c r="T2384" t="s">
        <v>777</v>
      </c>
    </row>
    <row r="2385" spans="1:20" x14ac:dyDescent="0.3">
      <c r="A2385">
        <v>2384</v>
      </c>
      <c r="B2385">
        <v>229</v>
      </c>
      <c r="C2385">
        <v>3</v>
      </c>
      <c r="D2385">
        <v>81.67</v>
      </c>
      <c r="E2385">
        <v>8.17</v>
      </c>
      <c r="F2385">
        <v>0</v>
      </c>
      <c r="G2385">
        <v>0.1</v>
      </c>
      <c r="H2385" t="s">
        <v>622</v>
      </c>
      <c r="J2385" t="s">
        <v>623</v>
      </c>
      <c r="K2385" s="1"/>
      <c r="L2385" s="1">
        <v>46228.486296296294</v>
      </c>
      <c r="M2385" s="2">
        <v>46228</v>
      </c>
      <c r="N2385" t="s">
        <v>640</v>
      </c>
      <c r="O2385" t="s">
        <v>625</v>
      </c>
      <c r="P2385">
        <v>1</v>
      </c>
      <c r="Q2385">
        <v>0</v>
      </c>
      <c r="R2385">
        <v>81.67</v>
      </c>
      <c r="S2385" t="s">
        <v>453</v>
      </c>
      <c r="T2385" t="s">
        <v>777</v>
      </c>
    </row>
    <row r="2386" spans="1:20" x14ac:dyDescent="0.3">
      <c r="A2386">
        <v>2385</v>
      </c>
      <c r="B2386">
        <v>229</v>
      </c>
      <c r="C2386">
        <v>3</v>
      </c>
      <c r="D2386">
        <v>110.34</v>
      </c>
      <c r="E2386">
        <v>11.03</v>
      </c>
      <c r="F2386">
        <v>0</v>
      </c>
      <c r="G2386">
        <v>0.1</v>
      </c>
      <c r="H2386" t="s">
        <v>622</v>
      </c>
      <c r="J2386" t="s">
        <v>623</v>
      </c>
      <c r="K2386" s="1"/>
      <c r="L2386" s="1">
        <v>46228.494120370371</v>
      </c>
      <c r="M2386" s="2">
        <v>46228</v>
      </c>
      <c r="N2386" t="s">
        <v>640</v>
      </c>
      <c r="O2386" t="s">
        <v>625</v>
      </c>
      <c r="P2386">
        <v>1</v>
      </c>
      <c r="Q2386">
        <v>0</v>
      </c>
      <c r="R2386">
        <v>110.34</v>
      </c>
      <c r="S2386" t="s">
        <v>453</v>
      </c>
      <c r="T2386" t="s">
        <v>777</v>
      </c>
    </row>
    <row r="2387" spans="1:20" x14ac:dyDescent="0.3">
      <c r="A2387">
        <v>2386</v>
      </c>
      <c r="B2387">
        <v>250</v>
      </c>
      <c r="C2387">
        <v>2</v>
      </c>
      <c r="D2387">
        <v>116.8</v>
      </c>
      <c r="E2387">
        <v>0</v>
      </c>
      <c r="F2387">
        <v>1</v>
      </c>
      <c r="G2387">
        <v>0.1</v>
      </c>
      <c r="H2387" t="s">
        <v>622</v>
      </c>
      <c r="J2387" t="s">
        <v>623</v>
      </c>
      <c r="K2387" s="1"/>
      <c r="L2387" s="1">
        <v>46228.49894675926</v>
      </c>
      <c r="M2387" s="2">
        <v>46228</v>
      </c>
      <c r="N2387" t="s">
        <v>640</v>
      </c>
      <c r="O2387" t="s">
        <v>629</v>
      </c>
      <c r="P2387">
        <v>1</v>
      </c>
      <c r="Q2387">
        <v>0</v>
      </c>
      <c r="R2387">
        <v>116.8</v>
      </c>
      <c r="S2387" t="s">
        <v>495</v>
      </c>
      <c r="T2387" t="s">
        <v>776</v>
      </c>
    </row>
    <row r="2388" spans="1:20" x14ac:dyDescent="0.3">
      <c r="A2388">
        <v>2387</v>
      </c>
      <c r="B2388">
        <v>65</v>
      </c>
      <c r="C2388">
        <v>4</v>
      </c>
      <c r="D2388">
        <v>29.47</v>
      </c>
      <c r="E2388">
        <v>2.95</v>
      </c>
      <c r="F2388">
        <v>0</v>
      </c>
      <c r="G2388">
        <v>0.1</v>
      </c>
      <c r="H2388" t="s">
        <v>622</v>
      </c>
      <c r="J2388" t="s">
        <v>623</v>
      </c>
      <c r="K2388" s="1"/>
      <c r="L2388" s="1">
        <v>46228.505706018521</v>
      </c>
      <c r="M2388" s="2">
        <v>46228</v>
      </c>
      <c r="N2388" t="s">
        <v>640</v>
      </c>
      <c r="O2388" t="s">
        <v>625</v>
      </c>
      <c r="P2388">
        <v>1</v>
      </c>
      <c r="Q2388">
        <v>0</v>
      </c>
      <c r="R2388">
        <v>29.47</v>
      </c>
      <c r="S2388" t="s">
        <v>126</v>
      </c>
      <c r="T2388" t="s">
        <v>778</v>
      </c>
    </row>
    <row r="2389" spans="1:20" x14ac:dyDescent="0.3">
      <c r="A2389">
        <v>2388</v>
      </c>
      <c r="B2389">
        <v>56</v>
      </c>
      <c r="C2389">
        <v>3</v>
      </c>
      <c r="D2389">
        <v>45.72</v>
      </c>
      <c r="E2389">
        <v>4.57</v>
      </c>
      <c r="F2389">
        <v>0</v>
      </c>
      <c r="G2389">
        <v>0.1</v>
      </c>
      <c r="H2389" t="s">
        <v>622</v>
      </c>
      <c r="J2389" t="s">
        <v>623</v>
      </c>
      <c r="K2389" s="1"/>
      <c r="L2389" s="1">
        <v>46228.54409722222</v>
      </c>
      <c r="M2389" s="2">
        <v>46228</v>
      </c>
      <c r="N2389" t="s">
        <v>640</v>
      </c>
      <c r="O2389" t="s">
        <v>625</v>
      </c>
      <c r="P2389">
        <v>1</v>
      </c>
      <c r="Q2389">
        <v>0</v>
      </c>
      <c r="R2389">
        <v>45.72</v>
      </c>
      <c r="S2389" t="s">
        <v>108</v>
      </c>
      <c r="T2389" t="s">
        <v>777</v>
      </c>
    </row>
    <row r="2390" spans="1:20" x14ac:dyDescent="0.3">
      <c r="A2390">
        <v>2389</v>
      </c>
      <c r="B2390">
        <v>72</v>
      </c>
      <c r="C2390">
        <v>5</v>
      </c>
      <c r="D2390">
        <v>20.79</v>
      </c>
      <c r="E2390">
        <v>2.08</v>
      </c>
      <c r="F2390">
        <v>0</v>
      </c>
      <c r="G2390">
        <v>0.1</v>
      </c>
      <c r="H2390" t="s">
        <v>622</v>
      </c>
      <c r="J2390" t="s">
        <v>623</v>
      </c>
      <c r="K2390" s="1"/>
      <c r="L2390" s="1">
        <v>46228.60056712963</v>
      </c>
      <c r="M2390" s="2">
        <v>46228</v>
      </c>
      <c r="N2390" t="s">
        <v>640</v>
      </c>
      <c r="O2390" t="s">
        <v>625</v>
      </c>
      <c r="P2390">
        <v>1</v>
      </c>
      <c r="Q2390">
        <v>0</v>
      </c>
      <c r="R2390">
        <v>20.79</v>
      </c>
      <c r="S2390" t="s">
        <v>140</v>
      </c>
      <c r="T2390" t="s">
        <v>779</v>
      </c>
    </row>
    <row r="2391" spans="1:20" x14ac:dyDescent="0.3">
      <c r="A2391">
        <v>2390</v>
      </c>
      <c r="B2391">
        <v>250</v>
      </c>
      <c r="C2391">
        <v>2</v>
      </c>
      <c r="D2391">
        <v>40.93</v>
      </c>
      <c r="E2391">
        <v>4.09</v>
      </c>
      <c r="F2391">
        <v>0</v>
      </c>
      <c r="G2391">
        <v>0.1</v>
      </c>
      <c r="H2391" t="s">
        <v>622</v>
      </c>
      <c r="J2391" t="s">
        <v>623</v>
      </c>
      <c r="K2391" s="1"/>
      <c r="L2391" s="1">
        <v>46228.708703703705</v>
      </c>
      <c r="M2391" s="2">
        <v>46228</v>
      </c>
      <c r="N2391" t="s">
        <v>640</v>
      </c>
      <c r="O2391" t="s">
        <v>625</v>
      </c>
      <c r="P2391">
        <v>1</v>
      </c>
      <c r="Q2391">
        <v>0</v>
      </c>
      <c r="R2391">
        <v>40.93</v>
      </c>
      <c r="S2391" t="s">
        <v>495</v>
      </c>
      <c r="T2391" t="s">
        <v>776</v>
      </c>
    </row>
    <row r="2392" spans="1:20" x14ac:dyDescent="0.3">
      <c r="A2392">
        <v>2391</v>
      </c>
      <c r="B2392">
        <v>285</v>
      </c>
      <c r="C2392">
        <v>2</v>
      </c>
      <c r="D2392">
        <v>57.72</v>
      </c>
      <c r="E2392">
        <v>5.77</v>
      </c>
      <c r="F2392">
        <v>0</v>
      </c>
      <c r="G2392">
        <v>0.1</v>
      </c>
      <c r="H2392" t="s">
        <v>622</v>
      </c>
      <c r="J2392" t="s">
        <v>623</v>
      </c>
      <c r="K2392" s="1"/>
      <c r="L2392" s="1">
        <v>46228.711041666669</v>
      </c>
      <c r="M2392" s="2">
        <v>46228</v>
      </c>
      <c r="N2392" t="s">
        <v>640</v>
      </c>
      <c r="O2392" t="s">
        <v>625</v>
      </c>
      <c r="P2392">
        <v>1</v>
      </c>
      <c r="Q2392">
        <v>0</v>
      </c>
      <c r="R2392">
        <v>57.72</v>
      </c>
      <c r="S2392" t="s">
        <v>565</v>
      </c>
      <c r="T2392" t="s">
        <v>776</v>
      </c>
    </row>
    <row r="2393" spans="1:20" x14ac:dyDescent="0.3">
      <c r="A2393">
        <v>2392</v>
      </c>
      <c r="B2393">
        <v>75</v>
      </c>
      <c r="C2393">
        <v>2</v>
      </c>
      <c r="D2393">
        <v>109.54</v>
      </c>
      <c r="E2393">
        <v>10.95</v>
      </c>
      <c r="F2393">
        <v>0</v>
      </c>
      <c r="G2393">
        <v>0.1</v>
      </c>
      <c r="H2393" t="s">
        <v>622</v>
      </c>
      <c r="J2393" t="s">
        <v>623</v>
      </c>
      <c r="K2393" s="1"/>
      <c r="L2393" s="1">
        <v>46228.749652777777</v>
      </c>
      <c r="M2393" s="2">
        <v>46228</v>
      </c>
      <c r="N2393" t="s">
        <v>640</v>
      </c>
      <c r="O2393" t="s">
        <v>625</v>
      </c>
      <c r="P2393">
        <v>1</v>
      </c>
      <c r="Q2393">
        <v>0</v>
      </c>
      <c r="R2393">
        <v>109.54</v>
      </c>
      <c r="S2393" t="s">
        <v>146</v>
      </c>
      <c r="T2393" t="s">
        <v>776</v>
      </c>
    </row>
    <row r="2394" spans="1:20" x14ac:dyDescent="0.3">
      <c r="A2394">
        <v>2393</v>
      </c>
      <c r="B2394">
        <v>91</v>
      </c>
      <c r="C2394">
        <v>3</v>
      </c>
      <c r="D2394">
        <v>13.92</v>
      </c>
      <c r="E2394">
        <v>1.39</v>
      </c>
      <c r="F2394">
        <v>0</v>
      </c>
      <c r="G2394">
        <v>0.1</v>
      </c>
      <c r="H2394" t="s">
        <v>622</v>
      </c>
      <c r="J2394" t="s">
        <v>623</v>
      </c>
      <c r="K2394" s="1"/>
      <c r="L2394" s="1">
        <v>46229.391747685186</v>
      </c>
      <c r="M2394" s="2">
        <v>46229</v>
      </c>
      <c r="N2394" t="s">
        <v>640</v>
      </c>
      <c r="O2394" t="s">
        <v>625</v>
      </c>
      <c r="P2394">
        <v>1</v>
      </c>
      <c r="Q2394">
        <v>0</v>
      </c>
      <c r="R2394">
        <v>13.92</v>
      </c>
      <c r="S2394" t="s">
        <v>177</v>
      </c>
      <c r="T2394" t="s">
        <v>777</v>
      </c>
    </row>
    <row r="2395" spans="1:20" x14ac:dyDescent="0.3">
      <c r="A2395">
        <v>2394</v>
      </c>
      <c r="B2395">
        <v>185</v>
      </c>
      <c r="C2395">
        <v>2</v>
      </c>
      <c r="D2395">
        <v>41.08</v>
      </c>
      <c r="E2395">
        <v>4.1100000000000003</v>
      </c>
      <c r="F2395">
        <v>0</v>
      </c>
      <c r="G2395">
        <v>0.1</v>
      </c>
      <c r="H2395" t="s">
        <v>622</v>
      </c>
      <c r="J2395" t="s">
        <v>623</v>
      </c>
      <c r="K2395" s="1"/>
      <c r="L2395" s="1">
        <v>46229.453877314816</v>
      </c>
      <c r="M2395" s="2">
        <v>46229</v>
      </c>
      <c r="N2395" t="s">
        <v>640</v>
      </c>
      <c r="O2395" t="s">
        <v>625</v>
      </c>
      <c r="P2395">
        <v>1</v>
      </c>
      <c r="Q2395">
        <v>0</v>
      </c>
      <c r="R2395">
        <v>41.08</v>
      </c>
      <c r="S2395" t="s">
        <v>365</v>
      </c>
      <c r="T2395" t="s">
        <v>776</v>
      </c>
    </row>
    <row r="2396" spans="1:20" x14ac:dyDescent="0.3">
      <c r="A2396">
        <v>2395</v>
      </c>
      <c r="B2396">
        <v>87</v>
      </c>
      <c r="C2396">
        <v>4</v>
      </c>
      <c r="D2396">
        <v>139.87</v>
      </c>
      <c r="E2396">
        <v>13.99</v>
      </c>
      <c r="F2396">
        <v>0</v>
      </c>
      <c r="G2396">
        <v>0.1</v>
      </c>
      <c r="H2396" t="s">
        <v>622</v>
      </c>
      <c r="J2396" t="s">
        <v>623</v>
      </c>
      <c r="K2396" s="1"/>
      <c r="L2396" s="1">
        <v>46229.608935185184</v>
      </c>
      <c r="M2396" s="2">
        <v>46229</v>
      </c>
      <c r="N2396" t="s">
        <v>640</v>
      </c>
      <c r="O2396" t="s">
        <v>625</v>
      </c>
      <c r="P2396">
        <v>1</v>
      </c>
      <c r="Q2396">
        <v>0</v>
      </c>
      <c r="R2396">
        <v>139.87</v>
      </c>
      <c r="S2396" t="s">
        <v>169</v>
      </c>
      <c r="T2396" t="s">
        <v>778</v>
      </c>
    </row>
    <row r="2397" spans="1:20" x14ac:dyDescent="0.3">
      <c r="A2397">
        <v>2396</v>
      </c>
      <c r="B2397">
        <v>145</v>
      </c>
      <c r="C2397">
        <v>2</v>
      </c>
      <c r="D2397">
        <v>214.11</v>
      </c>
      <c r="E2397">
        <v>21.41</v>
      </c>
      <c r="F2397">
        <v>0</v>
      </c>
      <c r="G2397">
        <v>0.1</v>
      </c>
      <c r="H2397" t="s">
        <v>622</v>
      </c>
      <c r="J2397" t="s">
        <v>623</v>
      </c>
      <c r="K2397" s="1"/>
      <c r="L2397" s="1">
        <v>46229.627349537041</v>
      </c>
      <c r="M2397" s="2">
        <v>46229</v>
      </c>
      <c r="N2397" t="s">
        <v>640</v>
      </c>
      <c r="O2397" t="s">
        <v>625</v>
      </c>
      <c r="P2397">
        <v>1</v>
      </c>
      <c r="Q2397">
        <v>0</v>
      </c>
      <c r="R2397">
        <v>214.11</v>
      </c>
      <c r="S2397" t="s">
        <v>285</v>
      </c>
      <c r="T2397" t="s">
        <v>776</v>
      </c>
    </row>
    <row r="2398" spans="1:20" x14ac:dyDescent="0.3">
      <c r="A2398">
        <v>2397</v>
      </c>
      <c r="B2398">
        <v>185</v>
      </c>
      <c r="C2398">
        <v>4</v>
      </c>
      <c r="D2398">
        <v>220</v>
      </c>
      <c r="E2398">
        <v>22</v>
      </c>
      <c r="F2398">
        <v>0</v>
      </c>
      <c r="G2398">
        <v>0.1</v>
      </c>
      <c r="H2398" t="s">
        <v>622</v>
      </c>
      <c r="J2398" t="s">
        <v>623</v>
      </c>
      <c r="K2398" s="1"/>
      <c r="L2398" s="1">
        <v>46229.674756944441</v>
      </c>
      <c r="M2398" s="2">
        <v>46229</v>
      </c>
      <c r="N2398" t="s">
        <v>640</v>
      </c>
      <c r="O2398" t="s">
        <v>625</v>
      </c>
      <c r="P2398">
        <v>1</v>
      </c>
      <c r="Q2398">
        <v>0</v>
      </c>
      <c r="R2398">
        <v>220</v>
      </c>
      <c r="S2398" t="s">
        <v>365</v>
      </c>
      <c r="T2398" t="s">
        <v>778</v>
      </c>
    </row>
    <row r="2399" spans="1:20" x14ac:dyDescent="0.3">
      <c r="A2399">
        <v>2398</v>
      </c>
      <c r="B2399">
        <v>76</v>
      </c>
      <c r="C2399">
        <v>2</v>
      </c>
      <c r="D2399">
        <v>98.56</v>
      </c>
      <c r="E2399">
        <v>9.86</v>
      </c>
      <c r="F2399">
        <v>0</v>
      </c>
      <c r="G2399">
        <v>0.1</v>
      </c>
      <c r="H2399" t="s">
        <v>622</v>
      </c>
      <c r="J2399" t="s">
        <v>623</v>
      </c>
      <c r="K2399" s="1"/>
      <c r="L2399" s="1">
        <v>46229.73773148148</v>
      </c>
      <c r="M2399" s="2">
        <v>46229</v>
      </c>
      <c r="N2399" t="s">
        <v>640</v>
      </c>
      <c r="O2399" t="s">
        <v>625</v>
      </c>
      <c r="P2399">
        <v>1</v>
      </c>
      <c r="Q2399">
        <v>0</v>
      </c>
      <c r="R2399">
        <v>98.56</v>
      </c>
      <c r="S2399" t="s">
        <v>148</v>
      </c>
      <c r="T2399" t="s">
        <v>776</v>
      </c>
    </row>
    <row r="2400" spans="1:20" x14ac:dyDescent="0.3">
      <c r="A2400">
        <v>2399</v>
      </c>
      <c r="B2400">
        <v>250</v>
      </c>
      <c r="C2400">
        <v>3</v>
      </c>
      <c r="D2400">
        <v>199.23</v>
      </c>
      <c r="E2400">
        <v>19.920000000000002</v>
      </c>
      <c r="F2400">
        <v>0</v>
      </c>
      <c r="G2400">
        <v>0.1</v>
      </c>
      <c r="H2400" t="s">
        <v>622</v>
      </c>
      <c r="J2400" t="s">
        <v>623</v>
      </c>
      <c r="K2400" s="1"/>
      <c r="L2400" s="1">
        <v>46229.771840277775</v>
      </c>
      <c r="M2400" s="2">
        <v>46229</v>
      </c>
      <c r="N2400" t="s">
        <v>640</v>
      </c>
      <c r="O2400" t="s">
        <v>625</v>
      </c>
      <c r="P2400">
        <v>1</v>
      </c>
      <c r="Q2400">
        <v>0</v>
      </c>
      <c r="R2400">
        <v>199.23</v>
      </c>
      <c r="S2400" t="s">
        <v>495</v>
      </c>
      <c r="T2400" t="s">
        <v>777</v>
      </c>
    </row>
    <row r="2401" spans="1:20" x14ac:dyDescent="0.3">
      <c r="A2401">
        <v>2400</v>
      </c>
      <c r="B2401">
        <v>150</v>
      </c>
      <c r="C2401">
        <v>4</v>
      </c>
      <c r="D2401">
        <v>87.93</v>
      </c>
      <c r="E2401">
        <v>8.7899999999999991</v>
      </c>
      <c r="F2401">
        <v>0</v>
      </c>
      <c r="G2401">
        <v>0.1</v>
      </c>
      <c r="H2401" t="s">
        <v>622</v>
      </c>
      <c r="J2401" t="s">
        <v>623</v>
      </c>
      <c r="K2401" s="1"/>
      <c r="L2401" s="1">
        <v>46229.789699074077</v>
      </c>
      <c r="M2401" s="2">
        <v>46229</v>
      </c>
      <c r="N2401" t="s">
        <v>640</v>
      </c>
      <c r="O2401" t="s">
        <v>625</v>
      </c>
      <c r="P2401">
        <v>1</v>
      </c>
      <c r="Q2401">
        <v>0</v>
      </c>
      <c r="R2401">
        <v>87.93</v>
      </c>
      <c r="S2401" t="s">
        <v>295</v>
      </c>
      <c r="T2401" t="s">
        <v>778</v>
      </c>
    </row>
    <row r="2402" spans="1:20" x14ac:dyDescent="0.3">
      <c r="A2402">
        <v>2401</v>
      </c>
      <c r="B2402">
        <v>214</v>
      </c>
      <c r="C2402">
        <v>5</v>
      </c>
      <c r="D2402">
        <v>27.85</v>
      </c>
      <c r="E2402">
        <v>2.79</v>
      </c>
      <c r="F2402">
        <v>0</v>
      </c>
      <c r="G2402">
        <v>0.1</v>
      </c>
      <c r="H2402" t="s">
        <v>622</v>
      </c>
      <c r="J2402" t="s">
        <v>623</v>
      </c>
      <c r="K2402" s="1"/>
      <c r="L2402" s="1">
        <v>46230.344837962963</v>
      </c>
      <c r="M2402" s="2">
        <v>46230</v>
      </c>
      <c r="N2402" t="s">
        <v>640</v>
      </c>
      <c r="O2402" t="s">
        <v>625</v>
      </c>
      <c r="P2402">
        <v>1</v>
      </c>
      <c r="Q2402">
        <v>0</v>
      </c>
      <c r="R2402">
        <v>27.85</v>
      </c>
      <c r="S2402" t="s">
        <v>423</v>
      </c>
      <c r="T2402" t="s">
        <v>779</v>
      </c>
    </row>
    <row r="2403" spans="1:20" x14ac:dyDescent="0.3">
      <c r="A2403">
        <v>2402</v>
      </c>
      <c r="B2403">
        <v>216</v>
      </c>
      <c r="C2403">
        <v>3</v>
      </c>
      <c r="D2403">
        <v>24.71</v>
      </c>
      <c r="E2403">
        <v>2.4700000000000002</v>
      </c>
      <c r="F2403">
        <v>0</v>
      </c>
      <c r="G2403">
        <v>0.1</v>
      </c>
      <c r="H2403" t="s">
        <v>622</v>
      </c>
      <c r="J2403" t="s">
        <v>623</v>
      </c>
      <c r="K2403" s="1"/>
      <c r="L2403" s="1">
        <v>46230.372349537036</v>
      </c>
      <c r="M2403" s="2">
        <v>46230</v>
      </c>
      <c r="N2403" t="s">
        <v>640</v>
      </c>
      <c r="O2403" t="s">
        <v>625</v>
      </c>
      <c r="P2403">
        <v>1</v>
      </c>
      <c r="Q2403">
        <v>0</v>
      </c>
      <c r="R2403">
        <v>24.71</v>
      </c>
      <c r="S2403" t="s">
        <v>427</v>
      </c>
      <c r="T2403" t="s">
        <v>777</v>
      </c>
    </row>
    <row r="2404" spans="1:20" x14ac:dyDescent="0.3">
      <c r="A2404">
        <v>2403</v>
      </c>
      <c r="B2404">
        <v>241</v>
      </c>
      <c r="C2404">
        <v>4</v>
      </c>
      <c r="D2404">
        <v>31.33</v>
      </c>
      <c r="E2404">
        <v>3.13</v>
      </c>
      <c r="F2404">
        <v>0</v>
      </c>
      <c r="G2404">
        <v>0.1</v>
      </c>
      <c r="H2404" t="s">
        <v>622</v>
      </c>
      <c r="J2404" t="s">
        <v>623</v>
      </c>
      <c r="K2404" s="1"/>
      <c r="L2404" s="1">
        <v>46230.445185185185</v>
      </c>
      <c r="M2404" s="2">
        <v>46230</v>
      </c>
      <c r="N2404" t="s">
        <v>640</v>
      </c>
      <c r="O2404" t="s">
        <v>625</v>
      </c>
      <c r="P2404">
        <v>1</v>
      </c>
      <c r="Q2404">
        <v>0</v>
      </c>
      <c r="R2404">
        <v>31.33</v>
      </c>
      <c r="S2404" t="s">
        <v>477</v>
      </c>
      <c r="T2404" t="s">
        <v>778</v>
      </c>
    </row>
    <row r="2405" spans="1:20" x14ac:dyDescent="0.3">
      <c r="A2405">
        <v>2404</v>
      </c>
      <c r="B2405">
        <v>24</v>
      </c>
      <c r="C2405">
        <v>2</v>
      </c>
      <c r="D2405">
        <v>208.28</v>
      </c>
      <c r="E2405">
        <v>20.83</v>
      </c>
      <c r="F2405">
        <v>0</v>
      </c>
      <c r="G2405">
        <v>0.1</v>
      </c>
      <c r="H2405" t="s">
        <v>622</v>
      </c>
      <c r="J2405" t="s">
        <v>623</v>
      </c>
      <c r="K2405" s="1"/>
      <c r="L2405" s="1">
        <v>46230.538819444446</v>
      </c>
      <c r="M2405" s="2">
        <v>46230</v>
      </c>
      <c r="N2405" t="s">
        <v>640</v>
      </c>
      <c r="O2405" t="s">
        <v>625</v>
      </c>
      <c r="P2405">
        <v>1</v>
      </c>
      <c r="Q2405">
        <v>0</v>
      </c>
      <c r="R2405">
        <v>208.28</v>
      </c>
      <c r="S2405" t="s">
        <v>44</v>
      </c>
      <c r="T2405" t="s">
        <v>776</v>
      </c>
    </row>
    <row r="2406" spans="1:20" x14ac:dyDescent="0.3">
      <c r="A2406">
        <v>2405</v>
      </c>
      <c r="B2406">
        <v>84</v>
      </c>
      <c r="C2406">
        <v>3</v>
      </c>
      <c r="D2406">
        <v>48.69</v>
      </c>
      <c r="E2406">
        <v>4.87</v>
      </c>
      <c r="F2406">
        <v>0</v>
      </c>
      <c r="G2406">
        <v>0.1</v>
      </c>
      <c r="H2406" t="s">
        <v>622</v>
      </c>
      <c r="J2406" t="s">
        <v>623</v>
      </c>
      <c r="K2406" s="1"/>
      <c r="L2406" s="1">
        <v>46230.568483796298</v>
      </c>
      <c r="M2406" s="2">
        <v>46230</v>
      </c>
      <c r="N2406" t="s">
        <v>640</v>
      </c>
      <c r="O2406" t="s">
        <v>625</v>
      </c>
      <c r="P2406">
        <v>1</v>
      </c>
      <c r="Q2406">
        <v>0</v>
      </c>
      <c r="R2406">
        <v>48.69</v>
      </c>
      <c r="S2406" t="s">
        <v>163</v>
      </c>
      <c r="T2406" t="s">
        <v>777</v>
      </c>
    </row>
    <row r="2407" spans="1:20" x14ac:dyDescent="0.3">
      <c r="A2407">
        <v>2406</v>
      </c>
      <c r="B2407">
        <v>136</v>
      </c>
      <c r="C2407">
        <v>2</v>
      </c>
      <c r="D2407">
        <v>90.88</v>
      </c>
      <c r="E2407">
        <v>9.09</v>
      </c>
      <c r="F2407">
        <v>0</v>
      </c>
      <c r="G2407">
        <v>0.1</v>
      </c>
      <c r="H2407" t="s">
        <v>622</v>
      </c>
      <c r="J2407" t="s">
        <v>623</v>
      </c>
      <c r="K2407" s="1"/>
      <c r="L2407" s="1">
        <v>46230.619386574072</v>
      </c>
      <c r="M2407" s="2">
        <v>46230</v>
      </c>
      <c r="N2407" t="s">
        <v>640</v>
      </c>
      <c r="O2407" t="s">
        <v>625</v>
      </c>
      <c r="P2407">
        <v>1</v>
      </c>
      <c r="Q2407">
        <v>0</v>
      </c>
      <c r="R2407">
        <v>90.88</v>
      </c>
      <c r="S2407" t="s">
        <v>267</v>
      </c>
      <c r="T2407" t="s">
        <v>776</v>
      </c>
    </row>
    <row r="2408" spans="1:20" x14ac:dyDescent="0.3">
      <c r="A2408">
        <v>2407</v>
      </c>
      <c r="B2408">
        <v>124</v>
      </c>
      <c r="C2408">
        <v>3</v>
      </c>
      <c r="D2408">
        <v>22.65</v>
      </c>
      <c r="E2408">
        <v>2.27</v>
      </c>
      <c r="F2408">
        <v>0</v>
      </c>
      <c r="G2408">
        <v>0.1</v>
      </c>
      <c r="H2408" t="s">
        <v>622</v>
      </c>
      <c r="J2408" t="s">
        <v>623</v>
      </c>
      <c r="K2408" s="1"/>
      <c r="L2408" s="1">
        <v>46230.631018518521</v>
      </c>
      <c r="M2408" s="2">
        <v>46230</v>
      </c>
      <c r="N2408" t="s">
        <v>640</v>
      </c>
      <c r="O2408" t="s">
        <v>625</v>
      </c>
      <c r="P2408">
        <v>1</v>
      </c>
      <c r="Q2408">
        <v>0</v>
      </c>
      <c r="R2408">
        <v>22.65</v>
      </c>
      <c r="S2408" t="s">
        <v>243</v>
      </c>
      <c r="T2408" t="s">
        <v>777</v>
      </c>
    </row>
    <row r="2409" spans="1:20" x14ac:dyDescent="0.3">
      <c r="A2409">
        <v>2408</v>
      </c>
      <c r="B2409">
        <v>137</v>
      </c>
      <c r="C2409">
        <v>2</v>
      </c>
      <c r="D2409">
        <v>45.54</v>
      </c>
      <c r="E2409">
        <v>4.55</v>
      </c>
      <c r="F2409">
        <v>0</v>
      </c>
      <c r="G2409">
        <v>0.1</v>
      </c>
      <c r="H2409" t="s">
        <v>622</v>
      </c>
      <c r="J2409" t="s">
        <v>623</v>
      </c>
      <c r="K2409" s="1"/>
      <c r="L2409" s="1">
        <v>46230.640972222223</v>
      </c>
      <c r="M2409" s="2">
        <v>46230</v>
      </c>
      <c r="N2409" t="s">
        <v>640</v>
      </c>
      <c r="O2409" t="s">
        <v>625</v>
      </c>
      <c r="P2409">
        <v>1</v>
      </c>
      <c r="Q2409">
        <v>0</v>
      </c>
      <c r="R2409">
        <v>45.54</v>
      </c>
      <c r="S2409" t="s">
        <v>269</v>
      </c>
      <c r="T2409" t="s">
        <v>776</v>
      </c>
    </row>
    <row r="2410" spans="1:20" x14ac:dyDescent="0.3">
      <c r="A2410">
        <v>2409</v>
      </c>
      <c r="B2410">
        <v>52</v>
      </c>
      <c r="C2410">
        <v>2</v>
      </c>
      <c r="D2410">
        <v>39.49</v>
      </c>
      <c r="E2410">
        <v>3.95</v>
      </c>
      <c r="F2410">
        <v>0</v>
      </c>
      <c r="G2410">
        <v>0.1</v>
      </c>
      <c r="H2410" t="s">
        <v>622</v>
      </c>
      <c r="J2410" t="s">
        <v>623</v>
      </c>
      <c r="K2410" s="1"/>
      <c r="L2410" s="1">
        <v>46230.827824074076</v>
      </c>
      <c r="M2410" s="2">
        <v>46230</v>
      </c>
      <c r="N2410" t="s">
        <v>640</v>
      </c>
      <c r="O2410" t="s">
        <v>625</v>
      </c>
      <c r="P2410">
        <v>1</v>
      </c>
      <c r="Q2410">
        <v>0</v>
      </c>
      <c r="R2410">
        <v>39.49</v>
      </c>
      <c r="S2410" t="s">
        <v>100</v>
      </c>
      <c r="T2410" t="s">
        <v>776</v>
      </c>
    </row>
    <row r="2411" spans="1:20" x14ac:dyDescent="0.3">
      <c r="A2411">
        <v>2410</v>
      </c>
      <c r="B2411">
        <v>128</v>
      </c>
      <c r="C2411">
        <v>2</v>
      </c>
      <c r="D2411">
        <v>29.61</v>
      </c>
      <c r="E2411">
        <v>2.96</v>
      </c>
      <c r="F2411">
        <v>0</v>
      </c>
      <c r="G2411">
        <v>0.1</v>
      </c>
      <c r="H2411" t="s">
        <v>626</v>
      </c>
      <c r="I2411">
        <v>3</v>
      </c>
      <c r="J2411" t="s">
        <v>632</v>
      </c>
      <c r="K2411" s="1">
        <v>46231.998344907406</v>
      </c>
      <c r="L2411" s="1">
        <v>46231.331678240742</v>
      </c>
      <c r="M2411" s="2">
        <v>46231</v>
      </c>
      <c r="N2411" t="s">
        <v>640</v>
      </c>
      <c r="O2411" t="s">
        <v>625</v>
      </c>
      <c r="P2411">
        <v>1</v>
      </c>
      <c r="Q2411">
        <v>1</v>
      </c>
      <c r="R2411">
        <v>0</v>
      </c>
      <c r="S2411" t="s">
        <v>251</v>
      </c>
      <c r="T2411" t="s">
        <v>776</v>
      </c>
    </row>
    <row r="2412" spans="1:20" x14ac:dyDescent="0.3">
      <c r="A2412">
        <v>2411</v>
      </c>
      <c r="B2412">
        <v>190</v>
      </c>
      <c r="C2412">
        <v>2</v>
      </c>
      <c r="D2412">
        <v>91.21</v>
      </c>
      <c r="E2412">
        <v>9.1199999999999992</v>
      </c>
      <c r="F2412">
        <v>0</v>
      </c>
      <c r="G2412">
        <v>0.1</v>
      </c>
      <c r="H2412" t="s">
        <v>622</v>
      </c>
      <c r="J2412" t="s">
        <v>623</v>
      </c>
      <c r="K2412" s="1"/>
      <c r="L2412" s="1">
        <v>46231.33252314815</v>
      </c>
      <c r="M2412" s="2">
        <v>46231</v>
      </c>
      <c r="N2412" t="s">
        <v>640</v>
      </c>
      <c r="O2412" t="s">
        <v>625</v>
      </c>
      <c r="P2412">
        <v>1</v>
      </c>
      <c r="Q2412">
        <v>0</v>
      </c>
      <c r="R2412">
        <v>91.21</v>
      </c>
      <c r="S2412" t="s">
        <v>375</v>
      </c>
      <c r="T2412" t="s">
        <v>776</v>
      </c>
    </row>
    <row r="2413" spans="1:20" x14ac:dyDescent="0.3">
      <c r="A2413">
        <v>2412</v>
      </c>
      <c r="B2413">
        <v>114</v>
      </c>
      <c r="C2413">
        <v>5</v>
      </c>
      <c r="D2413">
        <v>175.58</v>
      </c>
      <c r="E2413">
        <v>17.559999999999999</v>
      </c>
      <c r="F2413">
        <v>0</v>
      </c>
      <c r="G2413">
        <v>0.1</v>
      </c>
      <c r="H2413" t="s">
        <v>622</v>
      </c>
      <c r="J2413" t="s">
        <v>623</v>
      </c>
      <c r="K2413" s="1"/>
      <c r="L2413" s="1">
        <v>46231.603402777779</v>
      </c>
      <c r="M2413" s="2">
        <v>46231</v>
      </c>
      <c r="N2413" t="s">
        <v>640</v>
      </c>
      <c r="O2413" t="s">
        <v>625</v>
      </c>
      <c r="P2413">
        <v>1</v>
      </c>
      <c r="Q2413">
        <v>0</v>
      </c>
      <c r="R2413">
        <v>175.58</v>
      </c>
      <c r="S2413" t="s">
        <v>223</v>
      </c>
      <c r="T2413" t="s">
        <v>779</v>
      </c>
    </row>
    <row r="2414" spans="1:20" x14ac:dyDescent="0.3">
      <c r="A2414">
        <v>2413</v>
      </c>
      <c r="B2414">
        <v>297</v>
      </c>
      <c r="C2414">
        <v>5</v>
      </c>
      <c r="D2414">
        <v>63.14</v>
      </c>
      <c r="E2414">
        <v>6.31</v>
      </c>
      <c r="F2414">
        <v>0</v>
      </c>
      <c r="G2414">
        <v>0.1</v>
      </c>
      <c r="H2414" t="s">
        <v>622</v>
      </c>
      <c r="J2414" t="s">
        <v>623</v>
      </c>
      <c r="K2414" s="1"/>
      <c r="L2414" s="1">
        <v>46231.705543981479</v>
      </c>
      <c r="M2414" s="2">
        <v>46231</v>
      </c>
      <c r="N2414" t="s">
        <v>640</v>
      </c>
      <c r="O2414" t="s">
        <v>625</v>
      </c>
      <c r="P2414">
        <v>1</v>
      </c>
      <c r="Q2414">
        <v>0</v>
      </c>
      <c r="R2414">
        <v>63.14</v>
      </c>
      <c r="S2414" t="s">
        <v>589</v>
      </c>
      <c r="T2414" t="s">
        <v>779</v>
      </c>
    </row>
    <row r="2415" spans="1:20" x14ac:dyDescent="0.3">
      <c r="A2415">
        <v>2414</v>
      </c>
      <c r="B2415">
        <v>250</v>
      </c>
      <c r="C2415">
        <v>5</v>
      </c>
      <c r="D2415">
        <v>64.58</v>
      </c>
      <c r="E2415">
        <v>0</v>
      </c>
      <c r="F2415">
        <v>1</v>
      </c>
      <c r="G2415">
        <v>0.1</v>
      </c>
      <c r="H2415" t="s">
        <v>626</v>
      </c>
      <c r="I2415">
        <v>5</v>
      </c>
      <c r="J2415" t="s">
        <v>627</v>
      </c>
      <c r="K2415" s="1">
        <v>46232.253379629627</v>
      </c>
      <c r="L2415" s="1">
        <v>46231.711712962962</v>
      </c>
      <c r="M2415" s="2">
        <v>46231</v>
      </c>
      <c r="N2415" t="s">
        <v>640</v>
      </c>
      <c r="O2415" t="s">
        <v>629</v>
      </c>
      <c r="P2415">
        <v>1</v>
      </c>
      <c r="Q2415">
        <v>1</v>
      </c>
      <c r="R2415">
        <v>0</v>
      </c>
      <c r="S2415" t="s">
        <v>495</v>
      </c>
      <c r="T2415" t="s">
        <v>779</v>
      </c>
    </row>
    <row r="2416" spans="1:20" x14ac:dyDescent="0.3">
      <c r="A2416">
        <v>2415</v>
      </c>
      <c r="B2416">
        <v>278</v>
      </c>
      <c r="C2416">
        <v>2</v>
      </c>
      <c r="D2416">
        <v>300</v>
      </c>
      <c r="E2416">
        <v>30</v>
      </c>
      <c r="F2416">
        <v>0</v>
      </c>
      <c r="G2416">
        <v>0.1</v>
      </c>
      <c r="H2416" t="s">
        <v>622</v>
      </c>
      <c r="J2416" t="s">
        <v>623</v>
      </c>
      <c r="K2416" s="1"/>
      <c r="L2416" s="1">
        <v>46231.712222222224</v>
      </c>
      <c r="M2416" s="2">
        <v>46231</v>
      </c>
      <c r="N2416" t="s">
        <v>640</v>
      </c>
      <c r="O2416" t="s">
        <v>625</v>
      </c>
      <c r="P2416">
        <v>1</v>
      </c>
      <c r="Q2416">
        <v>0</v>
      </c>
      <c r="R2416">
        <v>300</v>
      </c>
      <c r="S2416" t="s">
        <v>551</v>
      </c>
      <c r="T2416" t="s">
        <v>776</v>
      </c>
    </row>
    <row r="2417" spans="1:20" x14ac:dyDescent="0.3">
      <c r="A2417">
        <v>2416</v>
      </c>
      <c r="B2417">
        <v>128</v>
      </c>
      <c r="C2417">
        <v>4</v>
      </c>
      <c r="D2417">
        <v>50.67</v>
      </c>
      <c r="E2417">
        <v>5.07</v>
      </c>
      <c r="F2417">
        <v>0</v>
      </c>
      <c r="G2417">
        <v>0.1</v>
      </c>
      <c r="H2417" t="s">
        <v>622</v>
      </c>
      <c r="J2417" t="s">
        <v>623</v>
      </c>
      <c r="K2417" s="1"/>
      <c r="L2417" s="1">
        <v>46231.721134259256</v>
      </c>
      <c r="M2417" s="2">
        <v>46231</v>
      </c>
      <c r="N2417" t="s">
        <v>640</v>
      </c>
      <c r="O2417" t="s">
        <v>625</v>
      </c>
      <c r="P2417">
        <v>1</v>
      </c>
      <c r="Q2417">
        <v>0</v>
      </c>
      <c r="R2417">
        <v>50.67</v>
      </c>
      <c r="S2417" t="s">
        <v>251</v>
      </c>
      <c r="T2417" t="s">
        <v>778</v>
      </c>
    </row>
    <row r="2418" spans="1:20" x14ac:dyDescent="0.3">
      <c r="A2418">
        <v>2417</v>
      </c>
      <c r="B2418">
        <v>128</v>
      </c>
      <c r="C2418">
        <v>2</v>
      </c>
      <c r="D2418">
        <v>32.200000000000003</v>
      </c>
      <c r="E2418">
        <v>3.22</v>
      </c>
      <c r="F2418">
        <v>0</v>
      </c>
      <c r="G2418">
        <v>0.1</v>
      </c>
      <c r="H2418" t="s">
        <v>622</v>
      </c>
      <c r="J2418" t="s">
        <v>623</v>
      </c>
      <c r="K2418" s="1"/>
      <c r="L2418" s="1">
        <v>46231.756388888891</v>
      </c>
      <c r="M2418" s="2">
        <v>46231</v>
      </c>
      <c r="N2418" t="s">
        <v>640</v>
      </c>
      <c r="O2418" t="s">
        <v>625</v>
      </c>
      <c r="P2418">
        <v>1</v>
      </c>
      <c r="Q2418">
        <v>0</v>
      </c>
      <c r="R2418">
        <v>32.200000000000003</v>
      </c>
      <c r="S2418" t="s">
        <v>251</v>
      </c>
      <c r="T2418" t="s">
        <v>776</v>
      </c>
    </row>
    <row r="2419" spans="1:20" x14ac:dyDescent="0.3">
      <c r="A2419">
        <v>2418</v>
      </c>
      <c r="B2419">
        <v>285</v>
      </c>
      <c r="C2419">
        <v>5</v>
      </c>
      <c r="D2419">
        <v>23.68</v>
      </c>
      <c r="E2419">
        <v>2.37</v>
      </c>
      <c r="F2419">
        <v>0</v>
      </c>
      <c r="G2419">
        <v>0.1</v>
      </c>
      <c r="H2419" t="s">
        <v>622</v>
      </c>
      <c r="J2419" t="s">
        <v>623</v>
      </c>
      <c r="K2419" s="1"/>
      <c r="L2419" s="1">
        <v>46232.358182870368</v>
      </c>
      <c r="M2419" s="2">
        <v>46232</v>
      </c>
      <c r="N2419" t="s">
        <v>640</v>
      </c>
      <c r="O2419" t="s">
        <v>625</v>
      </c>
      <c r="P2419">
        <v>1</v>
      </c>
      <c r="Q2419">
        <v>0</v>
      </c>
      <c r="R2419">
        <v>23.68</v>
      </c>
      <c r="S2419" t="s">
        <v>565</v>
      </c>
      <c r="T2419" t="s">
        <v>779</v>
      </c>
    </row>
    <row r="2420" spans="1:20" x14ac:dyDescent="0.3">
      <c r="A2420">
        <v>2419</v>
      </c>
      <c r="B2420">
        <v>75</v>
      </c>
      <c r="C2420">
        <v>5</v>
      </c>
      <c r="D2420">
        <v>75.3</v>
      </c>
      <c r="E2420">
        <v>7.53</v>
      </c>
      <c r="F2420">
        <v>0</v>
      </c>
      <c r="G2420">
        <v>0.1</v>
      </c>
      <c r="H2420" t="s">
        <v>622</v>
      </c>
      <c r="J2420" t="s">
        <v>623</v>
      </c>
      <c r="K2420" s="1"/>
      <c r="L2420" s="1">
        <v>46232.393321759257</v>
      </c>
      <c r="M2420" s="2">
        <v>46232</v>
      </c>
      <c r="N2420" t="s">
        <v>640</v>
      </c>
      <c r="O2420" t="s">
        <v>625</v>
      </c>
      <c r="P2420">
        <v>1</v>
      </c>
      <c r="Q2420">
        <v>0</v>
      </c>
      <c r="R2420">
        <v>75.3</v>
      </c>
      <c r="S2420" t="s">
        <v>146</v>
      </c>
      <c r="T2420" t="s">
        <v>779</v>
      </c>
    </row>
    <row r="2421" spans="1:20" x14ac:dyDescent="0.3">
      <c r="A2421">
        <v>2420</v>
      </c>
      <c r="B2421">
        <v>285</v>
      </c>
      <c r="C2421">
        <v>3</v>
      </c>
      <c r="D2421">
        <v>21.91</v>
      </c>
      <c r="E2421">
        <v>0</v>
      </c>
      <c r="F2421">
        <v>1</v>
      </c>
      <c r="G2421">
        <v>0.1</v>
      </c>
      <c r="H2421" t="s">
        <v>622</v>
      </c>
      <c r="J2421" t="s">
        <v>623</v>
      </c>
      <c r="K2421" s="1"/>
      <c r="L2421" s="1">
        <v>46232.426898148151</v>
      </c>
      <c r="M2421" s="2">
        <v>46232</v>
      </c>
      <c r="N2421" t="s">
        <v>640</v>
      </c>
      <c r="O2421" t="s">
        <v>629</v>
      </c>
      <c r="P2421">
        <v>1</v>
      </c>
      <c r="Q2421">
        <v>0</v>
      </c>
      <c r="R2421">
        <v>21.91</v>
      </c>
      <c r="S2421" t="s">
        <v>565</v>
      </c>
      <c r="T2421" t="s">
        <v>777</v>
      </c>
    </row>
    <row r="2422" spans="1:20" x14ac:dyDescent="0.3">
      <c r="A2422">
        <v>2421</v>
      </c>
      <c r="B2422">
        <v>134</v>
      </c>
      <c r="C2422">
        <v>4</v>
      </c>
      <c r="D2422">
        <v>91.44</v>
      </c>
      <c r="E2422">
        <v>0</v>
      </c>
      <c r="F2422">
        <v>1</v>
      </c>
      <c r="G2422">
        <v>0.1</v>
      </c>
      <c r="H2422" t="s">
        <v>622</v>
      </c>
      <c r="J2422" t="s">
        <v>623</v>
      </c>
      <c r="K2422" s="1"/>
      <c r="L2422" s="1">
        <v>46232.458402777775</v>
      </c>
      <c r="M2422" s="2">
        <v>46232</v>
      </c>
      <c r="N2422" t="s">
        <v>640</v>
      </c>
      <c r="O2422" t="s">
        <v>629</v>
      </c>
      <c r="P2422">
        <v>1</v>
      </c>
      <c r="Q2422">
        <v>0</v>
      </c>
      <c r="R2422">
        <v>91.44</v>
      </c>
      <c r="S2422" t="s">
        <v>263</v>
      </c>
      <c r="T2422" t="s">
        <v>778</v>
      </c>
    </row>
    <row r="2423" spans="1:20" x14ac:dyDescent="0.3">
      <c r="A2423">
        <v>2422</v>
      </c>
      <c r="B2423">
        <v>128</v>
      </c>
      <c r="C2423">
        <v>2</v>
      </c>
      <c r="D2423">
        <v>26.02</v>
      </c>
      <c r="E2423">
        <v>2.6</v>
      </c>
      <c r="F2423">
        <v>0</v>
      </c>
      <c r="G2423">
        <v>0.1</v>
      </c>
      <c r="H2423" t="s">
        <v>622</v>
      </c>
      <c r="J2423" t="s">
        <v>623</v>
      </c>
      <c r="K2423" s="1"/>
      <c r="L2423" s="1">
        <v>46232.58935185185</v>
      </c>
      <c r="M2423" s="2">
        <v>46232</v>
      </c>
      <c r="N2423" t="s">
        <v>640</v>
      </c>
      <c r="O2423" t="s">
        <v>625</v>
      </c>
      <c r="P2423">
        <v>1</v>
      </c>
      <c r="Q2423">
        <v>0</v>
      </c>
      <c r="R2423">
        <v>26.02</v>
      </c>
      <c r="S2423" t="s">
        <v>251</v>
      </c>
      <c r="T2423" t="s">
        <v>776</v>
      </c>
    </row>
    <row r="2424" spans="1:20" x14ac:dyDescent="0.3">
      <c r="A2424">
        <v>2423</v>
      </c>
      <c r="B2424">
        <v>117</v>
      </c>
      <c r="C2424">
        <v>3</v>
      </c>
      <c r="D2424">
        <v>36.97</v>
      </c>
      <c r="E2424">
        <v>3.7</v>
      </c>
      <c r="F2424">
        <v>0</v>
      </c>
      <c r="G2424">
        <v>0.1</v>
      </c>
      <c r="H2424" t="s">
        <v>622</v>
      </c>
      <c r="J2424" t="s">
        <v>623</v>
      </c>
      <c r="K2424" s="1"/>
      <c r="L2424" s="1">
        <v>46232.735567129632</v>
      </c>
      <c r="M2424" s="2">
        <v>46232</v>
      </c>
      <c r="N2424" t="s">
        <v>640</v>
      </c>
      <c r="O2424" t="s">
        <v>625</v>
      </c>
      <c r="P2424">
        <v>1</v>
      </c>
      <c r="Q2424">
        <v>0</v>
      </c>
      <c r="R2424">
        <v>36.97</v>
      </c>
      <c r="S2424" t="s">
        <v>229</v>
      </c>
      <c r="T2424" t="s">
        <v>777</v>
      </c>
    </row>
    <row r="2425" spans="1:20" x14ac:dyDescent="0.3">
      <c r="A2425">
        <v>2424</v>
      </c>
      <c r="B2425">
        <v>80</v>
      </c>
      <c r="C2425">
        <v>5</v>
      </c>
      <c r="D2425">
        <v>31.63</v>
      </c>
      <c r="E2425">
        <v>3.16</v>
      </c>
      <c r="F2425">
        <v>0</v>
      </c>
      <c r="G2425">
        <v>0.1</v>
      </c>
      <c r="H2425" t="s">
        <v>622</v>
      </c>
      <c r="J2425" t="s">
        <v>623</v>
      </c>
      <c r="K2425" s="1"/>
      <c r="L2425" s="1">
        <v>46232.764884259261</v>
      </c>
      <c r="M2425" s="2">
        <v>46232</v>
      </c>
      <c r="N2425" t="s">
        <v>640</v>
      </c>
      <c r="O2425" t="s">
        <v>625</v>
      </c>
      <c r="P2425">
        <v>1</v>
      </c>
      <c r="Q2425">
        <v>0</v>
      </c>
      <c r="R2425">
        <v>31.63</v>
      </c>
      <c r="S2425" t="s">
        <v>156</v>
      </c>
      <c r="T2425" t="s">
        <v>779</v>
      </c>
    </row>
    <row r="2426" spans="1:20" x14ac:dyDescent="0.3">
      <c r="A2426">
        <v>2425</v>
      </c>
      <c r="B2426">
        <v>44</v>
      </c>
      <c r="C2426">
        <v>3</v>
      </c>
      <c r="D2426">
        <v>23.8</v>
      </c>
      <c r="E2426">
        <v>2.38</v>
      </c>
      <c r="F2426">
        <v>0</v>
      </c>
      <c r="G2426">
        <v>0.1</v>
      </c>
      <c r="H2426" t="s">
        <v>622</v>
      </c>
      <c r="J2426" t="s">
        <v>623</v>
      </c>
      <c r="K2426" s="1"/>
      <c r="L2426" s="1">
        <v>46233.449386574073</v>
      </c>
      <c r="M2426" s="2">
        <v>46233</v>
      </c>
      <c r="N2426" t="s">
        <v>640</v>
      </c>
      <c r="O2426" t="s">
        <v>625</v>
      </c>
      <c r="P2426">
        <v>1</v>
      </c>
      <c r="Q2426">
        <v>0</v>
      </c>
      <c r="R2426">
        <v>23.8</v>
      </c>
      <c r="S2426" t="s">
        <v>84</v>
      </c>
      <c r="T2426" t="s">
        <v>777</v>
      </c>
    </row>
    <row r="2427" spans="1:20" x14ac:dyDescent="0.3">
      <c r="A2427">
        <v>2426</v>
      </c>
      <c r="B2427">
        <v>225</v>
      </c>
      <c r="C2427">
        <v>5</v>
      </c>
      <c r="D2427">
        <v>20.190000000000001</v>
      </c>
      <c r="E2427">
        <v>2.02</v>
      </c>
      <c r="F2427">
        <v>0</v>
      </c>
      <c r="G2427">
        <v>0.1</v>
      </c>
      <c r="H2427" t="s">
        <v>622</v>
      </c>
      <c r="J2427" t="s">
        <v>623</v>
      </c>
      <c r="K2427" s="1"/>
      <c r="L2427" s="1">
        <v>46233.452118055553</v>
      </c>
      <c r="M2427" s="2">
        <v>46233</v>
      </c>
      <c r="N2427" t="s">
        <v>640</v>
      </c>
      <c r="O2427" t="s">
        <v>625</v>
      </c>
      <c r="P2427">
        <v>1</v>
      </c>
      <c r="Q2427">
        <v>0</v>
      </c>
      <c r="R2427">
        <v>20.190000000000001</v>
      </c>
      <c r="S2427" t="s">
        <v>445</v>
      </c>
      <c r="T2427" t="s">
        <v>779</v>
      </c>
    </row>
    <row r="2428" spans="1:20" x14ac:dyDescent="0.3">
      <c r="A2428">
        <v>2427</v>
      </c>
      <c r="B2428">
        <v>279</v>
      </c>
      <c r="C2428">
        <v>3</v>
      </c>
      <c r="D2428">
        <v>230.72</v>
      </c>
      <c r="E2428">
        <v>23.07</v>
      </c>
      <c r="F2428">
        <v>0</v>
      </c>
      <c r="G2428">
        <v>0.1</v>
      </c>
      <c r="H2428" t="s">
        <v>622</v>
      </c>
      <c r="J2428" t="s">
        <v>623</v>
      </c>
      <c r="K2428" s="1"/>
      <c r="L2428" s="1">
        <v>46233.602800925924</v>
      </c>
      <c r="M2428" s="2">
        <v>46233</v>
      </c>
      <c r="N2428" t="s">
        <v>640</v>
      </c>
      <c r="O2428" t="s">
        <v>625</v>
      </c>
      <c r="P2428">
        <v>1</v>
      </c>
      <c r="Q2428">
        <v>0</v>
      </c>
      <c r="R2428">
        <v>230.72</v>
      </c>
      <c r="S2428" t="s">
        <v>553</v>
      </c>
      <c r="T2428" t="s">
        <v>777</v>
      </c>
    </row>
    <row r="2429" spans="1:20" x14ac:dyDescent="0.3">
      <c r="A2429">
        <v>2428</v>
      </c>
      <c r="B2429">
        <v>192</v>
      </c>
      <c r="C2429">
        <v>4</v>
      </c>
      <c r="D2429">
        <v>32.549999999999997</v>
      </c>
      <c r="E2429">
        <v>3.26</v>
      </c>
      <c r="F2429">
        <v>0</v>
      </c>
      <c r="G2429">
        <v>0.1</v>
      </c>
      <c r="H2429" t="s">
        <v>622</v>
      </c>
      <c r="J2429" t="s">
        <v>623</v>
      </c>
      <c r="K2429" s="1"/>
      <c r="L2429" s="1">
        <v>46233.61273148148</v>
      </c>
      <c r="M2429" s="2">
        <v>46233</v>
      </c>
      <c r="N2429" t="s">
        <v>640</v>
      </c>
      <c r="O2429" t="s">
        <v>625</v>
      </c>
      <c r="P2429">
        <v>1</v>
      </c>
      <c r="Q2429">
        <v>0</v>
      </c>
      <c r="R2429">
        <v>32.549999999999997</v>
      </c>
      <c r="S2429" t="s">
        <v>379</v>
      </c>
      <c r="T2429" t="s">
        <v>778</v>
      </c>
    </row>
    <row r="2430" spans="1:20" x14ac:dyDescent="0.3">
      <c r="A2430">
        <v>2429</v>
      </c>
      <c r="B2430">
        <v>50</v>
      </c>
      <c r="C2430">
        <v>2</v>
      </c>
      <c r="D2430">
        <v>91.45</v>
      </c>
      <c r="E2430">
        <v>9.15</v>
      </c>
      <c r="F2430">
        <v>0</v>
      </c>
      <c r="G2430">
        <v>0.1</v>
      </c>
      <c r="H2430" t="s">
        <v>622</v>
      </c>
      <c r="J2430" t="s">
        <v>623</v>
      </c>
      <c r="K2430" s="1"/>
      <c r="L2430" s="1">
        <v>46233.633530092593</v>
      </c>
      <c r="M2430" s="2">
        <v>46233</v>
      </c>
      <c r="N2430" t="s">
        <v>640</v>
      </c>
      <c r="O2430" t="s">
        <v>625</v>
      </c>
      <c r="P2430">
        <v>1</v>
      </c>
      <c r="Q2430">
        <v>0</v>
      </c>
      <c r="R2430">
        <v>91.45</v>
      </c>
      <c r="S2430" t="s">
        <v>96</v>
      </c>
      <c r="T2430" t="s">
        <v>776</v>
      </c>
    </row>
    <row r="2431" spans="1:20" x14ac:dyDescent="0.3">
      <c r="A2431">
        <v>2430</v>
      </c>
      <c r="B2431">
        <v>195</v>
      </c>
      <c r="C2431">
        <v>3</v>
      </c>
      <c r="D2431">
        <v>190.4</v>
      </c>
      <c r="E2431">
        <v>19.04</v>
      </c>
      <c r="F2431">
        <v>0</v>
      </c>
      <c r="G2431">
        <v>0.1</v>
      </c>
      <c r="H2431" t="s">
        <v>622</v>
      </c>
      <c r="J2431" t="s">
        <v>623</v>
      </c>
      <c r="K2431" s="1"/>
      <c r="L2431" s="1">
        <v>46233.633831018517</v>
      </c>
      <c r="M2431" s="2">
        <v>46233</v>
      </c>
      <c r="N2431" t="s">
        <v>640</v>
      </c>
      <c r="O2431" t="s">
        <v>625</v>
      </c>
      <c r="P2431">
        <v>1</v>
      </c>
      <c r="Q2431">
        <v>0</v>
      </c>
      <c r="R2431">
        <v>190.4</v>
      </c>
      <c r="S2431" t="s">
        <v>385</v>
      </c>
      <c r="T2431" t="s">
        <v>777</v>
      </c>
    </row>
    <row r="2432" spans="1:20" x14ac:dyDescent="0.3">
      <c r="A2432">
        <v>2431</v>
      </c>
      <c r="B2432">
        <v>156</v>
      </c>
      <c r="C2432">
        <v>3</v>
      </c>
      <c r="D2432">
        <v>22.67</v>
      </c>
      <c r="E2432">
        <v>2.27</v>
      </c>
      <c r="F2432">
        <v>0</v>
      </c>
      <c r="G2432">
        <v>0.1</v>
      </c>
      <c r="H2432" t="s">
        <v>622</v>
      </c>
      <c r="J2432" t="s">
        <v>623</v>
      </c>
      <c r="K2432" s="1"/>
      <c r="L2432" s="1">
        <v>46233.683587962965</v>
      </c>
      <c r="M2432" s="2">
        <v>46233</v>
      </c>
      <c r="N2432" t="s">
        <v>640</v>
      </c>
      <c r="O2432" t="s">
        <v>625</v>
      </c>
      <c r="P2432">
        <v>1</v>
      </c>
      <c r="Q2432">
        <v>0</v>
      </c>
      <c r="R2432">
        <v>22.67</v>
      </c>
      <c r="S2432" t="s">
        <v>307</v>
      </c>
      <c r="T2432" t="s">
        <v>777</v>
      </c>
    </row>
    <row r="2433" spans="1:20" x14ac:dyDescent="0.3">
      <c r="A2433">
        <v>2432</v>
      </c>
      <c r="B2433">
        <v>67</v>
      </c>
      <c r="C2433">
        <v>3</v>
      </c>
      <c r="D2433">
        <v>27.28</v>
      </c>
      <c r="E2433">
        <v>2.73</v>
      </c>
      <c r="F2433">
        <v>0</v>
      </c>
      <c r="G2433">
        <v>0.1</v>
      </c>
      <c r="H2433" t="s">
        <v>622</v>
      </c>
      <c r="J2433" t="s">
        <v>623</v>
      </c>
      <c r="K2433" s="1"/>
      <c r="L2433" s="1">
        <v>46233.710428240738</v>
      </c>
      <c r="M2433" s="2">
        <v>46233</v>
      </c>
      <c r="N2433" t="s">
        <v>640</v>
      </c>
      <c r="O2433" t="s">
        <v>625</v>
      </c>
      <c r="P2433">
        <v>1</v>
      </c>
      <c r="Q2433">
        <v>0</v>
      </c>
      <c r="R2433">
        <v>27.28</v>
      </c>
      <c r="S2433" t="s">
        <v>130</v>
      </c>
      <c r="T2433" t="s">
        <v>777</v>
      </c>
    </row>
    <row r="2434" spans="1:20" x14ac:dyDescent="0.3">
      <c r="A2434">
        <v>2433</v>
      </c>
      <c r="B2434">
        <v>128</v>
      </c>
      <c r="C2434">
        <v>4</v>
      </c>
      <c r="D2434">
        <v>31.21</v>
      </c>
      <c r="E2434">
        <v>3.12</v>
      </c>
      <c r="F2434">
        <v>0</v>
      </c>
      <c r="G2434">
        <v>0.1</v>
      </c>
      <c r="H2434" t="s">
        <v>622</v>
      </c>
      <c r="J2434" t="s">
        <v>623</v>
      </c>
      <c r="K2434" s="1"/>
      <c r="L2434" s="1">
        <v>46233.737708333334</v>
      </c>
      <c r="M2434" s="2">
        <v>46233</v>
      </c>
      <c r="N2434" t="s">
        <v>640</v>
      </c>
      <c r="O2434" t="s">
        <v>625</v>
      </c>
      <c r="P2434">
        <v>1</v>
      </c>
      <c r="Q2434">
        <v>0</v>
      </c>
      <c r="R2434">
        <v>31.21</v>
      </c>
      <c r="S2434" t="s">
        <v>251</v>
      </c>
      <c r="T2434" t="s">
        <v>778</v>
      </c>
    </row>
    <row r="2435" spans="1:20" x14ac:dyDescent="0.3">
      <c r="A2435">
        <v>2434</v>
      </c>
      <c r="B2435">
        <v>75</v>
      </c>
      <c r="C2435">
        <v>5</v>
      </c>
      <c r="D2435">
        <v>40.78</v>
      </c>
      <c r="E2435">
        <v>4.08</v>
      </c>
      <c r="F2435">
        <v>0</v>
      </c>
      <c r="G2435">
        <v>0.1</v>
      </c>
      <c r="H2435" t="s">
        <v>622</v>
      </c>
      <c r="J2435" t="s">
        <v>623</v>
      </c>
      <c r="K2435" s="1"/>
      <c r="L2435" s="1">
        <v>46234.338888888888</v>
      </c>
      <c r="M2435" s="2">
        <v>46234</v>
      </c>
      <c r="N2435" t="s">
        <v>640</v>
      </c>
      <c r="O2435" t="s">
        <v>625</v>
      </c>
      <c r="P2435">
        <v>1</v>
      </c>
      <c r="Q2435">
        <v>0</v>
      </c>
      <c r="R2435">
        <v>40.78</v>
      </c>
      <c r="S2435" t="s">
        <v>146</v>
      </c>
      <c r="T2435" t="s">
        <v>779</v>
      </c>
    </row>
    <row r="2436" spans="1:20" x14ac:dyDescent="0.3">
      <c r="A2436">
        <v>2435</v>
      </c>
      <c r="B2436">
        <v>75</v>
      </c>
      <c r="C2436">
        <v>2</v>
      </c>
      <c r="D2436">
        <v>86.07</v>
      </c>
      <c r="E2436">
        <v>8.61</v>
      </c>
      <c r="F2436">
        <v>0</v>
      </c>
      <c r="G2436">
        <v>0.1</v>
      </c>
      <c r="H2436" t="s">
        <v>622</v>
      </c>
      <c r="J2436" t="s">
        <v>623</v>
      </c>
      <c r="K2436" s="1"/>
      <c r="L2436" s="1">
        <v>46234.433344907404</v>
      </c>
      <c r="M2436" s="2">
        <v>46234</v>
      </c>
      <c r="N2436" t="s">
        <v>640</v>
      </c>
      <c r="O2436" t="s">
        <v>625</v>
      </c>
      <c r="P2436">
        <v>1</v>
      </c>
      <c r="Q2436">
        <v>0</v>
      </c>
      <c r="R2436">
        <v>86.07</v>
      </c>
      <c r="S2436" t="s">
        <v>146</v>
      </c>
      <c r="T2436" t="s">
        <v>776</v>
      </c>
    </row>
    <row r="2437" spans="1:20" x14ac:dyDescent="0.3">
      <c r="A2437">
        <v>2436</v>
      </c>
      <c r="B2437">
        <v>198</v>
      </c>
      <c r="C2437">
        <v>5</v>
      </c>
      <c r="D2437">
        <v>20.61</v>
      </c>
      <c r="E2437">
        <v>2.06</v>
      </c>
      <c r="F2437">
        <v>0</v>
      </c>
      <c r="G2437">
        <v>0.1</v>
      </c>
      <c r="H2437" t="s">
        <v>626</v>
      </c>
      <c r="I2437">
        <v>2</v>
      </c>
      <c r="J2437" t="s">
        <v>628</v>
      </c>
      <c r="K2437" s="1">
        <v>46235.040162037039</v>
      </c>
      <c r="L2437" s="1">
        <v>46234.748495370368</v>
      </c>
      <c r="M2437" s="2">
        <v>46234</v>
      </c>
      <c r="N2437" t="s">
        <v>640</v>
      </c>
      <c r="O2437" t="s">
        <v>625</v>
      </c>
      <c r="P2437">
        <v>1</v>
      </c>
      <c r="Q2437">
        <v>1</v>
      </c>
      <c r="R2437">
        <v>0</v>
      </c>
      <c r="S2437" t="s">
        <v>391</v>
      </c>
      <c r="T2437" t="s">
        <v>779</v>
      </c>
    </row>
    <row r="2438" spans="1:20" x14ac:dyDescent="0.3">
      <c r="A2438">
        <v>2437</v>
      </c>
      <c r="B2438">
        <v>145</v>
      </c>
      <c r="C2438">
        <v>4</v>
      </c>
      <c r="D2438">
        <v>239.39</v>
      </c>
      <c r="E2438">
        <v>23.94</v>
      </c>
      <c r="F2438">
        <v>0</v>
      </c>
      <c r="G2438">
        <v>0.1</v>
      </c>
      <c r="H2438" t="s">
        <v>622</v>
      </c>
      <c r="J2438" t="s">
        <v>623</v>
      </c>
      <c r="K2438" s="1"/>
      <c r="L2438" s="1">
        <v>46235.444895833331</v>
      </c>
      <c r="M2438" s="2">
        <v>46235</v>
      </c>
      <c r="N2438" t="s">
        <v>641</v>
      </c>
      <c r="O2438" t="s">
        <v>625</v>
      </c>
      <c r="P2438">
        <v>1</v>
      </c>
      <c r="Q2438">
        <v>0</v>
      </c>
      <c r="R2438">
        <v>239.39</v>
      </c>
      <c r="S2438" t="s">
        <v>285</v>
      </c>
      <c r="T2438" t="s">
        <v>778</v>
      </c>
    </row>
    <row r="2439" spans="1:20" x14ac:dyDescent="0.3">
      <c r="A2439">
        <v>2438</v>
      </c>
      <c r="B2439">
        <v>243</v>
      </c>
      <c r="C2439">
        <v>4</v>
      </c>
      <c r="D2439">
        <v>45.99</v>
      </c>
      <c r="E2439">
        <v>4.5999999999999996</v>
      </c>
      <c r="F2439">
        <v>0</v>
      </c>
      <c r="G2439">
        <v>0.1</v>
      </c>
      <c r="H2439" t="s">
        <v>622</v>
      </c>
      <c r="J2439" t="s">
        <v>623</v>
      </c>
      <c r="K2439" s="1"/>
      <c r="L2439" s="1">
        <v>46235.45758101852</v>
      </c>
      <c r="M2439" s="2">
        <v>46235</v>
      </c>
      <c r="N2439" t="s">
        <v>641</v>
      </c>
      <c r="O2439" t="s">
        <v>625</v>
      </c>
      <c r="P2439">
        <v>1</v>
      </c>
      <c r="Q2439">
        <v>0</v>
      </c>
      <c r="R2439">
        <v>45.99</v>
      </c>
      <c r="S2439" t="s">
        <v>481</v>
      </c>
      <c r="T2439" t="s">
        <v>778</v>
      </c>
    </row>
    <row r="2440" spans="1:20" x14ac:dyDescent="0.3">
      <c r="A2440">
        <v>2439</v>
      </c>
      <c r="B2440">
        <v>134</v>
      </c>
      <c r="C2440">
        <v>5</v>
      </c>
      <c r="D2440">
        <v>61.67</v>
      </c>
      <c r="E2440">
        <v>6.17</v>
      </c>
      <c r="F2440">
        <v>0</v>
      </c>
      <c r="G2440">
        <v>0.1</v>
      </c>
      <c r="H2440" t="s">
        <v>622</v>
      </c>
      <c r="J2440" t="s">
        <v>623</v>
      </c>
      <c r="K2440" s="1"/>
      <c r="L2440" s="1">
        <v>46235.627083333333</v>
      </c>
      <c r="M2440" s="2">
        <v>46235</v>
      </c>
      <c r="N2440" t="s">
        <v>641</v>
      </c>
      <c r="O2440" t="s">
        <v>625</v>
      </c>
      <c r="P2440">
        <v>1</v>
      </c>
      <c r="Q2440">
        <v>0</v>
      </c>
      <c r="R2440">
        <v>61.67</v>
      </c>
      <c r="S2440" t="s">
        <v>263</v>
      </c>
      <c r="T2440" t="s">
        <v>779</v>
      </c>
    </row>
    <row r="2441" spans="1:20" x14ac:dyDescent="0.3">
      <c r="A2441">
        <v>2440</v>
      </c>
      <c r="B2441">
        <v>244</v>
      </c>
      <c r="C2441">
        <v>5</v>
      </c>
      <c r="D2441">
        <v>49.32</v>
      </c>
      <c r="E2441">
        <v>4.93</v>
      </c>
      <c r="F2441">
        <v>0</v>
      </c>
      <c r="G2441">
        <v>0.1</v>
      </c>
      <c r="H2441" t="s">
        <v>622</v>
      </c>
      <c r="J2441" t="s">
        <v>623</v>
      </c>
      <c r="K2441" s="1"/>
      <c r="L2441" s="1">
        <v>46235.677245370367</v>
      </c>
      <c r="M2441" s="2">
        <v>46235</v>
      </c>
      <c r="N2441" t="s">
        <v>641</v>
      </c>
      <c r="O2441" t="s">
        <v>625</v>
      </c>
      <c r="P2441">
        <v>1</v>
      </c>
      <c r="Q2441">
        <v>0</v>
      </c>
      <c r="R2441">
        <v>49.32</v>
      </c>
      <c r="S2441" t="s">
        <v>483</v>
      </c>
      <c r="T2441" t="s">
        <v>779</v>
      </c>
    </row>
    <row r="2442" spans="1:20" x14ac:dyDescent="0.3">
      <c r="A2442">
        <v>2441</v>
      </c>
      <c r="B2442">
        <v>136</v>
      </c>
      <c r="C2442">
        <v>2</v>
      </c>
      <c r="D2442">
        <v>120.84</v>
      </c>
      <c r="E2442">
        <v>12.08</v>
      </c>
      <c r="F2442">
        <v>0</v>
      </c>
      <c r="G2442">
        <v>0.1</v>
      </c>
      <c r="H2442" t="s">
        <v>622</v>
      </c>
      <c r="J2442" t="s">
        <v>623</v>
      </c>
      <c r="K2442" s="1"/>
      <c r="L2442" s="1">
        <v>46235.763807870368</v>
      </c>
      <c r="M2442" s="2">
        <v>46235</v>
      </c>
      <c r="N2442" t="s">
        <v>641</v>
      </c>
      <c r="O2442" t="s">
        <v>625</v>
      </c>
      <c r="P2442">
        <v>1</v>
      </c>
      <c r="Q2442">
        <v>0</v>
      </c>
      <c r="R2442">
        <v>120.84</v>
      </c>
      <c r="S2442" t="s">
        <v>267</v>
      </c>
      <c r="T2442" t="s">
        <v>776</v>
      </c>
    </row>
    <row r="2443" spans="1:20" x14ac:dyDescent="0.3">
      <c r="A2443">
        <v>2442</v>
      </c>
      <c r="B2443">
        <v>230</v>
      </c>
      <c r="C2443">
        <v>4</v>
      </c>
      <c r="D2443">
        <v>242.58</v>
      </c>
      <c r="E2443">
        <v>24.26</v>
      </c>
      <c r="F2443">
        <v>0</v>
      </c>
      <c r="G2443">
        <v>0.1</v>
      </c>
      <c r="H2443" t="s">
        <v>622</v>
      </c>
      <c r="J2443" t="s">
        <v>623</v>
      </c>
      <c r="K2443" s="1"/>
      <c r="L2443" s="1">
        <v>46235.772488425922</v>
      </c>
      <c r="M2443" s="2">
        <v>46235</v>
      </c>
      <c r="N2443" t="s">
        <v>641</v>
      </c>
      <c r="O2443" t="s">
        <v>625</v>
      </c>
      <c r="P2443">
        <v>1</v>
      </c>
      <c r="Q2443">
        <v>0</v>
      </c>
      <c r="R2443">
        <v>242.58</v>
      </c>
      <c r="S2443" t="s">
        <v>455</v>
      </c>
      <c r="T2443" t="s">
        <v>778</v>
      </c>
    </row>
    <row r="2444" spans="1:20" x14ac:dyDescent="0.3">
      <c r="A2444">
        <v>2443</v>
      </c>
      <c r="B2444">
        <v>21</v>
      </c>
      <c r="C2444">
        <v>5</v>
      </c>
      <c r="D2444">
        <v>30.16</v>
      </c>
      <c r="E2444">
        <v>3.02</v>
      </c>
      <c r="F2444">
        <v>0</v>
      </c>
      <c r="G2444">
        <v>0.1</v>
      </c>
      <c r="H2444" t="s">
        <v>622</v>
      </c>
      <c r="J2444" t="s">
        <v>623</v>
      </c>
      <c r="K2444" s="1"/>
      <c r="L2444" s="1">
        <v>46236.542916666665</v>
      </c>
      <c r="M2444" s="2">
        <v>46236</v>
      </c>
      <c r="N2444" t="s">
        <v>641</v>
      </c>
      <c r="O2444" t="s">
        <v>625</v>
      </c>
      <c r="P2444">
        <v>1</v>
      </c>
      <c r="Q2444">
        <v>0</v>
      </c>
      <c r="R2444">
        <v>30.16</v>
      </c>
      <c r="S2444" t="s">
        <v>38</v>
      </c>
      <c r="T2444" t="s">
        <v>779</v>
      </c>
    </row>
    <row r="2445" spans="1:20" x14ac:dyDescent="0.3">
      <c r="A2445">
        <v>2444</v>
      </c>
      <c r="B2445">
        <v>304</v>
      </c>
      <c r="C2445">
        <v>3</v>
      </c>
      <c r="D2445">
        <v>30</v>
      </c>
      <c r="E2445">
        <v>3</v>
      </c>
      <c r="F2445">
        <v>0</v>
      </c>
      <c r="G2445">
        <v>0.1</v>
      </c>
      <c r="H2445" t="s">
        <v>626</v>
      </c>
      <c r="I2445">
        <v>4</v>
      </c>
      <c r="J2445" t="s">
        <v>628</v>
      </c>
      <c r="K2445" s="1">
        <v>46237.44017361111</v>
      </c>
      <c r="L2445" s="1">
        <v>46236.648506944446</v>
      </c>
      <c r="M2445" s="2">
        <v>46236</v>
      </c>
      <c r="N2445" t="s">
        <v>641</v>
      </c>
      <c r="O2445" t="s">
        <v>625</v>
      </c>
      <c r="P2445">
        <v>1</v>
      </c>
      <c r="Q2445">
        <v>1</v>
      </c>
      <c r="R2445">
        <v>0</v>
      </c>
      <c r="S2445" t="s">
        <v>603</v>
      </c>
      <c r="T2445" t="s">
        <v>777</v>
      </c>
    </row>
    <row r="2446" spans="1:20" x14ac:dyDescent="0.3">
      <c r="A2446">
        <v>2445</v>
      </c>
      <c r="B2446">
        <v>250</v>
      </c>
      <c r="C2446">
        <v>4</v>
      </c>
      <c r="D2446">
        <v>75.95</v>
      </c>
      <c r="E2446">
        <v>7.6</v>
      </c>
      <c r="F2446">
        <v>0</v>
      </c>
      <c r="G2446">
        <v>0.1</v>
      </c>
      <c r="H2446" t="s">
        <v>626</v>
      </c>
      <c r="I2446">
        <v>2</v>
      </c>
      <c r="J2446" t="s">
        <v>627</v>
      </c>
      <c r="K2446" s="1">
        <v>46237.406400462962</v>
      </c>
      <c r="L2446" s="1">
        <v>46237.364733796298</v>
      </c>
      <c r="M2446" s="2">
        <v>46237</v>
      </c>
      <c r="N2446" t="s">
        <v>641</v>
      </c>
      <c r="O2446" t="s">
        <v>625</v>
      </c>
      <c r="P2446">
        <v>1</v>
      </c>
      <c r="Q2446">
        <v>1</v>
      </c>
      <c r="R2446">
        <v>0</v>
      </c>
      <c r="S2446" t="s">
        <v>495</v>
      </c>
      <c r="T2446" t="s">
        <v>778</v>
      </c>
    </row>
    <row r="2447" spans="1:20" x14ac:dyDescent="0.3">
      <c r="A2447">
        <v>2446</v>
      </c>
      <c r="B2447">
        <v>250</v>
      </c>
      <c r="C2447">
        <v>5</v>
      </c>
      <c r="D2447">
        <v>100.89</v>
      </c>
      <c r="E2447">
        <v>10.09</v>
      </c>
      <c r="F2447">
        <v>0</v>
      </c>
      <c r="G2447">
        <v>0.1</v>
      </c>
      <c r="H2447" t="s">
        <v>622</v>
      </c>
      <c r="J2447" t="s">
        <v>623</v>
      </c>
      <c r="K2447" s="1"/>
      <c r="L2447" s="1">
        <v>46237.371701388889</v>
      </c>
      <c r="M2447" s="2">
        <v>46237</v>
      </c>
      <c r="N2447" t="s">
        <v>641</v>
      </c>
      <c r="O2447" t="s">
        <v>625</v>
      </c>
      <c r="P2447">
        <v>1</v>
      </c>
      <c r="Q2447">
        <v>0</v>
      </c>
      <c r="R2447">
        <v>100.89</v>
      </c>
      <c r="S2447" t="s">
        <v>495</v>
      </c>
      <c r="T2447" t="s">
        <v>779</v>
      </c>
    </row>
    <row r="2448" spans="1:20" x14ac:dyDescent="0.3">
      <c r="A2448">
        <v>2447</v>
      </c>
      <c r="B2448">
        <v>250</v>
      </c>
      <c r="C2448">
        <v>3</v>
      </c>
      <c r="D2448">
        <v>150.74</v>
      </c>
      <c r="E2448">
        <v>15.07</v>
      </c>
      <c r="F2448">
        <v>0</v>
      </c>
      <c r="G2448">
        <v>0.1</v>
      </c>
      <c r="H2448" t="s">
        <v>622</v>
      </c>
      <c r="J2448" t="s">
        <v>623</v>
      </c>
      <c r="K2448" s="1"/>
      <c r="L2448" s="1">
        <v>46237.448877314811</v>
      </c>
      <c r="M2448" s="2">
        <v>46237</v>
      </c>
      <c r="N2448" t="s">
        <v>641</v>
      </c>
      <c r="O2448" t="s">
        <v>625</v>
      </c>
      <c r="P2448">
        <v>1</v>
      </c>
      <c r="Q2448">
        <v>0</v>
      </c>
      <c r="R2448">
        <v>150.74</v>
      </c>
      <c r="S2448" t="s">
        <v>495</v>
      </c>
      <c r="T2448" t="s">
        <v>777</v>
      </c>
    </row>
    <row r="2449" spans="1:20" x14ac:dyDescent="0.3">
      <c r="A2449">
        <v>2448</v>
      </c>
      <c r="B2449">
        <v>136</v>
      </c>
      <c r="C2449">
        <v>3</v>
      </c>
      <c r="D2449">
        <v>130.97</v>
      </c>
      <c r="E2449">
        <v>13.1</v>
      </c>
      <c r="F2449">
        <v>0</v>
      </c>
      <c r="G2449">
        <v>0.1</v>
      </c>
      <c r="H2449" t="s">
        <v>622</v>
      </c>
      <c r="J2449" t="s">
        <v>623</v>
      </c>
      <c r="K2449" s="1"/>
      <c r="L2449" s="1">
        <v>46237.452430555553</v>
      </c>
      <c r="M2449" s="2">
        <v>46237</v>
      </c>
      <c r="N2449" t="s">
        <v>641</v>
      </c>
      <c r="O2449" t="s">
        <v>625</v>
      </c>
      <c r="P2449">
        <v>1</v>
      </c>
      <c r="Q2449">
        <v>0</v>
      </c>
      <c r="R2449">
        <v>130.97</v>
      </c>
      <c r="S2449" t="s">
        <v>267</v>
      </c>
      <c r="T2449" t="s">
        <v>777</v>
      </c>
    </row>
    <row r="2450" spans="1:20" x14ac:dyDescent="0.3">
      <c r="A2450">
        <v>2449</v>
      </c>
      <c r="B2450">
        <v>252</v>
      </c>
      <c r="C2450">
        <v>3</v>
      </c>
      <c r="D2450">
        <v>26.08</v>
      </c>
      <c r="E2450">
        <v>2.61</v>
      </c>
      <c r="F2450">
        <v>0</v>
      </c>
      <c r="G2450">
        <v>0.1</v>
      </c>
      <c r="H2450" t="s">
        <v>622</v>
      </c>
      <c r="J2450" t="s">
        <v>623</v>
      </c>
      <c r="K2450" s="1"/>
      <c r="L2450" s="1">
        <v>46237.656736111108</v>
      </c>
      <c r="M2450" s="2">
        <v>46237</v>
      </c>
      <c r="N2450" t="s">
        <v>641</v>
      </c>
      <c r="O2450" t="s">
        <v>625</v>
      </c>
      <c r="P2450">
        <v>1</v>
      </c>
      <c r="Q2450">
        <v>0</v>
      </c>
      <c r="R2450">
        <v>26.08</v>
      </c>
      <c r="S2450" t="s">
        <v>499</v>
      </c>
      <c r="T2450" t="s">
        <v>777</v>
      </c>
    </row>
    <row r="2451" spans="1:20" x14ac:dyDescent="0.3">
      <c r="A2451">
        <v>2450</v>
      </c>
      <c r="B2451">
        <v>32</v>
      </c>
      <c r="C2451">
        <v>2</v>
      </c>
      <c r="D2451">
        <v>44.46</v>
      </c>
      <c r="E2451">
        <v>4.45</v>
      </c>
      <c r="F2451">
        <v>0</v>
      </c>
      <c r="G2451">
        <v>0.1</v>
      </c>
      <c r="H2451" t="s">
        <v>622</v>
      </c>
      <c r="J2451" t="s">
        <v>623</v>
      </c>
      <c r="K2451" s="1"/>
      <c r="L2451" s="1">
        <v>46237.725266203706</v>
      </c>
      <c r="M2451" s="2">
        <v>46237</v>
      </c>
      <c r="N2451" t="s">
        <v>641</v>
      </c>
      <c r="O2451" t="s">
        <v>625</v>
      </c>
      <c r="P2451">
        <v>1</v>
      </c>
      <c r="Q2451">
        <v>0</v>
      </c>
      <c r="R2451">
        <v>44.46</v>
      </c>
      <c r="S2451" t="s">
        <v>60</v>
      </c>
      <c r="T2451" t="s">
        <v>776</v>
      </c>
    </row>
    <row r="2452" spans="1:20" x14ac:dyDescent="0.3">
      <c r="A2452">
        <v>2451</v>
      </c>
      <c r="B2452">
        <v>221</v>
      </c>
      <c r="C2452">
        <v>3</v>
      </c>
      <c r="D2452">
        <v>92.9</v>
      </c>
      <c r="E2452">
        <v>9.2899999999999991</v>
      </c>
      <c r="F2452">
        <v>0</v>
      </c>
      <c r="G2452">
        <v>0.1</v>
      </c>
      <c r="H2452" t="s">
        <v>622</v>
      </c>
      <c r="J2452" t="s">
        <v>623</v>
      </c>
      <c r="K2452" s="1"/>
      <c r="L2452" s="1">
        <v>46238.341319444444</v>
      </c>
      <c r="M2452" s="2">
        <v>46238</v>
      </c>
      <c r="N2452" t="s">
        <v>641</v>
      </c>
      <c r="O2452" t="s">
        <v>625</v>
      </c>
      <c r="P2452">
        <v>1</v>
      </c>
      <c r="Q2452">
        <v>0</v>
      </c>
      <c r="R2452">
        <v>92.9</v>
      </c>
      <c r="S2452" t="s">
        <v>437</v>
      </c>
      <c r="T2452" t="s">
        <v>777</v>
      </c>
    </row>
    <row r="2453" spans="1:20" x14ac:dyDescent="0.3">
      <c r="A2453">
        <v>2452</v>
      </c>
      <c r="B2453">
        <v>128</v>
      </c>
      <c r="C2453">
        <v>4</v>
      </c>
      <c r="D2453">
        <v>12.85</v>
      </c>
      <c r="E2453">
        <v>1.29</v>
      </c>
      <c r="F2453">
        <v>0</v>
      </c>
      <c r="G2453">
        <v>0.1</v>
      </c>
      <c r="H2453" t="s">
        <v>622</v>
      </c>
      <c r="J2453" t="s">
        <v>623</v>
      </c>
      <c r="K2453" s="1"/>
      <c r="L2453" s="1">
        <v>46238.407997685186</v>
      </c>
      <c r="M2453" s="2">
        <v>46238</v>
      </c>
      <c r="N2453" t="s">
        <v>641</v>
      </c>
      <c r="O2453" t="s">
        <v>625</v>
      </c>
      <c r="P2453">
        <v>1</v>
      </c>
      <c r="Q2453">
        <v>0</v>
      </c>
      <c r="R2453">
        <v>12.85</v>
      </c>
      <c r="S2453" t="s">
        <v>251</v>
      </c>
      <c r="T2453" t="s">
        <v>778</v>
      </c>
    </row>
    <row r="2454" spans="1:20" x14ac:dyDescent="0.3">
      <c r="A2454">
        <v>2453</v>
      </c>
      <c r="B2454">
        <v>250</v>
      </c>
      <c r="C2454">
        <v>3</v>
      </c>
      <c r="D2454">
        <v>105.45</v>
      </c>
      <c r="E2454">
        <v>10.55</v>
      </c>
      <c r="F2454">
        <v>0</v>
      </c>
      <c r="G2454">
        <v>0.1</v>
      </c>
      <c r="H2454" t="s">
        <v>622</v>
      </c>
      <c r="J2454" t="s">
        <v>623</v>
      </c>
      <c r="K2454" s="1"/>
      <c r="L2454" s="1">
        <v>46238.420370370368</v>
      </c>
      <c r="M2454" s="2">
        <v>46238</v>
      </c>
      <c r="N2454" t="s">
        <v>641</v>
      </c>
      <c r="O2454" t="s">
        <v>625</v>
      </c>
      <c r="P2454">
        <v>1</v>
      </c>
      <c r="Q2454">
        <v>0</v>
      </c>
      <c r="R2454">
        <v>105.45</v>
      </c>
      <c r="S2454" t="s">
        <v>495</v>
      </c>
      <c r="T2454" t="s">
        <v>777</v>
      </c>
    </row>
    <row r="2455" spans="1:20" x14ac:dyDescent="0.3">
      <c r="A2455">
        <v>2454</v>
      </c>
      <c r="B2455">
        <v>229</v>
      </c>
      <c r="C2455">
        <v>4</v>
      </c>
      <c r="D2455">
        <v>152.30000000000001</v>
      </c>
      <c r="E2455">
        <v>15.23</v>
      </c>
      <c r="F2455">
        <v>0</v>
      </c>
      <c r="G2455">
        <v>0.1</v>
      </c>
      <c r="H2455" t="s">
        <v>622</v>
      </c>
      <c r="J2455" t="s">
        <v>623</v>
      </c>
      <c r="K2455" s="1"/>
      <c r="L2455" s="1">
        <v>46238.442418981482</v>
      </c>
      <c r="M2455" s="2">
        <v>46238</v>
      </c>
      <c r="N2455" t="s">
        <v>641</v>
      </c>
      <c r="O2455" t="s">
        <v>625</v>
      </c>
      <c r="P2455">
        <v>1</v>
      </c>
      <c r="Q2455">
        <v>0</v>
      </c>
      <c r="R2455">
        <v>152.30000000000001</v>
      </c>
      <c r="S2455" t="s">
        <v>453</v>
      </c>
      <c r="T2455" t="s">
        <v>778</v>
      </c>
    </row>
    <row r="2456" spans="1:20" x14ac:dyDescent="0.3">
      <c r="A2456">
        <v>2455</v>
      </c>
      <c r="B2456">
        <v>134</v>
      </c>
      <c r="C2456">
        <v>5</v>
      </c>
      <c r="D2456">
        <v>83.59</v>
      </c>
      <c r="E2456">
        <v>8.36</v>
      </c>
      <c r="F2456">
        <v>0</v>
      </c>
      <c r="G2456">
        <v>0.1</v>
      </c>
      <c r="H2456" t="s">
        <v>622</v>
      </c>
      <c r="J2456" t="s">
        <v>623</v>
      </c>
      <c r="K2456" s="1"/>
      <c r="L2456" s="1">
        <v>46238.446064814816</v>
      </c>
      <c r="M2456" s="2">
        <v>46238</v>
      </c>
      <c r="N2456" t="s">
        <v>641</v>
      </c>
      <c r="O2456" t="s">
        <v>625</v>
      </c>
      <c r="P2456">
        <v>1</v>
      </c>
      <c r="Q2456">
        <v>0</v>
      </c>
      <c r="R2456">
        <v>83.59</v>
      </c>
      <c r="S2456" t="s">
        <v>263</v>
      </c>
      <c r="T2456" t="s">
        <v>779</v>
      </c>
    </row>
    <row r="2457" spans="1:20" x14ac:dyDescent="0.3">
      <c r="A2457">
        <v>2456</v>
      </c>
      <c r="B2457">
        <v>268</v>
      </c>
      <c r="C2457">
        <v>5</v>
      </c>
      <c r="D2457">
        <v>59.3</v>
      </c>
      <c r="E2457">
        <v>5.93</v>
      </c>
      <c r="F2457">
        <v>0</v>
      </c>
      <c r="G2457">
        <v>0.1</v>
      </c>
      <c r="H2457" t="s">
        <v>622</v>
      </c>
      <c r="J2457" t="s">
        <v>623</v>
      </c>
      <c r="K2457" s="1"/>
      <c r="L2457" s="1">
        <v>46238.505416666667</v>
      </c>
      <c r="M2457" s="2">
        <v>46238</v>
      </c>
      <c r="N2457" t="s">
        <v>641</v>
      </c>
      <c r="O2457" t="s">
        <v>625</v>
      </c>
      <c r="P2457">
        <v>1</v>
      </c>
      <c r="Q2457">
        <v>0</v>
      </c>
      <c r="R2457">
        <v>59.3</v>
      </c>
      <c r="S2457" t="s">
        <v>531</v>
      </c>
      <c r="T2457" t="s">
        <v>779</v>
      </c>
    </row>
    <row r="2458" spans="1:20" x14ac:dyDescent="0.3">
      <c r="A2458">
        <v>2457</v>
      </c>
      <c r="B2458">
        <v>133</v>
      </c>
      <c r="C2458">
        <v>5</v>
      </c>
      <c r="D2458">
        <v>72.52</v>
      </c>
      <c r="E2458">
        <v>7.25</v>
      </c>
      <c r="F2458">
        <v>0</v>
      </c>
      <c r="G2458">
        <v>0.1</v>
      </c>
      <c r="H2458" t="s">
        <v>622</v>
      </c>
      <c r="J2458" t="s">
        <v>623</v>
      </c>
      <c r="K2458" s="1"/>
      <c r="L2458" s="1">
        <v>46238.52784722222</v>
      </c>
      <c r="M2458" s="2">
        <v>46238</v>
      </c>
      <c r="N2458" t="s">
        <v>641</v>
      </c>
      <c r="O2458" t="s">
        <v>625</v>
      </c>
      <c r="P2458">
        <v>1</v>
      </c>
      <c r="Q2458">
        <v>0</v>
      </c>
      <c r="R2458">
        <v>72.52</v>
      </c>
      <c r="S2458" t="s">
        <v>261</v>
      </c>
      <c r="T2458" t="s">
        <v>779</v>
      </c>
    </row>
    <row r="2459" spans="1:20" x14ac:dyDescent="0.3">
      <c r="A2459">
        <v>2458</v>
      </c>
      <c r="B2459">
        <v>138</v>
      </c>
      <c r="C2459">
        <v>2</v>
      </c>
      <c r="D2459">
        <v>35.24</v>
      </c>
      <c r="E2459">
        <v>3.52</v>
      </c>
      <c r="F2459">
        <v>0</v>
      </c>
      <c r="G2459">
        <v>0.1</v>
      </c>
      <c r="H2459" t="s">
        <v>622</v>
      </c>
      <c r="J2459" t="s">
        <v>623</v>
      </c>
      <c r="K2459" s="1"/>
      <c r="L2459" s="1">
        <v>46238.618368055555</v>
      </c>
      <c r="M2459" s="2">
        <v>46238</v>
      </c>
      <c r="N2459" t="s">
        <v>641</v>
      </c>
      <c r="O2459" t="s">
        <v>625</v>
      </c>
      <c r="P2459">
        <v>1</v>
      </c>
      <c r="Q2459">
        <v>0</v>
      </c>
      <c r="R2459">
        <v>35.24</v>
      </c>
      <c r="S2459" t="s">
        <v>271</v>
      </c>
      <c r="T2459" t="s">
        <v>776</v>
      </c>
    </row>
    <row r="2460" spans="1:20" x14ac:dyDescent="0.3">
      <c r="A2460">
        <v>2459</v>
      </c>
      <c r="B2460">
        <v>136</v>
      </c>
      <c r="C2460">
        <v>4</v>
      </c>
      <c r="D2460">
        <v>109.77</v>
      </c>
      <c r="E2460">
        <v>10.98</v>
      </c>
      <c r="F2460">
        <v>0</v>
      </c>
      <c r="G2460">
        <v>0.1</v>
      </c>
      <c r="H2460" t="s">
        <v>622</v>
      </c>
      <c r="J2460" t="s">
        <v>623</v>
      </c>
      <c r="K2460" s="1"/>
      <c r="L2460" s="1">
        <v>46238.688692129632</v>
      </c>
      <c r="M2460" s="2">
        <v>46238</v>
      </c>
      <c r="N2460" t="s">
        <v>641</v>
      </c>
      <c r="O2460" t="s">
        <v>625</v>
      </c>
      <c r="P2460">
        <v>1</v>
      </c>
      <c r="Q2460">
        <v>0</v>
      </c>
      <c r="R2460">
        <v>109.77</v>
      </c>
      <c r="S2460" t="s">
        <v>267</v>
      </c>
      <c r="T2460" t="s">
        <v>778</v>
      </c>
    </row>
    <row r="2461" spans="1:20" x14ac:dyDescent="0.3">
      <c r="A2461">
        <v>2460</v>
      </c>
      <c r="B2461">
        <v>128</v>
      </c>
      <c r="C2461">
        <v>2</v>
      </c>
      <c r="D2461">
        <v>57.94</v>
      </c>
      <c r="E2461">
        <v>5.79</v>
      </c>
      <c r="F2461">
        <v>0</v>
      </c>
      <c r="G2461">
        <v>0.1</v>
      </c>
      <c r="H2461" t="s">
        <v>622</v>
      </c>
      <c r="J2461" t="s">
        <v>623</v>
      </c>
      <c r="K2461" s="1"/>
      <c r="L2461" s="1">
        <v>46238.689513888887</v>
      </c>
      <c r="M2461" s="2">
        <v>46238</v>
      </c>
      <c r="N2461" t="s">
        <v>641</v>
      </c>
      <c r="O2461" t="s">
        <v>625</v>
      </c>
      <c r="P2461">
        <v>1</v>
      </c>
      <c r="Q2461">
        <v>0</v>
      </c>
      <c r="R2461">
        <v>57.94</v>
      </c>
      <c r="S2461" t="s">
        <v>251</v>
      </c>
      <c r="T2461" t="s">
        <v>776</v>
      </c>
    </row>
    <row r="2462" spans="1:20" x14ac:dyDescent="0.3">
      <c r="A2462">
        <v>2461</v>
      </c>
      <c r="B2462">
        <v>136</v>
      </c>
      <c r="C2462">
        <v>5</v>
      </c>
      <c r="D2462">
        <v>51.01</v>
      </c>
      <c r="E2462">
        <v>5.0999999999999996</v>
      </c>
      <c r="F2462">
        <v>0</v>
      </c>
      <c r="G2462">
        <v>0.1</v>
      </c>
      <c r="H2462" t="s">
        <v>622</v>
      </c>
      <c r="J2462" t="s">
        <v>623</v>
      </c>
      <c r="K2462" s="1"/>
      <c r="L2462" s="1">
        <v>46238.691921296297</v>
      </c>
      <c r="M2462" s="2">
        <v>46238</v>
      </c>
      <c r="N2462" t="s">
        <v>641</v>
      </c>
      <c r="O2462" t="s">
        <v>625</v>
      </c>
      <c r="P2462">
        <v>1</v>
      </c>
      <c r="Q2462">
        <v>0</v>
      </c>
      <c r="R2462">
        <v>51.01</v>
      </c>
      <c r="S2462" t="s">
        <v>267</v>
      </c>
      <c r="T2462" t="s">
        <v>779</v>
      </c>
    </row>
    <row r="2463" spans="1:20" x14ac:dyDescent="0.3">
      <c r="A2463">
        <v>2462</v>
      </c>
      <c r="B2463">
        <v>141</v>
      </c>
      <c r="C2463">
        <v>2</v>
      </c>
      <c r="D2463">
        <v>51.79</v>
      </c>
      <c r="E2463">
        <v>5.18</v>
      </c>
      <c r="F2463">
        <v>0</v>
      </c>
      <c r="G2463">
        <v>0.1</v>
      </c>
      <c r="H2463" t="s">
        <v>622</v>
      </c>
      <c r="J2463" t="s">
        <v>623</v>
      </c>
      <c r="K2463" s="1"/>
      <c r="L2463" s="1">
        <v>46238.721284722225</v>
      </c>
      <c r="M2463" s="2">
        <v>46238</v>
      </c>
      <c r="N2463" t="s">
        <v>641</v>
      </c>
      <c r="O2463" t="s">
        <v>625</v>
      </c>
      <c r="P2463">
        <v>1</v>
      </c>
      <c r="Q2463">
        <v>0</v>
      </c>
      <c r="R2463">
        <v>51.79</v>
      </c>
      <c r="S2463" t="s">
        <v>277</v>
      </c>
      <c r="T2463" t="s">
        <v>776</v>
      </c>
    </row>
    <row r="2464" spans="1:20" x14ac:dyDescent="0.3">
      <c r="A2464">
        <v>2463</v>
      </c>
      <c r="B2464">
        <v>134</v>
      </c>
      <c r="C2464">
        <v>2</v>
      </c>
      <c r="D2464">
        <v>58.47</v>
      </c>
      <c r="E2464">
        <v>5.85</v>
      </c>
      <c r="F2464">
        <v>0</v>
      </c>
      <c r="G2464">
        <v>0.1</v>
      </c>
      <c r="H2464" t="s">
        <v>622</v>
      </c>
      <c r="J2464" t="s">
        <v>623</v>
      </c>
      <c r="K2464" s="1"/>
      <c r="L2464" s="1">
        <v>46238.770208333335</v>
      </c>
      <c r="M2464" s="2">
        <v>46238</v>
      </c>
      <c r="N2464" t="s">
        <v>641</v>
      </c>
      <c r="O2464" t="s">
        <v>625</v>
      </c>
      <c r="P2464">
        <v>1</v>
      </c>
      <c r="Q2464">
        <v>0</v>
      </c>
      <c r="R2464">
        <v>58.47</v>
      </c>
      <c r="S2464" t="s">
        <v>263</v>
      </c>
      <c r="T2464" t="s">
        <v>776</v>
      </c>
    </row>
    <row r="2465" spans="1:20" x14ac:dyDescent="0.3">
      <c r="A2465">
        <v>2464</v>
      </c>
      <c r="B2465">
        <v>197</v>
      </c>
      <c r="C2465">
        <v>3</v>
      </c>
      <c r="D2465">
        <v>58.44</v>
      </c>
      <c r="E2465">
        <v>5.84</v>
      </c>
      <c r="F2465">
        <v>0</v>
      </c>
      <c r="G2465">
        <v>0.1</v>
      </c>
      <c r="H2465" t="s">
        <v>622</v>
      </c>
      <c r="J2465" t="s">
        <v>623</v>
      </c>
      <c r="K2465" s="1"/>
      <c r="L2465" s="1">
        <v>46239.295011574075</v>
      </c>
      <c r="M2465" s="2">
        <v>46239</v>
      </c>
      <c r="N2465" t="s">
        <v>641</v>
      </c>
      <c r="O2465" t="s">
        <v>625</v>
      </c>
      <c r="P2465">
        <v>1</v>
      </c>
      <c r="Q2465">
        <v>0</v>
      </c>
      <c r="R2465">
        <v>58.44</v>
      </c>
      <c r="S2465" t="s">
        <v>389</v>
      </c>
      <c r="T2465" t="s">
        <v>777</v>
      </c>
    </row>
    <row r="2466" spans="1:20" x14ac:dyDescent="0.3">
      <c r="A2466">
        <v>2465</v>
      </c>
      <c r="B2466">
        <v>40</v>
      </c>
      <c r="C2466">
        <v>4</v>
      </c>
      <c r="D2466">
        <v>94.12</v>
      </c>
      <c r="E2466">
        <v>9.41</v>
      </c>
      <c r="F2466">
        <v>0</v>
      </c>
      <c r="G2466">
        <v>0.1</v>
      </c>
      <c r="H2466" t="s">
        <v>622</v>
      </c>
      <c r="J2466" t="s">
        <v>623</v>
      </c>
      <c r="K2466" s="1"/>
      <c r="L2466" s="1">
        <v>46239.405844907407</v>
      </c>
      <c r="M2466" s="2">
        <v>46239</v>
      </c>
      <c r="N2466" t="s">
        <v>641</v>
      </c>
      <c r="O2466" t="s">
        <v>625</v>
      </c>
      <c r="P2466">
        <v>1</v>
      </c>
      <c r="Q2466">
        <v>0</v>
      </c>
      <c r="R2466">
        <v>94.12</v>
      </c>
      <c r="S2466" t="s">
        <v>76</v>
      </c>
      <c r="T2466" t="s">
        <v>778</v>
      </c>
    </row>
    <row r="2467" spans="1:20" x14ac:dyDescent="0.3">
      <c r="A2467">
        <v>2466</v>
      </c>
      <c r="B2467">
        <v>192</v>
      </c>
      <c r="C2467">
        <v>3</v>
      </c>
      <c r="D2467">
        <v>25.25</v>
      </c>
      <c r="E2467">
        <v>0</v>
      </c>
      <c r="F2467">
        <v>1</v>
      </c>
      <c r="G2467">
        <v>0.1</v>
      </c>
      <c r="H2467" t="s">
        <v>622</v>
      </c>
      <c r="J2467" t="s">
        <v>623</v>
      </c>
      <c r="K2467" s="1"/>
      <c r="L2467" s="1">
        <v>46239.448078703703</v>
      </c>
      <c r="M2467" s="2">
        <v>46239</v>
      </c>
      <c r="N2467" t="s">
        <v>641</v>
      </c>
      <c r="O2467" t="s">
        <v>629</v>
      </c>
      <c r="P2467">
        <v>1</v>
      </c>
      <c r="Q2467">
        <v>0</v>
      </c>
      <c r="R2467">
        <v>25.25</v>
      </c>
      <c r="S2467" t="s">
        <v>379</v>
      </c>
      <c r="T2467" t="s">
        <v>777</v>
      </c>
    </row>
    <row r="2468" spans="1:20" x14ac:dyDescent="0.3">
      <c r="A2468">
        <v>2467</v>
      </c>
      <c r="B2468">
        <v>193</v>
      </c>
      <c r="C2468">
        <v>3</v>
      </c>
      <c r="D2468">
        <v>108.38</v>
      </c>
      <c r="E2468">
        <v>10.84</v>
      </c>
      <c r="F2468">
        <v>0</v>
      </c>
      <c r="G2468">
        <v>0.1</v>
      </c>
      <c r="H2468" t="s">
        <v>622</v>
      </c>
      <c r="J2468" t="s">
        <v>623</v>
      </c>
      <c r="K2468" s="1"/>
      <c r="L2468" s="1">
        <v>46239.542349537034</v>
      </c>
      <c r="M2468" s="2">
        <v>46239</v>
      </c>
      <c r="N2468" t="s">
        <v>641</v>
      </c>
      <c r="O2468" t="s">
        <v>625</v>
      </c>
      <c r="P2468">
        <v>1</v>
      </c>
      <c r="Q2468">
        <v>0</v>
      </c>
      <c r="R2468">
        <v>108.38</v>
      </c>
      <c r="S2468" t="s">
        <v>381</v>
      </c>
      <c r="T2468" t="s">
        <v>777</v>
      </c>
    </row>
    <row r="2469" spans="1:20" x14ac:dyDescent="0.3">
      <c r="A2469">
        <v>2468</v>
      </c>
      <c r="B2469">
        <v>82</v>
      </c>
      <c r="C2469">
        <v>4</v>
      </c>
      <c r="D2469">
        <v>56.43</v>
      </c>
      <c r="E2469">
        <v>5.64</v>
      </c>
      <c r="F2469">
        <v>0</v>
      </c>
      <c r="G2469">
        <v>0.1</v>
      </c>
      <c r="H2469" t="s">
        <v>622</v>
      </c>
      <c r="J2469" t="s">
        <v>623</v>
      </c>
      <c r="K2469" s="1"/>
      <c r="L2469" s="1">
        <v>46239.619270833333</v>
      </c>
      <c r="M2469" s="2">
        <v>46239</v>
      </c>
      <c r="N2469" t="s">
        <v>641</v>
      </c>
      <c r="O2469" t="s">
        <v>625</v>
      </c>
      <c r="P2469">
        <v>1</v>
      </c>
      <c r="Q2469">
        <v>0</v>
      </c>
      <c r="R2469">
        <v>56.43</v>
      </c>
      <c r="S2469" t="s">
        <v>159</v>
      </c>
      <c r="T2469" t="s">
        <v>778</v>
      </c>
    </row>
    <row r="2470" spans="1:20" x14ac:dyDescent="0.3">
      <c r="A2470">
        <v>2469</v>
      </c>
      <c r="B2470">
        <v>18</v>
      </c>
      <c r="C2470">
        <v>3</v>
      </c>
      <c r="D2470">
        <v>137.69999999999999</v>
      </c>
      <c r="E2470">
        <v>13.77</v>
      </c>
      <c r="F2470">
        <v>0</v>
      </c>
      <c r="G2470">
        <v>0.1</v>
      </c>
      <c r="H2470" t="s">
        <v>622</v>
      </c>
      <c r="J2470" t="s">
        <v>623</v>
      </c>
      <c r="K2470" s="1"/>
      <c r="L2470" s="1">
        <v>46239.633958333332</v>
      </c>
      <c r="M2470" s="2">
        <v>46239</v>
      </c>
      <c r="N2470" t="s">
        <v>641</v>
      </c>
      <c r="O2470" t="s">
        <v>625</v>
      </c>
      <c r="P2470">
        <v>1</v>
      </c>
      <c r="Q2470">
        <v>0</v>
      </c>
      <c r="R2470">
        <v>137.69999999999999</v>
      </c>
      <c r="S2470" t="s">
        <v>32</v>
      </c>
      <c r="T2470" t="s">
        <v>777</v>
      </c>
    </row>
    <row r="2471" spans="1:20" x14ac:dyDescent="0.3">
      <c r="A2471">
        <v>2470</v>
      </c>
      <c r="B2471">
        <v>201</v>
      </c>
      <c r="C2471">
        <v>5</v>
      </c>
      <c r="D2471">
        <v>30.37</v>
      </c>
      <c r="E2471">
        <v>3.04</v>
      </c>
      <c r="F2471">
        <v>0</v>
      </c>
      <c r="G2471">
        <v>0.1</v>
      </c>
      <c r="H2471" t="s">
        <v>622</v>
      </c>
      <c r="J2471" t="s">
        <v>623</v>
      </c>
      <c r="K2471" s="1"/>
      <c r="L2471" s="1">
        <v>46239.636944444443</v>
      </c>
      <c r="M2471" s="2">
        <v>46239</v>
      </c>
      <c r="N2471" t="s">
        <v>641</v>
      </c>
      <c r="O2471" t="s">
        <v>625</v>
      </c>
      <c r="P2471">
        <v>1</v>
      </c>
      <c r="Q2471">
        <v>0</v>
      </c>
      <c r="R2471">
        <v>30.37</v>
      </c>
      <c r="S2471" t="s">
        <v>397</v>
      </c>
      <c r="T2471" t="s">
        <v>779</v>
      </c>
    </row>
    <row r="2472" spans="1:20" x14ac:dyDescent="0.3">
      <c r="A2472">
        <v>2471</v>
      </c>
      <c r="B2472">
        <v>128</v>
      </c>
      <c r="C2472">
        <v>5</v>
      </c>
      <c r="D2472">
        <v>30.98</v>
      </c>
      <c r="E2472">
        <v>0</v>
      </c>
      <c r="F2472">
        <v>1</v>
      </c>
      <c r="G2472">
        <v>0.1</v>
      </c>
      <c r="H2472" t="s">
        <v>622</v>
      </c>
      <c r="J2472" t="s">
        <v>623</v>
      </c>
      <c r="K2472" s="1"/>
      <c r="L2472" s="1">
        <v>46239.650879629633</v>
      </c>
      <c r="M2472" s="2">
        <v>46239</v>
      </c>
      <c r="N2472" t="s">
        <v>641</v>
      </c>
      <c r="O2472" t="s">
        <v>629</v>
      </c>
      <c r="P2472">
        <v>1</v>
      </c>
      <c r="Q2472">
        <v>0</v>
      </c>
      <c r="R2472">
        <v>30.98</v>
      </c>
      <c r="S2472" t="s">
        <v>251</v>
      </c>
      <c r="T2472" t="s">
        <v>779</v>
      </c>
    </row>
    <row r="2473" spans="1:20" x14ac:dyDescent="0.3">
      <c r="A2473">
        <v>2472</v>
      </c>
      <c r="B2473">
        <v>137</v>
      </c>
      <c r="C2473">
        <v>2</v>
      </c>
      <c r="D2473">
        <v>29.48</v>
      </c>
      <c r="E2473">
        <v>2.95</v>
      </c>
      <c r="F2473">
        <v>0</v>
      </c>
      <c r="G2473">
        <v>0.1</v>
      </c>
      <c r="H2473" t="s">
        <v>622</v>
      </c>
      <c r="J2473" t="s">
        <v>623</v>
      </c>
      <c r="K2473" s="1"/>
      <c r="L2473" s="1">
        <v>46239.756956018522</v>
      </c>
      <c r="M2473" s="2">
        <v>46239</v>
      </c>
      <c r="N2473" t="s">
        <v>641</v>
      </c>
      <c r="O2473" t="s">
        <v>625</v>
      </c>
      <c r="P2473">
        <v>1</v>
      </c>
      <c r="Q2473">
        <v>0</v>
      </c>
      <c r="R2473">
        <v>29.48</v>
      </c>
      <c r="S2473" t="s">
        <v>269</v>
      </c>
      <c r="T2473" t="s">
        <v>776</v>
      </c>
    </row>
    <row r="2474" spans="1:20" x14ac:dyDescent="0.3">
      <c r="A2474">
        <v>2473</v>
      </c>
      <c r="B2474">
        <v>134</v>
      </c>
      <c r="C2474">
        <v>2</v>
      </c>
      <c r="D2474">
        <v>71.62</v>
      </c>
      <c r="E2474">
        <v>7.16</v>
      </c>
      <c r="F2474">
        <v>0</v>
      </c>
      <c r="G2474">
        <v>0.1</v>
      </c>
      <c r="H2474" t="s">
        <v>622</v>
      </c>
      <c r="J2474" t="s">
        <v>623</v>
      </c>
      <c r="K2474" s="1"/>
      <c r="L2474" s="1">
        <v>46239.814363425925</v>
      </c>
      <c r="M2474" s="2">
        <v>46239</v>
      </c>
      <c r="N2474" t="s">
        <v>641</v>
      </c>
      <c r="O2474" t="s">
        <v>625</v>
      </c>
      <c r="P2474">
        <v>1</v>
      </c>
      <c r="Q2474">
        <v>0</v>
      </c>
      <c r="R2474">
        <v>71.62</v>
      </c>
      <c r="S2474" t="s">
        <v>263</v>
      </c>
      <c r="T2474" t="s">
        <v>776</v>
      </c>
    </row>
    <row r="2475" spans="1:20" x14ac:dyDescent="0.3">
      <c r="A2475">
        <v>2474</v>
      </c>
      <c r="B2475">
        <v>131</v>
      </c>
      <c r="C2475">
        <v>2</v>
      </c>
      <c r="D2475">
        <v>238.61</v>
      </c>
      <c r="E2475">
        <v>23.86</v>
      </c>
      <c r="F2475">
        <v>0</v>
      </c>
      <c r="G2475">
        <v>0.1</v>
      </c>
      <c r="H2475" t="s">
        <v>622</v>
      </c>
      <c r="J2475" t="s">
        <v>623</v>
      </c>
      <c r="K2475" s="1"/>
      <c r="L2475" s="1">
        <v>46240.486585648148</v>
      </c>
      <c r="M2475" s="2">
        <v>46240</v>
      </c>
      <c r="N2475" t="s">
        <v>641</v>
      </c>
      <c r="O2475" t="s">
        <v>625</v>
      </c>
      <c r="P2475">
        <v>1</v>
      </c>
      <c r="Q2475">
        <v>0</v>
      </c>
      <c r="R2475">
        <v>238.61</v>
      </c>
      <c r="S2475" t="s">
        <v>257</v>
      </c>
      <c r="T2475" t="s">
        <v>776</v>
      </c>
    </row>
    <row r="2476" spans="1:20" x14ac:dyDescent="0.3">
      <c r="A2476">
        <v>2475</v>
      </c>
      <c r="B2476">
        <v>136</v>
      </c>
      <c r="C2476">
        <v>4</v>
      </c>
      <c r="D2476">
        <v>148.62</v>
      </c>
      <c r="E2476">
        <v>14.86</v>
      </c>
      <c r="F2476">
        <v>0</v>
      </c>
      <c r="G2476">
        <v>0.1</v>
      </c>
      <c r="H2476" t="s">
        <v>622</v>
      </c>
      <c r="J2476" t="s">
        <v>623</v>
      </c>
      <c r="K2476" s="1"/>
      <c r="L2476" s="1">
        <v>46240.654756944445</v>
      </c>
      <c r="M2476" s="2">
        <v>46240</v>
      </c>
      <c r="N2476" t="s">
        <v>641</v>
      </c>
      <c r="O2476" t="s">
        <v>625</v>
      </c>
      <c r="P2476">
        <v>1</v>
      </c>
      <c r="Q2476">
        <v>0</v>
      </c>
      <c r="R2476">
        <v>148.62</v>
      </c>
      <c r="S2476" t="s">
        <v>267</v>
      </c>
      <c r="T2476" t="s">
        <v>778</v>
      </c>
    </row>
    <row r="2477" spans="1:20" x14ac:dyDescent="0.3">
      <c r="A2477">
        <v>2476</v>
      </c>
      <c r="B2477">
        <v>39</v>
      </c>
      <c r="C2477">
        <v>4</v>
      </c>
      <c r="D2477">
        <v>178.86</v>
      </c>
      <c r="E2477">
        <v>17.89</v>
      </c>
      <c r="F2477">
        <v>0</v>
      </c>
      <c r="G2477">
        <v>0.1</v>
      </c>
      <c r="H2477" t="s">
        <v>622</v>
      </c>
      <c r="J2477" t="s">
        <v>623</v>
      </c>
      <c r="K2477" s="1"/>
      <c r="L2477" s="1">
        <v>46240.689942129633</v>
      </c>
      <c r="M2477" s="2">
        <v>46240</v>
      </c>
      <c r="N2477" t="s">
        <v>641</v>
      </c>
      <c r="O2477" t="s">
        <v>625</v>
      </c>
      <c r="P2477">
        <v>1</v>
      </c>
      <c r="Q2477">
        <v>0</v>
      </c>
      <c r="R2477">
        <v>178.86</v>
      </c>
      <c r="S2477" t="s">
        <v>74</v>
      </c>
      <c r="T2477" t="s">
        <v>778</v>
      </c>
    </row>
    <row r="2478" spans="1:20" x14ac:dyDescent="0.3">
      <c r="A2478">
        <v>2477</v>
      </c>
      <c r="B2478">
        <v>305</v>
      </c>
      <c r="C2478">
        <v>5</v>
      </c>
      <c r="D2478">
        <v>29.22</v>
      </c>
      <c r="E2478">
        <v>2.92</v>
      </c>
      <c r="F2478">
        <v>0</v>
      </c>
      <c r="G2478">
        <v>0.1</v>
      </c>
      <c r="H2478" t="s">
        <v>622</v>
      </c>
      <c r="J2478" t="s">
        <v>623</v>
      </c>
      <c r="K2478" s="1"/>
      <c r="L2478" s="1">
        <v>46241.35533564815</v>
      </c>
      <c r="M2478" s="2">
        <v>46241</v>
      </c>
      <c r="N2478" t="s">
        <v>641</v>
      </c>
      <c r="O2478" t="s">
        <v>625</v>
      </c>
      <c r="P2478">
        <v>1</v>
      </c>
      <c r="Q2478">
        <v>0</v>
      </c>
      <c r="R2478">
        <v>29.22</v>
      </c>
      <c r="S2478" t="s">
        <v>605</v>
      </c>
      <c r="T2478" t="s">
        <v>779</v>
      </c>
    </row>
    <row r="2479" spans="1:20" x14ac:dyDescent="0.3">
      <c r="A2479">
        <v>2478</v>
      </c>
      <c r="B2479">
        <v>247</v>
      </c>
      <c r="C2479">
        <v>3</v>
      </c>
      <c r="D2479">
        <v>26.72</v>
      </c>
      <c r="E2479">
        <v>2.67</v>
      </c>
      <c r="F2479">
        <v>0</v>
      </c>
      <c r="G2479">
        <v>0.1</v>
      </c>
      <c r="H2479" t="s">
        <v>622</v>
      </c>
      <c r="J2479" t="s">
        <v>623</v>
      </c>
      <c r="K2479" s="1"/>
      <c r="L2479" s="1">
        <v>46241.360532407409</v>
      </c>
      <c r="M2479" s="2">
        <v>46241</v>
      </c>
      <c r="N2479" t="s">
        <v>641</v>
      </c>
      <c r="O2479" t="s">
        <v>625</v>
      </c>
      <c r="P2479">
        <v>1</v>
      </c>
      <c r="Q2479">
        <v>0</v>
      </c>
      <c r="R2479">
        <v>26.72</v>
      </c>
      <c r="S2479" t="s">
        <v>489</v>
      </c>
      <c r="T2479" t="s">
        <v>777</v>
      </c>
    </row>
    <row r="2480" spans="1:20" x14ac:dyDescent="0.3">
      <c r="A2480">
        <v>2479</v>
      </c>
      <c r="B2480">
        <v>122</v>
      </c>
      <c r="C2480">
        <v>2</v>
      </c>
      <c r="D2480">
        <v>186.66</v>
      </c>
      <c r="E2480">
        <v>18.670000000000002</v>
      </c>
      <c r="F2480">
        <v>0</v>
      </c>
      <c r="G2480">
        <v>0.1</v>
      </c>
      <c r="H2480" t="s">
        <v>622</v>
      </c>
      <c r="J2480" t="s">
        <v>623</v>
      </c>
      <c r="K2480" s="1"/>
      <c r="L2480" s="1">
        <v>46241.383437500001</v>
      </c>
      <c r="M2480" s="2">
        <v>46241</v>
      </c>
      <c r="N2480" t="s">
        <v>641</v>
      </c>
      <c r="O2480" t="s">
        <v>625</v>
      </c>
      <c r="P2480">
        <v>1</v>
      </c>
      <c r="Q2480">
        <v>0</v>
      </c>
      <c r="R2480">
        <v>186.66</v>
      </c>
      <c r="S2480" t="s">
        <v>239</v>
      </c>
      <c r="T2480" t="s">
        <v>776</v>
      </c>
    </row>
    <row r="2481" spans="1:20" x14ac:dyDescent="0.3">
      <c r="A2481">
        <v>2480</v>
      </c>
      <c r="B2481">
        <v>128</v>
      </c>
      <c r="C2481">
        <v>2</v>
      </c>
      <c r="D2481">
        <v>36.85</v>
      </c>
      <c r="E2481">
        <v>3.69</v>
      </c>
      <c r="F2481">
        <v>0</v>
      </c>
      <c r="G2481">
        <v>0.1</v>
      </c>
      <c r="H2481" t="s">
        <v>626</v>
      </c>
      <c r="I2481">
        <v>5</v>
      </c>
      <c r="J2481" t="s">
        <v>628</v>
      </c>
      <c r="K2481" s="1">
        <v>46242.926516203705</v>
      </c>
      <c r="L2481" s="1">
        <v>46241.468182870369</v>
      </c>
      <c r="M2481" s="2">
        <v>46241</v>
      </c>
      <c r="N2481" t="s">
        <v>641</v>
      </c>
      <c r="O2481" t="s">
        <v>625</v>
      </c>
      <c r="P2481">
        <v>1</v>
      </c>
      <c r="Q2481">
        <v>1</v>
      </c>
      <c r="R2481">
        <v>0</v>
      </c>
      <c r="S2481" t="s">
        <v>251</v>
      </c>
      <c r="T2481" t="s">
        <v>776</v>
      </c>
    </row>
    <row r="2482" spans="1:20" x14ac:dyDescent="0.3">
      <c r="A2482">
        <v>2481</v>
      </c>
      <c r="B2482">
        <v>16</v>
      </c>
      <c r="C2482">
        <v>3</v>
      </c>
      <c r="D2482">
        <v>186.92</v>
      </c>
      <c r="E2482">
        <v>18.690000000000001</v>
      </c>
      <c r="F2482">
        <v>0</v>
      </c>
      <c r="G2482">
        <v>0.1</v>
      </c>
      <c r="H2482" t="s">
        <v>622</v>
      </c>
      <c r="J2482" t="s">
        <v>623</v>
      </c>
      <c r="K2482" s="1"/>
      <c r="L2482" s="1">
        <v>46241.521481481483</v>
      </c>
      <c r="M2482" s="2">
        <v>46241</v>
      </c>
      <c r="N2482" t="s">
        <v>641</v>
      </c>
      <c r="O2482" t="s">
        <v>625</v>
      </c>
      <c r="P2482">
        <v>1</v>
      </c>
      <c r="Q2482">
        <v>0</v>
      </c>
      <c r="R2482">
        <v>186.92</v>
      </c>
      <c r="S2482" t="s">
        <v>28</v>
      </c>
      <c r="T2482" t="s">
        <v>777</v>
      </c>
    </row>
    <row r="2483" spans="1:20" x14ac:dyDescent="0.3">
      <c r="A2483">
        <v>2482</v>
      </c>
      <c r="B2483">
        <v>297</v>
      </c>
      <c r="C2483">
        <v>5</v>
      </c>
      <c r="D2483">
        <v>58.38</v>
      </c>
      <c r="E2483">
        <v>5.84</v>
      </c>
      <c r="F2483">
        <v>0</v>
      </c>
      <c r="G2483">
        <v>0.1</v>
      </c>
      <c r="H2483" t="s">
        <v>622</v>
      </c>
      <c r="J2483" t="s">
        <v>623</v>
      </c>
      <c r="K2483" s="1"/>
      <c r="L2483" s="1">
        <v>46241.543738425928</v>
      </c>
      <c r="M2483" s="2">
        <v>46241</v>
      </c>
      <c r="N2483" t="s">
        <v>641</v>
      </c>
      <c r="O2483" t="s">
        <v>625</v>
      </c>
      <c r="P2483">
        <v>1</v>
      </c>
      <c r="Q2483">
        <v>0</v>
      </c>
      <c r="R2483">
        <v>58.38</v>
      </c>
      <c r="S2483" t="s">
        <v>589</v>
      </c>
      <c r="T2483" t="s">
        <v>779</v>
      </c>
    </row>
    <row r="2484" spans="1:20" x14ac:dyDescent="0.3">
      <c r="A2484">
        <v>2483</v>
      </c>
      <c r="B2484">
        <v>128</v>
      </c>
      <c r="C2484">
        <v>3</v>
      </c>
      <c r="D2484">
        <v>46.15</v>
      </c>
      <c r="E2484">
        <v>0</v>
      </c>
      <c r="F2484">
        <v>1</v>
      </c>
      <c r="G2484">
        <v>0.1</v>
      </c>
      <c r="H2484" t="s">
        <v>622</v>
      </c>
      <c r="J2484" t="s">
        <v>623</v>
      </c>
      <c r="K2484" s="1"/>
      <c r="L2484" s="1">
        <v>46241.548657407409</v>
      </c>
      <c r="M2484" s="2">
        <v>46241</v>
      </c>
      <c r="N2484" t="s">
        <v>641</v>
      </c>
      <c r="O2484" t="s">
        <v>629</v>
      </c>
      <c r="P2484">
        <v>1</v>
      </c>
      <c r="Q2484">
        <v>0</v>
      </c>
      <c r="R2484">
        <v>46.15</v>
      </c>
      <c r="S2484" t="s">
        <v>251</v>
      </c>
      <c r="T2484" t="s">
        <v>777</v>
      </c>
    </row>
    <row r="2485" spans="1:20" x14ac:dyDescent="0.3">
      <c r="A2485">
        <v>2484</v>
      </c>
      <c r="B2485">
        <v>128</v>
      </c>
      <c r="C2485">
        <v>2</v>
      </c>
      <c r="D2485">
        <v>25.36</v>
      </c>
      <c r="E2485">
        <v>2.54</v>
      </c>
      <c r="F2485">
        <v>0</v>
      </c>
      <c r="G2485">
        <v>0.1</v>
      </c>
      <c r="H2485" t="s">
        <v>622</v>
      </c>
      <c r="J2485" t="s">
        <v>623</v>
      </c>
      <c r="K2485" s="1"/>
      <c r="L2485" s="1">
        <v>46241.644189814811</v>
      </c>
      <c r="M2485" s="2">
        <v>46241</v>
      </c>
      <c r="N2485" t="s">
        <v>641</v>
      </c>
      <c r="O2485" t="s">
        <v>625</v>
      </c>
      <c r="P2485">
        <v>1</v>
      </c>
      <c r="Q2485">
        <v>0</v>
      </c>
      <c r="R2485">
        <v>25.36</v>
      </c>
      <c r="S2485" t="s">
        <v>251</v>
      </c>
      <c r="T2485" t="s">
        <v>776</v>
      </c>
    </row>
    <row r="2486" spans="1:20" x14ac:dyDescent="0.3">
      <c r="A2486">
        <v>2485</v>
      </c>
      <c r="B2486">
        <v>128</v>
      </c>
      <c r="C2486">
        <v>5</v>
      </c>
      <c r="D2486">
        <v>24.47</v>
      </c>
      <c r="E2486">
        <v>2.4500000000000002</v>
      </c>
      <c r="F2486">
        <v>0</v>
      </c>
      <c r="G2486">
        <v>0.1</v>
      </c>
      <c r="H2486" t="s">
        <v>622</v>
      </c>
      <c r="J2486" t="s">
        <v>623</v>
      </c>
      <c r="K2486" s="1"/>
      <c r="L2486" s="1">
        <v>46242.314791666664</v>
      </c>
      <c r="M2486" s="2">
        <v>46242</v>
      </c>
      <c r="N2486" t="s">
        <v>641</v>
      </c>
      <c r="O2486" t="s">
        <v>625</v>
      </c>
      <c r="P2486">
        <v>1</v>
      </c>
      <c r="Q2486">
        <v>0</v>
      </c>
      <c r="R2486">
        <v>24.47</v>
      </c>
      <c r="S2486" t="s">
        <v>251</v>
      </c>
      <c r="T2486" t="s">
        <v>779</v>
      </c>
    </row>
    <row r="2487" spans="1:20" x14ac:dyDescent="0.3">
      <c r="A2487">
        <v>2486</v>
      </c>
      <c r="B2487">
        <v>128</v>
      </c>
      <c r="C2487">
        <v>5</v>
      </c>
      <c r="D2487">
        <v>72.19</v>
      </c>
      <c r="E2487">
        <v>7.22</v>
      </c>
      <c r="F2487">
        <v>0</v>
      </c>
      <c r="G2487">
        <v>0.1</v>
      </c>
      <c r="H2487" t="s">
        <v>622</v>
      </c>
      <c r="J2487" t="s">
        <v>623</v>
      </c>
      <c r="K2487" s="1"/>
      <c r="L2487" s="1">
        <v>46242.359907407408</v>
      </c>
      <c r="M2487" s="2">
        <v>46242</v>
      </c>
      <c r="N2487" t="s">
        <v>641</v>
      </c>
      <c r="O2487" t="s">
        <v>625</v>
      </c>
      <c r="P2487">
        <v>1</v>
      </c>
      <c r="Q2487">
        <v>0</v>
      </c>
      <c r="R2487">
        <v>72.19</v>
      </c>
      <c r="S2487" t="s">
        <v>251</v>
      </c>
      <c r="T2487" t="s">
        <v>779</v>
      </c>
    </row>
    <row r="2488" spans="1:20" x14ac:dyDescent="0.3">
      <c r="A2488">
        <v>2487</v>
      </c>
      <c r="B2488">
        <v>36</v>
      </c>
      <c r="C2488">
        <v>3</v>
      </c>
      <c r="D2488">
        <v>149.29</v>
      </c>
      <c r="E2488">
        <v>14.93</v>
      </c>
      <c r="F2488">
        <v>0</v>
      </c>
      <c r="G2488">
        <v>0.1</v>
      </c>
      <c r="H2488" t="s">
        <v>622</v>
      </c>
      <c r="J2488" t="s">
        <v>623</v>
      </c>
      <c r="K2488" s="1"/>
      <c r="L2488" s="1">
        <v>46242.454236111109</v>
      </c>
      <c r="M2488" s="2">
        <v>46242</v>
      </c>
      <c r="N2488" t="s">
        <v>641</v>
      </c>
      <c r="O2488" t="s">
        <v>625</v>
      </c>
      <c r="P2488">
        <v>1</v>
      </c>
      <c r="Q2488">
        <v>0</v>
      </c>
      <c r="R2488">
        <v>149.29</v>
      </c>
      <c r="S2488" t="s">
        <v>68</v>
      </c>
      <c r="T2488" t="s">
        <v>777</v>
      </c>
    </row>
    <row r="2489" spans="1:20" x14ac:dyDescent="0.3">
      <c r="A2489">
        <v>2488</v>
      </c>
      <c r="B2489">
        <v>128</v>
      </c>
      <c r="C2489">
        <v>5</v>
      </c>
      <c r="D2489">
        <v>29.79</v>
      </c>
      <c r="E2489">
        <v>2.98</v>
      </c>
      <c r="F2489">
        <v>0</v>
      </c>
      <c r="G2489">
        <v>0.1</v>
      </c>
      <c r="H2489" t="s">
        <v>622</v>
      </c>
      <c r="J2489" t="s">
        <v>623</v>
      </c>
      <c r="K2489" s="1"/>
      <c r="L2489" s="1">
        <v>46242.471250000002</v>
      </c>
      <c r="M2489" s="2">
        <v>46242</v>
      </c>
      <c r="N2489" t="s">
        <v>641</v>
      </c>
      <c r="O2489" t="s">
        <v>625</v>
      </c>
      <c r="P2489">
        <v>1</v>
      </c>
      <c r="Q2489">
        <v>0</v>
      </c>
      <c r="R2489">
        <v>29.79</v>
      </c>
      <c r="S2489" t="s">
        <v>251</v>
      </c>
      <c r="T2489" t="s">
        <v>779</v>
      </c>
    </row>
    <row r="2490" spans="1:20" x14ac:dyDescent="0.3">
      <c r="A2490">
        <v>2489</v>
      </c>
      <c r="B2490">
        <v>75</v>
      </c>
      <c r="C2490">
        <v>3</v>
      </c>
      <c r="D2490">
        <v>101.65</v>
      </c>
      <c r="E2490">
        <v>10.17</v>
      </c>
      <c r="F2490">
        <v>0</v>
      </c>
      <c r="G2490">
        <v>0.1</v>
      </c>
      <c r="H2490" t="s">
        <v>622</v>
      </c>
      <c r="J2490" t="s">
        <v>623</v>
      </c>
      <c r="K2490" s="1"/>
      <c r="L2490" s="1">
        <v>46242.495798611111</v>
      </c>
      <c r="M2490" s="2">
        <v>46242</v>
      </c>
      <c r="N2490" t="s">
        <v>641</v>
      </c>
      <c r="O2490" t="s">
        <v>625</v>
      </c>
      <c r="P2490">
        <v>1</v>
      </c>
      <c r="Q2490">
        <v>0</v>
      </c>
      <c r="R2490">
        <v>101.65</v>
      </c>
      <c r="S2490" t="s">
        <v>146</v>
      </c>
      <c r="T2490" t="s">
        <v>777</v>
      </c>
    </row>
    <row r="2491" spans="1:20" x14ac:dyDescent="0.3">
      <c r="A2491">
        <v>2490</v>
      </c>
      <c r="B2491">
        <v>76</v>
      </c>
      <c r="C2491">
        <v>4</v>
      </c>
      <c r="D2491">
        <v>128.22</v>
      </c>
      <c r="E2491">
        <v>12.82</v>
      </c>
      <c r="F2491">
        <v>0</v>
      </c>
      <c r="G2491">
        <v>0.1</v>
      </c>
      <c r="H2491" t="s">
        <v>622</v>
      </c>
      <c r="J2491" t="s">
        <v>623</v>
      </c>
      <c r="K2491" s="1"/>
      <c r="L2491" s="1">
        <v>46242.612928240742</v>
      </c>
      <c r="M2491" s="2">
        <v>46242</v>
      </c>
      <c r="N2491" t="s">
        <v>641</v>
      </c>
      <c r="O2491" t="s">
        <v>625</v>
      </c>
      <c r="P2491">
        <v>1</v>
      </c>
      <c r="Q2491">
        <v>0</v>
      </c>
      <c r="R2491">
        <v>128.22</v>
      </c>
      <c r="S2491" t="s">
        <v>148</v>
      </c>
      <c r="T2491" t="s">
        <v>778</v>
      </c>
    </row>
    <row r="2492" spans="1:20" x14ac:dyDescent="0.3">
      <c r="A2492">
        <v>2491</v>
      </c>
      <c r="B2492">
        <v>75</v>
      </c>
      <c r="C2492">
        <v>5</v>
      </c>
      <c r="D2492">
        <v>78.849999999999994</v>
      </c>
      <c r="E2492">
        <v>7.89</v>
      </c>
      <c r="F2492">
        <v>0</v>
      </c>
      <c r="G2492">
        <v>0.1</v>
      </c>
      <c r="H2492" t="s">
        <v>622</v>
      </c>
      <c r="J2492" t="s">
        <v>623</v>
      </c>
      <c r="K2492" s="1"/>
      <c r="L2492" s="1">
        <v>46242.646678240744</v>
      </c>
      <c r="M2492" s="2">
        <v>46242</v>
      </c>
      <c r="N2492" t="s">
        <v>641</v>
      </c>
      <c r="O2492" t="s">
        <v>625</v>
      </c>
      <c r="P2492">
        <v>1</v>
      </c>
      <c r="Q2492">
        <v>0</v>
      </c>
      <c r="R2492">
        <v>78.849999999999994</v>
      </c>
      <c r="S2492" t="s">
        <v>146</v>
      </c>
      <c r="T2492" t="s">
        <v>779</v>
      </c>
    </row>
    <row r="2493" spans="1:20" x14ac:dyDescent="0.3">
      <c r="A2493">
        <v>2492</v>
      </c>
      <c r="B2493">
        <v>156</v>
      </c>
      <c r="C2493">
        <v>2</v>
      </c>
      <c r="D2493">
        <v>27.77</v>
      </c>
      <c r="E2493">
        <v>2.78</v>
      </c>
      <c r="F2493">
        <v>0</v>
      </c>
      <c r="G2493">
        <v>0.1</v>
      </c>
      <c r="H2493" t="s">
        <v>622</v>
      </c>
      <c r="J2493" t="s">
        <v>623</v>
      </c>
      <c r="K2493" s="1"/>
      <c r="L2493" s="1">
        <v>46242.666412037041</v>
      </c>
      <c r="M2493" s="2">
        <v>46242</v>
      </c>
      <c r="N2493" t="s">
        <v>641</v>
      </c>
      <c r="O2493" t="s">
        <v>625</v>
      </c>
      <c r="P2493">
        <v>1</v>
      </c>
      <c r="Q2493">
        <v>0</v>
      </c>
      <c r="R2493">
        <v>27.77</v>
      </c>
      <c r="S2493" t="s">
        <v>307</v>
      </c>
      <c r="T2493" t="s">
        <v>776</v>
      </c>
    </row>
    <row r="2494" spans="1:20" x14ac:dyDescent="0.3">
      <c r="A2494">
        <v>2493</v>
      </c>
      <c r="B2494">
        <v>250</v>
      </c>
      <c r="C2494">
        <v>2</v>
      </c>
      <c r="D2494">
        <v>65.66</v>
      </c>
      <c r="E2494">
        <v>0</v>
      </c>
      <c r="F2494">
        <v>1</v>
      </c>
      <c r="G2494">
        <v>0.1</v>
      </c>
      <c r="H2494" t="s">
        <v>622</v>
      </c>
      <c r="J2494" t="s">
        <v>623</v>
      </c>
      <c r="K2494" s="1"/>
      <c r="L2494" s="1">
        <v>46242.700381944444</v>
      </c>
      <c r="M2494" s="2">
        <v>46242</v>
      </c>
      <c r="N2494" t="s">
        <v>641</v>
      </c>
      <c r="O2494" t="s">
        <v>629</v>
      </c>
      <c r="P2494">
        <v>1</v>
      </c>
      <c r="Q2494">
        <v>0</v>
      </c>
      <c r="R2494">
        <v>65.66</v>
      </c>
      <c r="S2494" t="s">
        <v>495</v>
      </c>
      <c r="T2494" t="s">
        <v>776</v>
      </c>
    </row>
    <row r="2495" spans="1:20" x14ac:dyDescent="0.3">
      <c r="A2495">
        <v>2494</v>
      </c>
      <c r="B2495">
        <v>250</v>
      </c>
      <c r="C2495">
        <v>3</v>
      </c>
      <c r="D2495">
        <v>85.41</v>
      </c>
      <c r="E2495">
        <v>8.5399999999999991</v>
      </c>
      <c r="F2495">
        <v>0</v>
      </c>
      <c r="G2495">
        <v>0.1</v>
      </c>
      <c r="H2495" t="s">
        <v>622</v>
      </c>
      <c r="J2495" t="s">
        <v>623</v>
      </c>
      <c r="K2495" s="1"/>
      <c r="L2495" s="1">
        <v>46242.712210648147</v>
      </c>
      <c r="M2495" s="2">
        <v>46242</v>
      </c>
      <c r="N2495" t="s">
        <v>641</v>
      </c>
      <c r="O2495" t="s">
        <v>625</v>
      </c>
      <c r="P2495">
        <v>1</v>
      </c>
      <c r="Q2495">
        <v>0</v>
      </c>
      <c r="R2495">
        <v>85.41</v>
      </c>
      <c r="S2495" t="s">
        <v>495</v>
      </c>
      <c r="T2495" t="s">
        <v>777</v>
      </c>
    </row>
    <row r="2496" spans="1:20" x14ac:dyDescent="0.3">
      <c r="A2496">
        <v>2495</v>
      </c>
      <c r="B2496">
        <v>158</v>
      </c>
      <c r="C2496">
        <v>2</v>
      </c>
      <c r="D2496">
        <v>25.13</v>
      </c>
      <c r="E2496">
        <v>2.5099999999999998</v>
      </c>
      <c r="F2496">
        <v>0</v>
      </c>
      <c r="G2496">
        <v>0.1</v>
      </c>
      <c r="H2496" t="s">
        <v>622</v>
      </c>
      <c r="J2496" t="s">
        <v>623</v>
      </c>
      <c r="K2496" s="1"/>
      <c r="L2496" s="1">
        <v>46242.731747685182</v>
      </c>
      <c r="M2496" s="2">
        <v>46242</v>
      </c>
      <c r="N2496" t="s">
        <v>641</v>
      </c>
      <c r="O2496" t="s">
        <v>625</v>
      </c>
      <c r="P2496">
        <v>1</v>
      </c>
      <c r="Q2496">
        <v>0</v>
      </c>
      <c r="R2496">
        <v>25.13</v>
      </c>
      <c r="S2496" t="s">
        <v>311</v>
      </c>
      <c r="T2496" t="s">
        <v>776</v>
      </c>
    </row>
    <row r="2497" spans="1:20" x14ac:dyDescent="0.3">
      <c r="A2497">
        <v>2496</v>
      </c>
      <c r="B2497">
        <v>294</v>
      </c>
      <c r="C2497">
        <v>3</v>
      </c>
      <c r="D2497">
        <v>20.11</v>
      </c>
      <c r="E2497">
        <v>2.0099999999999998</v>
      </c>
      <c r="F2497">
        <v>0</v>
      </c>
      <c r="G2497">
        <v>0.1</v>
      </c>
      <c r="H2497" t="s">
        <v>626</v>
      </c>
      <c r="I2497">
        <v>4</v>
      </c>
      <c r="J2497" t="s">
        <v>627</v>
      </c>
      <c r="K2497" s="1">
        <v>46244.672511574077</v>
      </c>
      <c r="L2497" s="1">
        <v>46243.422511574077</v>
      </c>
      <c r="M2497" s="2">
        <v>46243</v>
      </c>
      <c r="N2497" t="s">
        <v>641</v>
      </c>
      <c r="O2497" t="s">
        <v>625</v>
      </c>
      <c r="P2497">
        <v>1</v>
      </c>
      <c r="Q2497">
        <v>1</v>
      </c>
      <c r="R2497">
        <v>0</v>
      </c>
      <c r="S2497" t="s">
        <v>583</v>
      </c>
      <c r="T2497" t="s">
        <v>777</v>
      </c>
    </row>
    <row r="2498" spans="1:20" x14ac:dyDescent="0.3">
      <c r="A2498">
        <v>2497</v>
      </c>
      <c r="B2498">
        <v>110</v>
      </c>
      <c r="C2498">
        <v>5</v>
      </c>
      <c r="D2498">
        <v>25.07</v>
      </c>
      <c r="E2498">
        <v>2.5099999999999998</v>
      </c>
      <c r="F2498">
        <v>0</v>
      </c>
      <c r="G2498">
        <v>0.1</v>
      </c>
      <c r="H2498" t="s">
        <v>622</v>
      </c>
      <c r="J2498" t="s">
        <v>623</v>
      </c>
      <c r="K2498" s="1"/>
      <c r="L2498" s="1">
        <v>46243.506828703707</v>
      </c>
      <c r="M2498" s="2">
        <v>46243</v>
      </c>
      <c r="N2498" t="s">
        <v>641</v>
      </c>
      <c r="O2498" t="s">
        <v>625</v>
      </c>
      <c r="P2498">
        <v>1</v>
      </c>
      <c r="Q2498">
        <v>0</v>
      </c>
      <c r="R2498">
        <v>25.07</v>
      </c>
      <c r="S2498" t="s">
        <v>215</v>
      </c>
      <c r="T2498" t="s">
        <v>779</v>
      </c>
    </row>
    <row r="2499" spans="1:20" x14ac:dyDescent="0.3">
      <c r="A2499">
        <v>2498</v>
      </c>
      <c r="B2499">
        <v>128</v>
      </c>
      <c r="C2499">
        <v>3</v>
      </c>
      <c r="D2499">
        <v>23.88</v>
      </c>
      <c r="E2499">
        <v>2.39</v>
      </c>
      <c r="F2499">
        <v>0</v>
      </c>
      <c r="G2499">
        <v>0.1</v>
      </c>
      <c r="H2499" t="s">
        <v>622</v>
      </c>
      <c r="J2499" t="s">
        <v>623</v>
      </c>
      <c r="K2499" s="1"/>
      <c r="L2499" s="1">
        <v>46243.550798611112</v>
      </c>
      <c r="M2499" s="2">
        <v>46243</v>
      </c>
      <c r="N2499" t="s">
        <v>641</v>
      </c>
      <c r="O2499" t="s">
        <v>625</v>
      </c>
      <c r="P2499">
        <v>1</v>
      </c>
      <c r="Q2499">
        <v>0</v>
      </c>
      <c r="R2499">
        <v>23.88</v>
      </c>
      <c r="S2499" t="s">
        <v>251</v>
      </c>
      <c r="T2499" t="s">
        <v>777</v>
      </c>
    </row>
    <row r="2500" spans="1:20" x14ac:dyDescent="0.3">
      <c r="A2500">
        <v>2499</v>
      </c>
      <c r="B2500">
        <v>128</v>
      </c>
      <c r="C2500">
        <v>4</v>
      </c>
      <c r="D2500">
        <v>35.07</v>
      </c>
      <c r="E2500">
        <v>3.51</v>
      </c>
      <c r="F2500">
        <v>0</v>
      </c>
      <c r="G2500">
        <v>0.1</v>
      </c>
      <c r="H2500" t="s">
        <v>622</v>
      </c>
      <c r="J2500" t="s">
        <v>623</v>
      </c>
      <c r="K2500" s="1"/>
      <c r="L2500" s="1">
        <v>46243.594131944446</v>
      </c>
      <c r="M2500" s="2">
        <v>46243</v>
      </c>
      <c r="N2500" t="s">
        <v>641</v>
      </c>
      <c r="O2500" t="s">
        <v>625</v>
      </c>
      <c r="P2500">
        <v>1</v>
      </c>
      <c r="Q2500">
        <v>0</v>
      </c>
      <c r="R2500">
        <v>35.07</v>
      </c>
      <c r="S2500" t="s">
        <v>251</v>
      </c>
      <c r="T2500" t="s">
        <v>778</v>
      </c>
    </row>
    <row r="2501" spans="1:20" x14ac:dyDescent="0.3">
      <c r="A2501">
        <v>2500</v>
      </c>
      <c r="B2501">
        <v>285</v>
      </c>
      <c r="C2501">
        <v>2</v>
      </c>
      <c r="D2501">
        <v>13.53</v>
      </c>
      <c r="E2501">
        <v>1.35</v>
      </c>
      <c r="F2501">
        <v>0</v>
      </c>
      <c r="G2501">
        <v>0.1</v>
      </c>
      <c r="H2501" t="s">
        <v>622</v>
      </c>
      <c r="J2501" t="s">
        <v>623</v>
      </c>
      <c r="K2501" s="1"/>
      <c r="L2501" s="1">
        <v>46243.642812500002</v>
      </c>
      <c r="M2501" s="2">
        <v>46243</v>
      </c>
      <c r="N2501" t="s">
        <v>641</v>
      </c>
      <c r="O2501" t="s">
        <v>625</v>
      </c>
      <c r="P2501">
        <v>1</v>
      </c>
      <c r="Q2501">
        <v>0</v>
      </c>
      <c r="R2501">
        <v>13.53</v>
      </c>
      <c r="S2501" t="s">
        <v>565</v>
      </c>
      <c r="T2501" t="s">
        <v>776</v>
      </c>
    </row>
    <row r="2502" spans="1:20" x14ac:dyDescent="0.3">
      <c r="A2502">
        <v>2501</v>
      </c>
      <c r="B2502">
        <v>145</v>
      </c>
      <c r="C2502">
        <v>3</v>
      </c>
      <c r="D2502">
        <v>122.3</v>
      </c>
      <c r="E2502">
        <v>12.23</v>
      </c>
      <c r="F2502">
        <v>0</v>
      </c>
      <c r="G2502">
        <v>0.1</v>
      </c>
      <c r="H2502" t="s">
        <v>622</v>
      </c>
      <c r="J2502" t="s">
        <v>623</v>
      </c>
      <c r="K2502" s="1"/>
      <c r="L2502" s="1">
        <v>46243.734247685185</v>
      </c>
      <c r="M2502" s="2">
        <v>46243</v>
      </c>
      <c r="N2502" t="s">
        <v>641</v>
      </c>
      <c r="O2502" t="s">
        <v>625</v>
      </c>
      <c r="P2502">
        <v>1</v>
      </c>
      <c r="Q2502">
        <v>0</v>
      </c>
      <c r="R2502">
        <v>122.3</v>
      </c>
      <c r="S2502" t="s">
        <v>285</v>
      </c>
      <c r="T2502" t="s">
        <v>777</v>
      </c>
    </row>
    <row r="2503" spans="1:20" x14ac:dyDescent="0.3">
      <c r="A2503">
        <v>2502</v>
      </c>
      <c r="B2503">
        <v>134</v>
      </c>
      <c r="C2503">
        <v>3</v>
      </c>
      <c r="D2503">
        <v>93.19</v>
      </c>
      <c r="E2503">
        <v>9.32</v>
      </c>
      <c r="F2503">
        <v>0</v>
      </c>
      <c r="G2503">
        <v>0.1</v>
      </c>
      <c r="H2503" t="s">
        <v>622</v>
      </c>
      <c r="J2503" t="s">
        <v>623</v>
      </c>
      <c r="K2503" s="1"/>
      <c r="L2503" s="1">
        <v>46243.741342592592</v>
      </c>
      <c r="M2503" s="2">
        <v>46243</v>
      </c>
      <c r="N2503" t="s">
        <v>641</v>
      </c>
      <c r="O2503" t="s">
        <v>625</v>
      </c>
      <c r="P2503">
        <v>1</v>
      </c>
      <c r="Q2503">
        <v>0</v>
      </c>
      <c r="R2503">
        <v>93.19</v>
      </c>
      <c r="S2503" t="s">
        <v>263</v>
      </c>
      <c r="T2503" t="s">
        <v>777</v>
      </c>
    </row>
    <row r="2504" spans="1:20" x14ac:dyDescent="0.3">
      <c r="A2504">
        <v>2503</v>
      </c>
      <c r="B2504">
        <v>16</v>
      </c>
      <c r="C2504">
        <v>3</v>
      </c>
      <c r="D2504">
        <v>147.59</v>
      </c>
      <c r="E2504">
        <v>14.76</v>
      </c>
      <c r="F2504">
        <v>0</v>
      </c>
      <c r="G2504">
        <v>0.1</v>
      </c>
      <c r="H2504" t="s">
        <v>622</v>
      </c>
      <c r="J2504" t="s">
        <v>623</v>
      </c>
      <c r="K2504" s="1"/>
      <c r="L2504" s="1">
        <v>46244.338078703702</v>
      </c>
      <c r="M2504" s="2">
        <v>46244</v>
      </c>
      <c r="N2504" t="s">
        <v>641</v>
      </c>
      <c r="O2504" t="s">
        <v>625</v>
      </c>
      <c r="P2504">
        <v>1</v>
      </c>
      <c r="Q2504">
        <v>0</v>
      </c>
      <c r="R2504">
        <v>147.59</v>
      </c>
      <c r="S2504" t="s">
        <v>28</v>
      </c>
      <c r="T2504" t="s">
        <v>777</v>
      </c>
    </row>
    <row r="2505" spans="1:20" x14ac:dyDescent="0.3">
      <c r="A2505">
        <v>2504</v>
      </c>
      <c r="B2505">
        <v>229</v>
      </c>
      <c r="C2505">
        <v>5</v>
      </c>
      <c r="D2505">
        <v>104.24</v>
      </c>
      <c r="E2505">
        <v>10.42</v>
      </c>
      <c r="F2505">
        <v>0</v>
      </c>
      <c r="G2505">
        <v>0.1</v>
      </c>
      <c r="H2505" t="s">
        <v>622</v>
      </c>
      <c r="J2505" t="s">
        <v>623</v>
      </c>
      <c r="K2505" s="1"/>
      <c r="L2505" s="1">
        <v>46244.357118055559</v>
      </c>
      <c r="M2505" s="2">
        <v>46244</v>
      </c>
      <c r="N2505" t="s">
        <v>641</v>
      </c>
      <c r="O2505" t="s">
        <v>625</v>
      </c>
      <c r="P2505">
        <v>1</v>
      </c>
      <c r="Q2505">
        <v>0</v>
      </c>
      <c r="R2505">
        <v>104.24</v>
      </c>
      <c r="S2505" t="s">
        <v>453</v>
      </c>
      <c r="T2505" t="s">
        <v>779</v>
      </c>
    </row>
    <row r="2506" spans="1:20" x14ac:dyDescent="0.3">
      <c r="A2506">
        <v>2505</v>
      </c>
      <c r="B2506">
        <v>189</v>
      </c>
      <c r="C2506">
        <v>2</v>
      </c>
      <c r="D2506">
        <v>24.37</v>
      </c>
      <c r="E2506">
        <v>2.44</v>
      </c>
      <c r="F2506">
        <v>0</v>
      </c>
      <c r="G2506">
        <v>0.1</v>
      </c>
      <c r="H2506" t="s">
        <v>622</v>
      </c>
      <c r="J2506" t="s">
        <v>623</v>
      </c>
      <c r="K2506" s="1"/>
      <c r="L2506" s="1">
        <v>46244.588564814818</v>
      </c>
      <c r="M2506" s="2">
        <v>46244</v>
      </c>
      <c r="N2506" t="s">
        <v>641</v>
      </c>
      <c r="O2506" t="s">
        <v>625</v>
      </c>
      <c r="P2506">
        <v>1</v>
      </c>
      <c r="Q2506">
        <v>0</v>
      </c>
      <c r="R2506">
        <v>24.37</v>
      </c>
      <c r="S2506" t="s">
        <v>373</v>
      </c>
      <c r="T2506" t="s">
        <v>776</v>
      </c>
    </row>
    <row r="2507" spans="1:20" x14ac:dyDescent="0.3">
      <c r="A2507">
        <v>2506</v>
      </c>
      <c r="B2507">
        <v>134</v>
      </c>
      <c r="C2507">
        <v>2</v>
      </c>
      <c r="D2507">
        <v>61.95</v>
      </c>
      <c r="E2507">
        <v>6.2</v>
      </c>
      <c r="F2507">
        <v>0</v>
      </c>
      <c r="G2507">
        <v>0.1</v>
      </c>
      <c r="H2507" t="s">
        <v>622</v>
      </c>
      <c r="J2507" t="s">
        <v>623</v>
      </c>
      <c r="K2507" s="1"/>
      <c r="L2507" s="1">
        <v>46244.627962962964</v>
      </c>
      <c r="M2507" s="2">
        <v>46244</v>
      </c>
      <c r="N2507" t="s">
        <v>641</v>
      </c>
      <c r="O2507" t="s">
        <v>625</v>
      </c>
      <c r="P2507">
        <v>1</v>
      </c>
      <c r="Q2507">
        <v>0</v>
      </c>
      <c r="R2507">
        <v>61.95</v>
      </c>
      <c r="S2507" t="s">
        <v>263</v>
      </c>
      <c r="T2507" t="s">
        <v>776</v>
      </c>
    </row>
    <row r="2508" spans="1:20" x14ac:dyDescent="0.3">
      <c r="A2508">
        <v>2507</v>
      </c>
      <c r="B2508">
        <v>150</v>
      </c>
      <c r="C2508">
        <v>3</v>
      </c>
      <c r="D2508">
        <v>68.66</v>
      </c>
      <c r="E2508">
        <v>6.87</v>
      </c>
      <c r="F2508">
        <v>0</v>
      </c>
      <c r="G2508">
        <v>0.1</v>
      </c>
      <c r="H2508" t="s">
        <v>622</v>
      </c>
      <c r="J2508" t="s">
        <v>623</v>
      </c>
      <c r="K2508" s="1"/>
      <c r="L2508" s="1">
        <v>46244.660115740742</v>
      </c>
      <c r="M2508" s="2">
        <v>46244</v>
      </c>
      <c r="N2508" t="s">
        <v>641</v>
      </c>
      <c r="O2508" t="s">
        <v>625</v>
      </c>
      <c r="P2508">
        <v>1</v>
      </c>
      <c r="Q2508">
        <v>0</v>
      </c>
      <c r="R2508">
        <v>68.66</v>
      </c>
      <c r="S2508" t="s">
        <v>295</v>
      </c>
      <c r="T2508" t="s">
        <v>777</v>
      </c>
    </row>
    <row r="2509" spans="1:20" x14ac:dyDescent="0.3">
      <c r="A2509">
        <v>2508</v>
      </c>
      <c r="B2509">
        <v>128</v>
      </c>
      <c r="C2509">
        <v>3</v>
      </c>
      <c r="D2509">
        <v>30.97</v>
      </c>
      <c r="E2509">
        <v>3.1</v>
      </c>
      <c r="F2509">
        <v>0</v>
      </c>
      <c r="G2509">
        <v>0.1</v>
      </c>
      <c r="H2509" t="s">
        <v>622</v>
      </c>
      <c r="J2509" t="s">
        <v>623</v>
      </c>
      <c r="K2509" s="1"/>
      <c r="L2509" s="1">
        <v>46245.301620370374</v>
      </c>
      <c r="M2509" s="2">
        <v>46245</v>
      </c>
      <c r="N2509" t="s">
        <v>641</v>
      </c>
      <c r="O2509" t="s">
        <v>625</v>
      </c>
      <c r="P2509">
        <v>1</v>
      </c>
      <c r="Q2509">
        <v>0</v>
      </c>
      <c r="R2509">
        <v>30.97</v>
      </c>
      <c r="S2509" t="s">
        <v>251</v>
      </c>
      <c r="T2509" t="s">
        <v>777</v>
      </c>
    </row>
    <row r="2510" spans="1:20" x14ac:dyDescent="0.3">
      <c r="A2510">
        <v>2509</v>
      </c>
      <c r="B2510">
        <v>213</v>
      </c>
      <c r="C2510">
        <v>3</v>
      </c>
      <c r="D2510">
        <v>152.81</v>
      </c>
      <c r="E2510">
        <v>15.28</v>
      </c>
      <c r="F2510">
        <v>0</v>
      </c>
      <c r="G2510">
        <v>0.1</v>
      </c>
      <c r="H2510" t="s">
        <v>622</v>
      </c>
      <c r="J2510" t="s">
        <v>623</v>
      </c>
      <c r="K2510" s="1"/>
      <c r="L2510" s="1">
        <v>46245.334652777776</v>
      </c>
      <c r="M2510" s="2">
        <v>46245</v>
      </c>
      <c r="N2510" t="s">
        <v>641</v>
      </c>
      <c r="O2510" t="s">
        <v>625</v>
      </c>
      <c r="P2510">
        <v>1</v>
      </c>
      <c r="Q2510">
        <v>0</v>
      </c>
      <c r="R2510">
        <v>152.81</v>
      </c>
      <c r="S2510" t="s">
        <v>421</v>
      </c>
      <c r="T2510" t="s">
        <v>777</v>
      </c>
    </row>
    <row r="2511" spans="1:20" x14ac:dyDescent="0.3">
      <c r="A2511">
        <v>2510</v>
      </c>
      <c r="B2511">
        <v>246</v>
      </c>
      <c r="C2511">
        <v>4</v>
      </c>
      <c r="D2511">
        <v>28.89</v>
      </c>
      <c r="E2511">
        <v>2.89</v>
      </c>
      <c r="F2511">
        <v>0</v>
      </c>
      <c r="G2511">
        <v>0.1</v>
      </c>
      <c r="H2511" t="s">
        <v>622</v>
      </c>
      <c r="J2511" t="s">
        <v>623</v>
      </c>
      <c r="K2511" s="1"/>
      <c r="L2511" s="1">
        <v>46245.369039351855</v>
      </c>
      <c r="M2511" s="2">
        <v>46245</v>
      </c>
      <c r="N2511" t="s">
        <v>641</v>
      </c>
      <c r="O2511" t="s">
        <v>625</v>
      </c>
      <c r="P2511">
        <v>1</v>
      </c>
      <c r="Q2511">
        <v>0</v>
      </c>
      <c r="R2511">
        <v>28.89</v>
      </c>
      <c r="S2511" t="s">
        <v>487</v>
      </c>
      <c r="T2511" t="s">
        <v>778</v>
      </c>
    </row>
    <row r="2512" spans="1:20" x14ac:dyDescent="0.3">
      <c r="A2512">
        <v>2511</v>
      </c>
      <c r="B2512">
        <v>289</v>
      </c>
      <c r="C2512">
        <v>4</v>
      </c>
      <c r="D2512">
        <v>156.66</v>
      </c>
      <c r="E2512">
        <v>15.67</v>
      </c>
      <c r="F2512">
        <v>0</v>
      </c>
      <c r="G2512">
        <v>0.1</v>
      </c>
      <c r="H2512" t="s">
        <v>622</v>
      </c>
      <c r="J2512" t="s">
        <v>623</v>
      </c>
      <c r="K2512" s="1"/>
      <c r="L2512" s="1">
        <v>46245.388564814813</v>
      </c>
      <c r="M2512" s="2">
        <v>46245</v>
      </c>
      <c r="N2512" t="s">
        <v>641</v>
      </c>
      <c r="O2512" t="s">
        <v>625</v>
      </c>
      <c r="P2512">
        <v>1</v>
      </c>
      <c r="Q2512">
        <v>0</v>
      </c>
      <c r="R2512">
        <v>156.66</v>
      </c>
      <c r="S2512" t="s">
        <v>573</v>
      </c>
      <c r="T2512" t="s">
        <v>778</v>
      </c>
    </row>
    <row r="2513" spans="1:20" x14ac:dyDescent="0.3">
      <c r="A2513">
        <v>2512</v>
      </c>
      <c r="B2513">
        <v>29</v>
      </c>
      <c r="C2513">
        <v>5</v>
      </c>
      <c r="D2513">
        <v>37.68</v>
      </c>
      <c r="E2513">
        <v>3.77</v>
      </c>
      <c r="F2513">
        <v>0</v>
      </c>
      <c r="G2513">
        <v>0.1</v>
      </c>
      <c r="H2513" t="s">
        <v>622</v>
      </c>
      <c r="J2513" t="s">
        <v>623</v>
      </c>
      <c r="K2513" s="1"/>
      <c r="L2513" s="1">
        <v>46245.491979166669</v>
      </c>
      <c r="M2513" s="2">
        <v>46245</v>
      </c>
      <c r="N2513" t="s">
        <v>641</v>
      </c>
      <c r="O2513" t="s">
        <v>625</v>
      </c>
      <c r="P2513">
        <v>1</v>
      </c>
      <c r="Q2513">
        <v>0</v>
      </c>
      <c r="R2513">
        <v>37.68</v>
      </c>
      <c r="S2513" t="s">
        <v>54</v>
      </c>
      <c r="T2513" t="s">
        <v>779</v>
      </c>
    </row>
    <row r="2514" spans="1:20" x14ac:dyDescent="0.3">
      <c r="A2514">
        <v>2513</v>
      </c>
      <c r="B2514">
        <v>37</v>
      </c>
      <c r="C2514">
        <v>4</v>
      </c>
      <c r="D2514">
        <v>129.91</v>
      </c>
      <c r="E2514">
        <v>12.99</v>
      </c>
      <c r="F2514">
        <v>0</v>
      </c>
      <c r="G2514">
        <v>0.1</v>
      </c>
      <c r="H2514" t="s">
        <v>622</v>
      </c>
      <c r="J2514" t="s">
        <v>623</v>
      </c>
      <c r="K2514" s="1"/>
      <c r="L2514" s="1">
        <v>46245.531527777777</v>
      </c>
      <c r="M2514" s="2">
        <v>46245</v>
      </c>
      <c r="N2514" t="s">
        <v>641</v>
      </c>
      <c r="O2514" t="s">
        <v>625</v>
      </c>
      <c r="P2514">
        <v>1</v>
      </c>
      <c r="Q2514">
        <v>0</v>
      </c>
      <c r="R2514">
        <v>129.91</v>
      </c>
      <c r="S2514" t="s">
        <v>70</v>
      </c>
      <c r="T2514" t="s">
        <v>778</v>
      </c>
    </row>
    <row r="2515" spans="1:20" x14ac:dyDescent="0.3">
      <c r="A2515">
        <v>2514</v>
      </c>
      <c r="B2515">
        <v>285</v>
      </c>
      <c r="C2515">
        <v>3</v>
      </c>
      <c r="D2515">
        <v>18.649999999999999</v>
      </c>
      <c r="E2515">
        <v>1.87</v>
      </c>
      <c r="F2515">
        <v>0</v>
      </c>
      <c r="G2515">
        <v>0.1</v>
      </c>
      <c r="H2515" t="s">
        <v>622</v>
      </c>
      <c r="J2515" t="s">
        <v>623</v>
      </c>
      <c r="K2515" s="1"/>
      <c r="L2515" s="1">
        <v>46245.631967592592</v>
      </c>
      <c r="M2515" s="2">
        <v>46245</v>
      </c>
      <c r="N2515" t="s">
        <v>641</v>
      </c>
      <c r="O2515" t="s">
        <v>625</v>
      </c>
      <c r="P2515">
        <v>1</v>
      </c>
      <c r="Q2515">
        <v>0</v>
      </c>
      <c r="R2515">
        <v>18.649999999999999</v>
      </c>
      <c r="S2515" t="s">
        <v>565</v>
      </c>
      <c r="T2515" t="s">
        <v>777</v>
      </c>
    </row>
    <row r="2516" spans="1:20" x14ac:dyDescent="0.3">
      <c r="A2516">
        <v>2515</v>
      </c>
      <c r="B2516">
        <v>285</v>
      </c>
      <c r="C2516">
        <v>5</v>
      </c>
      <c r="D2516">
        <v>32.69</v>
      </c>
      <c r="E2516">
        <v>3.27</v>
      </c>
      <c r="F2516">
        <v>0</v>
      </c>
      <c r="G2516">
        <v>0.1</v>
      </c>
      <c r="H2516" t="s">
        <v>622</v>
      </c>
      <c r="J2516" t="s">
        <v>623</v>
      </c>
      <c r="K2516" s="1"/>
      <c r="L2516" s="1">
        <v>46245.717719907407</v>
      </c>
      <c r="M2516" s="2">
        <v>46245</v>
      </c>
      <c r="N2516" t="s">
        <v>641</v>
      </c>
      <c r="O2516" t="s">
        <v>625</v>
      </c>
      <c r="P2516">
        <v>1</v>
      </c>
      <c r="Q2516">
        <v>0</v>
      </c>
      <c r="R2516">
        <v>32.69</v>
      </c>
      <c r="S2516" t="s">
        <v>565</v>
      </c>
      <c r="T2516" t="s">
        <v>779</v>
      </c>
    </row>
    <row r="2517" spans="1:20" x14ac:dyDescent="0.3">
      <c r="A2517">
        <v>2516</v>
      </c>
      <c r="B2517">
        <v>134</v>
      </c>
      <c r="C2517">
        <v>3</v>
      </c>
      <c r="D2517">
        <v>105.76</v>
      </c>
      <c r="E2517">
        <v>10.58</v>
      </c>
      <c r="F2517">
        <v>0</v>
      </c>
      <c r="G2517">
        <v>0.1</v>
      </c>
      <c r="H2517" t="s">
        <v>622</v>
      </c>
      <c r="J2517" t="s">
        <v>623</v>
      </c>
      <c r="K2517" s="1"/>
      <c r="L2517" s="1">
        <v>46246.37300925926</v>
      </c>
      <c r="M2517" s="2">
        <v>46246</v>
      </c>
      <c r="N2517" t="s">
        <v>641</v>
      </c>
      <c r="O2517" t="s">
        <v>625</v>
      </c>
      <c r="P2517">
        <v>1</v>
      </c>
      <c r="Q2517">
        <v>0</v>
      </c>
      <c r="R2517">
        <v>105.76</v>
      </c>
      <c r="S2517" t="s">
        <v>263</v>
      </c>
      <c r="T2517" t="s">
        <v>777</v>
      </c>
    </row>
    <row r="2518" spans="1:20" x14ac:dyDescent="0.3">
      <c r="A2518">
        <v>2517</v>
      </c>
      <c r="B2518">
        <v>65</v>
      </c>
      <c r="C2518">
        <v>5</v>
      </c>
      <c r="D2518">
        <v>30.64</v>
      </c>
      <c r="E2518">
        <v>3.06</v>
      </c>
      <c r="F2518">
        <v>0</v>
      </c>
      <c r="G2518">
        <v>0.1</v>
      </c>
      <c r="H2518" t="s">
        <v>622</v>
      </c>
      <c r="J2518" t="s">
        <v>623</v>
      </c>
      <c r="K2518" s="1"/>
      <c r="L2518" s="1">
        <v>46246.410833333335</v>
      </c>
      <c r="M2518" s="2">
        <v>46246</v>
      </c>
      <c r="N2518" t="s">
        <v>641</v>
      </c>
      <c r="O2518" t="s">
        <v>625</v>
      </c>
      <c r="P2518">
        <v>1</v>
      </c>
      <c r="Q2518">
        <v>0</v>
      </c>
      <c r="R2518">
        <v>30.64</v>
      </c>
      <c r="S2518" t="s">
        <v>126</v>
      </c>
      <c r="T2518" t="s">
        <v>779</v>
      </c>
    </row>
    <row r="2519" spans="1:20" x14ac:dyDescent="0.3">
      <c r="A2519">
        <v>2518</v>
      </c>
      <c r="B2519">
        <v>128</v>
      </c>
      <c r="C2519">
        <v>3</v>
      </c>
      <c r="D2519">
        <v>31.08</v>
      </c>
      <c r="E2519">
        <v>3.11</v>
      </c>
      <c r="F2519">
        <v>0</v>
      </c>
      <c r="G2519">
        <v>0.1</v>
      </c>
      <c r="H2519" t="s">
        <v>622</v>
      </c>
      <c r="J2519" t="s">
        <v>623</v>
      </c>
      <c r="K2519" s="1"/>
      <c r="L2519" s="1">
        <v>46246.637453703705</v>
      </c>
      <c r="M2519" s="2">
        <v>46246</v>
      </c>
      <c r="N2519" t="s">
        <v>641</v>
      </c>
      <c r="O2519" t="s">
        <v>625</v>
      </c>
      <c r="P2519">
        <v>1</v>
      </c>
      <c r="Q2519">
        <v>0</v>
      </c>
      <c r="R2519">
        <v>31.08</v>
      </c>
      <c r="S2519" t="s">
        <v>251</v>
      </c>
      <c r="T2519" t="s">
        <v>777</v>
      </c>
    </row>
    <row r="2520" spans="1:20" x14ac:dyDescent="0.3">
      <c r="A2520">
        <v>2519</v>
      </c>
      <c r="B2520">
        <v>128</v>
      </c>
      <c r="C2520">
        <v>3</v>
      </c>
      <c r="D2520">
        <v>35.22</v>
      </c>
      <c r="E2520">
        <v>3.52</v>
      </c>
      <c r="F2520">
        <v>0</v>
      </c>
      <c r="G2520">
        <v>0.1</v>
      </c>
      <c r="H2520" t="s">
        <v>622</v>
      </c>
      <c r="J2520" t="s">
        <v>623</v>
      </c>
      <c r="K2520" s="1"/>
      <c r="L2520" s="1">
        <v>46246.80746527778</v>
      </c>
      <c r="M2520" s="2">
        <v>46246</v>
      </c>
      <c r="N2520" t="s">
        <v>641</v>
      </c>
      <c r="O2520" t="s">
        <v>625</v>
      </c>
      <c r="P2520">
        <v>1</v>
      </c>
      <c r="Q2520">
        <v>0</v>
      </c>
      <c r="R2520">
        <v>35.22</v>
      </c>
      <c r="S2520" t="s">
        <v>251</v>
      </c>
      <c r="T2520" t="s">
        <v>777</v>
      </c>
    </row>
    <row r="2521" spans="1:20" x14ac:dyDescent="0.3">
      <c r="A2521">
        <v>2520</v>
      </c>
      <c r="B2521">
        <v>87</v>
      </c>
      <c r="C2521">
        <v>3</v>
      </c>
      <c r="D2521">
        <v>102.76</v>
      </c>
      <c r="E2521">
        <v>10.28</v>
      </c>
      <c r="F2521">
        <v>0</v>
      </c>
      <c r="G2521">
        <v>0.1</v>
      </c>
      <c r="H2521" t="s">
        <v>622</v>
      </c>
      <c r="J2521" t="s">
        <v>623</v>
      </c>
      <c r="K2521" s="1"/>
      <c r="L2521" s="1">
        <v>46246.808935185189</v>
      </c>
      <c r="M2521" s="2">
        <v>46246</v>
      </c>
      <c r="N2521" t="s">
        <v>641</v>
      </c>
      <c r="O2521" t="s">
        <v>625</v>
      </c>
      <c r="P2521">
        <v>1</v>
      </c>
      <c r="Q2521">
        <v>0</v>
      </c>
      <c r="R2521">
        <v>102.76</v>
      </c>
      <c r="S2521" t="s">
        <v>169</v>
      </c>
      <c r="T2521" t="s">
        <v>777</v>
      </c>
    </row>
    <row r="2522" spans="1:20" x14ac:dyDescent="0.3">
      <c r="A2522">
        <v>2521</v>
      </c>
      <c r="B2522">
        <v>156</v>
      </c>
      <c r="C2522">
        <v>2</v>
      </c>
      <c r="D2522">
        <v>32.83</v>
      </c>
      <c r="E2522">
        <v>3.28</v>
      </c>
      <c r="F2522">
        <v>0</v>
      </c>
      <c r="G2522">
        <v>0.1</v>
      </c>
      <c r="H2522" t="s">
        <v>622</v>
      </c>
      <c r="J2522" t="s">
        <v>623</v>
      </c>
      <c r="K2522" s="1"/>
      <c r="L2522" s="1">
        <v>46247.322638888887</v>
      </c>
      <c r="M2522" s="2">
        <v>46247</v>
      </c>
      <c r="N2522" t="s">
        <v>641</v>
      </c>
      <c r="O2522" t="s">
        <v>625</v>
      </c>
      <c r="P2522">
        <v>1</v>
      </c>
      <c r="Q2522">
        <v>0</v>
      </c>
      <c r="R2522">
        <v>32.83</v>
      </c>
      <c r="S2522" t="s">
        <v>307</v>
      </c>
      <c r="T2522" t="s">
        <v>776</v>
      </c>
    </row>
    <row r="2523" spans="1:20" x14ac:dyDescent="0.3">
      <c r="A2523">
        <v>2522</v>
      </c>
      <c r="B2523">
        <v>171</v>
      </c>
      <c r="C2523">
        <v>4</v>
      </c>
      <c r="D2523">
        <v>220</v>
      </c>
      <c r="E2523">
        <v>22</v>
      </c>
      <c r="F2523">
        <v>0</v>
      </c>
      <c r="G2523">
        <v>0.1</v>
      </c>
      <c r="H2523" t="s">
        <v>622</v>
      </c>
      <c r="J2523" t="s">
        <v>623</v>
      </c>
      <c r="K2523" s="1"/>
      <c r="L2523" s="1">
        <v>46247.404861111114</v>
      </c>
      <c r="M2523" s="2">
        <v>46247</v>
      </c>
      <c r="N2523" t="s">
        <v>641</v>
      </c>
      <c r="O2523" t="s">
        <v>625</v>
      </c>
      <c r="P2523">
        <v>1</v>
      </c>
      <c r="Q2523">
        <v>0</v>
      </c>
      <c r="R2523">
        <v>220</v>
      </c>
      <c r="S2523" t="s">
        <v>337</v>
      </c>
      <c r="T2523" t="s">
        <v>778</v>
      </c>
    </row>
    <row r="2524" spans="1:20" x14ac:dyDescent="0.3">
      <c r="A2524">
        <v>2523</v>
      </c>
      <c r="B2524">
        <v>51</v>
      </c>
      <c r="C2524">
        <v>3</v>
      </c>
      <c r="D2524">
        <v>152.25</v>
      </c>
      <c r="E2524">
        <v>15.23</v>
      </c>
      <c r="F2524">
        <v>0</v>
      </c>
      <c r="G2524">
        <v>0.1</v>
      </c>
      <c r="H2524" t="s">
        <v>622</v>
      </c>
      <c r="J2524" t="s">
        <v>623</v>
      </c>
      <c r="K2524" s="1"/>
      <c r="L2524" s="1">
        <v>46247.435787037037</v>
      </c>
      <c r="M2524" s="2">
        <v>46247</v>
      </c>
      <c r="N2524" t="s">
        <v>641</v>
      </c>
      <c r="O2524" t="s">
        <v>625</v>
      </c>
      <c r="P2524">
        <v>1</v>
      </c>
      <c r="Q2524">
        <v>0</v>
      </c>
      <c r="R2524">
        <v>152.25</v>
      </c>
      <c r="S2524" t="s">
        <v>98</v>
      </c>
      <c r="T2524" t="s">
        <v>777</v>
      </c>
    </row>
    <row r="2525" spans="1:20" x14ac:dyDescent="0.3">
      <c r="A2525">
        <v>2524</v>
      </c>
      <c r="B2525">
        <v>238</v>
      </c>
      <c r="C2525">
        <v>5</v>
      </c>
      <c r="D2525">
        <v>42.83</v>
      </c>
      <c r="E2525">
        <v>4.28</v>
      </c>
      <c r="F2525">
        <v>0</v>
      </c>
      <c r="G2525">
        <v>0.1</v>
      </c>
      <c r="H2525" t="s">
        <v>622</v>
      </c>
      <c r="J2525" t="s">
        <v>623</v>
      </c>
      <c r="K2525" s="1"/>
      <c r="L2525" s="1">
        <v>46247.657905092594</v>
      </c>
      <c r="M2525" s="2">
        <v>46247</v>
      </c>
      <c r="N2525" t="s">
        <v>641</v>
      </c>
      <c r="O2525" t="s">
        <v>625</v>
      </c>
      <c r="P2525">
        <v>1</v>
      </c>
      <c r="Q2525">
        <v>0</v>
      </c>
      <c r="R2525">
        <v>42.83</v>
      </c>
      <c r="S2525" t="s">
        <v>471</v>
      </c>
      <c r="T2525" t="s">
        <v>779</v>
      </c>
    </row>
    <row r="2526" spans="1:20" x14ac:dyDescent="0.3">
      <c r="A2526">
        <v>2525</v>
      </c>
      <c r="B2526">
        <v>80</v>
      </c>
      <c r="C2526">
        <v>4</v>
      </c>
      <c r="D2526">
        <v>29.8</v>
      </c>
      <c r="E2526">
        <v>2.98</v>
      </c>
      <c r="F2526">
        <v>0</v>
      </c>
      <c r="G2526">
        <v>0.1</v>
      </c>
      <c r="H2526" t="s">
        <v>622</v>
      </c>
      <c r="J2526" t="s">
        <v>623</v>
      </c>
      <c r="K2526" s="1"/>
      <c r="L2526" s="1">
        <v>46247.77679398148</v>
      </c>
      <c r="M2526" s="2">
        <v>46247</v>
      </c>
      <c r="N2526" t="s">
        <v>641</v>
      </c>
      <c r="O2526" t="s">
        <v>625</v>
      </c>
      <c r="P2526">
        <v>1</v>
      </c>
      <c r="Q2526">
        <v>0</v>
      </c>
      <c r="R2526">
        <v>29.8</v>
      </c>
      <c r="S2526" t="s">
        <v>156</v>
      </c>
      <c r="T2526" t="s">
        <v>778</v>
      </c>
    </row>
    <row r="2527" spans="1:20" x14ac:dyDescent="0.3">
      <c r="A2527">
        <v>2526</v>
      </c>
      <c r="B2527">
        <v>86</v>
      </c>
      <c r="C2527">
        <v>5</v>
      </c>
      <c r="D2527">
        <v>21.24</v>
      </c>
      <c r="E2527">
        <v>2.12</v>
      </c>
      <c r="F2527">
        <v>0</v>
      </c>
      <c r="G2527">
        <v>0.1</v>
      </c>
      <c r="H2527" t="s">
        <v>622</v>
      </c>
      <c r="J2527" t="s">
        <v>623</v>
      </c>
      <c r="K2527" s="1"/>
      <c r="L2527" s="1">
        <v>46247.802731481483</v>
      </c>
      <c r="M2527" s="2">
        <v>46247</v>
      </c>
      <c r="N2527" t="s">
        <v>641</v>
      </c>
      <c r="O2527" t="s">
        <v>625</v>
      </c>
      <c r="P2527">
        <v>1</v>
      </c>
      <c r="Q2527">
        <v>0</v>
      </c>
      <c r="R2527">
        <v>21.24</v>
      </c>
      <c r="S2527" t="s">
        <v>167</v>
      </c>
      <c r="T2527" t="s">
        <v>779</v>
      </c>
    </row>
    <row r="2528" spans="1:20" x14ac:dyDescent="0.3">
      <c r="A2528">
        <v>2527</v>
      </c>
      <c r="B2528">
        <v>131</v>
      </c>
      <c r="C2528">
        <v>2</v>
      </c>
      <c r="D2528">
        <v>141.19999999999999</v>
      </c>
      <c r="E2528">
        <v>14.12</v>
      </c>
      <c r="F2528">
        <v>0</v>
      </c>
      <c r="G2528">
        <v>0.1</v>
      </c>
      <c r="H2528" t="s">
        <v>622</v>
      </c>
      <c r="J2528" t="s">
        <v>623</v>
      </c>
      <c r="K2528" s="1"/>
      <c r="L2528" s="1">
        <v>46248.2968287037</v>
      </c>
      <c r="M2528" s="2">
        <v>46248</v>
      </c>
      <c r="N2528" t="s">
        <v>641</v>
      </c>
      <c r="O2528" t="s">
        <v>625</v>
      </c>
      <c r="P2528">
        <v>1</v>
      </c>
      <c r="Q2528">
        <v>0</v>
      </c>
      <c r="R2528">
        <v>141.19999999999999</v>
      </c>
      <c r="S2528" t="s">
        <v>257</v>
      </c>
      <c r="T2528" t="s">
        <v>776</v>
      </c>
    </row>
    <row r="2529" spans="1:20" x14ac:dyDescent="0.3">
      <c r="A2529">
        <v>2528</v>
      </c>
      <c r="B2529">
        <v>213</v>
      </c>
      <c r="C2529">
        <v>5</v>
      </c>
      <c r="D2529">
        <v>144.21</v>
      </c>
      <c r="E2529">
        <v>14.42</v>
      </c>
      <c r="F2529">
        <v>0</v>
      </c>
      <c r="G2529">
        <v>0.1</v>
      </c>
      <c r="H2529" t="s">
        <v>622</v>
      </c>
      <c r="J2529" t="s">
        <v>623</v>
      </c>
      <c r="K2529" s="1"/>
      <c r="L2529" s="1">
        <v>46248.332997685182</v>
      </c>
      <c r="M2529" s="2">
        <v>46248</v>
      </c>
      <c r="N2529" t="s">
        <v>641</v>
      </c>
      <c r="O2529" t="s">
        <v>625</v>
      </c>
      <c r="P2529">
        <v>1</v>
      </c>
      <c r="Q2529">
        <v>0</v>
      </c>
      <c r="R2529">
        <v>144.21</v>
      </c>
      <c r="S2529" t="s">
        <v>421</v>
      </c>
      <c r="T2529" t="s">
        <v>779</v>
      </c>
    </row>
    <row r="2530" spans="1:20" x14ac:dyDescent="0.3">
      <c r="A2530">
        <v>2529</v>
      </c>
      <c r="B2530">
        <v>75</v>
      </c>
      <c r="C2530">
        <v>3</v>
      </c>
      <c r="D2530">
        <v>148.53</v>
      </c>
      <c r="E2530">
        <v>14.85</v>
      </c>
      <c r="F2530">
        <v>0</v>
      </c>
      <c r="G2530">
        <v>0.1</v>
      </c>
      <c r="H2530" t="s">
        <v>622</v>
      </c>
      <c r="J2530" t="s">
        <v>623</v>
      </c>
      <c r="K2530" s="1"/>
      <c r="L2530" s="1">
        <v>46248.371550925927</v>
      </c>
      <c r="M2530" s="2">
        <v>46248</v>
      </c>
      <c r="N2530" t="s">
        <v>641</v>
      </c>
      <c r="O2530" t="s">
        <v>625</v>
      </c>
      <c r="P2530">
        <v>1</v>
      </c>
      <c r="Q2530">
        <v>0</v>
      </c>
      <c r="R2530">
        <v>148.53</v>
      </c>
      <c r="S2530" t="s">
        <v>146</v>
      </c>
      <c r="T2530" t="s">
        <v>777</v>
      </c>
    </row>
    <row r="2531" spans="1:20" x14ac:dyDescent="0.3">
      <c r="A2531">
        <v>2530</v>
      </c>
      <c r="B2531">
        <v>128</v>
      </c>
      <c r="C2531">
        <v>5</v>
      </c>
      <c r="D2531">
        <v>19.86</v>
      </c>
      <c r="E2531">
        <v>1.99</v>
      </c>
      <c r="F2531">
        <v>0</v>
      </c>
      <c r="G2531">
        <v>0.1</v>
      </c>
      <c r="H2531" t="s">
        <v>622</v>
      </c>
      <c r="J2531" t="s">
        <v>623</v>
      </c>
      <c r="K2531" s="1"/>
      <c r="L2531" s="1">
        <v>46248.449108796296</v>
      </c>
      <c r="M2531" s="2">
        <v>46248</v>
      </c>
      <c r="N2531" t="s">
        <v>641</v>
      </c>
      <c r="O2531" t="s">
        <v>625</v>
      </c>
      <c r="P2531">
        <v>1</v>
      </c>
      <c r="Q2531">
        <v>0</v>
      </c>
      <c r="R2531">
        <v>19.86</v>
      </c>
      <c r="S2531" t="s">
        <v>251</v>
      </c>
      <c r="T2531" t="s">
        <v>779</v>
      </c>
    </row>
    <row r="2532" spans="1:20" x14ac:dyDescent="0.3">
      <c r="A2532">
        <v>2531</v>
      </c>
      <c r="B2532">
        <v>128</v>
      </c>
      <c r="C2532">
        <v>4</v>
      </c>
      <c r="D2532">
        <v>19.5</v>
      </c>
      <c r="E2532">
        <v>1.95</v>
      </c>
      <c r="F2532">
        <v>0</v>
      </c>
      <c r="G2532">
        <v>0.1</v>
      </c>
      <c r="H2532" t="s">
        <v>622</v>
      </c>
      <c r="J2532" t="s">
        <v>623</v>
      </c>
      <c r="K2532" s="1"/>
      <c r="L2532" s="1">
        <v>46248.652337962965</v>
      </c>
      <c r="M2532" s="2">
        <v>46248</v>
      </c>
      <c r="N2532" t="s">
        <v>641</v>
      </c>
      <c r="O2532" t="s">
        <v>625</v>
      </c>
      <c r="P2532">
        <v>1</v>
      </c>
      <c r="Q2532">
        <v>0</v>
      </c>
      <c r="R2532">
        <v>19.5</v>
      </c>
      <c r="S2532" t="s">
        <v>251</v>
      </c>
      <c r="T2532" t="s">
        <v>778</v>
      </c>
    </row>
    <row r="2533" spans="1:20" x14ac:dyDescent="0.3">
      <c r="A2533">
        <v>2532</v>
      </c>
      <c r="B2533">
        <v>285</v>
      </c>
      <c r="C2533">
        <v>4</v>
      </c>
      <c r="D2533">
        <v>21.32</v>
      </c>
      <c r="E2533">
        <v>2.13</v>
      </c>
      <c r="F2533">
        <v>0</v>
      </c>
      <c r="G2533">
        <v>0.1</v>
      </c>
      <c r="H2533" t="s">
        <v>622</v>
      </c>
      <c r="J2533" t="s">
        <v>623</v>
      </c>
      <c r="K2533" s="1"/>
      <c r="L2533" s="1">
        <v>46248.681990740741</v>
      </c>
      <c r="M2533" s="2">
        <v>46248</v>
      </c>
      <c r="N2533" t="s">
        <v>641</v>
      </c>
      <c r="O2533" t="s">
        <v>625</v>
      </c>
      <c r="P2533">
        <v>1</v>
      </c>
      <c r="Q2533">
        <v>0</v>
      </c>
      <c r="R2533">
        <v>21.32</v>
      </c>
      <c r="S2533" t="s">
        <v>565</v>
      </c>
      <c r="T2533" t="s">
        <v>778</v>
      </c>
    </row>
    <row r="2534" spans="1:20" x14ac:dyDescent="0.3">
      <c r="A2534">
        <v>2533</v>
      </c>
      <c r="B2534">
        <v>57</v>
      </c>
      <c r="C2534">
        <v>2</v>
      </c>
      <c r="D2534">
        <v>133.63999999999999</v>
      </c>
      <c r="E2534">
        <v>13.36</v>
      </c>
      <c r="F2534">
        <v>0</v>
      </c>
      <c r="G2534">
        <v>0.1</v>
      </c>
      <c r="H2534" t="s">
        <v>622</v>
      </c>
      <c r="J2534" t="s">
        <v>623</v>
      </c>
      <c r="K2534" s="1"/>
      <c r="L2534" s="1">
        <v>46248.684259259258</v>
      </c>
      <c r="M2534" s="2">
        <v>46248</v>
      </c>
      <c r="N2534" t="s">
        <v>641</v>
      </c>
      <c r="O2534" t="s">
        <v>625</v>
      </c>
      <c r="P2534">
        <v>1</v>
      </c>
      <c r="Q2534">
        <v>0</v>
      </c>
      <c r="R2534">
        <v>133.63999999999999</v>
      </c>
      <c r="S2534" t="s">
        <v>110</v>
      </c>
      <c r="T2534" t="s">
        <v>776</v>
      </c>
    </row>
    <row r="2535" spans="1:20" x14ac:dyDescent="0.3">
      <c r="A2535">
        <v>2534</v>
      </c>
      <c r="B2535">
        <v>134</v>
      </c>
      <c r="C2535">
        <v>3</v>
      </c>
      <c r="D2535">
        <v>76.09</v>
      </c>
      <c r="E2535">
        <v>7.61</v>
      </c>
      <c r="F2535">
        <v>0</v>
      </c>
      <c r="G2535">
        <v>0.1</v>
      </c>
      <c r="H2535" t="s">
        <v>622</v>
      </c>
      <c r="J2535" t="s">
        <v>623</v>
      </c>
      <c r="K2535" s="1"/>
      <c r="L2535" s="1">
        <v>46248.69</v>
      </c>
      <c r="M2535" s="2">
        <v>46248</v>
      </c>
      <c r="N2535" t="s">
        <v>641</v>
      </c>
      <c r="O2535" t="s">
        <v>625</v>
      </c>
      <c r="P2535">
        <v>1</v>
      </c>
      <c r="Q2535">
        <v>0</v>
      </c>
      <c r="R2535">
        <v>76.09</v>
      </c>
      <c r="S2535" t="s">
        <v>263</v>
      </c>
      <c r="T2535" t="s">
        <v>777</v>
      </c>
    </row>
    <row r="2536" spans="1:20" x14ac:dyDescent="0.3">
      <c r="A2536">
        <v>2535</v>
      </c>
      <c r="B2536">
        <v>128</v>
      </c>
      <c r="C2536">
        <v>3</v>
      </c>
      <c r="D2536">
        <v>14.41</v>
      </c>
      <c r="E2536">
        <v>1.44</v>
      </c>
      <c r="F2536">
        <v>0</v>
      </c>
      <c r="G2536">
        <v>0.1</v>
      </c>
      <c r="H2536" t="s">
        <v>622</v>
      </c>
      <c r="J2536" t="s">
        <v>623</v>
      </c>
      <c r="K2536" s="1"/>
      <c r="L2536" s="1">
        <v>46249.303877314815</v>
      </c>
      <c r="M2536" s="2">
        <v>46249</v>
      </c>
      <c r="N2536" t="s">
        <v>641</v>
      </c>
      <c r="O2536" t="s">
        <v>625</v>
      </c>
      <c r="P2536">
        <v>1</v>
      </c>
      <c r="Q2536">
        <v>0</v>
      </c>
      <c r="R2536">
        <v>14.41</v>
      </c>
      <c r="S2536" t="s">
        <v>251</v>
      </c>
      <c r="T2536" t="s">
        <v>777</v>
      </c>
    </row>
    <row r="2537" spans="1:20" x14ac:dyDescent="0.3">
      <c r="A2537">
        <v>2536</v>
      </c>
      <c r="B2537">
        <v>44</v>
      </c>
      <c r="C2537">
        <v>4</v>
      </c>
      <c r="D2537">
        <v>33.03</v>
      </c>
      <c r="E2537">
        <v>0</v>
      </c>
      <c r="F2537">
        <v>1</v>
      </c>
      <c r="G2537">
        <v>0.1</v>
      </c>
      <c r="H2537" t="s">
        <v>622</v>
      </c>
      <c r="J2537" t="s">
        <v>623</v>
      </c>
      <c r="K2537" s="1"/>
      <c r="L2537" s="1">
        <v>46249.389039351852</v>
      </c>
      <c r="M2537" s="2">
        <v>46249</v>
      </c>
      <c r="N2537" t="s">
        <v>641</v>
      </c>
      <c r="O2537" t="s">
        <v>629</v>
      </c>
      <c r="P2537">
        <v>1</v>
      </c>
      <c r="Q2537">
        <v>0</v>
      </c>
      <c r="R2537">
        <v>33.03</v>
      </c>
      <c r="S2537" t="s">
        <v>84</v>
      </c>
      <c r="T2537" t="s">
        <v>778</v>
      </c>
    </row>
    <row r="2538" spans="1:20" x14ac:dyDescent="0.3">
      <c r="A2538">
        <v>2537</v>
      </c>
      <c r="B2538">
        <v>18</v>
      </c>
      <c r="C2538">
        <v>2</v>
      </c>
      <c r="D2538">
        <v>146.24</v>
      </c>
      <c r="E2538">
        <v>0</v>
      </c>
      <c r="F2538">
        <v>1</v>
      </c>
      <c r="G2538">
        <v>0.1</v>
      </c>
      <c r="H2538" t="s">
        <v>626</v>
      </c>
      <c r="I2538">
        <v>5</v>
      </c>
      <c r="J2538" t="s">
        <v>631</v>
      </c>
      <c r="K2538" s="1">
        <v>46250.949733796297</v>
      </c>
      <c r="L2538" s="1">
        <v>46249.449733796297</v>
      </c>
      <c r="M2538" s="2">
        <v>46249</v>
      </c>
      <c r="N2538" t="s">
        <v>641</v>
      </c>
      <c r="O2538" t="s">
        <v>629</v>
      </c>
      <c r="P2538">
        <v>1</v>
      </c>
      <c r="Q2538">
        <v>1</v>
      </c>
      <c r="R2538">
        <v>0</v>
      </c>
      <c r="S2538" t="s">
        <v>32</v>
      </c>
      <c r="T2538" t="s">
        <v>776</v>
      </c>
    </row>
    <row r="2539" spans="1:20" x14ac:dyDescent="0.3">
      <c r="A2539">
        <v>2538</v>
      </c>
      <c r="B2539">
        <v>16</v>
      </c>
      <c r="C2539">
        <v>2</v>
      </c>
      <c r="D2539">
        <v>217.19</v>
      </c>
      <c r="E2539">
        <v>21.72</v>
      </c>
      <c r="F2539">
        <v>0</v>
      </c>
      <c r="G2539">
        <v>0.1</v>
      </c>
      <c r="H2539" t="s">
        <v>622</v>
      </c>
      <c r="J2539" t="s">
        <v>623</v>
      </c>
      <c r="K2539" s="1"/>
      <c r="L2539" s="1">
        <v>46249.480439814812</v>
      </c>
      <c r="M2539" s="2">
        <v>46249</v>
      </c>
      <c r="N2539" t="s">
        <v>641</v>
      </c>
      <c r="O2539" t="s">
        <v>625</v>
      </c>
      <c r="P2539">
        <v>1</v>
      </c>
      <c r="Q2539">
        <v>0</v>
      </c>
      <c r="R2539">
        <v>217.19</v>
      </c>
      <c r="S2539" t="s">
        <v>28</v>
      </c>
      <c r="T2539" t="s">
        <v>776</v>
      </c>
    </row>
    <row r="2540" spans="1:20" x14ac:dyDescent="0.3">
      <c r="A2540">
        <v>2539</v>
      </c>
      <c r="B2540">
        <v>184</v>
      </c>
      <c r="C2540">
        <v>4</v>
      </c>
      <c r="D2540">
        <v>51.96</v>
      </c>
      <c r="E2540">
        <v>5.2</v>
      </c>
      <c r="F2540">
        <v>0</v>
      </c>
      <c r="G2540">
        <v>0.1</v>
      </c>
      <c r="H2540" t="s">
        <v>622</v>
      </c>
      <c r="J2540" t="s">
        <v>623</v>
      </c>
      <c r="K2540" s="1"/>
      <c r="L2540" s="1">
        <v>46249.521273148152</v>
      </c>
      <c r="M2540" s="2">
        <v>46249</v>
      </c>
      <c r="N2540" t="s">
        <v>641</v>
      </c>
      <c r="O2540" t="s">
        <v>625</v>
      </c>
      <c r="P2540">
        <v>1</v>
      </c>
      <c r="Q2540">
        <v>0</v>
      </c>
      <c r="R2540">
        <v>51.96</v>
      </c>
      <c r="S2540" t="s">
        <v>363</v>
      </c>
      <c r="T2540" t="s">
        <v>778</v>
      </c>
    </row>
    <row r="2541" spans="1:20" x14ac:dyDescent="0.3">
      <c r="A2541">
        <v>2540</v>
      </c>
      <c r="B2541">
        <v>183</v>
      </c>
      <c r="C2541">
        <v>3</v>
      </c>
      <c r="D2541">
        <v>113.53</v>
      </c>
      <c r="E2541">
        <v>11.35</v>
      </c>
      <c r="F2541">
        <v>0</v>
      </c>
      <c r="G2541">
        <v>0.1</v>
      </c>
      <c r="H2541" t="s">
        <v>622</v>
      </c>
      <c r="J2541" t="s">
        <v>623</v>
      </c>
      <c r="K2541" s="1"/>
      <c r="L2541" s="1">
        <v>46249.578356481485</v>
      </c>
      <c r="M2541" s="2">
        <v>46249</v>
      </c>
      <c r="N2541" t="s">
        <v>641</v>
      </c>
      <c r="O2541" t="s">
        <v>625</v>
      </c>
      <c r="P2541">
        <v>1</v>
      </c>
      <c r="Q2541">
        <v>0</v>
      </c>
      <c r="R2541">
        <v>113.53</v>
      </c>
      <c r="S2541" t="s">
        <v>361</v>
      </c>
      <c r="T2541" t="s">
        <v>777</v>
      </c>
    </row>
    <row r="2542" spans="1:20" x14ac:dyDescent="0.3">
      <c r="A2542">
        <v>2541</v>
      </c>
      <c r="B2542">
        <v>229</v>
      </c>
      <c r="C2542">
        <v>4</v>
      </c>
      <c r="D2542">
        <v>220</v>
      </c>
      <c r="E2542">
        <v>22</v>
      </c>
      <c r="F2542">
        <v>0</v>
      </c>
      <c r="G2542">
        <v>0.1</v>
      </c>
      <c r="H2542" t="s">
        <v>626</v>
      </c>
      <c r="I2542">
        <v>5</v>
      </c>
      <c r="J2542" t="s">
        <v>627</v>
      </c>
      <c r="K2542" s="1">
        <v>46250.120555555557</v>
      </c>
      <c r="L2542" s="1">
        <v>46249.578888888886</v>
      </c>
      <c r="M2542" s="2">
        <v>46249</v>
      </c>
      <c r="N2542" t="s">
        <v>641</v>
      </c>
      <c r="O2542" t="s">
        <v>625</v>
      </c>
      <c r="P2542">
        <v>1</v>
      </c>
      <c r="Q2542">
        <v>1</v>
      </c>
      <c r="R2542">
        <v>0</v>
      </c>
      <c r="S2542" t="s">
        <v>453</v>
      </c>
      <c r="T2542" t="s">
        <v>778</v>
      </c>
    </row>
    <row r="2543" spans="1:20" x14ac:dyDescent="0.3">
      <c r="A2543">
        <v>2542</v>
      </c>
      <c r="B2543">
        <v>198</v>
      </c>
      <c r="C2543">
        <v>5</v>
      </c>
      <c r="D2543">
        <v>43.35</v>
      </c>
      <c r="E2543">
        <v>4.34</v>
      </c>
      <c r="F2543">
        <v>0</v>
      </c>
      <c r="G2543">
        <v>0.1</v>
      </c>
      <c r="H2543" t="s">
        <v>622</v>
      </c>
      <c r="J2543" t="s">
        <v>623</v>
      </c>
      <c r="K2543" s="1"/>
      <c r="L2543" s="1">
        <v>46249.590138888889</v>
      </c>
      <c r="M2543" s="2">
        <v>46249</v>
      </c>
      <c r="N2543" t="s">
        <v>641</v>
      </c>
      <c r="O2543" t="s">
        <v>625</v>
      </c>
      <c r="P2543">
        <v>1</v>
      </c>
      <c r="Q2543">
        <v>0</v>
      </c>
      <c r="R2543">
        <v>43.35</v>
      </c>
      <c r="S2543" t="s">
        <v>391</v>
      </c>
      <c r="T2543" t="s">
        <v>779</v>
      </c>
    </row>
    <row r="2544" spans="1:20" x14ac:dyDescent="0.3">
      <c r="A2544">
        <v>2543</v>
      </c>
      <c r="B2544">
        <v>134</v>
      </c>
      <c r="C2544">
        <v>2</v>
      </c>
      <c r="D2544">
        <v>49.81</v>
      </c>
      <c r="E2544">
        <v>4.9800000000000004</v>
      </c>
      <c r="F2544">
        <v>0</v>
      </c>
      <c r="G2544">
        <v>0.1</v>
      </c>
      <c r="H2544" t="s">
        <v>622</v>
      </c>
      <c r="J2544" t="s">
        <v>623</v>
      </c>
      <c r="K2544" s="1"/>
      <c r="L2544" s="1">
        <v>46249.618020833332</v>
      </c>
      <c r="M2544" s="2">
        <v>46249</v>
      </c>
      <c r="N2544" t="s">
        <v>641</v>
      </c>
      <c r="O2544" t="s">
        <v>625</v>
      </c>
      <c r="P2544">
        <v>1</v>
      </c>
      <c r="Q2544">
        <v>0</v>
      </c>
      <c r="R2544">
        <v>49.81</v>
      </c>
      <c r="S2544" t="s">
        <v>263</v>
      </c>
      <c r="T2544" t="s">
        <v>776</v>
      </c>
    </row>
    <row r="2545" spans="1:20" x14ac:dyDescent="0.3">
      <c r="A2545">
        <v>2544</v>
      </c>
      <c r="B2545">
        <v>233</v>
      </c>
      <c r="C2545">
        <v>5</v>
      </c>
      <c r="D2545">
        <v>81.08</v>
      </c>
      <c r="E2545">
        <v>8.11</v>
      </c>
      <c r="F2545">
        <v>0</v>
      </c>
      <c r="G2545">
        <v>0.1</v>
      </c>
      <c r="H2545" t="s">
        <v>622</v>
      </c>
      <c r="J2545" t="s">
        <v>623</v>
      </c>
      <c r="K2545" s="1"/>
      <c r="L2545" s="1">
        <v>46250.605370370373</v>
      </c>
      <c r="M2545" s="2">
        <v>46250</v>
      </c>
      <c r="N2545" t="s">
        <v>641</v>
      </c>
      <c r="O2545" t="s">
        <v>625</v>
      </c>
      <c r="P2545">
        <v>1</v>
      </c>
      <c r="Q2545">
        <v>0</v>
      </c>
      <c r="R2545">
        <v>81.08</v>
      </c>
      <c r="S2545" t="s">
        <v>461</v>
      </c>
      <c r="T2545" t="s">
        <v>779</v>
      </c>
    </row>
    <row r="2546" spans="1:20" x14ac:dyDescent="0.3">
      <c r="A2546">
        <v>2545</v>
      </c>
      <c r="B2546">
        <v>244</v>
      </c>
      <c r="C2546">
        <v>3</v>
      </c>
      <c r="D2546">
        <v>101.18</v>
      </c>
      <c r="E2546">
        <v>10.119999999999999</v>
      </c>
      <c r="F2546">
        <v>0</v>
      </c>
      <c r="G2546">
        <v>0.1</v>
      </c>
      <c r="H2546" t="s">
        <v>622</v>
      </c>
      <c r="J2546" t="s">
        <v>623</v>
      </c>
      <c r="K2546" s="1"/>
      <c r="L2546" s="1">
        <v>46251.303333333337</v>
      </c>
      <c r="M2546" s="2">
        <v>46251</v>
      </c>
      <c r="N2546" t="s">
        <v>641</v>
      </c>
      <c r="O2546" t="s">
        <v>625</v>
      </c>
      <c r="P2546">
        <v>1</v>
      </c>
      <c r="Q2546">
        <v>0</v>
      </c>
      <c r="R2546">
        <v>101.18</v>
      </c>
      <c r="S2546" t="s">
        <v>483</v>
      </c>
      <c r="T2546" t="s">
        <v>777</v>
      </c>
    </row>
    <row r="2547" spans="1:20" x14ac:dyDescent="0.3">
      <c r="A2547">
        <v>2546</v>
      </c>
      <c r="B2547">
        <v>200</v>
      </c>
      <c r="C2547">
        <v>4</v>
      </c>
      <c r="D2547">
        <v>19.670000000000002</v>
      </c>
      <c r="E2547">
        <v>1.97</v>
      </c>
      <c r="F2547">
        <v>0</v>
      </c>
      <c r="G2547">
        <v>0.1</v>
      </c>
      <c r="H2547" t="s">
        <v>622</v>
      </c>
      <c r="J2547" t="s">
        <v>623</v>
      </c>
      <c r="K2547" s="1"/>
      <c r="L2547" s="1">
        <v>46251.310370370367</v>
      </c>
      <c r="M2547" s="2">
        <v>46251</v>
      </c>
      <c r="N2547" t="s">
        <v>641</v>
      </c>
      <c r="O2547" t="s">
        <v>625</v>
      </c>
      <c r="P2547">
        <v>1</v>
      </c>
      <c r="Q2547">
        <v>0</v>
      </c>
      <c r="R2547">
        <v>19.670000000000002</v>
      </c>
      <c r="S2547" t="s">
        <v>395</v>
      </c>
      <c r="T2547" t="s">
        <v>778</v>
      </c>
    </row>
    <row r="2548" spans="1:20" x14ac:dyDescent="0.3">
      <c r="A2548">
        <v>2547</v>
      </c>
      <c r="B2548">
        <v>232</v>
      </c>
      <c r="C2548">
        <v>2</v>
      </c>
      <c r="D2548">
        <v>31.77</v>
      </c>
      <c r="E2548">
        <v>3.18</v>
      </c>
      <c r="F2548">
        <v>0</v>
      </c>
      <c r="G2548">
        <v>0.1</v>
      </c>
      <c r="H2548" t="s">
        <v>622</v>
      </c>
      <c r="J2548" t="s">
        <v>623</v>
      </c>
      <c r="K2548" s="1"/>
      <c r="L2548" s="1">
        <v>46251.570196759261</v>
      </c>
      <c r="M2548" s="2">
        <v>46251</v>
      </c>
      <c r="N2548" t="s">
        <v>641</v>
      </c>
      <c r="O2548" t="s">
        <v>625</v>
      </c>
      <c r="P2548">
        <v>1</v>
      </c>
      <c r="Q2548">
        <v>0</v>
      </c>
      <c r="R2548">
        <v>31.77</v>
      </c>
      <c r="S2548" t="s">
        <v>459</v>
      </c>
      <c r="T2548" t="s">
        <v>776</v>
      </c>
    </row>
    <row r="2549" spans="1:20" x14ac:dyDescent="0.3">
      <c r="A2549">
        <v>2548</v>
      </c>
      <c r="B2549">
        <v>245</v>
      </c>
      <c r="C2549">
        <v>5</v>
      </c>
      <c r="D2549">
        <v>27.56</v>
      </c>
      <c r="E2549">
        <v>2.76</v>
      </c>
      <c r="F2549">
        <v>0</v>
      </c>
      <c r="G2549">
        <v>0.1</v>
      </c>
      <c r="H2549" t="s">
        <v>622</v>
      </c>
      <c r="J2549" t="s">
        <v>623</v>
      </c>
      <c r="K2549" s="1"/>
      <c r="L2549" s="1">
        <v>46251.684479166666</v>
      </c>
      <c r="M2549" s="2">
        <v>46251</v>
      </c>
      <c r="N2549" t="s">
        <v>641</v>
      </c>
      <c r="O2549" t="s">
        <v>625</v>
      </c>
      <c r="P2549">
        <v>1</v>
      </c>
      <c r="Q2549">
        <v>0</v>
      </c>
      <c r="R2549">
        <v>27.56</v>
      </c>
      <c r="S2549" t="s">
        <v>485</v>
      </c>
      <c r="T2549" t="s">
        <v>779</v>
      </c>
    </row>
    <row r="2550" spans="1:20" x14ac:dyDescent="0.3">
      <c r="A2550">
        <v>2549</v>
      </c>
      <c r="B2550">
        <v>14</v>
      </c>
      <c r="C2550">
        <v>3</v>
      </c>
      <c r="D2550">
        <v>44.48</v>
      </c>
      <c r="E2550">
        <v>4.45</v>
      </c>
      <c r="F2550">
        <v>0</v>
      </c>
      <c r="G2550">
        <v>0.1</v>
      </c>
      <c r="H2550" t="s">
        <v>622</v>
      </c>
      <c r="J2550" t="s">
        <v>623</v>
      </c>
      <c r="K2550" s="1"/>
      <c r="L2550" s="1">
        <v>46252.375914351855</v>
      </c>
      <c r="M2550" s="2">
        <v>46252</v>
      </c>
      <c r="N2550" t="s">
        <v>641</v>
      </c>
      <c r="O2550" t="s">
        <v>625</v>
      </c>
      <c r="P2550">
        <v>1</v>
      </c>
      <c r="Q2550">
        <v>0</v>
      </c>
      <c r="R2550">
        <v>44.48</v>
      </c>
      <c r="S2550" t="s">
        <v>24</v>
      </c>
      <c r="T2550" t="s">
        <v>777</v>
      </c>
    </row>
    <row r="2551" spans="1:20" x14ac:dyDescent="0.3">
      <c r="A2551">
        <v>2550</v>
      </c>
      <c r="B2551">
        <v>128</v>
      </c>
      <c r="C2551">
        <v>5</v>
      </c>
      <c r="D2551">
        <v>30.39</v>
      </c>
      <c r="E2551">
        <v>3.04</v>
      </c>
      <c r="F2551">
        <v>0</v>
      </c>
      <c r="G2551">
        <v>0.1</v>
      </c>
      <c r="H2551" t="s">
        <v>622</v>
      </c>
      <c r="J2551" t="s">
        <v>623</v>
      </c>
      <c r="K2551" s="1"/>
      <c r="L2551" s="1">
        <v>46252.468668981484</v>
      </c>
      <c r="M2551" s="2">
        <v>46252</v>
      </c>
      <c r="N2551" t="s">
        <v>641</v>
      </c>
      <c r="O2551" t="s">
        <v>625</v>
      </c>
      <c r="P2551">
        <v>1</v>
      </c>
      <c r="Q2551">
        <v>0</v>
      </c>
      <c r="R2551">
        <v>30.39</v>
      </c>
      <c r="S2551" t="s">
        <v>251</v>
      </c>
      <c r="T2551" t="s">
        <v>779</v>
      </c>
    </row>
    <row r="2552" spans="1:20" x14ac:dyDescent="0.3">
      <c r="A2552">
        <v>2551</v>
      </c>
      <c r="B2552">
        <v>91</v>
      </c>
      <c r="C2552">
        <v>4</v>
      </c>
      <c r="D2552">
        <v>21.16</v>
      </c>
      <c r="E2552">
        <v>2.12</v>
      </c>
      <c r="F2552">
        <v>0</v>
      </c>
      <c r="G2552">
        <v>0.1</v>
      </c>
      <c r="H2552" t="s">
        <v>622</v>
      </c>
      <c r="J2552" t="s">
        <v>623</v>
      </c>
      <c r="K2552" s="1"/>
      <c r="L2552" s="1">
        <v>46252.628310185188</v>
      </c>
      <c r="M2552" s="2">
        <v>46252</v>
      </c>
      <c r="N2552" t="s">
        <v>641</v>
      </c>
      <c r="O2552" t="s">
        <v>625</v>
      </c>
      <c r="P2552">
        <v>1</v>
      </c>
      <c r="Q2552">
        <v>0</v>
      </c>
      <c r="R2552">
        <v>21.16</v>
      </c>
      <c r="S2552" t="s">
        <v>177</v>
      </c>
      <c r="T2552" t="s">
        <v>778</v>
      </c>
    </row>
    <row r="2553" spans="1:20" x14ac:dyDescent="0.3">
      <c r="A2553">
        <v>2552</v>
      </c>
      <c r="B2553">
        <v>156</v>
      </c>
      <c r="C2553">
        <v>5</v>
      </c>
      <c r="D2553">
        <v>15.4</v>
      </c>
      <c r="E2553">
        <v>1.54</v>
      </c>
      <c r="F2553">
        <v>0</v>
      </c>
      <c r="G2553">
        <v>0.1</v>
      </c>
      <c r="H2553" t="s">
        <v>622</v>
      </c>
      <c r="J2553" t="s">
        <v>623</v>
      </c>
      <c r="K2553" s="1"/>
      <c r="L2553" s="1">
        <v>46252.658946759257</v>
      </c>
      <c r="M2553" s="2">
        <v>46252</v>
      </c>
      <c r="N2553" t="s">
        <v>641</v>
      </c>
      <c r="O2553" t="s">
        <v>625</v>
      </c>
      <c r="P2553">
        <v>1</v>
      </c>
      <c r="Q2553">
        <v>0</v>
      </c>
      <c r="R2553">
        <v>15.4</v>
      </c>
      <c r="S2553" t="s">
        <v>307</v>
      </c>
      <c r="T2553" t="s">
        <v>779</v>
      </c>
    </row>
    <row r="2554" spans="1:20" x14ac:dyDescent="0.3">
      <c r="A2554">
        <v>2553</v>
      </c>
      <c r="B2554">
        <v>162</v>
      </c>
      <c r="C2554">
        <v>3</v>
      </c>
      <c r="D2554">
        <v>29.76</v>
      </c>
      <c r="E2554">
        <v>2.98</v>
      </c>
      <c r="F2554">
        <v>0</v>
      </c>
      <c r="G2554">
        <v>0.1</v>
      </c>
      <c r="H2554" t="s">
        <v>622</v>
      </c>
      <c r="J2554" t="s">
        <v>623</v>
      </c>
      <c r="K2554" s="1"/>
      <c r="L2554" s="1">
        <v>46252.723171296297</v>
      </c>
      <c r="M2554" s="2">
        <v>46252</v>
      </c>
      <c r="N2554" t="s">
        <v>641</v>
      </c>
      <c r="O2554" t="s">
        <v>625</v>
      </c>
      <c r="P2554">
        <v>1</v>
      </c>
      <c r="Q2554">
        <v>0</v>
      </c>
      <c r="R2554">
        <v>29.76</v>
      </c>
      <c r="S2554" t="s">
        <v>319</v>
      </c>
      <c r="T2554" t="s">
        <v>777</v>
      </c>
    </row>
    <row r="2555" spans="1:20" x14ac:dyDescent="0.3">
      <c r="A2555">
        <v>2554</v>
      </c>
      <c r="B2555">
        <v>38</v>
      </c>
      <c r="C2555">
        <v>4</v>
      </c>
      <c r="D2555">
        <v>24.11</v>
      </c>
      <c r="E2555">
        <v>2.41</v>
      </c>
      <c r="F2555">
        <v>0</v>
      </c>
      <c r="G2555">
        <v>0.1</v>
      </c>
      <c r="H2555" t="s">
        <v>622</v>
      </c>
      <c r="J2555" t="s">
        <v>623</v>
      </c>
      <c r="K2555" s="1"/>
      <c r="L2555" s="1">
        <v>46253.319965277777</v>
      </c>
      <c r="M2555" s="2">
        <v>46253</v>
      </c>
      <c r="N2555" t="s">
        <v>641</v>
      </c>
      <c r="O2555" t="s">
        <v>625</v>
      </c>
      <c r="P2555">
        <v>1</v>
      </c>
      <c r="Q2555">
        <v>0</v>
      </c>
      <c r="R2555">
        <v>24.11</v>
      </c>
      <c r="S2555" t="s">
        <v>72</v>
      </c>
      <c r="T2555" t="s">
        <v>778</v>
      </c>
    </row>
    <row r="2556" spans="1:20" x14ac:dyDescent="0.3">
      <c r="A2556">
        <v>2555</v>
      </c>
      <c r="B2556">
        <v>128</v>
      </c>
      <c r="C2556">
        <v>5</v>
      </c>
      <c r="D2556">
        <v>29.14</v>
      </c>
      <c r="E2556">
        <v>2.91</v>
      </c>
      <c r="F2556">
        <v>0</v>
      </c>
      <c r="G2556">
        <v>0.1</v>
      </c>
      <c r="H2556" t="s">
        <v>622</v>
      </c>
      <c r="J2556" t="s">
        <v>623</v>
      </c>
      <c r="K2556" s="1"/>
      <c r="L2556" s="1">
        <v>46253.348055555558</v>
      </c>
      <c r="M2556" s="2">
        <v>46253</v>
      </c>
      <c r="N2556" t="s">
        <v>641</v>
      </c>
      <c r="O2556" t="s">
        <v>625</v>
      </c>
      <c r="P2556">
        <v>1</v>
      </c>
      <c r="Q2556">
        <v>0</v>
      </c>
      <c r="R2556">
        <v>29.14</v>
      </c>
      <c r="S2556" t="s">
        <v>251</v>
      </c>
      <c r="T2556" t="s">
        <v>779</v>
      </c>
    </row>
    <row r="2557" spans="1:20" x14ac:dyDescent="0.3">
      <c r="A2557">
        <v>2556</v>
      </c>
      <c r="B2557">
        <v>185</v>
      </c>
      <c r="C2557">
        <v>4</v>
      </c>
      <c r="D2557">
        <v>83.27</v>
      </c>
      <c r="E2557">
        <v>8.33</v>
      </c>
      <c r="F2557">
        <v>0</v>
      </c>
      <c r="G2557">
        <v>0.1</v>
      </c>
      <c r="H2557" t="s">
        <v>622</v>
      </c>
      <c r="J2557" t="s">
        <v>623</v>
      </c>
      <c r="K2557" s="1"/>
      <c r="L2557" s="1">
        <v>46253.353935185187</v>
      </c>
      <c r="M2557" s="2">
        <v>46253</v>
      </c>
      <c r="N2557" t="s">
        <v>641</v>
      </c>
      <c r="O2557" t="s">
        <v>625</v>
      </c>
      <c r="P2557">
        <v>1</v>
      </c>
      <c r="Q2557">
        <v>0</v>
      </c>
      <c r="R2557">
        <v>83.27</v>
      </c>
      <c r="S2557" t="s">
        <v>365</v>
      </c>
      <c r="T2557" t="s">
        <v>778</v>
      </c>
    </row>
    <row r="2558" spans="1:20" x14ac:dyDescent="0.3">
      <c r="A2558">
        <v>2557</v>
      </c>
      <c r="B2558">
        <v>75</v>
      </c>
      <c r="C2558">
        <v>2</v>
      </c>
      <c r="D2558">
        <v>64.650000000000006</v>
      </c>
      <c r="E2558">
        <v>6.47</v>
      </c>
      <c r="F2558">
        <v>0</v>
      </c>
      <c r="G2558">
        <v>0.1</v>
      </c>
      <c r="H2558" t="s">
        <v>622</v>
      </c>
      <c r="J2558" t="s">
        <v>623</v>
      </c>
      <c r="K2558" s="1"/>
      <c r="L2558" s="1">
        <v>46253.388449074075</v>
      </c>
      <c r="M2558" s="2">
        <v>46253</v>
      </c>
      <c r="N2558" t="s">
        <v>641</v>
      </c>
      <c r="O2558" t="s">
        <v>625</v>
      </c>
      <c r="P2558">
        <v>1</v>
      </c>
      <c r="Q2558">
        <v>0</v>
      </c>
      <c r="R2558">
        <v>64.650000000000006</v>
      </c>
      <c r="S2558" t="s">
        <v>146</v>
      </c>
      <c r="T2558" t="s">
        <v>776</v>
      </c>
    </row>
    <row r="2559" spans="1:20" x14ac:dyDescent="0.3">
      <c r="A2559">
        <v>2558</v>
      </c>
      <c r="B2559">
        <v>243</v>
      </c>
      <c r="C2559">
        <v>2</v>
      </c>
      <c r="D2559">
        <v>66.42</v>
      </c>
      <c r="E2559">
        <v>6.64</v>
      </c>
      <c r="F2559">
        <v>0</v>
      </c>
      <c r="G2559">
        <v>0.1</v>
      </c>
      <c r="H2559" t="s">
        <v>622</v>
      </c>
      <c r="J2559" t="s">
        <v>623</v>
      </c>
      <c r="K2559" s="1"/>
      <c r="L2559" s="1">
        <v>46253.688993055555</v>
      </c>
      <c r="M2559" s="2">
        <v>46253</v>
      </c>
      <c r="N2559" t="s">
        <v>641</v>
      </c>
      <c r="O2559" t="s">
        <v>625</v>
      </c>
      <c r="P2559">
        <v>1</v>
      </c>
      <c r="Q2559">
        <v>0</v>
      </c>
      <c r="R2559">
        <v>66.42</v>
      </c>
      <c r="S2559" t="s">
        <v>481</v>
      </c>
      <c r="T2559" t="s">
        <v>776</v>
      </c>
    </row>
    <row r="2560" spans="1:20" x14ac:dyDescent="0.3">
      <c r="A2560">
        <v>2559</v>
      </c>
      <c r="B2560">
        <v>235</v>
      </c>
      <c r="C2560">
        <v>2</v>
      </c>
      <c r="D2560">
        <v>52.52</v>
      </c>
      <c r="E2560">
        <v>5.25</v>
      </c>
      <c r="F2560">
        <v>0</v>
      </c>
      <c r="G2560">
        <v>0.1</v>
      </c>
      <c r="H2560" t="s">
        <v>622</v>
      </c>
      <c r="J2560" t="s">
        <v>623</v>
      </c>
      <c r="K2560" s="1"/>
      <c r="L2560" s="1">
        <v>46253.692916666667</v>
      </c>
      <c r="M2560" s="2">
        <v>46253</v>
      </c>
      <c r="N2560" t="s">
        <v>641</v>
      </c>
      <c r="O2560" t="s">
        <v>625</v>
      </c>
      <c r="P2560">
        <v>1</v>
      </c>
      <c r="Q2560">
        <v>0</v>
      </c>
      <c r="R2560">
        <v>52.52</v>
      </c>
      <c r="S2560" t="s">
        <v>465</v>
      </c>
      <c r="T2560" t="s">
        <v>776</v>
      </c>
    </row>
    <row r="2561" spans="1:20" x14ac:dyDescent="0.3">
      <c r="A2561">
        <v>2560</v>
      </c>
      <c r="B2561">
        <v>157</v>
      </c>
      <c r="C2561">
        <v>4</v>
      </c>
      <c r="D2561">
        <v>79.349999999999994</v>
      </c>
      <c r="E2561">
        <v>7.94</v>
      </c>
      <c r="F2561">
        <v>0</v>
      </c>
      <c r="G2561">
        <v>0.1</v>
      </c>
      <c r="H2561" t="s">
        <v>622</v>
      </c>
      <c r="J2561" t="s">
        <v>623</v>
      </c>
      <c r="K2561" s="1"/>
      <c r="L2561" s="1">
        <v>46253.717743055553</v>
      </c>
      <c r="M2561" s="2">
        <v>46253</v>
      </c>
      <c r="N2561" t="s">
        <v>641</v>
      </c>
      <c r="O2561" t="s">
        <v>625</v>
      </c>
      <c r="P2561">
        <v>1</v>
      </c>
      <c r="Q2561">
        <v>0</v>
      </c>
      <c r="R2561">
        <v>79.349999999999994</v>
      </c>
      <c r="S2561" t="s">
        <v>309</v>
      </c>
      <c r="T2561" t="s">
        <v>778</v>
      </c>
    </row>
    <row r="2562" spans="1:20" x14ac:dyDescent="0.3">
      <c r="A2562">
        <v>2561</v>
      </c>
      <c r="B2562">
        <v>75</v>
      </c>
      <c r="C2562">
        <v>2</v>
      </c>
      <c r="D2562">
        <v>52.41</v>
      </c>
      <c r="E2562">
        <v>5.24</v>
      </c>
      <c r="F2562">
        <v>0</v>
      </c>
      <c r="G2562">
        <v>0.1</v>
      </c>
      <c r="H2562" t="s">
        <v>622</v>
      </c>
      <c r="J2562" t="s">
        <v>623</v>
      </c>
      <c r="K2562" s="1"/>
      <c r="L2562" s="1">
        <v>46253.747627314813</v>
      </c>
      <c r="M2562" s="2">
        <v>46253</v>
      </c>
      <c r="N2562" t="s">
        <v>641</v>
      </c>
      <c r="O2562" t="s">
        <v>625</v>
      </c>
      <c r="P2562">
        <v>1</v>
      </c>
      <c r="Q2562">
        <v>0</v>
      </c>
      <c r="R2562">
        <v>52.41</v>
      </c>
      <c r="S2562" t="s">
        <v>146</v>
      </c>
      <c r="T2562" t="s">
        <v>776</v>
      </c>
    </row>
    <row r="2563" spans="1:20" x14ac:dyDescent="0.3">
      <c r="A2563">
        <v>2562</v>
      </c>
      <c r="B2563">
        <v>86</v>
      </c>
      <c r="C2563">
        <v>3</v>
      </c>
      <c r="D2563">
        <v>42.78</v>
      </c>
      <c r="E2563">
        <v>4.28</v>
      </c>
      <c r="F2563">
        <v>0</v>
      </c>
      <c r="G2563">
        <v>0.1</v>
      </c>
      <c r="H2563" t="s">
        <v>622</v>
      </c>
      <c r="J2563" t="s">
        <v>623</v>
      </c>
      <c r="K2563" s="1"/>
      <c r="L2563" s="1">
        <v>46254.340520833335</v>
      </c>
      <c r="M2563" s="2">
        <v>46254</v>
      </c>
      <c r="N2563" t="s">
        <v>641</v>
      </c>
      <c r="O2563" t="s">
        <v>625</v>
      </c>
      <c r="P2563">
        <v>1</v>
      </c>
      <c r="Q2563">
        <v>0</v>
      </c>
      <c r="R2563">
        <v>42.78</v>
      </c>
      <c r="S2563" t="s">
        <v>167</v>
      </c>
      <c r="T2563" t="s">
        <v>777</v>
      </c>
    </row>
    <row r="2564" spans="1:20" x14ac:dyDescent="0.3">
      <c r="A2564">
        <v>2563</v>
      </c>
      <c r="B2564">
        <v>268</v>
      </c>
      <c r="C2564">
        <v>2</v>
      </c>
      <c r="D2564">
        <v>44.33</v>
      </c>
      <c r="E2564">
        <v>4.43</v>
      </c>
      <c r="F2564">
        <v>0</v>
      </c>
      <c r="G2564">
        <v>0.1</v>
      </c>
      <c r="H2564" t="s">
        <v>626</v>
      </c>
      <c r="I2564">
        <v>3</v>
      </c>
      <c r="J2564" t="s">
        <v>628</v>
      </c>
      <c r="K2564" s="1">
        <v>46254.445370370369</v>
      </c>
      <c r="L2564" s="1">
        <v>46254.362037037034</v>
      </c>
      <c r="M2564" s="2">
        <v>46254</v>
      </c>
      <c r="N2564" t="s">
        <v>641</v>
      </c>
      <c r="O2564" t="s">
        <v>625</v>
      </c>
      <c r="P2564">
        <v>1</v>
      </c>
      <c r="Q2564">
        <v>1</v>
      </c>
      <c r="R2564">
        <v>0</v>
      </c>
      <c r="S2564" t="s">
        <v>531</v>
      </c>
      <c r="T2564" t="s">
        <v>776</v>
      </c>
    </row>
    <row r="2565" spans="1:20" x14ac:dyDescent="0.3">
      <c r="A2565">
        <v>2564</v>
      </c>
      <c r="B2565">
        <v>128</v>
      </c>
      <c r="C2565">
        <v>5</v>
      </c>
      <c r="D2565">
        <v>20.46</v>
      </c>
      <c r="E2565">
        <v>0</v>
      </c>
      <c r="F2565">
        <v>1</v>
      </c>
      <c r="G2565">
        <v>0.1</v>
      </c>
      <c r="H2565" t="s">
        <v>622</v>
      </c>
      <c r="J2565" t="s">
        <v>623</v>
      </c>
      <c r="K2565" s="1"/>
      <c r="L2565" s="1">
        <v>46254.400451388887</v>
      </c>
      <c r="M2565" s="2">
        <v>46254</v>
      </c>
      <c r="N2565" t="s">
        <v>641</v>
      </c>
      <c r="O2565" t="s">
        <v>629</v>
      </c>
      <c r="P2565">
        <v>1</v>
      </c>
      <c r="Q2565">
        <v>0</v>
      </c>
      <c r="R2565">
        <v>20.46</v>
      </c>
      <c r="S2565" t="s">
        <v>251</v>
      </c>
      <c r="T2565" t="s">
        <v>779</v>
      </c>
    </row>
    <row r="2566" spans="1:20" x14ac:dyDescent="0.3">
      <c r="A2566">
        <v>2565</v>
      </c>
      <c r="B2566">
        <v>128</v>
      </c>
      <c r="C2566">
        <v>2</v>
      </c>
      <c r="D2566">
        <v>17.63</v>
      </c>
      <c r="E2566">
        <v>1.76</v>
      </c>
      <c r="F2566">
        <v>0</v>
      </c>
      <c r="G2566">
        <v>0.1</v>
      </c>
      <c r="H2566" t="s">
        <v>622</v>
      </c>
      <c r="J2566" t="s">
        <v>623</v>
      </c>
      <c r="K2566" s="1"/>
      <c r="L2566" s="1">
        <v>46254.402581018519</v>
      </c>
      <c r="M2566" s="2">
        <v>46254</v>
      </c>
      <c r="N2566" t="s">
        <v>641</v>
      </c>
      <c r="O2566" t="s">
        <v>625</v>
      </c>
      <c r="P2566">
        <v>1</v>
      </c>
      <c r="Q2566">
        <v>0</v>
      </c>
      <c r="R2566">
        <v>17.63</v>
      </c>
      <c r="S2566" t="s">
        <v>251</v>
      </c>
      <c r="T2566" t="s">
        <v>776</v>
      </c>
    </row>
    <row r="2567" spans="1:20" x14ac:dyDescent="0.3">
      <c r="A2567">
        <v>2566</v>
      </c>
      <c r="B2567">
        <v>11</v>
      </c>
      <c r="C2567">
        <v>5</v>
      </c>
      <c r="D2567">
        <v>276.68</v>
      </c>
      <c r="E2567">
        <v>27.67</v>
      </c>
      <c r="F2567">
        <v>0</v>
      </c>
      <c r="G2567">
        <v>0.1</v>
      </c>
      <c r="H2567" t="s">
        <v>622</v>
      </c>
      <c r="J2567" t="s">
        <v>623</v>
      </c>
      <c r="K2567" s="1"/>
      <c r="L2567" s="1">
        <v>46254.437893518516</v>
      </c>
      <c r="M2567" s="2">
        <v>46254</v>
      </c>
      <c r="N2567" t="s">
        <v>641</v>
      </c>
      <c r="O2567" t="s">
        <v>625</v>
      </c>
      <c r="P2567">
        <v>1</v>
      </c>
      <c r="Q2567">
        <v>0</v>
      </c>
      <c r="R2567">
        <v>276.68</v>
      </c>
      <c r="S2567" t="s">
        <v>18</v>
      </c>
      <c r="T2567" t="s">
        <v>779</v>
      </c>
    </row>
    <row r="2568" spans="1:20" x14ac:dyDescent="0.3">
      <c r="A2568">
        <v>2567</v>
      </c>
      <c r="B2568">
        <v>148</v>
      </c>
      <c r="C2568">
        <v>2</v>
      </c>
      <c r="D2568">
        <v>21.98</v>
      </c>
      <c r="E2568">
        <v>2.2000000000000002</v>
      </c>
      <c r="F2568">
        <v>0</v>
      </c>
      <c r="G2568">
        <v>0.1</v>
      </c>
      <c r="H2568" t="s">
        <v>622</v>
      </c>
      <c r="J2568" t="s">
        <v>623</v>
      </c>
      <c r="K2568" s="1"/>
      <c r="L2568" s="1">
        <v>46254.619872685187</v>
      </c>
      <c r="M2568" s="2">
        <v>46254</v>
      </c>
      <c r="N2568" t="s">
        <v>641</v>
      </c>
      <c r="O2568" t="s">
        <v>625</v>
      </c>
      <c r="P2568">
        <v>1</v>
      </c>
      <c r="Q2568">
        <v>0</v>
      </c>
      <c r="R2568">
        <v>21.98</v>
      </c>
      <c r="S2568" t="s">
        <v>291</v>
      </c>
      <c r="T2568" t="s">
        <v>776</v>
      </c>
    </row>
    <row r="2569" spans="1:20" x14ac:dyDescent="0.3">
      <c r="A2569">
        <v>2568</v>
      </c>
      <c r="B2569">
        <v>136</v>
      </c>
      <c r="C2569">
        <v>4</v>
      </c>
      <c r="D2569">
        <v>69.040000000000006</v>
      </c>
      <c r="E2569">
        <v>6.9</v>
      </c>
      <c r="F2569">
        <v>0</v>
      </c>
      <c r="G2569">
        <v>0.1</v>
      </c>
      <c r="H2569" t="s">
        <v>622</v>
      </c>
      <c r="J2569" t="s">
        <v>623</v>
      </c>
      <c r="K2569" s="1"/>
      <c r="L2569" s="1">
        <v>46254.629317129627</v>
      </c>
      <c r="M2569" s="2">
        <v>46254</v>
      </c>
      <c r="N2569" t="s">
        <v>641</v>
      </c>
      <c r="O2569" t="s">
        <v>625</v>
      </c>
      <c r="P2569">
        <v>1</v>
      </c>
      <c r="Q2569">
        <v>0</v>
      </c>
      <c r="R2569">
        <v>69.040000000000006</v>
      </c>
      <c r="S2569" t="s">
        <v>267</v>
      </c>
      <c r="T2569" t="s">
        <v>778</v>
      </c>
    </row>
    <row r="2570" spans="1:20" x14ac:dyDescent="0.3">
      <c r="A2570">
        <v>2569</v>
      </c>
      <c r="B2570">
        <v>121</v>
      </c>
      <c r="C2570">
        <v>3</v>
      </c>
      <c r="D2570">
        <v>48.12</v>
      </c>
      <c r="E2570">
        <v>4.8099999999999996</v>
      </c>
      <c r="F2570">
        <v>0</v>
      </c>
      <c r="G2570">
        <v>0.1</v>
      </c>
      <c r="H2570" t="s">
        <v>622</v>
      </c>
      <c r="J2570" t="s">
        <v>623</v>
      </c>
      <c r="K2570" s="1"/>
      <c r="L2570" s="1">
        <v>46255.386145833334</v>
      </c>
      <c r="M2570" s="2">
        <v>46255</v>
      </c>
      <c r="N2570" t="s">
        <v>641</v>
      </c>
      <c r="O2570" t="s">
        <v>625</v>
      </c>
      <c r="P2570">
        <v>1</v>
      </c>
      <c r="Q2570">
        <v>0</v>
      </c>
      <c r="R2570">
        <v>48.12</v>
      </c>
      <c r="S2570" t="s">
        <v>237</v>
      </c>
      <c r="T2570" t="s">
        <v>777</v>
      </c>
    </row>
    <row r="2571" spans="1:20" x14ac:dyDescent="0.3">
      <c r="A2571">
        <v>2570</v>
      </c>
      <c r="B2571">
        <v>250</v>
      </c>
      <c r="C2571">
        <v>5</v>
      </c>
      <c r="D2571">
        <v>134.1</v>
      </c>
      <c r="E2571">
        <v>13.41</v>
      </c>
      <c r="F2571">
        <v>0</v>
      </c>
      <c r="G2571">
        <v>0.1</v>
      </c>
      <c r="H2571" t="s">
        <v>622</v>
      </c>
      <c r="J2571" t="s">
        <v>623</v>
      </c>
      <c r="K2571" s="1"/>
      <c r="L2571" s="1">
        <v>46255.391504629632</v>
      </c>
      <c r="M2571" s="2">
        <v>46255</v>
      </c>
      <c r="N2571" t="s">
        <v>641</v>
      </c>
      <c r="O2571" t="s">
        <v>625</v>
      </c>
      <c r="P2571">
        <v>1</v>
      </c>
      <c r="Q2571">
        <v>0</v>
      </c>
      <c r="R2571">
        <v>134.1</v>
      </c>
      <c r="S2571" t="s">
        <v>495</v>
      </c>
      <c r="T2571" t="s">
        <v>779</v>
      </c>
    </row>
    <row r="2572" spans="1:20" x14ac:dyDescent="0.3">
      <c r="A2572">
        <v>2571</v>
      </c>
      <c r="B2572">
        <v>161</v>
      </c>
      <c r="C2572">
        <v>4</v>
      </c>
      <c r="D2572">
        <v>98.36</v>
      </c>
      <c r="E2572">
        <v>9.84</v>
      </c>
      <c r="F2572">
        <v>0</v>
      </c>
      <c r="G2572">
        <v>0.1</v>
      </c>
      <c r="H2572" t="s">
        <v>622</v>
      </c>
      <c r="J2572" t="s">
        <v>623</v>
      </c>
      <c r="K2572" s="1"/>
      <c r="L2572" s="1">
        <v>46255.466631944444</v>
      </c>
      <c r="M2572" s="2">
        <v>46255</v>
      </c>
      <c r="N2572" t="s">
        <v>641</v>
      </c>
      <c r="O2572" t="s">
        <v>625</v>
      </c>
      <c r="P2572">
        <v>1</v>
      </c>
      <c r="Q2572">
        <v>0</v>
      </c>
      <c r="R2572">
        <v>98.36</v>
      </c>
      <c r="S2572" t="s">
        <v>317</v>
      </c>
      <c r="T2572" t="s">
        <v>778</v>
      </c>
    </row>
    <row r="2573" spans="1:20" x14ac:dyDescent="0.3">
      <c r="A2573">
        <v>2572</v>
      </c>
      <c r="B2573">
        <v>128</v>
      </c>
      <c r="C2573">
        <v>4</v>
      </c>
      <c r="D2573">
        <v>40.630000000000003</v>
      </c>
      <c r="E2573">
        <v>4.0599999999999996</v>
      </c>
      <c r="F2573">
        <v>0</v>
      </c>
      <c r="G2573">
        <v>0.1</v>
      </c>
      <c r="H2573" t="s">
        <v>622</v>
      </c>
      <c r="J2573" t="s">
        <v>623</v>
      </c>
      <c r="K2573" s="1"/>
      <c r="L2573" s="1">
        <v>46255.485972222225</v>
      </c>
      <c r="M2573" s="2">
        <v>46255</v>
      </c>
      <c r="N2573" t="s">
        <v>641</v>
      </c>
      <c r="O2573" t="s">
        <v>625</v>
      </c>
      <c r="P2573">
        <v>1</v>
      </c>
      <c r="Q2573">
        <v>0</v>
      </c>
      <c r="R2573">
        <v>40.630000000000003</v>
      </c>
      <c r="S2573" t="s">
        <v>251</v>
      </c>
      <c r="T2573" t="s">
        <v>778</v>
      </c>
    </row>
    <row r="2574" spans="1:20" x14ac:dyDescent="0.3">
      <c r="A2574">
        <v>2573</v>
      </c>
      <c r="B2574">
        <v>128</v>
      </c>
      <c r="C2574">
        <v>3</v>
      </c>
      <c r="D2574">
        <v>24.46</v>
      </c>
      <c r="E2574">
        <v>2.4500000000000002</v>
      </c>
      <c r="F2574">
        <v>0</v>
      </c>
      <c r="G2574">
        <v>0.1</v>
      </c>
      <c r="H2574" t="s">
        <v>622</v>
      </c>
      <c r="J2574" t="s">
        <v>623</v>
      </c>
      <c r="K2574" s="1"/>
      <c r="L2574" s="1">
        <v>46255.52920138889</v>
      </c>
      <c r="M2574" s="2">
        <v>46255</v>
      </c>
      <c r="N2574" t="s">
        <v>641</v>
      </c>
      <c r="O2574" t="s">
        <v>625</v>
      </c>
      <c r="P2574">
        <v>1</v>
      </c>
      <c r="Q2574">
        <v>0</v>
      </c>
      <c r="R2574">
        <v>24.46</v>
      </c>
      <c r="S2574" t="s">
        <v>251</v>
      </c>
      <c r="T2574" t="s">
        <v>777</v>
      </c>
    </row>
    <row r="2575" spans="1:20" x14ac:dyDescent="0.3">
      <c r="A2575">
        <v>2574</v>
      </c>
      <c r="B2575">
        <v>153</v>
      </c>
      <c r="C2575">
        <v>4</v>
      </c>
      <c r="D2575">
        <v>68.900000000000006</v>
      </c>
      <c r="E2575">
        <v>6.89</v>
      </c>
      <c r="F2575">
        <v>0</v>
      </c>
      <c r="G2575">
        <v>0.1</v>
      </c>
      <c r="H2575" t="s">
        <v>622</v>
      </c>
      <c r="J2575" t="s">
        <v>623</v>
      </c>
      <c r="K2575" s="1"/>
      <c r="L2575" s="1">
        <v>46255.538657407407</v>
      </c>
      <c r="M2575" s="2">
        <v>46255</v>
      </c>
      <c r="N2575" t="s">
        <v>641</v>
      </c>
      <c r="O2575" t="s">
        <v>625</v>
      </c>
      <c r="P2575">
        <v>1</v>
      </c>
      <c r="Q2575">
        <v>0</v>
      </c>
      <c r="R2575">
        <v>68.900000000000006</v>
      </c>
      <c r="S2575" t="s">
        <v>301</v>
      </c>
      <c r="T2575" t="s">
        <v>778</v>
      </c>
    </row>
    <row r="2576" spans="1:20" x14ac:dyDescent="0.3">
      <c r="A2576">
        <v>2575</v>
      </c>
      <c r="B2576">
        <v>185</v>
      </c>
      <c r="C2576">
        <v>4</v>
      </c>
      <c r="D2576">
        <v>161.38999999999999</v>
      </c>
      <c r="E2576">
        <v>16.14</v>
      </c>
      <c r="F2576">
        <v>0</v>
      </c>
      <c r="G2576">
        <v>0.1</v>
      </c>
      <c r="H2576" t="s">
        <v>622</v>
      </c>
      <c r="J2576" t="s">
        <v>623</v>
      </c>
      <c r="K2576" s="1"/>
      <c r="L2576" s="1">
        <v>46255.736435185187</v>
      </c>
      <c r="M2576" s="2">
        <v>46255</v>
      </c>
      <c r="N2576" t="s">
        <v>641</v>
      </c>
      <c r="O2576" t="s">
        <v>625</v>
      </c>
      <c r="P2576">
        <v>1</v>
      </c>
      <c r="Q2576">
        <v>0</v>
      </c>
      <c r="R2576">
        <v>161.38999999999999</v>
      </c>
      <c r="S2576" t="s">
        <v>365</v>
      </c>
      <c r="T2576" t="s">
        <v>778</v>
      </c>
    </row>
    <row r="2577" spans="1:20" x14ac:dyDescent="0.3">
      <c r="A2577">
        <v>2576</v>
      </c>
      <c r="B2577">
        <v>247</v>
      </c>
      <c r="C2577">
        <v>3</v>
      </c>
      <c r="D2577">
        <v>35.71</v>
      </c>
      <c r="E2577">
        <v>3.57</v>
      </c>
      <c r="F2577">
        <v>0</v>
      </c>
      <c r="G2577">
        <v>0.1</v>
      </c>
      <c r="H2577" t="s">
        <v>622</v>
      </c>
      <c r="J2577" t="s">
        <v>623</v>
      </c>
      <c r="K2577" s="1"/>
      <c r="L2577" s="1">
        <v>46255.767870370371</v>
      </c>
      <c r="M2577" s="2">
        <v>46255</v>
      </c>
      <c r="N2577" t="s">
        <v>641</v>
      </c>
      <c r="O2577" t="s">
        <v>625</v>
      </c>
      <c r="P2577">
        <v>1</v>
      </c>
      <c r="Q2577">
        <v>0</v>
      </c>
      <c r="R2577">
        <v>35.71</v>
      </c>
      <c r="S2577" t="s">
        <v>489</v>
      </c>
      <c r="T2577" t="s">
        <v>777</v>
      </c>
    </row>
    <row r="2578" spans="1:20" x14ac:dyDescent="0.3">
      <c r="A2578">
        <v>2577</v>
      </c>
      <c r="B2578">
        <v>178</v>
      </c>
      <c r="C2578">
        <v>2</v>
      </c>
      <c r="D2578">
        <v>300</v>
      </c>
      <c r="E2578">
        <v>30</v>
      </c>
      <c r="F2578">
        <v>0</v>
      </c>
      <c r="G2578">
        <v>0.1</v>
      </c>
      <c r="H2578" t="s">
        <v>622</v>
      </c>
      <c r="J2578" t="s">
        <v>623</v>
      </c>
      <c r="K2578" s="1"/>
      <c r="L2578" s="1">
        <v>46255.774641203701</v>
      </c>
      <c r="M2578" s="2">
        <v>46255</v>
      </c>
      <c r="N2578" t="s">
        <v>641</v>
      </c>
      <c r="O2578" t="s">
        <v>625</v>
      </c>
      <c r="P2578">
        <v>1</v>
      </c>
      <c r="Q2578">
        <v>0</v>
      </c>
      <c r="R2578">
        <v>300</v>
      </c>
      <c r="S2578" t="s">
        <v>351</v>
      </c>
      <c r="T2578" t="s">
        <v>776</v>
      </c>
    </row>
    <row r="2579" spans="1:20" x14ac:dyDescent="0.3">
      <c r="A2579">
        <v>2578</v>
      </c>
      <c r="B2579">
        <v>36</v>
      </c>
      <c r="C2579">
        <v>2</v>
      </c>
      <c r="D2579">
        <v>165.62</v>
      </c>
      <c r="E2579">
        <v>0</v>
      </c>
      <c r="F2579">
        <v>1</v>
      </c>
      <c r="G2579">
        <v>0.1</v>
      </c>
      <c r="H2579" t="s">
        <v>622</v>
      </c>
      <c r="J2579" t="s">
        <v>623</v>
      </c>
      <c r="K2579" s="1"/>
      <c r="L2579" s="1">
        <v>46255.793043981481</v>
      </c>
      <c r="M2579" s="2">
        <v>46255</v>
      </c>
      <c r="N2579" t="s">
        <v>641</v>
      </c>
      <c r="O2579" t="s">
        <v>629</v>
      </c>
      <c r="P2579">
        <v>1</v>
      </c>
      <c r="Q2579">
        <v>0</v>
      </c>
      <c r="R2579">
        <v>165.62</v>
      </c>
      <c r="S2579" t="s">
        <v>68</v>
      </c>
      <c r="T2579" t="s">
        <v>776</v>
      </c>
    </row>
    <row r="2580" spans="1:20" x14ac:dyDescent="0.3">
      <c r="A2580">
        <v>2579</v>
      </c>
      <c r="B2580">
        <v>250</v>
      </c>
      <c r="C2580">
        <v>5</v>
      </c>
      <c r="D2580">
        <v>119.83</v>
      </c>
      <c r="E2580">
        <v>11.98</v>
      </c>
      <c r="F2580">
        <v>0</v>
      </c>
      <c r="G2580">
        <v>0.1</v>
      </c>
      <c r="H2580" t="s">
        <v>622</v>
      </c>
      <c r="J2580" t="s">
        <v>623</v>
      </c>
      <c r="K2580" s="1"/>
      <c r="L2580" s="1">
        <v>46256.297638888886</v>
      </c>
      <c r="M2580" s="2">
        <v>46256</v>
      </c>
      <c r="N2580" t="s">
        <v>641</v>
      </c>
      <c r="O2580" t="s">
        <v>625</v>
      </c>
      <c r="P2580">
        <v>1</v>
      </c>
      <c r="Q2580">
        <v>0</v>
      </c>
      <c r="R2580">
        <v>119.83</v>
      </c>
      <c r="S2580" t="s">
        <v>495</v>
      </c>
      <c r="T2580" t="s">
        <v>779</v>
      </c>
    </row>
    <row r="2581" spans="1:20" x14ac:dyDescent="0.3">
      <c r="A2581">
        <v>2580</v>
      </c>
      <c r="B2581">
        <v>134</v>
      </c>
      <c r="C2581">
        <v>3</v>
      </c>
      <c r="D2581">
        <v>175.41</v>
      </c>
      <c r="E2581">
        <v>17.54</v>
      </c>
      <c r="F2581">
        <v>0</v>
      </c>
      <c r="G2581">
        <v>0.1</v>
      </c>
      <c r="H2581" t="s">
        <v>622</v>
      </c>
      <c r="J2581" t="s">
        <v>623</v>
      </c>
      <c r="K2581" s="1"/>
      <c r="L2581" s="1">
        <v>46256.317326388889</v>
      </c>
      <c r="M2581" s="2">
        <v>46256</v>
      </c>
      <c r="N2581" t="s">
        <v>641</v>
      </c>
      <c r="O2581" t="s">
        <v>625</v>
      </c>
      <c r="P2581">
        <v>1</v>
      </c>
      <c r="Q2581">
        <v>0</v>
      </c>
      <c r="R2581">
        <v>175.41</v>
      </c>
      <c r="S2581" t="s">
        <v>263</v>
      </c>
      <c r="T2581" t="s">
        <v>777</v>
      </c>
    </row>
    <row r="2582" spans="1:20" x14ac:dyDescent="0.3">
      <c r="A2582">
        <v>2581</v>
      </c>
      <c r="B2582">
        <v>128</v>
      </c>
      <c r="C2582">
        <v>2</v>
      </c>
      <c r="D2582">
        <v>22.29</v>
      </c>
      <c r="E2582">
        <v>2.23</v>
      </c>
      <c r="F2582">
        <v>0</v>
      </c>
      <c r="G2582">
        <v>0.1</v>
      </c>
      <c r="H2582" t="s">
        <v>622</v>
      </c>
      <c r="J2582" t="s">
        <v>623</v>
      </c>
      <c r="K2582" s="1"/>
      <c r="L2582" s="1">
        <v>46256.341909722221</v>
      </c>
      <c r="M2582" s="2">
        <v>46256</v>
      </c>
      <c r="N2582" t="s">
        <v>641</v>
      </c>
      <c r="O2582" t="s">
        <v>625</v>
      </c>
      <c r="P2582">
        <v>1</v>
      </c>
      <c r="Q2582">
        <v>0</v>
      </c>
      <c r="R2582">
        <v>22.29</v>
      </c>
      <c r="S2582" t="s">
        <v>251</v>
      </c>
      <c r="T2582" t="s">
        <v>776</v>
      </c>
    </row>
    <row r="2583" spans="1:20" x14ac:dyDescent="0.3">
      <c r="A2583">
        <v>2582</v>
      </c>
      <c r="B2583">
        <v>185</v>
      </c>
      <c r="C2583">
        <v>5</v>
      </c>
      <c r="D2583">
        <v>173.18</v>
      </c>
      <c r="E2583">
        <v>17.32</v>
      </c>
      <c r="F2583">
        <v>0</v>
      </c>
      <c r="G2583">
        <v>0.1</v>
      </c>
      <c r="H2583" t="s">
        <v>622</v>
      </c>
      <c r="J2583" t="s">
        <v>623</v>
      </c>
      <c r="K2583" s="1"/>
      <c r="L2583" s="1">
        <v>46256.413530092592</v>
      </c>
      <c r="M2583" s="2">
        <v>46256</v>
      </c>
      <c r="N2583" t="s">
        <v>641</v>
      </c>
      <c r="O2583" t="s">
        <v>625</v>
      </c>
      <c r="P2583">
        <v>1</v>
      </c>
      <c r="Q2583">
        <v>0</v>
      </c>
      <c r="R2583">
        <v>173.18</v>
      </c>
      <c r="S2583" t="s">
        <v>365</v>
      </c>
      <c r="T2583" t="s">
        <v>779</v>
      </c>
    </row>
    <row r="2584" spans="1:20" x14ac:dyDescent="0.3">
      <c r="A2584">
        <v>2583</v>
      </c>
      <c r="B2584">
        <v>61</v>
      </c>
      <c r="C2584">
        <v>3</v>
      </c>
      <c r="D2584">
        <v>62.22</v>
      </c>
      <c r="E2584">
        <v>6.22</v>
      </c>
      <c r="F2584">
        <v>0</v>
      </c>
      <c r="G2584">
        <v>0.1</v>
      </c>
      <c r="H2584" t="s">
        <v>622</v>
      </c>
      <c r="J2584" t="s">
        <v>623</v>
      </c>
      <c r="K2584" s="1"/>
      <c r="L2584" s="1">
        <v>46256.424722222226</v>
      </c>
      <c r="M2584" s="2">
        <v>46256</v>
      </c>
      <c r="N2584" t="s">
        <v>641</v>
      </c>
      <c r="O2584" t="s">
        <v>625</v>
      </c>
      <c r="P2584">
        <v>1</v>
      </c>
      <c r="Q2584">
        <v>0</v>
      </c>
      <c r="R2584">
        <v>62.22</v>
      </c>
      <c r="S2584" t="s">
        <v>118</v>
      </c>
      <c r="T2584" t="s">
        <v>777</v>
      </c>
    </row>
    <row r="2585" spans="1:20" x14ac:dyDescent="0.3">
      <c r="A2585">
        <v>2584</v>
      </c>
      <c r="B2585">
        <v>121</v>
      </c>
      <c r="C2585">
        <v>2</v>
      </c>
      <c r="D2585">
        <v>41.89</v>
      </c>
      <c r="E2585">
        <v>4.1900000000000004</v>
      </c>
      <c r="F2585">
        <v>0</v>
      </c>
      <c r="G2585">
        <v>0.1</v>
      </c>
      <c r="H2585" t="s">
        <v>622</v>
      </c>
      <c r="J2585" t="s">
        <v>623</v>
      </c>
      <c r="K2585" s="1"/>
      <c r="L2585" s="1">
        <v>46256.425798611112</v>
      </c>
      <c r="M2585" s="2">
        <v>46256</v>
      </c>
      <c r="N2585" t="s">
        <v>641</v>
      </c>
      <c r="O2585" t="s">
        <v>625</v>
      </c>
      <c r="P2585">
        <v>1</v>
      </c>
      <c r="Q2585">
        <v>0</v>
      </c>
      <c r="R2585">
        <v>41.89</v>
      </c>
      <c r="S2585" t="s">
        <v>237</v>
      </c>
      <c r="T2585" t="s">
        <v>776</v>
      </c>
    </row>
    <row r="2586" spans="1:20" x14ac:dyDescent="0.3">
      <c r="A2586">
        <v>2585</v>
      </c>
      <c r="B2586">
        <v>229</v>
      </c>
      <c r="C2586">
        <v>2</v>
      </c>
      <c r="D2586">
        <v>148.38999999999999</v>
      </c>
      <c r="E2586">
        <v>14.84</v>
      </c>
      <c r="F2586">
        <v>0</v>
      </c>
      <c r="G2586">
        <v>0.1</v>
      </c>
      <c r="H2586" t="s">
        <v>622</v>
      </c>
      <c r="J2586" t="s">
        <v>623</v>
      </c>
      <c r="K2586" s="1"/>
      <c r="L2586" s="1">
        <v>46256.45380787037</v>
      </c>
      <c r="M2586" s="2">
        <v>46256</v>
      </c>
      <c r="N2586" t="s">
        <v>641</v>
      </c>
      <c r="O2586" t="s">
        <v>625</v>
      </c>
      <c r="P2586">
        <v>1</v>
      </c>
      <c r="Q2586">
        <v>0</v>
      </c>
      <c r="R2586">
        <v>148.38999999999999</v>
      </c>
      <c r="S2586" t="s">
        <v>453</v>
      </c>
      <c r="T2586" t="s">
        <v>776</v>
      </c>
    </row>
    <row r="2587" spans="1:20" x14ac:dyDescent="0.3">
      <c r="A2587">
        <v>2586</v>
      </c>
      <c r="B2587">
        <v>44</v>
      </c>
      <c r="C2587">
        <v>3</v>
      </c>
      <c r="D2587">
        <v>16.690000000000001</v>
      </c>
      <c r="E2587">
        <v>1.67</v>
      </c>
      <c r="F2587">
        <v>0</v>
      </c>
      <c r="G2587">
        <v>0.1</v>
      </c>
      <c r="H2587" t="s">
        <v>622</v>
      </c>
      <c r="J2587" t="s">
        <v>623</v>
      </c>
      <c r="K2587" s="1"/>
      <c r="L2587" s="1">
        <v>46256.566145833334</v>
      </c>
      <c r="M2587" s="2">
        <v>46256</v>
      </c>
      <c r="N2587" t="s">
        <v>641</v>
      </c>
      <c r="O2587" t="s">
        <v>625</v>
      </c>
      <c r="P2587">
        <v>1</v>
      </c>
      <c r="Q2587">
        <v>0</v>
      </c>
      <c r="R2587">
        <v>16.690000000000001</v>
      </c>
      <c r="S2587" t="s">
        <v>84</v>
      </c>
      <c r="T2587" t="s">
        <v>777</v>
      </c>
    </row>
    <row r="2588" spans="1:20" x14ac:dyDescent="0.3">
      <c r="A2588">
        <v>2587</v>
      </c>
      <c r="B2588">
        <v>250</v>
      </c>
      <c r="C2588">
        <v>2</v>
      </c>
      <c r="D2588">
        <v>117.07</v>
      </c>
      <c r="E2588">
        <v>11.71</v>
      </c>
      <c r="F2588">
        <v>0</v>
      </c>
      <c r="G2588">
        <v>0.1</v>
      </c>
      <c r="H2588" t="s">
        <v>622</v>
      </c>
      <c r="J2588" t="s">
        <v>623</v>
      </c>
      <c r="K2588" s="1"/>
      <c r="L2588" s="1">
        <v>46256.619293981479</v>
      </c>
      <c r="M2588" s="2">
        <v>46256</v>
      </c>
      <c r="N2588" t="s">
        <v>641</v>
      </c>
      <c r="O2588" t="s">
        <v>625</v>
      </c>
      <c r="P2588">
        <v>1</v>
      </c>
      <c r="Q2588">
        <v>0</v>
      </c>
      <c r="R2588">
        <v>117.07</v>
      </c>
      <c r="S2588" t="s">
        <v>495</v>
      </c>
      <c r="T2588" t="s">
        <v>776</v>
      </c>
    </row>
    <row r="2589" spans="1:20" x14ac:dyDescent="0.3">
      <c r="A2589">
        <v>2588</v>
      </c>
      <c r="B2589">
        <v>48</v>
      </c>
      <c r="C2589">
        <v>3</v>
      </c>
      <c r="D2589">
        <v>62.98</v>
      </c>
      <c r="E2589">
        <v>6.3</v>
      </c>
      <c r="F2589">
        <v>0</v>
      </c>
      <c r="G2589">
        <v>0.1</v>
      </c>
      <c r="H2589" t="s">
        <v>622</v>
      </c>
      <c r="J2589" t="s">
        <v>623</v>
      </c>
      <c r="K2589" s="1"/>
      <c r="L2589" s="1">
        <v>46256.735208333332</v>
      </c>
      <c r="M2589" s="2">
        <v>46256</v>
      </c>
      <c r="N2589" t="s">
        <v>641</v>
      </c>
      <c r="O2589" t="s">
        <v>625</v>
      </c>
      <c r="P2589">
        <v>1</v>
      </c>
      <c r="Q2589">
        <v>0</v>
      </c>
      <c r="R2589">
        <v>62.98</v>
      </c>
      <c r="S2589" t="s">
        <v>92</v>
      </c>
      <c r="T2589" t="s">
        <v>777</v>
      </c>
    </row>
    <row r="2590" spans="1:20" x14ac:dyDescent="0.3">
      <c r="A2590">
        <v>2589</v>
      </c>
      <c r="B2590">
        <v>52</v>
      </c>
      <c r="C2590">
        <v>4</v>
      </c>
      <c r="D2590">
        <v>18.68</v>
      </c>
      <c r="E2590">
        <v>1.87</v>
      </c>
      <c r="F2590">
        <v>0</v>
      </c>
      <c r="G2590">
        <v>0.1</v>
      </c>
      <c r="H2590" t="s">
        <v>622</v>
      </c>
      <c r="J2590" t="s">
        <v>623</v>
      </c>
      <c r="K2590" s="1"/>
      <c r="L2590" s="1">
        <v>46257.458518518521</v>
      </c>
      <c r="M2590" s="2">
        <v>46257</v>
      </c>
      <c r="N2590" t="s">
        <v>641</v>
      </c>
      <c r="O2590" t="s">
        <v>625</v>
      </c>
      <c r="P2590">
        <v>1</v>
      </c>
      <c r="Q2590">
        <v>0</v>
      </c>
      <c r="R2590">
        <v>18.68</v>
      </c>
      <c r="S2590" t="s">
        <v>100</v>
      </c>
      <c r="T2590" t="s">
        <v>778</v>
      </c>
    </row>
    <row r="2591" spans="1:20" x14ac:dyDescent="0.3">
      <c r="A2591">
        <v>2590</v>
      </c>
      <c r="B2591">
        <v>114</v>
      </c>
      <c r="C2591">
        <v>4</v>
      </c>
      <c r="D2591">
        <v>222.63</v>
      </c>
      <c r="E2591">
        <v>22.26</v>
      </c>
      <c r="F2591">
        <v>0</v>
      </c>
      <c r="G2591">
        <v>0.1</v>
      </c>
      <c r="H2591" t="s">
        <v>622</v>
      </c>
      <c r="J2591" t="s">
        <v>623</v>
      </c>
      <c r="K2591" s="1"/>
      <c r="L2591" s="1">
        <v>46257.474756944444</v>
      </c>
      <c r="M2591" s="2">
        <v>46257</v>
      </c>
      <c r="N2591" t="s">
        <v>641</v>
      </c>
      <c r="O2591" t="s">
        <v>625</v>
      </c>
      <c r="P2591">
        <v>1</v>
      </c>
      <c r="Q2591">
        <v>0</v>
      </c>
      <c r="R2591">
        <v>222.63</v>
      </c>
      <c r="S2591" t="s">
        <v>223</v>
      </c>
      <c r="T2591" t="s">
        <v>778</v>
      </c>
    </row>
    <row r="2592" spans="1:20" x14ac:dyDescent="0.3">
      <c r="A2592">
        <v>2591</v>
      </c>
      <c r="B2592">
        <v>250</v>
      </c>
      <c r="C2592">
        <v>3</v>
      </c>
      <c r="D2592">
        <v>127.58</v>
      </c>
      <c r="E2592">
        <v>12.76</v>
      </c>
      <c r="F2592">
        <v>0</v>
      </c>
      <c r="G2592">
        <v>0.1</v>
      </c>
      <c r="H2592" t="s">
        <v>622</v>
      </c>
      <c r="J2592" t="s">
        <v>623</v>
      </c>
      <c r="K2592" s="1"/>
      <c r="L2592" s="1">
        <v>46257.54210648148</v>
      </c>
      <c r="M2592" s="2">
        <v>46257</v>
      </c>
      <c r="N2592" t="s">
        <v>641</v>
      </c>
      <c r="O2592" t="s">
        <v>625</v>
      </c>
      <c r="P2592">
        <v>1</v>
      </c>
      <c r="Q2592">
        <v>0</v>
      </c>
      <c r="R2592">
        <v>127.58</v>
      </c>
      <c r="S2592" t="s">
        <v>495</v>
      </c>
      <c r="T2592" t="s">
        <v>777</v>
      </c>
    </row>
    <row r="2593" spans="1:20" x14ac:dyDescent="0.3">
      <c r="A2593">
        <v>2592</v>
      </c>
      <c r="B2593">
        <v>276</v>
      </c>
      <c r="C2593">
        <v>2</v>
      </c>
      <c r="D2593">
        <v>29.73</v>
      </c>
      <c r="E2593">
        <v>2.97</v>
      </c>
      <c r="F2593">
        <v>0</v>
      </c>
      <c r="G2593">
        <v>0.1</v>
      </c>
      <c r="H2593" t="s">
        <v>622</v>
      </c>
      <c r="J2593" t="s">
        <v>623</v>
      </c>
      <c r="K2593" s="1"/>
      <c r="L2593" s="1">
        <v>46257.6246875</v>
      </c>
      <c r="M2593" s="2">
        <v>46257</v>
      </c>
      <c r="N2593" t="s">
        <v>641</v>
      </c>
      <c r="O2593" t="s">
        <v>625</v>
      </c>
      <c r="P2593">
        <v>1</v>
      </c>
      <c r="Q2593">
        <v>0</v>
      </c>
      <c r="R2593">
        <v>29.73</v>
      </c>
      <c r="S2593" t="s">
        <v>547</v>
      </c>
      <c r="T2593" t="s">
        <v>776</v>
      </c>
    </row>
    <row r="2594" spans="1:20" x14ac:dyDescent="0.3">
      <c r="A2594">
        <v>2593</v>
      </c>
      <c r="B2594">
        <v>133</v>
      </c>
      <c r="C2594">
        <v>3</v>
      </c>
      <c r="D2594">
        <v>125.35</v>
      </c>
      <c r="E2594">
        <v>12.54</v>
      </c>
      <c r="F2594">
        <v>0</v>
      </c>
      <c r="G2594">
        <v>0.1</v>
      </c>
      <c r="H2594" t="s">
        <v>622</v>
      </c>
      <c r="J2594" t="s">
        <v>623</v>
      </c>
      <c r="K2594" s="1"/>
      <c r="L2594" s="1">
        <v>46257.657800925925</v>
      </c>
      <c r="M2594" s="2">
        <v>46257</v>
      </c>
      <c r="N2594" t="s">
        <v>641</v>
      </c>
      <c r="O2594" t="s">
        <v>625</v>
      </c>
      <c r="P2594">
        <v>1</v>
      </c>
      <c r="Q2594">
        <v>0</v>
      </c>
      <c r="R2594">
        <v>125.35</v>
      </c>
      <c r="S2594" t="s">
        <v>261</v>
      </c>
      <c r="T2594" t="s">
        <v>777</v>
      </c>
    </row>
    <row r="2595" spans="1:20" x14ac:dyDescent="0.3">
      <c r="A2595">
        <v>2594</v>
      </c>
      <c r="B2595">
        <v>230</v>
      </c>
      <c r="C2595">
        <v>5</v>
      </c>
      <c r="D2595">
        <v>242.54</v>
      </c>
      <c r="E2595">
        <v>24.25</v>
      </c>
      <c r="F2595">
        <v>0</v>
      </c>
      <c r="G2595">
        <v>0.1</v>
      </c>
      <c r="H2595" t="s">
        <v>622</v>
      </c>
      <c r="J2595" t="s">
        <v>623</v>
      </c>
      <c r="K2595" s="1"/>
      <c r="L2595" s="1">
        <v>46257.677824074075</v>
      </c>
      <c r="M2595" s="2">
        <v>46257</v>
      </c>
      <c r="N2595" t="s">
        <v>641</v>
      </c>
      <c r="O2595" t="s">
        <v>625</v>
      </c>
      <c r="P2595">
        <v>1</v>
      </c>
      <c r="Q2595">
        <v>0</v>
      </c>
      <c r="R2595">
        <v>242.54</v>
      </c>
      <c r="S2595" t="s">
        <v>455</v>
      </c>
      <c r="T2595" t="s">
        <v>779</v>
      </c>
    </row>
    <row r="2596" spans="1:20" x14ac:dyDescent="0.3">
      <c r="A2596">
        <v>2595</v>
      </c>
      <c r="B2596">
        <v>134</v>
      </c>
      <c r="C2596">
        <v>4</v>
      </c>
      <c r="D2596">
        <v>79.239999999999995</v>
      </c>
      <c r="E2596">
        <v>7.92</v>
      </c>
      <c r="F2596">
        <v>0</v>
      </c>
      <c r="G2596">
        <v>0.1</v>
      </c>
      <c r="H2596" t="s">
        <v>622</v>
      </c>
      <c r="J2596" t="s">
        <v>623</v>
      </c>
      <c r="K2596" s="1"/>
      <c r="L2596" s="1">
        <v>46258.357662037037</v>
      </c>
      <c r="M2596" s="2">
        <v>46258</v>
      </c>
      <c r="N2596" t="s">
        <v>641</v>
      </c>
      <c r="O2596" t="s">
        <v>625</v>
      </c>
      <c r="P2596">
        <v>1</v>
      </c>
      <c r="Q2596">
        <v>0</v>
      </c>
      <c r="R2596">
        <v>79.239999999999995</v>
      </c>
      <c r="S2596" t="s">
        <v>263</v>
      </c>
      <c r="T2596" t="s">
        <v>778</v>
      </c>
    </row>
    <row r="2597" spans="1:20" x14ac:dyDescent="0.3">
      <c r="A2597">
        <v>2596</v>
      </c>
      <c r="B2597">
        <v>293</v>
      </c>
      <c r="C2597">
        <v>4</v>
      </c>
      <c r="D2597">
        <v>24.5</v>
      </c>
      <c r="E2597">
        <v>2.4500000000000002</v>
      </c>
      <c r="F2597">
        <v>0</v>
      </c>
      <c r="G2597">
        <v>0.1</v>
      </c>
      <c r="H2597" t="s">
        <v>622</v>
      </c>
      <c r="J2597" t="s">
        <v>623</v>
      </c>
      <c r="K2597" s="1"/>
      <c r="L2597" s="1">
        <v>46258.4137962963</v>
      </c>
      <c r="M2597" s="2">
        <v>46258</v>
      </c>
      <c r="N2597" t="s">
        <v>641</v>
      </c>
      <c r="O2597" t="s">
        <v>625</v>
      </c>
      <c r="P2597">
        <v>1</v>
      </c>
      <c r="Q2597">
        <v>0</v>
      </c>
      <c r="R2597">
        <v>24.5</v>
      </c>
      <c r="S2597" t="s">
        <v>581</v>
      </c>
      <c r="T2597" t="s">
        <v>778</v>
      </c>
    </row>
    <row r="2598" spans="1:20" x14ac:dyDescent="0.3">
      <c r="A2598">
        <v>2597</v>
      </c>
      <c r="B2598">
        <v>229</v>
      </c>
      <c r="C2598">
        <v>5</v>
      </c>
      <c r="D2598">
        <v>79.17</v>
      </c>
      <c r="E2598">
        <v>7.92</v>
      </c>
      <c r="F2598">
        <v>0</v>
      </c>
      <c r="G2598">
        <v>0.1</v>
      </c>
      <c r="H2598" t="s">
        <v>622</v>
      </c>
      <c r="J2598" t="s">
        <v>623</v>
      </c>
      <c r="K2598" s="1"/>
      <c r="L2598" s="1">
        <v>46258.545358796298</v>
      </c>
      <c r="M2598" s="2">
        <v>46258</v>
      </c>
      <c r="N2598" t="s">
        <v>641</v>
      </c>
      <c r="O2598" t="s">
        <v>625</v>
      </c>
      <c r="P2598">
        <v>1</v>
      </c>
      <c r="Q2598">
        <v>0</v>
      </c>
      <c r="R2598">
        <v>79.17</v>
      </c>
      <c r="S2598" t="s">
        <v>453</v>
      </c>
      <c r="T2598" t="s">
        <v>779</v>
      </c>
    </row>
    <row r="2599" spans="1:20" x14ac:dyDescent="0.3">
      <c r="A2599">
        <v>2598</v>
      </c>
      <c r="B2599">
        <v>62</v>
      </c>
      <c r="C2599">
        <v>4</v>
      </c>
      <c r="D2599">
        <v>31.55</v>
      </c>
      <c r="E2599">
        <v>3.16</v>
      </c>
      <c r="F2599">
        <v>0</v>
      </c>
      <c r="G2599">
        <v>0.1</v>
      </c>
      <c r="H2599" t="s">
        <v>622</v>
      </c>
      <c r="J2599" t="s">
        <v>623</v>
      </c>
      <c r="K2599" s="1"/>
      <c r="L2599" s="1">
        <v>46258.663356481484</v>
      </c>
      <c r="M2599" s="2">
        <v>46258</v>
      </c>
      <c r="N2599" t="s">
        <v>641</v>
      </c>
      <c r="O2599" t="s">
        <v>625</v>
      </c>
      <c r="P2599">
        <v>1</v>
      </c>
      <c r="Q2599">
        <v>0</v>
      </c>
      <c r="R2599">
        <v>31.55</v>
      </c>
      <c r="S2599" t="s">
        <v>120</v>
      </c>
      <c r="T2599" t="s">
        <v>778</v>
      </c>
    </row>
    <row r="2600" spans="1:20" x14ac:dyDescent="0.3">
      <c r="A2600">
        <v>2599</v>
      </c>
      <c r="B2600">
        <v>134</v>
      </c>
      <c r="C2600">
        <v>5</v>
      </c>
      <c r="D2600">
        <v>120.21</v>
      </c>
      <c r="E2600">
        <v>12.02</v>
      </c>
      <c r="F2600">
        <v>0</v>
      </c>
      <c r="G2600">
        <v>0.1</v>
      </c>
      <c r="H2600" t="s">
        <v>622</v>
      </c>
      <c r="J2600" t="s">
        <v>623</v>
      </c>
      <c r="K2600" s="1"/>
      <c r="L2600" s="1">
        <v>46258.667696759258</v>
      </c>
      <c r="M2600" s="2">
        <v>46258</v>
      </c>
      <c r="N2600" t="s">
        <v>641</v>
      </c>
      <c r="O2600" t="s">
        <v>625</v>
      </c>
      <c r="P2600">
        <v>1</v>
      </c>
      <c r="Q2600">
        <v>0</v>
      </c>
      <c r="R2600">
        <v>120.21</v>
      </c>
      <c r="S2600" t="s">
        <v>263</v>
      </c>
      <c r="T2600" t="s">
        <v>779</v>
      </c>
    </row>
    <row r="2601" spans="1:20" x14ac:dyDescent="0.3">
      <c r="A2601">
        <v>2600</v>
      </c>
      <c r="B2601">
        <v>205</v>
      </c>
      <c r="C2601">
        <v>5</v>
      </c>
      <c r="D2601">
        <v>97.12</v>
      </c>
      <c r="E2601">
        <v>9.7100000000000009</v>
      </c>
      <c r="F2601">
        <v>0</v>
      </c>
      <c r="G2601">
        <v>0.1</v>
      </c>
      <c r="H2601" t="s">
        <v>622</v>
      </c>
      <c r="J2601" t="s">
        <v>623</v>
      </c>
      <c r="K2601" s="1"/>
      <c r="L2601" s="1">
        <v>46258.677314814813</v>
      </c>
      <c r="M2601" s="2">
        <v>46258</v>
      </c>
      <c r="N2601" t="s">
        <v>641</v>
      </c>
      <c r="O2601" t="s">
        <v>625</v>
      </c>
      <c r="P2601">
        <v>1</v>
      </c>
      <c r="Q2601">
        <v>0</v>
      </c>
      <c r="R2601">
        <v>97.12</v>
      </c>
      <c r="S2601" t="s">
        <v>405</v>
      </c>
      <c r="T2601" t="s">
        <v>779</v>
      </c>
    </row>
    <row r="2602" spans="1:20" x14ac:dyDescent="0.3">
      <c r="A2602">
        <v>2601</v>
      </c>
      <c r="B2602">
        <v>285</v>
      </c>
      <c r="C2602">
        <v>5</v>
      </c>
      <c r="D2602">
        <v>29.68</v>
      </c>
      <c r="E2602">
        <v>2.97</v>
      </c>
      <c r="F2602">
        <v>0</v>
      </c>
      <c r="G2602">
        <v>0.1</v>
      </c>
      <c r="H2602" t="s">
        <v>622</v>
      </c>
      <c r="J2602" t="s">
        <v>623</v>
      </c>
      <c r="K2602" s="1"/>
      <c r="L2602" s="1">
        <v>46258.744097222225</v>
      </c>
      <c r="M2602" s="2">
        <v>46258</v>
      </c>
      <c r="N2602" t="s">
        <v>641</v>
      </c>
      <c r="O2602" t="s">
        <v>625</v>
      </c>
      <c r="P2602">
        <v>1</v>
      </c>
      <c r="Q2602">
        <v>0</v>
      </c>
      <c r="R2602">
        <v>29.68</v>
      </c>
      <c r="S2602" t="s">
        <v>565</v>
      </c>
      <c r="T2602" t="s">
        <v>779</v>
      </c>
    </row>
    <row r="2603" spans="1:20" x14ac:dyDescent="0.3">
      <c r="A2603">
        <v>2602</v>
      </c>
      <c r="B2603">
        <v>229</v>
      </c>
      <c r="C2603">
        <v>5</v>
      </c>
      <c r="D2603">
        <v>220</v>
      </c>
      <c r="E2603">
        <v>22</v>
      </c>
      <c r="F2603">
        <v>0</v>
      </c>
      <c r="G2603">
        <v>0.1</v>
      </c>
      <c r="H2603" t="s">
        <v>622</v>
      </c>
      <c r="J2603" t="s">
        <v>623</v>
      </c>
      <c r="K2603" s="1"/>
      <c r="L2603" s="1">
        <v>46259.38212962963</v>
      </c>
      <c r="M2603" s="2">
        <v>46259</v>
      </c>
      <c r="N2603" t="s">
        <v>641</v>
      </c>
      <c r="O2603" t="s">
        <v>625</v>
      </c>
      <c r="P2603">
        <v>1</v>
      </c>
      <c r="Q2603">
        <v>0</v>
      </c>
      <c r="R2603">
        <v>220</v>
      </c>
      <c r="S2603" t="s">
        <v>453</v>
      </c>
      <c r="T2603" t="s">
        <v>779</v>
      </c>
    </row>
    <row r="2604" spans="1:20" x14ac:dyDescent="0.3">
      <c r="A2604">
        <v>2603</v>
      </c>
      <c r="B2604">
        <v>134</v>
      </c>
      <c r="C2604">
        <v>4</v>
      </c>
      <c r="D2604">
        <v>139.65</v>
      </c>
      <c r="E2604">
        <v>13.97</v>
      </c>
      <c r="F2604">
        <v>0</v>
      </c>
      <c r="G2604">
        <v>0.1</v>
      </c>
      <c r="H2604" t="s">
        <v>622</v>
      </c>
      <c r="J2604" t="s">
        <v>623</v>
      </c>
      <c r="K2604" s="1"/>
      <c r="L2604" s="1">
        <v>46259.44803240741</v>
      </c>
      <c r="M2604" s="2">
        <v>46259</v>
      </c>
      <c r="N2604" t="s">
        <v>641</v>
      </c>
      <c r="O2604" t="s">
        <v>625</v>
      </c>
      <c r="P2604">
        <v>1</v>
      </c>
      <c r="Q2604">
        <v>0</v>
      </c>
      <c r="R2604">
        <v>139.65</v>
      </c>
      <c r="S2604" t="s">
        <v>263</v>
      </c>
      <c r="T2604" t="s">
        <v>778</v>
      </c>
    </row>
    <row r="2605" spans="1:20" x14ac:dyDescent="0.3">
      <c r="A2605">
        <v>2604</v>
      </c>
      <c r="B2605">
        <v>176</v>
      </c>
      <c r="C2605">
        <v>3</v>
      </c>
      <c r="D2605">
        <v>155.41</v>
      </c>
      <c r="E2605">
        <v>15.54</v>
      </c>
      <c r="F2605">
        <v>0</v>
      </c>
      <c r="G2605">
        <v>0.1</v>
      </c>
      <c r="H2605" t="s">
        <v>622</v>
      </c>
      <c r="J2605" t="s">
        <v>623</v>
      </c>
      <c r="K2605" s="1"/>
      <c r="L2605" s="1">
        <v>46259.466805555552</v>
      </c>
      <c r="M2605" s="2">
        <v>46259</v>
      </c>
      <c r="N2605" t="s">
        <v>641</v>
      </c>
      <c r="O2605" t="s">
        <v>625</v>
      </c>
      <c r="P2605">
        <v>1</v>
      </c>
      <c r="Q2605">
        <v>0</v>
      </c>
      <c r="R2605">
        <v>155.41</v>
      </c>
      <c r="S2605" t="s">
        <v>347</v>
      </c>
      <c r="T2605" t="s">
        <v>777</v>
      </c>
    </row>
    <row r="2606" spans="1:20" x14ac:dyDescent="0.3">
      <c r="A2606">
        <v>2605</v>
      </c>
      <c r="B2606">
        <v>136</v>
      </c>
      <c r="C2606">
        <v>4</v>
      </c>
      <c r="D2606">
        <v>130.16</v>
      </c>
      <c r="E2606">
        <v>0</v>
      </c>
      <c r="F2606">
        <v>1</v>
      </c>
      <c r="G2606">
        <v>0.1</v>
      </c>
      <c r="H2606" t="s">
        <v>622</v>
      </c>
      <c r="J2606" t="s">
        <v>623</v>
      </c>
      <c r="K2606" s="1"/>
      <c r="L2606" s="1">
        <v>46259.609965277778</v>
      </c>
      <c r="M2606" s="2">
        <v>46259</v>
      </c>
      <c r="N2606" t="s">
        <v>641</v>
      </c>
      <c r="O2606" t="s">
        <v>629</v>
      </c>
      <c r="P2606">
        <v>1</v>
      </c>
      <c r="Q2606">
        <v>0</v>
      </c>
      <c r="R2606">
        <v>130.16</v>
      </c>
      <c r="S2606" t="s">
        <v>267</v>
      </c>
      <c r="T2606" t="s">
        <v>778</v>
      </c>
    </row>
    <row r="2607" spans="1:20" x14ac:dyDescent="0.3">
      <c r="A2607">
        <v>2606</v>
      </c>
      <c r="B2607">
        <v>134</v>
      </c>
      <c r="C2607">
        <v>4</v>
      </c>
      <c r="D2607">
        <v>158.55000000000001</v>
      </c>
      <c r="E2607">
        <v>15.86</v>
      </c>
      <c r="F2607">
        <v>0</v>
      </c>
      <c r="G2607">
        <v>0.1</v>
      </c>
      <c r="H2607" t="s">
        <v>622</v>
      </c>
      <c r="J2607" t="s">
        <v>623</v>
      </c>
      <c r="K2607" s="1"/>
      <c r="L2607" s="1">
        <v>46259.678807870368</v>
      </c>
      <c r="M2607" s="2">
        <v>46259</v>
      </c>
      <c r="N2607" t="s">
        <v>641</v>
      </c>
      <c r="O2607" t="s">
        <v>625</v>
      </c>
      <c r="P2607">
        <v>1</v>
      </c>
      <c r="Q2607">
        <v>0</v>
      </c>
      <c r="R2607">
        <v>158.55000000000001</v>
      </c>
      <c r="S2607" t="s">
        <v>263</v>
      </c>
      <c r="T2607" t="s">
        <v>778</v>
      </c>
    </row>
    <row r="2608" spans="1:20" x14ac:dyDescent="0.3">
      <c r="A2608">
        <v>2607</v>
      </c>
      <c r="B2608">
        <v>156</v>
      </c>
      <c r="C2608">
        <v>2</v>
      </c>
      <c r="D2608">
        <v>26.78</v>
      </c>
      <c r="E2608">
        <v>2.68</v>
      </c>
      <c r="F2608">
        <v>0</v>
      </c>
      <c r="G2608">
        <v>0.1</v>
      </c>
      <c r="H2608" t="s">
        <v>622</v>
      </c>
      <c r="J2608" t="s">
        <v>623</v>
      </c>
      <c r="K2608" s="1"/>
      <c r="L2608" s="1">
        <v>46260.370208333334</v>
      </c>
      <c r="M2608" s="2">
        <v>46260</v>
      </c>
      <c r="N2608" t="s">
        <v>641</v>
      </c>
      <c r="O2608" t="s">
        <v>625</v>
      </c>
      <c r="P2608">
        <v>1</v>
      </c>
      <c r="Q2608">
        <v>0</v>
      </c>
      <c r="R2608">
        <v>26.78</v>
      </c>
      <c r="S2608" t="s">
        <v>307</v>
      </c>
      <c r="T2608" t="s">
        <v>776</v>
      </c>
    </row>
    <row r="2609" spans="1:20" x14ac:dyDescent="0.3">
      <c r="A2609">
        <v>2608</v>
      </c>
      <c r="B2609">
        <v>134</v>
      </c>
      <c r="C2609">
        <v>3</v>
      </c>
      <c r="D2609">
        <v>54.56</v>
      </c>
      <c r="E2609">
        <v>5.46</v>
      </c>
      <c r="F2609">
        <v>0</v>
      </c>
      <c r="G2609">
        <v>0.1</v>
      </c>
      <c r="H2609" t="s">
        <v>622</v>
      </c>
      <c r="J2609" t="s">
        <v>623</v>
      </c>
      <c r="K2609" s="1"/>
      <c r="L2609" s="1">
        <v>46260.376631944448</v>
      </c>
      <c r="M2609" s="2">
        <v>46260</v>
      </c>
      <c r="N2609" t="s">
        <v>641</v>
      </c>
      <c r="O2609" t="s">
        <v>625</v>
      </c>
      <c r="P2609">
        <v>1</v>
      </c>
      <c r="Q2609">
        <v>0</v>
      </c>
      <c r="R2609">
        <v>54.56</v>
      </c>
      <c r="S2609" t="s">
        <v>263</v>
      </c>
      <c r="T2609" t="s">
        <v>777</v>
      </c>
    </row>
    <row r="2610" spans="1:20" x14ac:dyDescent="0.3">
      <c r="A2610">
        <v>2609</v>
      </c>
      <c r="B2610">
        <v>134</v>
      </c>
      <c r="C2610">
        <v>4</v>
      </c>
      <c r="D2610">
        <v>77.430000000000007</v>
      </c>
      <c r="E2610">
        <v>7.74</v>
      </c>
      <c r="F2610">
        <v>0</v>
      </c>
      <c r="G2610">
        <v>0.1</v>
      </c>
      <c r="H2610" t="s">
        <v>622</v>
      </c>
      <c r="J2610" t="s">
        <v>623</v>
      </c>
      <c r="K2610" s="1"/>
      <c r="L2610" s="1">
        <v>46260.39644675926</v>
      </c>
      <c r="M2610" s="2">
        <v>46260</v>
      </c>
      <c r="N2610" t="s">
        <v>641</v>
      </c>
      <c r="O2610" t="s">
        <v>625</v>
      </c>
      <c r="P2610">
        <v>1</v>
      </c>
      <c r="Q2610">
        <v>0</v>
      </c>
      <c r="R2610">
        <v>77.430000000000007</v>
      </c>
      <c r="S2610" t="s">
        <v>263</v>
      </c>
      <c r="T2610" t="s">
        <v>778</v>
      </c>
    </row>
    <row r="2611" spans="1:20" x14ac:dyDescent="0.3">
      <c r="A2611">
        <v>2610</v>
      </c>
      <c r="B2611">
        <v>134</v>
      </c>
      <c r="C2611">
        <v>3</v>
      </c>
      <c r="D2611">
        <v>75.86</v>
      </c>
      <c r="E2611">
        <v>0</v>
      </c>
      <c r="F2611">
        <v>1</v>
      </c>
      <c r="G2611">
        <v>0.1</v>
      </c>
      <c r="H2611" t="s">
        <v>622</v>
      </c>
      <c r="J2611" t="s">
        <v>623</v>
      </c>
      <c r="K2611" s="1"/>
      <c r="L2611" s="1">
        <v>46260.41510416667</v>
      </c>
      <c r="M2611" s="2">
        <v>46260</v>
      </c>
      <c r="N2611" t="s">
        <v>641</v>
      </c>
      <c r="O2611" t="s">
        <v>629</v>
      </c>
      <c r="P2611">
        <v>1</v>
      </c>
      <c r="Q2611">
        <v>0</v>
      </c>
      <c r="R2611">
        <v>75.86</v>
      </c>
      <c r="S2611" t="s">
        <v>263</v>
      </c>
      <c r="T2611" t="s">
        <v>777</v>
      </c>
    </row>
    <row r="2612" spans="1:20" x14ac:dyDescent="0.3">
      <c r="A2612">
        <v>2611</v>
      </c>
      <c r="B2612">
        <v>134</v>
      </c>
      <c r="C2612">
        <v>2</v>
      </c>
      <c r="D2612">
        <v>72.81</v>
      </c>
      <c r="E2612">
        <v>7.28</v>
      </c>
      <c r="F2612">
        <v>0</v>
      </c>
      <c r="G2612">
        <v>0.1</v>
      </c>
      <c r="H2612" t="s">
        <v>622</v>
      </c>
      <c r="J2612" t="s">
        <v>623</v>
      </c>
      <c r="K2612" s="1"/>
      <c r="L2612" s="1">
        <v>46260.448576388888</v>
      </c>
      <c r="M2612" s="2">
        <v>46260</v>
      </c>
      <c r="N2612" t="s">
        <v>641</v>
      </c>
      <c r="O2612" t="s">
        <v>625</v>
      </c>
      <c r="P2612">
        <v>1</v>
      </c>
      <c r="Q2612">
        <v>0</v>
      </c>
      <c r="R2612">
        <v>72.81</v>
      </c>
      <c r="S2612" t="s">
        <v>263</v>
      </c>
      <c r="T2612" t="s">
        <v>776</v>
      </c>
    </row>
    <row r="2613" spans="1:20" x14ac:dyDescent="0.3">
      <c r="A2613">
        <v>2612</v>
      </c>
      <c r="B2613">
        <v>133</v>
      </c>
      <c r="C2613">
        <v>4</v>
      </c>
      <c r="D2613">
        <v>196.46</v>
      </c>
      <c r="E2613">
        <v>19.649999999999999</v>
      </c>
      <c r="F2613">
        <v>0</v>
      </c>
      <c r="G2613">
        <v>0.1</v>
      </c>
      <c r="H2613" t="s">
        <v>622</v>
      </c>
      <c r="J2613" t="s">
        <v>623</v>
      </c>
      <c r="K2613" s="1"/>
      <c r="L2613" s="1">
        <v>46260.625405092593</v>
      </c>
      <c r="M2613" s="2">
        <v>46260</v>
      </c>
      <c r="N2613" t="s">
        <v>641</v>
      </c>
      <c r="O2613" t="s">
        <v>625</v>
      </c>
      <c r="P2613">
        <v>1</v>
      </c>
      <c r="Q2613">
        <v>0</v>
      </c>
      <c r="R2613">
        <v>196.46</v>
      </c>
      <c r="S2613" t="s">
        <v>261</v>
      </c>
      <c r="T2613" t="s">
        <v>778</v>
      </c>
    </row>
    <row r="2614" spans="1:20" x14ac:dyDescent="0.3">
      <c r="A2614">
        <v>2613</v>
      </c>
      <c r="B2614">
        <v>130</v>
      </c>
      <c r="C2614">
        <v>5</v>
      </c>
      <c r="D2614">
        <v>91.01</v>
      </c>
      <c r="E2614">
        <v>9.1</v>
      </c>
      <c r="F2614">
        <v>0</v>
      </c>
      <c r="G2614">
        <v>0.1</v>
      </c>
      <c r="H2614" t="s">
        <v>622</v>
      </c>
      <c r="J2614" t="s">
        <v>623</v>
      </c>
      <c r="K2614" s="1"/>
      <c r="L2614" s="1">
        <v>46260.708009259259</v>
      </c>
      <c r="M2614" s="2">
        <v>46260</v>
      </c>
      <c r="N2614" t="s">
        <v>641</v>
      </c>
      <c r="O2614" t="s">
        <v>625</v>
      </c>
      <c r="P2614">
        <v>1</v>
      </c>
      <c r="Q2614">
        <v>0</v>
      </c>
      <c r="R2614">
        <v>91.01</v>
      </c>
      <c r="S2614" t="s">
        <v>255</v>
      </c>
      <c r="T2614" t="s">
        <v>779</v>
      </c>
    </row>
    <row r="2615" spans="1:20" x14ac:dyDescent="0.3">
      <c r="A2615">
        <v>2614</v>
      </c>
      <c r="B2615">
        <v>134</v>
      </c>
      <c r="C2615">
        <v>5</v>
      </c>
      <c r="D2615">
        <v>148.05000000000001</v>
      </c>
      <c r="E2615">
        <v>14.81</v>
      </c>
      <c r="F2615">
        <v>0</v>
      </c>
      <c r="G2615">
        <v>0.1</v>
      </c>
      <c r="H2615" t="s">
        <v>622</v>
      </c>
      <c r="J2615" t="s">
        <v>623</v>
      </c>
      <c r="K2615" s="1"/>
      <c r="L2615" s="1">
        <v>46260.814050925925</v>
      </c>
      <c r="M2615" s="2">
        <v>46260</v>
      </c>
      <c r="N2615" t="s">
        <v>641</v>
      </c>
      <c r="O2615" t="s">
        <v>625</v>
      </c>
      <c r="P2615">
        <v>1</v>
      </c>
      <c r="Q2615">
        <v>0</v>
      </c>
      <c r="R2615">
        <v>148.05000000000001</v>
      </c>
      <c r="S2615" t="s">
        <v>263</v>
      </c>
      <c r="T2615" t="s">
        <v>779</v>
      </c>
    </row>
    <row r="2616" spans="1:20" x14ac:dyDescent="0.3">
      <c r="A2616">
        <v>2615</v>
      </c>
      <c r="B2616">
        <v>134</v>
      </c>
      <c r="C2616">
        <v>4</v>
      </c>
      <c r="D2616">
        <v>150.27000000000001</v>
      </c>
      <c r="E2616">
        <v>15.03</v>
      </c>
      <c r="F2616">
        <v>0</v>
      </c>
      <c r="G2616">
        <v>0.1</v>
      </c>
      <c r="H2616" t="s">
        <v>622</v>
      </c>
      <c r="J2616" t="s">
        <v>623</v>
      </c>
      <c r="K2616" s="1"/>
      <c r="L2616" s="1">
        <v>46261.412986111114</v>
      </c>
      <c r="M2616" s="2">
        <v>46261</v>
      </c>
      <c r="N2616" t="s">
        <v>641</v>
      </c>
      <c r="O2616" t="s">
        <v>625</v>
      </c>
      <c r="P2616">
        <v>1</v>
      </c>
      <c r="Q2616">
        <v>0</v>
      </c>
      <c r="R2616">
        <v>150.27000000000001</v>
      </c>
      <c r="S2616" t="s">
        <v>263</v>
      </c>
      <c r="T2616" t="s">
        <v>778</v>
      </c>
    </row>
    <row r="2617" spans="1:20" x14ac:dyDescent="0.3">
      <c r="A2617">
        <v>2616</v>
      </c>
      <c r="B2617">
        <v>134</v>
      </c>
      <c r="C2617">
        <v>3</v>
      </c>
      <c r="D2617">
        <v>82.17</v>
      </c>
      <c r="E2617">
        <v>8.2200000000000006</v>
      </c>
      <c r="F2617">
        <v>0</v>
      </c>
      <c r="G2617">
        <v>0.1</v>
      </c>
      <c r="H2617" t="s">
        <v>622</v>
      </c>
      <c r="J2617" t="s">
        <v>623</v>
      </c>
      <c r="K2617" s="1"/>
      <c r="L2617" s="1">
        <v>46261.693749999999</v>
      </c>
      <c r="M2617" s="2">
        <v>46261</v>
      </c>
      <c r="N2617" t="s">
        <v>641</v>
      </c>
      <c r="O2617" t="s">
        <v>625</v>
      </c>
      <c r="P2617">
        <v>1</v>
      </c>
      <c r="Q2617">
        <v>0</v>
      </c>
      <c r="R2617">
        <v>82.17</v>
      </c>
      <c r="S2617" t="s">
        <v>263</v>
      </c>
      <c r="T2617" t="s">
        <v>777</v>
      </c>
    </row>
    <row r="2618" spans="1:20" x14ac:dyDescent="0.3">
      <c r="A2618">
        <v>2617</v>
      </c>
      <c r="B2618">
        <v>128</v>
      </c>
      <c r="C2618">
        <v>2</v>
      </c>
      <c r="D2618">
        <v>30.12</v>
      </c>
      <c r="E2618">
        <v>3.01</v>
      </c>
      <c r="F2618">
        <v>0</v>
      </c>
      <c r="G2618">
        <v>0.1</v>
      </c>
      <c r="H2618" t="s">
        <v>622</v>
      </c>
      <c r="J2618" t="s">
        <v>623</v>
      </c>
      <c r="K2618" s="1"/>
      <c r="L2618" s="1">
        <v>46261.69939814815</v>
      </c>
      <c r="M2618" s="2">
        <v>46261</v>
      </c>
      <c r="N2618" t="s">
        <v>641</v>
      </c>
      <c r="O2618" t="s">
        <v>625</v>
      </c>
      <c r="P2618">
        <v>1</v>
      </c>
      <c r="Q2618">
        <v>0</v>
      </c>
      <c r="R2618">
        <v>30.12</v>
      </c>
      <c r="S2618" t="s">
        <v>251</v>
      </c>
      <c r="T2618" t="s">
        <v>776</v>
      </c>
    </row>
    <row r="2619" spans="1:20" x14ac:dyDescent="0.3">
      <c r="A2619">
        <v>2618</v>
      </c>
      <c r="B2619">
        <v>75</v>
      </c>
      <c r="C2619">
        <v>5</v>
      </c>
      <c r="D2619">
        <v>63.56</v>
      </c>
      <c r="E2619">
        <v>6.36</v>
      </c>
      <c r="F2619">
        <v>0</v>
      </c>
      <c r="G2619">
        <v>0.1</v>
      </c>
      <c r="H2619" t="s">
        <v>622</v>
      </c>
      <c r="J2619" t="s">
        <v>623</v>
      </c>
      <c r="K2619" s="1"/>
      <c r="L2619" s="1">
        <v>46262.407488425924</v>
      </c>
      <c r="M2619" s="2">
        <v>46262</v>
      </c>
      <c r="N2619" t="s">
        <v>641</v>
      </c>
      <c r="O2619" t="s">
        <v>625</v>
      </c>
      <c r="P2619">
        <v>1</v>
      </c>
      <c r="Q2619">
        <v>0</v>
      </c>
      <c r="R2619">
        <v>63.56</v>
      </c>
      <c r="S2619" t="s">
        <v>146</v>
      </c>
      <c r="T2619" t="s">
        <v>779</v>
      </c>
    </row>
    <row r="2620" spans="1:20" x14ac:dyDescent="0.3">
      <c r="A2620">
        <v>2619</v>
      </c>
      <c r="B2620">
        <v>156</v>
      </c>
      <c r="C2620">
        <v>5</v>
      </c>
      <c r="D2620">
        <v>30.92</v>
      </c>
      <c r="E2620">
        <v>3.09</v>
      </c>
      <c r="F2620">
        <v>0</v>
      </c>
      <c r="G2620">
        <v>0.1</v>
      </c>
      <c r="H2620" t="s">
        <v>622</v>
      </c>
      <c r="J2620" t="s">
        <v>623</v>
      </c>
      <c r="K2620" s="1"/>
      <c r="L2620" s="1">
        <v>46262.412106481483</v>
      </c>
      <c r="M2620" s="2">
        <v>46262</v>
      </c>
      <c r="N2620" t="s">
        <v>641</v>
      </c>
      <c r="O2620" t="s">
        <v>625</v>
      </c>
      <c r="P2620">
        <v>1</v>
      </c>
      <c r="Q2620">
        <v>0</v>
      </c>
      <c r="R2620">
        <v>30.92</v>
      </c>
      <c r="S2620" t="s">
        <v>307</v>
      </c>
      <c r="T2620" t="s">
        <v>779</v>
      </c>
    </row>
    <row r="2621" spans="1:20" x14ac:dyDescent="0.3">
      <c r="A2621">
        <v>2620</v>
      </c>
      <c r="B2621">
        <v>35</v>
      </c>
      <c r="C2621">
        <v>4</v>
      </c>
      <c r="D2621">
        <v>25.62</v>
      </c>
      <c r="E2621">
        <v>2.56</v>
      </c>
      <c r="F2621">
        <v>0</v>
      </c>
      <c r="G2621">
        <v>0.1</v>
      </c>
      <c r="H2621" t="s">
        <v>622</v>
      </c>
      <c r="J2621" t="s">
        <v>623</v>
      </c>
      <c r="K2621" s="1"/>
      <c r="L2621" s="1">
        <v>46262.471828703703</v>
      </c>
      <c r="M2621" s="2">
        <v>46262</v>
      </c>
      <c r="N2621" t="s">
        <v>641</v>
      </c>
      <c r="O2621" t="s">
        <v>625</v>
      </c>
      <c r="P2621">
        <v>1</v>
      </c>
      <c r="Q2621">
        <v>0</v>
      </c>
      <c r="R2621">
        <v>25.62</v>
      </c>
      <c r="S2621" t="s">
        <v>66</v>
      </c>
      <c r="T2621" t="s">
        <v>778</v>
      </c>
    </row>
    <row r="2622" spans="1:20" x14ac:dyDescent="0.3">
      <c r="A2622">
        <v>2621</v>
      </c>
      <c r="B2622">
        <v>134</v>
      </c>
      <c r="C2622">
        <v>4</v>
      </c>
      <c r="D2622">
        <v>138.6</v>
      </c>
      <c r="E2622">
        <v>13.86</v>
      </c>
      <c r="F2622">
        <v>0</v>
      </c>
      <c r="G2622">
        <v>0.1</v>
      </c>
      <c r="H2622" t="s">
        <v>622</v>
      </c>
      <c r="J2622" t="s">
        <v>623</v>
      </c>
      <c r="K2622" s="1"/>
      <c r="L2622" s="1">
        <v>46262.549444444441</v>
      </c>
      <c r="M2622" s="2">
        <v>46262</v>
      </c>
      <c r="N2622" t="s">
        <v>641</v>
      </c>
      <c r="O2622" t="s">
        <v>625</v>
      </c>
      <c r="P2622">
        <v>1</v>
      </c>
      <c r="Q2622">
        <v>0</v>
      </c>
      <c r="R2622">
        <v>138.6</v>
      </c>
      <c r="S2622" t="s">
        <v>263</v>
      </c>
      <c r="T2622" t="s">
        <v>778</v>
      </c>
    </row>
    <row r="2623" spans="1:20" x14ac:dyDescent="0.3">
      <c r="A2623">
        <v>2622</v>
      </c>
      <c r="B2623">
        <v>80</v>
      </c>
      <c r="C2623">
        <v>3</v>
      </c>
      <c r="D2623">
        <v>14.13</v>
      </c>
      <c r="E2623">
        <v>1.41</v>
      </c>
      <c r="F2623">
        <v>0</v>
      </c>
      <c r="G2623">
        <v>0.1</v>
      </c>
      <c r="H2623" t="s">
        <v>622</v>
      </c>
      <c r="J2623" t="s">
        <v>623</v>
      </c>
      <c r="K2623" s="1"/>
      <c r="L2623" s="1">
        <v>46262.584374999999</v>
      </c>
      <c r="M2623" s="2">
        <v>46262</v>
      </c>
      <c r="N2623" t="s">
        <v>641</v>
      </c>
      <c r="O2623" t="s">
        <v>625</v>
      </c>
      <c r="P2623">
        <v>1</v>
      </c>
      <c r="Q2623">
        <v>0</v>
      </c>
      <c r="R2623">
        <v>14.13</v>
      </c>
      <c r="S2623" t="s">
        <v>156</v>
      </c>
      <c r="T2623" t="s">
        <v>777</v>
      </c>
    </row>
    <row r="2624" spans="1:20" x14ac:dyDescent="0.3">
      <c r="A2624">
        <v>2623</v>
      </c>
      <c r="B2624">
        <v>218</v>
      </c>
      <c r="C2624">
        <v>4</v>
      </c>
      <c r="D2624">
        <v>19.12</v>
      </c>
      <c r="E2624">
        <v>1.91</v>
      </c>
      <c r="F2624">
        <v>0</v>
      </c>
      <c r="G2624">
        <v>0.1</v>
      </c>
      <c r="H2624" t="s">
        <v>622</v>
      </c>
      <c r="J2624" t="s">
        <v>623</v>
      </c>
      <c r="K2624" s="1"/>
      <c r="L2624" s="1">
        <v>46262.68854166667</v>
      </c>
      <c r="M2624" s="2">
        <v>46262</v>
      </c>
      <c r="N2624" t="s">
        <v>641</v>
      </c>
      <c r="O2624" t="s">
        <v>625</v>
      </c>
      <c r="P2624">
        <v>1</v>
      </c>
      <c r="Q2624">
        <v>0</v>
      </c>
      <c r="R2624">
        <v>19.12</v>
      </c>
      <c r="S2624" t="s">
        <v>431</v>
      </c>
      <c r="T2624" t="s">
        <v>778</v>
      </c>
    </row>
    <row r="2625" spans="1:20" x14ac:dyDescent="0.3">
      <c r="A2625">
        <v>2624</v>
      </c>
      <c r="B2625">
        <v>91</v>
      </c>
      <c r="C2625">
        <v>4</v>
      </c>
      <c r="D2625">
        <v>42.4</v>
      </c>
      <c r="E2625">
        <v>4.24</v>
      </c>
      <c r="F2625">
        <v>0</v>
      </c>
      <c r="G2625">
        <v>0.1</v>
      </c>
      <c r="H2625" t="s">
        <v>622</v>
      </c>
      <c r="J2625" t="s">
        <v>623</v>
      </c>
      <c r="K2625" s="1"/>
      <c r="L2625" s="1">
        <v>46263.355092592596</v>
      </c>
      <c r="M2625" s="2">
        <v>46263</v>
      </c>
      <c r="N2625" t="s">
        <v>641</v>
      </c>
      <c r="O2625" t="s">
        <v>625</v>
      </c>
      <c r="P2625">
        <v>1</v>
      </c>
      <c r="Q2625">
        <v>0</v>
      </c>
      <c r="R2625">
        <v>42.4</v>
      </c>
      <c r="S2625" t="s">
        <v>177</v>
      </c>
      <c r="T2625" t="s">
        <v>778</v>
      </c>
    </row>
    <row r="2626" spans="1:20" x14ac:dyDescent="0.3">
      <c r="A2626">
        <v>2625</v>
      </c>
      <c r="B2626">
        <v>128</v>
      </c>
      <c r="C2626">
        <v>4</v>
      </c>
      <c r="D2626">
        <v>26.41</v>
      </c>
      <c r="E2626">
        <v>2.64</v>
      </c>
      <c r="F2626">
        <v>0</v>
      </c>
      <c r="G2626">
        <v>0.1</v>
      </c>
      <c r="H2626" t="s">
        <v>622</v>
      </c>
      <c r="J2626" t="s">
        <v>623</v>
      </c>
      <c r="K2626" s="1"/>
      <c r="L2626" s="1">
        <v>46263.375069444446</v>
      </c>
      <c r="M2626" s="2">
        <v>46263</v>
      </c>
      <c r="N2626" t="s">
        <v>641</v>
      </c>
      <c r="O2626" t="s">
        <v>625</v>
      </c>
      <c r="P2626">
        <v>1</v>
      </c>
      <c r="Q2626">
        <v>0</v>
      </c>
      <c r="R2626">
        <v>26.41</v>
      </c>
      <c r="S2626" t="s">
        <v>251</v>
      </c>
      <c r="T2626" t="s">
        <v>778</v>
      </c>
    </row>
    <row r="2627" spans="1:20" x14ac:dyDescent="0.3">
      <c r="A2627">
        <v>2626</v>
      </c>
      <c r="B2627">
        <v>16</v>
      </c>
      <c r="C2627">
        <v>5</v>
      </c>
      <c r="D2627">
        <v>168.37</v>
      </c>
      <c r="E2627">
        <v>16.84</v>
      </c>
      <c r="F2627">
        <v>0</v>
      </c>
      <c r="G2627">
        <v>0.1</v>
      </c>
      <c r="H2627" t="s">
        <v>622</v>
      </c>
      <c r="J2627" t="s">
        <v>623</v>
      </c>
      <c r="K2627" s="1"/>
      <c r="L2627" s="1">
        <v>46263.377465277779</v>
      </c>
      <c r="M2627" s="2">
        <v>46263</v>
      </c>
      <c r="N2627" t="s">
        <v>641</v>
      </c>
      <c r="O2627" t="s">
        <v>625</v>
      </c>
      <c r="P2627">
        <v>1</v>
      </c>
      <c r="Q2627">
        <v>0</v>
      </c>
      <c r="R2627">
        <v>168.37</v>
      </c>
      <c r="S2627" t="s">
        <v>28</v>
      </c>
      <c r="T2627" t="s">
        <v>779</v>
      </c>
    </row>
    <row r="2628" spans="1:20" x14ac:dyDescent="0.3">
      <c r="A2628">
        <v>2627</v>
      </c>
      <c r="B2628">
        <v>128</v>
      </c>
      <c r="C2628">
        <v>2</v>
      </c>
      <c r="D2628">
        <v>31.29</v>
      </c>
      <c r="E2628">
        <v>3.13</v>
      </c>
      <c r="F2628">
        <v>0</v>
      </c>
      <c r="G2628">
        <v>0.1</v>
      </c>
      <c r="H2628" t="s">
        <v>622</v>
      </c>
      <c r="J2628" t="s">
        <v>623</v>
      </c>
      <c r="K2628" s="1"/>
      <c r="L2628" s="1">
        <v>46263.387557870374</v>
      </c>
      <c r="M2628" s="2">
        <v>46263</v>
      </c>
      <c r="N2628" t="s">
        <v>641</v>
      </c>
      <c r="O2628" t="s">
        <v>625</v>
      </c>
      <c r="P2628">
        <v>1</v>
      </c>
      <c r="Q2628">
        <v>0</v>
      </c>
      <c r="R2628">
        <v>31.29</v>
      </c>
      <c r="S2628" t="s">
        <v>251</v>
      </c>
      <c r="T2628" t="s">
        <v>776</v>
      </c>
    </row>
    <row r="2629" spans="1:20" x14ac:dyDescent="0.3">
      <c r="A2629">
        <v>2628</v>
      </c>
      <c r="B2629">
        <v>195</v>
      </c>
      <c r="C2629">
        <v>5</v>
      </c>
      <c r="D2629">
        <v>108.53</v>
      </c>
      <c r="E2629">
        <v>10.85</v>
      </c>
      <c r="F2629">
        <v>0</v>
      </c>
      <c r="G2629">
        <v>0.1</v>
      </c>
      <c r="H2629" t="s">
        <v>622</v>
      </c>
      <c r="J2629" t="s">
        <v>623</v>
      </c>
      <c r="K2629" s="1"/>
      <c r="L2629" s="1">
        <v>46263.666909722226</v>
      </c>
      <c r="M2629" s="2">
        <v>46263</v>
      </c>
      <c r="N2629" t="s">
        <v>641</v>
      </c>
      <c r="O2629" t="s">
        <v>625</v>
      </c>
      <c r="P2629">
        <v>1</v>
      </c>
      <c r="Q2629">
        <v>0</v>
      </c>
      <c r="R2629">
        <v>108.53</v>
      </c>
      <c r="S2629" t="s">
        <v>385</v>
      </c>
      <c r="T2629" t="s">
        <v>779</v>
      </c>
    </row>
    <row r="2630" spans="1:20" x14ac:dyDescent="0.3">
      <c r="A2630">
        <v>2629</v>
      </c>
      <c r="B2630">
        <v>207</v>
      </c>
      <c r="C2630">
        <v>3</v>
      </c>
      <c r="D2630">
        <v>37.14</v>
      </c>
      <c r="E2630">
        <v>3.71</v>
      </c>
      <c r="F2630">
        <v>0</v>
      </c>
      <c r="G2630">
        <v>0.1</v>
      </c>
      <c r="H2630" t="s">
        <v>622</v>
      </c>
      <c r="J2630" t="s">
        <v>623</v>
      </c>
      <c r="K2630" s="1"/>
      <c r="L2630" s="1">
        <v>46263.775763888887</v>
      </c>
      <c r="M2630" s="2">
        <v>46263</v>
      </c>
      <c r="N2630" t="s">
        <v>641</v>
      </c>
      <c r="O2630" t="s">
        <v>625</v>
      </c>
      <c r="P2630">
        <v>1</v>
      </c>
      <c r="Q2630">
        <v>0</v>
      </c>
      <c r="R2630">
        <v>37.14</v>
      </c>
      <c r="S2630" t="s">
        <v>409</v>
      </c>
      <c r="T2630" t="s">
        <v>777</v>
      </c>
    </row>
    <row r="2631" spans="1:20" x14ac:dyDescent="0.3">
      <c r="A2631">
        <v>2630</v>
      </c>
      <c r="B2631">
        <v>136</v>
      </c>
      <c r="C2631">
        <v>4</v>
      </c>
      <c r="D2631">
        <v>173.14</v>
      </c>
      <c r="E2631">
        <v>17.309999999999999</v>
      </c>
      <c r="F2631">
        <v>0</v>
      </c>
      <c r="G2631">
        <v>0.1</v>
      </c>
      <c r="H2631" t="s">
        <v>622</v>
      </c>
      <c r="J2631" t="s">
        <v>623</v>
      </c>
      <c r="K2631" s="1"/>
      <c r="L2631" s="1">
        <v>46264.344189814816</v>
      </c>
      <c r="M2631" s="2">
        <v>46264</v>
      </c>
      <c r="N2631" t="s">
        <v>641</v>
      </c>
      <c r="O2631" t="s">
        <v>625</v>
      </c>
      <c r="P2631">
        <v>1</v>
      </c>
      <c r="Q2631">
        <v>0</v>
      </c>
      <c r="R2631">
        <v>173.14</v>
      </c>
      <c r="S2631" t="s">
        <v>267</v>
      </c>
      <c r="T2631" t="s">
        <v>778</v>
      </c>
    </row>
    <row r="2632" spans="1:20" x14ac:dyDescent="0.3">
      <c r="A2632">
        <v>2631</v>
      </c>
      <c r="B2632">
        <v>137</v>
      </c>
      <c r="C2632">
        <v>2</v>
      </c>
      <c r="D2632">
        <v>29.51</v>
      </c>
      <c r="E2632">
        <v>2.95</v>
      </c>
      <c r="F2632">
        <v>0</v>
      </c>
      <c r="G2632">
        <v>0.1</v>
      </c>
      <c r="H2632" t="s">
        <v>622</v>
      </c>
      <c r="J2632" t="s">
        <v>623</v>
      </c>
      <c r="K2632" s="1"/>
      <c r="L2632" s="1">
        <v>46264.384583333333</v>
      </c>
      <c r="M2632" s="2">
        <v>46264</v>
      </c>
      <c r="N2632" t="s">
        <v>641</v>
      </c>
      <c r="O2632" t="s">
        <v>625</v>
      </c>
      <c r="P2632">
        <v>1</v>
      </c>
      <c r="Q2632">
        <v>0</v>
      </c>
      <c r="R2632">
        <v>29.51</v>
      </c>
      <c r="S2632" t="s">
        <v>269</v>
      </c>
      <c r="T2632" t="s">
        <v>776</v>
      </c>
    </row>
    <row r="2633" spans="1:20" x14ac:dyDescent="0.3">
      <c r="A2633">
        <v>2632</v>
      </c>
      <c r="B2633">
        <v>245</v>
      </c>
      <c r="C2633">
        <v>4</v>
      </c>
      <c r="D2633">
        <v>18.91</v>
      </c>
      <c r="E2633">
        <v>1.89</v>
      </c>
      <c r="F2633">
        <v>0</v>
      </c>
      <c r="G2633">
        <v>0.1</v>
      </c>
      <c r="H2633" t="s">
        <v>622</v>
      </c>
      <c r="J2633" t="s">
        <v>623</v>
      </c>
      <c r="K2633" s="1"/>
      <c r="L2633" s="1">
        <v>46264.391215277778</v>
      </c>
      <c r="M2633" s="2">
        <v>46264</v>
      </c>
      <c r="N2633" t="s">
        <v>641</v>
      </c>
      <c r="O2633" t="s">
        <v>625</v>
      </c>
      <c r="P2633">
        <v>1</v>
      </c>
      <c r="Q2633">
        <v>0</v>
      </c>
      <c r="R2633">
        <v>18.91</v>
      </c>
      <c r="S2633" t="s">
        <v>485</v>
      </c>
      <c r="T2633" t="s">
        <v>778</v>
      </c>
    </row>
    <row r="2634" spans="1:20" x14ac:dyDescent="0.3">
      <c r="A2634">
        <v>2633</v>
      </c>
      <c r="B2634">
        <v>48</v>
      </c>
      <c r="C2634">
        <v>2</v>
      </c>
      <c r="D2634">
        <v>72.66</v>
      </c>
      <c r="E2634">
        <v>0</v>
      </c>
      <c r="F2634">
        <v>1</v>
      </c>
      <c r="G2634">
        <v>0.1</v>
      </c>
      <c r="H2634" t="s">
        <v>622</v>
      </c>
      <c r="J2634" t="s">
        <v>623</v>
      </c>
      <c r="K2634" s="1"/>
      <c r="L2634" s="1">
        <v>46265.455578703702</v>
      </c>
      <c r="M2634" s="2">
        <v>46265</v>
      </c>
      <c r="N2634" t="s">
        <v>641</v>
      </c>
      <c r="O2634" t="s">
        <v>629</v>
      </c>
      <c r="P2634">
        <v>1</v>
      </c>
      <c r="Q2634">
        <v>0</v>
      </c>
      <c r="R2634">
        <v>72.66</v>
      </c>
      <c r="S2634" t="s">
        <v>92</v>
      </c>
      <c r="T2634" t="s">
        <v>776</v>
      </c>
    </row>
    <row r="2635" spans="1:20" x14ac:dyDescent="0.3">
      <c r="A2635">
        <v>2634</v>
      </c>
      <c r="B2635">
        <v>293</v>
      </c>
      <c r="C2635">
        <v>5</v>
      </c>
      <c r="D2635">
        <v>44.76</v>
      </c>
      <c r="E2635">
        <v>4.4800000000000004</v>
      </c>
      <c r="F2635">
        <v>0</v>
      </c>
      <c r="G2635">
        <v>0.1</v>
      </c>
      <c r="H2635" t="s">
        <v>622</v>
      </c>
      <c r="J2635" t="s">
        <v>623</v>
      </c>
      <c r="K2635" s="1"/>
      <c r="L2635" s="1">
        <v>46265.457604166666</v>
      </c>
      <c r="M2635" s="2">
        <v>46265</v>
      </c>
      <c r="N2635" t="s">
        <v>641</v>
      </c>
      <c r="O2635" t="s">
        <v>625</v>
      </c>
      <c r="P2635">
        <v>1</v>
      </c>
      <c r="Q2635">
        <v>0</v>
      </c>
      <c r="R2635">
        <v>44.76</v>
      </c>
      <c r="S2635" t="s">
        <v>581</v>
      </c>
      <c r="T2635" t="s">
        <v>779</v>
      </c>
    </row>
    <row r="2636" spans="1:20" x14ac:dyDescent="0.3">
      <c r="A2636">
        <v>2635</v>
      </c>
      <c r="B2636">
        <v>16</v>
      </c>
      <c r="C2636">
        <v>3</v>
      </c>
      <c r="D2636">
        <v>117.69</v>
      </c>
      <c r="E2636">
        <v>11.77</v>
      </c>
      <c r="F2636">
        <v>0</v>
      </c>
      <c r="G2636">
        <v>0.1</v>
      </c>
      <c r="H2636" t="s">
        <v>622</v>
      </c>
      <c r="J2636" t="s">
        <v>623</v>
      </c>
      <c r="K2636" s="1"/>
      <c r="L2636" s="1">
        <v>46265.50199074074</v>
      </c>
      <c r="M2636" s="2">
        <v>46265</v>
      </c>
      <c r="N2636" t="s">
        <v>641</v>
      </c>
      <c r="O2636" t="s">
        <v>625</v>
      </c>
      <c r="P2636">
        <v>1</v>
      </c>
      <c r="Q2636">
        <v>0</v>
      </c>
      <c r="R2636">
        <v>117.69</v>
      </c>
      <c r="S2636" t="s">
        <v>28</v>
      </c>
      <c r="T2636" t="s">
        <v>777</v>
      </c>
    </row>
    <row r="2637" spans="1:20" x14ac:dyDescent="0.3">
      <c r="A2637">
        <v>2636</v>
      </c>
      <c r="B2637">
        <v>231</v>
      </c>
      <c r="C2637">
        <v>2</v>
      </c>
      <c r="D2637">
        <v>109.65</v>
      </c>
      <c r="E2637">
        <v>10.97</v>
      </c>
      <c r="F2637">
        <v>0</v>
      </c>
      <c r="G2637">
        <v>0.1</v>
      </c>
      <c r="H2637" t="s">
        <v>622</v>
      </c>
      <c r="J2637" t="s">
        <v>623</v>
      </c>
      <c r="K2637" s="1"/>
      <c r="L2637" s="1">
        <v>46265.608807870369</v>
      </c>
      <c r="M2637" s="2">
        <v>46265</v>
      </c>
      <c r="N2637" t="s">
        <v>641</v>
      </c>
      <c r="O2637" t="s">
        <v>625</v>
      </c>
      <c r="P2637">
        <v>1</v>
      </c>
      <c r="Q2637">
        <v>0</v>
      </c>
      <c r="R2637">
        <v>109.65</v>
      </c>
      <c r="S2637" t="s">
        <v>457</v>
      </c>
      <c r="T2637" t="s">
        <v>776</v>
      </c>
    </row>
    <row r="2638" spans="1:20" x14ac:dyDescent="0.3">
      <c r="A2638">
        <v>2637</v>
      </c>
      <c r="B2638">
        <v>250</v>
      </c>
      <c r="C2638">
        <v>4</v>
      </c>
      <c r="D2638">
        <v>60.01</v>
      </c>
      <c r="E2638">
        <v>6</v>
      </c>
      <c r="F2638">
        <v>0</v>
      </c>
      <c r="G2638">
        <v>0.1</v>
      </c>
      <c r="H2638" t="s">
        <v>626</v>
      </c>
      <c r="I2638">
        <v>2</v>
      </c>
      <c r="J2638" t="s">
        <v>632</v>
      </c>
      <c r="K2638" s="1">
        <v>46265.750335648147</v>
      </c>
      <c r="L2638" s="1">
        <v>46265.667002314818</v>
      </c>
      <c r="M2638" s="2">
        <v>46265</v>
      </c>
      <c r="N2638" t="s">
        <v>641</v>
      </c>
      <c r="O2638" t="s">
        <v>625</v>
      </c>
      <c r="P2638">
        <v>1</v>
      </c>
      <c r="Q2638">
        <v>1</v>
      </c>
      <c r="R2638">
        <v>0</v>
      </c>
      <c r="S2638" t="s">
        <v>495</v>
      </c>
      <c r="T2638" t="s">
        <v>778</v>
      </c>
    </row>
    <row r="2639" spans="1:20" x14ac:dyDescent="0.3">
      <c r="A2639">
        <v>2638</v>
      </c>
      <c r="B2639">
        <v>172</v>
      </c>
      <c r="C2639">
        <v>4</v>
      </c>
      <c r="D2639">
        <v>23.71</v>
      </c>
      <c r="E2639">
        <v>2.37</v>
      </c>
      <c r="F2639">
        <v>0</v>
      </c>
      <c r="G2639">
        <v>0.1</v>
      </c>
      <c r="H2639" t="s">
        <v>622</v>
      </c>
      <c r="J2639" t="s">
        <v>623</v>
      </c>
      <c r="K2639" s="1"/>
      <c r="L2639" s="1">
        <v>46265.683969907404</v>
      </c>
      <c r="M2639" s="2">
        <v>46265</v>
      </c>
      <c r="N2639" t="s">
        <v>641</v>
      </c>
      <c r="O2639" t="s">
        <v>625</v>
      </c>
      <c r="P2639">
        <v>1</v>
      </c>
      <c r="Q2639">
        <v>0</v>
      </c>
      <c r="R2639">
        <v>23.71</v>
      </c>
      <c r="S2639" t="s">
        <v>339</v>
      </c>
      <c r="T2639" t="s">
        <v>778</v>
      </c>
    </row>
    <row r="2640" spans="1:20" x14ac:dyDescent="0.3">
      <c r="A2640">
        <v>2639</v>
      </c>
      <c r="B2640">
        <v>44</v>
      </c>
      <c r="C2640">
        <v>4</v>
      </c>
      <c r="D2640">
        <v>58.36</v>
      </c>
      <c r="E2640">
        <v>5.84</v>
      </c>
      <c r="F2640">
        <v>0</v>
      </c>
      <c r="G2640">
        <v>0.1</v>
      </c>
      <c r="H2640" t="s">
        <v>622</v>
      </c>
      <c r="J2640" t="s">
        <v>623</v>
      </c>
      <c r="K2640" s="1"/>
      <c r="L2640" s="1">
        <v>46265.687291666669</v>
      </c>
      <c r="M2640" s="2">
        <v>46265</v>
      </c>
      <c r="N2640" t="s">
        <v>641</v>
      </c>
      <c r="O2640" t="s">
        <v>625</v>
      </c>
      <c r="P2640">
        <v>1</v>
      </c>
      <c r="Q2640">
        <v>0</v>
      </c>
      <c r="R2640">
        <v>58.36</v>
      </c>
      <c r="S2640" t="s">
        <v>84</v>
      </c>
      <c r="T2640" t="s">
        <v>778</v>
      </c>
    </row>
    <row r="2641" spans="1:20" x14ac:dyDescent="0.3">
      <c r="A2641">
        <v>2640</v>
      </c>
      <c r="B2641">
        <v>123</v>
      </c>
      <c r="C2641">
        <v>2</v>
      </c>
      <c r="D2641">
        <v>44.19</v>
      </c>
      <c r="E2641">
        <v>4.42</v>
      </c>
      <c r="F2641">
        <v>0</v>
      </c>
      <c r="G2641">
        <v>0.1</v>
      </c>
      <c r="H2641" t="s">
        <v>622</v>
      </c>
      <c r="J2641" t="s">
        <v>623</v>
      </c>
      <c r="K2641" s="1"/>
      <c r="L2641" s="1">
        <v>46265.697118055556</v>
      </c>
      <c r="M2641" s="2">
        <v>46265</v>
      </c>
      <c r="N2641" t="s">
        <v>641</v>
      </c>
      <c r="O2641" t="s">
        <v>625</v>
      </c>
      <c r="P2641">
        <v>1</v>
      </c>
      <c r="Q2641">
        <v>0</v>
      </c>
      <c r="R2641">
        <v>44.19</v>
      </c>
      <c r="S2641" t="s">
        <v>241</v>
      </c>
      <c r="T2641" t="s">
        <v>776</v>
      </c>
    </row>
    <row r="2642" spans="1:20" x14ac:dyDescent="0.3">
      <c r="A2642">
        <v>2641</v>
      </c>
      <c r="B2642">
        <v>117</v>
      </c>
      <c r="C2642">
        <v>3</v>
      </c>
      <c r="D2642">
        <v>48.55</v>
      </c>
      <c r="E2642">
        <v>4.8600000000000003</v>
      </c>
      <c r="F2642">
        <v>0</v>
      </c>
      <c r="G2642">
        <v>0.1</v>
      </c>
      <c r="H2642" t="s">
        <v>622</v>
      </c>
      <c r="J2642" t="s">
        <v>623</v>
      </c>
      <c r="K2642" s="1"/>
      <c r="L2642" s="1">
        <v>46265.741099537037</v>
      </c>
      <c r="M2642" s="2">
        <v>46265</v>
      </c>
      <c r="N2642" t="s">
        <v>641</v>
      </c>
      <c r="O2642" t="s">
        <v>625</v>
      </c>
      <c r="P2642">
        <v>1</v>
      </c>
      <c r="Q2642">
        <v>0</v>
      </c>
      <c r="R2642">
        <v>48.55</v>
      </c>
      <c r="S2642" t="s">
        <v>229</v>
      </c>
      <c r="T2642" t="s">
        <v>777</v>
      </c>
    </row>
    <row r="2643" spans="1:20" x14ac:dyDescent="0.3">
      <c r="A2643">
        <v>2642</v>
      </c>
      <c r="B2643">
        <v>207</v>
      </c>
      <c r="C2643">
        <v>3</v>
      </c>
      <c r="D2643">
        <v>9.2899999999999991</v>
      </c>
      <c r="E2643">
        <v>0.93</v>
      </c>
      <c r="F2643">
        <v>0</v>
      </c>
      <c r="G2643">
        <v>0.1</v>
      </c>
      <c r="H2643" t="s">
        <v>622</v>
      </c>
      <c r="J2643" t="s">
        <v>623</v>
      </c>
      <c r="K2643" s="1"/>
      <c r="L2643" s="1">
        <v>46265.760752314818</v>
      </c>
      <c r="M2643" s="2">
        <v>46265</v>
      </c>
      <c r="N2643" t="s">
        <v>641</v>
      </c>
      <c r="O2643" t="s">
        <v>625</v>
      </c>
      <c r="P2643">
        <v>1</v>
      </c>
      <c r="Q2643">
        <v>0</v>
      </c>
      <c r="R2643">
        <v>9.2899999999999991</v>
      </c>
      <c r="S2643" t="s">
        <v>409</v>
      </c>
      <c r="T2643" t="s">
        <v>777</v>
      </c>
    </row>
    <row r="2644" spans="1:20" x14ac:dyDescent="0.3">
      <c r="A2644">
        <v>2643</v>
      </c>
      <c r="B2644">
        <v>156</v>
      </c>
      <c r="C2644">
        <v>4</v>
      </c>
      <c r="D2644">
        <v>31.61</v>
      </c>
      <c r="E2644">
        <v>3.16</v>
      </c>
      <c r="F2644">
        <v>0</v>
      </c>
      <c r="G2644">
        <v>0.1</v>
      </c>
      <c r="H2644" t="s">
        <v>622</v>
      </c>
      <c r="J2644" t="s">
        <v>623</v>
      </c>
      <c r="K2644" s="1"/>
      <c r="L2644" s="1">
        <v>46265.784710648149</v>
      </c>
      <c r="M2644" s="2">
        <v>46265</v>
      </c>
      <c r="N2644" t="s">
        <v>641</v>
      </c>
      <c r="O2644" t="s">
        <v>625</v>
      </c>
      <c r="P2644">
        <v>1</v>
      </c>
      <c r="Q2644">
        <v>0</v>
      </c>
      <c r="R2644">
        <v>31.61</v>
      </c>
      <c r="S2644" t="s">
        <v>307</v>
      </c>
      <c r="T2644" t="s">
        <v>778</v>
      </c>
    </row>
    <row r="2645" spans="1:20" x14ac:dyDescent="0.3">
      <c r="A2645">
        <v>2644</v>
      </c>
      <c r="B2645">
        <v>250</v>
      </c>
      <c r="C2645">
        <v>3</v>
      </c>
      <c r="D2645">
        <v>66.94</v>
      </c>
      <c r="E2645">
        <v>6.69</v>
      </c>
      <c r="F2645">
        <v>0</v>
      </c>
      <c r="G2645">
        <v>0.1</v>
      </c>
      <c r="H2645" t="s">
        <v>622</v>
      </c>
      <c r="J2645" t="s">
        <v>623</v>
      </c>
      <c r="K2645" s="1"/>
      <c r="L2645" s="1">
        <v>46266.303032407406</v>
      </c>
      <c r="M2645" s="2">
        <v>46266</v>
      </c>
      <c r="N2645" t="s">
        <v>642</v>
      </c>
      <c r="O2645" t="s">
        <v>625</v>
      </c>
      <c r="P2645">
        <v>1</v>
      </c>
      <c r="Q2645">
        <v>0</v>
      </c>
      <c r="R2645">
        <v>66.94</v>
      </c>
      <c r="S2645" t="s">
        <v>495</v>
      </c>
      <c r="T2645" t="s">
        <v>777</v>
      </c>
    </row>
    <row r="2646" spans="1:20" x14ac:dyDescent="0.3">
      <c r="A2646">
        <v>2645</v>
      </c>
      <c r="B2646">
        <v>66</v>
      </c>
      <c r="C2646">
        <v>2</v>
      </c>
      <c r="D2646">
        <v>152.16999999999999</v>
      </c>
      <c r="E2646">
        <v>15.22</v>
      </c>
      <c r="F2646">
        <v>0</v>
      </c>
      <c r="G2646">
        <v>0.1</v>
      </c>
      <c r="H2646" t="s">
        <v>622</v>
      </c>
      <c r="J2646" t="s">
        <v>623</v>
      </c>
      <c r="K2646" s="1"/>
      <c r="L2646" s="1">
        <v>46266.352870370371</v>
      </c>
      <c r="M2646" s="2">
        <v>46266</v>
      </c>
      <c r="N2646" t="s">
        <v>642</v>
      </c>
      <c r="O2646" t="s">
        <v>625</v>
      </c>
      <c r="P2646">
        <v>1</v>
      </c>
      <c r="Q2646">
        <v>0</v>
      </c>
      <c r="R2646">
        <v>152.16999999999999</v>
      </c>
      <c r="S2646" t="s">
        <v>128</v>
      </c>
      <c r="T2646" t="s">
        <v>776</v>
      </c>
    </row>
    <row r="2647" spans="1:20" x14ac:dyDescent="0.3">
      <c r="A2647">
        <v>2646</v>
      </c>
      <c r="B2647">
        <v>273</v>
      </c>
      <c r="C2647">
        <v>2</v>
      </c>
      <c r="D2647">
        <v>32.340000000000003</v>
      </c>
      <c r="E2647">
        <v>3.23</v>
      </c>
      <c r="F2647">
        <v>0</v>
      </c>
      <c r="G2647">
        <v>0.1</v>
      </c>
      <c r="H2647" t="s">
        <v>622</v>
      </c>
      <c r="J2647" t="s">
        <v>623</v>
      </c>
      <c r="K2647" s="1"/>
      <c r="L2647" s="1">
        <v>46266.578657407408</v>
      </c>
      <c r="M2647" s="2">
        <v>46266</v>
      </c>
      <c r="N2647" t="s">
        <v>642</v>
      </c>
      <c r="O2647" t="s">
        <v>625</v>
      </c>
      <c r="P2647">
        <v>1</v>
      </c>
      <c r="Q2647">
        <v>0</v>
      </c>
      <c r="R2647">
        <v>32.340000000000003</v>
      </c>
      <c r="S2647" t="s">
        <v>541</v>
      </c>
      <c r="T2647" t="s">
        <v>776</v>
      </c>
    </row>
    <row r="2648" spans="1:20" x14ac:dyDescent="0.3">
      <c r="A2648">
        <v>2647</v>
      </c>
      <c r="B2648">
        <v>174</v>
      </c>
      <c r="C2648">
        <v>5</v>
      </c>
      <c r="D2648">
        <v>39.14</v>
      </c>
      <c r="E2648">
        <v>3.91</v>
      </c>
      <c r="F2648">
        <v>0</v>
      </c>
      <c r="G2648">
        <v>0.1</v>
      </c>
      <c r="H2648" t="s">
        <v>626</v>
      </c>
      <c r="I2648">
        <v>5</v>
      </c>
      <c r="J2648" t="s">
        <v>631</v>
      </c>
      <c r="K2648" s="1">
        <v>46267.711875000001</v>
      </c>
      <c r="L2648" s="1">
        <v>46266.628541666665</v>
      </c>
      <c r="M2648" s="2">
        <v>46266</v>
      </c>
      <c r="N2648" t="s">
        <v>642</v>
      </c>
      <c r="O2648" t="s">
        <v>625</v>
      </c>
      <c r="P2648">
        <v>1</v>
      </c>
      <c r="Q2648">
        <v>1</v>
      </c>
      <c r="R2648">
        <v>0</v>
      </c>
      <c r="S2648" t="s">
        <v>343</v>
      </c>
      <c r="T2648" t="s">
        <v>779</v>
      </c>
    </row>
    <row r="2649" spans="1:20" x14ac:dyDescent="0.3">
      <c r="A2649">
        <v>2648</v>
      </c>
      <c r="B2649">
        <v>39</v>
      </c>
      <c r="C2649">
        <v>4</v>
      </c>
      <c r="D2649">
        <v>282.44</v>
      </c>
      <c r="E2649">
        <v>28.24</v>
      </c>
      <c r="F2649">
        <v>0</v>
      </c>
      <c r="G2649">
        <v>0.1</v>
      </c>
      <c r="H2649" t="s">
        <v>622</v>
      </c>
      <c r="J2649" t="s">
        <v>623</v>
      </c>
      <c r="K2649" s="1"/>
      <c r="L2649" s="1">
        <v>46266.654965277776</v>
      </c>
      <c r="M2649" s="2">
        <v>46266</v>
      </c>
      <c r="N2649" t="s">
        <v>642</v>
      </c>
      <c r="O2649" t="s">
        <v>625</v>
      </c>
      <c r="P2649">
        <v>1</v>
      </c>
      <c r="Q2649">
        <v>0</v>
      </c>
      <c r="R2649">
        <v>282.44</v>
      </c>
      <c r="S2649" t="s">
        <v>74</v>
      </c>
      <c r="T2649" t="s">
        <v>778</v>
      </c>
    </row>
    <row r="2650" spans="1:20" x14ac:dyDescent="0.3">
      <c r="A2650">
        <v>2649</v>
      </c>
      <c r="B2650">
        <v>195</v>
      </c>
      <c r="C2650">
        <v>3</v>
      </c>
      <c r="D2650">
        <v>292.7</v>
      </c>
      <c r="E2650">
        <v>29.27</v>
      </c>
      <c r="F2650">
        <v>0</v>
      </c>
      <c r="G2650">
        <v>0.1</v>
      </c>
      <c r="H2650" t="s">
        <v>622</v>
      </c>
      <c r="J2650" t="s">
        <v>623</v>
      </c>
      <c r="K2650" s="1"/>
      <c r="L2650" s="1">
        <v>46266.691851851851</v>
      </c>
      <c r="M2650" s="2">
        <v>46266</v>
      </c>
      <c r="N2650" t="s">
        <v>642</v>
      </c>
      <c r="O2650" t="s">
        <v>625</v>
      </c>
      <c r="P2650">
        <v>1</v>
      </c>
      <c r="Q2650">
        <v>0</v>
      </c>
      <c r="R2650">
        <v>292.7</v>
      </c>
      <c r="S2650" t="s">
        <v>385</v>
      </c>
      <c r="T2650" t="s">
        <v>777</v>
      </c>
    </row>
    <row r="2651" spans="1:20" x14ac:dyDescent="0.3">
      <c r="A2651">
        <v>2650</v>
      </c>
      <c r="B2651">
        <v>83</v>
      </c>
      <c r="C2651">
        <v>3</v>
      </c>
      <c r="D2651">
        <v>46.29</v>
      </c>
      <c r="E2651">
        <v>4.63</v>
      </c>
      <c r="F2651">
        <v>0</v>
      </c>
      <c r="G2651">
        <v>0.1</v>
      </c>
      <c r="H2651" t="s">
        <v>622</v>
      </c>
      <c r="J2651" t="s">
        <v>623</v>
      </c>
      <c r="K2651" s="1"/>
      <c r="L2651" s="1">
        <v>46266.789305555554</v>
      </c>
      <c r="M2651" s="2">
        <v>46266</v>
      </c>
      <c r="N2651" t="s">
        <v>642</v>
      </c>
      <c r="O2651" t="s">
        <v>625</v>
      </c>
      <c r="P2651">
        <v>1</v>
      </c>
      <c r="Q2651">
        <v>0</v>
      </c>
      <c r="R2651">
        <v>46.29</v>
      </c>
      <c r="S2651" t="s">
        <v>161</v>
      </c>
      <c r="T2651" t="s">
        <v>777</v>
      </c>
    </row>
    <row r="2652" spans="1:20" x14ac:dyDescent="0.3">
      <c r="A2652">
        <v>2651</v>
      </c>
      <c r="B2652">
        <v>11</v>
      </c>
      <c r="C2652">
        <v>5</v>
      </c>
      <c r="D2652">
        <v>188.32</v>
      </c>
      <c r="E2652">
        <v>18.829999999999998</v>
      </c>
      <c r="F2652">
        <v>0</v>
      </c>
      <c r="G2652">
        <v>0.1</v>
      </c>
      <c r="H2652" t="s">
        <v>622</v>
      </c>
      <c r="J2652" t="s">
        <v>623</v>
      </c>
      <c r="K2652" s="1"/>
      <c r="L2652" s="1">
        <v>46267.319907407407</v>
      </c>
      <c r="M2652" s="2">
        <v>46267</v>
      </c>
      <c r="N2652" t="s">
        <v>642</v>
      </c>
      <c r="O2652" t="s">
        <v>625</v>
      </c>
      <c r="P2652">
        <v>1</v>
      </c>
      <c r="Q2652">
        <v>0</v>
      </c>
      <c r="R2652">
        <v>188.32</v>
      </c>
      <c r="S2652" t="s">
        <v>18</v>
      </c>
      <c r="T2652" t="s">
        <v>779</v>
      </c>
    </row>
    <row r="2653" spans="1:20" x14ac:dyDescent="0.3">
      <c r="A2653">
        <v>2652</v>
      </c>
      <c r="B2653">
        <v>39</v>
      </c>
      <c r="C2653">
        <v>3</v>
      </c>
      <c r="D2653">
        <v>193.8</v>
      </c>
      <c r="E2653">
        <v>19.38</v>
      </c>
      <c r="F2653">
        <v>0</v>
      </c>
      <c r="G2653">
        <v>0.1</v>
      </c>
      <c r="H2653" t="s">
        <v>622</v>
      </c>
      <c r="J2653" t="s">
        <v>623</v>
      </c>
      <c r="K2653" s="1"/>
      <c r="L2653" s="1">
        <v>46267.349490740744</v>
      </c>
      <c r="M2653" s="2">
        <v>46267</v>
      </c>
      <c r="N2653" t="s">
        <v>642</v>
      </c>
      <c r="O2653" t="s">
        <v>625</v>
      </c>
      <c r="P2653">
        <v>1</v>
      </c>
      <c r="Q2653">
        <v>0</v>
      </c>
      <c r="R2653">
        <v>193.8</v>
      </c>
      <c r="S2653" t="s">
        <v>74</v>
      </c>
      <c r="T2653" t="s">
        <v>777</v>
      </c>
    </row>
    <row r="2654" spans="1:20" x14ac:dyDescent="0.3">
      <c r="A2654">
        <v>2653</v>
      </c>
      <c r="B2654">
        <v>297</v>
      </c>
      <c r="C2654">
        <v>4</v>
      </c>
      <c r="D2654">
        <v>85.02</v>
      </c>
      <c r="E2654">
        <v>8.5</v>
      </c>
      <c r="F2654">
        <v>0</v>
      </c>
      <c r="G2654">
        <v>0.1</v>
      </c>
      <c r="H2654" t="s">
        <v>622</v>
      </c>
      <c r="J2654" t="s">
        <v>623</v>
      </c>
      <c r="K2654" s="1"/>
      <c r="L2654" s="1">
        <v>46267.398900462962</v>
      </c>
      <c r="M2654" s="2">
        <v>46267</v>
      </c>
      <c r="N2654" t="s">
        <v>642</v>
      </c>
      <c r="O2654" t="s">
        <v>625</v>
      </c>
      <c r="P2654">
        <v>1</v>
      </c>
      <c r="Q2654">
        <v>0</v>
      </c>
      <c r="R2654">
        <v>85.02</v>
      </c>
      <c r="S2654" t="s">
        <v>589</v>
      </c>
      <c r="T2654" t="s">
        <v>778</v>
      </c>
    </row>
    <row r="2655" spans="1:20" x14ac:dyDescent="0.3">
      <c r="A2655">
        <v>2654</v>
      </c>
      <c r="B2655">
        <v>48</v>
      </c>
      <c r="C2655">
        <v>5</v>
      </c>
      <c r="D2655">
        <v>107.99</v>
      </c>
      <c r="E2655">
        <v>10.8</v>
      </c>
      <c r="F2655">
        <v>0</v>
      </c>
      <c r="G2655">
        <v>0.1</v>
      </c>
      <c r="H2655" t="s">
        <v>622</v>
      </c>
      <c r="J2655" t="s">
        <v>623</v>
      </c>
      <c r="K2655" s="1"/>
      <c r="L2655" s="1">
        <v>46267.458715277775</v>
      </c>
      <c r="M2655" s="2">
        <v>46267</v>
      </c>
      <c r="N2655" t="s">
        <v>642</v>
      </c>
      <c r="O2655" t="s">
        <v>625</v>
      </c>
      <c r="P2655">
        <v>1</v>
      </c>
      <c r="Q2655">
        <v>0</v>
      </c>
      <c r="R2655">
        <v>107.99</v>
      </c>
      <c r="S2655" t="s">
        <v>92</v>
      </c>
      <c r="T2655" t="s">
        <v>779</v>
      </c>
    </row>
    <row r="2656" spans="1:20" x14ac:dyDescent="0.3">
      <c r="A2656">
        <v>2655</v>
      </c>
      <c r="B2656">
        <v>128</v>
      </c>
      <c r="C2656">
        <v>3</v>
      </c>
      <c r="D2656">
        <v>22.11</v>
      </c>
      <c r="E2656">
        <v>2.21</v>
      </c>
      <c r="F2656">
        <v>0</v>
      </c>
      <c r="G2656">
        <v>0.1</v>
      </c>
      <c r="H2656" t="s">
        <v>622</v>
      </c>
      <c r="J2656" t="s">
        <v>623</v>
      </c>
      <c r="K2656" s="1"/>
      <c r="L2656" s="1">
        <v>46267.542928240742</v>
      </c>
      <c r="M2656" s="2">
        <v>46267</v>
      </c>
      <c r="N2656" t="s">
        <v>642</v>
      </c>
      <c r="O2656" t="s">
        <v>625</v>
      </c>
      <c r="P2656">
        <v>1</v>
      </c>
      <c r="Q2656">
        <v>0</v>
      </c>
      <c r="R2656">
        <v>22.11</v>
      </c>
      <c r="S2656" t="s">
        <v>251</v>
      </c>
      <c r="T2656" t="s">
        <v>777</v>
      </c>
    </row>
    <row r="2657" spans="1:20" x14ac:dyDescent="0.3">
      <c r="A2657">
        <v>2656</v>
      </c>
      <c r="B2657">
        <v>285</v>
      </c>
      <c r="C2657">
        <v>4</v>
      </c>
      <c r="D2657">
        <v>31.42</v>
      </c>
      <c r="E2657">
        <v>3.14</v>
      </c>
      <c r="F2657">
        <v>0</v>
      </c>
      <c r="G2657">
        <v>0.1</v>
      </c>
      <c r="H2657" t="s">
        <v>622</v>
      </c>
      <c r="J2657" t="s">
        <v>623</v>
      </c>
      <c r="K2657" s="1"/>
      <c r="L2657" s="1">
        <v>46267.744456018518</v>
      </c>
      <c r="M2657" s="2">
        <v>46267</v>
      </c>
      <c r="N2657" t="s">
        <v>642</v>
      </c>
      <c r="O2657" t="s">
        <v>625</v>
      </c>
      <c r="P2657">
        <v>1</v>
      </c>
      <c r="Q2657">
        <v>0</v>
      </c>
      <c r="R2657">
        <v>31.42</v>
      </c>
      <c r="S2657" t="s">
        <v>565</v>
      </c>
      <c r="T2657" t="s">
        <v>778</v>
      </c>
    </row>
    <row r="2658" spans="1:20" x14ac:dyDescent="0.3">
      <c r="A2658">
        <v>2657</v>
      </c>
      <c r="B2658">
        <v>183</v>
      </c>
      <c r="C2658">
        <v>2</v>
      </c>
      <c r="D2658">
        <v>51.67</v>
      </c>
      <c r="E2658">
        <v>5.17</v>
      </c>
      <c r="F2658">
        <v>0</v>
      </c>
      <c r="G2658">
        <v>0.1</v>
      </c>
      <c r="H2658" t="s">
        <v>622</v>
      </c>
      <c r="J2658" t="s">
        <v>623</v>
      </c>
      <c r="K2658" s="1"/>
      <c r="L2658" s="1">
        <v>46267.750555555554</v>
      </c>
      <c r="M2658" s="2">
        <v>46267</v>
      </c>
      <c r="N2658" t="s">
        <v>642</v>
      </c>
      <c r="O2658" t="s">
        <v>625</v>
      </c>
      <c r="P2658">
        <v>1</v>
      </c>
      <c r="Q2658">
        <v>0</v>
      </c>
      <c r="R2658">
        <v>51.67</v>
      </c>
      <c r="S2658" t="s">
        <v>361</v>
      </c>
      <c r="T2658" t="s">
        <v>776</v>
      </c>
    </row>
    <row r="2659" spans="1:20" x14ac:dyDescent="0.3">
      <c r="A2659">
        <v>2658</v>
      </c>
      <c r="B2659">
        <v>295</v>
      </c>
      <c r="C2659">
        <v>5</v>
      </c>
      <c r="D2659">
        <v>27</v>
      </c>
      <c r="E2659">
        <v>2.7</v>
      </c>
      <c r="F2659">
        <v>0</v>
      </c>
      <c r="G2659">
        <v>0.1</v>
      </c>
      <c r="H2659" t="s">
        <v>622</v>
      </c>
      <c r="J2659" t="s">
        <v>623</v>
      </c>
      <c r="K2659" s="1"/>
      <c r="L2659" s="1">
        <v>46267.793506944443</v>
      </c>
      <c r="M2659" s="2">
        <v>46267</v>
      </c>
      <c r="N2659" t="s">
        <v>642</v>
      </c>
      <c r="O2659" t="s">
        <v>625</v>
      </c>
      <c r="P2659">
        <v>1</v>
      </c>
      <c r="Q2659">
        <v>0</v>
      </c>
      <c r="R2659">
        <v>27</v>
      </c>
      <c r="S2659" t="s">
        <v>585</v>
      </c>
      <c r="T2659" t="s">
        <v>779</v>
      </c>
    </row>
    <row r="2660" spans="1:20" x14ac:dyDescent="0.3">
      <c r="A2660">
        <v>2659</v>
      </c>
      <c r="B2660">
        <v>277</v>
      </c>
      <c r="C2660">
        <v>5</v>
      </c>
      <c r="D2660">
        <v>124.12</v>
      </c>
      <c r="E2660">
        <v>12.41</v>
      </c>
      <c r="F2660">
        <v>0</v>
      </c>
      <c r="G2660">
        <v>0.1</v>
      </c>
      <c r="H2660" t="s">
        <v>622</v>
      </c>
      <c r="J2660" t="s">
        <v>623</v>
      </c>
      <c r="K2660" s="1"/>
      <c r="L2660" s="1">
        <v>46268.333460648151</v>
      </c>
      <c r="M2660" s="2">
        <v>46268</v>
      </c>
      <c r="N2660" t="s">
        <v>642</v>
      </c>
      <c r="O2660" t="s">
        <v>625</v>
      </c>
      <c r="P2660">
        <v>1</v>
      </c>
      <c r="Q2660">
        <v>0</v>
      </c>
      <c r="R2660">
        <v>124.12</v>
      </c>
      <c r="S2660" t="s">
        <v>549</v>
      </c>
      <c r="T2660" t="s">
        <v>779</v>
      </c>
    </row>
    <row r="2661" spans="1:20" x14ac:dyDescent="0.3">
      <c r="A2661">
        <v>2660</v>
      </c>
      <c r="B2661">
        <v>134</v>
      </c>
      <c r="C2661">
        <v>2</v>
      </c>
      <c r="D2661">
        <v>56.97</v>
      </c>
      <c r="E2661">
        <v>5.7</v>
      </c>
      <c r="F2661">
        <v>0</v>
      </c>
      <c r="G2661">
        <v>0.1</v>
      </c>
      <c r="H2661" t="s">
        <v>622</v>
      </c>
      <c r="J2661" t="s">
        <v>623</v>
      </c>
      <c r="K2661" s="1"/>
      <c r="L2661" s="1">
        <v>46268.340289351851</v>
      </c>
      <c r="M2661" s="2">
        <v>46268</v>
      </c>
      <c r="N2661" t="s">
        <v>642</v>
      </c>
      <c r="O2661" t="s">
        <v>625</v>
      </c>
      <c r="P2661">
        <v>1</v>
      </c>
      <c r="Q2661">
        <v>0</v>
      </c>
      <c r="R2661">
        <v>56.97</v>
      </c>
      <c r="S2661" t="s">
        <v>263</v>
      </c>
      <c r="T2661" t="s">
        <v>776</v>
      </c>
    </row>
    <row r="2662" spans="1:20" x14ac:dyDescent="0.3">
      <c r="A2662">
        <v>2661</v>
      </c>
      <c r="B2662">
        <v>75</v>
      </c>
      <c r="C2662">
        <v>4</v>
      </c>
      <c r="D2662">
        <v>108.12</v>
      </c>
      <c r="E2662">
        <v>10.81</v>
      </c>
      <c r="F2662">
        <v>0</v>
      </c>
      <c r="G2662">
        <v>0.1</v>
      </c>
      <c r="H2662" t="s">
        <v>622</v>
      </c>
      <c r="J2662" t="s">
        <v>623</v>
      </c>
      <c r="K2662" s="1"/>
      <c r="L2662" s="1">
        <v>46268.432152777779</v>
      </c>
      <c r="M2662" s="2">
        <v>46268</v>
      </c>
      <c r="N2662" t="s">
        <v>642</v>
      </c>
      <c r="O2662" t="s">
        <v>625</v>
      </c>
      <c r="P2662">
        <v>1</v>
      </c>
      <c r="Q2662">
        <v>0</v>
      </c>
      <c r="R2662">
        <v>108.12</v>
      </c>
      <c r="S2662" t="s">
        <v>146</v>
      </c>
      <c r="T2662" t="s">
        <v>778</v>
      </c>
    </row>
    <row r="2663" spans="1:20" x14ac:dyDescent="0.3">
      <c r="A2663">
        <v>2662</v>
      </c>
      <c r="B2663">
        <v>55</v>
      </c>
      <c r="C2663">
        <v>4</v>
      </c>
      <c r="D2663">
        <v>56.99</v>
      </c>
      <c r="E2663">
        <v>5.7</v>
      </c>
      <c r="F2663">
        <v>0</v>
      </c>
      <c r="G2663">
        <v>0.1</v>
      </c>
      <c r="H2663" t="s">
        <v>622</v>
      </c>
      <c r="J2663" t="s">
        <v>623</v>
      </c>
      <c r="K2663" s="1"/>
      <c r="L2663" s="1">
        <v>46268.499942129631</v>
      </c>
      <c r="M2663" s="2">
        <v>46268</v>
      </c>
      <c r="N2663" t="s">
        <v>642</v>
      </c>
      <c r="O2663" t="s">
        <v>625</v>
      </c>
      <c r="P2663">
        <v>1</v>
      </c>
      <c r="Q2663">
        <v>0</v>
      </c>
      <c r="R2663">
        <v>56.99</v>
      </c>
      <c r="S2663" t="s">
        <v>106</v>
      </c>
      <c r="T2663" t="s">
        <v>778</v>
      </c>
    </row>
    <row r="2664" spans="1:20" x14ac:dyDescent="0.3">
      <c r="A2664">
        <v>2663</v>
      </c>
      <c r="B2664">
        <v>48</v>
      </c>
      <c r="C2664">
        <v>4</v>
      </c>
      <c r="D2664">
        <v>96.26</v>
      </c>
      <c r="E2664">
        <v>0</v>
      </c>
      <c r="F2664">
        <v>1</v>
      </c>
      <c r="G2664">
        <v>0.1</v>
      </c>
      <c r="H2664" t="s">
        <v>622</v>
      </c>
      <c r="J2664" t="s">
        <v>623</v>
      </c>
      <c r="K2664" s="1"/>
      <c r="L2664" s="1">
        <v>46268.552233796298</v>
      </c>
      <c r="M2664" s="2">
        <v>46268</v>
      </c>
      <c r="N2664" t="s">
        <v>642</v>
      </c>
      <c r="O2664" t="s">
        <v>629</v>
      </c>
      <c r="P2664">
        <v>1</v>
      </c>
      <c r="Q2664">
        <v>0</v>
      </c>
      <c r="R2664">
        <v>96.26</v>
      </c>
      <c r="S2664" t="s">
        <v>92</v>
      </c>
      <c r="T2664" t="s">
        <v>778</v>
      </c>
    </row>
    <row r="2665" spans="1:20" x14ac:dyDescent="0.3">
      <c r="A2665">
        <v>2664</v>
      </c>
      <c r="B2665">
        <v>134</v>
      </c>
      <c r="C2665">
        <v>3</v>
      </c>
      <c r="D2665">
        <v>129.69</v>
      </c>
      <c r="E2665">
        <v>12.97</v>
      </c>
      <c r="F2665">
        <v>0</v>
      </c>
      <c r="G2665">
        <v>0.1</v>
      </c>
      <c r="H2665" t="s">
        <v>622</v>
      </c>
      <c r="J2665" t="s">
        <v>623</v>
      </c>
      <c r="K2665" s="1"/>
      <c r="L2665" s="1">
        <v>46268.664675925924</v>
      </c>
      <c r="M2665" s="2">
        <v>46268</v>
      </c>
      <c r="N2665" t="s">
        <v>642</v>
      </c>
      <c r="O2665" t="s">
        <v>625</v>
      </c>
      <c r="P2665">
        <v>1</v>
      </c>
      <c r="Q2665">
        <v>0</v>
      </c>
      <c r="R2665">
        <v>129.69</v>
      </c>
      <c r="S2665" t="s">
        <v>263</v>
      </c>
      <c r="T2665" t="s">
        <v>777</v>
      </c>
    </row>
    <row r="2666" spans="1:20" x14ac:dyDescent="0.3">
      <c r="A2666">
        <v>2665</v>
      </c>
      <c r="B2666">
        <v>291</v>
      </c>
      <c r="C2666">
        <v>5</v>
      </c>
      <c r="D2666">
        <v>24.68</v>
      </c>
      <c r="E2666">
        <v>2.4700000000000002</v>
      </c>
      <c r="F2666">
        <v>0</v>
      </c>
      <c r="G2666">
        <v>0.1</v>
      </c>
      <c r="H2666" t="s">
        <v>622</v>
      </c>
      <c r="J2666" t="s">
        <v>623</v>
      </c>
      <c r="K2666" s="1"/>
      <c r="L2666" s="1">
        <v>46268.679467592592</v>
      </c>
      <c r="M2666" s="2">
        <v>46268</v>
      </c>
      <c r="N2666" t="s">
        <v>642</v>
      </c>
      <c r="O2666" t="s">
        <v>625</v>
      </c>
      <c r="P2666">
        <v>1</v>
      </c>
      <c r="Q2666">
        <v>0</v>
      </c>
      <c r="R2666">
        <v>24.68</v>
      </c>
      <c r="S2666" t="s">
        <v>577</v>
      </c>
      <c r="T2666" t="s">
        <v>779</v>
      </c>
    </row>
    <row r="2667" spans="1:20" x14ac:dyDescent="0.3">
      <c r="A2667">
        <v>2666</v>
      </c>
      <c r="B2667">
        <v>21</v>
      </c>
      <c r="C2667">
        <v>5</v>
      </c>
      <c r="D2667">
        <v>29.33</v>
      </c>
      <c r="E2667">
        <v>2.93</v>
      </c>
      <c r="F2667">
        <v>0</v>
      </c>
      <c r="G2667">
        <v>0.1</v>
      </c>
      <c r="H2667" t="s">
        <v>622</v>
      </c>
      <c r="J2667" t="s">
        <v>623</v>
      </c>
      <c r="K2667" s="1"/>
      <c r="L2667" s="1">
        <v>46268.685300925928</v>
      </c>
      <c r="M2667" s="2">
        <v>46268</v>
      </c>
      <c r="N2667" t="s">
        <v>642</v>
      </c>
      <c r="O2667" t="s">
        <v>625</v>
      </c>
      <c r="P2667">
        <v>1</v>
      </c>
      <c r="Q2667">
        <v>0</v>
      </c>
      <c r="R2667">
        <v>29.33</v>
      </c>
      <c r="S2667" t="s">
        <v>38</v>
      </c>
      <c r="T2667" t="s">
        <v>779</v>
      </c>
    </row>
    <row r="2668" spans="1:20" x14ac:dyDescent="0.3">
      <c r="A2668">
        <v>2667</v>
      </c>
      <c r="B2668">
        <v>186</v>
      </c>
      <c r="C2668">
        <v>5</v>
      </c>
      <c r="D2668">
        <v>69.72</v>
      </c>
      <c r="E2668">
        <v>6.97</v>
      </c>
      <c r="F2668">
        <v>0</v>
      </c>
      <c r="G2668">
        <v>0.1</v>
      </c>
      <c r="H2668" t="s">
        <v>622</v>
      </c>
      <c r="J2668" t="s">
        <v>623</v>
      </c>
      <c r="K2668" s="1"/>
      <c r="L2668" s="1">
        <v>46269.310891203706</v>
      </c>
      <c r="M2668" s="2">
        <v>46269</v>
      </c>
      <c r="N2668" t="s">
        <v>642</v>
      </c>
      <c r="O2668" t="s">
        <v>625</v>
      </c>
      <c r="P2668">
        <v>1</v>
      </c>
      <c r="Q2668">
        <v>0</v>
      </c>
      <c r="R2668">
        <v>69.72</v>
      </c>
      <c r="S2668" t="s">
        <v>367</v>
      </c>
      <c r="T2668" t="s">
        <v>779</v>
      </c>
    </row>
    <row r="2669" spans="1:20" x14ac:dyDescent="0.3">
      <c r="A2669">
        <v>2668</v>
      </c>
      <c r="B2669">
        <v>128</v>
      </c>
      <c r="C2669">
        <v>4</v>
      </c>
      <c r="D2669">
        <v>12.15</v>
      </c>
      <c r="E2669">
        <v>1.22</v>
      </c>
      <c r="F2669">
        <v>0</v>
      </c>
      <c r="G2669">
        <v>0.1</v>
      </c>
      <c r="H2669" t="s">
        <v>622</v>
      </c>
      <c r="J2669" t="s">
        <v>623</v>
      </c>
      <c r="K2669" s="1"/>
      <c r="L2669" s="1">
        <v>46269.345266203702</v>
      </c>
      <c r="M2669" s="2">
        <v>46269</v>
      </c>
      <c r="N2669" t="s">
        <v>642</v>
      </c>
      <c r="O2669" t="s">
        <v>625</v>
      </c>
      <c r="P2669">
        <v>1</v>
      </c>
      <c r="Q2669">
        <v>0</v>
      </c>
      <c r="R2669">
        <v>12.15</v>
      </c>
      <c r="S2669" t="s">
        <v>251</v>
      </c>
      <c r="T2669" t="s">
        <v>778</v>
      </c>
    </row>
    <row r="2670" spans="1:20" x14ac:dyDescent="0.3">
      <c r="A2670">
        <v>2669</v>
      </c>
      <c r="B2670">
        <v>181</v>
      </c>
      <c r="C2670">
        <v>4</v>
      </c>
      <c r="D2670">
        <v>39.06</v>
      </c>
      <c r="E2670">
        <v>3.91</v>
      </c>
      <c r="F2670">
        <v>0</v>
      </c>
      <c r="G2670">
        <v>0.1</v>
      </c>
      <c r="H2670" t="s">
        <v>626</v>
      </c>
      <c r="I2670">
        <v>5</v>
      </c>
      <c r="J2670" t="s">
        <v>627</v>
      </c>
      <c r="K2670" s="1">
        <v>46270.681064814817</v>
      </c>
      <c r="L2670" s="1">
        <v>46269.347731481481</v>
      </c>
      <c r="M2670" s="2">
        <v>46269</v>
      </c>
      <c r="N2670" t="s">
        <v>642</v>
      </c>
      <c r="O2670" t="s">
        <v>625</v>
      </c>
      <c r="P2670">
        <v>1</v>
      </c>
      <c r="Q2670">
        <v>1</v>
      </c>
      <c r="R2670">
        <v>0</v>
      </c>
      <c r="S2670" t="s">
        <v>357</v>
      </c>
      <c r="T2670" t="s">
        <v>778</v>
      </c>
    </row>
    <row r="2671" spans="1:20" x14ac:dyDescent="0.3">
      <c r="A2671">
        <v>2670</v>
      </c>
      <c r="B2671">
        <v>75</v>
      </c>
      <c r="C2671">
        <v>4</v>
      </c>
      <c r="D2671">
        <v>61.81</v>
      </c>
      <c r="E2671">
        <v>0</v>
      </c>
      <c r="F2671">
        <v>1</v>
      </c>
      <c r="G2671">
        <v>0.1</v>
      </c>
      <c r="H2671" t="s">
        <v>622</v>
      </c>
      <c r="J2671" t="s">
        <v>623</v>
      </c>
      <c r="K2671" s="1"/>
      <c r="L2671" s="1">
        <v>46269.417349537034</v>
      </c>
      <c r="M2671" s="2">
        <v>46269</v>
      </c>
      <c r="N2671" t="s">
        <v>642</v>
      </c>
      <c r="O2671" t="s">
        <v>629</v>
      </c>
      <c r="P2671">
        <v>1</v>
      </c>
      <c r="Q2671">
        <v>0</v>
      </c>
      <c r="R2671">
        <v>61.81</v>
      </c>
      <c r="S2671" t="s">
        <v>146</v>
      </c>
      <c r="T2671" t="s">
        <v>778</v>
      </c>
    </row>
    <row r="2672" spans="1:20" x14ac:dyDescent="0.3">
      <c r="A2672">
        <v>2671</v>
      </c>
      <c r="B2672">
        <v>246</v>
      </c>
      <c r="C2672">
        <v>2</v>
      </c>
      <c r="D2672">
        <v>26.05</v>
      </c>
      <c r="E2672">
        <v>2.61</v>
      </c>
      <c r="F2672">
        <v>0</v>
      </c>
      <c r="G2672">
        <v>0.1</v>
      </c>
      <c r="H2672" t="s">
        <v>622</v>
      </c>
      <c r="J2672" t="s">
        <v>623</v>
      </c>
      <c r="K2672" s="1"/>
      <c r="L2672" s="1">
        <v>46269.43340277778</v>
      </c>
      <c r="M2672" s="2">
        <v>46269</v>
      </c>
      <c r="N2672" t="s">
        <v>642</v>
      </c>
      <c r="O2672" t="s">
        <v>625</v>
      </c>
      <c r="P2672">
        <v>1</v>
      </c>
      <c r="Q2672">
        <v>0</v>
      </c>
      <c r="R2672">
        <v>26.05</v>
      </c>
      <c r="S2672" t="s">
        <v>487</v>
      </c>
      <c r="T2672" t="s">
        <v>776</v>
      </c>
    </row>
    <row r="2673" spans="1:20" x14ac:dyDescent="0.3">
      <c r="A2673">
        <v>2672</v>
      </c>
      <c r="B2673">
        <v>299</v>
      </c>
      <c r="C2673">
        <v>5</v>
      </c>
      <c r="D2673">
        <v>125.96</v>
      </c>
      <c r="E2673">
        <v>12.6</v>
      </c>
      <c r="F2673">
        <v>0</v>
      </c>
      <c r="G2673">
        <v>0.1</v>
      </c>
      <c r="H2673" t="s">
        <v>622</v>
      </c>
      <c r="J2673" t="s">
        <v>623</v>
      </c>
      <c r="K2673" s="1"/>
      <c r="L2673" s="1">
        <v>46269.483518518522</v>
      </c>
      <c r="M2673" s="2">
        <v>46269</v>
      </c>
      <c r="N2673" t="s">
        <v>642</v>
      </c>
      <c r="O2673" t="s">
        <v>625</v>
      </c>
      <c r="P2673">
        <v>1</v>
      </c>
      <c r="Q2673">
        <v>0</v>
      </c>
      <c r="R2673">
        <v>125.96</v>
      </c>
      <c r="S2673" t="s">
        <v>593</v>
      </c>
      <c r="T2673" t="s">
        <v>779</v>
      </c>
    </row>
    <row r="2674" spans="1:20" x14ac:dyDescent="0.3">
      <c r="A2674">
        <v>2673</v>
      </c>
      <c r="B2674">
        <v>134</v>
      </c>
      <c r="C2674">
        <v>2</v>
      </c>
      <c r="D2674">
        <v>92.54</v>
      </c>
      <c r="E2674">
        <v>9.25</v>
      </c>
      <c r="F2674">
        <v>0</v>
      </c>
      <c r="G2674">
        <v>0.1</v>
      </c>
      <c r="H2674" t="s">
        <v>622</v>
      </c>
      <c r="J2674" t="s">
        <v>623</v>
      </c>
      <c r="K2674" s="1"/>
      <c r="L2674" s="1">
        <v>46269.500740740739</v>
      </c>
      <c r="M2674" s="2">
        <v>46269</v>
      </c>
      <c r="N2674" t="s">
        <v>642</v>
      </c>
      <c r="O2674" t="s">
        <v>625</v>
      </c>
      <c r="P2674">
        <v>1</v>
      </c>
      <c r="Q2674">
        <v>0</v>
      </c>
      <c r="R2674">
        <v>92.54</v>
      </c>
      <c r="S2674" t="s">
        <v>263</v>
      </c>
      <c r="T2674" t="s">
        <v>776</v>
      </c>
    </row>
    <row r="2675" spans="1:20" x14ac:dyDescent="0.3">
      <c r="A2675">
        <v>2674</v>
      </c>
      <c r="B2675">
        <v>136</v>
      </c>
      <c r="C2675">
        <v>4</v>
      </c>
      <c r="D2675">
        <v>191.43</v>
      </c>
      <c r="E2675">
        <v>19.14</v>
      </c>
      <c r="F2675">
        <v>0</v>
      </c>
      <c r="G2675">
        <v>0.1</v>
      </c>
      <c r="H2675" t="s">
        <v>622</v>
      </c>
      <c r="J2675" t="s">
        <v>623</v>
      </c>
      <c r="K2675" s="1"/>
      <c r="L2675" s="1">
        <v>46269.535370370373</v>
      </c>
      <c r="M2675" s="2">
        <v>46269</v>
      </c>
      <c r="N2675" t="s">
        <v>642</v>
      </c>
      <c r="O2675" t="s">
        <v>625</v>
      </c>
      <c r="P2675">
        <v>1</v>
      </c>
      <c r="Q2675">
        <v>0</v>
      </c>
      <c r="R2675">
        <v>191.43</v>
      </c>
      <c r="S2675" t="s">
        <v>267</v>
      </c>
      <c r="T2675" t="s">
        <v>778</v>
      </c>
    </row>
    <row r="2676" spans="1:20" x14ac:dyDescent="0.3">
      <c r="A2676">
        <v>2675</v>
      </c>
      <c r="B2676">
        <v>128</v>
      </c>
      <c r="C2676">
        <v>2</v>
      </c>
      <c r="D2676">
        <v>11.01</v>
      </c>
      <c r="E2676">
        <v>1.1000000000000001</v>
      </c>
      <c r="F2676">
        <v>0</v>
      </c>
      <c r="G2676">
        <v>0.1</v>
      </c>
      <c r="H2676" t="s">
        <v>622</v>
      </c>
      <c r="J2676" t="s">
        <v>623</v>
      </c>
      <c r="K2676" s="1"/>
      <c r="L2676" s="1">
        <v>46269.578587962962</v>
      </c>
      <c r="M2676" s="2">
        <v>46269</v>
      </c>
      <c r="N2676" t="s">
        <v>642</v>
      </c>
      <c r="O2676" t="s">
        <v>625</v>
      </c>
      <c r="P2676">
        <v>1</v>
      </c>
      <c r="Q2676">
        <v>0</v>
      </c>
      <c r="R2676">
        <v>11.01</v>
      </c>
      <c r="S2676" t="s">
        <v>251</v>
      </c>
      <c r="T2676" t="s">
        <v>776</v>
      </c>
    </row>
    <row r="2677" spans="1:20" x14ac:dyDescent="0.3">
      <c r="A2677">
        <v>2676</v>
      </c>
      <c r="B2677">
        <v>250</v>
      </c>
      <c r="C2677">
        <v>2</v>
      </c>
      <c r="D2677">
        <v>72.930000000000007</v>
      </c>
      <c r="E2677">
        <v>7.29</v>
      </c>
      <c r="F2677">
        <v>0</v>
      </c>
      <c r="G2677">
        <v>0.1</v>
      </c>
      <c r="H2677" t="s">
        <v>622</v>
      </c>
      <c r="J2677" t="s">
        <v>623</v>
      </c>
      <c r="K2677" s="1"/>
      <c r="L2677" s="1">
        <v>46269.649675925924</v>
      </c>
      <c r="M2677" s="2">
        <v>46269</v>
      </c>
      <c r="N2677" t="s">
        <v>642</v>
      </c>
      <c r="O2677" t="s">
        <v>625</v>
      </c>
      <c r="P2677">
        <v>1</v>
      </c>
      <c r="Q2677">
        <v>0</v>
      </c>
      <c r="R2677">
        <v>72.930000000000007</v>
      </c>
      <c r="S2677" t="s">
        <v>495</v>
      </c>
      <c r="T2677" t="s">
        <v>776</v>
      </c>
    </row>
    <row r="2678" spans="1:20" x14ac:dyDescent="0.3">
      <c r="A2678">
        <v>2677</v>
      </c>
      <c r="B2678">
        <v>114</v>
      </c>
      <c r="C2678">
        <v>3</v>
      </c>
      <c r="D2678">
        <v>165.69</v>
      </c>
      <c r="E2678">
        <v>16.57</v>
      </c>
      <c r="F2678">
        <v>0</v>
      </c>
      <c r="G2678">
        <v>0.1</v>
      </c>
      <c r="H2678" t="s">
        <v>622</v>
      </c>
      <c r="J2678" t="s">
        <v>623</v>
      </c>
      <c r="K2678" s="1"/>
      <c r="L2678" s="1">
        <v>46269.685798611114</v>
      </c>
      <c r="M2678" s="2">
        <v>46269</v>
      </c>
      <c r="N2678" t="s">
        <v>642</v>
      </c>
      <c r="O2678" t="s">
        <v>625</v>
      </c>
      <c r="P2678">
        <v>1</v>
      </c>
      <c r="Q2678">
        <v>0</v>
      </c>
      <c r="R2678">
        <v>165.69</v>
      </c>
      <c r="S2678" t="s">
        <v>223</v>
      </c>
      <c r="T2678" t="s">
        <v>777</v>
      </c>
    </row>
    <row r="2679" spans="1:20" x14ac:dyDescent="0.3">
      <c r="A2679">
        <v>2678</v>
      </c>
      <c r="B2679">
        <v>75</v>
      </c>
      <c r="C2679">
        <v>2</v>
      </c>
      <c r="D2679">
        <v>69.62</v>
      </c>
      <c r="E2679">
        <v>6.96</v>
      </c>
      <c r="F2679">
        <v>0</v>
      </c>
      <c r="G2679">
        <v>0.1</v>
      </c>
      <c r="H2679" t="s">
        <v>622</v>
      </c>
      <c r="J2679" t="s">
        <v>623</v>
      </c>
      <c r="K2679" s="1"/>
      <c r="L2679" s="1">
        <v>46269.703958333332</v>
      </c>
      <c r="M2679" s="2">
        <v>46269</v>
      </c>
      <c r="N2679" t="s">
        <v>642</v>
      </c>
      <c r="O2679" t="s">
        <v>625</v>
      </c>
      <c r="P2679">
        <v>1</v>
      </c>
      <c r="Q2679">
        <v>0</v>
      </c>
      <c r="R2679">
        <v>69.62</v>
      </c>
      <c r="S2679" t="s">
        <v>146</v>
      </c>
      <c r="T2679" t="s">
        <v>776</v>
      </c>
    </row>
    <row r="2680" spans="1:20" x14ac:dyDescent="0.3">
      <c r="A2680">
        <v>2679</v>
      </c>
      <c r="B2680">
        <v>65</v>
      </c>
      <c r="C2680">
        <v>2</v>
      </c>
      <c r="D2680">
        <v>20</v>
      </c>
      <c r="E2680">
        <v>2</v>
      </c>
      <c r="F2680">
        <v>0</v>
      </c>
      <c r="G2680">
        <v>0.1</v>
      </c>
      <c r="H2680" t="s">
        <v>622</v>
      </c>
      <c r="J2680" t="s">
        <v>623</v>
      </c>
      <c r="K2680" s="1"/>
      <c r="L2680" s="1">
        <v>46269.711192129631</v>
      </c>
      <c r="M2680" s="2">
        <v>46269</v>
      </c>
      <c r="N2680" t="s">
        <v>642</v>
      </c>
      <c r="O2680" t="s">
        <v>625</v>
      </c>
      <c r="P2680">
        <v>1</v>
      </c>
      <c r="Q2680">
        <v>0</v>
      </c>
      <c r="R2680">
        <v>20</v>
      </c>
      <c r="S2680" t="s">
        <v>126</v>
      </c>
      <c r="T2680" t="s">
        <v>776</v>
      </c>
    </row>
    <row r="2681" spans="1:20" x14ac:dyDescent="0.3">
      <c r="A2681">
        <v>2680</v>
      </c>
      <c r="B2681">
        <v>238</v>
      </c>
      <c r="C2681">
        <v>3</v>
      </c>
      <c r="D2681">
        <v>34.380000000000003</v>
      </c>
      <c r="E2681">
        <v>3.44</v>
      </c>
      <c r="F2681">
        <v>0</v>
      </c>
      <c r="G2681">
        <v>0.1</v>
      </c>
      <c r="H2681" t="s">
        <v>622</v>
      </c>
      <c r="J2681" t="s">
        <v>623</v>
      </c>
      <c r="K2681" s="1"/>
      <c r="L2681" s="1">
        <v>46269.727164351854</v>
      </c>
      <c r="M2681" s="2">
        <v>46269</v>
      </c>
      <c r="N2681" t="s">
        <v>642</v>
      </c>
      <c r="O2681" t="s">
        <v>625</v>
      </c>
      <c r="P2681">
        <v>1</v>
      </c>
      <c r="Q2681">
        <v>0</v>
      </c>
      <c r="R2681">
        <v>34.380000000000003</v>
      </c>
      <c r="S2681" t="s">
        <v>471</v>
      </c>
      <c r="T2681" t="s">
        <v>777</v>
      </c>
    </row>
    <row r="2682" spans="1:20" x14ac:dyDescent="0.3">
      <c r="A2682">
        <v>2681</v>
      </c>
      <c r="B2682">
        <v>128</v>
      </c>
      <c r="C2682">
        <v>4</v>
      </c>
      <c r="D2682">
        <v>23.11</v>
      </c>
      <c r="E2682">
        <v>2.31</v>
      </c>
      <c r="F2682">
        <v>0</v>
      </c>
      <c r="G2682">
        <v>0.1</v>
      </c>
      <c r="H2682" t="s">
        <v>622</v>
      </c>
      <c r="J2682" t="s">
        <v>623</v>
      </c>
      <c r="K2682" s="1"/>
      <c r="L2682" s="1">
        <v>46270.385682870372</v>
      </c>
      <c r="M2682" s="2">
        <v>46270</v>
      </c>
      <c r="N2682" t="s">
        <v>642</v>
      </c>
      <c r="O2682" t="s">
        <v>625</v>
      </c>
      <c r="P2682">
        <v>1</v>
      </c>
      <c r="Q2682">
        <v>0</v>
      </c>
      <c r="R2682">
        <v>23.11</v>
      </c>
      <c r="S2682" t="s">
        <v>251</v>
      </c>
      <c r="T2682" t="s">
        <v>778</v>
      </c>
    </row>
    <row r="2683" spans="1:20" x14ac:dyDescent="0.3">
      <c r="A2683">
        <v>2682</v>
      </c>
      <c r="B2683">
        <v>134</v>
      </c>
      <c r="C2683">
        <v>5</v>
      </c>
      <c r="D2683">
        <v>87.71</v>
      </c>
      <c r="E2683">
        <v>8.77</v>
      </c>
      <c r="F2683">
        <v>0</v>
      </c>
      <c r="G2683">
        <v>0.1</v>
      </c>
      <c r="H2683" t="s">
        <v>622</v>
      </c>
      <c r="J2683" t="s">
        <v>623</v>
      </c>
      <c r="K2683" s="1"/>
      <c r="L2683" s="1">
        <v>46270.454652777778</v>
      </c>
      <c r="M2683" s="2">
        <v>46270</v>
      </c>
      <c r="N2683" t="s">
        <v>642</v>
      </c>
      <c r="O2683" t="s">
        <v>625</v>
      </c>
      <c r="P2683">
        <v>1</v>
      </c>
      <c r="Q2683">
        <v>0</v>
      </c>
      <c r="R2683">
        <v>87.71</v>
      </c>
      <c r="S2683" t="s">
        <v>263</v>
      </c>
      <c r="T2683" t="s">
        <v>779</v>
      </c>
    </row>
    <row r="2684" spans="1:20" x14ac:dyDescent="0.3">
      <c r="A2684">
        <v>2683</v>
      </c>
      <c r="B2684">
        <v>137</v>
      </c>
      <c r="C2684">
        <v>2</v>
      </c>
      <c r="D2684">
        <v>43.67</v>
      </c>
      <c r="E2684">
        <v>4.37</v>
      </c>
      <c r="F2684">
        <v>0</v>
      </c>
      <c r="G2684">
        <v>0.1</v>
      </c>
      <c r="H2684" t="s">
        <v>622</v>
      </c>
      <c r="J2684" t="s">
        <v>623</v>
      </c>
      <c r="K2684" s="1"/>
      <c r="L2684" s="1">
        <v>46270.570034722223</v>
      </c>
      <c r="M2684" s="2">
        <v>46270</v>
      </c>
      <c r="N2684" t="s">
        <v>642</v>
      </c>
      <c r="O2684" t="s">
        <v>625</v>
      </c>
      <c r="P2684">
        <v>1</v>
      </c>
      <c r="Q2684">
        <v>0</v>
      </c>
      <c r="R2684">
        <v>43.67</v>
      </c>
      <c r="S2684" t="s">
        <v>269</v>
      </c>
      <c r="T2684" t="s">
        <v>776</v>
      </c>
    </row>
    <row r="2685" spans="1:20" x14ac:dyDescent="0.3">
      <c r="A2685">
        <v>2684</v>
      </c>
      <c r="B2685">
        <v>250</v>
      </c>
      <c r="C2685">
        <v>3</v>
      </c>
      <c r="D2685">
        <v>220</v>
      </c>
      <c r="E2685">
        <v>22</v>
      </c>
      <c r="F2685">
        <v>0</v>
      </c>
      <c r="G2685">
        <v>0.1</v>
      </c>
      <c r="H2685" t="s">
        <v>622</v>
      </c>
      <c r="J2685" t="s">
        <v>623</v>
      </c>
      <c r="K2685" s="1"/>
      <c r="L2685" s="1">
        <v>46270.624537037038</v>
      </c>
      <c r="M2685" s="2">
        <v>46270</v>
      </c>
      <c r="N2685" t="s">
        <v>642</v>
      </c>
      <c r="O2685" t="s">
        <v>625</v>
      </c>
      <c r="P2685">
        <v>1</v>
      </c>
      <c r="Q2685">
        <v>0</v>
      </c>
      <c r="R2685">
        <v>220</v>
      </c>
      <c r="S2685" t="s">
        <v>495</v>
      </c>
      <c r="T2685" t="s">
        <v>777</v>
      </c>
    </row>
    <row r="2686" spans="1:20" x14ac:dyDescent="0.3">
      <c r="A2686">
        <v>2685</v>
      </c>
      <c r="B2686">
        <v>137</v>
      </c>
      <c r="C2686">
        <v>5</v>
      </c>
      <c r="D2686">
        <v>30.24</v>
      </c>
      <c r="E2686">
        <v>3.02</v>
      </c>
      <c r="F2686">
        <v>0</v>
      </c>
      <c r="G2686">
        <v>0.1</v>
      </c>
      <c r="H2686" t="s">
        <v>622</v>
      </c>
      <c r="J2686" t="s">
        <v>623</v>
      </c>
      <c r="K2686" s="1"/>
      <c r="L2686" s="1">
        <v>46270.640208333331</v>
      </c>
      <c r="M2686" s="2">
        <v>46270</v>
      </c>
      <c r="N2686" t="s">
        <v>642</v>
      </c>
      <c r="O2686" t="s">
        <v>625</v>
      </c>
      <c r="P2686">
        <v>1</v>
      </c>
      <c r="Q2686">
        <v>0</v>
      </c>
      <c r="R2686">
        <v>30.24</v>
      </c>
      <c r="S2686" t="s">
        <v>269</v>
      </c>
      <c r="T2686" t="s">
        <v>779</v>
      </c>
    </row>
    <row r="2687" spans="1:20" x14ac:dyDescent="0.3">
      <c r="A2687">
        <v>2686</v>
      </c>
      <c r="B2687">
        <v>75</v>
      </c>
      <c r="C2687">
        <v>5</v>
      </c>
      <c r="D2687">
        <v>117.61</v>
      </c>
      <c r="E2687">
        <v>11.76</v>
      </c>
      <c r="F2687">
        <v>0</v>
      </c>
      <c r="G2687">
        <v>0.1</v>
      </c>
      <c r="H2687" t="s">
        <v>622</v>
      </c>
      <c r="J2687" t="s">
        <v>623</v>
      </c>
      <c r="K2687" s="1"/>
      <c r="L2687" s="1">
        <v>46270.671886574077</v>
      </c>
      <c r="M2687" s="2">
        <v>46270</v>
      </c>
      <c r="N2687" t="s">
        <v>642</v>
      </c>
      <c r="O2687" t="s">
        <v>625</v>
      </c>
      <c r="P2687">
        <v>1</v>
      </c>
      <c r="Q2687">
        <v>0</v>
      </c>
      <c r="R2687">
        <v>117.61</v>
      </c>
      <c r="S2687" t="s">
        <v>146</v>
      </c>
      <c r="T2687" t="s">
        <v>779</v>
      </c>
    </row>
    <row r="2688" spans="1:20" x14ac:dyDescent="0.3">
      <c r="A2688">
        <v>2687</v>
      </c>
      <c r="B2688">
        <v>243</v>
      </c>
      <c r="C2688">
        <v>4</v>
      </c>
      <c r="D2688">
        <v>31.28</v>
      </c>
      <c r="E2688">
        <v>3.13</v>
      </c>
      <c r="F2688">
        <v>0</v>
      </c>
      <c r="G2688">
        <v>0.1</v>
      </c>
      <c r="H2688" t="s">
        <v>622</v>
      </c>
      <c r="J2688" t="s">
        <v>623</v>
      </c>
      <c r="K2688" s="1"/>
      <c r="L2688" s="1">
        <v>46270.675428240742</v>
      </c>
      <c r="M2688" s="2">
        <v>46270</v>
      </c>
      <c r="N2688" t="s">
        <v>642</v>
      </c>
      <c r="O2688" t="s">
        <v>625</v>
      </c>
      <c r="P2688">
        <v>1</v>
      </c>
      <c r="Q2688">
        <v>0</v>
      </c>
      <c r="R2688">
        <v>31.28</v>
      </c>
      <c r="S2688" t="s">
        <v>481</v>
      </c>
      <c r="T2688" t="s">
        <v>778</v>
      </c>
    </row>
    <row r="2689" spans="1:20" x14ac:dyDescent="0.3">
      <c r="A2689">
        <v>2688</v>
      </c>
      <c r="B2689">
        <v>250</v>
      </c>
      <c r="C2689">
        <v>4</v>
      </c>
      <c r="D2689">
        <v>82.74</v>
      </c>
      <c r="E2689">
        <v>8.27</v>
      </c>
      <c r="F2689">
        <v>0</v>
      </c>
      <c r="G2689">
        <v>0.1</v>
      </c>
      <c r="H2689" t="s">
        <v>622</v>
      </c>
      <c r="J2689" t="s">
        <v>623</v>
      </c>
      <c r="K2689" s="1"/>
      <c r="L2689" s="1">
        <v>46271.423113425924</v>
      </c>
      <c r="M2689" s="2">
        <v>46271</v>
      </c>
      <c r="N2689" t="s">
        <v>642</v>
      </c>
      <c r="O2689" t="s">
        <v>625</v>
      </c>
      <c r="P2689">
        <v>1</v>
      </c>
      <c r="Q2689">
        <v>0</v>
      </c>
      <c r="R2689">
        <v>82.74</v>
      </c>
      <c r="S2689" t="s">
        <v>495</v>
      </c>
      <c r="T2689" t="s">
        <v>778</v>
      </c>
    </row>
    <row r="2690" spans="1:20" x14ac:dyDescent="0.3">
      <c r="A2690">
        <v>2689</v>
      </c>
      <c r="B2690">
        <v>159</v>
      </c>
      <c r="C2690">
        <v>3</v>
      </c>
      <c r="D2690">
        <v>21.2</v>
      </c>
      <c r="E2690">
        <v>2.12</v>
      </c>
      <c r="F2690">
        <v>0</v>
      </c>
      <c r="G2690">
        <v>0.1</v>
      </c>
      <c r="H2690" t="s">
        <v>622</v>
      </c>
      <c r="J2690" t="s">
        <v>623</v>
      </c>
      <c r="K2690" s="1"/>
      <c r="L2690" s="1">
        <v>46271.492384259262</v>
      </c>
      <c r="M2690" s="2">
        <v>46271</v>
      </c>
      <c r="N2690" t="s">
        <v>642</v>
      </c>
      <c r="O2690" t="s">
        <v>625</v>
      </c>
      <c r="P2690">
        <v>1</v>
      </c>
      <c r="Q2690">
        <v>0</v>
      </c>
      <c r="R2690">
        <v>21.2</v>
      </c>
      <c r="S2690" t="s">
        <v>313</v>
      </c>
      <c r="T2690" t="s">
        <v>777</v>
      </c>
    </row>
    <row r="2691" spans="1:20" x14ac:dyDescent="0.3">
      <c r="A2691">
        <v>2690</v>
      </c>
      <c r="B2691">
        <v>158</v>
      </c>
      <c r="C2691">
        <v>4</v>
      </c>
      <c r="D2691">
        <v>40.35</v>
      </c>
      <c r="E2691">
        <v>4.04</v>
      </c>
      <c r="F2691">
        <v>0</v>
      </c>
      <c r="G2691">
        <v>0.1</v>
      </c>
      <c r="H2691" t="s">
        <v>622</v>
      </c>
      <c r="J2691" t="s">
        <v>623</v>
      </c>
      <c r="K2691" s="1"/>
      <c r="L2691" s="1">
        <v>46271.535810185182</v>
      </c>
      <c r="M2691" s="2">
        <v>46271</v>
      </c>
      <c r="N2691" t="s">
        <v>642</v>
      </c>
      <c r="O2691" t="s">
        <v>625</v>
      </c>
      <c r="P2691">
        <v>1</v>
      </c>
      <c r="Q2691">
        <v>0</v>
      </c>
      <c r="R2691">
        <v>40.35</v>
      </c>
      <c r="S2691" t="s">
        <v>311</v>
      </c>
      <c r="T2691" t="s">
        <v>778</v>
      </c>
    </row>
    <row r="2692" spans="1:20" x14ac:dyDescent="0.3">
      <c r="A2692">
        <v>2691</v>
      </c>
      <c r="B2692">
        <v>128</v>
      </c>
      <c r="C2692">
        <v>5</v>
      </c>
      <c r="D2692">
        <v>34.950000000000003</v>
      </c>
      <c r="E2692">
        <v>3.5</v>
      </c>
      <c r="F2692">
        <v>0</v>
      </c>
      <c r="G2692">
        <v>0.1</v>
      </c>
      <c r="H2692" t="s">
        <v>622</v>
      </c>
      <c r="J2692" t="s">
        <v>623</v>
      </c>
      <c r="K2692" s="1"/>
      <c r="L2692" s="1">
        <v>46271.682812500003</v>
      </c>
      <c r="M2692" s="2">
        <v>46271</v>
      </c>
      <c r="N2692" t="s">
        <v>642</v>
      </c>
      <c r="O2692" t="s">
        <v>625</v>
      </c>
      <c r="P2692">
        <v>1</v>
      </c>
      <c r="Q2692">
        <v>0</v>
      </c>
      <c r="R2692">
        <v>34.950000000000003</v>
      </c>
      <c r="S2692" t="s">
        <v>251</v>
      </c>
      <c r="T2692" t="s">
        <v>779</v>
      </c>
    </row>
    <row r="2693" spans="1:20" x14ac:dyDescent="0.3">
      <c r="A2693">
        <v>2692</v>
      </c>
      <c r="B2693">
        <v>75</v>
      </c>
      <c r="C2693">
        <v>4</v>
      </c>
      <c r="D2693">
        <v>46.69</v>
      </c>
      <c r="E2693">
        <v>4.67</v>
      </c>
      <c r="F2693">
        <v>0</v>
      </c>
      <c r="G2693">
        <v>0.1</v>
      </c>
      <c r="H2693" t="s">
        <v>622</v>
      </c>
      <c r="J2693" t="s">
        <v>623</v>
      </c>
      <c r="K2693" s="1"/>
      <c r="L2693" s="1">
        <v>46271.684594907405</v>
      </c>
      <c r="M2693" s="2">
        <v>46271</v>
      </c>
      <c r="N2693" t="s">
        <v>642</v>
      </c>
      <c r="O2693" t="s">
        <v>625</v>
      </c>
      <c r="P2693">
        <v>1</v>
      </c>
      <c r="Q2693">
        <v>0</v>
      </c>
      <c r="R2693">
        <v>46.69</v>
      </c>
      <c r="S2693" t="s">
        <v>146</v>
      </c>
      <c r="T2693" t="s">
        <v>778</v>
      </c>
    </row>
    <row r="2694" spans="1:20" x14ac:dyDescent="0.3">
      <c r="A2694">
        <v>2693</v>
      </c>
      <c r="B2694">
        <v>133</v>
      </c>
      <c r="C2694">
        <v>5</v>
      </c>
      <c r="D2694">
        <v>128.77000000000001</v>
      </c>
      <c r="E2694">
        <v>12.88</v>
      </c>
      <c r="F2694">
        <v>0</v>
      </c>
      <c r="G2694">
        <v>0.1</v>
      </c>
      <c r="H2694" t="s">
        <v>626</v>
      </c>
      <c r="I2694">
        <v>3</v>
      </c>
      <c r="J2694" t="s">
        <v>631</v>
      </c>
      <c r="K2694" s="1">
        <v>46272.685312499998</v>
      </c>
      <c r="L2694" s="1">
        <v>46271.685312499998</v>
      </c>
      <c r="M2694" s="2">
        <v>46271</v>
      </c>
      <c r="N2694" t="s">
        <v>642</v>
      </c>
      <c r="O2694" t="s">
        <v>625</v>
      </c>
      <c r="P2694">
        <v>1</v>
      </c>
      <c r="Q2694">
        <v>1</v>
      </c>
      <c r="R2694">
        <v>0</v>
      </c>
      <c r="S2694" t="s">
        <v>261</v>
      </c>
      <c r="T2694" t="s">
        <v>779</v>
      </c>
    </row>
    <row r="2695" spans="1:20" x14ac:dyDescent="0.3">
      <c r="A2695">
        <v>2694</v>
      </c>
      <c r="B2695">
        <v>299</v>
      </c>
      <c r="C2695">
        <v>5</v>
      </c>
      <c r="D2695">
        <v>47.31</v>
      </c>
      <c r="E2695">
        <v>4.7300000000000004</v>
      </c>
      <c r="F2695">
        <v>0</v>
      </c>
      <c r="G2695">
        <v>0.1</v>
      </c>
      <c r="H2695" t="s">
        <v>622</v>
      </c>
      <c r="J2695" t="s">
        <v>623</v>
      </c>
      <c r="K2695" s="1"/>
      <c r="L2695" s="1">
        <v>46271.691689814812</v>
      </c>
      <c r="M2695" s="2">
        <v>46271</v>
      </c>
      <c r="N2695" t="s">
        <v>642</v>
      </c>
      <c r="O2695" t="s">
        <v>625</v>
      </c>
      <c r="P2695">
        <v>1</v>
      </c>
      <c r="Q2695">
        <v>0</v>
      </c>
      <c r="R2695">
        <v>47.31</v>
      </c>
      <c r="S2695" t="s">
        <v>593</v>
      </c>
      <c r="T2695" t="s">
        <v>779</v>
      </c>
    </row>
    <row r="2696" spans="1:20" x14ac:dyDescent="0.3">
      <c r="A2696">
        <v>2695</v>
      </c>
      <c r="B2696">
        <v>123</v>
      </c>
      <c r="C2696">
        <v>5</v>
      </c>
      <c r="D2696">
        <v>25.98</v>
      </c>
      <c r="E2696">
        <v>2.6</v>
      </c>
      <c r="F2696">
        <v>0</v>
      </c>
      <c r="G2696">
        <v>0.1</v>
      </c>
      <c r="H2696" t="s">
        <v>622</v>
      </c>
      <c r="J2696" t="s">
        <v>623</v>
      </c>
      <c r="K2696" s="1"/>
      <c r="L2696" s="1">
        <v>46271.711550925924</v>
      </c>
      <c r="M2696" s="2">
        <v>46271</v>
      </c>
      <c r="N2696" t="s">
        <v>642</v>
      </c>
      <c r="O2696" t="s">
        <v>625</v>
      </c>
      <c r="P2696">
        <v>1</v>
      </c>
      <c r="Q2696">
        <v>0</v>
      </c>
      <c r="R2696">
        <v>25.98</v>
      </c>
      <c r="S2696" t="s">
        <v>241</v>
      </c>
      <c r="T2696" t="s">
        <v>779</v>
      </c>
    </row>
    <row r="2697" spans="1:20" x14ac:dyDescent="0.3">
      <c r="A2697">
        <v>2696</v>
      </c>
      <c r="B2697">
        <v>128</v>
      </c>
      <c r="C2697">
        <v>2</v>
      </c>
      <c r="D2697">
        <v>13.36</v>
      </c>
      <c r="E2697">
        <v>1.34</v>
      </c>
      <c r="F2697">
        <v>0</v>
      </c>
      <c r="G2697">
        <v>0.1</v>
      </c>
      <c r="H2697" t="s">
        <v>622</v>
      </c>
      <c r="J2697" t="s">
        <v>623</v>
      </c>
      <c r="K2697" s="1"/>
      <c r="L2697" s="1">
        <v>46272.360891203702</v>
      </c>
      <c r="M2697" s="2">
        <v>46272</v>
      </c>
      <c r="N2697" t="s">
        <v>642</v>
      </c>
      <c r="O2697" t="s">
        <v>625</v>
      </c>
      <c r="P2697">
        <v>1</v>
      </c>
      <c r="Q2697">
        <v>0</v>
      </c>
      <c r="R2697">
        <v>13.36</v>
      </c>
      <c r="S2697" t="s">
        <v>251</v>
      </c>
      <c r="T2697" t="s">
        <v>776</v>
      </c>
    </row>
    <row r="2698" spans="1:20" x14ac:dyDescent="0.3">
      <c r="A2698">
        <v>2697</v>
      </c>
      <c r="B2698">
        <v>242</v>
      </c>
      <c r="C2698">
        <v>2</v>
      </c>
      <c r="D2698">
        <v>41.16</v>
      </c>
      <c r="E2698">
        <v>4.12</v>
      </c>
      <c r="F2698">
        <v>0</v>
      </c>
      <c r="G2698">
        <v>0.1</v>
      </c>
      <c r="H2698" t="s">
        <v>622</v>
      </c>
      <c r="J2698" t="s">
        <v>623</v>
      </c>
      <c r="K2698" s="1"/>
      <c r="L2698" s="1">
        <v>46272.384456018517</v>
      </c>
      <c r="M2698" s="2">
        <v>46272</v>
      </c>
      <c r="N2698" t="s">
        <v>642</v>
      </c>
      <c r="O2698" t="s">
        <v>625</v>
      </c>
      <c r="P2698">
        <v>1</v>
      </c>
      <c r="Q2698">
        <v>0</v>
      </c>
      <c r="R2698">
        <v>41.16</v>
      </c>
      <c r="S2698" t="s">
        <v>479</v>
      </c>
      <c r="T2698" t="s">
        <v>776</v>
      </c>
    </row>
    <row r="2699" spans="1:20" x14ac:dyDescent="0.3">
      <c r="A2699">
        <v>2698</v>
      </c>
      <c r="B2699">
        <v>68</v>
      </c>
      <c r="C2699">
        <v>3</v>
      </c>
      <c r="D2699">
        <v>57.77</v>
      </c>
      <c r="E2699">
        <v>5.78</v>
      </c>
      <c r="F2699">
        <v>0</v>
      </c>
      <c r="G2699">
        <v>0.1</v>
      </c>
      <c r="H2699" t="s">
        <v>622</v>
      </c>
      <c r="J2699" t="s">
        <v>623</v>
      </c>
      <c r="K2699" s="1"/>
      <c r="L2699" s="1">
        <v>46272.494756944441</v>
      </c>
      <c r="M2699" s="2">
        <v>46272</v>
      </c>
      <c r="N2699" t="s">
        <v>642</v>
      </c>
      <c r="O2699" t="s">
        <v>625</v>
      </c>
      <c r="P2699">
        <v>1</v>
      </c>
      <c r="Q2699">
        <v>0</v>
      </c>
      <c r="R2699">
        <v>57.77</v>
      </c>
      <c r="S2699" t="s">
        <v>132</v>
      </c>
      <c r="T2699" t="s">
        <v>777</v>
      </c>
    </row>
    <row r="2700" spans="1:20" x14ac:dyDescent="0.3">
      <c r="A2700">
        <v>2699</v>
      </c>
      <c r="B2700">
        <v>134</v>
      </c>
      <c r="C2700">
        <v>3</v>
      </c>
      <c r="D2700">
        <v>107</v>
      </c>
      <c r="E2700">
        <v>10.7</v>
      </c>
      <c r="F2700">
        <v>0</v>
      </c>
      <c r="G2700">
        <v>0.1</v>
      </c>
      <c r="H2700" t="s">
        <v>622</v>
      </c>
      <c r="J2700" t="s">
        <v>623</v>
      </c>
      <c r="K2700" s="1"/>
      <c r="L2700" s="1">
        <v>46272.55</v>
      </c>
      <c r="M2700" s="2">
        <v>46272</v>
      </c>
      <c r="N2700" t="s">
        <v>642</v>
      </c>
      <c r="O2700" t="s">
        <v>625</v>
      </c>
      <c r="P2700">
        <v>1</v>
      </c>
      <c r="Q2700">
        <v>0</v>
      </c>
      <c r="R2700">
        <v>107</v>
      </c>
      <c r="S2700" t="s">
        <v>263</v>
      </c>
      <c r="T2700" t="s">
        <v>777</v>
      </c>
    </row>
    <row r="2701" spans="1:20" x14ac:dyDescent="0.3">
      <c r="A2701">
        <v>2700</v>
      </c>
      <c r="B2701">
        <v>162</v>
      </c>
      <c r="C2701">
        <v>2</v>
      </c>
      <c r="D2701">
        <v>108.46</v>
      </c>
      <c r="E2701">
        <v>10.85</v>
      </c>
      <c r="F2701">
        <v>0</v>
      </c>
      <c r="G2701">
        <v>0.1</v>
      </c>
      <c r="H2701" t="s">
        <v>622</v>
      </c>
      <c r="J2701" t="s">
        <v>623</v>
      </c>
      <c r="K2701" s="1"/>
      <c r="L2701" s="1">
        <v>46272.63658564815</v>
      </c>
      <c r="M2701" s="2">
        <v>46272</v>
      </c>
      <c r="N2701" t="s">
        <v>642</v>
      </c>
      <c r="O2701" t="s">
        <v>625</v>
      </c>
      <c r="P2701">
        <v>1</v>
      </c>
      <c r="Q2701">
        <v>0</v>
      </c>
      <c r="R2701">
        <v>108.46</v>
      </c>
      <c r="S2701" t="s">
        <v>319</v>
      </c>
      <c r="T2701" t="s">
        <v>776</v>
      </c>
    </row>
    <row r="2702" spans="1:20" x14ac:dyDescent="0.3">
      <c r="A2702">
        <v>2701</v>
      </c>
      <c r="B2702">
        <v>229</v>
      </c>
      <c r="C2702">
        <v>5</v>
      </c>
      <c r="D2702">
        <v>32.409999999999997</v>
      </c>
      <c r="E2702">
        <v>3.24</v>
      </c>
      <c r="F2702">
        <v>0</v>
      </c>
      <c r="G2702">
        <v>0.1</v>
      </c>
      <c r="H2702" t="s">
        <v>622</v>
      </c>
      <c r="J2702" t="s">
        <v>623</v>
      </c>
      <c r="K2702" s="1"/>
      <c r="L2702" s="1">
        <v>46272.66915509259</v>
      </c>
      <c r="M2702" s="2">
        <v>46272</v>
      </c>
      <c r="N2702" t="s">
        <v>642</v>
      </c>
      <c r="O2702" t="s">
        <v>625</v>
      </c>
      <c r="P2702">
        <v>1</v>
      </c>
      <c r="Q2702">
        <v>0</v>
      </c>
      <c r="R2702">
        <v>32.409999999999997</v>
      </c>
      <c r="S2702" t="s">
        <v>453</v>
      </c>
      <c r="T2702" t="s">
        <v>779</v>
      </c>
    </row>
    <row r="2703" spans="1:20" x14ac:dyDescent="0.3">
      <c r="A2703">
        <v>2702</v>
      </c>
      <c r="B2703">
        <v>167</v>
      </c>
      <c r="C2703">
        <v>4</v>
      </c>
      <c r="D2703">
        <v>44.07</v>
      </c>
      <c r="E2703">
        <v>4.41</v>
      </c>
      <c r="F2703">
        <v>0</v>
      </c>
      <c r="G2703">
        <v>0.1</v>
      </c>
      <c r="H2703" t="s">
        <v>622</v>
      </c>
      <c r="J2703" t="s">
        <v>623</v>
      </c>
      <c r="K2703" s="1"/>
      <c r="L2703" s="1">
        <v>46272.819432870368</v>
      </c>
      <c r="M2703" s="2">
        <v>46272</v>
      </c>
      <c r="N2703" t="s">
        <v>642</v>
      </c>
      <c r="O2703" t="s">
        <v>625</v>
      </c>
      <c r="P2703">
        <v>1</v>
      </c>
      <c r="Q2703">
        <v>0</v>
      </c>
      <c r="R2703">
        <v>44.07</v>
      </c>
      <c r="S2703" t="s">
        <v>329</v>
      </c>
      <c r="T2703" t="s">
        <v>778</v>
      </c>
    </row>
    <row r="2704" spans="1:20" x14ac:dyDescent="0.3">
      <c r="A2704">
        <v>2703</v>
      </c>
      <c r="B2704">
        <v>35</v>
      </c>
      <c r="C2704">
        <v>5</v>
      </c>
      <c r="D2704">
        <v>34.479999999999997</v>
      </c>
      <c r="E2704">
        <v>3.45</v>
      </c>
      <c r="F2704">
        <v>0</v>
      </c>
      <c r="G2704">
        <v>0.1</v>
      </c>
      <c r="H2704" t="s">
        <v>622</v>
      </c>
      <c r="J2704" t="s">
        <v>623</v>
      </c>
      <c r="K2704" s="1"/>
      <c r="L2704" s="1">
        <v>46273.359386574077</v>
      </c>
      <c r="M2704" s="2">
        <v>46273</v>
      </c>
      <c r="N2704" t="s">
        <v>642</v>
      </c>
      <c r="O2704" t="s">
        <v>625</v>
      </c>
      <c r="P2704">
        <v>1</v>
      </c>
      <c r="Q2704">
        <v>0</v>
      </c>
      <c r="R2704">
        <v>34.479999999999997</v>
      </c>
      <c r="S2704" t="s">
        <v>66</v>
      </c>
      <c r="T2704" t="s">
        <v>779</v>
      </c>
    </row>
    <row r="2705" spans="1:20" x14ac:dyDescent="0.3">
      <c r="A2705">
        <v>2704</v>
      </c>
      <c r="B2705">
        <v>56</v>
      </c>
      <c r="C2705">
        <v>5</v>
      </c>
      <c r="D2705">
        <v>84.44</v>
      </c>
      <c r="E2705">
        <v>8.44</v>
      </c>
      <c r="F2705">
        <v>0</v>
      </c>
      <c r="G2705">
        <v>0.1</v>
      </c>
      <c r="H2705" t="s">
        <v>622</v>
      </c>
      <c r="J2705" t="s">
        <v>623</v>
      </c>
      <c r="K2705" s="1"/>
      <c r="L2705" s="1">
        <v>46273.411770833336</v>
      </c>
      <c r="M2705" s="2">
        <v>46273</v>
      </c>
      <c r="N2705" t="s">
        <v>642</v>
      </c>
      <c r="O2705" t="s">
        <v>625</v>
      </c>
      <c r="P2705">
        <v>1</v>
      </c>
      <c r="Q2705">
        <v>0</v>
      </c>
      <c r="R2705">
        <v>84.44</v>
      </c>
      <c r="S2705" t="s">
        <v>108</v>
      </c>
      <c r="T2705" t="s">
        <v>779</v>
      </c>
    </row>
    <row r="2706" spans="1:20" x14ac:dyDescent="0.3">
      <c r="A2706">
        <v>2705</v>
      </c>
      <c r="B2706">
        <v>128</v>
      </c>
      <c r="C2706">
        <v>5</v>
      </c>
      <c r="D2706">
        <v>12.92</v>
      </c>
      <c r="E2706">
        <v>1.29</v>
      </c>
      <c r="F2706">
        <v>0</v>
      </c>
      <c r="G2706">
        <v>0.1</v>
      </c>
      <c r="H2706" t="s">
        <v>622</v>
      </c>
      <c r="J2706" t="s">
        <v>623</v>
      </c>
      <c r="K2706" s="1"/>
      <c r="L2706" s="1">
        <v>46273.42114583333</v>
      </c>
      <c r="M2706" s="2">
        <v>46273</v>
      </c>
      <c r="N2706" t="s">
        <v>642</v>
      </c>
      <c r="O2706" t="s">
        <v>625</v>
      </c>
      <c r="P2706">
        <v>1</v>
      </c>
      <c r="Q2706">
        <v>0</v>
      </c>
      <c r="R2706">
        <v>12.92</v>
      </c>
      <c r="S2706" t="s">
        <v>251</v>
      </c>
      <c r="T2706" t="s">
        <v>779</v>
      </c>
    </row>
    <row r="2707" spans="1:20" x14ac:dyDescent="0.3">
      <c r="A2707">
        <v>2706</v>
      </c>
      <c r="B2707">
        <v>128</v>
      </c>
      <c r="C2707">
        <v>4</v>
      </c>
      <c r="D2707">
        <v>38.96</v>
      </c>
      <c r="E2707">
        <v>3.9</v>
      </c>
      <c r="F2707">
        <v>0</v>
      </c>
      <c r="G2707">
        <v>0.1</v>
      </c>
      <c r="H2707" t="s">
        <v>622</v>
      </c>
      <c r="J2707" t="s">
        <v>623</v>
      </c>
      <c r="K2707" s="1"/>
      <c r="L2707" s="1">
        <v>46274.355486111112</v>
      </c>
      <c r="M2707" s="2">
        <v>46274</v>
      </c>
      <c r="N2707" t="s">
        <v>642</v>
      </c>
      <c r="O2707" t="s">
        <v>625</v>
      </c>
      <c r="P2707">
        <v>1</v>
      </c>
      <c r="Q2707">
        <v>0</v>
      </c>
      <c r="R2707">
        <v>38.96</v>
      </c>
      <c r="S2707" t="s">
        <v>251</v>
      </c>
      <c r="T2707" t="s">
        <v>778</v>
      </c>
    </row>
    <row r="2708" spans="1:20" x14ac:dyDescent="0.3">
      <c r="A2708">
        <v>2707</v>
      </c>
      <c r="B2708">
        <v>279</v>
      </c>
      <c r="C2708">
        <v>4</v>
      </c>
      <c r="D2708">
        <v>206.35</v>
      </c>
      <c r="E2708">
        <v>20.64</v>
      </c>
      <c r="F2708">
        <v>0</v>
      </c>
      <c r="G2708">
        <v>0.1</v>
      </c>
      <c r="H2708" t="s">
        <v>622</v>
      </c>
      <c r="J2708" t="s">
        <v>623</v>
      </c>
      <c r="K2708" s="1"/>
      <c r="L2708" s="1">
        <v>46274.408136574071</v>
      </c>
      <c r="M2708" s="2">
        <v>46274</v>
      </c>
      <c r="N2708" t="s">
        <v>642</v>
      </c>
      <c r="O2708" t="s">
        <v>625</v>
      </c>
      <c r="P2708">
        <v>1</v>
      </c>
      <c r="Q2708">
        <v>0</v>
      </c>
      <c r="R2708">
        <v>206.35</v>
      </c>
      <c r="S2708" t="s">
        <v>553</v>
      </c>
      <c r="T2708" t="s">
        <v>778</v>
      </c>
    </row>
    <row r="2709" spans="1:20" x14ac:dyDescent="0.3">
      <c r="A2709">
        <v>2708</v>
      </c>
      <c r="B2709">
        <v>128</v>
      </c>
      <c r="C2709">
        <v>4</v>
      </c>
      <c r="D2709">
        <v>21.57</v>
      </c>
      <c r="E2709">
        <v>2.16</v>
      </c>
      <c r="F2709">
        <v>0</v>
      </c>
      <c r="G2709">
        <v>0.1</v>
      </c>
      <c r="H2709" t="s">
        <v>622</v>
      </c>
      <c r="J2709" t="s">
        <v>623</v>
      </c>
      <c r="K2709" s="1"/>
      <c r="L2709" s="1">
        <v>46274.559328703705</v>
      </c>
      <c r="M2709" s="2">
        <v>46274</v>
      </c>
      <c r="N2709" t="s">
        <v>642</v>
      </c>
      <c r="O2709" t="s">
        <v>625</v>
      </c>
      <c r="P2709">
        <v>1</v>
      </c>
      <c r="Q2709">
        <v>0</v>
      </c>
      <c r="R2709">
        <v>21.57</v>
      </c>
      <c r="S2709" t="s">
        <v>251</v>
      </c>
      <c r="T2709" t="s">
        <v>778</v>
      </c>
    </row>
    <row r="2710" spans="1:20" x14ac:dyDescent="0.3">
      <c r="A2710">
        <v>2709</v>
      </c>
      <c r="B2710">
        <v>75</v>
      </c>
      <c r="C2710">
        <v>5</v>
      </c>
      <c r="D2710">
        <v>86.01</v>
      </c>
      <c r="E2710">
        <v>8.6</v>
      </c>
      <c r="F2710">
        <v>0</v>
      </c>
      <c r="G2710">
        <v>0.1</v>
      </c>
      <c r="H2710" t="s">
        <v>622</v>
      </c>
      <c r="J2710" t="s">
        <v>623</v>
      </c>
      <c r="K2710" s="1"/>
      <c r="L2710" s="1">
        <v>46274.563310185185</v>
      </c>
      <c r="M2710" s="2">
        <v>46274</v>
      </c>
      <c r="N2710" t="s">
        <v>642</v>
      </c>
      <c r="O2710" t="s">
        <v>625</v>
      </c>
      <c r="P2710">
        <v>1</v>
      </c>
      <c r="Q2710">
        <v>0</v>
      </c>
      <c r="R2710">
        <v>86.01</v>
      </c>
      <c r="S2710" t="s">
        <v>146</v>
      </c>
      <c r="T2710" t="s">
        <v>779</v>
      </c>
    </row>
    <row r="2711" spans="1:20" x14ac:dyDescent="0.3">
      <c r="A2711">
        <v>2710</v>
      </c>
      <c r="B2711">
        <v>65</v>
      </c>
      <c r="C2711">
        <v>3</v>
      </c>
      <c r="D2711">
        <v>21.54</v>
      </c>
      <c r="E2711">
        <v>2.15</v>
      </c>
      <c r="F2711">
        <v>0</v>
      </c>
      <c r="G2711">
        <v>0.1</v>
      </c>
      <c r="H2711" t="s">
        <v>622</v>
      </c>
      <c r="J2711" t="s">
        <v>623</v>
      </c>
      <c r="K2711" s="1"/>
      <c r="L2711" s="1">
        <v>46274.570706018516</v>
      </c>
      <c r="M2711" s="2">
        <v>46274</v>
      </c>
      <c r="N2711" t="s">
        <v>642</v>
      </c>
      <c r="O2711" t="s">
        <v>625</v>
      </c>
      <c r="P2711">
        <v>1</v>
      </c>
      <c r="Q2711">
        <v>0</v>
      </c>
      <c r="R2711">
        <v>21.54</v>
      </c>
      <c r="S2711" t="s">
        <v>126</v>
      </c>
      <c r="T2711" t="s">
        <v>777</v>
      </c>
    </row>
    <row r="2712" spans="1:20" x14ac:dyDescent="0.3">
      <c r="A2712">
        <v>2711</v>
      </c>
      <c r="B2712">
        <v>220</v>
      </c>
      <c r="C2712">
        <v>4</v>
      </c>
      <c r="D2712">
        <v>30.65</v>
      </c>
      <c r="E2712">
        <v>3.07</v>
      </c>
      <c r="F2712">
        <v>0</v>
      </c>
      <c r="G2712">
        <v>0.1</v>
      </c>
      <c r="H2712" t="s">
        <v>622</v>
      </c>
      <c r="J2712" t="s">
        <v>623</v>
      </c>
      <c r="K2712" s="1"/>
      <c r="L2712" s="1">
        <v>46274.630023148151</v>
      </c>
      <c r="M2712" s="2">
        <v>46274</v>
      </c>
      <c r="N2712" t="s">
        <v>642</v>
      </c>
      <c r="O2712" t="s">
        <v>625</v>
      </c>
      <c r="P2712">
        <v>1</v>
      </c>
      <c r="Q2712">
        <v>0</v>
      </c>
      <c r="R2712">
        <v>30.65</v>
      </c>
      <c r="S2712" t="s">
        <v>435</v>
      </c>
      <c r="T2712" t="s">
        <v>778</v>
      </c>
    </row>
    <row r="2713" spans="1:20" x14ac:dyDescent="0.3">
      <c r="A2713">
        <v>2712</v>
      </c>
      <c r="B2713">
        <v>250</v>
      </c>
      <c r="C2713">
        <v>4</v>
      </c>
      <c r="D2713">
        <v>148.4</v>
      </c>
      <c r="E2713">
        <v>14.84</v>
      </c>
      <c r="F2713">
        <v>0</v>
      </c>
      <c r="G2713">
        <v>0.1</v>
      </c>
      <c r="H2713" t="s">
        <v>622</v>
      </c>
      <c r="J2713" t="s">
        <v>623</v>
      </c>
      <c r="K2713" s="1"/>
      <c r="L2713" s="1">
        <v>46274.790034722224</v>
      </c>
      <c r="M2713" s="2">
        <v>46274</v>
      </c>
      <c r="N2713" t="s">
        <v>642</v>
      </c>
      <c r="O2713" t="s">
        <v>625</v>
      </c>
      <c r="P2713">
        <v>1</v>
      </c>
      <c r="Q2713">
        <v>0</v>
      </c>
      <c r="R2713">
        <v>148.4</v>
      </c>
      <c r="S2713" t="s">
        <v>495</v>
      </c>
      <c r="T2713" t="s">
        <v>778</v>
      </c>
    </row>
    <row r="2714" spans="1:20" x14ac:dyDescent="0.3">
      <c r="A2714">
        <v>2713</v>
      </c>
      <c r="B2714">
        <v>75</v>
      </c>
      <c r="C2714">
        <v>3</v>
      </c>
      <c r="D2714">
        <v>78.22</v>
      </c>
      <c r="E2714">
        <v>7.82</v>
      </c>
      <c r="F2714">
        <v>0</v>
      </c>
      <c r="G2714">
        <v>0.1</v>
      </c>
      <c r="H2714" t="s">
        <v>622</v>
      </c>
      <c r="J2714" t="s">
        <v>623</v>
      </c>
      <c r="K2714" s="1"/>
      <c r="L2714" s="1">
        <v>46275.374699074076</v>
      </c>
      <c r="M2714" s="2">
        <v>46275</v>
      </c>
      <c r="N2714" t="s">
        <v>642</v>
      </c>
      <c r="O2714" t="s">
        <v>625</v>
      </c>
      <c r="P2714">
        <v>1</v>
      </c>
      <c r="Q2714">
        <v>0</v>
      </c>
      <c r="R2714">
        <v>78.22</v>
      </c>
      <c r="S2714" t="s">
        <v>146</v>
      </c>
      <c r="T2714" t="s">
        <v>777</v>
      </c>
    </row>
    <row r="2715" spans="1:20" x14ac:dyDescent="0.3">
      <c r="A2715">
        <v>2714</v>
      </c>
      <c r="B2715">
        <v>285</v>
      </c>
      <c r="C2715">
        <v>2</v>
      </c>
      <c r="D2715">
        <v>29.07</v>
      </c>
      <c r="E2715">
        <v>2.91</v>
      </c>
      <c r="F2715">
        <v>0</v>
      </c>
      <c r="G2715">
        <v>0.1</v>
      </c>
      <c r="H2715" t="s">
        <v>622</v>
      </c>
      <c r="J2715" t="s">
        <v>623</v>
      </c>
      <c r="K2715" s="1"/>
      <c r="L2715" s="1">
        <v>46275.401226851849</v>
      </c>
      <c r="M2715" s="2">
        <v>46275</v>
      </c>
      <c r="N2715" t="s">
        <v>642</v>
      </c>
      <c r="O2715" t="s">
        <v>625</v>
      </c>
      <c r="P2715">
        <v>1</v>
      </c>
      <c r="Q2715">
        <v>0</v>
      </c>
      <c r="R2715">
        <v>29.07</v>
      </c>
      <c r="S2715" t="s">
        <v>565</v>
      </c>
      <c r="T2715" t="s">
        <v>776</v>
      </c>
    </row>
    <row r="2716" spans="1:20" x14ac:dyDescent="0.3">
      <c r="A2716">
        <v>2715</v>
      </c>
      <c r="B2716">
        <v>35</v>
      </c>
      <c r="C2716">
        <v>2</v>
      </c>
      <c r="D2716">
        <v>58.17</v>
      </c>
      <c r="E2716">
        <v>5.82</v>
      </c>
      <c r="F2716">
        <v>0</v>
      </c>
      <c r="G2716">
        <v>0.1</v>
      </c>
      <c r="H2716" t="s">
        <v>622</v>
      </c>
      <c r="J2716" t="s">
        <v>623</v>
      </c>
      <c r="K2716" s="1"/>
      <c r="L2716" s="1">
        <v>46275.560613425929</v>
      </c>
      <c r="M2716" s="2">
        <v>46275</v>
      </c>
      <c r="N2716" t="s">
        <v>642</v>
      </c>
      <c r="O2716" t="s">
        <v>625</v>
      </c>
      <c r="P2716">
        <v>1</v>
      </c>
      <c r="Q2716">
        <v>0</v>
      </c>
      <c r="R2716">
        <v>58.17</v>
      </c>
      <c r="S2716" t="s">
        <v>66</v>
      </c>
      <c r="T2716" t="s">
        <v>776</v>
      </c>
    </row>
    <row r="2717" spans="1:20" x14ac:dyDescent="0.3">
      <c r="A2717">
        <v>2716</v>
      </c>
      <c r="B2717">
        <v>136</v>
      </c>
      <c r="C2717">
        <v>2</v>
      </c>
      <c r="D2717">
        <v>160.55000000000001</v>
      </c>
      <c r="E2717">
        <v>16.059999999999999</v>
      </c>
      <c r="F2717">
        <v>0</v>
      </c>
      <c r="G2717">
        <v>0.1</v>
      </c>
      <c r="H2717" t="s">
        <v>622</v>
      </c>
      <c r="J2717" t="s">
        <v>623</v>
      </c>
      <c r="K2717" s="1"/>
      <c r="L2717" s="1">
        <v>46275.695451388892</v>
      </c>
      <c r="M2717" s="2">
        <v>46275</v>
      </c>
      <c r="N2717" t="s">
        <v>642</v>
      </c>
      <c r="O2717" t="s">
        <v>625</v>
      </c>
      <c r="P2717">
        <v>1</v>
      </c>
      <c r="Q2717">
        <v>0</v>
      </c>
      <c r="R2717">
        <v>160.55000000000001</v>
      </c>
      <c r="S2717" t="s">
        <v>267</v>
      </c>
      <c r="T2717" t="s">
        <v>776</v>
      </c>
    </row>
    <row r="2718" spans="1:20" x14ac:dyDescent="0.3">
      <c r="A2718">
        <v>2717</v>
      </c>
      <c r="B2718">
        <v>137</v>
      </c>
      <c r="C2718">
        <v>4</v>
      </c>
      <c r="D2718">
        <v>23.84</v>
      </c>
      <c r="E2718">
        <v>2.38</v>
      </c>
      <c r="F2718">
        <v>0</v>
      </c>
      <c r="G2718">
        <v>0.1</v>
      </c>
      <c r="H2718" t="s">
        <v>622</v>
      </c>
      <c r="J2718" t="s">
        <v>623</v>
      </c>
      <c r="K2718" s="1"/>
      <c r="L2718" s="1">
        <v>46275.771319444444</v>
      </c>
      <c r="M2718" s="2">
        <v>46275</v>
      </c>
      <c r="N2718" t="s">
        <v>642</v>
      </c>
      <c r="O2718" t="s">
        <v>625</v>
      </c>
      <c r="P2718">
        <v>1</v>
      </c>
      <c r="Q2718">
        <v>0</v>
      </c>
      <c r="R2718">
        <v>23.84</v>
      </c>
      <c r="S2718" t="s">
        <v>269</v>
      </c>
      <c r="T2718" t="s">
        <v>778</v>
      </c>
    </row>
    <row r="2719" spans="1:20" x14ac:dyDescent="0.3">
      <c r="A2719">
        <v>2718</v>
      </c>
      <c r="B2719">
        <v>293</v>
      </c>
      <c r="C2719">
        <v>2</v>
      </c>
      <c r="D2719">
        <v>41.6</v>
      </c>
      <c r="E2719">
        <v>4.16</v>
      </c>
      <c r="F2719">
        <v>0</v>
      </c>
      <c r="G2719">
        <v>0.1</v>
      </c>
      <c r="H2719" t="s">
        <v>622</v>
      </c>
      <c r="J2719" t="s">
        <v>623</v>
      </c>
      <c r="K2719" s="1"/>
      <c r="L2719" s="1">
        <v>46276.344722222224</v>
      </c>
      <c r="M2719" s="2">
        <v>46276</v>
      </c>
      <c r="N2719" t="s">
        <v>642</v>
      </c>
      <c r="O2719" t="s">
        <v>625</v>
      </c>
      <c r="P2719">
        <v>1</v>
      </c>
      <c r="Q2719">
        <v>0</v>
      </c>
      <c r="R2719">
        <v>41.6</v>
      </c>
      <c r="S2719" t="s">
        <v>581</v>
      </c>
      <c r="T2719" t="s">
        <v>776</v>
      </c>
    </row>
    <row r="2720" spans="1:20" x14ac:dyDescent="0.3">
      <c r="A2720">
        <v>2719</v>
      </c>
      <c r="B2720">
        <v>11</v>
      </c>
      <c r="C2720">
        <v>2</v>
      </c>
      <c r="D2720">
        <v>130.16</v>
      </c>
      <c r="E2720">
        <v>13.02</v>
      </c>
      <c r="F2720">
        <v>0</v>
      </c>
      <c r="G2720">
        <v>0.1</v>
      </c>
      <c r="H2720" t="s">
        <v>626</v>
      </c>
      <c r="I2720">
        <v>2</v>
      </c>
      <c r="J2720" t="s">
        <v>627</v>
      </c>
      <c r="K2720" s="1">
        <v>46278.082303240742</v>
      </c>
      <c r="L2720" s="1">
        <v>46276.498969907407</v>
      </c>
      <c r="M2720" s="2">
        <v>46276</v>
      </c>
      <c r="N2720" t="s">
        <v>642</v>
      </c>
      <c r="O2720" t="s">
        <v>625</v>
      </c>
      <c r="P2720">
        <v>1</v>
      </c>
      <c r="Q2720">
        <v>1</v>
      </c>
      <c r="R2720">
        <v>0</v>
      </c>
      <c r="S2720" t="s">
        <v>18</v>
      </c>
      <c r="T2720" t="s">
        <v>776</v>
      </c>
    </row>
    <row r="2721" spans="1:20" x14ac:dyDescent="0.3">
      <c r="A2721">
        <v>2720</v>
      </c>
      <c r="B2721">
        <v>82</v>
      </c>
      <c r="C2721">
        <v>5</v>
      </c>
      <c r="D2721">
        <v>41.54</v>
      </c>
      <c r="E2721">
        <v>4.1500000000000004</v>
      </c>
      <c r="F2721">
        <v>0</v>
      </c>
      <c r="G2721">
        <v>0.1</v>
      </c>
      <c r="H2721" t="s">
        <v>622</v>
      </c>
      <c r="J2721" t="s">
        <v>623</v>
      </c>
      <c r="K2721" s="1"/>
      <c r="L2721" s="1">
        <v>46276.539155092592</v>
      </c>
      <c r="M2721" s="2">
        <v>46276</v>
      </c>
      <c r="N2721" t="s">
        <v>642</v>
      </c>
      <c r="O2721" t="s">
        <v>625</v>
      </c>
      <c r="P2721">
        <v>1</v>
      </c>
      <c r="Q2721">
        <v>0</v>
      </c>
      <c r="R2721">
        <v>41.54</v>
      </c>
      <c r="S2721" t="s">
        <v>159</v>
      </c>
      <c r="T2721" t="s">
        <v>779</v>
      </c>
    </row>
    <row r="2722" spans="1:20" x14ac:dyDescent="0.3">
      <c r="A2722">
        <v>2721</v>
      </c>
      <c r="B2722">
        <v>120</v>
      </c>
      <c r="C2722">
        <v>4</v>
      </c>
      <c r="D2722">
        <v>29</v>
      </c>
      <c r="E2722">
        <v>2.9</v>
      </c>
      <c r="F2722">
        <v>0</v>
      </c>
      <c r="G2722">
        <v>0.1</v>
      </c>
      <c r="H2722" t="s">
        <v>622</v>
      </c>
      <c r="J2722" t="s">
        <v>623</v>
      </c>
      <c r="K2722" s="1"/>
      <c r="L2722" s="1">
        <v>46276.568831018521</v>
      </c>
      <c r="M2722" s="2">
        <v>46276</v>
      </c>
      <c r="N2722" t="s">
        <v>642</v>
      </c>
      <c r="O2722" t="s">
        <v>625</v>
      </c>
      <c r="P2722">
        <v>1</v>
      </c>
      <c r="Q2722">
        <v>0</v>
      </c>
      <c r="R2722">
        <v>29</v>
      </c>
      <c r="S2722" t="s">
        <v>235</v>
      </c>
      <c r="T2722" t="s">
        <v>778</v>
      </c>
    </row>
    <row r="2723" spans="1:20" x14ac:dyDescent="0.3">
      <c r="A2723">
        <v>2722</v>
      </c>
      <c r="B2723">
        <v>128</v>
      </c>
      <c r="C2723">
        <v>5</v>
      </c>
      <c r="D2723">
        <v>30.77</v>
      </c>
      <c r="E2723">
        <v>3.08</v>
      </c>
      <c r="F2723">
        <v>0</v>
      </c>
      <c r="G2723">
        <v>0.1</v>
      </c>
      <c r="H2723" t="s">
        <v>622</v>
      </c>
      <c r="J2723" t="s">
        <v>623</v>
      </c>
      <c r="K2723" s="1"/>
      <c r="L2723" s="1">
        <v>46276.575578703705</v>
      </c>
      <c r="M2723" s="2">
        <v>46276</v>
      </c>
      <c r="N2723" t="s">
        <v>642</v>
      </c>
      <c r="O2723" t="s">
        <v>625</v>
      </c>
      <c r="P2723">
        <v>1</v>
      </c>
      <c r="Q2723">
        <v>0</v>
      </c>
      <c r="R2723">
        <v>30.77</v>
      </c>
      <c r="S2723" t="s">
        <v>251</v>
      </c>
      <c r="T2723" t="s">
        <v>779</v>
      </c>
    </row>
    <row r="2724" spans="1:20" x14ac:dyDescent="0.3">
      <c r="A2724">
        <v>2723</v>
      </c>
      <c r="B2724">
        <v>118</v>
      </c>
      <c r="C2724">
        <v>3</v>
      </c>
      <c r="D2724">
        <v>11.83</v>
      </c>
      <c r="E2724">
        <v>1.18</v>
      </c>
      <c r="F2724">
        <v>0</v>
      </c>
      <c r="G2724">
        <v>0.1</v>
      </c>
      <c r="H2724" t="s">
        <v>622</v>
      </c>
      <c r="J2724" t="s">
        <v>623</v>
      </c>
      <c r="K2724" s="1"/>
      <c r="L2724" s="1">
        <v>46276.652442129627</v>
      </c>
      <c r="M2724" s="2">
        <v>46276</v>
      </c>
      <c r="N2724" t="s">
        <v>642</v>
      </c>
      <c r="O2724" t="s">
        <v>625</v>
      </c>
      <c r="P2724">
        <v>1</v>
      </c>
      <c r="Q2724">
        <v>0</v>
      </c>
      <c r="R2724">
        <v>11.83</v>
      </c>
      <c r="S2724" t="s">
        <v>231</v>
      </c>
      <c r="T2724" t="s">
        <v>777</v>
      </c>
    </row>
    <row r="2725" spans="1:20" x14ac:dyDescent="0.3">
      <c r="A2725">
        <v>2724</v>
      </c>
      <c r="B2725">
        <v>9</v>
      </c>
      <c r="C2725">
        <v>4</v>
      </c>
      <c r="D2725">
        <v>40.9</v>
      </c>
      <c r="E2725">
        <v>4.09</v>
      </c>
      <c r="F2725">
        <v>0</v>
      </c>
      <c r="G2725">
        <v>0.1</v>
      </c>
      <c r="H2725" t="s">
        <v>622</v>
      </c>
      <c r="J2725" t="s">
        <v>623</v>
      </c>
      <c r="K2725" s="1"/>
      <c r="L2725" s="1">
        <v>46276.677187499998</v>
      </c>
      <c r="M2725" s="2">
        <v>46276</v>
      </c>
      <c r="N2725" t="s">
        <v>642</v>
      </c>
      <c r="O2725" t="s">
        <v>625</v>
      </c>
      <c r="P2725">
        <v>1</v>
      </c>
      <c r="Q2725">
        <v>0</v>
      </c>
      <c r="R2725">
        <v>40.9</v>
      </c>
      <c r="S2725" t="s">
        <v>14</v>
      </c>
      <c r="T2725" t="s">
        <v>778</v>
      </c>
    </row>
    <row r="2726" spans="1:20" x14ac:dyDescent="0.3">
      <c r="A2726">
        <v>2725</v>
      </c>
      <c r="B2726">
        <v>56</v>
      </c>
      <c r="C2726">
        <v>4</v>
      </c>
      <c r="D2726">
        <v>105.44</v>
      </c>
      <c r="E2726">
        <v>10.54</v>
      </c>
      <c r="F2726">
        <v>0</v>
      </c>
      <c r="G2726">
        <v>0.1</v>
      </c>
      <c r="H2726" t="s">
        <v>622</v>
      </c>
      <c r="J2726" t="s">
        <v>623</v>
      </c>
      <c r="K2726" s="1"/>
      <c r="L2726" s="1">
        <v>46276.708449074074</v>
      </c>
      <c r="M2726" s="2">
        <v>46276</v>
      </c>
      <c r="N2726" t="s">
        <v>642</v>
      </c>
      <c r="O2726" t="s">
        <v>625</v>
      </c>
      <c r="P2726">
        <v>1</v>
      </c>
      <c r="Q2726">
        <v>0</v>
      </c>
      <c r="R2726">
        <v>105.44</v>
      </c>
      <c r="S2726" t="s">
        <v>108</v>
      </c>
      <c r="T2726" t="s">
        <v>778</v>
      </c>
    </row>
    <row r="2727" spans="1:20" x14ac:dyDescent="0.3">
      <c r="A2727">
        <v>2726</v>
      </c>
      <c r="B2727">
        <v>112</v>
      </c>
      <c r="C2727">
        <v>3</v>
      </c>
      <c r="D2727">
        <v>19.739999999999998</v>
      </c>
      <c r="E2727">
        <v>1.97</v>
      </c>
      <c r="F2727">
        <v>0</v>
      </c>
      <c r="G2727">
        <v>0.1</v>
      </c>
      <c r="H2727" t="s">
        <v>622</v>
      </c>
      <c r="J2727" t="s">
        <v>623</v>
      </c>
      <c r="K2727" s="1"/>
      <c r="L2727" s="1">
        <v>46276.733969907407</v>
      </c>
      <c r="M2727" s="2">
        <v>46276</v>
      </c>
      <c r="N2727" t="s">
        <v>642</v>
      </c>
      <c r="O2727" t="s">
        <v>625</v>
      </c>
      <c r="P2727">
        <v>1</v>
      </c>
      <c r="Q2727">
        <v>0</v>
      </c>
      <c r="R2727">
        <v>19.739999999999998</v>
      </c>
      <c r="S2727" t="s">
        <v>219</v>
      </c>
      <c r="T2727" t="s">
        <v>777</v>
      </c>
    </row>
    <row r="2728" spans="1:20" x14ac:dyDescent="0.3">
      <c r="A2728">
        <v>2727</v>
      </c>
      <c r="B2728">
        <v>134</v>
      </c>
      <c r="C2728">
        <v>5</v>
      </c>
      <c r="D2728">
        <v>119.1</v>
      </c>
      <c r="E2728">
        <v>11.91</v>
      </c>
      <c r="F2728">
        <v>0</v>
      </c>
      <c r="G2728">
        <v>0.1</v>
      </c>
      <c r="H2728" t="s">
        <v>622</v>
      </c>
      <c r="J2728" t="s">
        <v>623</v>
      </c>
      <c r="K2728" s="1"/>
      <c r="L2728" s="1">
        <v>46276.743796296294</v>
      </c>
      <c r="M2728" s="2">
        <v>46276</v>
      </c>
      <c r="N2728" t="s">
        <v>642</v>
      </c>
      <c r="O2728" t="s">
        <v>625</v>
      </c>
      <c r="P2728">
        <v>1</v>
      </c>
      <c r="Q2728">
        <v>0</v>
      </c>
      <c r="R2728">
        <v>119.1</v>
      </c>
      <c r="S2728" t="s">
        <v>263</v>
      </c>
      <c r="T2728" t="s">
        <v>779</v>
      </c>
    </row>
    <row r="2729" spans="1:20" x14ac:dyDescent="0.3">
      <c r="A2729">
        <v>2728</v>
      </c>
      <c r="B2729">
        <v>183</v>
      </c>
      <c r="C2729">
        <v>5</v>
      </c>
      <c r="D2729">
        <v>115.39</v>
      </c>
      <c r="E2729">
        <v>11.54</v>
      </c>
      <c r="F2729">
        <v>0</v>
      </c>
      <c r="G2729">
        <v>0.1</v>
      </c>
      <c r="H2729" t="s">
        <v>622</v>
      </c>
      <c r="J2729" t="s">
        <v>623</v>
      </c>
      <c r="K2729" s="1"/>
      <c r="L2729" s="1">
        <v>46277.435381944444</v>
      </c>
      <c r="M2729" s="2">
        <v>46277</v>
      </c>
      <c r="N2729" t="s">
        <v>642</v>
      </c>
      <c r="O2729" t="s">
        <v>625</v>
      </c>
      <c r="P2729">
        <v>1</v>
      </c>
      <c r="Q2729">
        <v>0</v>
      </c>
      <c r="R2729">
        <v>115.39</v>
      </c>
      <c r="S2729" t="s">
        <v>361</v>
      </c>
      <c r="T2729" t="s">
        <v>779</v>
      </c>
    </row>
    <row r="2730" spans="1:20" x14ac:dyDescent="0.3">
      <c r="A2730">
        <v>2729</v>
      </c>
      <c r="B2730">
        <v>174</v>
      </c>
      <c r="C2730">
        <v>4</v>
      </c>
      <c r="D2730">
        <v>32.81</v>
      </c>
      <c r="E2730">
        <v>3.28</v>
      </c>
      <c r="F2730">
        <v>0</v>
      </c>
      <c r="G2730">
        <v>0.1</v>
      </c>
      <c r="H2730" t="s">
        <v>622</v>
      </c>
      <c r="J2730" t="s">
        <v>623</v>
      </c>
      <c r="K2730" s="1"/>
      <c r="L2730" s="1">
        <v>46277.48678240741</v>
      </c>
      <c r="M2730" s="2">
        <v>46277</v>
      </c>
      <c r="N2730" t="s">
        <v>642</v>
      </c>
      <c r="O2730" t="s">
        <v>625</v>
      </c>
      <c r="P2730">
        <v>1</v>
      </c>
      <c r="Q2730">
        <v>0</v>
      </c>
      <c r="R2730">
        <v>32.81</v>
      </c>
      <c r="S2730" t="s">
        <v>343</v>
      </c>
      <c r="T2730" t="s">
        <v>778</v>
      </c>
    </row>
    <row r="2731" spans="1:20" x14ac:dyDescent="0.3">
      <c r="A2731">
        <v>2730</v>
      </c>
      <c r="B2731">
        <v>128</v>
      </c>
      <c r="C2731">
        <v>3</v>
      </c>
      <c r="D2731">
        <v>33.85</v>
      </c>
      <c r="E2731">
        <v>0</v>
      </c>
      <c r="F2731">
        <v>1</v>
      </c>
      <c r="G2731">
        <v>0.1</v>
      </c>
      <c r="H2731" t="s">
        <v>622</v>
      </c>
      <c r="J2731" t="s">
        <v>623</v>
      </c>
      <c r="K2731" s="1"/>
      <c r="L2731" s="1">
        <v>46277.55064814815</v>
      </c>
      <c r="M2731" s="2">
        <v>46277</v>
      </c>
      <c r="N2731" t="s">
        <v>642</v>
      </c>
      <c r="O2731" t="s">
        <v>629</v>
      </c>
      <c r="P2731">
        <v>1</v>
      </c>
      <c r="Q2731">
        <v>0</v>
      </c>
      <c r="R2731">
        <v>33.85</v>
      </c>
      <c r="S2731" t="s">
        <v>251</v>
      </c>
      <c r="T2731" t="s">
        <v>777</v>
      </c>
    </row>
    <row r="2732" spans="1:20" x14ac:dyDescent="0.3">
      <c r="A2732">
        <v>2731</v>
      </c>
      <c r="B2732">
        <v>195</v>
      </c>
      <c r="C2732">
        <v>4</v>
      </c>
      <c r="D2732">
        <v>104.38</v>
      </c>
      <c r="E2732">
        <v>10.44</v>
      </c>
      <c r="F2732">
        <v>0</v>
      </c>
      <c r="G2732">
        <v>0.1</v>
      </c>
      <c r="H2732" t="s">
        <v>622</v>
      </c>
      <c r="J2732" t="s">
        <v>623</v>
      </c>
      <c r="K2732" s="1"/>
      <c r="L2732" s="1">
        <v>46277.588391203702</v>
      </c>
      <c r="M2732" s="2">
        <v>46277</v>
      </c>
      <c r="N2732" t="s">
        <v>642</v>
      </c>
      <c r="O2732" t="s">
        <v>625</v>
      </c>
      <c r="P2732">
        <v>1</v>
      </c>
      <c r="Q2732">
        <v>0</v>
      </c>
      <c r="R2732">
        <v>104.38</v>
      </c>
      <c r="S2732" t="s">
        <v>385</v>
      </c>
      <c r="T2732" t="s">
        <v>778</v>
      </c>
    </row>
    <row r="2733" spans="1:20" x14ac:dyDescent="0.3">
      <c r="A2733">
        <v>2732</v>
      </c>
      <c r="B2733">
        <v>104</v>
      </c>
      <c r="C2733">
        <v>4</v>
      </c>
      <c r="D2733">
        <v>300</v>
      </c>
      <c r="E2733">
        <v>30</v>
      </c>
      <c r="F2733">
        <v>0</v>
      </c>
      <c r="G2733">
        <v>0.1</v>
      </c>
      <c r="H2733" t="s">
        <v>622</v>
      </c>
      <c r="J2733" t="s">
        <v>623</v>
      </c>
      <c r="K2733" s="1"/>
      <c r="L2733" s="1">
        <v>46277.676921296297</v>
      </c>
      <c r="M2733" s="2">
        <v>46277</v>
      </c>
      <c r="N2733" t="s">
        <v>642</v>
      </c>
      <c r="O2733" t="s">
        <v>625</v>
      </c>
      <c r="P2733">
        <v>1</v>
      </c>
      <c r="Q2733">
        <v>0</v>
      </c>
      <c r="R2733">
        <v>300</v>
      </c>
      <c r="S2733" t="s">
        <v>203</v>
      </c>
      <c r="T2733" t="s">
        <v>778</v>
      </c>
    </row>
    <row r="2734" spans="1:20" x14ac:dyDescent="0.3">
      <c r="A2734">
        <v>2733</v>
      </c>
      <c r="B2734">
        <v>143</v>
      </c>
      <c r="C2734">
        <v>5</v>
      </c>
      <c r="D2734">
        <v>27.38</v>
      </c>
      <c r="E2734">
        <v>2.74</v>
      </c>
      <c r="F2734">
        <v>0</v>
      </c>
      <c r="G2734">
        <v>0.1</v>
      </c>
      <c r="H2734" t="s">
        <v>622</v>
      </c>
      <c r="J2734" t="s">
        <v>623</v>
      </c>
      <c r="K2734" s="1"/>
      <c r="L2734" s="1">
        <v>46277.792187500003</v>
      </c>
      <c r="M2734" s="2">
        <v>46277</v>
      </c>
      <c r="N2734" t="s">
        <v>642</v>
      </c>
      <c r="O2734" t="s">
        <v>625</v>
      </c>
      <c r="P2734">
        <v>1</v>
      </c>
      <c r="Q2734">
        <v>0</v>
      </c>
      <c r="R2734">
        <v>27.38</v>
      </c>
      <c r="S2734" t="s">
        <v>281</v>
      </c>
      <c r="T2734" t="s">
        <v>779</v>
      </c>
    </row>
    <row r="2735" spans="1:20" x14ac:dyDescent="0.3">
      <c r="A2735">
        <v>2734</v>
      </c>
      <c r="B2735">
        <v>263</v>
      </c>
      <c r="C2735">
        <v>3</v>
      </c>
      <c r="D2735">
        <v>44.04</v>
      </c>
      <c r="E2735">
        <v>4.4000000000000004</v>
      </c>
      <c r="F2735">
        <v>0</v>
      </c>
      <c r="G2735">
        <v>0.1</v>
      </c>
      <c r="H2735" t="s">
        <v>622</v>
      </c>
      <c r="J2735" t="s">
        <v>623</v>
      </c>
      <c r="K2735" s="1"/>
      <c r="L2735" s="1">
        <v>46277.820937500001</v>
      </c>
      <c r="M2735" s="2">
        <v>46277</v>
      </c>
      <c r="N2735" t="s">
        <v>642</v>
      </c>
      <c r="O2735" t="s">
        <v>625</v>
      </c>
      <c r="P2735">
        <v>1</v>
      </c>
      <c r="Q2735">
        <v>0</v>
      </c>
      <c r="R2735">
        <v>44.04</v>
      </c>
      <c r="S2735" t="s">
        <v>521</v>
      </c>
      <c r="T2735" t="s">
        <v>777</v>
      </c>
    </row>
    <row r="2736" spans="1:20" x14ac:dyDescent="0.3">
      <c r="A2736">
        <v>2735</v>
      </c>
      <c r="B2736">
        <v>138</v>
      </c>
      <c r="C2736">
        <v>2</v>
      </c>
      <c r="D2736">
        <v>34.630000000000003</v>
      </c>
      <c r="E2736">
        <v>3.46</v>
      </c>
      <c r="F2736">
        <v>0</v>
      </c>
      <c r="G2736">
        <v>0.1</v>
      </c>
      <c r="H2736" t="s">
        <v>622</v>
      </c>
      <c r="J2736" t="s">
        <v>623</v>
      </c>
      <c r="K2736" s="1"/>
      <c r="L2736" s="1">
        <v>46278.434537037036</v>
      </c>
      <c r="M2736" s="2">
        <v>46278</v>
      </c>
      <c r="N2736" t="s">
        <v>642</v>
      </c>
      <c r="O2736" t="s">
        <v>625</v>
      </c>
      <c r="P2736">
        <v>1</v>
      </c>
      <c r="Q2736">
        <v>0</v>
      </c>
      <c r="R2736">
        <v>34.630000000000003</v>
      </c>
      <c r="S2736" t="s">
        <v>271</v>
      </c>
      <c r="T2736" t="s">
        <v>776</v>
      </c>
    </row>
    <row r="2737" spans="1:20" x14ac:dyDescent="0.3">
      <c r="A2737">
        <v>2736</v>
      </c>
      <c r="B2737">
        <v>75</v>
      </c>
      <c r="C2737">
        <v>2</v>
      </c>
      <c r="D2737">
        <v>173.77</v>
      </c>
      <c r="E2737">
        <v>17.38</v>
      </c>
      <c r="F2737">
        <v>0</v>
      </c>
      <c r="G2737">
        <v>0.1</v>
      </c>
      <c r="H2737" t="s">
        <v>622</v>
      </c>
      <c r="J2737" t="s">
        <v>623</v>
      </c>
      <c r="K2737" s="1"/>
      <c r="L2737" s="1">
        <v>46278.515104166669</v>
      </c>
      <c r="M2737" s="2">
        <v>46278</v>
      </c>
      <c r="N2737" t="s">
        <v>642</v>
      </c>
      <c r="O2737" t="s">
        <v>625</v>
      </c>
      <c r="P2737">
        <v>1</v>
      </c>
      <c r="Q2737">
        <v>0</v>
      </c>
      <c r="R2737">
        <v>173.77</v>
      </c>
      <c r="S2737" t="s">
        <v>146</v>
      </c>
      <c r="T2737" t="s">
        <v>776</v>
      </c>
    </row>
    <row r="2738" spans="1:20" x14ac:dyDescent="0.3">
      <c r="A2738">
        <v>2737</v>
      </c>
      <c r="B2738">
        <v>54</v>
      </c>
      <c r="C2738">
        <v>2</v>
      </c>
      <c r="D2738">
        <v>32.61</v>
      </c>
      <c r="E2738">
        <v>3.26</v>
      </c>
      <c r="F2738">
        <v>0</v>
      </c>
      <c r="G2738">
        <v>0.1</v>
      </c>
      <c r="H2738" t="s">
        <v>622</v>
      </c>
      <c r="J2738" t="s">
        <v>623</v>
      </c>
      <c r="K2738" s="1"/>
      <c r="L2738" s="1">
        <v>46278.673784722225</v>
      </c>
      <c r="M2738" s="2">
        <v>46278</v>
      </c>
      <c r="N2738" t="s">
        <v>642</v>
      </c>
      <c r="O2738" t="s">
        <v>625</v>
      </c>
      <c r="P2738">
        <v>1</v>
      </c>
      <c r="Q2738">
        <v>0</v>
      </c>
      <c r="R2738">
        <v>32.61</v>
      </c>
      <c r="S2738" t="s">
        <v>104</v>
      </c>
      <c r="T2738" t="s">
        <v>776</v>
      </c>
    </row>
    <row r="2739" spans="1:20" x14ac:dyDescent="0.3">
      <c r="A2739">
        <v>2738</v>
      </c>
      <c r="B2739">
        <v>250</v>
      </c>
      <c r="C2739">
        <v>2</v>
      </c>
      <c r="D2739">
        <v>134.41</v>
      </c>
      <c r="E2739">
        <v>13.44</v>
      </c>
      <c r="F2739">
        <v>0</v>
      </c>
      <c r="G2739">
        <v>0.1</v>
      </c>
      <c r="H2739" t="s">
        <v>622</v>
      </c>
      <c r="J2739" t="s">
        <v>623</v>
      </c>
      <c r="K2739" s="1"/>
      <c r="L2739" s="1">
        <v>46279.535092592596</v>
      </c>
      <c r="M2739" s="2">
        <v>46279</v>
      </c>
      <c r="N2739" t="s">
        <v>642</v>
      </c>
      <c r="O2739" t="s">
        <v>625</v>
      </c>
      <c r="P2739">
        <v>1</v>
      </c>
      <c r="Q2739">
        <v>0</v>
      </c>
      <c r="R2739">
        <v>134.41</v>
      </c>
      <c r="S2739" t="s">
        <v>495</v>
      </c>
      <c r="T2739" t="s">
        <v>776</v>
      </c>
    </row>
    <row r="2740" spans="1:20" x14ac:dyDescent="0.3">
      <c r="A2740">
        <v>2739</v>
      </c>
      <c r="B2740">
        <v>75</v>
      </c>
      <c r="C2740">
        <v>2</v>
      </c>
      <c r="D2740">
        <v>149.6</v>
      </c>
      <c r="E2740">
        <v>14.96</v>
      </c>
      <c r="F2740">
        <v>0</v>
      </c>
      <c r="G2740">
        <v>0.1</v>
      </c>
      <c r="H2740" t="s">
        <v>622</v>
      </c>
      <c r="J2740" t="s">
        <v>623</v>
      </c>
      <c r="K2740" s="1"/>
      <c r="L2740" s="1">
        <v>46279.59883101852</v>
      </c>
      <c r="M2740" s="2">
        <v>46279</v>
      </c>
      <c r="N2740" t="s">
        <v>642</v>
      </c>
      <c r="O2740" t="s">
        <v>625</v>
      </c>
      <c r="P2740">
        <v>1</v>
      </c>
      <c r="Q2740">
        <v>0</v>
      </c>
      <c r="R2740">
        <v>149.6</v>
      </c>
      <c r="S2740" t="s">
        <v>146</v>
      </c>
      <c r="T2740" t="s">
        <v>776</v>
      </c>
    </row>
    <row r="2741" spans="1:20" x14ac:dyDescent="0.3">
      <c r="A2741">
        <v>2740</v>
      </c>
      <c r="B2741">
        <v>229</v>
      </c>
      <c r="C2741">
        <v>4</v>
      </c>
      <c r="D2741">
        <v>96.75</v>
      </c>
      <c r="E2741">
        <v>9.68</v>
      </c>
      <c r="F2741">
        <v>0</v>
      </c>
      <c r="G2741">
        <v>0.1</v>
      </c>
      <c r="H2741" t="s">
        <v>622</v>
      </c>
      <c r="J2741" t="s">
        <v>623</v>
      </c>
      <c r="K2741" s="1"/>
      <c r="L2741" s="1">
        <v>46279.625775462962</v>
      </c>
      <c r="M2741" s="2">
        <v>46279</v>
      </c>
      <c r="N2741" t="s">
        <v>642</v>
      </c>
      <c r="O2741" t="s">
        <v>625</v>
      </c>
      <c r="P2741">
        <v>1</v>
      </c>
      <c r="Q2741">
        <v>0</v>
      </c>
      <c r="R2741">
        <v>96.75</v>
      </c>
      <c r="S2741" t="s">
        <v>453</v>
      </c>
      <c r="T2741" t="s">
        <v>778</v>
      </c>
    </row>
    <row r="2742" spans="1:20" x14ac:dyDescent="0.3">
      <c r="A2742">
        <v>2741</v>
      </c>
      <c r="B2742">
        <v>250</v>
      </c>
      <c r="C2742">
        <v>5</v>
      </c>
      <c r="D2742">
        <v>126.7</v>
      </c>
      <c r="E2742">
        <v>12.67</v>
      </c>
      <c r="F2742">
        <v>0</v>
      </c>
      <c r="G2742">
        <v>0.1</v>
      </c>
      <c r="H2742" t="s">
        <v>622</v>
      </c>
      <c r="J2742" t="s">
        <v>623</v>
      </c>
      <c r="K2742" s="1"/>
      <c r="L2742" s="1">
        <v>46279.672372685185</v>
      </c>
      <c r="M2742" s="2">
        <v>46279</v>
      </c>
      <c r="N2742" t="s">
        <v>642</v>
      </c>
      <c r="O2742" t="s">
        <v>625</v>
      </c>
      <c r="P2742">
        <v>1</v>
      </c>
      <c r="Q2742">
        <v>0</v>
      </c>
      <c r="R2742">
        <v>126.7</v>
      </c>
      <c r="S2742" t="s">
        <v>495</v>
      </c>
      <c r="T2742" t="s">
        <v>779</v>
      </c>
    </row>
    <row r="2743" spans="1:20" x14ac:dyDescent="0.3">
      <c r="A2743">
        <v>2742</v>
      </c>
      <c r="B2743">
        <v>229</v>
      </c>
      <c r="C2743">
        <v>3</v>
      </c>
      <c r="D2743">
        <v>51.67</v>
      </c>
      <c r="E2743">
        <v>5.17</v>
      </c>
      <c r="F2743">
        <v>0</v>
      </c>
      <c r="G2743">
        <v>0.1</v>
      </c>
      <c r="H2743" t="s">
        <v>622</v>
      </c>
      <c r="J2743" t="s">
        <v>623</v>
      </c>
      <c r="K2743" s="1"/>
      <c r="L2743" s="1">
        <v>46279.692511574074</v>
      </c>
      <c r="M2743" s="2">
        <v>46279</v>
      </c>
      <c r="N2743" t="s">
        <v>642</v>
      </c>
      <c r="O2743" t="s">
        <v>625</v>
      </c>
      <c r="P2743">
        <v>1</v>
      </c>
      <c r="Q2743">
        <v>0</v>
      </c>
      <c r="R2743">
        <v>51.67</v>
      </c>
      <c r="S2743" t="s">
        <v>453</v>
      </c>
      <c r="T2743" t="s">
        <v>777</v>
      </c>
    </row>
    <row r="2744" spans="1:20" x14ac:dyDescent="0.3">
      <c r="A2744">
        <v>2743</v>
      </c>
      <c r="B2744">
        <v>230</v>
      </c>
      <c r="C2744">
        <v>2</v>
      </c>
      <c r="D2744">
        <v>165.8</v>
      </c>
      <c r="E2744">
        <v>16.579999999999998</v>
      </c>
      <c r="F2744">
        <v>0</v>
      </c>
      <c r="G2744">
        <v>0.1</v>
      </c>
      <c r="H2744" t="s">
        <v>622</v>
      </c>
      <c r="J2744" t="s">
        <v>623</v>
      </c>
      <c r="K2744" s="1"/>
      <c r="L2744" s="1">
        <v>46279.746435185189</v>
      </c>
      <c r="M2744" s="2">
        <v>46279</v>
      </c>
      <c r="N2744" t="s">
        <v>642</v>
      </c>
      <c r="O2744" t="s">
        <v>625</v>
      </c>
      <c r="P2744">
        <v>1</v>
      </c>
      <c r="Q2744">
        <v>0</v>
      </c>
      <c r="R2744">
        <v>165.8</v>
      </c>
      <c r="S2744" t="s">
        <v>455</v>
      </c>
      <c r="T2744" t="s">
        <v>776</v>
      </c>
    </row>
    <row r="2745" spans="1:20" x14ac:dyDescent="0.3">
      <c r="A2745">
        <v>2744</v>
      </c>
      <c r="B2745">
        <v>201</v>
      </c>
      <c r="C2745">
        <v>3</v>
      </c>
      <c r="D2745">
        <v>28.47</v>
      </c>
      <c r="E2745">
        <v>0</v>
      </c>
      <c r="F2745">
        <v>1</v>
      </c>
      <c r="G2745">
        <v>0.1</v>
      </c>
      <c r="H2745" t="s">
        <v>622</v>
      </c>
      <c r="J2745" t="s">
        <v>623</v>
      </c>
      <c r="K2745" s="1"/>
      <c r="L2745" s="1">
        <v>46279.800185185188</v>
      </c>
      <c r="M2745" s="2">
        <v>46279</v>
      </c>
      <c r="N2745" t="s">
        <v>642</v>
      </c>
      <c r="O2745" t="s">
        <v>629</v>
      </c>
      <c r="P2745">
        <v>1</v>
      </c>
      <c r="Q2745">
        <v>0</v>
      </c>
      <c r="R2745">
        <v>28.47</v>
      </c>
      <c r="S2745" t="s">
        <v>397</v>
      </c>
      <c r="T2745" t="s">
        <v>777</v>
      </c>
    </row>
    <row r="2746" spans="1:20" x14ac:dyDescent="0.3">
      <c r="A2746">
        <v>2745</v>
      </c>
      <c r="B2746">
        <v>134</v>
      </c>
      <c r="C2746">
        <v>2</v>
      </c>
      <c r="D2746">
        <v>90.34</v>
      </c>
      <c r="E2746">
        <v>9.0299999999999994</v>
      </c>
      <c r="F2746">
        <v>0</v>
      </c>
      <c r="G2746">
        <v>0.1</v>
      </c>
      <c r="H2746" t="s">
        <v>622</v>
      </c>
      <c r="J2746" t="s">
        <v>623</v>
      </c>
      <c r="K2746" s="1"/>
      <c r="L2746" s="1">
        <v>46279.831516203703</v>
      </c>
      <c r="M2746" s="2">
        <v>46279</v>
      </c>
      <c r="N2746" t="s">
        <v>642</v>
      </c>
      <c r="O2746" t="s">
        <v>625</v>
      </c>
      <c r="P2746">
        <v>1</v>
      </c>
      <c r="Q2746">
        <v>0</v>
      </c>
      <c r="R2746">
        <v>90.34</v>
      </c>
      <c r="S2746" t="s">
        <v>263</v>
      </c>
      <c r="T2746" t="s">
        <v>776</v>
      </c>
    </row>
    <row r="2747" spans="1:20" x14ac:dyDescent="0.3">
      <c r="A2747">
        <v>2746</v>
      </c>
      <c r="B2747">
        <v>136</v>
      </c>
      <c r="C2747">
        <v>5</v>
      </c>
      <c r="D2747">
        <v>214.45</v>
      </c>
      <c r="E2747">
        <v>21.45</v>
      </c>
      <c r="F2747">
        <v>0</v>
      </c>
      <c r="G2747">
        <v>0.1</v>
      </c>
      <c r="H2747" t="s">
        <v>622</v>
      </c>
      <c r="J2747" t="s">
        <v>623</v>
      </c>
      <c r="K2747" s="1"/>
      <c r="L2747" s="1">
        <v>46280.304131944446</v>
      </c>
      <c r="M2747" s="2">
        <v>46280</v>
      </c>
      <c r="N2747" t="s">
        <v>642</v>
      </c>
      <c r="O2747" t="s">
        <v>625</v>
      </c>
      <c r="P2747">
        <v>1</v>
      </c>
      <c r="Q2747">
        <v>0</v>
      </c>
      <c r="R2747">
        <v>214.45</v>
      </c>
      <c r="S2747" t="s">
        <v>267</v>
      </c>
      <c r="T2747" t="s">
        <v>779</v>
      </c>
    </row>
    <row r="2748" spans="1:20" x14ac:dyDescent="0.3">
      <c r="A2748">
        <v>2747</v>
      </c>
      <c r="B2748">
        <v>288</v>
      </c>
      <c r="C2748">
        <v>4</v>
      </c>
      <c r="D2748">
        <v>32.270000000000003</v>
      </c>
      <c r="E2748">
        <v>3.23</v>
      </c>
      <c r="F2748">
        <v>0</v>
      </c>
      <c r="G2748">
        <v>0.1</v>
      </c>
      <c r="H2748" t="s">
        <v>622</v>
      </c>
      <c r="J2748" t="s">
        <v>623</v>
      </c>
      <c r="K2748" s="1"/>
      <c r="L2748" s="1">
        <v>46280.359490740739</v>
      </c>
      <c r="M2748" s="2">
        <v>46280</v>
      </c>
      <c r="N2748" t="s">
        <v>642</v>
      </c>
      <c r="O2748" t="s">
        <v>625</v>
      </c>
      <c r="P2748">
        <v>1</v>
      </c>
      <c r="Q2748">
        <v>0</v>
      </c>
      <c r="R2748">
        <v>32.270000000000003</v>
      </c>
      <c r="S2748" t="s">
        <v>571</v>
      </c>
      <c r="T2748" t="s">
        <v>778</v>
      </c>
    </row>
    <row r="2749" spans="1:20" x14ac:dyDescent="0.3">
      <c r="A2749">
        <v>2748</v>
      </c>
      <c r="B2749">
        <v>299</v>
      </c>
      <c r="C2749">
        <v>5</v>
      </c>
      <c r="D2749">
        <v>220</v>
      </c>
      <c r="E2749">
        <v>22</v>
      </c>
      <c r="F2749">
        <v>0</v>
      </c>
      <c r="G2749">
        <v>0.1</v>
      </c>
      <c r="H2749" t="s">
        <v>622</v>
      </c>
      <c r="J2749" t="s">
        <v>623</v>
      </c>
      <c r="K2749" s="1"/>
      <c r="L2749" s="1">
        <v>46280.40111111111</v>
      </c>
      <c r="M2749" s="2">
        <v>46280</v>
      </c>
      <c r="N2749" t="s">
        <v>642</v>
      </c>
      <c r="O2749" t="s">
        <v>625</v>
      </c>
      <c r="P2749">
        <v>1</v>
      </c>
      <c r="Q2749">
        <v>0</v>
      </c>
      <c r="R2749">
        <v>220</v>
      </c>
      <c r="S2749" t="s">
        <v>593</v>
      </c>
      <c r="T2749" t="s">
        <v>779</v>
      </c>
    </row>
    <row r="2750" spans="1:20" x14ac:dyDescent="0.3">
      <c r="A2750">
        <v>2749</v>
      </c>
      <c r="B2750">
        <v>121</v>
      </c>
      <c r="C2750">
        <v>4</v>
      </c>
      <c r="D2750">
        <v>39.130000000000003</v>
      </c>
      <c r="E2750">
        <v>3.91</v>
      </c>
      <c r="F2750">
        <v>0</v>
      </c>
      <c r="G2750">
        <v>0.1</v>
      </c>
      <c r="H2750" t="s">
        <v>622</v>
      </c>
      <c r="J2750" t="s">
        <v>623</v>
      </c>
      <c r="K2750" s="1"/>
      <c r="L2750" s="1">
        <v>46280.69672453704</v>
      </c>
      <c r="M2750" s="2">
        <v>46280</v>
      </c>
      <c r="N2750" t="s">
        <v>642</v>
      </c>
      <c r="O2750" t="s">
        <v>625</v>
      </c>
      <c r="P2750">
        <v>1</v>
      </c>
      <c r="Q2750">
        <v>0</v>
      </c>
      <c r="R2750">
        <v>39.130000000000003</v>
      </c>
      <c r="S2750" t="s">
        <v>237</v>
      </c>
      <c r="T2750" t="s">
        <v>778</v>
      </c>
    </row>
    <row r="2751" spans="1:20" x14ac:dyDescent="0.3">
      <c r="A2751">
        <v>2750</v>
      </c>
      <c r="B2751">
        <v>250</v>
      </c>
      <c r="C2751">
        <v>2</v>
      </c>
      <c r="D2751">
        <v>220</v>
      </c>
      <c r="E2751">
        <v>22</v>
      </c>
      <c r="F2751">
        <v>0</v>
      </c>
      <c r="G2751">
        <v>0.1</v>
      </c>
      <c r="H2751" t="s">
        <v>622</v>
      </c>
      <c r="J2751" t="s">
        <v>623</v>
      </c>
      <c r="K2751" s="1"/>
      <c r="L2751" s="1">
        <v>46280.721643518518</v>
      </c>
      <c r="M2751" s="2">
        <v>46280</v>
      </c>
      <c r="N2751" t="s">
        <v>642</v>
      </c>
      <c r="O2751" t="s">
        <v>625</v>
      </c>
      <c r="P2751">
        <v>1</v>
      </c>
      <c r="Q2751">
        <v>0</v>
      </c>
      <c r="R2751">
        <v>220</v>
      </c>
      <c r="S2751" t="s">
        <v>495</v>
      </c>
      <c r="T2751" t="s">
        <v>776</v>
      </c>
    </row>
    <row r="2752" spans="1:20" x14ac:dyDescent="0.3">
      <c r="A2752">
        <v>2751</v>
      </c>
      <c r="B2752">
        <v>136</v>
      </c>
      <c r="C2752">
        <v>2</v>
      </c>
      <c r="D2752">
        <v>125.48</v>
      </c>
      <c r="E2752">
        <v>0</v>
      </c>
      <c r="F2752">
        <v>1</v>
      </c>
      <c r="G2752">
        <v>0.1</v>
      </c>
      <c r="H2752" t="s">
        <v>622</v>
      </c>
      <c r="J2752" t="s">
        <v>623</v>
      </c>
      <c r="K2752" s="1"/>
      <c r="L2752" s="1">
        <v>46280.796365740738</v>
      </c>
      <c r="M2752" s="2">
        <v>46280</v>
      </c>
      <c r="N2752" t="s">
        <v>642</v>
      </c>
      <c r="O2752" t="s">
        <v>629</v>
      </c>
      <c r="P2752">
        <v>1</v>
      </c>
      <c r="Q2752">
        <v>0</v>
      </c>
      <c r="R2752">
        <v>125.48</v>
      </c>
      <c r="S2752" t="s">
        <v>267</v>
      </c>
      <c r="T2752" t="s">
        <v>776</v>
      </c>
    </row>
    <row r="2753" spans="1:20" x14ac:dyDescent="0.3">
      <c r="A2753">
        <v>2752</v>
      </c>
      <c r="B2753">
        <v>156</v>
      </c>
      <c r="C2753">
        <v>5</v>
      </c>
      <c r="D2753">
        <v>34.26</v>
      </c>
      <c r="E2753">
        <v>3.43</v>
      </c>
      <c r="F2753">
        <v>0</v>
      </c>
      <c r="G2753">
        <v>0.1</v>
      </c>
      <c r="H2753" t="s">
        <v>626</v>
      </c>
      <c r="I2753">
        <v>4</v>
      </c>
      <c r="J2753" t="s">
        <v>628</v>
      </c>
      <c r="K2753" s="1">
        <v>46281.946423611109</v>
      </c>
      <c r="L2753" s="1">
        <v>46280.821423611109</v>
      </c>
      <c r="M2753" s="2">
        <v>46280</v>
      </c>
      <c r="N2753" t="s">
        <v>642</v>
      </c>
      <c r="O2753" t="s">
        <v>625</v>
      </c>
      <c r="P2753">
        <v>1</v>
      </c>
      <c r="Q2753">
        <v>1</v>
      </c>
      <c r="R2753">
        <v>0</v>
      </c>
      <c r="S2753" t="s">
        <v>307</v>
      </c>
      <c r="T2753" t="s">
        <v>779</v>
      </c>
    </row>
    <row r="2754" spans="1:20" x14ac:dyDescent="0.3">
      <c r="A2754">
        <v>2753</v>
      </c>
      <c r="B2754">
        <v>245</v>
      </c>
      <c r="C2754">
        <v>4</v>
      </c>
      <c r="D2754">
        <v>40.659999999999997</v>
      </c>
      <c r="E2754">
        <v>4.07</v>
      </c>
      <c r="F2754">
        <v>0</v>
      </c>
      <c r="G2754">
        <v>0.1</v>
      </c>
      <c r="H2754" t="s">
        <v>622</v>
      </c>
      <c r="J2754" t="s">
        <v>623</v>
      </c>
      <c r="K2754" s="1"/>
      <c r="L2754" s="1">
        <v>46281.305069444446</v>
      </c>
      <c r="M2754" s="2">
        <v>46281</v>
      </c>
      <c r="N2754" t="s">
        <v>642</v>
      </c>
      <c r="O2754" t="s">
        <v>625</v>
      </c>
      <c r="P2754">
        <v>1</v>
      </c>
      <c r="Q2754">
        <v>0</v>
      </c>
      <c r="R2754">
        <v>40.659999999999997</v>
      </c>
      <c r="S2754" t="s">
        <v>485</v>
      </c>
      <c r="T2754" t="s">
        <v>778</v>
      </c>
    </row>
    <row r="2755" spans="1:20" x14ac:dyDescent="0.3">
      <c r="A2755">
        <v>2754</v>
      </c>
      <c r="B2755">
        <v>65</v>
      </c>
      <c r="C2755">
        <v>4</v>
      </c>
      <c r="D2755">
        <v>30.16</v>
      </c>
      <c r="E2755">
        <v>0</v>
      </c>
      <c r="F2755">
        <v>1</v>
      </c>
      <c r="G2755">
        <v>0.1</v>
      </c>
      <c r="H2755" t="s">
        <v>622</v>
      </c>
      <c r="J2755" t="s">
        <v>623</v>
      </c>
      <c r="K2755" s="1"/>
      <c r="L2755" s="1">
        <v>46281.310694444444</v>
      </c>
      <c r="M2755" s="2">
        <v>46281</v>
      </c>
      <c r="N2755" t="s">
        <v>642</v>
      </c>
      <c r="O2755" t="s">
        <v>629</v>
      </c>
      <c r="P2755">
        <v>1</v>
      </c>
      <c r="Q2755">
        <v>0</v>
      </c>
      <c r="R2755">
        <v>30.16</v>
      </c>
      <c r="S2755" t="s">
        <v>126</v>
      </c>
      <c r="T2755" t="s">
        <v>778</v>
      </c>
    </row>
    <row r="2756" spans="1:20" x14ac:dyDescent="0.3">
      <c r="A2756">
        <v>2755</v>
      </c>
      <c r="B2756">
        <v>44</v>
      </c>
      <c r="C2756">
        <v>3</v>
      </c>
      <c r="D2756">
        <v>35.840000000000003</v>
      </c>
      <c r="E2756">
        <v>3.58</v>
      </c>
      <c r="F2756">
        <v>0</v>
      </c>
      <c r="G2756">
        <v>0.1</v>
      </c>
      <c r="H2756" t="s">
        <v>622</v>
      </c>
      <c r="J2756" t="s">
        <v>623</v>
      </c>
      <c r="K2756" s="1"/>
      <c r="L2756" s="1">
        <v>46281.325995370367</v>
      </c>
      <c r="M2756" s="2">
        <v>46281</v>
      </c>
      <c r="N2756" t="s">
        <v>642</v>
      </c>
      <c r="O2756" t="s">
        <v>625</v>
      </c>
      <c r="P2756">
        <v>1</v>
      </c>
      <c r="Q2756">
        <v>0</v>
      </c>
      <c r="R2756">
        <v>35.840000000000003</v>
      </c>
      <c r="S2756" t="s">
        <v>84</v>
      </c>
      <c r="T2756" t="s">
        <v>777</v>
      </c>
    </row>
    <row r="2757" spans="1:20" x14ac:dyDescent="0.3">
      <c r="A2757">
        <v>2756</v>
      </c>
      <c r="B2757">
        <v>24</v>
      </c>
      <c r="C2757">
        <v>5</v>
      </c>
      <c r="D2757">
        <v>130.4</v>
      </c>
      <c r="E2757">
        <v>13.04</v>
      </c>
      <c r="F2757">
        <v>0</v>
      </c>
      <c r="G2757">
        <v>0.1</v>
      </c>
      <c r="H2757" t="s">
        <v>622</v>
      </c>
      <c r="J2757" t="s">
        <v>623</v>
      </c>
      <c r="K2757" s="1"/>
      <c r="L2757" s="1">
        <v>46281.453761574077</v>
      </c>
      <c r="M2757" s="2">
        <v>46281</v>
      </c>
      <c r="N2757" t="s">
        <v>642</v>
      </c>
      <c r="O2757" t="s">
        <v>625</v>
      </c>
      <c r="P2757">
        <v>1</v>
      </c>
      <c r="Q2757">
        <v>0</v>
      </c>
      <c r="R2757">
        <v>130.4</v>
      </c>
      <c r="S2757" t="s">
        <v>44</v>
      </c>
      <c r="T2757" t="s">
        <v>779</v>
      </c>
    </row>
    <row r="2758" spans="1:20" x14ac:dyDescent="0.3">
      <c r="A2758">
        <v>2757</v>
      </c>
      <c r="B2758">
        <v>134</v>
      </c>
      <c r="C2758">
        <v>2</v>
      </c>
      <c r="D2758">
        <v>53.07</v>
      </c>
      <c r="E2758">
        <v>0</v>
      </c>
      <c r="F2758">
        <v>1</v>
      </c>
      <c r="G2758">
        <v>0.1</v>
      </c>
      <c r="H2758" t="s">
        <v>622</v>
      </c>
      <c r="J2758" t="s">
        <v>623</v>
      </c>
      <c r="K2758" s="1"/>
      <c r="L2758" s="1">
        <v>46281.525497685187</v>
      </c>
      <c r="M2758" s="2">
        <v>46281</v>
      </c>
      <c r="N2758" t="s">
        <v>642</v>
      </c>
      <c r="O2758" t="s">
        <v>629</v>
      </c>
      <c r="P2758">
        <v>1</v>
      </c>
      <c r="Q2758">
        <v>0</v>
      </c>
      <c r="R2758">
        <v>53.07</v>
      </c>
      <c r="S2758" t="s">
        <v>263</v>
      </c>
      <c r="T2758" t="s">
        <v>776</v>
      </c>
    </row>
    <row r="2759" spans="1:20" x14ac:dyDescent="0.3">
      <c r="A2759">
        <v>2758</v>
      </c>
      <c r="B2759">
        <v>228</v>
      </c>
      <c r="C2759">
        <v>3</v>
      </c>
      <c r="D2759">
        <v>87.99</v>
      </c>
      <c r="E2759">
        <v>8.8000000000000007</v>
      </c>
      <c r="F2759">
        <v>0</v>
      </c>
      <c r="G2759">
        <v>0.1</v>
      </c>
      <c r="H2759" t="s">
        <v>622</v>
      </c>
      <c r="J2759" t="s">
        <v>623</v>
      </c>
      <c r="K2759" s="1"/>
      <c r="L2759" s="1">
        <v>46281.653738425928</v>
      </c>
      <c r="M2759" s="2">
        <v>46281</v>
      </c>
      <c r="N2759" t="s">
        <v>642</v>
      </c>
      <c r="O2759" t="s">
        <v>625</v>
      </c>
      <c r="P2759">
        <v>1</v>
      </c>
      <c r="Q2759">
        <v>0</v>
      </c>
      <c r="R2759">
        <v>87.99</v>
      </c>
      <c r="S2759" t="s">
        <v>451</v>
      </c>
      <c r="T2759" t="s">
        <v>777</v>
      </c>
    </row>
    <row r="2760" spans="1:20" x14ac:dyDescent="0.3">
      <c r="A2760">
        <v>2759</v>
      </c>
      <c r="B2760">
        <v>186</v>
      </c>
      <c r="C2760">
        <v>4</v>
      </c>
      <c r="D2760">
        <v>99.04</v>
      </c>
      <c r="E2760">
        <v>9.9</v>
      </c>
      <c r="F2760">
        <v>0</v>
      </c>
      <c r="G2760">
        <v>0.1</v>
      </c>
      <c r="H2760" t="s">
        <v>622</v>
      </c>
      <c r="J2760" t="s">
        <v>623</v>
      </c>
      <c r="K2760" s="1"/>
      <c r="L2760" s="1">
        <v>46282.344236111108</v>
      </c>
      <c r="M2760" s="2">
        <v>46282</v>
      </c>
      <c r="N2760" t="s">
        <v>642</v>
      </c>
      <c r="O2760" t="s">
        <v>625</v>
      </c>
      <c r="P2760">
        <v>1</v>
      </c>
      <c r="Q2760">
        <v>0</v>
      </c>
      <c r="R2760">
        <v>99.04</v>
      </c>
      <c r="S2760" t="s">
        <v>367</v>
      </c>
      <c r="T2760" t="s">
        <v>778</v>
      </c>
    </row>
    <row r="2761" spans="1:20" x14ac:dyDescent="0.3">
      <c r="A2761">
        <v>2760</v>
      </c>
      <c r="B2761">
        <v>285</v>
      </c>
      <c r="C2761">
        <v>5</v>
      </c>
      <c r="D2761">
        <v>29.08</v>
      </c>
      <c r="E2761">
        <v>2.91</v>
      </c>
      <c r="F2761">
        <v>0</v>
      </c>
      <c r="G2761">
        <v>0.1</v>
      </c>
      <c r="H2761" t="s">
        <v>622</v>
      </c>
      <c r="J2761" t="s">
        <v>623</v>
      </c>
      <c r="K2761" s="1"/>
      <c r="L2761" s="1">
        <v>46282.361655092594</v>
      </c>
      <c r="M2761" s="2">
        <v>46282</v>
      </c>
      <c r="N2761" t="s">
        <v>642</v>
      </c>
      <c r="O2761" t="s">
        <v>625</v>
      </c>
      <c r="P2761">
        <v>1</v>
      </c>
      <c r="Q2761">
        <v>0</v>
      </c>
      <c r="R2761">
        <v>29.08</v>
      </c>
      <c r="S2761" t="s">
        <v>565</v>
      </c>
      <c r="T2761" t="s">
        <v>779</v>
      </c>
    </row>
    <row r="2762" spans="1:20" x14ac:dyDescent="0.3">
      <c r="A2762">
        <v>2761</v>
      </c>
      <c r="B2762">
        <v>204</v>
      </c>
      <c r="C2762">
        <v>5</v>
      </c>
      <c r="D2762">
        <v>84.51</v>
      </c>
      <c r="E2762">
        <v>8.4499999999999993</v>
      </c>
      <c r="F2762">
        <v>0</v>
      </c>
      <c r="G2762">
        <v>0.1</v>
      </c>
      <c r="H2762" t="s">
        <v>622</v>
      </c>
      <c r="J2762" t="s">
        <v>623</v>
      </c>
      <c r="K2762" s="1"/>
      <c r="L2762" s="1">
        <v>46282.482974537037</v>
      </c>
      <c r="M2762" s="2">
        <v>46282</v>
      </c>
      <c r="N2762" t="s">
        <v>642</v>
      </c>
      <c r="O2762" t="s">
        <v>625</v>
      </c>
      <c r="P2762">
        <v>1</v>
      </c>
      <c r="Q2762">
        <v>0</v>
      </c>
      <c r="R2762">
        <v>84.51</v>
      </c>
      <c r="S2762" t="s">
        <v>403</v>
      </c>
      <c r="T2762" t="s">
        <v>779</v>
      </c>
    </row>
    <row r="2763" spans="1:20" x14ac:dyDescent="0.3">
      <c r="A2763">
        <v>2762</v>
      </c>
      <c r="B2763">
        <v>133</v>
      </c>
      <c r="C2763">
        <v>5</v>
      </c>
      <c r="D2763">
        <v>60.83</v>
      </c>
      <c r="E2763">
        <v>6.08</v>
      </c>
      <c r="F2763">
        <v>0</v>
      </c>
      <c r="G2763">
        <v>0.1</v>
      </c>
      <c r="H2763" t="s">
        <v>622</v>
      </c>
      <c r="J2763" t="s">
        <v>623</v>
      </c>
      <c r="K2763" s="1"/>
      <c r="L2763" s="1">
        <v>46282.54277777778</v>
      </c>
      <c r="M2763" s="2">
        <v>46282</v>
      </c>
      <c r="N2763" t="s">
        <v>642</v>
      </c>
      <c r="O2763" t="s">
        <v>625</v>
      </c>
      <c r="P2763">
        <v>1</v>
      </c>
      <c r="Q2763">
        <v>0</v>
      </c>
      <c r="R2763">
        <v>60.83</v>
      </c>
      <c r="S2763" t="s">
        <v>261</v>
      </c>
      <c r="T2763" t="s">
        <v>779</v>
      </c>
    </row>
    <row r="2764" spans="1:20" x14ac:dyDescent="0.3">
      <c r="A2764">
        <v>2763</v>
      </c>
      <c r="B2764">
        <v>70</v>
      </c>
      <c r="C2764">
        <v>2</v>
      </c>
      <c r="D2764">
        <v>170.14</v>
      </c>
      <c r="E2764">
        <v>17.010000000000002</v>
      </c>
      <c r="F2764">
        <v>0</v>
      </c>
      <c r="G2764">
        <v>0.1</v>
      </c>
      <c r="H2764" t="s">
        <v>626</v>
      </c>
      <c r="I2764">
        <v>2</v>
      </c>
      <c r="J2764" t="s">
        <v>632</v>
      </c>
      <c r="K2764" s="1">
        <v>46283.378159722219</v>
      </c>
      <c r="L2764" s="1">
        <v>46282.54482638889</v>
      </c>
      <c r="M2764" s="2">
        <v>46282</v>
      </c>
      <c r="N2764" t="s">
        <v>642</v>
      </c>
      <c r="O2764" t="s">
        <v>625</v>
      </c>
      <c r="P2764">
        <v>1</v>
      </c>
      <c r="Q2764">
        <v>1</v>
      </c>
      <c r="R2764">
        <v>0</v>
      </c>
      <c r="S2764" t="s">
        <v>136</v>
      </c>
      <c r="T2764" t="s">
        <v>776</v>
      </c>
    </row>
    <row r="2765" spans="1:20" x14ac:dyDescent="0.3">
      <c r="A2765">
        <v>2764</v>
      </c>
      <c r="B2765">
        <v>25</v>
      </c>
      <c r="C2765">
        <v>3</v>
      </c>
      <c r="D2765">
        <v>88.25</v>
      </c>
      <c r="E2765">
        <v>8.83</v>
      </c>
      <c r="F2765">
        <v>0</v>
      </c>
      <c r="G2765">
        <v>0.1</v>
      </c>
      <c r="H2765" t="s">
        <v>622</v>
      </c>
      <c r="J2765" t="s">
        <v>623</v>
      </c>
      <c r="K2765" s="1"/>
      <c r="L2765" s="1">
        <v>46282.726412037038</v>
      </c>
      <c r="M2765" s="2">
        <v>46282</v>
      </c>
      <c r="N2765" t="s">
        <v>642</v>
      </c>
      <c r="O2765" t="s">
        <v>625</v>
      </c>
      <c r="P2765">
        <v>1</v>
      </c>
      <c r="Q2765">
        <v>0</v>
      </c>
      <c r="R2765">
        <v>88.25</v>
      </c>
      <c r="S2765" t="s">
        <v>46</v>
      </c>
      <c r="T2765" t="s">
        <v>777</v>
      </c>
    </row>
    <row r="2766" spans="1:20" x14ac:dyDescent="0.3">
      <c r="A2766">
        <v>2765</v>
      </c>
      <c r="B2766">
        <v>16</v>
      </c>
      <c r="C2766">
        <v>2</v>
      </c>
      <c r="D2766">
        <v>147.44</v>
      </c>
      <c r="E2766">
        <v>14.74</v>
      </c>
      <c r="F2766">
        <v>0</v>
      </c>
      <c r="G2766">
        <v>0.1</v>
      </c>
      <c r="H2766" t="s">
        <v>622</v>
      </c>
      <c r="J2766" t="s">
        <v>623</v>
      </c>
      <c r="K2766" s="1"/>
      <c r="L2766" s="1">
        <v>46282.747997685183</v>
      </c>
      <c r="M2766" s="2">
        <v>46282</v>
      </c>
      <c r="N2766" t="s">
        <v>642</v>
      </c>
      <c r="O2766" t="s">
        <v>625</v>
      </c>
      <c r="P2766">
        <v>1</v>
      </c>
      <c r="Q2766">
        <v>0</v>
      </c>
      <c r="R2766">
        <v>147.44</v>
      </c>
      <c r="S2766" t="s">
        <v>28</v>
      </c>
      <c r="T2766" t="s">
        <v>776</v>
      </c>
    </row>
    <row r="2767" spans="1:20" x14ac:dyDescent="0.3">
      <c r="A2767">
        <v>2766</v>
      </c>
      <c r="B2767">
        <v>258</v>
      </c>
      <c r="C2767">
        <v>2</v>
      </c>
      <c r="D2767">
        <v>20.68</v>
      </c>
      <c r="E2767">
        <v>2.0699999999999998</v>
      </c>
      <c r="F2767">
        <v>0</v>
      </c>
      <c r="G2767">
        <v>0.1</v>
      </c>
      <c r="H2767" t="s">
        <v>622</v>
      </c>
      <c r="J2767" t="s">
        <v>623</v>
      </c>
      <c r="K2767" s="1"/>
      <c r="L2767" s="1">
        <v>46283.33625</v>
      </c>
      <c r="M2767" s="2">
        <v>46283</v>
      </c>
      <c r="N2767" t="s">
        <v>642</v>
      </c>
      <c r="O2767" t="s">
        <v>625</v>
      </c>
      <c r="P2767">
        <v>1</v>
      </c>
      <c r="Q2767">
        <v>0</v>
      </c>
      <c r="R2767">
        <v>20.68</v>
      </c>
      <c r="S2767" t="s">
        <v>511</v>
      </c>
      <c r="T2767" t="s">
        <v>776</v>
      </c>
    </row>
    <row r="2768" spans="1:20" x14ac:dyDescent="0.3">
      <c r="A2768">
        <v>2767</v>
      </c>
      <c r="B2768">
        <v>285</v>
      </c>
      <c r="C2768">
        <v>4</v>
      </c>
      <c r="D2768">
        <v>23.75</v>
      </c>
      <c r="E2768">
        <v>2.38</v>
      </c>
      <c r="F2768">
        <v>0</v>
      </c>
      <c r="G2768">
        <v>0.1</v>
      </c>
      <c r="H2768" t="s">
        <v>622</v>
      </c>
      <c r="J2768" t="s">
        <v>623</v>
      </c>
      <c r="K2768" s="1"/>
      <c r="L2768" s="1">
        <v>46283.406469907408</v>
      </c>
      <c r="M2768" s="2">
        <v>46283</v>
      </c>
      <c r="N2768" t="s">
        <v>642</v>
      </c>
      <c r="O2768" t="s">
        <v>625</v>
      </c>
      <c r="P2768">
        <v>1</v>
      </c>
      <c r="Q2768">
        <v>0</v>
      </c>
      <c r="R2768">
        <v>23.75</v>
      </c>
      <c r="S2768" t="s">
        <v>565</v>
      </c>
      <c r="T2768" t="s">
        <v>778</v>
      </c>
    </row>
    <row r="2769" spans="1:20" x14ac:dyDescent="0.3">
      <c r="A2769">
        <v>2768</v>
      </c>
      <c r="B2769">
        <v>134</v>
      </c>
      <c r="C2769">
        <v>5</v>
      </c>
      <c r="D2769">
        <v>79.97</v>
      </c>
      <c r="E2769">
        <v>8</v>
      </c>
      <c r="F2769">
        <v>0</v>
      </c>
      <c r="G2769">
        <v>0.1</v>
      </c>
      <c r="H2769" t="s">
        <v>622</v>
      </c>
      <c r="J2769" t="s">
        <v>623</v>
      </c>
      <c r="K2769" s="1"/>
      <c r="L2769" s="1">
        <v>46283.449641203704</v>
      </c>
      <c r="M2769" s="2">
        <v>46283</v>
      </c>
      <c r="N2769" t="s">
        <v>642</v>
      </c>
      <c r="O2769" t="s">
        <v>625</v>
      </c>
      <c r="P2769">
        <v>1</v>
      </c>
      <c r="Q2769">
        <v>0</v>
      </c>
      <c r="R2769">
        <v>79.97</v>
      </c>
      <c r="S2769" t="s">
        <v>263</v>
      </c>
      <c r="T2769" t="s">
        <v>779</v>
      </c>
    </row>
    <row r="2770" spans="1:20" x14ac:dyDescent="0.3">
      <c r="A2770">
        <v>2769</v>
      </c>
      <c r="B2770">
        <v>156</v>
      </c>
      <c r="C2770">
        <v>4</v>
      </c>
      <c r="D2770">
        <v>21.5</v>
      </c>
      <c r="E2770">
        <v>2.15</v>
      </c>
      <c r="F2770">
        <v>0</v>
      </c>
      <c r="G2770">
        <v>0.1</v>
      </c>
      <c r="H2770" t="s">
        <v>622</v>
      </c>
      <c r="J2770" t="s">
        <v>623</v>
      </c>
      <c r="K2770" s="1"/>
      <c r="L2770" s="1">
        <v>46283.464687500003</v>
      </c>
      <c r="M2770" s="2">
        <v>46283</v>
      </c>
      <c r="N2770" t="s">
        <v>642</v>
      </c>
      <c r="O2770" t="s">
        <v>625</v>
      </c>
      <c r="P2770">
        <v>1</v>
      </c>
      <c r="Q2770">
        <v>0</v>
      </c>
      <c r="R2770">
        <v>21.5</v>
      </c>
      <c r="S2770" t="s">
        <v>307</v>
      </c>
      <c r="T2770" t="s">
        <v>778</v>
      </c>
    </row>
    <row r="2771" spans="1:20" x14ac:dyDescent="0.3">
      <c r="A2771">
        <v>2770</v>
      </c>
      <c r="B2771">
        <v>11</v>
      </c>
      <c r="C2771">
        <v>2</v>
      </c>
      <c r="D2771">
        <v>212.68</v>
      </c>
      <c r="E2771">
        <v>21.27</v>
      </c>
      <c r="F2771">
        <v>0</v>
      </c>
      <c r="G2771">
        <v>0.1</v>
      </c>
      <c r="H2771" t="s">
        <v>626</v>
      </c>
      <c r="I2771">
        <v>2</v>
      </c>
      <c r="J2771" t="s">
        <v>627</v>
      </c>
      <c r="K2771" s="1">
        <v>46285.614016203705</v>
      </c>
      <c r="L2771" s="1">
        <v>46283.614016203705</v>
      </c>
      <c r="M2771" s="2">
        <v>46283</v>
      </c>
      <c r="N2771" t="s">
        <v>642</v>
      </c>
      <c r="O2771" t="s">
        <v>625</v>
      </c>
      <c r="P2771">
        <v>1</v>
      </c>
      <c r="Q2771">
        <v>1</v>
      </c>
      <c r="R2771">
        <v>0</v>
      </c>
      <c r="S2771" t="s">
        <v>18</v>
      </c>
      <c r="T2771" t="s">
        <v>776</v>
      </c>
    </row>
    <row r="2772" spans="1:20" x14ac:dyDescent="0.3">
      <c r="A2772">
        <v>2771</v>
      </c>
      <c r="B2772">
        <v>164</v>
      </c>
      <c r="C2772">
        <v>5</v>
      </c>
      <c r="D2772">
        <v>21.33</v>
      </c>
      <c r="E2772">
        <v>2.13</v>
      </c>
      <c r="F2772">
        <v>0</v>
      </c>
      <c r="G2772">
        <v>0.1</v>
      </c>
      <c r="H2772" t="s">
        <v>622</v>
      </c>
      <c r="J2772" t="s">
        <v>623</v>
      </c>
      <c r="K2772" s="1"/>
      <c r="L2772" s="1">
        <v>46283.817361111112</v>
      </c>
      <c r="M2772" s="2">
        <v>46283</v>
      </c>
      <c r="N2772" t="s">
        <v>642</v>
      </c>
      <c r="O2772" t="s">
        <v>625</v>
      </c>
      <c r="P2772">
        <v>1</v>
      </c>
      <c r="Q2772">
        <v>0</v>
      </c>
      <c r="R2772">
        <v>21.33</v>
      </c>
      <c r="S2772" t="s">
        <v>323</v>
      </c>
      <c r="T2772" t="s">
        <v>779</v>
      </c>
    </row>
    <row r="2773" spans="1:20" x14ac:dyDescent="0.3">
      <c r="A2773">
        <v>2772</v>
      </c>
      <c r="B2773">
        <v>44</v>
      </c>
      <c r="C2773">
        <v>5</v>
      </c>
      <c r="D2773">
        <v>34.92</v>
      </c>
      <c r="E2773">
        <v>3.49</v>
      </c>
      <c r="F2773">
        <v>0</v>
      </c>
      <c r="G2773">
        <v>0.1</v>
      </c>
      <c r="H2773" t="s">
        <v>622</v>
      </c>
      <c r="J2773" t="s">
        <v>623</v>
      </c>
      <c r="K2773" s="1"/>
      <c r="L2773" s="1">
        <v>46284.39702546296</v>
      </c>
      <c r="M2773" s="2">
        <v>46284</v>
      </c>
      <c r="N2773" t="s">
        <v>642</v>
      </c>
      <c r="O2773" t="s">
        <v>625</v>
      </c>
      <c r="P2773">
        <v>1</v>
      </c>
      <c r="Q2773">
        <v>0</v>
      </c>
      <c r="R2773">
        <v>34.92</v>
      </c>
      <c r="S2773" t="s">
        <v>84</v>
      </c>
      <c r="T2773" t="s">
        <v>779</v>
      </c>
    </row>
    <row r="2774" spans="1:20" x14ac:dyDescent="0.3">
      <c r="A2774">
        <v>2773</v>
      </c>
      <c r="B2774">
        <v>250</v>
      </c>
      <c r="C2774">
        <v>5</v>
      </c>
      <c r="D2774">
        <v>96.85</v>
      </c>
      <c r="E2774">
        <v>9.69</v>
      </c>
      <c r="F2774">
        <v>0</v>
      </c>
      <c r="G2774">
        <v>0.1</v>
      </c>
      <c r="H2774" t="s">
        <v>622</v>
      </c>
      <c r="J2774" t="s">
        <v>623</v>
      </c>
      <c r="K2774" s="1"/>
      <c r="L2774" s="1">
        <v>46284.462696759256</v>
      </c>
      <c r="M2774" s="2">
        <v>46284</v>
      </c>
      <c r="N2774" t="s">
        <v>642</v>
      </c>
      <c r="O2774" t="s">
        <v>625</v>
      </c>
      <c r="P2774">
        <v>1</v>
      </c>
      <c r="Q2774">
        <v>0</v>
      </c>
      <c r="R2774">
        <v>96.85</v>
      </c>
      <c r="S2774" t="s">
        <v>495</v>
      </c>
      <c r="T2774" t="s">
        <v>779</v>
      </c>
    </row>
    <row r="2775" spans="1:20" x14ac:dyDescent="0.3">
      <c r="A2775">
        <v>2774</v>
      </c>
      <c r="B2775">
        <v>65</v>
      </c>
      <c r="C2775">
        <v>3</v>
      </c>
      <c r="D2775">
        <v>58.64</v>
      </c>
      <c r="E2775">
        <v>5.86</v>
      </c>
      <c r="F2775">
        <v>0</v>
      </c>
      <c r="G2775">
        <v>0.1</v>
      </c>
      <c r="H2775" t="s">
        <v>622</v>
      </c>
      <c r="J2775" t="s">
        <v>623</v>
      </c>
      <c r="K2775" s="1"/>
      <c r="L2775" s="1">
        <v>46284.480428240742</v>
      </c>
      <c r="M2775" s="2">
        <v>46284</v>
      </c>
      <c r="N2775" t="s">
        <v>642</v>
      </c>
      <c r="O2775" t="s">
        <v>625</v>
      </c>
      <c r="P2775">
        <v>1</v>
      </c>
      <c r="Q2775">
        <v>0</v>
      </c>
      <c r="R2775">
        <v>58.64</v>
      </c>
      <c r="S2775" t="s">
        <v>126</v>
      </c>
      <c r="T2775" t="s">
        <v>777</v>
      </c>
    </row>
    <row r="2776" spans="1:20" x14ac:dyDescent="0.3">
      <c r="A2776">
        <v>2775</v>
      </c>
      <c r="B2776">
        <v>106</v>
      </c>
      <c r="C2776">
        <v>4</v>
      </c>
      <c r="D2776">
        <v>99.75</v>
      </c>
      <c r="E2776">
        <v>0</v>
      </c>
      <c r="F2776">
        <v>1</v>
      </c>
      <c r="G2776">
        <v>0.1</v>
      </c>
      <c r="H2776" t="s">
        <v>622</v>
      </c>
      <c r="J2776" t="s">
        <v>623</v>
      </c>
      <c r="K2776" s="1"/>
      <c r="L2776" s="1">
        <v>46284.487743055557</v>
      </c>
      <c r="M2776" s="2">
        <v>46284</v>
      </c>
      <c r="N2776" t="s">
        <v>642</v>
      </c>
      <c r="O2776" t="s">
        <v>629</v>
      </c>
      <c r="P2776">
        <v>1</v>
      </c>
      <c r="Q2776">
        <v>0</v>
      </c>
      <c r="R2776">
        <v>99.75</v>
      </c>
      <c r="S2776" t="s">
        <v>207</v>
      </c>
      <c r="T2776" t="s">
        <v>778</v>
      </c>
    </row>
    <row r="2777" spans="1:20" x14ac:dyDescent="0.3">
      <c r="A2777">
        <v>2776</v>
      </c>
      <c r="B2777">
        <v>128</v>
      </c>
      <c r="C2777">
        <v>3</v>
      </c>
      <c r="D2777">
        <v>31.99</v>
      </c>
      <c r="E2777">
        <v>3.2</v>
      </c>
      <c r="F2777">
        <v>0</v>
      </c>
      <c r="G2777">
        <v>0.1</v>
      </c>
      <c r="H2777" t="s">
        <v>622</v>
      </c>
      <c r="J2777" t="s">
        <v>623</v>
      </c>
      <c r="K2777" s="1"/>
      <c r="L2777" s="1">
        <v>46284.555555555555</v>
      </c>
      <c r="M2777" s="2">
        <v>46284</v>
      </c>
      <c r="N2777" t="s">
        <v>642</v>
      </c>
      <c r="O2777" t="s">
        <v>625</v>
      </c>
      <c r="P2777">
        <v>1</v>
      </c>
      <c r="Q2777">
        <v>0</v>
      </c>
      <c r="R2777">
        <v>31.99</v>
      </c>
      <c r="S2777" t="s">
        <v>251</v>
      </c>
      <c r="T2777" t="s">
        <v>777</v>
      </c>
    </row>
    <row r="2778" spans="1:20" x14ac:dyDescent="0.3">
      <c r="A2778">
        <v>2777</v>
      </c>
      <c r="B2778">
        <v>75</v>
      </c>
      <c r="C2778">
        <v>2</v>
      </c>
      <c r="D2778">
        <v>65.05</v>
      </c>
      <c r="E2778">
        <v>0</v>
      </c>
      <c r="F2778">
        <v>1</v>
      </c>
      <c r="G2778">
        <v>0.1</v>
      </c>
      <c r="H2778" t="s">
        <v>622</v>
      </c>
      <c r="J2778" t="s">
        <v>623</v>
      </c>
      <c r="K2778" s="1"/>
      <c r="L2778" s="1">
        <v>46284.644918981481</v>
      </c>
      <c r="M2778" s="2">
        <v>46284</v>
      </c>
      <c r="N2778" t="s">
        <v>642</v>
      </c>
      <c r="O2778" t="s">
        <v>629</v>
      </c>
      <c r="P2778">
        <v>1</v>
      </c>
      <c r="Q2778">
        <v>0</v>
      </c>
      <c r="R2778">
        <v>65.05</v>
      </c>
      <c r="S2778" t="s">
        <v>146</v>
      </c>
      <c r="T2778" t="s">
        <v>776</v>
      </c>
    </row>
    <row r="2779" spans="1:20" x14ac:dyDescent="0.3">
      <c r="A2779">
        <v>2778</v>
      </c>
      <c r="B2779">
        <v>43</v>
      </c>
      <c r="C2779">
        <v>3</v>
      </c>
      <c r="D2779">
        <v>82.15</v>
      </c>
      <c r="E2779">
        <v>8.2200000000000006</v>
      </c>
      <c r="F2779">
        <v>0</v>
      </c>
      <c r="G2779">
        <v>0.1</v>
      </c>
      <c r="H2779" t="s">
        <v>622</v>
      </c>
      <c r="J2779" t="s">
        <v>623</v>
      </c>
      <c r="K2779" s="1"/>
      <c r="L2779" s="1">
        <v>46284.654583333337</v>
      </c>
      <c r="M2779" s="2">
        <v>46284</v>
      </c>
      <c r="N2779" t="s">
        <v>642</v>
      </c>
      <c r="O2779" t="s">
        <v>625</v>
      </c>
      <c r="P2779">
        <v>1</v>
      </c>
      <c r="Q2779">
        <v>0</v>
      </c>
      <c r="R2779">
        <v>82.15</v>
      </c>
      <c r="S2779" t="s">
        <v>82</v>
      </c>
      <c r="T2779" t="s">
        <v>777</v>
      </c>
    </row>
    <row r="2780" spans="1:20" x14ac:dyDescent="0.3">
      <c r="A2780">
        <v>2779</v>
      </c>
      <c r="B2780">
        <v>134</v>
      </c>
      <c r="C2780">
        <v>3</v>
      </c>
      <c r="D2780">
        <v>97.67</v>
      </c>
      <c r="E2780">
        <v>9.77</v>
      </c>
      <c r="F2780">
        <v>0</v>
      </c>
      <c r="G2780">
        <v>0.1</v>
      </c>
      <c r="H2780" t="s">
        <v>622</v>
      </c>
      <c r="J2780" t="s">
        <v>623</v>
      </c>
      <c r="K2780" s="1"/>
      <c r="L2780" s="1">
        <v>46284.655717592592</v>
      </c>
      <c r="M2780" s="2">
        <v>46284</v>
      </c>
      <c r="N2780" t="s">
        <v>642</v>
      </c>
      <c r="O2780" t="s">
        <v>625</v>
      </c>
      <c r="P2780">
        <v>1</v>
      </c>
      <c r="Q2780">
        <v>0</v>
      </c>
      <c r="R2780">
        <v>97.67</v>
      </c>
      <c r="S2780" t="s">
        <v>263</v>
      </c>
      <c r="T2780" t="s">
        <v>777</v>
      </c>
    </row>
    <row r="2781" spans="1:20" x14ac:dyDescent="0.3">
      <c r="A2781">
        <v>2780</v>
      </c>
      <c r="B2781">
        <v>250</v>
      </c>
      <c r="C2781">
        <v>2</v>
      </c>
      <c r="D2781">
        <v>100.08</v>
      </c>
      <c r="E2781">
        <v>10.01</v>
      </c>
      <c r="F2781">
        <v>0</v>
      </c>
      <c r="G2781">
        <v>0.1</v>
      </c>
      <c r="H2781" t="s">
        <v>622</v>
      </c>
      <c r="J2781" t="s">
        <v>623</v>
      </c>
      <c r="K2781" s="1"/>
      <c r="L2781" s="1">
        <v>46284.667453703703</v>
      </c>
      <c r="M2781" s="2">
        <v>46284</v>
      </c>
      <c r="N2781" t="s">
        <v>642</v>
      </c>
      <c r="O2781" t="s">
        <v>625</v>
      </c>
      <c r="P2781">
        <v>1</v>
      </c>
      <c r="Q2781">
        <v>0</v>
      </c>
      <c r="R2781">
        <v>100.08</v>
      </c>
      <c r="S2781" t="s">
        <v>495</v>
      </c>
      <c r="T2781" t="s">
        <v>776</v>
      </c>
    </row>
    <row r="2782" spans="1:20" x14ac:dyDescent="0.3">
      <c r="A2782">
        <v>2781</v>
      </c>
      <c r="B2782">
        <v>44</v>
      </c>
      <c r="C2782">
        <v>5</v>
      </c>
      <c r="D2782">
        <v>31.47</v>
      </c>
      <c r="E2782">
        <v>3.15</v>
      </c>
      <c r="F2782">
        <v>0</v>
      </c>
      <c r="G2782">
        <v>0.1</v>
      </c>
      <c r="H2782" t="s">
        <v>622</v>
      </c>
      <c r="J2782" t="s">
        <v>623</v>
      </c>
      <c r="K2782" s="1"/>
      <c r="L2782" s="1">
        <v>46284.723541666666</v>
      </c>
      <c r="M2782" s="2">
        <v>46284</v>
      </c>
      <c r="N2782" t="s">
        <v>642</v>
      </c>
      <c r="O2782" t="s">
        <v>625</v>
      </c>
      <c r="P2782">
        <v>1</v>
      </c>
      <c r="Q2782">
        <v>0</v>
      </c>
      <c r="R2782">
        <v>31.47</v>
      </c>
      <c r="S2782" t="s">
        <v>84</v>
      </c>
      <c r="T2782" t="s">
        <v>779</v>
      </c>
    </row>
    <row r="2783" spans="1:20" x14ac:dyDescent="0.3">
      <c r="A2783">
        <v>2782</v>
      </c>
      <c r="B2783">
        <v>57</v>
      </c>
      <c r="C2783">
        <v>5</v>
      </c>
      <c r="D2783">
        <v>128.94999999999999</v>
      </c>
      <c r="E2783">
        <v>12.9</v>
      </c>
      <c r="F2783">
        <v>0</v>
      </c>
      <c r="G2783">
        <v>0.1</v>
      </c>
      <c r="H2783" t="s">
        <v>622</v>
      </c>
      <c r="J2783" t="s">
        <v>623</v>
      </c>
      <c r="K2783" s="1"/>
      <c r="L2783" s="1">
        <v>46284.788981481484</v>
      </c>
      <c r="M2783" s="2">
        <v>46284</v>
      </c>
      <c r="N2783" t="s">
        <v>642</v>
      </c>
      <c r="O2783" t="s">
        <v>625</v>
      </c>
      <c r="P2783">
        <v>1</v>
      </c>
      <c r="Q2783">
        <v>0</v>
      </c>
      <c r="R2783">
        <v>128.94999999999999</v>
      </c>
      <c r="S2783" t="s">
        <v>110</v>
      </c>
      <c r="T2783" t="s">
        <v>779</v>
      </c>
    </row>
    <row r="2784" spans="1:20" x14ac:dyDescent="0.3">
      <c r="A2784">
        <v>2783</v>
      </c>
      <c r="B2784">
        <v>294</v>
      </c>
      <c r="C2784">
        <v>3</v>
      </c>
      <c r="D2784">
        <v>18.54</v>
      </c>
      <c r="E2784">
        <v>1.85</v>
      </c>
      <c r="F2784">
        <v>0</v>
      </c>
      <c r="G2784">
        <v>0.1</v>
      </c>
      <c r="H2784" t="s">
        <v>622</v>
      </c>
      <c r="J2784" t="s">
        <v>623</v>
      </c>
      <c r="K2784" s="1"/>
      <c r="L2784" s="1">
        <v>46285.365057870367</v>
      </c>
      <c r="M2784" s="2">
        <v>46285</v>
      </c>
      <c r="N2784" t="s">
        <v>642</v>
      </c>
      <c r="O2784" t="s">
        <v>625</v>
      </c>
      <c r="P2784">
        <v>1</v>
      </c>
      <c r="Q2784">
        <v>0</v>
      </c>
      <c r="R2784">
        <v>18.54</v>
      </c>
      <c r="S2784" t="s">
        <v>583</v>
      </c>
      <c r="T2784" t="s">
        <v>777</v>
      </c>
    </row>
    <row r="2785" spans="1:20" x14ac:dyDescent="0.3">
      <c r="A2785">
        <v>2784</v>
      </c>
      <c r="B2785">
        <v>237</v>
      </c>
      <c r="C2785">
        <v>4</v>
      </c>
      <c r="D2785">
        <v>83.87</v>
      </c>
      <c r="E2785">
        <v>8.39</v>
      </c>
      <c r="F2785">
        <v>0</v>
      </c>
      <c r="G2785">
        <v>0.1</v>
      </c>
      <c r="H2785" t="s">
        <v>622</v>
      </c>
      <c r="J2785" t="s">
        <v>623</v>
      </c>
      <c r="K2785" s="1"/>
      <c r="L2785" s="1">
        <v>46285.526597222219</v>
      </c>
      <c r="M2785" s="2">
        <v>46285</v>
      </c>
      <c r="N2785" t="s">
        <v>642</v>
      </c>
      <c r="O2785" t="s">
        <v>625</v>
      </c>
      <c r="P2785">
        <v>1</v>
      </c>
      <c r="Q2785">
        <v>0</v>
      </c>
      <c r="R2785">
        <v>83.87</v>
      </c>
      <c r="S2785" t="s">
        <v>469</v>
      </c>
      <c r="T2785" t="s">
        <v>778</v>
      </c>
    </row>
    <row r="2786" spans="1:20" x14ac:dyDescent="0.3">
      <c r="A2786">
        <v>2785</v>
      </c>
      <c r="B2786">
        <v>110</v>
      </c>
      <c r="C2786">
        <v>3</v>
      </c>
      <c r="D2786">
        <v>59.27</v>
      </c>
      <c r="E2786">
        <v>5.93</v>
      </c>
      <c r="F2786">
        <v>0</v>
      </c>
      <c r="G2786">
        <v>0.1</v>
      </c>
      <c r="H2786" t="s">
        <v>622</v>
      </c>
      <c r="J2786" t="s">
        <v>623</v>
      </c>
      <c r="K2786" s="1"/>
      <c r="L2786" s="1">
        <v>46285.585196759261</v>
      </c>
      <c r="M2786" s="2">
        <v>46285</v>
      </c>
      <c r="N2786" t="s">
        <v>642</v>
      </c>
      <c r="O2786" t="s">
        <v>625</v>
      </c>
      <c r="P2786">
        <v>1</v>
      </c>
      <c r="Q2786">
        <v>0</v>
      </c>
      <c r="R2786">
        <v>59.27</v>
      </c>
      <c r="S2786" t="s">
        <v>215</v>
      </c>
      <c r="T2786" t="s">
        <v>777</v>
      </c>
    </row>
    <row r="2787" spans="1:20" x14ac:dyDescent="0.3">
      <c r="A2787">
        <v>2786</v>
      </c>
      <c r="B2787">
        <v>12</v>
      </c>
      <c r="C2787">
        <v>5</v>
      </c>
      <c r="D2787">
        <v>27.13</v>
      </c>
      <c r="E2787">
        <v>2.71</v>
      </c>
      <c r="F2787">
        <v>0</v>
      </c>
      <c r="G2787">
        <v>0.1</v>
      </c>
      <c r="H2787" t="s">
        <v>622</v>
      </c>
      <c r="J2787" t="s">
        <v>623</v>
      </c>
      <c r="K2787" s="1"/>
      <c r="L2787" s="1">
        <v>46285.771053240744</v>
      </c>
      <c r="M2787" s="2">
        <v>46285</v>
      </c>
      <c r="N2787" t="s">
        <v>642</v>
      </c>
      <c r="O2787" t="s">
        <v>625</v>
      </c>
      <c r="P2787">
        <v>1</v>
      </c>
      <c r="Q2787">
        <v>0</v>
      </c>
      <c r="R2787">
        <v>27.13</v>
      </c>
      <c r="S2787" t="s">
        <v>20</v>
      </c>
      <c r="T2787" t="s">
        <v>779</v>
      </c>
    </row>
    <row r="2788" spans="1:20" x14ac:dyDescent="0.3">
      <c r="A2788">
        <v>2787</v>
      </c>
      <c r="B2788">
        <v>175</v>
      </c>
      <c r="C2788">
        <v>2</v>
      </c>
      <c r="D2788">
        <v>38.299999999999997</v>
      </c>
      <c r="E2788">
        <v>3.83</v>
      </c>
      <c r="F2788">
        <v>0</v>
      </c>
      <c r="G2788">
        <v>0.1</v>
      </c>
      <c r="H2788" t="s">
        <v>622</v>
      </c>
      <c r="J2788" t="s">
        <v>623</v>
      </c>
      <c r="K2788" s="1"/>
      <c r="L2788" s="1">
        <v>46285.790578703702</v>
      </c>
      <c r="M2788" s="2">
        <v>46285</v>
      </c>
      <c r="N2788" t="s">
        <v>642</v>
      </c>
      <c r="O2788" t="s">
        <v>625</v>
      </c>
      <c r="P2788">
        <v>1</v>
      </c>
      <c r="Q2788">
        <v>0</v>
      </c>
      <c r="R2788">
        <v>38.299999999999997</v>
      </c>
      <c r="S2788" t="s">
        <v>345</v>
      </c>
      <c r="T2788" t="s">
        <v>776</v>
      </c>
    </row>
    <row r="2789" spans="1:20" x14ac:dyDescent="0.3">
      <c r="A2789">
        <v>2788</v>
      </c>
      <c r="B2789">
        <v>243</v>
      </c>
      <c r="C2789">
        <v>4</v>
      </c>
      <c r="D2789">
        <v>32.47</v>
      </c>
      <c r="E2789">
        <v>3.25</v>
      </c>
      <c r="F2789">
        <v>0</v>
      </c>
      <c r="G2789">
        <v>0.1</v>
      </c>
      <c r="H2789" t="s">
        <v>622</v>
      </c>
      <c r="J2789" t="s">
        <v>623</v>
      </c>
      <c r="K2789" s="1"/>
      <c r="L2789" s="1">
        <v>46286.302569444444</v>
      </c>
      <c r="M2789" s="2">
        <v>46286</v>
      </c>
      <c r="N2789" t="s">
        <v>642</v>
      </c>
      <c r="O2789" t="s">
        <v>625</v>
      </c>
      <c r="P2789">
        <v>1</v>
      </c>
      <c r="Q2789">
        <v>0</v>
      </c>
      <c r="R2789">
        <v>32.47</v>
      </c>
      <c r="S2789" t="s">
        <v>481</v>
      </c>
      <c r="T2789" t="s">
        <v>778</v>
      </c>
    </row>
    <row r="2790" spans="1:20" x14ac:dyDescent="0.3">
      <c r="A2790">
        <v>2789</v>
      </c>
      <c r="B2790">
        <v>75</v>
      </c>
      <c r="C2790">
        <v>2</v>
      </c>
      <c r="D2790">
        <v>73.39</v>
      </c>
      <c r="E2790">
        <v>7.34</v>
      </c>
      <c r="F2790">
        <v>0</v>
      </c>
      <c r="G2790">
        <v>0.1</v>
      </c>
      <c r="H2790" t="s">
        <v>622</v>
      </c>
      <c r="J2790" t="s">
        <v>623</v>
      </c>
      <c r="K2790" s="1"/>
      <c r="L2790" s="1">
        <v>46286.644479166665</v>
      </c>
      <c r="M2790" s="2">
        <v>46286</v>
      </c>
      <c r="N2790" t="s">
        <v>642</v>
      </c>
      <c r="O2790" t="s">
        <v>625</v>
      </c>
      <c r="P2790">
        <v>1</v>
      </c>
      <c r="Q2790">
        <v>0</v>
      </c>
      <c r="R2790">
        <v>73.39</v>
      </c>
      <c r="S2790" t="s">
        <v>146</v>
      </c>
      <c r="T2790" t="s">
        <v>776</v>
      </c>
    </row>
    <row r="2791" spans="1:20" x14ac:dyDescent="0.3">
      <c r="A2791">
        <v>2790</v>
      </c>
      <c r="B2791">
        <v>128</v>
      </c>
      <c r="C2791">
        <v>4</v>
      </c>
      <c r="D2791">
        <v>13.56</v>
      </c>
      <c r="E2791">
        <v>1.36</v>
      </c>
      <c r="F2791">
        <v>0</v>
      </c>
      <c r="G2791">
        <v>0.1</v>
      </c>
      <c r="H2791" t="s">
        <v>622</v>
      </c>
      <c r="J2791" t="s">
        <v>623</v>
      </c>
      <c r="K2791" s="1"/>
      <c r="L2791" s="1">
        <v>46286.675393518519</v>
      </c>
      <c r="M2791" s="2">
        <v>46286</v>
      </c>
      <c r="N2791" t="s">
        <v>642</v>
      </c>
      <c r="O2791" t="s">
        <v>625</v>
      </c>
      <c r="P2791">
        <v>1</v>
      </c>
      <c r="Q2791">
        <v>0</v>
      </c>
      <c r="R2791">
        <v>13.56</v>
      </c>
      <c r="S2791" t="s">
        <v>251</v>
      </c>
      <c r="T2791" t="s">
        <v>778</v>
      </c>
    </row>
    <row r="2792" spans="1:20" x14ac:dyDescent="0.3">
      <c r="A2792">
        <v>2791</v>
      </c>
      <c r="B2792">
        <v>197</v>
      </c>
      <c r="C2792">
        <v>4</v>
      </c>
      <c r="D2792">
        <v>102.61</v>
      </c>
      <c r="E2792">
        <v>10.26</v>
      </c>
      <c r="F2792">
        <v>0</v>
      </c>
      <c r="G2792">
        <v>0.1</v>
      </c>
      <c r="H2792" t="s">
        <v>622</v>
      </c>
      <c r="J2792" t="s">
        <v>623</v>
      </c>
      <c r="K2792" s="1"/>
      <c r="L2792" s="1">
        <v>46286.707071759258</v>
      </c>
      <c r="M2792" s="2">
        <v>46286</v>
      </c>
      <c r="N2792" t="s">
        <v>642</v>
      </c>
      <c r="O2792" t="s">
        <v>625</v>
      </c>
      <c r="P2792">
        <v>1</v>
      </c>
      <c r="Q2792">
        <v>0</v>
      </c>
      <c r="R2792">
        <v>102.61</v>
      </c>
      <c r="S2792" t="s">
        <v>389</v>
      </c>
      <c r="T2792" t="s">
        <v>778</v>
      </c>
    </row>
    <row r="2793" spans="1:20" x14ac:dyDescent="0.3">
      <c r="A2793">
        <v>2792</v>
      </c>
      <c r="B2793">
        <v>24</v>
      </c>
      <c r="C2793">
        <v>5</v>
      </c>
      <c r="D2793">
        <v>274.26</v>
      </c>
      <c r="E2793">
        <v>27.43</v>
      </c>
      <c r="F2793">
        <v>0</v>
      </c>
      <c r="G2793">
        <v>0.1</v>
      </c>
      <c r="H2793" t="s">
        <v>622</v>
      </c>
      <c r="J2793" t="s">
        <v>623</v>
      </c>
      <c r="K2793" s="1"/>
      <c r="L2793" s="1">
        <v>46286.726782407408</v>
      </c>
      <c r="M2793" s="2">
        <v>46286</v>
      </c>
      <c r="N2793" t="s">
        <v>642</v>
      </c>
      <c r="O2793" t="s">
        <v>625</v>
      </c>
      <c r="P2793">
        <v>1</v>
      </c>
      <c r="Q2793">
        <v>0</v>
      </c>
      <c r="R2793">
        <v>274.26</v>
      </c>
      <c r="S2793" t="s">
        <v>44</v>
      </c>
      <c r="T2793" t="s">
        <v>779</v>
      </c>
    </row>
    <row r="2794" spans="1:20" x14ac:dyDescent="0.3">
      <c r="A2794">
        <v>2793</v>
      </c>
      <c r="B2794">
        <v>127</v>
      </c>
      <c r="C2794">
        <v>5</v>
      </c>
      <c r="D2794">
        <v>78.92</v>
      </c>
      <c r="E2794">
        <v>7.89</v>
      </c>
      <c r="F2794">
        <v>0</v>
      </c>
      <c r="G2794">
        <v>0.1</v>
      </c>
      <c r="H2794" t="s">
        <v>622</v>
      </c>
      <c r="J2794" t="s">
        <v>623</v>
      </c>
      <c r="K2794" s="1"/>
      <c r="L2794" s="1">
        <v>46287.316678240742</v>
      </c>
      <c r="M2794" s="2">
        <v>46287</v>
      </c>
      <c r="N2794" t="s">
        <v>642</v>
      </c>
      <c r="O2794" t="s">
        <v>625</v>
      </c>
      <c r="P2794">
        <v>1</v>
      </c>
      <c r="Q2794">
        <v>0</v>
      </c>
      <c r="R2794">
        <v>78.92</v>
      </c>
      <c r="S2794" t="s">
        <v>249</v>
      </c>
      <c r="T2794" t="s">
        <v>779</v>
      </c>
    </row>
    <row r="2795" spans="1:20" x14ac:dyDescent="0.3">
      <c r="A2795">
        <v>2794</v>
      </c>
      <c r="B2795">
        <v>241</v>
      </c>
      <c r="C2795">
        <v>2</v>
      </c>
      <c r="D2795">
        <v>36.99</v>
      </c>
      <c r="E2795">
        <v>3.7</v>
      </c>
      <c r="F2795">
        <v>0</v>
      </c>
      <c r="G2795">
        <v>0.1</v>
      </c>
      <c r="H2795" t="s">
        <v>622</v>
      </c>
      <c r="J2795" t="s">
        <v>623</v>
      </c>
      <c r="K2795" s="1"/>
      <c r="L2795" s="1">
        <v>46287.33353009259</v>
      </c>
      <c r="M2795" s="2">
        <v>46287</v>
      </c>
      <c r="N2795" t="s">
        <v>642</v>
      </c>
      <c r="O2795" t="s">
        <v>625</v>
      </c>
      <c r="P2795">
        <v>1</v>
      </c>
      <c r="Q2795">
        <v>0</v>
      </c>
      <c r="R2795">
        <v>36.99</v>
      </c>
      <c r="S2795" t="s">
        <v>477</v>
      </c>
      <c r="T2795" t="s">
        <v>776</v>
      </c>
    </row>
    <row r="2796" spans="1:20" x14ac:dyDescent="0.3">
      <c r="A2796">
        <v>2795</v>
      </c>
      <c r="B2796">
        <v>25</v>
      </c>
      <c r="C2796">
        <v>3</v>
      </c>
      <c r="D2796">
        <v>41.51</v>
      </c>
      <c r="E2796">
        <v>4.1500000000000004</v>
      </c>
      <c r="F2796">
        <v>0</v>
      </c>
      <c r="G2796">
        <v>0.1</v>
      </c>
      <c r="H2796" t="s">
        <v>622</v>
      </c>
      <c r="J2796" t="s">
        <v>623</v>
      </c>
      <c r="K2796" s="1"/>
      <c r="L2796" s="1">
        <v>46287.336377314816</v>
      </c>
      <c r="M2796" s="2">
        <v>46287</v>
      </c>
      <c r="N2796" t="s">
        <v>642</v>
      </c>
      <c r="O2796" t="s">
        <v>625</v>
      </c>
      <c r="P2796">
        <v>1</v>
      </c>
      <c r="Q2796">
        <v>0</v>
      </c>
      <c r="R2796">
        <v>41.51</v>
      </c>
      <c r="S2796" t="s">
        <v>46</v>
      </c>
      <c r="T2796" t="s">
        <v>777</v>
      </c>
    </row>
    <row r="2797" spans="1:20" x14ac:dyDescent="0.3">
      <c r="A2797">
        <v>2796</v>
      </c>
      <c r="B2797">
        <v>16</v>
      </c>
      <c r="C2797">
        <v>3</v>
      </c>
      <c r="D2797">
        <v>130.83000000000001</v>
      </c>
      <c r="E2797">
        <v>0</v>
      </c>
      <c r="F2797">
        <v>1</v>
      </c>
      <c r="G2797">
        <v>0.1</v>
      </c>
      <c r="H2797" t="s">
        <v>622</v>
      </c>
      <c r="J2797" t="s">
        <v>623</v>
      </c>
      <c r="K2797" s="1"/>
      <c r="L2797" s="1">
        <v>46287.376087962963</v>
      </c>
      <c r="M2797" s="2">
        <v>46287</v>
      </c>
      <c r="N2797" t="s">
        <v>642</v>
      </c>
      <c r="O2797" t="s">
        <v>629</v>
      </c>
      <c r="P2797">
        <v>1</v>
      </c>
      <c r="Q2797">
        <v>0</v>
      </c>
      <c r="R2797">
        <v>130.83000000000001</v>
      </c>
      <c r="S2797" t="s">
        <v>28</v>
      </c>
      <c r="T2797" t="s">
        <v>777</v>
      </c>
    </row>
    <row r="2798" spans="1:20" x14ac:dyDescent="0.3">
      <c r="A2798">
        <v>2797</v>
      </c>
      <c r="B2798">
        <v>7</v>
      </c>
      <c r="C2798">
        <v>3</v>
      </c>
      <c r="D2798">
        <v>87.45</v>
      </c>
      <c r="E2798">
        <v>8.75</v>
      </c>
      <c r="F2798">
        <v>0</v>
      </c>
      <c r="G2798">
        <v>0.1</v>
      </c>
      <c r="H2798" t="s">
        <v>622</v>
      </c>
      <c r="J2798" t="s">
        <v>623</v>
      </c>
      <c r="K2798" s="1"/>
      <c r="L2798" s="1">
        <v>46287.406307870369</v>
      </c>
      <c r="M2798" s="2">
        <v>46287</v>
      </c>
      <c r="N2798" t="s">
        <v>642</v>
      </c>
      <c r="O2798" t="s">
        <v>625</v>
      </c>
      <c r="P2798">
        <v>1</v>
      </c>
      <c r="Q2798">
        <v>0</v>
      </c>
      <c r="R2798">
        <v>87.45</v>
      </c>
      <c r="S2798" t="s">
        <v>10</v>
      </c>
      <c r="T2798" t="s">
        <v>777</v>
      </c>
    </row>
    <row r="2799" spans="1:20" x14ac:dyDescent="0.3">
      <c r="A2799">
        <v>2798</v>
      </c>
      <c r="B2799">
        <v>128</v>
      </c>
      <c r="C2799">
        <v>2</v>
      </c>
      <c r="D2799">
        <v>17.5</v>
      </c>
      <c r="E2799">
        <v>1.75</v>
      </c>
      <c r="F2799">
        <v>0</v>
      </c>
      <c r="G2799">
        <v>0.1</v>
      </c>
      <c r="H2799" t="s">
        <v>622</v>
      </c>
      <c r="J2799" t="s">
        <v>623</v>
      </c>
      <c r="K2799" s="1"/>
      <c r="L2799" s="1">
        <v>46287.413321759261</v>
      </c>
      <c r="M2799" s="2">
        <v>46287</v>
      </c>
      <c r="N2799" t="s">
        <v>642</v>
      </c>
      <c r="O2799" t="s">
        <v>625</v>
      </c>
      <c r="P2799">
        <v>1</v>
      </c>
      <c r="Q2799">
        <v>0</v>
      </c>
      <c r="R2799">
        <v>17.5</v>
      </c>
      <c r="S2799" t="s">
        <v>251</v>
      </c>
      <c r="T2799" t="s">
        <v>776</v>
      </c>
    </row>
    <row r="2800" spans="1:20" x14ac:dyDescent="0.3">
      <c r="A2800">
        <v>2799</v>
      </c>
      <c r="B2800">
        <v>272</v>
      </c>
      <c r="C2800">
        <v>4</v>
      </c>
      <c r="D2800">
        <v>179.4</v>
      </c>
      <c r="E2800">
        <v>17.940000000000001</v>
      </c>
      <c r="F2800">
        <v>0</v>
      </c>
      <c r="G2800">
        <v>0.1</v>
      </c>
      <c r="H2800" t="s">
        <v>622</v>
      </c>
      <c r="J2800" t="s">
        <v>623</v>
      </c>
      <c r="K2800" s="1"/>
      <c r="L2800" s="1">
        <v>46287.436064814814</v>
      </c>
      <c r="M2800" s="2">
        <v>46287</v>
      </c>
      <c r="N2800" t="s">
        <v>642</v>
      </c>
      <c r="O2800" t="s">
        <v>625</v>
      </c>
      <c r="P2800">
        <v>1</v>
      </c>
      <c r="Q2800">
        <v>0</v>
      </c>
      <c r="R2800">
        <v>179.4</v>
      </c>
      <c r="S2800" t="s">
        <v>539</v>
      </c>
      <c r="T2800" t="s">
        <v>778</v>
      </c>
    </row>
    <row r="2801" spans="1:20" x14ac:dyDescent="0.3">
      <c r="A2801">
        <v>2800</v>
      </c>
      <c r="B2801">
        <v>165</v>
      </c>
      <c r="C2801">
        <v>4</v>
      </c>
      <c r="D2801">
        <v>35.24</v>
      </c>
      <c r="E2801">
        <v>3.52</v>
      </c>
      <c r="F2801">
        <v>0</v>
      </c>
      <c r="G2801">
        <v>0.1</v>
      </c>
      <c r="H2801" t="s">
        <v>622</v>
      </c>
      <c r="J2801" t="s">
        <v>623</v>
      </c>
      <c r="K2801" s="1"/>
      <c r="L2801" s="1">
        <v>46287.455740740741</v>
      </c>
      <c r="M2801" s="2">
        <v>46287</v>
      </c>
      <c r="N2801" t="s">
        <v>642</v>
      </c>
      <c r="O2801" t="s">
        <v>625</v>
      </c>
      <c r="P2801">
        <v>1</v>
      </c>
      <c r="Q2801">
        <v>0</v>
      </c>
      <c r="R2801">
        <v>35.24</v>
      </c>
      <c r="S2801" t="s">
        <v>325</v>
      </c>
      <c r="T2801" t="s">
        <v>778</v>
      </c>
    </row>
    <row r="2802" spans="1:20" x14ac:dyDescent="0.3">
      <c r="A2802">
        <v>2801</v>
      </c>
      <c r="B2802">
        <v>125</v>
      </c>
      <c r="C2802">
        <v>5</v>
      </c>
      <c r="D2802">
        <v>39.71</v>
      </c>
      <c r="E2802">
        <v>3.97</v>
      </c>
      <c r="F2802">
        <v>0</v>
      </c>
      <c r="G2802">
        <v>0.1</v>
      </c>
      <c r="H2802" t="s">
        <v>622</v>
      </c>
      <c r="J2802" t="s">
        <v>623</v>
      </c>
      <c r="K2802" s="1"/>
      <c r="L2802" s="1">
        <v>46287.57104166667</v>
      </c>
      <c r="M2802" s="2">
        <v>46287</v>
      </c>
      <c r="N2802" t="s">
        <v>642</v>
      </c>
      <c r="O2802" t="s">
        <v>625</v>
      </c>
      <c r="P2802">
        <v>1</v>
      </c>
      <c r="Q2802">
        <v>0</v>
      </c>
      <c r="R2802">
        <v>39.71</v>
      </c>
      <c r="S2802" t="s">
        <v>245</v>
      </c>
      <c r="T2802" t="s">
        <v>779</v>
      </c>
    </row>
    <row r="2803" spans="1:20" x14ac:dyDescent="0.3">
      <c r="A2803">
        <v>2802</v>
      </c>
      <c r="B2803">
        <v>250</v>
      </c>
      <c r="C2803">
        <v>4</v>
      </c>
      <c r="D2803">
        <v>136.18</v>
      </c>
      <c r="E2803">
        <v>13.62</v>
      </c>
      <c r="F2803">
        <v>0</v>
      </c>
      <c r="G2803">
        <v>0.1</v>
      </c>
      <c r="H2803" t="s">
        <v>622</v>
      </c>
      <c r="J2803" t="s">
        <v>623</v>
      </c>
      <c r="K2803" s="1"/>
      <c r="L2803" s="1">
        <v>46287.584270833337</v>
      </c>
      <c r="M2803" s="2">
        <v>46287</v>
      </c>
      <c r="N2803" t="s">
        <v>642</v>
      </c>
      <c r="O2803" t="s">
        <v>625</v>
      </c>
      <c r="P2803">
        <v>1</v>
      </c>
      <c r="Q2803">
        <v>0</v>
      </c>
      <c r="R2803">
        <v>136.18</v>
      </c>
      <c r="S2803" t="s">
        <v>495</v>
      </c>
      <c r="T2803" t="s">
        <v>778</v>
      </c>
    </row>
    <row r="2804" spans="1:20" x14ac:dyDescent="0.3">
      <c r="A2804">
        <v>2803</v>
      </c>
      <c r="B2804">
        <v>156</v>
      </c>
      <c r="C2804">
        <v>2</v>
      </c>
      <c r="D2804">
        <v>42.59</v>
      </c>
      <c r="E2804">
        <v>4.26</v>
      </c>
      <c r="F2804">
        <v>0</v>
      </c>
      <c r="G2804">
        <v>0.1</v>
      </c>
      <c r="H2804" t="s">
        <v>622</v>
      </c>
      <c r="J2804" t="s">
        <v>623</v>
      </c>
      <c r="K2804" s="1"/>
      <c r="L2804" s="1">
        <v>46287.627268518518</v>
      </c>
      <c r="M2804" s="2">
        <v>46287</v>
      </c>
      <c r="N2804" t="s">
        <v>642</v>
      </c>
      <c r="O2804" t="s">
        <v>625</v>
      </c>
      <c r="P2804">
        <v>1</v>
      </c>
      <c r="Q2804">
        <v>0</v>
      </c>
      <c r="R2804">
        <v>42.59</v>
      </c>
      <c r="S2804" t="s">
        <v>307</v>
      </c>
      <c r="T2804" t="s">
        <v>776</v>
      </c>
    </row>
    <row r="2805" spans="1:20" x14ac:dyDescent="0.3">
      <c r="A2805">
        <v>2804</v>
      </c>
      <c r="B2805">
        <v>190</v>
      </c>
      <c r="C2805">
        <v>5</v>
      </c>
      <c r="D2805">
        <v>210.83</v>
      </c>
      <c r="E2805">
        <v>21.08</v>
      </c>
      <c r="F2805">
        <v>0</v>
      </c>
      <c r="G2805">
        <v>0.1</v>
      </c>
      <c r="H2805" t="s">
        <v>622</v>
      </c>
      <c r="J2805" t="s">
        <v>623</v>
      </c>
      <c r="K2805" s="1"/>
      <c r="L2805" s="1">
        <v>46287.760266203702</v>
      </c>
      <c r="M2805" s="2">
        <v>46287</v>
      </c>
      <c r="N2805" t="s">
        <v>642</v>
      </c>
      <c r="O2805" t="s">
        <v>625</v>
      </c>
      <c r="P2805">
        <v>1</v>
      </c>
      <c r="Q2805">
        <v>0</v>
      </c>
      <c r="R2805">
        <v>210.83</v>
      </c>
      <c r="S2805" t="s">
        <v>375</v>
      </c>
      <c r="T2805" t="s">
        <v>779</v>
      </c>
    </row>
    <row r="2806" spans="1:20" x14ac:dyDescent="0.3">
      <c r="A2806">
        <v>2805</v>
      </c>
      <c r="B2806">
        <v>16</v>
      </c>
      <c r="C2806">
        <v>4</v>
      </c>
      <c r="D2806">
        <v>134.38</v>
      </c>
      <c r="E2806">
        <v>13.44</v>
      </c>
      <c r="F2806">
        <v>0</v>
      </c>
      <c r="G2806">
        <v>0.1</v>
      </c>
      <c r="H2806" t="s">
        <v>622</v>
      </c>
      <c r="J2806" t="s">
        <v>623</v>
      </c>
      <c r="K2806" s="1"/>
      <c r="L2806" s="1">
        <v>46288.427187499998</v>
      </c>
      <c r="M2806" s="2">
        <v>46288</v>
      </c>
      <c r="N2806" t="s">
        <v>642</v>
      </c>
      <c r="O2806" t="s">
        <v>625</v>
      </c>
      <c r="P2806">
        <v>1</v>
      </c>
      <c r="Q2806">
        <v>0</v>
      </c>
      <c r="R2806">
        <v>134.38</v>
      </c>
      <c r="S2806" t="s">
        <v>28</v>
      </c>
      <c r="T2806" t="s">
        <v>778</v>
      </c>
    </row>
    <row r="2807" spans="1:20" x14ac:dyDescent="0.3">
      <c r="A2807">
        <v>2806</v>
      </c>
      <c r="B2807">
        <v>245</v>
      </c>
      <c r="C2807">
        <v>4</v>
      </c>
      <c r="D2807">
        <v>27.92</v>
      </c>
      <c r="E2807">
        <v>2.79</v>
      </c>
      <c r="F2807">
        <v>0</v>
      </c>
      <c r="G2807">
        <v>0.1</v>
      </c>
      <c r="H2807" t="s">
        <v>622</v>
      </c>
      <c r="J2807" t="s">
        <v>623</v>
      </c>
      <c r="K2807" s="1"/>
      <c r="L2807" s="1">
        <v>46288.524733796294</v>
      </c>
      <c r="M2807" s="2">
        <v>46288</v>
      </c>
      <c r="N2807" t="s">
        <v>642</v>
      </c>
      <c r="O2807" t="s">
        <v>625</v>
      </c>
      <c r="P2807">
        <v>1</v>
      </c>
      <c r="Q2807">
        <v>0</v>
      </c>
      <c r="R2807">
        <v>27.92</v>
      </c>
      <c r="S2807" t="s">
        <v>485</v>
      </c>
      <c r="T2807" t="s">
        <v>778</v>
      </c>
    </row>
    <row r="2808" spans="1:20" x14ac:dyDescent="0.3">
      <c r="A2808">
        <v>2807</v>
      </c>
      <c r="B2808">
        <v>134</v>
      </c>
      <c r="C2808">
        <v>4</v>
      </c>
      <c r="D2808">
        <v>115.56</v>
      </c>
      <c r="E2808">
        <v>0</v>
      </c>
      <c r="F2808">
        <v>1</v>
      </c>
      <c r="G2808">
        <v>0.1</v>
      </c>
      <c r="H2808" t="s">
        <v>622</v>
      </c>
      <c r="J2808" t="s">
        <v>623</v>
      </c>
      <c r="K2808" s="1"/>
      <c r="L2808" s="1">
        <v>46288.819780092592</v>
      </c>
      <c r="M2808" s="2">
        <v>46288</v>
      </c>
      <c r="N2808" t="s">
        <v>642</v>
      </c>
      <c r="O2808" t="s">
        <v>629</v>
      </c>
      <c r="P2808">
        <v>1</v>
      </c>
      <c r="Q2808">
        <v>0</v>
      </c>
      <c r="R2808">
        <v>115.56</v>
      </c>
      <c r="S2808" t="s">
        <v>263</v>
      </c>
      <c r="T2808" t="s">
        <v>778</v>
      </c>
    </row>
    <row r="2809" spans="1:20" x14ac:dyDescent="0.3">
      <c r="A2809">
        <v>2808</v>
      </c>
      <c r="B2809">
        <v>285</v>
      </c>
      <c r="C2809">
        <v>5</v>
      </c>
      <c r="D2809">
        <v>28.17</v>
      </c>
      <c r="E2809">
        <v>0</v>
      </c>
      <c r="F2809">
        <v>1</v>
      </c>
      <c r="G2809">
        <v>0.1</v>
      </c>
      <c r="H2809" t="s">
        <v>622</v>
      </c>
      <c r="J2809" t="s">
        <v>623</v>
      </c>
      <c r="K2809" s="1"/>
      <c r="L2809" s="1">
        <v>46289.44940972222</v>
      </c>
      <c r="M2809" s="2">
        <v>46289</v>
      </c>
      <c r="N2809" t="s">
        <v>642</v>
      </c>
      <c r="O2809" t="s">
        <v>629</v>
      </c>
      <c r="P2809">
        <v>1</v>
      </c>
      <c r="Q2809">
        <v>0</v>
      </c>
      <c r="R2809">
        <v>28.17</v>
      </c>
      <c r="S2809" t="s">
        <v>565</v>
      </c>
      <c r="T2809" t="s">
        <v>779</v>
      </c>
    </row>
    <row r="2810" spans="1:20" x14ac:dyDescent="0.3">
      <c r="A2810">
        <v>2809</v>
      </c>
      <c r="B2810">
        <v>299</v>
      </c>
      <c r="C2810">
        <v>2</v>
      </c>
      <c r="D2810">
        <v>74.62</v>
      </c>
      <c r="E2810">
        <v>7.46</v>
      </c>
      <c r="F2810">
        <v>0</v>
      </c>
      <c r="G2810">
        <v>0.1</v>
      </c>
      <c r="H2810" t="s">
        <v>622</v>
      </c>
      <c r="J2810" t="s">
        <v>623</v>
      </c>
      <c r="K2810" s="1"/>
      <c r="L2810" s="1">
        <v>46289.47152777778</v>
      </c>
      <c r="M2810" s="2">
        <v>46289</v>
      </c>
      <c r="N2810" t="s">
        <v>642</v>
      </c>
      <c r="O2810" t="s">
        <v>625</v>
      </c>
      <c r="P2810">
        <v>1</v>
      </c>
      <c r="Q2810">
        <v>0</v>
      </c>
      <c r="R2810">
        <v>74.62</v>
      </c>
      <c r="S2810" t="s">
        <v>593</v>
      </c>
      <c r="T2810" t="s">
        <v>776</v>
      </c>
    </row>
    <row r="2811" spans="1:20" x14ac:dyDescent="0.3">
      <c r="A2811">
        <v>2810</v>
      </c>
      <c r="B2811">
        <v>229</v>
      </c>
      <c r="C2811">
        <v>4</v>
      </c>
      <c r="D2811">
        <v>126.68</v>
      </c>
      <c r="E2811">
        <v>12.67</v>
      </c>
      <c r="F2811">
        <v>0</v>
      </c>
      <c r="G2811">
        <v>0.1</v>
      </c>
      <c r="H2811" t="s">
        <v>622</v>
      </c>
      <c r="J2811" t="s">
        <v>623</v>
      </c>
      <c r="K2811" s="1"/>
      <c r="L2811" s="1">
        <v>46289.479074074072</v>
      </c>
      <c r="M2811" s="2">
        <v>46289</v>
      </c>
      <c r="N2811" t="s">
        <v>642</v>
      </c>
      <c r="O2811" t="s">
        <v>625</v>
      </c>
      <c r="P2811">
        <v>1</v>
      </c>
      <c r="Q2811">
        <v>0</v>
      </c>
      <c r="R2811">
        <v>126.68</v>
      </c>
      <c r="S2811" t="s">
        <v>453</v>
      </c>
      <c r="T2811" t="s">
        <v>778</v>
      </c>
    </row>
    <row r="2812" spans="1:20" x14ac:dyDescent="0.3">
      <c r="A2812">
        <v>2811</v>
      </c>
      <c r="B2812">
        <v>156</v>
      </c>
      <c r="C2812">
        <v>2</v>
      </c>
      <c r="D2812">
        <v>23.78</v>
      </c>
      <c r="E2812">
        <v>2.38</v>
      </c>
      <c r="F2812">
        <v>0</v>
      </c>
      <c r="G2812">
        <v>0.1</v>
      </c>
      <c r="H2812" t="s">
        <v>622</v>
      </c>
      <c r="J2812" t="s">
        <v>623</v>
      </c>
      <c r="K2812" s="1"/>
      <c r="L2812" s="1">
        <v>46289.54247685185</v>
      </c>
      <c r="M2812" s="2">
        <v>46289</v>
      </c>
      <c r="N2812" t="s">
        <v>642</v>
      </c>
      <c r="O2812" t="s">
        <v>625</v>
      </c>
      <c r="P2812">
        <v>1</v>
      </c>
      <c r="Q2812">
        <v>0</v>
      </c>
      <c r="R2812">
        <v>23.78</v>
      </c>
      <c r="S2812" t="s">
        <v>307</v>
      </c>
      <c r="T2812" t="s">
        <v>776</v>
      </c>
    </row>
    <row r="2813" spans="1:20" x14ac:dyDescent="0.3">
      <c r="A2813">
        <v>2812</v>
      </c>
      <c r="B2813">
        <v>36</v>
      </c>
      <c r="C2813">
        <v>2</v>
      </c>
      <c r="D2813">
        <v>231.59</v>
      </c>
      <c r="E2813">
        <v>23.16</v>
      </c>
      <c r="F2813">
        <v>0</v>
      </c>
      <c r="G2813">
        <v>0.1</v>
      </c>
      <c r="H2813" t="s">
        <v>622</v>
      </c>
      <c r="J2813" t="s">
        <v>623</v>
      </c>
      <c r="K2813" s="1"/>
      <c r="L2813" s="1">
        <v>46289.559479166666</v>
      </c>
      <c r="M2813" s="2">
        <v>46289</v>
      </c>
      <c r="N2813" t="s">
        <v>642</v>
      </c>
      <c r="O2813" t="s">
        <v>625</v>
      </c>
      <c r="P2813">
        <v>1</v>
      </c>
      <c r="Q2813">
        <v>0</v>
      </c>
      <c r="R2813">
        <v>231.59</v>
      </c>
      <c r="S2813" t="s">
        <v>68</v>
      </c>
      <c r="T2813" t="s">
        <v>776</v>
      </c>
    </row>
    <row r="2814" spans="1:20" x14ac:dyDescent="0.3">
      <c r="A2814">
        <v>2813</v>
      </c>
      <c r="B2814">
        <v>128</v>
      </c>
      <c r="C2814">
        <v>5</v>
      </c>
      <c r="D2814">
        <v>35.159999999999997</v>
      </c>
      <c r="E2814">
        <v>3.52</v>
      </c>
      <c r="F2814">
        <v>0</v>
      </c>
      <c r="G2814">
        <v>0.1</v>
      </c>
      <c r="H2814" t="s">
        <v>622</v>
      </c>
      <c r="J2814" t="s">
        <v>623</v>
      </c>
      <c r="K2814" s="1"/>
      <c r="L2814" s="1">
        <v>46289.603842592594</v>
      </c>
      <c r="M2814" s="2">
        <v>46289</v>
      </c>
      <c r="N2814" t="s">
        <v>642</v>
      </c>
      <c r="O2814" t="s">
        <v>625</v>
      </c>
      <c r="P2814">
        <v>1</v>
      </c>
      <c r="Q2814">
        <v>0</v>
      </c>
      <c r="R2814">
        <v>35.159999999999997</v>
      </c>
      <c r="S2814" t="s">
        <v>251</v>
      </c>
      <c r="T2814" t="s">
        <v>779</v>
      </c>
    </row>
    <row r="2815" spans="1:20" x14ac:dyDescent="0.3">
      <c r="A2815">
        <v>2814</v>
      </c>
      <c r="B2815">
        <v>190</v>
      </c>
      <c r="C2815">
        <v>2</v>
      </c>
      <c r="D2815">
        <v>218.23</v>
      </c>
      <c r="E2815">
        <v>21.82</v>
      </c>
      <c r="F2815">
        <v>0</v>
      </c>
      <c r="G2815">
        <v>0.1</v>
      </c>
      <c r="H2815" t="s">
        <v>622</v>
      </c>
      <c r="J2815" t="s">
        <v>623</v>
      </c>
      <c r="K2815" s="1"/>
      <c r="L2815" s="1">
        <v>46289.666979166665</v>
      </c>
      <c r="M2815" s="2">
        <v>46289</v>
      </c>
      <c r="N2815" t="s">
        <v>642</v>
      </c>
      <c r="O2815" t="s">
        <v>625</v>
      </c>
      <c r="P2815">
        <v>1</v>
      </c>
      <c r="Q2815">
        <v>0</v>
      </c>
      <c r="R2815">
        <v>218.23</v>
      </c>
      <c r="S2815" t="s">
        <v>375</v>
      </c>
      <c r="T2815" t="s">
        <v>776</v>
      </c>
    </row>
    <row r="2816" spans="1:20" x14ac:dyDescent="0.3">
      <c r="A2816">
        <v>2815</v>
      </c>
      <c r="B2816">
        <v>128</v>
      </c>
      <c r="C2816">
        <v>5</v>
      </c>
      <c r="D2816">
        <v>47.96</v>
      </c>
      <c r="E2816">
        <v>0</v>
      </c>
      <c r="F2816">
        <v>1</v>
      </c>
      <c r="G2816">
        <v>0.1</v>
      </c>
      <c r="H2816" t="s">
        <v>622</v>
      </c>
      <c r="J2816" t="s">
        <v>623</v>
      </c>
      <c r="K2816" s="1"/>
      <c r="L2816" s="1">
        <v>46289.713946759257</v>
      </c>
      <c r="M2816" s="2">
        <v>46289</v>
      </c>
      <c r="N2816" t="s">
        <v>642</v>
      </c>
      <c r="O2816" t="s">
        <v>629</v>
      </c>
      <c r="P2816">
        <v>1</v>
      </c>
      <c r="Q2816">
        <v>0</v>
      </c>
      <c r="R2816">
        <v>47.96</v>
      </c>
      <c r="S2816" t="s">
        <v>251</v>
      </c>
      <c r="T2816" t="s">
        <v>779</v>
      </c>
    </row>
    <row r="2817" spans="1:20" x14ac:dyDescent="0.3">
      <c r="A2817">
        <v>2816</v>
      </c>
      <c r="B2817">
        <v>194</v>
      </c>
      <c r="C2817">
        <v>2</v>
      </c>
      <c r="D2817">
        <v>104.58</v>
      </c>
      <c r="E2817">
        <v>10.46</v>
      </c>
      <c r="F2817">
        <v>0</v>
      </c>
      <c r="G2817">
        <v>0.1</v>
      </c>
      <c r="H2817" t="s">
        <v>622</v>
      </c>
      <c r="J2817" t="s">
        <v>623</v>
      </c>
      <c r="K2817" s="1"/>
      <c r="L2817" s="1">
        <v>46290.355231481481</v>
      </c>
      <c r="M2817" s="2">
        <v>46290</v>
      </c>
      <c r="N2817" t="s">
        <v>642</v>
      </c>
      <c r="O2817" t="s">
        <v>625</v>
      </c>
      <c r="P2817">
        <v>1</v>
      </c>
      <c r="Q2817">
        <v>0</v>
      </c>
      <c r="R2817">
        <v>104.58</v>
      </c>
      <c r="S2817" t="s">
        <v>383</v>
      </c>
      <c r="T2817" t="s">
        <v>776</v>
      </c>
    </row>
    <row r="2818" spans="1:20" x14ac:dyDescent="0.3">
      <c r="A2818">
        <v>2817</v>
      </c>
      <c r="B2818">
        <v>172</v>
      </c>
      <c r="C2818">
        <v>4</v>
      </c>
      <c r="D2818">
        <v>36.89</v>
      </c>
      <c r="E2818">
        <v>3.69</v>
      </c>
      <c r="F2818">
        <v>0</v>
      </c>
      <c r="G2818">
        <v>0.1</v>
      </c>
      <c r="H2818" t="s">
        <v>622</v>
      </c>
      <c r="J2818" t="s">
        <v>623</v>
      </c>
      <c r="K2818" s="1"/>
      <c r="L2818" s="1">
        <v>46290.366527777776</v>
      </c>
      <c r="M2818" s="2">
        <v>46290</v>
      </c>
      <c r="N2818" t="s">
        <v>642</v>
      </c>
      <c r="O2818" t="s">
        <v>625</v>
      </c>
      <c r="P2818">
        <v>1</v>
      </c>
      <c r="Q2818">
        <v>0</v>
      </c>
      <c r="R2818">
        <v>36.89</v>
      </c>
      <c r="S2818" t="s">
        <v>339</v>
      </c>
      <c r="T2818" t="s">
        <v>778</v>
      </c>
    </row>
    <row r="2819" spans="1:20" x14ac:dyDescent="0.3">
      <c r="A2819">
        <v>2818</v>
      </c>
      <c r="B2819">
        <v>145</v>
      </c>
      <c r="C2819">
        <v>4</v>
      </c>
      <c r="D2819">
        <v>267.37</v>
      </c>
      <c r="E2819">
        <v>26.74</v>
      </c>
      <c r="F2819">
        <v>0</v>
      </c>
      <c r="G2819">
        <v>0.1</v>
      </c>
      <c r="H2819" t="s">
        <v>622</v>
      </c>
      <c r="J2819" t="s">
        <v>623</v>
      </c>
      <c r="K2819" s="1"/>
      <c r="L2819" s="1">
        <v>46290.372141203705</v>
      </c>
      <c r="M2819" s="2">
        <v>46290</v>
      </c>
      <c r="N2819" t="s">
        <v>642</v>
      </c>
      <c r="O2819" t="s">
        <v>625</v>
      </c>
      <c r="P2819">
        <v>1</v>
      </c>
      <c r="Q2819">
        <v>0</v>
      </c>
      <c r="R2819">
        <v>267.37</v>
      </c>
      <c r="S2819" t="s">
        <v>285</v>
      </c>
      <c r="T2819" t="s">
        <v>778</v>
      </c>
    </row>
    <row r="2820" spans="1:20" x14ac:dyDescent="0.3">
      <c r="A2820">
        <v>2819</v>
      </c>
      <c r="B2820">
        <v>277</v>
      </c>
      <c r="C2820">
        <v>5</v>
      </c>
      <c r="D2820">
        <v>72.89</v>
      </c>
      <c r="E2820">
        <v>7.29</v>
      </c>
      <c r="F2820">
        <v>0</v>
      </c>
      <c r="G2820">
        <v>0.1</v>
      </c>
      <c r="H2820" t="s">
        <v>622</v>
      </c>
      <c r="J2820" t="s">
        <v>623</v>
      </c>
      <c r="K2820" s="1"/>
      <c r="L2820" s="1">
        <v>46290.407673611109</v>
      </c>
      <c r="M2820" s="2">
        <v>46290</v>
      </c>
      <c r="N2820" t="s">
        <v>642</v>
      </c>
      <c r="O2820" t="s">
        <v>625</v>
      </c>
      <c r="P2820">
        <v>1</v>
      </c>
      <c r="Q2820">
        <v>0</v>
      </c>
      <c r="R2820">
        <v>72.89</v>
      </c>
      <c r="S2820" t="s">
        <v>549</v>
      </c>
      <c r="T2820" t="s">
        <v>779</v>
      </c>
    </row>
    <row r="2821" spans="1:20" x14ac:dyDescent="0.3">
      <c r="A2821">
        <v>2820</v>
      </c>
      <c r="B2821">
        <v>128</v>
      </c>
      <c r="C2821">
        <v>2</v>
      </c>
      <c r="D2821">
        <v>12.82</v>
      </c>
      <c r="E2821">
        <v>1.28</v>
      </c>
      <c r="F2821">
        <v>0</v>
      </c>
      <c r="G2821">
        <v>0.1</v>
      </c>
      <c r="H2821" t="s">
        <v>622</v>
      </c>
      <c r="J2821" t="s">
        <v>623</v>
      </c>
      <c r="K2821" s="1"/>
      <c r="L2821" s="1">
        <v>46290.582442129627</v>
      </c>
      <c r="M2821" s="2">
        <v>46290</v>
      </c>
      <c r="N2821" t="s">
        <v>642</v>
      </c>
      <c r="O2821" t="s">
        <v>625</v>
      </c>
      <c r="P2821">
        <v>1</v>
      </c>
      <c r="Q2821">
        <v>0</v>
      </c>
      <c r="R2821">
        <v>12.82</v>
      </c>
      <c r="S2821" t="s">
        <v>251</v>
      </c>
      <c r="T2821" t="s">
        <v>776</v>
      </c>
    </row>
    <row r="2822" spans="1:20" x14ac:dyDescent="0.3">
      <c r="A2822">
        <v>2821</v>
      </c>
      <c r="B2822">
        <v>134</v>
      </c>
      <c r="C2822">
        <v>4</v>
      </c>
      <c r="D2822">
        <v>43.91</v>
      </c>
      <c r="E2822">
        <v>4.3899999999999997</v>
      </c>
      <c r="F2822">
        <v>0</v>
      </c>
      <c r="G2822">
        <v>0.1</v>
      </c>
      <c r="H2822" t="s">
        <v>622</v>
      </c>
      <c r="J2822" t="s">
        <v>623</v>
      </c>
      <c r="K2822" s="1"/>
      <c r="L2822" s="1">
        <v>46290.69153935185</v>
      </c>
      <c r="M2822" s="2">
        <v>46290</v>
      </c>
      <c r="N2822" t="s">
        <v>642</v>
      </c>
      <c r="O2822" t="s">
        <v>625</v>
      </c>
      <c r="P2822">
        <v>1</v>
      </c>
      <c r="Q2822">
        <v>0</v>
      </c>
      <c r="R2822">
        <v>43.91</v>
      </c>
      <c r="S2822" t="s">
        <v>263</v>
      </c>
      <c r="T2822" t="s">
        <v>778</v>
      </c>
    </row>
    <row r="2823" spans="1:20" x14ac:dyDescent="0.3">
      <c r="A2823">
        <v>2822</v>
      </c>
      <c r="B2823">
        <v>128</v>
      </c>
      <c r="C2823">
        <v>3</v>
      </c>
      <c r="D2823">
        <v>17.8</v>
      </c>
      <c r="E2823">
        <v>1.78</v>
      </c>
      <c r="F2823">
        <v>0</v>
      </c>
      <c r="G2823">
        <v>0.1</v>
      </c>
      <c r="H2823" t="s">
        <v>622</v>
      </c>
      <c r="J2823" t="s">
        <v>623</v>
      </c>
      <c r="K2823" s="1"/>
      <c r="L2823" s="1">
        <v>46290.724409722221</v>
      </c>
      <c r="M2823" s="2">
        <v>46290</v>
      </c>
      <c r="N2823" t="s">
        <v>642</v>
      </c>
      <c r="O2823" t="s">
        <v>625</v>
      </c>
      <c r="P2823">
        <v>1</v>
      </c>
      <c r="Q2823">
        <v>0</v>
      </c>
      <c r="R2823">
        <v>17.8</v>
      </c>
      <c r="S2823" t="s">
        <v>251</v>
      </c>
      <c r="T2823" t="s">
        <v>777</v>
      </c>
    </row>
    <row r="2824" spans="1:20" x14ac:dyDescent="0.3">
      <c r="A2824">
        <v>2823</v>
      </c>
      <c r="B2824">
        <v>59</v>
      </c>
      <c r="C2824">
        <v>3</v>
      </c>
      <c r="D2824">
        <v>37.31</v>
      </c>
      <c r="E2824">
        <v>3.73</v>
      </c>
      <c r="F2824">
        <v>0</v>
      </c>
      <c r="G2824">
        <v>0.1</v>
      </c>
      <c r="H2824" t="s">
        <v>622</v>
      </c>
      <c r="J2824" t="s">
        <v>623</v>
      </c>
      <c r="K2824" s="1"/>
      <c r="L2824" s="1">
        <v>46291.412858796299</v>
      </c>
      <c r="M2824" s="2">
        <v>46291</v>
      </c>
      <c r="N2824" t="s">
        <v>642</v>
      </c>
      <c r="O2824" t="s">
        <v>625</v>
      </c>
      <c r="P2824">
        <v>1</v>
      </c>
      <c r="Q2824">
        <v>0</v>
      </c>
      <c r="R2824">
        <v>37.31</v>
      </c>
      <c r="S2824" t="s">
        <v>114</v>
      </c>
      <c r="T2824" t="s">
        <v>777</v>
      </c>
    </row>
    <row r="2825" spans="1:20" x14ac:dyDescent="0.3">
      <c r="A2825">
        <v>2824</v>
      </c>
      <c r="B2825">
        <v>75</v>
      </c>
      <c r="C2825">
        <v>3</v>
      </c>
      <c r="D2825">
        <v>59.42</v>
      </c>
      <c r="E2825">
        <v>5.94</v>
      </c>
      <c r="F2825">
        <v>0</v>
      </c>
      <c r="G2825">
        <v>0.1</v>
      </c>
      <c r="H2825" t="s">
        <v>622</v>
      </c>
      <c r="J2825" t="s">
        <v>623</v>
      </c>
      <c r="K2825" s="1"/>
      <c r="L2825" s="1">
        <v>46291.42931712963</v>
      </c>
      <c r="M2825" s="2">
        <v>46291</v>
      </c>
      <c r="N2825" t="s">
        <v>642</v>
      </c>
      <c r="O2825" t="s">
        <v>625</v>
      </c>
      <c r="P2825">
        <v>1</v>
      </c>
      <c r="Q2825">
        <v>0</v>
      </c>
      <c r="R2825">
        <v>59.42</v>
      </c>
      <c r="S2825" t="s">
        <v>146</v>
      </c>
      <c r="T2825" t="s">
        <v>777</v>
      </c>
    </row>
    <row r="2826" spans="1:20" x14ac:dyDescent="0.3">
      <c r="A2826">
        <v>2825</v>
      </c>
      <c r="B2826">
        <v>128</v>
      </c>
      <c r="C2826">
        <v>3</v>
      </c>
      <c r="D2826">
        <v>37.36</v>
      </c>
      <c r="E2826">
        <v>3.74</v>
      </c>
      <c r="F2826">
        <v>0</v>
      </c>
      <c r="G2826">
        <v>0.1</v>
      </c>
      <c r="H2826" t="s">
        <v>622</v>
      </c>
      <c r="J2826" t="s">
        <v>623</v>
      </c>
      <c r="K2826" s="1"/>
      <c r="L2826" s="1">
        <v>46291.758796296293</v>
      </c>
      <c r="M2826" s="2">
        <v>46291</v>
      </c>
      <c r="N2826" t="s">
        <v>642</v>
      </c>
      <c r="O2826" t="s">
        <v>625</v>
      </c>
      <c r="P2826">
        <v>1</v>
      </c>
      <c r="Q2826">
        <v>0</v>
      </c>
      <c r="R2826">
        <v>37.36</v>
      </c>
      <c r="S2826" t="s">
        <v>251</v>
      </c>
      <c r="T2826" t="s">
        <v>777</v>
      </c>
    </row>
    <row r="2827" spans="1:20" x14ac:dyDescent="0.3">
      <c r="A2827">
        <v>2826</v>
      </c>
      <c r="B2827">
        <v>128</v>
      </c>
      <c r="C2827">
        <v>2</v>
      </c>
      <c r="D2827">
        <v>23.51</v>
      </c>
      <c r="E2827">
        <v>2.35</v>
      </c>
      <c r="F2827">
        <v>0</v>
      </c>
      <c r="G2827">
        <v>0.1</v>
      </c>
      <c r="H2827" t="s">
        <v>622</v>
      </c>
      <c r="J2827" t="s">
        <v>623</v>
      </c>
      <c r="K2827" s="1"/>
      <c r="L2827" s="1">
        <v>46292.342430555553</v>
      </c>
      <c r="M2827" s="2">
        <v>46292</v>
      </c>
      <c r="N2827" t="s">
        <v>642</v>
      </c>
      <c r="O2827" t="s">
        <v>625</v>
      </c>
      <c r="P2827">
        <v>1</v>
      </c>
      <c r="Q2827">
        <v>0</v>
      </c>
      <c r="R2827">
        <v>23.51</v>
      </c>
      <c r="S2827" t="s">
        <v>251</v>
      </c>
      <c r="T2827" t="s">
        <v>776</v>
      </c>
    </row>
    <row r="2828" spans="1:20" x14ac:dyDescent="0.3">
      <c r="A2828">
        <v>2827</v>
      </c>
      <c r="B2828">
        <v>246</v>
      </c>
      <c r="C2828">
        <v>4</v>
      </c>
      <c r="D2828">
        <v>27.19</v>
      </c>
      <c r="E2828">
        <v>2.72</v>
      </c>
      <c r="F2828">
        <v>0</v>
      </c>
      <c r="G2828">
        <v>0.1</v>
      </c>
      <c r="H2828" t="s">
        <v>622</v>
      </c>
      <c r="J2828" t="s">
        <v>623</v>
      </c>
      <c r="K2828" s="1"/>
      <c r="L2828" s="1">
        <v>46292.343090277776</v>
      </c>
      <c r="M2828" s="2">
        <v>46292</v>
      </c>
      <c r="N2828" t="s">
        <v>642</v>
      </c>
      <c r="O2828" t="s">
        <v>625</v>
      </c>
      <c r="P2828">
        <v>1</v>
      </c>
      <c r="Q2828">
        <v>0</v>
      </c>
      <c r="R2828">
        <v>27.19</v>
      </c>
      <c r="S2828" t="s">
        <v>487</v>
      </c>
      <c r="T2828" t="s">
        <v>778</v>
      </c>
    </row>
    <row r="2829" spans="1:20" x14ac:dyDescent="0.3">
      <c r="A2829">
        <v>2828</v>
      </c>
      <c r="B2829">
        <v>146</v>
      </c>
      <c r="C2829">
        <v>4</v>
      </c>
      <c r="D2829">
        <v>26.64</v>
      </c>
      <c r="E2829">
        <v>2.66</v>
      </c>
      <c r="F2829">
        <v>0</v>
      </c>
      <c r="G2829">
        <v>0.1</v>
      </c>
      <c r="H2829" t="s">
        <v>622</v>
      </c>
      <c r="J2829" t="s">
        <v>623</v>
      </c>
      <c r="K2829" s="1"/>
      <c r="L2829" s="1">
        <v>46292.52553240741</v>
      </c>
      <c r="M2829" s="2">
        <v>46292</v>
      </c>
      <c r="N2829" t="s">
        <v>642</v>
      </c>
      <c r="O2829" t="s">
        <v>625</v>
      </c>
      <c r="P2829">
        <v>1</v>
      </c>
      <c r="Q2829">
        <v>0</v>
      </c>
      <c r="R2829">
        <v>26.64</v>
      </c>
      <c r="S2829" t="s">
        <v>287</v>
      </c>
      <c r="T2829" t="s">
        <v>778</v>
      </c>
    </row>
    <row r="2830" spans="1:20" x14ac:dyDescent="0.3">
      <c r="A2830">
        <v>2829</v>
      </c>
      <c r="B2830">
        <v>128</v>
      </c>
      <c r="C2830">
        <v>2</v>
      </c>
      <c r="D2830">
        <v>35.78</v>
      </c>
      <c r="E2830">
        <v>3.58</v>
      </c>
      <c r="F2830">
        <v>0</v>
      </c>
      <c r="G2830">
        <v>0.1</v>
      </c>
      <c r="H2830" t="s">
        <v>622</v>
      </c>
      <c r="J2830" t="s">
        <v>623</v>
      </c>
      <c r="K2830" s="1"/>
      <c r="L2830" s="1">
        <v>46292.774918981479</v>
      </c>
      <c r="M2830" s="2">
        <v>46292</v>
      </c>
      <c r="N2830" t="s">
        <v>642</v>
      </c>
      <c r="O2830" t="s">
        <v>625</v>
      </c>
      <c r="P2830">
        <v>1</v>
      </c>
      <c r="Q2830">
        <v>0</v>
      </c>
      <c r="R2830">
        <v>35.78</v>
      </c>
      <c r="S2830" t="s">
        <v>251</v>
      </c>
      <c r="T2830" t="s">
        <v>776</v>
      </c>
    </row>
    <row r="2831" spans="1:20" x14ac:dyDescent="0.3">
      <c r="A2831">
        <v>2830</v>
      </c>
      <c r="B2831">
        <v>250</v>
      </c>
      <c r="C2831">
        <v>3</v>
      </c>
      <c r="D2831">
        <v>86.01</v>
      </c>
      <c r="E2831">
        <v>0</v>
      </c>
      <c r="F2831">
        <v>1</v>
      </c>
      <c r="G2831">
        <v>0.1</v>
      </c>
      <c r="H2831" t="s">
        <v>622</v>
      </c>
      <c r="J2831" t="s">
        <v>623</v>
      </c>
      <c r="K2831" s="1"/>
      <c r="L2831" s="1">
        <v>46293.307233796295</v>
      </c>
      <c r="M2831" s="2">
        <v>46293</v>
      </c>
      <c r="N2831" t="s">
        <v>642</v>
      </c>
      <c r="O2831" t="s">
        <v>629</v>
      </c>
      <c r="P2831">
        <v>1</v>
      </c>
      <c r="Q2831">
        <v>0</v>
      </c>
      <c r="R2831">
        <v>86.01</v>
      </c>
      <c r="S2831" t="s">
        <v>495</v>
      </c>
      <c r="T2831" t="s">
        <v>777</v>
      </c>
    </row>
    <row r="2832" spans="1:20" x14ac:dyDescent="0.3">
      <c r="A2832">
        <v>2831</v>
      </c>
      <c r="B2832">
        <v>87</v>
      </c>
      <c r="C2832">
        <v>4</v>
      </c>
      <c r="D2832">
        <v>93.27</v>
      </c>
      <c r="E2832">
        <v>9.33</v>
      </c>
      <c r="F2832">
        <v>0</v>
      </c>
      <c r="G2832">
        <v>0.1</v>
      </c>
      <c r="H2832" t="s">
        <v>622</v>
      </c>
      <c r="J2832" t="s">
        <v>623</v>
      </c>
      <c r="K2832" s="1"/>
      <c r="L2832" s="1">
        <v>46293.325358796297</v>
      </c>
      <c r="M2832" s="2">
        <v>46293</v>
      </c>
      <c r="N2832" t="s">
        <v>642</v>
      </c>
      <c r="O2832" t="s">
        <v>625</v>
      </c>
      <c r="P2832">
        <v>1</v>
      </c>
      <c r="Q2832">
        <v>0</v>
      </c>
      <c r="R2832">
        <v>93.27</v>
      </c>
      <c r="S2832" t="s">
        <v>169</v>
      </c>
      <c r="T2832" t="s">
        <v>778</v>
      </c>
    </row>
    <row r="2833" spans="1:20" x14ac:dyDescent="0.3">
      <c r="A2833">
        <v>2832</v>
      </c>
      <c r="B2833">
        <v>134</v>
      </c>
      <c r="C2833">
        <v>2</v>
      </c>
      <c r="D2833">
        <v>49.44</v>
      </c>
      <c r="E2833">
        <v>4.9400000000000004</v>
      </c>
      <c r="F2833">
        <v>0</v>
      </c>
      <c r="G2833">
        <v>0.1</v>
      </c>
      <c r="H2833" t="s">
        <v>622</v>
      </c>
      <c r="J2833" t="s">
        <v>623</v>
      </c>
      <c r="K2833" s="1"/>
      <c r="L2833" s="1">
        <v>46293.346770833334</v>
      </c>
      <c r="M2833" s="2">
        <v>46293</v>
      </c>
      <c r="N2833" t="s">
        <v>642</v>
      </c>
      <c r="O2833" t="s">
        <v>625</v>
      </c>
      <c r="P2833">
        <v>1</v>
      </c>
      <c r="Q2833">
        <v>0</v>
      </c>
      <c r="R2833">
        <v>49.44</v>
      </c>
      <c r="S2833" t="s">
        <v>263</v>
      </c>
      <c r="T2833" t="s">
        <v>776</v>
      </c>
    </row>
    <row r="2834" spans="1:20" x14ac:dyDescent="0.3">
      <c r="A2834">
        <v>2833</v>
      </c>
      <c r="B2834">
        <v>134</v>
      </c>
      <c r="C2834">
        <v>3</v>
      </c>
      <c r="D2834">
        <v>57.18</v>
      </c>
      <c r="E2834">
        <v>5.72</v>
      </c>
      <c r="F2834">
        <v>0</v>
      </c>
      <c r="G2834">
        <v>0.1</v>
      </c>
      <c r="H2834" t="s">
        <v>622</v>
      </c>
      <c r="J2834" t="s">
        <v>623</v>
      </c>
      <c r="K2834" s="1"/>
      <c r="L2834" s="1">
        <v>46293.351273148146</v>
      </c>
      <c r="M2834" s="2">
        <v>46293</v>
      </c>
      <c r="N2834" t="s">
        <v>642</v>
      </c>
      <c r="O2834" t="s">
        <v>625</v>
      </c>
      <c r="P2834">
        <v>1</v>
      </c>
      <c r="Q2834">
        <v>0</v>
      </c>
      <c r="R2834">
        <v>57.18</v>
      </c>
      <c r="S2834" t="s">
        <v>263</v>
      </c>
      <c r="T2834" t="s">
        <v>777</v>
      </c>
    </row>
    <row r="2835" spans="1:20" x14ac:dyDescent="0.3">
      <c r="A2835">
        <v>2834</v>
      </c>
      <c r="B2835">
        <v>134</v>
      </c>
      <c r="C2835">
        <v>3</v>
      </c>
      <c r="D2835">
        <v>72.430000000000007</v>
      </c>
      <c r="E2835">
        <v>7.24</v>
      </c>
      <c r="F2835">
        <v>0</v>
      </c>
      <c r="G2835">
        <v>0.1</v>
      </c>
      <c r="H2835" t="s">
        <v>622</v>
      </c>
      <c r="J2835" t="s">
        <v>623</v>
      </c>
      <c r="K2835" s="1"/>
      <c r="L2835" s="1">
        <v>46293.373564814814</v>
      </c>
      <c r="M2835" s="2">
        <v>46293</v>
      </c>
      <c r="N2835" t="s">
        <v>642</v>
      </c>
      <c r="O2835" t="s">
        <v>625</v>
      </c>
      <c r="P2835">
        <v>1</v>
      </c>
      <c r="Q2835">
        <v>0</v>
      </c>
      <c r="R2835">
        <v>72.430000000000007</v>
      </c>
      <c r="S2835" t="s">
        <v>263</v>
      </c>
      <c r="T2835" t="s">
        <v>777</v>
      </c>
    </row>
    <row r="2836" spans="1:20" x14ac:dyDescent="0.3">
      <c r="A2836">
        <v>2835</v>
      </c>
      <c r="B2836">
        <v>285</v>
      </c>
      <c r="C2836">
        <v>2</v>
      </c>
      <c r="D2836">
        <v>44</v>
      </c>
      <c r="E2836">
        <v>4.4000000000000004</v>
      </c>
      <c r="F2836">
        <v>0</v>
      </c>
      <c r="G2836">
        <v>0.1</v>
      </c>
      <c r="H2836" t="s">
        <v>622</v>
      </c>
      <c r="J2836" t="s">
        <v>623</v>
      </c>
      <c r="K2836" s="1"/>
      <c r="L2836" s="1">
        <v>46293.395972222221</v>
      </c>
      <c r="M2836" s="2">
        <v>46293</v>
      </c>
      <c r="N2836" t="s">
        <v>642</v>
      </c>
      <c r="O2836" t="s">
        <v>625</v>
      </c>
      <c r="P2836">
        <v>1</v>
      </c>
      <c r="Q2836">
        <v>0</v>
      </c>
      <c r="R2836">
        <v>44</v>
      </c>
      <c r="S2836" t="s">
        <v>565</v>
      </c>
      <c r="T2836" t="s">
        <v>776</v>
      </c>
    </row>
    <row r="2837" spans="1:20" x14ac:dyDescent="0.3">
      <c r="A2837">
        <v>2836</v>
      </c>
      <c r="B2837">
        <v>48</v>
      </c>
      <c r="C2837">
        <v>5</v>
      </c>
      <c r="D2837">
        <v>96.43</v>
      </c>
      <c r="E2837">
        <v>9.64</v>
      </c>
      <c r="F2837">
        <v>0</v>
      </c>
      <c r="G2837">
        <v>0.1</v>
      </c>
      <c r="H2837" t="s">
        <v>622</v>
      </c>
      <c r="J2837" t="s">
        <v>623</v>
      </c>
      <c r="K2837" s="1"/>
      <c r="L2837" s="1">
        <v>46293.401944444442</v>
      </c>
      <c r="M2837" s="2">
        <v>46293</v>
      </c>
      <c r="N2837" t="s">
        <v>642</v>
      </c>
      <c r="O2837" t="s">
        <v>625</v>
      </c>
      <c r="P2837">
        <v>1</v>
      </c>
      <c r="Q2837">
        <v>0</v>
      </c>
      <c r="R2837">
        <v>96.43</v>
      </c>
      <c r="S2837" t="s">
        <v>92</v>
      </c>
      <c r="T2837" t="s">
        <v>779</v>
      </c>
    </row>
    <row r="2838" spans="1:20" x14ac:dyDescent="0.3">
      <c r="A2838">
        <v>2837</v>
      </c>
      <c r="B2838">
        <v>225</v>
      </c>
      <c r="C2838">
        <v>3</v>
      </c>
      <c r="D2838">
        <v>20.399999999999999</v>
      </c>
      <c r="E2838">
        <v>2.04</v>
      </c>
      <c r="F2838">
        <v>0</v>
      </c>
      <c r="G2838">
        <v>0.1</v>
      </c>
      <c r="H2838" t="s">
        <v>622</v>
      </c>
      <c r="J2838" t="s">
        <v>623</v>
      </c>
      <c r="K2838" s="1"/>
      <c r="L2838" s="1">
        <v>46293.46665509259</v>
      </c>
      <c r="M2838" s="2">
        <v>46293</v>
      </c>
      <c r="N2838" t="s">
        <v>642</v>
      </c>
      <c r="O2838" t="s">
        <v>625</v>
      </c>
      <c r="P2838">
        <v>1</v>
      </c>
      <c r="Q2838">
        <v>0</v>
      </c>
      <c r="R2838">
        <v>20.399999999999999</v>
      </c>
      <c r="S2838" t="s">
        <v>445</v>
      </c>
      <c r="T2838" t="s">
        <v>777</v>
      </c>
    </row>
    <row r="2839" spans="1:20" x14ac:dyDescent="0.3">
      <c r="A2839">
        <v>2838</v>
      </c>
      <c r="B2839">
        <v>220</v>
      </c>
      <c r="C2839">
        <v>4</v>
      </c>
      <c r="D2839">
        <v>38.270000000000003</v>
      </c>
      <c r="E2839">
        <v>3.83</v>
      </c>
      <c r="F2839">
        <v>0</v>
      </c>
      <c r="G2839">
        <v>0.1</v>
      </c>
      <c r="H2839" t="s">
        <v>622</v>
      </c>
      <c r="J2839" t="s">
        <v>623</v>
      </c>
      <c r="K2839" s="1"/>
      <c r="L2839" s="1">
        <v>46293.732048611113</v>
      </c>
      <c r="M2839" s="2">
        <v>46293</v>
      </c>
      <c r="N2839" t="s">
        <v>642</v>
      </c>
      <c r="O2839" t="s">
        <v>625</v>
      </c>
      <c r="P2839">
        <v>1</v>
      </c>
      <c r="Q2839">
        <v>0</v>
      </c>
      <c r="R2839">
        <v>38.270000000000003</v>
      </c>
      <c r="S2839" t="s">
        <v>435</v>
      </c>
      <c r="T2839" t="s">
        <v>778</v>
      </c>
    </row>
    <row r="2840" spans="1:20" x14ac:dyDescent="0.3">
      <c r="A2840">
        <v>2839</v>
      </c>
      <c r="B2840">
        <v>250</v>
      </c>
      <c r="C2840">
        <v>3</v>
      </c>
      <c r="D2840">
        <v>111.9</v>
      </c>
      <c r="E2840">
        <v>11.19</v>
      </c>
      <c r="F2840">
        <v>0</v>
      </c>
      <c r="G2840">
        <v>0.1</v>
      </c>
      <c r="H2840" t="s">
        <v>622</v>
      </c>
      <c r="J2840" t="s">
        <v>623</v>
      </c>
      <c r="K2840" s="1"/>
      <c r="L2840" s="1">
        <v>46293.800104166665</v>
      </c>
      <c r="M2840" s="2">
        <v>46293</v>
      </c>
      <c r="N2840" t="s">
        <v>642</v>
      </c>
      <c r="O2840" t="s">
        <v>625</v>
      </c>
      <c r="P2840">
        <v>1</v>
      </c>
      <c r="Q2840">
        <v>0</v>
      </c>
      <c r="R2840">
        <v>111.9</v>
      </c>
      <c r="S2840" t="s">
        <v>495</v>
      </c>
      <c r="T2840" t="s">
        <v>777</v>
      </c>
    </row>
    <row r="2841" spans="1:20" x14ac:dyDescent="0.3">
      <c r="A2841">
        <v>2840</v>
      </c>
      <c r="B2841">
        <v>128</v>
      </c>
      <c r="C2841">
        <v>2</v>
      </c>
      <c r="D2841">
        <v>25.75</v>
      </c>
      <c r="E2841">
        <v>2.58</v>
      </c>
      <c r="F2841">
        <v>0</v>
      </c>
      <c r="G2841">
        <v>0.1</v>
      </c>
      <c r="H2841" t="s">
        <v>622</v>
      </c>
      <c r="J2841" t="s">
        <v>623</v>
      </c>
      <c r="K2841" s="1"/>
      <c r="L2841" s="1">
        <v>46293.814016203702</v>
      </c>
      <c r="M2841" s="2">
        <v>46293</v>
      </c>
      <c r="N2841" t="s">
        <v>642</v>
      </c>
      <c r="O2841" t="s">
        <v>625</v>
      </c>
      <c r="P2841">
        <v>1</v>
      </c>
      <c r="Q2841">
        <v>0</v>
      </c>
      <c r="R2841">
        <v>25.75</v>
      </c>
      <c r="S2841" t="s">
        <v>251</v>
      </c>
      <c r="T2841" t="s">
        <v>776</v>
      </c>
    </row>
    <row r="2842" spans="1:20" x14ac:dyDescent="0.3">
      <c r="A2842">
        <v>2841</v>
      </c>
      <c r="B2842">
        <v>297</v>
      </c>
      <c r="C2842">
        <v>2</v>
      </c>
      <c r="D2842">
        <v>60.53</v>
      </c>
      <c r="E2842">
        <v>6.05</v>
      </c>
      <c r="F2842">
        <v>0</v>
      </c>
      <c r="G2842">
        <v>0.1</v>
      </c>
      <c r="H2842" t="s">
        <v>622</v>
      </c>
      <c r="J2842" t="s">
        <v>623</v>
      </c>
      <c r="K2842" s="1"/>
      <c r="L2842" s="1">
        <v>46294.347511574073</v>
      </c>
      <c r="M2842" s="2">
        <v>46294</v>
      </c>
      <c r="N2842" t="s">
        <v>642</v>
      </c>
      <c r="O2842" t="s">
        <v>625</v>
      </c>
      <c r="P2842">
        <v>1</v>
      </c>
      <c r="Q2842">
        <v>0</v>
      </c>
      <c r="R2842">
        <v>60.53</v>
      </c>
      <c r="S2842" t="s">
        <v>589</v>
      </c>
      <c r="T2842" t="s">
        <v>776</v>
      </c>
    </row>
    <row r="2843" spans="1:20" x14ac:dyDescent="0.3">
      <c r="A2843">
        <v>2842</v>
      </c>
      <c r="B2843">
        <v>65</v>
      </c>
      <c r="C2843">
        <v>3</v>
      </c>
      <c r="D2843">
        <v>22.59</v>
      </c>
      <c r="E2843">
        <v>2.2599999999999998</v>
      </c>
      <c r="F2843">
        <v>0</v>
      </c>
      <c r="G2843">
        <v>0.1</v>
      </c>
      <c r="H2843" t="s">
        <v>626</v>
      </c>
      <c r="I2843">
        <v>4</v>
      </c>
      <c r="J2843" t="s">
        <v>628</v>
      </c>
      <c r="K2843" s="1">
        <v>46295.69222222222</v>
      </c>
      <c r="L2843" s="1">
        <v>46294.400555555556</v>
      </c>
      <c r="M2843" s="2">
        <v>46294</v>
      </c>
      <c r="N2843" t="s">
        <v>642</v>
      </c>
      <c r="O2843" t="s">
        <v>625</v>
      </c>
      <c r="P2843">
        <v>1</v>
      </c>
      <c r="Q2843">
        <v>1</v>
      </c>
      <c r="R2843">
        <v>0</v>
      </c>
      <c r="S2843" t="s">
        <v>126</v>
      </c>
      <c r="T2843" t="s">
        <v>777</v>
      </c>
    </row>
    <row r="2844" spans="1:20" x14ac:dyDescent="0.3">
      <c r="A2844">
        <v>2843</v>
      </c>
      <c r="B2844">
        <v>128</v>
      </c>
      <c r="C2844">
        <v>3</v>
      </c>
      <c r="D2844">
        <v>25.56</v>
      </c>
      <c r="E2844">
        <v>2.56</v>
      </c>
      <c r="F2844">
        <v>0</v>
      </c>
      <c r="G2844">
        <v>0.1</v>
      </c>
      <c r="H2844" t="s">
        <v>622</v>
      </c>
      <c r="J2844" t="s">
        <v>623</v>
      </c>
      <c r="K2844" s="1"/>
      <c r="L2844" s="1">
        <v>46294.41747685185</v>
      </c>
      <c r="M2844" s="2">
        <v>46294</v>
      </c>
      <c r="N2844" t="s">
        <v>642</v>
      </c>
      <c r="O2844" t="s">
        <v>625</v>
      </c>
      <c r="P2844">
        <v>1</v>
      </c>
      <c r="Q2844">
        <v>0</v>
      </c>
      <c r="R2844">
        <v>25.56</v>
      </c>
      <c r="S2844" t="s">
        <v>251</v>
      </c>
      <c r="T2844" t="s">
        <v>777</v>
      </c>
    </row>
    <row r="2845" spans="1:20" x14ac:dyDescent="0.3">
      <c r="A2845">
        <v>2844</v>
      </c>
      <c r="B2845">
        <v>285</v>
      </c>
      <c r="C2845">
        <v>4</v>
      </c>
      <c r="D2845">
        <v>23.17</v>
      </c>
      <c r="E2845">
        <v>2.3199999999999998</v>
      </c>
      <c r="F2845">
        <v>0</v>
      </c>
      <c r="G2845">
        <v>0.1</v>
      </c>
      <c r="H2845" t="s">
        <v>622</v>
      </c>
      <c r="J2845" t="s">
        <v>623</v>
      </c>
      <c r="K2845" s="1"/>
      <c r="L2845" s="1">
        <v>46294.447002314817</v>
      </c>
      <c r="M2845" s="2">
        <v>46294</v>
      </c>
      <c r="N2845" t="s">
        <v>642</v>
      </c>
      <c r="O2845" t="s">
        <v>625</v>
      </c>
      <c r="P2845">
        <v>1</v>
      </c>
      <c r="Q2845">
        <v>0</v>
      </c>
      <c r="R2845">
        <v>23.17</v>
      </c>
      <c r="S2845" t="s">
        <v>565</v>
      </c>
      <c r="T2845" t="s">
        <v>778</v>
      </c>
    </row>
    <row r="2846" spans="1:20" x14ac:dyDescent="0.3">
      <c r="A2846">
        <v>2845</v>
      </c>
      <c r="B2846">
        <v>284</v>
      </c>
      <c r="C2846">
        <v>3</v>
      </c>
      <c r="D2846">
        <v>19.100000000000001</v>
      </c>
      <c r="E2846">
        <v>1.91</v>
      </c>
      <c r="F2846">
        <v>0</v>
      </c>
      <c r="G2846">
        <v>0.1</v>
      </c>
      <c r="H2846" t="s">
        <v>622</v>
      </c>
      <c r="J2846" t="s">
        <v>623</v>
      </c>
      <c r="K2846" s="1"/>
      <c r="L2846" s="1">
        <v>46294.56758101852</v>
      </c>
      <c r="M2846" s="2">
        <v>46294</v>
      </c>
      <c r="N2846" t="s">
        <v>642</v>
      </c>
      <c r="O2846" t="s">
        <v>625</v>
      </c>
      <c r="P2846">
        <v>1</v>
      </c>
      <c r="Q2846">
        <v>0</v>
      </c>
      <c r="R2846">
        <v>19.100000000000001</v>
      </c>
      <c r="S2846" t="s">
        <v>563</v>
      </c>
      <c r="T2846" t="s">
        <v>777</v>
      </c>
    </row>
    <row r="2847" spans="1:20" x14ac:dyDescent="0.3">
      <c r="A2847">
        <v>2846</v>
      </c>
      <c r="B2847">
        <v>128</v>
      </c>
      <c r="C2847">
        <v>5</v>
      </c>
      <c r="D2847">
        <v>21.82</v>
      </c>
      <c r="E2847">
        <v>2.1800000000000002</v>
      </c>
      <c r="F2847">
        <v>0</v>
      </c>
      <c r="G2847">
        <v>0.1</v>
      </c>
      <c r="H2847" t="s">
        <v>622</v>
      </c>
      <c r="J2847" t="s">
        <v>623</v>
      </c>
      <c r="K2847" s="1"/>
      <c r="L2847" s="1">
        <v>46294.586909722224</v>
      </c>
      <c r="M2847" s="2">
        <v>46294</v>
      </c>
      <c r="N2847" t="s">
        <v>642</v>
      </c>
      <c r="O2847" t="s">
        <v>625</v>
      </c>
      <c r="P2847">
        <v>1</v>
      </c>
      <c r="Q2847">
        <v>0</v>
      </c>
      <c r="R2847">
        <v>21.82</v>
      </c>
      <c r="S2847" t="s">
        <v>251</v>
      </c>
      <c r="T2847" t="s">
        <v>779</v>
      </c>
    </row>
    <row r="2848" spans="1:20" x14ac:dyDescent="0.3">
      <c r="A2848">
        <v>2847</v>
      </c>
      <c r="B2848">
        <v>229</v>
      </c>
      <c r="C2848">
        <v>3</v>
      </c>
      <c r="D2848">
        <v>110.09</v>
      </c>
      <c r="E2848">
        <v>11.01</v>
      </c>
      <c r="F2848">
        <v>0</v>
      </c>
      <c r="G2848">
        <v>0.1</v>
      </c>
      <c r="H2848" t="s">
        <v>622</v>
      </c>
      <c r="J2848" t="s">
        <v>623</v>
      </c>
      <c r="K2848" s="1"/>
      <c r="L2848" s="1">
        <v>46294.694074074076</v>
      </c>
      <c r="M2848" s="2">
        <v>46294</v>
      </c>
      <c r="N2848" t="s">
        <v>642</v>
      </c>
      <c r="O2848" t="s">
        <v>625</v>
      </c>
      <c r="P2848">
        <v>1</v>
      </c>
      <c r="Q2848">
        <v>0</v>
      </c>
      <c r="R2848">
        <v>110.09</v>
      </c>
      <c r="S2848" t="s">
        <v>453</v>
      </c>
      <c r="T2848" t="s">
        <v>777</v>
      </c>
    </row>
    <row r="2849" spans="1:20" x14ac:dyDescent="0.3">
      <c r="A2849">
        <v>2848</v>
      </c>
      <c r="B2849">
        <v>134</v>
      </c>
      <c r="C2849">
        <v>4</v>
      </c>
      <c r="D2849">
        <v>82.1</v>
      </c>
      <c r="E2849">
        <v>8.2100000000000009</v>
      </c>
      <c r="F2849">
        <v>0</v>
      </c>
      <c r="G2849">
        <v>0.1</v>
      </c>
      <c r="H2849" t="s">
        <v>622</v>
      </c>
      <c r="J2849" t="s">
        <v>623</v>
      </c>
      <c r="K2849" s="1"/>
      <c r="L2849" s="1">
        <v>46294.707349537035</v>
      </c>
      <c r="M2849" s="2">
        <v>46294</v>
      </c>
      <c r="N2849" t="s">
        <v>642</v>
      </c>
      <c r="O2849" t="s">
        <v>625</v>
      </c>
      <c r="P2849">
        <v>1</v>
      </c>
      <c r="Q2849">
        <v>0</v>
      </c>
      <c r="R2849">
        <v>82.1</v>
      </c>
      <c r="S2849" t="s">
        <v>263</v>
      </c>
      <c r="T2849" t="s">
        <v>778</v>
      </c>
    </row>
    <row r="2850" spans="1:20" x14ac:dyDescent="0.3">
      <c r="A2850">
        <v>2849</v>
      </c>
      <c r="B2850">
        <v>134</v>
      </c>
      <c r="C2850">
        <v>2</v>
      </c>
      <c r="D2850">
        <v>80.61</v>
      </c>
      <c r="E2850">
        <v>8.06</v>
      </c>
      <c r="F2850">
        <v>0</v>
      </c>
      <c r="G2850">
        <v>0.1</v>
      </c>
      <c r="H2850" t="s">
        <v>622</v>
      </c>
      <c r="J2850" t="s">
        <v>623</v>
      </c>
      <c r="K2850" s="1"/>
      <c r="L2850" s="1">
        <v>46294.730358796296</v>
      </c>
      <c r="M2850" s="2">
        <v>46294</v>
      </c>
      <c r="N2850" t="s">
        <v>642</v>
      </c>
      <c r="O2850" t="s">
        <v>625</v>
      </c>
      <c r="P2850">
        <v>1</v>
      </c>
      <c r="Q2850">
        <v>0</v>
      </c>
      <c r="R2850">
        <v>80.61</v>
      </c>
      <c r="S2850" t="s">
        <v>263</v>
      </c>
      <c r="T2850" t="s">
        <v>776</v>
      </c>
    </row>
    <row r="2851" spans="1:20" x14ac:dyDescent="0.3">
      <c r="A2851">
        <v>2850</v>
      </c>
      <c r="B2851">
        <v>74</v>
      </c>
      <c r="C2851">
        <v>3</v>
      </c>
      <c r="D2851">
        <v>118.23</v>
      </c>
      <c r="E2851">
        <v>11.82</v>
      </c>
      <c r="F2851">
        <v>0</v>
      </c>
      <c r="G2851">
        <v>0.1</v>
      </c>
      <c r="H2851" t="s">
        <v>622</v>
      </c>
      <c r="J2851" t="s">
        <v>623</v>
      </c>
      <c r="K2851" s="1"/>
      <c r="L2851" s="1">
        <v>46294.765532407408</v>
      </c>
      <c r="M2851" s="2">
        <v>46294</v>
      </c>
      <c r="N2851" t="s">
        <v>642</v>
      </c>
      <c r="O2851" t="s">
        <v>625</v>
      </c>
      <c r="P2851">
        <v>1</v>
      </c>
      <c r="Q2851">
        <v>0</v>
      </c>
      <c r="R2851">
        <v>118.23</v>
      </c>
      <c r="S2851" t="s">
        <v>144</v>
      </c>
      <c r="T2851" t="s">
        <v>777</v>
      </c>
    </row>
    <row r="2852" spans="1:20" x14ac:dyDescent="0.3">
      <c r="A2852">
        <v>2851</v>
      </c>
      <c r="B2852">
        <v>285</v>
      </c>
      <c r="C2852">
        <v>3</v>
      </c>
      <c r="D2852">
        <v>34.54</v>
      </c>
      <c r="E2852">
        <v>3.45</v>
      </c>
      <c r="F2852">
        <v>0</v>
      </c>
      <c r="G2852">
        <v>0.1</v>
      </c>
      <c r="H2852" t="s">
        <v>622</v>
      </c>
      <c r="J2852" t="s">
        <v>623</v>
      </c>
      <c r="K2852" s="1"/>
      <c r="L2852" s="1">
        <v>46295.304884259262</v>
      </c>
      <c r="M2852" s="2">
        <v>46295</v>
      </c>
      <c r="N2852" t="s">
        <v>642</v>
      </c>
      <c r="O2852" t="s">
        <v>625</v>
      </c>
      <c r="P2852">
        <v>1</v>
      </c>
      <c r="Q2852">
        <v>0</v>
      </c>
      <c r="R2852">
        <v>34.54</v>
      </c>
      <c r="S2852" t="s">
        <v>565</v>
      </c>
      <c r="T2852" t="s">
        <v>777</v>
      </c>
    </row>
    <row r="2853" spans="1:20" x14ac:dyDescent="0.3">
      <c r="A2853">
        <v>2852</v>
      </c>
      <c r="B2853">
        <v>128</v>
      </c>
      <c r="C2853">
        <v>5</v>
      </c>
      <c r="D2853">
        <v>23.25</v>
      </c>
      <c r="E2853">
        <v>2.33</v>
      </c>
      <c r="F2853">
        <v>0</v>
      </c>
      <c r="G2853">
        <v>0.1</v>
      </c>
      <c r="H2853" t="s">
        <v>622</v>
      </c>
      <c r="J2853" t="s">
        <v>623</v>
      </c>
      <c r="K2853" s="1"/>
      <c r="L2853" s="1">
        <v>46295.308923611112</v>
      </c>
      <c r="M2853" s="2">
        <v>46295</v>
      </c>
      <c r="N2853" t="s">
        <v>642</v>
      </c>
      <c r="O2853" t="s">
        <v>625</v>
      </c>
      <c r="P2853">
        <v>1</v>
      </c>
      <c r="Q2853">
        <v>0</v>
      </c>
      <c r="R2853">
        <v>23.25</v>
      </c>
      <c r="S2853" t="s">
        <v>251</v>
      </c>
      <c r="T2853" t="s">
        <v>779</v>
      </c>
    </row>
    <row r="2854" spans="1:20" x14ac:dyDescent="0.3">
      <c r="A2854">
        <v>2853</v>
      </c>
      <c r="B2854">
        <v>134</v>
      </c>
      <c r="C2854">
        <v>4</v>
      </c>
      <c r="D2854">
        <v>105.58</v>
      </c>
      <c r="E2854">
        <v>10.56</v>
      </c>
      <c r="F2854">
        <v>0</v>
      </c>
      <c r="G2854">
        <v>0.1</v>
      </c>
      <c r="H2854" t="s">
        <v>622</v>
      </c>
      <c r="J2854" t="s">
        <v>623</v>
      </c>
      <c r="K2854" s="1"/>
      <c r="L2854" s="1">
        <v>46295.350011574075</v>
      </c>
      <c r="M2854" s="2">
        <v>46295</v>
      </c>
      <c r="N2854" t="s">
        <v>642</v>
      </c>
      <c r="O2854" t="s">
        <v>625</v>
      </c>
      <c r="P2854">
        <v>1</v>
      </c>
      <c r="Q2854">
        <v>0</v>
      </c>
      <c r="R2854">
        <v>105.58</v>
      </c>
      <c r="S2854" t="s">
        <v>263</v>
      </c>
      <c r="T2854" t="s">
        <v>778</v>
      </c>
    </row>
    <row r="2855" spans="1:20" x14ac:dyDescent="0.3">
      <c r="A2855">
        <v>2854</v>
      </c>
      <c r="B2855">
        <v>134</v>
      </c>
      <c r="C2855">
        <v>4</v>
      </c>
      <c r="D2855">
        <v>78.02</v>
      </c>
      <c r="E2855">
        <v>7.8</v>
      </c>
      <c r="F2855">
        <v>0</v>
      </c>
      <c r="G2855">
        <v>0.1</v>
      </c>
      <c r="H2855" t="s">
        <v>622</v>
      </c>
      <c r="J2855" t="s">
        <v>623</v>
      </c>
      <c r="K2855" s="1"/>
      <c r="L2855" s="1">
        <v>46295.372361111113</v>
      </c>
      <c r="M2855" s="2">
        <v>46295</v>
      </c>
      <c r="N2855" t="s">
        <v>642</v>
      </c>
      <c r="O2855" t="s">
        <v>625</v>
      </c>
      <c r="P2855">
        <v>1</v>
      </c>
      <c r="Q2855">
        <v>0</v>
      </c>
      <c r="R2855">
        <v>78.02</v>
      </c>
      <c r="S2855" t="s">
        <v>263</v>
      </c>
      <c r="T2855" t="s">
        <v>778</v>
      </c>
    </row>
    <row r="2856" spans="1:20" x14ac:dyDescent="0.3">
      <c r="A2856">
        <v>2855</v>
      </c>
      <c r="B2856">
        <v>134</v>
      </c>
      <c r="C2856">
        <v>5</v>
      </c>
      <c r="D2856">
        <v>73.680000000000007</v>
      </c>
      <c r="E2856">
        <v>0</v>
      </c>
      <c r="F2856">
        <v>1</v>
      </c>
      <c r="G2856">
        <v>0.1</v>
      </c>
      <c r="H2856" t="s">
        <v>622</v>
      </c>
      <c r="J2856" t="s">
        <v>623</v>
      </c>
      <c r="K2856" s="1"/>
      <c r="L2856" s="1">
        <v>46295.497187499997</v>
      </c>
      <c r="M2856" s="2">
        <v>46295</v>
      </c>
      <c r="N2856" t="s">
        <v>642</v>
      </c>
      <c r="O2856" t="s">
        <v>629</v>
      </c>
      <c r="P2856">
        <v>1</v>
      </c>
      <c r="Q2856">
        <v>0</v>
      </c>
      <c r="R2856">
        <v>73.680000000000007</v>
      </c>
      <c r="S2856" t="s">
        <v>263</v>
      </c>
      <c r="T2856" t="s">
        <v>779</v>
      </c>
    </row>
    <row r="2857" spans="1:20" x14ac:dyDescent="0.3">
      <c r="A2857">
        <v>2856</v>
      </c>
      <c r="B2857">
        <v>250</v>
      </c>
      <c r="C2857">
        <v>4</v>
      </c>
      <c r="D2857">
        <v>77.67</v>
      </c>
      <c r="E2857">
        <v>7.77</v>
      </c>
      <c r="F2857">
        <v>0</v>
      </c>
      <c r="G2857">
        <v>0.1</v>
      </c>
      <c r="H2857" t="s">
        <v>622</v>
      </c>
      <c r="J2857" t="s">
        <v>623</v>
      </c>
      <c r="K2857" s="1"/>
      <c r="L2857" s="1">
        <v>46295.65357638889</v>
      </c>
      <c r="M2857" s="2">
        <v>46295</v>
      </c>
      <c r="N2857" t="s">
        <v>642</v>
      </c>
      <c r="O2857" t="s">
        <v>625</v>
      </c>
      <c r="P2857">
        <v>1</v>
      </c>
      <c r="Q2857">
        <v>0</v>
      </c>
      <c r="R2857">
        <v>77.67</v>
      </c>
      <c r="S2857" t="s">
        <v>495</v>
      </c>
      <c r="T2857" t="s">
        <v>778</v>
      </c>
    </row>
    <row r="2858" spans="1:20" x14ac:dyDescent="0.3">
      <c r="A2858">
        <v>2857</v>
      </c>
      <c r="B2858">
        <v>208</v>
      </c>
      <c r="C2858">
        <v>3</v>
      </c>
      <c r="D2858">
        <v>23.99</v>
      </c>
      <c r="E2858">
        <v>2.4</v>
      </c>
      <c r="F2858">
        <v>0</v>
      </c>
      <c r="G2858">
        <v>0.1</v>
      </c>
      <c r="H2858" t="s">
        <v>622</v>
      </c>
      <c r="J2858" t="s">
        <v>623</v>
      </c>
      <c r="K2858" s="1"/>
      <c r="L2858" s="1">
        <v>46295.754236111112</v>
      </c>
      <c r="M2858" s="2">
        <v>46295</v>
      </c>
      <c r="N2858" t="s">
        <v>642</v>
      </c>
      <c r="O2858" t="s">
        <v>625</v>
      </c>
      <c r="P2858">
        <v>1</v>
      </c>
      <c r="Q2858">
        <v>0</v>
      </c>
      <c r="R2858">
        <v>23.99</v>
      </c>
      <c r="S2858" t="s">
        <v>411</v>
      </c>
      <c r="T2858" t="s">
        <v>777</v>
      </c>
    </row>
    <row r="2859" spans="1:20" x14ac:dyDescent="0.3">
      <c r="A2859">
        <v>2858</v>
      </c>
      <c r="B2859">
        <v>22</v>
      </c>
      <c r="C2859">
        <v>5</v>
      </c>
      <c r="D2859">
        <v>45.58</v>
      </c>
      <c r="E2859">
        <v>4.5599999999999996</v>
      </c>
      <c r="F2859">
        <v>0</v>
      </c>
      <c r="G2859">
        <v>0.1</v>
      </c>
      <c r="H2859" t="s">
        <v>622</v>
      </c>
      <c r="J2859" t="s">
        <v>623</v>
      </c>
      <c r="K2859" s="1"/>
      <c r="L2859" s="1">
        <v>46296.418124999997</v>
      </c>
      <c r="M2859" s="2">
        <v>46296</v>
      </c>
      <c r="N2859" t="s">
        <v>643</v>
      </c>
      <c r="O2859" t="s">
        <v>625</v>
      </c>
      <c r="P2859">
        <v>1</v>
      </c>
      <c r="Q2859">
        <v>0</v>
      </c>
      <c r="R2859">
        <v>45.58</v>
      </c>
      <c r="S2859" t="s">
        <v>40</v>
      </c>
      <c r="T2859" t="s">
        <v>779</v>
      </c>
    </row>
    <row r="2860" spans="1:20" x14ac:dyDescent="0.3">
      <c r="A2860">
        <v>2859</v>
      </c>
      <c r="B2860">
        <v>243</v>
      </c>
      <c r="C2860">
        <v>2</v>
      </c>
      <c r="D2860">
        <v>42.08</v>
      </c>
      <c r="E2860">
        <v>4.21</v>
      </c>
      <c r="F2860">
        <v>0</v>
      </c>
      <c r="G2860">
        <v>0.1</v>
      </c>
      <c r="H2860" t="s">
        <v>622</v>
      </c>
      <c r="J2860" t="s">
        <v>623</v>
      </c>
      <c r="K2860" s="1"/>
      <c r="L2860" s="1">
        <v>46296.444027777776</v>
      </c>
      <c r="M2860" s="2">
        <v>46296</v>
      </c>
      <c r="N2860" t="s">
        <v>643</v>
      </c>
      <c r="O2860" t="s">
        <v>625</v>
      </c>
      <c r="P2860">
        <v>1</v>
      </c>
      <c r="Q2860">
        <v>0</v>
      </c>
      <c r="R2860">
        <v>42.08</v>
      </c>
      <c r="S2860" t="s">
        <v>481</v>
      </c>
      <c r="T2860" t="s">
        <v>776</v>
      </c>
    </row>
    <row r="2861" spans="1:20" x14ac:dyDescent="0.3">
      <c r="A2861">
        <v>2860</v>
      </c>
      <c r="B2861">
        <v>220</v>
      </c>
      <c r="C2861">
        <v>2</v>
      </c>
      <c r="D2861">
        <v>42.38</v>
      </c>
      <c r="E2861">
        <v>4.24</v>
      </c>
      <c r="F2861">
        <v>0</v>
      </c>
      <c r="G2861">
        <v>0.1</v>
      </c>
      <c r="H2861" t="s">
        <v>622</v>
      </c>
      <c r="J2861" t="s">
        <v>623</v>
      </c>
      <c r="K2861" s="1"/>
      <c r="L2861" s="1">
        <v>46296.47420138889</v>
      </c>
      <c r="M2861" s="2">
        <v>46296</v>
      </c>
      <c r="N2861" t="s">
        <v>643</v>
      </c>
      <c r="O2861" t="s">
        <v>625</v>
      </c>
      <c r="P2861">
        <v>1</v>
      </c>
      <c r="Q2861">
        <v>0</v>
      </c>
      <c r="R2861">
        <v>42.38</v>
      </c>
      <c r="S2861" t="s">
        <v>435</v>
      </c>
      <c r="T2861" t="s">
        <v>776</v>
      </c>
    </row>
    <row r="2862" spans="1:20" x14ac:dyDescent="0.3">
      <c r="A2862">
        <v>2861</v>
      </c>
      <c r="B2862">
        <v>75</v>
      </c>
      <c r="C2862">
        <v>5</v>
      </c>
      <c r="D2862">
        <v>83.3</v>
      </c>
      <c r="E2862">
        <v>8.33</v>
      </c>
      <c r="F2862">
        <v>0</v>
      </c>
      <c r="G2862">
        <v>0.1</v>
      </c>
      <c r="H2862" t="s">
        <v>622</v>
      </c>
      <c r="J2862" t="s">
        <v>623</v>
      </c>
      <c r="K2862" s="1"/>
      <c r="L2862" s="1">
        <v>46296.536261574074</v>
      </c>
      <c r="M2862" s="2">
        <v>46296</v>
      </c>
      <c r="N2862" t="s">
        <v>643</v>
      </c>
      <c r="O2862" t="s">
        <v>625</v>
      </c>
      <c r="P2862">
        <v>1</v>
      </c>
      <c r="Q2862">
        <v>0</v>
      </c>
      <c r="R2862">
        <v>83.3</v>
      </c>
      <c r="S2862" t="s">
        <v>146</v>
      </c>
      <c r="T2862" t="s">
        <v>779</v>
      </c>
    </row>
    <row r="2863" spans="1:20" x14ac:dyDescent="0.3">
      <c r="A2863">
        <v>2862</v>
      </c>
      <c r="B2863">
        <v>161</v>
      </c>
      <c r="C2863">
        <v>5</v>
      </c>
      <c r="D2863">
        <v>85.85</v>
      </c>
      <c r="E2863">
        <v>8.59</v>
      </c>
      <c r="F2863">
        <v>0</v>
      </c>
      <c r="G2863">
        <v>0.1</v>
      </c>
      <c r="H2863" t="s">
        <v>622</v>
      </c>
      <c r="J2863" t="s">
        <v>623</v>
      </c>
      <c r="K2863" s="1"/>
      <c r="L2863" s="1">
        <v>46296.598009259258</v>
      </c>
      <c r="M2863" s="2">
        <v>46296</v>
      </c>
      <c r="N2863" t="s">
        <v>643</v>
      </c>
      <c r="O2863" t="s">
        <v>625</v>
      </c>
      <c r="P2863">
        <v>1</v>
      </c>
      <c r="Q2863">
        <v>0</v>
      </c>
      <c r="R2863">
        <v>85.85</v>
      </c>
      <c r="S2863" t="s">
        <v>317</v>
      </c>
      <c r="T2863" t="s">
        <v>779</v>
      </c>
    </row>
    <row r="2864" spans="1:20" x14ac:dyDescent="0.3">
      <c r="A2864">
        <v>2863</v>
      </c>
      <c r="B2864">
        <v>293</v>
      </c>
      <c r="C2864">
        <v>4</v>
      </c>
      <c r="D2864">
        <v>36.340000000000003</v>
      </c>
      <c r="E2864">
        <v>3.63</v>
      </c>
      <c r="F2864">
        <v>0</v>
      </c>
      <c r="G2864">
        <v>0.1</v>
      </c>
      <c r="H2864" t="s">
        <v>622</v>
      </c>
      <c r="J2864" t="s">
        <v>623</v>
      </c>
      <c r="K2864" s="1"/>
      <c r="L2864" s="1">
        <v>46296.744398148148</v>
      </c>
      <c r="M2864" s="2">
        <v>46296</v>
      </c>
      <c r="N2864" t="s">
        <v>643</v>
      </c>
      <c r="O2864" t="s">
        <v>625</v>
      </c>
      <c r="P2864">
        <v>1</v>
      </c>
      <c r="Q2864">
        <v>0</v>
      </c>
      <c r="R2864">
        <v>36.340000000000003</v>
      </c>
      <c r="S2864" t="s">
        <v>581</v>
      </c>
      <c r="T2864" t="s">
        <v>778</v>
      </c>
    </row>
    <row r="2865" spans="1:20" x14ac:dyDescent="0.3">
      <c r="A2865">
        <v>2864</v>
      </c>
      <c r="B2865">
        <v>194</v>
      </c>
      <c r="C2865">
        <v>2</v>
      </c>
      <c r="D2865">
        <v>59.85</v>
      </c>
      <c r="E2865">
        <v>5.99</v>
      </c>
      <c r="F2865">
        <v>0</v>
      </c>
      <c r="G2865">
        <v>0.1</v>
      </c>
      <c r="H2865" t="s">
        <v>622</v>
      </c>
      <c r="J2865" t="s">
        <v>623</v>
      </c>
      <c r="K2865" s="1"/>
      <c r="L2865" s="1">
        <v>46296.76</v>
      </c>
      <c r="M2865" s="2">
        <v>46296</v>
      </c>
      <c r="N2865" t="s">
        <v>643</v>
      </c>
      <c r="O2865" t="s">
        <v>625</v>
      </c>
      <c r="P2865">
        <v>1</v>
      </c>
      <c r="Q2865">
        <v>0</v>
      </c>
      <c r="R2865">
        <v>59.85</v>
      </c>
      <c r="S2865" t="s">
        <v>383</v>
      </c>
      <c r="T2865" t="s">
        <v>776</v>
      </c>
    </row>
    <row r="2866" spans="1:20" x14ac:dyDescent="0.3">
      <c r="A2866">
        <v>2865</v>
      </c>
      <c r="B2866">
        <v>174</v>
      </c>
      <c r="C2866">
        <v>5</v>
      </c>
      <c r="D2866">
        <v>29.79</v>
      </c>
      <c r="E2866">
        <v>2.98</v>
      </c>
      <c r="F2866">
        <v>0</v>
      </c>
      <c r="G2866">
        <v>0.1</v>
      </c>
      <c r="H2866" t="s">
        <v>622</v>
      </c>
      <c r="J2866" t="s">
        <v>623</v>
      </c>
      <c r="K2866" s="1"/>
      <c r="L2866" s="1">
        <v>46296.778923611113</v>
      </c>
      <c r="M2866" s="2">
        <v>46296</v>
      </c>
      <c r="N2866" t="s">
        <v>643</v>
      </c>
      <c r="O2866" t="s">
        <v>625</v>
      </c>
      <c r="P2866">
        <v>1</v>
      </c>
      <c r="Q2866">
        <v>0</v>
      </c>
      <c r="R2866">
        <v>29.79</v>
      </c>
      <c r="S2866" t="s">
        <v>343</v>
      </c>
      <c r="T2866" t="s">
        <v>779</v>
      </c>
    </row>
    <row r="2867" spans="1:20" x14ac:dyDescent="0.3">
      <c r="A2867">
        <v>2866</v>
      </c>
      <c r="B2867">
        <v>137</v>
      </c>
      <c r="C2867">
        <v>5</v>
      </c>
      <c r="D2867">
        <v>39.24</v>
      </c>
      <c r="E2867">
        <v>3.92</v>
      </c>
      <c r="F2867">
        <v>0</v>
      </c>
      <c r="G2867">
        <v>0.1</v>
      </c>
      <c r="H2867" t="s">
        <v>622</v>
      </c>
      <c r="J2867" t="s">
        <v>623</v>
      </c>
      <c r="K2867" s="1"/>
      <c r="L2867" s="1">
        <v>46297.344317129631</v>
      </c>
      <c r="M2867" s="2">
        <v>46297</v>
      </c>
      <c r="N2867" t="s">
        <v>643</v>
      </c>
      <c r="O2867" t="s">
        <v>625</v>
      </c>
      <c r="P2867">
        <v>1</v>
      </c>
      <c r="Q2867">
        <v>0</v>
      </c>
      <c r="R2867">
        <v>39.24</v>
      </c>
      <c r="S2867" t="s">
        <v>269</v>
      </c>
      <c r="T2867" t="s">
        <v>779</v>
      </c>
    </row>
    <row r="2868" spans="1:20" x14ac:dyDescent="0.3">
      <c r="A2868">
        <v>2867</v>
      </c>
      <c r="B2868">
        <v>179</v>
      </c>
      <c r="C2868">
        <v>3</v>
      </c>
      <c r="D2868">
        <v>129.91999999999999</v>
      </c>
      <c r="E2868">
        <v>12.99</v>
      </c>
      <c r="F2868">
        <v>0</v>
      </c>
      <c r="G2868">
        <v>0.1</v>
      </c>
      <c r="H2868" t="s">
        <v>622</v>
      </c>
      <c r="J2868" t="s">
        <v>623</v>
      </c>
      <c r="K2868" s="1"/>
      <c r="L2868" s="1">
        <v>46297.346006944441</v>
      </c>
      <c r="M2868" s="2">
        <v>46297</v>
      </c>
      <c r="N2868" t="s">
        <v>643</v>
      </c>
      <c r="O2868" t="s">
        <v>625</v>
      </c>
      <c r="P2868">
        <v>1</v>
      </c>
      <c r="Q2868">
        <v>0</v>
      </c>
      <c r="R2868">
        <v>129.91999999999999</v>
      </c>
      <c r="S2868" t="s">
        <v>353</v>
      </c>
      <c r="T2868" t="s">
        <v>777</v>
      </c>
    </row>
    <row r="2869" spans="1:20" x14ac:dyDescent="0.3">
      <c r="A2869">
        <v>2868</v>
      </c>
      <c r="B2869">
        <v>128</v>
      </c>
      <c r="C2869">
        <v>3</v>
      </c>
      <c r="D2869">
        <v>27.04</v>
      </c>
      <c r="E2869">
        <v>2.7</v>
      </c>
      <c r="F2869">
        <v>0</v>
      </c>
      <c r="G2869">
        <v>0.1</v>
      </c>
      <c r="H2869" t="s">
        <v>622</v>
      </c>
      <c r="J2869" t="s">
        <v>623</v>
      </c>
      <c r="K2869" s="1"/>
      <c r="L2869" s="1">
        <v>46297.390243055554</v>
      </c>
      <c r="M2869" s="2">
        <v>46297</v>
      </c>
      <c r="N2869" t="s">
        <v>643</v>
      </c>
      <c r="O2869" t="s">
        <v>625</v>
      </c>
      <c r="P2869">
        <v>1</v>
      </c>
      <c r="Q2869">
        <v>0</v>
      </c>
      <c r="R2869">
        <v>27.04</v>
      </c>
      <c r="S2869" t="s">
        <v>251</v>
      </c>
      <c r="T2869" t="s">
        <v>777</v>
      </c>
    </row>
    <row r="2870" spans="1:20" x14ac:dyDescent="0.3">
      <c r="A2870">
        <v>2869</v>
      </c>
      <c r="B2870">
        <v>128</v>
      </c>
      <c r="C2870">
        <v>5</v>
      </c>
      <c r="D2870">
        <v>58.17</v>
      </c>
      <c r="E2870">
        <v>5.82</v>
      </c>
      <c r="F2870">
        <v>0</v>
      </c>
      <c r="G2870">
        <v>0.1</v>
      </c>
      <c r="H2870" t="s">
        <v>622</v>
      </c>
      <c r="J2870" t="s">
        <v>623</v>
      </c>
      <c r="K2870" s="1"/>
      <c r="L2870" s="1">
        <v>46297.445798611108</v>
      </c>
      <c r="M2870" s="2">
        <v>46297</v>
      </c>
      <c r="N2870" t="s">
        <v>643</v>
      </c>
      <c r="O2870" t="s">
        <v>625</v>
      </c>
      <c r="P2870">
        <v>1</v>
      </c>
      <c r="Q2870">
        <v>0</v>
      </c>
      <c r="R2870">
        <v>58.17</v>
      </c>
      <c r="S2870" t="s">
        <v>251</v>
      </c>
      <c r="T2870" t="s">
        <v>779</v>
      </c>
    </row>
    <row r="2871" spans="1:20" x14ac:dyDescent="0.3">
      <c r="A2871">
        <v>2870</v>
      </c>
      <c r="B2871">
        <v>25</v>
      </c>
      <c r="C2871">
        <v>4</v>
      </c>
      <c r="D2871">
        <v>48.43</v>
      </c>
      <c r="E2871">
        <v>0</v>
      </c>
      <c r="F2871">
        <v>1</v>
      </c>
      <c r="G2871">
        <v>0.1</v>
      </c>
      <c r="H2871" t="s">
        <v>622</v>
      </c>
      <c r="J2871" t="s">
        <v>623</v>
      </c>
      <c r="K2871" s="1"/>
      <c r="L2871" s="1">
        <v>46297.625972222224</v>
      </c>
      <c r="M2871" s="2">
        <v>46297</v>
      </c>
      <c r="N2871" t="s">
        <v>643</v>
      </c>
      <c r="O2871" t="s">
        <v>629</v>
      </c>
      <c r="P2871">
        <v>1</v>
      </c>
      <c r="Q2871">
        <v>0</v>
      </c>
      <c r="R2871">
        <v>48.43</v>
      </c>
      <c r="S2871" t="s">
        <v>46</v>
      </c>
      <c r="T2871" t="s">
        <v>778</v>
      </c>
    </row>
    <row r="2872" spans="1:20" x14ac:dyDescent="0.3">
      <c r="A2872">
        <v>2871</v>
      </c>
      <c r="B2872">
        <v>134</v>
      </c>
      <c r="C2872">
        <v>4</v>
      </c>
      <c r="D2872">
        <v>80.680000000000007</v>
      </c>
      <c r="E2872">
        <v>8.07</v>
      </c>
      <c r="F2872">
        <v>0</v>
      </c>
      <c r="G2872">
        <v>0.1</v>
      </c>
      <c r="H2872" t="s">
        <v>622</v>
      </c>
      <c r="J2872" t="s">
        <v>623</v>
      </c>
      <c r="K2872" s="1"/>
      <c r="L2872" s="1">
        <v>46297.69798611111</v>
      </c>
      <c r="M2872" s="2">
        <v>46297</v>
      </c>
      <c r="N2872" t="s">
        <v>643</v>
      </c>
      <c r="O2872" t="s">
        <v>625</v>
      </c>
      <c r="P2872">
        <v>1</v>
      </c>
      <c r="Q2872">
        <v>0</v>
      </c>
      <c r="R2872">
        <v>80.680000000000007</v>
      </c>
      <c r="S2872" t="s">
        <v>263</v>
      </c>
      <c r="T2872" t="s">
        <v>778</v>
      </c>
    </row>
    <row r="2873" spans="1:20" x14ac:dyDescent="0.3">
      <c r="A2873">
        <v>2872</v>
      </c>
      <c r="B2873">
        <v>229</v>
      </c>
      <c r="C2873">
        <v>3</v>
      </c>
      <c r="D2873">
        <v>122.78</v>
      </c>
      <c r="E2873">
        <v>12.28</v>
      </c>
      <c r="F2873">
        <v>0</v>
      </c>
      <c r="G2873">
        <v>0.1</v>
      </c>
      <c r="H2873" t="s">
        <v>622</v>
      </c>
      <c r="J2873" t="s">
        <v>623</v>
      </c>
      <c r="K2873" s="1"/>
      <c r="L2873" s="1">
        <v>46297.708414351851</v>
      </c>
      <c r="M2873" s="2">
        <v>46297</v>
      </c>
      <c r="N2873" t="s">
        <v>643</v>
      </c>
      <c r="O2873" t="s">
        <v>625</v>
      </c>
      <c r="P2873">
        <v>1</v>
      </c>
      <c r="Q2873">
        <v>0</v>
      </c>
      <c r="R2873">
        <v>122.78</v>
      </c>
      <c r="S2873" t="s">
        <v>453</v>
      </c>
      <c r="T2873" t="s">
        <v>777</v>
      </c>
    </row>
    <row r="2874" spans="1:20" x14ac:dyDescent="0.3">
      <c r="A2874">
        <v>2873</v>
      </c>
      <c r="B2874">
        <v>57</v>
      </c>
      <c r="C2874">
        <v>4</v>
      </c>
      <c r="D2874">
        <v>89.86</v>
      </c>
      <c r="E2874">
        <v>8.99</v>
      </c>
      <c r="F2874">
        <v>0</v>
      </c>
      <c r="G2874">
        <v>0.1</v>
      </c>
      <c r="H2874" t="s">
        <v>622</v>
      </c>
      <c r="J2874" t="s">
        <v>623</v>
      </c>
      <c r="K2874" s="1"/>
      <c r="L2874" s="1">
        <v>46298.298067129632</v>
      </c>
      <c r="M2874" s="2">
        <v>46298</v>
      </c>
      <c r="N2874" t="s">
        <v>643</v>
      </c>
      <c r="O2874" t="s">
        <v>625</v>
      </c>
      <c r="P2874">
        <v>1</v>
      </c>
      <c r="Q2874">
        <v>0</v>
      </c>
      <c r="R2874">
        <v>89.86</v>
      </c>
      <c r="S2874" t="s">
        <v>110</v>
      </c>
      <c r="T2874" t="s">
        <v>778</v>
      </c>
    </row>
    <row r="2875" spans="1:20" x14ac:dyDescent="0.3">
      <c r="A2875">
        <v>2874</v>
      </c>
      <c r="B2875">
        <v>106</v>
      </c>
      <c r="C2875">
        <v>4</v>
      </c>
      <c r="D2875">
        <v>104.89</v>
      </c>
      <c r="E2875">
        <v>10.49</v>
      </c>
      <c r="F2875">
        <v>0</v>
      </c>
      <c r="G2875">
        <v>0.1</v>
      </c>
      <c r="H2875" t="s">
        <v>622</v>
      </c>
      <c r="J2875" t="s">
        <v>623</v>
      </c>
      <c r="K2875" s="1"/>
      <c r="L2875" s="1">
        <v>46298.32849537037</v>
      </c>
      <c r="M2875" s="2">
        <v>46298</v>
      </c>
      <c r="N2875" t="s">
        <v>643</v>
      </c>
      <c r="O2875" t="s">
        <v>625</v>
      </c>
      <c r="P2875">
        <v>1</v>
      </c>
      <c r="Q2875">
        <v>0</v>
      </c>
      <c r="R2875">
        <v>104.89</v>
      </c>
      <c r="S2875" t="s">
        <v>207</v>
      </c>
      <c r="T2875" t="s">
        <v>778</v>
      </c>
    </row>
    <row r="2876" spans="1:20" x14ac:dyDescent="0.3">
      <c r="A2876">
        <v>2875</v>
      </c>
      <c r="B2876">
        <v>229</v>
      </c>
      <c r="C2876">
        <v>5</v>
      </c>
      <c r="D2876">
        <v>111.03</v>
      </c>
      <c r="E2876">
        <v>0</v>
      </c>
      <c r="F2876">
        <v>1</v>
      </c>
      <c r="G2876">
        <v>0.1</v>
      </c>
      <c r="H2876" t="s">
        <v>622</v>
      </c>
      <c r="J2876" t="s">
        <v>623</v>
      </c>
      <c r="K2876" s="1"/>
      <c r="L2876" s="1">
        <v>46298.367939814816</v>
      </c>
      <c r="M2876" s="2">
        <v>46298</v>
      </c>
      <c r="N2876" t="s">
        <v>643</v>
      </c>
      <c r="O2876" t="s">
        <v>629</v>
      </c>
      <c r="P2876">
        <v>1</v>
      </c>
      <c r="Q2876">
        <v>0</v>
      </c>
      <c r="R2876">
        <v>111.03</v>
      </c>
      <c r="S2876" t="s">
        <v>453</v>
      </c>
      <c r="T2876" t="s">
        <v>779</v>
      </c>
    </row>
    <row r="2877" spans="1:20" x14ac:dyDescent="0.3">
      <c r="A2877">
        <v>2876</v>
      </c>
      <c r="B2877">
        <v>190</v>
      </c>
      <c r="C2877">
        <v>2</v>
      </c>
      <c r="D2877">
        <v>193.33</v>
      </c>
      <c r="E2877">
        <v>19.329999999999998</v>
      </c>
      <c r="F2877">
        <v>0</v>
      </c>
      <c r="G2877">
        <v>0.1</v>
      </c>
      <c r="H2877" t="s">
        <v>622</v>
      </c>
      <c r="J2877" t="s">
        <v>623</v>
      </c>
      <c r="K2877" s="1"/>
      <c r="L2877" s="1">
        <v>46298.384618055556</v>
      </c>
      <c r="M2877" s="2">
        <v>46298</v>
      </c>
      <c r="N2877" t="s">
        <v>643</v>
      </c>
      <c r="O2877" t="s">
        <v>625</v>
      </c>
      <c r="P2877">
        <v>1</v>
      </c>
      <c r="Q2877">
        <v>0</v>
      </c>
      <c r="R2877">
        <v>193.33</v>
      </c>
      <c r="S2877" t="s">
        <v>375</v>
      </c>
      <c r="T2877" t="s">
        <v>776</v>
      </c>
    </row>
    <row r="2878" spans="1:20" x14ac:dyDescent="0.3">
      <c r="A2878">
        <v>2877</v>
      </c>
      <c r="B2878">
        <v>243</v>
      </c>
      <c r="C2878">
        <v>2</v>
      </c>
      <c r="D2878">
        <v>26.73</v>
      </c>
      <c r="E2878">
        <v>2.67</v>
      </c>
      <c r="F2878">
        <v>0</v>
      </c>
      <c r="G2878">
        <v>0.1</v>
      </c>
      <c r="H2878" t="s">
        <v>622</v>
      </c>
      <c r="J2878" t="s">
        <v>623</v>
      </c>
      <c r="K2878" s="1"/>
      <c r="L2878" s="1">
        <v>46298.388553240744</v>
      </c>
      <c r="M2878" s="2">
        <v>46298</v>
      </c>
      <c r="N2878" t="s">
        <v>643</v>
      </c>
      <c r="O2878" t="s">
        <v>625</v>
      </c>
      <c r="P2878">
        <v>1</v>
      </c>
      <c r="Q2878">
        <v>0</v>
      </c>
      <c r="R2878">
        <v>26.73</v>
      </c>
      <c r="S2878" t="s">
        <v>481</v>
      </c>
      <c r="T2878" t="s">
        <v>776</v>
      </c>
    </row>
    <row r="2879" spans="1:20" x14ac:dyDescent="0.3">
      <c r="A2879">
        <v>2878</v>
      </c>
      <c r="B2879">
        <v>86</v>
      </c>
      <c r="C2879">
        <v>2</v>
      </c>
      <c r="D2879">
        <v>24.89</v>
      </c>
      <c r="E2879">
        <v>2.4900000000000002</v>
      </c>
      <c r="F2879">
        <v>0</v>
      </c>
      <c r="G2879">
        <v>0.1</v>
      </c>
      <c r="H2879" t="s">
        <v>622</v>
      </c>
      <c r="J2879" t="s">
        <v>623</v>
      </c>
      <c r="K2879" s="1"/>
      <c r="L2879" s="1">
        <v>46298.431238425925</v>
      </c>
      <c r="M2879" s="2">
        <v>46298</v>
      </c>
      <c r="N2879" t="s">
        <v>643</v>
      </c>
      <c r="O2879" t="s">
        <v>625</v>
      </c>
      <c r="P2879">
        <v>1</v>
      </c>
      <c r="Q2879">
        <v>0</v>
      </c>
      <c r="R2879">
        <v>24.89</v>
      </c>
      <c r="S2879" t="s">
        <v>167</v>
      </c>
      <c r="T2879" t="s">
        <v>776</v>
      </c>
    </row>
    <row r="2880" spans="1:20" x14ac:dyDescent="0.3">
      <c r="A2880">
        <v>2879</v>
      </c>
      <c r="B2880">
        <v>293</v>
      </c>
      <c r="C2880">
        <v>3</v>
      </c>
      <c r="D2880">
        <v>31.15</v>
      </c>
      <c r="E2880">
        <v>3.12</v>
      </c>
      <c r="F2880">
        <v>0</v>
      </c>
      <c r="G2880">
        <v>0.1</v>
      </c>
      <c r="H2880" t="s">
        <v>622</v>
      </c>
      <c r="J2880" t="s">
        <v>623</v>
      </c>
      <c r="K2880" s="1"/>
      <c r="L2880" s="1">
        <v>46298.58357638889</v>
      </c>
      <c r="M2880" s="2">
        <v>46298</v>
      </c>
      <c r="N2880" t="s">
        <v>643</v>
      </c>
      <c r="O2880" t="s">
        <v>625</v>
      </c>
      <c r="P2880">
        <v>1</v>
      </c>
      <c r="Q2880">
        <v>0</v>
      </c>
      <c r="R2880">
        <v>31.15</v>
      </c>
      <c r="S2880" t="s">
        <v>581</v>
      </c>
      <c r="T2880" t="s">
        <v>777</v>
      </c>
    </row>
    <row r="2881" spans="1:20" x14ac:dyDescent="0.3">
      <c r="A2881">
        <v>2880</v>
      </c>
      <c r="B2881">
        <v>128</v>
      </c>
      <c r="C2881">
        <v>4</v>
      </c>
      <c r="D2881">
        <v>23.6</v>
      </c>
      <c r="E2881">
        <v>2.36</v>
      </c>
      <c r="F2881">
        <v>0</v>
      </c>
      <c r="G2881">
        <v>0.1</v>
      </c>
      <c r="H2881" t="s">
        <v>622</v>
      </c>
      <c r="J2881" t="s">
        <v>623</v>
      </c>
      <c r="K2881" s="1"/>
      <c r="L2881" s="1">
        <v>46298.695023148146</v>
      </c>
      <c r="M2881" s="2">
        <v>46298</v>
      </c>
      <c r="N2881" t="s">
        <v>643</v>
      </c>
      <c r="O2881" t="s">
        <v>625</v>
      </c>
      <c r="P2881">
        <v>1</v>
      </c>
      <c r="Q2881">
        <v>0</v>
      </c>
      <c r="R2881">
        <v>23.6</v>
      </c>
      <c r="S2881" t="s">
        <v>251</v>
      </c>
      <c r="T2881" t="s">
        <v>778</v>
      </c>
    </row>
    <row r="2882" spans="1:20" x14ac:dyDescent="0.3">
      <c r="A2882">
        <v>2881</v>
      </c>
      <c r="B2882">
        <v>250</v>
      </c>
      <c r="C2882">
        <v>3</v>
      </c>
      <c r="D2882">
        <v>41.96</v>
      </c>
      <c r="E2882">
        <v>4.2</v>
      </c>
      <c r="F2882">
        <v>0</v>
      </c>
      <c r="G2882">
        <v>0.1</v>
      </c>
      <c r="H2882" t="s">
        <v>622</v>
      </c>
      <c r="J2882" t="s">
        <v>623</v>
      </c>
      <c r="K2882" s="1"/>
      <c r="L2882" s="1">
        <v>46299.399710648147</v>
      </c>
      <c r="M2882" s="2">
        <v>46299</v>
      </c>
      <c r="N2882" t="s">
        <v>643</v>
      </c>
      <c r="O2882" t="s">
        <v>625</v>
      </c>
      <c r="P2882">
        <v>1</v>
      </c>
      <c r="Q2882">
        <v>0</v>
      </c>
      <c r="R2882">
        <v>41.96</v>
      </c>
      <c r="S2882" t="s">
        <v>495</v>
      </c>
      <c r="T2882" t="s">
        <v>777</v>
      </c>
    </row>
    <row r="2883" spans="1:20" x14ac:dyDescent="0.3">
      <c r="A2883">
        <v>2882</v>
      </c>
      <c r="B2883">
        <v>250</v>
      </c>
      <c r="C2883">
        <v>5</v>
      </c>
      <c r="D2883">
        <v>63.99</v>
      </c>
      <c r="E2883">
        <v>0</v>
      </c>
      <c r="F2883">
        <v>1</v>
      </c>
      <c r="G2883">
        <v>0.1</v>
      </c>
      <c r="H2883" t="s">
        <v>622</v>
      </c>
      <c r="J2883" t="s">
        <v>623</v>
      </c>
      <c r="K2883" s="1"/>
      <c r="L2883" s="1">
        <v>46299.500555555554</v>
      </c>
      <c r="M2883" s="2">
        <v>46299</v>
      </c>
      <c r="N2883" t="s">
        <v>643</v>
      </c>
      <c r="O2883" t="s">
        <v>629</v>
      </c>
      <c r="P2883">
        <v>1</v>
      </c>
      <c r="Q2883">
        <v>0</v>
      </c>
      <c r="R2883">
        <v>63.99</v>
      </c>
      <c r="S2883" t="s">
        <v>495</v>
      </c>
      <c r="T2883" t="s">
        <v>779</v>
      </c>
    </row>
    <row r="2884" spans="1:20" x14ac:dyDescent="0.3">
      <c r="A2884">
        <v>2883</v>
      </c>
      <c r="B2884">
        <v>248</v>
      </c>
      <c r="C2884">
        <v>5</v>
      </c>
      <c r="D2884">
        <v>108.38</v>
      </c>
      <c r="E2884">
        <v>10.84</v>
      </c>
      <c r="F2884">
        <v>0</v>
      </c>
      <c r="G2884">
        <v>0.1</v>
      </c>
      <c r="H2884" t="s">
        <v>622</v>
      </c>
      <c r="J2884" t="s">
        <v>623</v>
      </c>
      <c r="K2884" s="1"/>
      <c r="L2884" s="1">
        <v>46299.542175925926</v>
      </c>
      <c r="M2884" s="2">
        <v>46299</v>
      </c>
      <c r="N2884" t="s">
        <v>643</v>
      </c>
      <c r="O2884" t="s">
        <v>625</v>
      </c>
      <c r="P2884">
        <v>1</v>
      </c>
      <c r="Q2884">
        <v>0</v>
      </c>
      <c r="R2884">
        <v>108.38</v>
      </c>
      <c r="S2884" t="s">
        <v>491</v>
      </c>
      <c r="T2884" t="s">
        <v>779</v>
      </c>
    </row>
    <row r="2885" spans="1:20" x14ac:dyDescent="0.3">
      <c r="A2885">
        <v>2884</v>
      </c>
      <c r="B2885">
        <v>202</v>
      </c>
      <c r="C2885">
        <v>2</v>
      </c>
      <c r="D2885">
        <v>28.05</v>
      </c>
      <c r="E2885">
        <v>2.81</v>
      </c>
      <c r="F2885">
        <v>0</v>
      </c>
      <c r="G2885">
        <v>0.1</v>
      </c>
      <c r="H2885" t="s">
        <v>622</v>
      </c>
      <c r="J2885" t="s">
        <v>623</v>
      </c>
      <c r="K2885" s="1"/>
      <c r="L2885" s="1">
        <v>46299.787002314813</v>
      </c>
      <c r="M2885" s="2">
        <v>46299</v>
      </c>
      <c r="N2885" t="s">
        <v>643</v>
      </c>
      <c r="O2885" t="s">
        <v>625</v>
      </c>
      <c r="P2885">
        <v>1</v>
      </c>
      <c r="Q2885">
        <v>0</v>
      </c>
      <c r="R2885">
        <v>28.05</v>
      </c>
      <c r="S2885" t="s">
        <v>399</v>
      </c>
      <c r="T2885" t="s">
        <v>776</v>
      </c>
    </row>
    <row r="2886" spans="1:20" x14ac:dyDescent="0.3">
      <c r="A2886">
        <v>2885</v>
      </c>
      <c r="B2886">
        <v>75</v>
      </c>
      <c r="C2886">
        <v>3</v>
      </c>
      <c r="D2886">
        <v>40.19</v>
      </c>
      <c r="E2886">
        <v>4.0199999999999996</v>
      </c>
      <c r="F2886">
        <v>0</v>
      </c>
      <c r="G2886">
        <v>0.1</v>
      </c>
      <c r="H2886" t="s">
        <v>622</v>
      </c>
      <c r="J2886" t="s">
        <v>623</v>
      </c>
      <c r="K2886" s="1"/>
      <c r="L2886" s="1">
        <v>46300.368750000001</v>
      </c>
      <c r="M2886" s="2">
        <v>46300</v>
      </c>
      <c r="N2886" t="s">
        <v>643</v>
      </c>
      <c r="O2886" t="s">
        <v>625</v>
      </c>
      <c r="P2886">
        <v>1</v>
      </c>
      <c r="Q2886">
        <v>0</v>
      </c>
      <c r="R2886">
        <v>40.19</v>
      </c>
      <c r="S2886" t="s">
        <v>146</v>
      </c>
      <c r="T2886" t="s">
        <v>777</v>
      </c>
    </row>
    <row r="2887" spans="1:20" x14ac:dyDescent="0.3">
      <c r="A2887">
        <v>2886</v>
      </c>
      <c r="B2887">
        <v>128</v>
      </c>
      <c r="C2887">
        <v>2</v>
      </c>
      <c r="D2887">
        <v>45.08</v>
      </c>
      <c r="E2887">
        <v>4.51</v>
      </c>
      <c r="F2887">
        <v>0</v>
      </c>
      <c r="G2887">
        <v>0.1</v>
      </c>
      <c r="H2887" t="s">
        <v>622</v>
      </c>
      <c r="J2887" t="s">
        <v>623</v>
      </c>
      <c r="K2887" s="1"/>
      <c r="L2887" s="1">
        <v>46300.390555555554</v>
      </c>
      <c r="M2887" s="2">
        <v>46300</v>
      </c>
      <c r="N2887" t="s">
        <v>643</v>
      </c>
      <c r="O2887" t="s">
        <v>625</v>
      </c>
      <c r="P2887">
        <v>1</v>
      </c>
      <c r="Q2887">
        <v>0</v>
      </c>
      <c r="R2887">
        <v>45.08</v>
      </c>
      <c r="S2887" t="s">
        <v>251</v>
      </c>
      <c r="T2887" t="s">
        <v>776</v>
      </c>
    </row>
    <row r="2888" spans="1:20" x14ac:dyDescent="0.3">
      <c r="A2888">
        <v>2887</v>
      </c>
      <c r="B2888">
        <v>229</v>
      </c>
      <c r="C2888">
        <v>5</v>
      </c>
      <c r="D2888">
        <v>62.87</v>
      </c>
      <c r="E2888">
        <v>6.29</v>
      </c>
      <c r="F2888">
        <v>0</v>
      </c>
      <c r="G2888">
        <v>0.1</v>
      </c>
      <c r="H2888" t="s">
        <v>622</v>
      </c>
      <c r="J2888" t="s">
        <v>623</v>
      </c>
      <c r="K2888" s="1"/>
      <c r="L2888" s="1">
        <v>46300.39472222222</v>
      </c>
      <c r="M2888" s="2">
        <v>46300</v>
      </c>
      <c r="N2888" t="s">
        <v>643</v>
      </c>
      <c r="O2888" t="s">
        <v>625</v>
      </c>
      <c r="P2888">
        <v>1</v>
      </c>
      <c r="Q2888">
        <v>0</v>
      </c>
      <c r="R2888">
        <v>62.87</v>
      </c>
      <c r="S2888" t="s">
        <v>453</v>
      </c>
      <c r="T2888" t="s">
        <v>779</v>
      </c>
    </row>
    <row r="2889" spans="1:20" x14ac:dyDescent="0.3">
      <c r="A2889">
        <v>2888</v>
      </c>
      <c r="B2889">
        <v>75</v>
      </c>
      <c r="C2889">
        <v>5</v>
      </c>
      <c r="D2889">
        <v>116.94</v>
      </c>
      <c r="E2889">
        <v>11.69</v>
      </c>
      <c r="F2889">
        <v>0</v>
      </c>
      <c r="G2889">
        <v>0.1</v>
      </c>
      <c r="H2889" t="s">
        <v>622</v>
      </c>
      <c r="J2889" t="s">
        <v>623</v>
      </c>
      <c r="K2889" s="1"/>
      <c r="L2889" s="1">
        <v>46300.648275462961</v>
      </c>
      <c r="M2889" s="2">
        <v>46300</v>
      </c>
      <c r="N2889" t="s">
        <v>643</v>
      </c>
      <c r="O2889" t="s">
        <v>625</v>
      </c>
      <c r="P2889">
        <v>1</v>
      </c>
      <c r="Q2889">
        <v>0</v>
      </c>
      <c r="R2889">
        <v>116.94</v>
      </c>
      <c r="S2889" t="s">
        <v>146</v>
      </c>
      <c r="T2889" t="s">
        <v>779</v>
      </c>
    </row>
    <row r="2890" spans="1:20" x14ac:dyDescent="0.3">
      <c r="A2890">
        <v>2889</v>
      </c>
      <c r="B2890">
        <v>128</v>
      </c>
      <c r="C2890">
        <v>2</v>
      </c>
      <c r="D2890">
        <v>29.08</v>
      </c>
      <c r="E2890">
        <v>2.91</v>
      </c>
      <c r="F2890">
        <v>0</v>
      </c>
      <c r="G2890">
        <v>0.1</v>
      </c>
      <c r="H2890" t="s">
        <v>622</v>
      </c>
      <c r="J2890" t="s">
        <v>623</v>
      </c>
      <c r="K2890" s="1"/>
      <c r="L2890" s="1">
        <v>46300.724756944444</v>
      </c>
      <c r="M2890" s="2">
        <v>46300</v>
      </c>
      <c r="N2890" t="s">
        <v>643</v>
      </c>
      <c r="O2890" t="s">
        <v>625</v>
      </c>
      <c r="P2890">
        <v>1</v>
      </c>
      <c r="Q2890">
        <v>0</v>
      </c>
      <c r="R2890">
        <v>29.08</v>
      </c>
      <c r="S2890" t="s">
        <v>251</v>
      </c>
      <c r="T2890" t="s">
        <v>776</v>
      </c>
    </row>
    <row r="2891" spans="1:20" x14ac:dyDescent="0.3">
      <c r="A2891">
        <v>2890</v>
      </c>
      <c r="B2891">
        <v>204</v>
      </c>
      <c r="C2891">
        <v>3</v>
      </c>
      <c r="D2891">
        <v>73.7</v>
      </c>
      <c r="E2891">
        <v>7.37</v>
      </c>
      <c r="F2891">
        <v>0</v>
      </c>
      <c r="G2891">
        <v>0.1</v>
      </c>
      <c r="H2891" t="s">
        <v>622</v>
      </c>
      <c r="J2891" t="s">
        <v>623</v>
      </c>
      <c r="K2891" s="1"/>
      <c r="L2891" s="1">
        <v>46300.732025462959</v>
      </c>
      <c r="M2891" s="2">
        <v>46300</v>
      </c>
      <c r="N2891" t="s">
        <v>643</v>
      </c>
      <c r="O2891" t="s">
        <v>625</v>
      </c>
      <c r="P2891">
        <v>1</v>
      </c>
      <c r="Q2891">
        <v>0</v>
      </c>
      <c r="R2891">
        <v>73.7</v>
      </c>
      <c r="S2891" t="s">
        <v>403</v>
      </c>
      <c r="T2891" t="s">
        <v>777</v>
      </c>
    </row>
    <row r="2892" spans="1:20" x14ac:dyDescent="0.3">
      <c r="A2892">
        <v>2891</v>
      </c>
      <c r="B2892">
        <v>204</v>
      </c>
      <c r="C2892">
        <v>2</v>
      </c>
      <c r="D2892">
        <v>57.85</v>
      </c>
      <c r="E2892">
        <v>5.79</v>
      </c>
      <c r="F2892">
        <v>0</v>
      </c>
      <c r="G2892">
        <v>0.1</v>
      </c>
      <c r="H2892" t="s">
        <v>622</v>
      </c>
      <c r="J2892" t="s">
        <v>623</v>
      </c>
      <c r="K2892" s="1"/>
      <c r="L2892" s="1">
        <v>46300.739791666667</v>
      </c>
      <c r="M2892" s="2">
        <v>46300</v>
      </c>
      <c r="N2892" t="s">
        <v>643</v>
      </c>
      <c r="O2892" t="s">
        <v>625</v>
      </c>
      <c r="P2892">
        <v>1</v>
      </c>
      <c r="Q2892">
        <v>0</v>
      </c>
      <c r="R2892">
        <v>57.85</v>
      </c>
      <c r="S2892" t="s">
        <v>403</v>
      </c>
      <c r="T2892" t="s">
        <v>776</v>
      </c>
    </row>
    <row r="2893" spans="1:20" x14ac:dyDescent="0.3">
      <c r="A2893">
        <v>2892</v>
      </c>
      <c r="B2893">
        <v>179</v>
      </c>
      <c r="C2893">
        <v>3</v>
      </c>
      <c r="D2893">
        <v>280.67</v>
      </c>
      <c r="E2893">
        <v>28.07</v>
      </c>
      <c r="F2893">
        <v>0</v>
      </c>
      <c r="G2893">
        <v>0.1</v>
      </c>
      <c r="H2893" t="s">
        <v>622</v>
      </c>
      <c r="J2893" t="s">
        <v>623</v>
      </c>
      <c r="K2893" s="1"/>
      <c r="L2893" s="1">
        <v>46301.349456018521</v>
      </c>
      <c r="M2893" s="2">
        <v>46301</v>
      </c>
      <c r="N2893" t="s">
        <v>643</v>
      </c>
      <c r="O2893" t="s">
        <v>625</v>
      </c>
      <c r="P2893">
        <v>1</v>
      </c>
      <c r="Q2893">
        <v>0</v>
      </c>
      <c r="R2893">
        <v>280.67</v>
      </c>
      <c r="S2893" t="s">
        <v>353</v>
      </c>
      <c r="T2893" t="s">
        <v>777</v>
      </c>
    </row>
    <row r="2894" spans="1:20" x14ac:dyDescent="0.3">
      <c r="A2894">
        <v>2893</v>
      </c>
      <c r="B2894">
        <v>250</v>
      </c>
      <c r="C2894">
        <v>2</v>
      </c>
      <c r="D2894">
        <v>109.6</v>
      </c>
      <c r="E2894">
        <v>10.96</v>
      </c>
      <c r="F2894">
        <v>0</v>
      </c>
      <c r="G2894">
        <v>0.1</v>
      </c>
      <c r="H2894" t="s">
        <v>622</v>
      </c>
      <c r="J2894" t="s">
        <v>623</v>
      </c>
      <c r="K2894" s="1"/>
      <c r="L2894" s="1">
        <v>46301.34952546296</v>
      </c>
      <c r="M2894" s="2">
        <v>46301</v>
      </c>
      <c r="N2894" t="s">
        <v>643</v>
      </c>
      <c r="O2894" t="s">
        <v>625</v>
      </c>
      <c r="P2894">
        <v>1</v>
      </c>
      <c r="Q2894">
        <v>0</v>
      </c>
      <c r="R2894">
        <v>109.6</v>
      </c>
      <c r="S2894" t="s">
        <v>495</v>
      </c>
      <c r="T2894" t="s">
        <v>776</v>
      </c>
    </row>
    <row r="2895" spans="1:20" x14ac:dyDescent="0.3">
      <c r="A2895">
        <v>2894</v>
      </c>
      <c r="B2895">
        <v>271</v>
      </c>
      <c r="C2895">
        <v>5</v>
      </c>
      <c r="D2895">
        <v>18.47</v>
      </c>
      <c r="E2895">
        <v>1.85</v>
      </c>
      <c r="F2895">
        <v>0</v>
      </c>
      <c r="G2895">
        <v>0.1</v>
      </c>
      <c r="H2895" t="s">
        <v>622</v>
      </c>
      <c r="J2895" t="s">
        <v>623</v>
      </c>
      <c r="K2895" s="1"/>
      <c r="L2895" s="1">
        <v>46301.363842592589</v>
      </c>
      <c r="M2895" s="2">
        <v>46301</v>
      </c>
      <c r="N2895" t="s">
        <v>643</v>
      </c>
      <c r="O2895" t="s">
        <v>625</v>
      </c>
      <c r="P2895">
        <v>1</v>
      </c>
      <c r="Q2895">
        <v>0</v>
      </c>
      <c r="R2895">
        <v>18.47</v>
      </c>
      <c r="S2895" t="s">
        <v>537</v>
      </c>
      <c r="T2895" t="s">
        <v>779</v>
      </c>
    </row>
    <row r="2896" spans="1:20" x14ac:dyDescent="0.3">
      <c r="A2896">
        <v>2895</v>
      </c>
      <c r="B2896">
        <v>136</v>
      </c>
      <c r="C2896">
        <v>5</v>
      </c>
      <c r="D2896">
        <v>112.53</v>
      </c>
      <c r="E2896">
        <v>11.25</v>
      </c>
      <c r="F2896">
        <v>0</v>
      </c>
      <c r="G2896">
        <v>0.1</v>
      </c>
      <c r="H2896" t="s">
        <v>622</v>
      </c>
      <c r="J2896" t="s">
        <v>623</v>
      </c>
      <c r="K2896" s="1"/>
      <c r="L2896" s="1">
        <v>46301.365810185183</v>
      </c>
      <c r="M2896" s="2">
        <v>46301</v>
      </c>
      <c r="N2896" t="s">
        <v>643</v>
      </c>
      <c r="O2896" t="s">
        <v>625</v>
      </c>
      <c r="P2896">
        <v>1</v>
      </c>
      <c r="Q2896">
        <v>0</v>
      </c>
      <c r="R2896">
        <v>112.53</v>
      </c>
      <c r="S2896" t="s">
        <v>267</v>
      </c>
      <c r="T2896" t="s">
        <v>779</v>
      </c>
    </row>
    <row r="2897" spans="1:20" x14ac:dyDescent="0.3">
      <c r="A2897">
        <v>2896</v>
      </c>
      <c r="B2897">
        <v>156</v>
      </c>
      <c r="C2897">
        <v>4</v>
      </c>
      <c r="D2897">
        <v>25.17</v>
      </c>
      <c r="E2897">
        <v>2.52</v>
      </c>
      <c r="F2897">
        <v>0</v>
      </c>
      <c r="G2897">
        <v>0.1</v>
      </c>
      <c r="H2897" t="s">
        <v>622</v>
      </c>
      <c r="J2897" t="s">
        <v>623</v>
      </c>
      <c r="K2897" s="1"/>
      <c r="L2897" s="1">
        <v>46301.520798611113</v>
      </c>
      <c r="M2897" s="2">
        <v>46301</v>
      </c>
      <c r="N2897" t="s">
        <v>643</v>
      </c>
      <c r="O2897" t="s">
        <v>625</v>
      </c>
      <c r="P2897">
        <v>1</v>
      </c>
      <c r="Q2897">
        <v>0</v>
      </c>
      <c r="R2897">
        <v>25.17</v>
      </c>
      <c r="S2897" t="s">
        <v>307</v>
      </c>
      <c r="T2897" t="s">
        <v>778</v>
      </c>
    </row>
    <row r="2898" spans="1:20" x14ac:dyDescent="0.3">
      <c r="A2898">
        <v>2897</v>
      </c>
      <c r="B2898">
        <v>229</v>
      </c>
      <c r="C2898">
        <v>4</v>
      </c>
      <c r="D2898">
        <v>75.2</v>
      </c>
      <c r="E2898">
        <v>7.52</v>
      </c>
      <c r="F2898">
        <v>0</v>
      </c>
      <c r="G2898">
        <v>0.1</v>
      </c>
      <c r="H2898" t="s">
        <v>622</v>
      </c>
      <c r="J2898" t="s">
        <v>623</v>
      </c>
      <c r="K2898" s="1"/>
      <c r="L2898" s="1">
        <v>46301.586157407408</v>
      </c>
      <c r="M2898" s="2">
        <v>46301</v>
      </c>
      <c r="N2898" t="s">
        <v>643</v>
      </c>
      <c r="O2898" t="s">
        <v>625</v>
      </c>
      <c r="P2898">
        <v>1</v>
      </c>
      <c r="Q2898">
        <v>0</v>
      </c>
      <c r="R2898">
        <v>75.2</v>
      </c>
      <c r="S2898" t="s">
        <v>453</v>
      </c>
      <c r="T2898" t="s">
        <v>778</v>
      </c>
    </row>
    <row r="2899" spans="1:20" x14ac:dyDescent="0.3">
      <c r="A2899">
        <v>2898</v>
      </c>
      <c r="B2899">
        <v>75</v>
      </c>
      <c r="C2899">
        <v>4</v>
      </c>
      <c r="D2899">
        <v>56.06</v>
      </c>
      <c r="E2899">
        <v>5.61</v>
      </c>
      <c r="F2899">
        <v>0</v>
      </c>
      <c r="G2899">
        <v>0.1</v>
      </c>
      <c r="H2899" t="s">
        <v>622</v>
      </c>
      <c r="J2899" t="s">
        <v>623</v>
      </c>
      <c r="K2899" s="1"/>
      <c r="L2899" s="1">
        <v>46301.638252314813</v>
      </c>
      <c r="M2899" s="2">
        <v>46301</v>
      </c>
      <c r="N2899" t="s">
        <v>643</v>
      </c>
      <c r="O2899" t="s">
        <v>625</v>
      </c>
      <c r="P2899">
        <v>1</v>
      </c>
      <c r="Q2899">
        <v>0</v>
      </c>
      <c r="R2899">
        <v>56.06</v>
      </c>
      <c r="S2899" t="s">
        <v>146</v>
      </c>
      <c r="T2899" t="s">
        <v>778</v>
      </c>
    </row>
    <row r="2900" spans="1:20" x14ac:dyDescent="0.3">
      <c r="A2900">
        <v>2899</v>
      </c>
      <c r="B2900">
        <v>18</v>
      </c>
      <c r="C2900">
        <v>3</v>
      </c>
      <c r="D2900">
        <v>46.77</v>
      </c>
      <c r="E2900">
        <v>4.68</v>
      </c>
      <c r="F2900">
        <v>0</v>
      </c>
      <c r="G2900">
        <v>0.1</v>
      </c>
      <c r="H2900" t="s">
        <v>622</v>
      </c>
      <c r="J2900" t="s">
        <v>623</v>
      </c>
      <c r="K2900" s="1"/>
      <c r="L2900" s="1">
        <v>46301.642199074071</v>
      </c>
      <c r="M2900" s="2">
        <v>46301</v>
      </c>
      <c r="N2900" t="s">
        <v>643</v>
      </c>
      <c r="O2900" t="s">
        <v>625</v>
      </c>
      <c r="P2900">
        <v>1</v>
      </c>
      <c r="Q2900">
        <v>0</v>
      </c>
      <c r="R2900">
        <v>46.77</v>
      </c>
      <c r="S2900" t="s">
        <v>32</v>
      </c>
      <c r="T2900" t="s">
        <v>777</v>
      </c>
    </row>
    <row r="2901" spans="1:20" x14ac:dyDescent="0.3">
      <c r="A2901">
        <v>2900</v>
      </c>
      <c r="B2901">
        <v>16</v>
      </c>
      <c r="C2901">
        <v>2</v>
      </c>
      <c r="D2901">
        <v>109.55</v>
      </c>
      <c r="E2901">
        <v>0</v>
      </c>
      <c r="F2901">
        <v>1</v>
      </c>
      <c r="G2901">
        <v>0.1</v>
      </c>
      <c r="H2901" t="s">
        <v>622</v>
      </c>
      <c r="J2901" t="s">
        <v>623</v>
      </c>
      <c r="K2901" s="1"/>
      <c r="L2901" s="1">
        <v>46301.643993055557</v>
      </c>
      <c r="M2901" s="2">
        <v>46301</v>
      </c>
      <c r="N2901" t="s">
        <v>643</v>
      </c>
      <c r="O2901" t="s">
        <v>629</v>
      </c>
      <c r="P2901">
        <v>1</v>
      </c>
      <c r="Q2901">
        <v>0</v>
      </c>
      <c r="R2901">
        <v>109.55</v>
      </c>
      <c r="S2901" t="s">
        <v>28</v>
      </c>
      <c r="T2901" t="s">
        <v>776</v>
      </c>
    </row>
    <row r="2902" spans="1:20" x14ac:dyDescent="0.3">
      <c r="A2902">
        <v>2901</v>
      </c>
      <c r="B2902">
        <v>128</v>
      </c>
      <c r="C2902">
        <v>5</v>
      </c>
      <c r="D2902">
        <v>80</v>
      </c>
      <c r="E2902">
        <v>8</v>
      </c>
      <c r="F2902">
        <v>0</v>
      </c>
      <c r="G2902">
        <v>0.1</v>
      </c>
      <c r="H2902" t="s">
        <v>622</v>
      </c>
      <c r="J2902" t="s">
        <v>623</v>
      </c>
      <c r="K2902" s="1"/>
      <c r="L2902" s="1">
        <v>46301.670138888891</v>
      </c>
      <c r="M2902" s="2">
        <v>46301</v>
      </c>
      <c r="N2902" t="s">
        <v>643</v>
      </c>
      <c r="O2902" t="s">
        <v>625</v>
      </c>
      <c r="P2902">
        <v>1</v>
      </c>
      <c r="Q2902">
        <v>0</v>
      </c>
      <c r="R2902">
        <v>80</v>
      </c>
      <c r="S2902" t="s">
        <v>251</v>
      </c>
      <c r="T2902" t="s">
        <v>779</v>
      </c>
    </row>
    <row r="2903" spans="1:20" x14ac:dyDescent="0.3">
      <c r="A2903">
        <v>2902</v>
      </c>
      <c r="B2903">
        <v>134</v>
      </c>
      <c r="C2903">
        <v>3</v>
      </c>
      <c r="D2903">
        <v>98.86</v>
      </c>
      <c r="E2903">
        <v>9.89</v>
      </c>
      <c r="F2903">
        <v>0</v>
      </c>
      <c r="G2903">
        <v>0.1</v>
      </c>
      <c r="H2903" t="s">
        <v>622</v>
      </c>
      <c r="J2903" t="s">
        <v>623</v>
      </c>
      <c r="K2903" s="1"/>
      <c r="L2903" s="1">
        <v>46301.7968287037</v>
      </c>
      <c r="M2903" s="2">
        <v>46301</v>
      </c>
      <c r="N2903" t="s">
        <v>643</v>
      </c>
      <c r="O2903" t="s">
        <v>625</v>
      </c>
      <c r="P2903">
        <v>1</v>
      </c>
      <c r="Q2903">
        <v>0</v>
      </c>
      <c r="R2903">
        <v>98.86</v>
      </c>
      <c r="S2903" t="s">
        <v>263</v>
      </c>
      <c r="T2903" t="s">
        <v>777</v>
      </c>
    </row>
    <row r="2904" spans="1:20" x14ac:dyDescent="0.3">
      <c r="A2904">
        <v>2903</v>
      </c>
      <c r="B2904">
        <v>229</v>
      </c>
      <c r="C2904">
        <v>4</v>
      </c>
      <c r="D2904">
        <v>105.03</v>
      </c>
      <c r="E2904">
        <v>10.5</v>
      </c>
      <c r="F2904">
        <v>0</v>
      </c>
      <c r="G2904">
        <v>0.1</v>
      </c>
      <c r="H2904" t="s">
        <v>622</v>
      </c>
      <c r="J2904" t="s">
        <v>623</v>
      </c>
      <c r="K2904" s="1"/>
      <c r="L2904" s="1">
        <v>46302.337916666664</v>
      </c>
      <c r="M2904" s="2">
        <v>46302</v>
      </c>
      <c r="N2904" t="s">
        <v>643</v>
      </c>
      <c r="O2904" t="s">
        <v>625</v>
      </c>
      <c r="P2904">
        <v>1</v>
      </c>
      <c r="Q2904">
        <v>0</v>
      </c>
      <c r="R2904">
        <v>105.03</v>
      </c>
      <c r="S2904" t="s">
        <v>453</v>
      </c>
      <c r="T2904" t="s">
        <v>778</v>
      </c>
    </row>
    <row r="2905" spans="1:20" x14ac:dyDescent="0.3">
      <c r="A2905">
        <v>2904</v>
      </c>
      <c r="B2905">
        <v>179</v>
      </c>
      <c r="C2905">
        <v>5</v>
      </c>
      <c r="D2905">
        <v>293.17</v>
      </c>
      <c r="E2905">
        <v>29.32</v>
      </c>
      <c r="F2905">
        <v>0</v>
      </c>
      <c r="G2905">
        <v>0.1</v>
      </c>
      <c r="H2905" t="s">
        <v>622</v>
      </c>
      <c r="J2905" t="s">
        <v>623</v>
      </c>
      <c r="K2905" s="1"/>
      <c r="L2905" s="1">
        <v>46302.40047453704</v>
      </c>
      <c r="M2905" s="2">
        <v>46302</v>
      </c>
      <c r="N2905" t="s">
        <v>643</v>
      </c>
      <c r="O2905" t="s">
        <v>625</v>
      </c>
      <c r="P2905">
        <v>1</v>
      </c>
      <c r="Q2905">
        <v>0</v>
      </c>
      <c r="R2905">
        <v>293.17</v>
      </c>
      <c r="S2905" t="s">
        <v>353</v>
      </c>
      <c r="T2905" t="s">
        <v>779</v>
      </c>
    </row>
    <row r="2906" spans="1:20" x14ac:dyDescent="0.3">
      <c r="A2906">
        <v>2905</v>
      </c>
      <c r="B2906">
        <v>285</v>
      </c>
      <c r="C2906">
        <v>3</v>
      </c>
      <c r="D2906">
        <v>27.16</v>
      </c>
      <c r="E2906">
        <v>2.72</v>
      </c>
      <c r="F2906">
        <v>0</v>
      </c>
      <c r="G2906">
        <v>0.1</v>
      </c>
      <c r="H2906" t="s">
        <v>622</v>
      </c>
      <c r="J2906" t="s">
        <v>623</v>
      </c>
      <c r="K2906" s="1"/>
      <c r="L2906" s="1">
        <v>46302.425254629627</v>
      </c>
      <c r="M2906" s="2">
        <v>46302</v>
      </c>
      <c r="N2906" t="s">
        <v>643</v>
      </c>
      <c r="O2906" t="s">
        <v>625</v>
      </c>
      <c r="P2906">
        <v>1</v>
      </c>
      <c r="Q2906">
        <v>0</v>
      </c>
      <c r="R2906">
        <v>27.16</v>
      </c>
      <c r="S2906" t="s">
        <v>565</v>
      </c>
      <c r="T2906" t="s">
        <v>777</v>
      </c>
    </row>
    <row r="2907" spans="1:20" x14ac:dyDescent="0.3">
      <c r="A2907">
        <v>2906</v>
      </c>
      <c r="B2907">
        <v>200</v>
      </c>
      <c r="C2907">
        <v>4</v>
      </c>
      <c r="D2907">
        <v>28.25</v>
      </c>
      <c r="E2907">
        <v>2.83</v>
      </c>
      <c r="F2907">
        <v>0</v>
      </c>
      <c r="G2907">
        <v>0.1</v>
      </c>
      <c r="H2907" t="s">
        <v>622</v>
      </c>
      <c r="J2907" t="s">
        <v>623</v>
      </c>
      <c r="K2907" s="1"/>
      <c r="L2907" s="1">
        <v>46302.439849537041</v>
      </c>
      <c r="M2907" s="2">
        <v>46302</v>
      </c>
      <c r="N2907" t="s">
        <v>643</v>
      </c>
      <c r="O2907" t="s">
        <v>625</v>
      </c>
      <c r="P2907">
        <v>1</v>
      </c>
      <c r="Q2907">
        <v>0</v>
      </c>
      <c r="R2907">
        <v>28.25</v>
      </c>
      <c r="S2907" t="s">
        <v>395</v>
      </c>
      <c r="T2907" t="s">
        <v>778</v>
      </c>
    </row>
    <row r="2908" spans="1:20" x14ac:dyDescent="0.3">
      <c r="A2908">
        <v>2907</v>
      </c>
      <c r="B2908">
        <v>185</v>
      </c>
      <c r="C2908">
        <v>3</v>
      </c>
      <c r="D2908">
        <v>77.849999999999994</v>
      </c>
      <c r="E2908">
        <v>7.79</v>
      </c>
      <c r="F2908">
        <v>0</v>
      </c>
      <c r="G2908">
        <v>0.1</v>
      </c>
      <c r="H2908" t="s">
        <v>622</v>
      </c>
      <c r="J2908" t="s">
        <v>623</v>
      </c>
      <c r="K2908" s="1"/>
      <c r="L2908" s="1">
        <v>46302.488958333335</v>
      </c>
      <c r="M2908" s="2">
        <v>46302</v>
      </c>
      <c r="N2908" t="s">
        <v>643</v>
      </c>
      <c r="O2908" t="s">
        <v>625</v>
      </c>
      <c r="P2908">
        <v>1</v>
      </c>
      <c r="Q2908">
        <v>0</v>
      </c>
      <c r="R2908">
        <v>77.849999999999994</v>
      </c>
      <c r="S2908" t="s">
        <v>365</v>
      </c>
      <c r="T2908" t="s">
        <v>777</v>
      </c>
    </row>
    <row r="2909" spans="1:20" x14ac:dyDescent="0.3">
      <c r="A2909">
        <v>2908</v>
      </c>
      <c r="B2909">
        <v>212</v>
      </c>
      <c r="C2909">
        <v>3</v>
      </c>
      <c r="D2909">
        <v>64.989999999999995</v>
      </c>
      <c r="E2909">
        <v>6.5</v>
      </c>
      <c r="F2909">
        <v>0</v>
      </c>
      <c r="G2909">
        <v>0.1</v>
      </c>
      <c r="H2909" t="s">
        <v>622</v>
      </c>
      <c r="J2909" t="s">
        <v>623</v>
      </c>
      <c r="K2909" s="1"/>
      <c r="L2909" s="1">
        <v>46302.696296296293</v>
      </c>
      <c r="M2909" s="2">
        <v>46302</v>
      </c>
      <c r="N2909" t="s">
        <v>643</v>
      </c>
      <c r="O2909" t="s">
        <v>625</v>
      </c>
      <c r="P2909">
        <v>1</v>
      </c>
      <c r="Q2909">
        <v>0</v>
      </c>
      <c r="R2909">
        <v>64.989999999999995</v>
      </c>
      <c r="S2909" t="s">
        <v>419</v>
      </c>
      <c r="T2909" t="s">
        <v>777</v>
      </c>
    </row>
    <row r="2910" spans="1:20" x14ac:dyDescent="0.3">
      <c r="A2910">
        <v>2909</v>
      </c>
      <c r="B2910">
        <v>190</v>
      </c>
      <c r="C2910">
        <v>2</v>
      </c>
      <c r="D2910">
        <v>219.79</v>
      </c>
      <c r="E2910">
        <v>21.98</v>
      </c>
      <c r="F2910">
        <v>0</v>
      </c>
      <c r="G2910">
        <v>0.1</v>
      </c>
      <c r="H2910" t="s">
        <v>622</v>
      </c>
      <c r="J2910" t="s">
        <v>623</v>
      </c>
      <c r="K2910" s="1"/>
      <c r="L2910" s="1">
        <v>46302.736967592595</v>
      </c>
      <c r="M2910" s="2">
        <v>46302</v>
      </c>
      <c r="N2910" t="s">
        <v>643</v>
      </c>
      <c r="O2910" t="s">
        <v>625</v>
      </c>
      <c r="P2910">
        <v>1</v>
      </c>
      <c r="Q2910">
        <v>0</v>
      </c>
      <c r="R2910">
        <v>219.79</v>
      </c>
      <c r="S2910" t="s">
        <v>375</v>
      </c>
      <c r="T2910" t="s">
        <v>776</v>
      </c>
    </row>
    <row r="2911" spans="1:20" x14ac:dyDescent="0.3">
      <c r="A2911">
        <v>2910</v>
      </c>
      <c r="B2911">
        <v>183</v>
      </c>
      <c r="C2911">
        <v>5</v>
      </c>
      <c r="D2911">
        <v>122.54</v>
      </c>
      <c r="E2911">
        <v>12.25</v>
      </c>
      <c r="F2911">
        <v>0</v>
      </c>
      <c r="G2911">
        <v>0.1</v>
      </c>
      <c r="H2911" t="s">
        <v>622</v>
      </c>
      <c r="J2911" t="s">
        <v>623</v>
      </c>
      <c r="K2911" s="1"/>
      <c r="L2911" s="1">
        <v>46303.376087962963</v>
      </c>
      <c r="M2911" s="2">
        <v>46303</v>
      </c>
      <c r="N2911" t="s">
        <v>643</v>
      </c>
      <c r="O2911" t="s">
        <v>625</v>
      </c>
      <c r="P2911">
        <v>1</v>
      </c>
      <c r="Q2911">
        <v>0</v>
      </c>
      <c r="R2911">
        <v>122.54</v>
      </c>
      <c r="S2911" t="s">
        <v>361</v>
      </c>
      <c r="T2911" t="s">
        <v>779</v>
      </c>
    </row>
    <row r="2912" spans="1:20" x14ac:dyDescent="0.3">
      <c r="A2912">
        <v>2911</v>
      </c>
      <c r="B2912">
        <v>86</v>
      </c>
      <c r="C2912">
        <v>2</v>
      </c>
      <c r="D2912">
        <v>23.5</v>
      </c>
      <c r="E2912">
        <v>2.35</v>
      </c>
      <c r="F2912">
        <v>0</v>
      </c>
      <c r="G2912">
        <v>0.1</v>
      </c>
      <c r="H2912" t="s">
        <v>622</v>
      </c>
      <c r="J2912" t="s">
        <v>623</v>
      </c>
      <c r="K2912" s="1"/>
      <c r="L2912" s="1">
        <v>46303.406273148146</v>
      </c>
      <c r="M2912" s="2">
        <v>46303</v>
      </c>
      <c r="N2912" t="s">
        <v>643</v>
      </c>
      <c r="O2912" t="s">
        <v>625</v>
      </c>
      <c r="P2912">
        <v>1</v>
      </c>
      <c r="Q2912">
        <v>0</v>
      </c>
      <c r="R2912">
        <v>23.5</v>
      </c>
      <c r="S2912" t="s">
        <v>167</v>
      </c>
      <c r="T2912" t="s">
        <v>776</v>
      </c>
    </row>
    <row r="2913" spans="1:20" x14ac:dyDescent="0.3">
      <c r="A2913">
        <v>2912</v>
      </c>
      <c r="B2913">
        <v>7</v>
      </c>
      <c r="C2913">
        <v>2</v>
      </c>
      <c r="D2913">
        <v>43.39</v>
      </c>
      <c r="E2913">
        <v>4.34</v>
      </c>
      <c r="F2913">
        <v>0</v>
      </c>
      <c r="G2913">
        <v>0.1</v>
      </c>
      <c r="H2913" t="s">
        <v>622</v>
      </c>
      <c r="J2913" t="s">
        <v>623</v>
      </c>
      <c r="K2913" s="1"/>
      <c r="L2913" s="1">
        <v>46303.421944444446</v>
      </c>
      <c r="M2913" s="2">
        <v>46303</v>
      </c>
      <c r="N2913" t="s">
        <v>643</v>
      </c>
      <c r="O2913" t="s">
        <v>625</v>
      </c>
      <c r="P2913">
        <v>1</v>
      </c>
      <c r="Q2913">
        <v>0</v>
      </c>
      <c r="R2913">
        <v>43.39</v>
      </c>
      <c r="S2913" t="s">
        <v>10</v>
      </c>
      <c r="T2913" t="s">
        <v>776</v>
      </c>
    </row>
    <row r="2914" spans="1:20" x14ac:dyDescent="0.3">
      <c r="A2914">
        <v>2913</v>
      </c>
      <c r="B2914">
        <v>33</v>
      </c>
      <c r="C2914">
        <v>3</v>
      </c>
      <c r="D2914">
        <v>26.99</v>
      </c>
      <c r="E2914">
        <v>2.7</v>
      </c>
      <c r="F2914">
        <v>0</v>
      </c>
      <c r="G2914">
        <v>0.1</v>
      </c>
      <c r="H2914" t="s">
        <v>622</v>
      </c>
      <c r="J2914" t="s">
        <v>623</v>
      </c>
      <c r="K2914" s="1"/>
      <c r="L2914" s="1">
        <v>46303.474004629628</v>
      </c>
      <c r="M2914" s="2">
        <v>46303</v>
      </c>
      <c r="N2914" t="s">
        <v>643</v>
      </c>
      <c r="O2914" t="s">
        <v>625</v>
      </c>
      <c r="P2914">
        <v>1</v>
      </c>
      <c r="Q2914">
        <v>0</v>
      </c>
      <c r="R2914">
        <v>26.99</v>
      </c>
      <c r="S2914" t="s">
        <v>62</v>
      </c>
      <c r="T2914" t="s">
        <v>777</v>
      </c>
    </row>
    <row r="2915" spans="1:20" x14ac:dyDescent="0.3">
      <c r="A2915">
        <v>2914</v>
      </c>
      <c r="B2915">
        <v>77</v>
      </c>
      <c r="C2915">
        <v>3</v>
      </c>
      <c r="D2915">
        <v>156.41999999999999</v>
      </c>
      <c r="E2915">
        <v>15.64</v>
      </c>
      <c r="F2915">
        <v>0</v>
      </c>
      <c r="G2915">
        <v>0.1</v>
      </c>
      <c r="H2915" t="s">
        <v>622</v>
      </c>
      <c r="J2915" t="s">
        <v>623</v>
      </c>
      <c r="K2915" s="1"/>
      <c r="L2915" s="1">
        <v>46303.537905092591</v>
      </c>
      <c r="M2915" s="2">
        <v>46303</v>
      </c>
      <c r="N2915" t="s">
        <v>643</v>
      </c>
      <c r="O2915" t="s">
        <v>625</v>
      </c>
      <c r="P2915">
        <v>1</v>
      </c>
      <c r="Q2915">
        <v>0</v>
      </c>
      <c r="R2915">
        <v>156.41999999999999</v>
      </c>
      <c r="S2915" t="s">
        <v>150</v>
      </c>
      <c r="T2915" t="s">
        <v>777</v>
      </c>
    </row>
    <row r="2916" spans="1:20" x14ac:dyDescent="0.3">
      <c r="A2916">
        <v>2915</v>
      </c>
      <c r="B2916">
        <v>264</v>
      </c>
      <c r="C2916">
        <v>2</v>
      </c>
      <c r="D2916">
        <v>259.92</v>
      </c>
      <c r="E2916">
        <v>25.99</v>
      </c>
      <c r="F2916">
        <v>0</v>
      </c>
      <c r="G2916">
        <v>0.1</v>
      </c>
      <c r="H2916" t="s">
        <v>622</v>
      </c>
      <c r="J2916" t="s">
        <v>623</v>
      </c>
      <c r="K2916" s="1"/>
      <c r="L2916" s="1">
        <v>46303.604375000003</v>
      </c>
      <c r="M2916" s="2">
        <v>46303</v>
      </c>
      <c r="N2916" t="s">
        <v>643</v>
      </c>
      <c r="O2916" t="s">
        <v>625</v>
      </c>
      <c r="P2916">
        <v>1</v>
      </c>
      <c r="Q2916">
        <v>0</v>
      </c>
      <c r="R2916">
        <v>259.92</v>
      </c>
      <c r="S2916" t="s">
        <v>523</v>
      </c>
      <c r="T2916" t="s">
        <v>776</v>
      </c>
    </row>
    <row r="2917" spans="1:20" x14ac:dyDescent="0.3">
      <c r="A2917">
        <v>2916</v>
      </c>
      <c r="B2917">
        <v>165</v>
      </c>
      <c r="C2917">
        <v>4</v>
      </c>
      <c r="D2917">
        <v>25.28</v>
      </c>
      <c r="E2917">
        <v>2.5299999999999998</v>
      </c>
      <c r="F2917">
        <v>0</v>
      </c>
      <c r="G2917">
        <v>0.1</v>
      </c>
      <c r="H2917" t="s">
        <v>622</v>
      </c>
      <c r="J2917" t="s">
        <v>623</v>
      </c>
      <c r="K2917" s="1"/>
      <c r="L2917" s="1">
        <v>46303.605081018519</v>
      </c>
      <c r="M2917" s="2">
        <v>46303</v>
      </c>
      <c r="N2917" t="s">
        <v>643</v>
      </c>
      <c r="O2917" t="s">
        <v>625</v>
      </c>
      <c r="P2917">
        <v>1</v>
      </c>
      <c r="Q2917">
        <v>0</v>
      </c>
      <c r="R2917">
        <v>25.28</v>
      </c>
      <c r="S2917" t="s">
        <v>325</v>
      </c>
      <c r="T2917" t="s">
        <v>778</v>
      </c>
    </row>
    <row r="2918" spans="1:20" x14ac:dyDescent="0.3">
      <c r="A2918">
        <v>2917</v>
      </c>
      <c r="B2918">
        <v>229</v>
      </c>
      <c r="C2918">
        <v>4</v>
      </c>
      <c r="D2918">
        <v>169.03</v>
      </c>
      <c r="E2918">
        <v>16.899999999999999</v>
      </c>
      <c r="F2918">
        <v>0</v>
      </c>
      <c r="G2918">
        <v>0.1</v>
      </c>
      <c r="H2918" t="s">
        <v>622</v>
      </c>
      <c r="J2918" t="s">
        <v>623</v>
      </c>
      <c r="K2918" s="1"/>
      <c r="L2918" s="1">
        <v>46303.617534722223</v>
      </c>
      <c r="M2918" s="2">
        <v>46303</v>
      </c>
      <c r="N2918" t="s">
        <v>643</v>
      </c>
      <c r="O2918" t="s">
        <v>625</v>
      </c>
      <c r="P2918">
        <v>1</v>
      </c>
      <c r="Q2918">
        <v>0</v>
      </c>
      <c r="R2918">
        <v>169.03</v>
      </c>
      <c r="S2918" t="s">
        <v>453</v>
      </c>
      <c r="T2918" t="s">
        <v>778</v>
      </c>
    </row>
    <row r="2919" spans="1:20" x14ac:dyDescent="0.3">
      <c r="A2919">
        <v>2918</v>
      </c>
      <c r="B2919">
        <v>75</v>
      </c>
      <c r="C2919">
        <v>4</v>
      </c>
      <c r="D2919">
        <v>160.88</v>
      </c>
      <c r="E2919">
        <v>16.09</v>
      </c>
      <c r="F2919">
        <v>0</v>
      </c>
      <c r="G2919">
        <v>0.1</v>
      </c>
      <c r="H2919" t="s">
        <v>622</v>
      </c>
      <c r="J2919" t="s">
        <v>623</v>
      </c>
      <c r="K2919" s="1"/>
      <c r="L2919" s="1">
        <v>46303.659317129626</v>
      </c>
      <c r="M2919" s="2">
        <v>46303</v>
      </c>
      <c r="N2919" t="s">
        <v>643</v>
      </c>
      <c r="O2919" t="s">
        <v>625</v>
      </c>
      <c r="P2919">
        <v>1</v>
      </c>
      <c r="Q2919">
        <v>0</v>
      </c>
      <c r="R2919">
        <v>160.88</v>
      </c>
      <c r="S2919" t="s">
        <v>146</v>
      </c>
      <c r="T2919" t="s">
        <v>778</v>
      </c>
    </row>
    <row r="2920" spans="1:20" x14ac:dyDescent="0.3">
      <c r="A2920">
        <v>2919</v>
      </c>
      <c r="B2920">
        <v>75</v>
      </c>
      <c r="C2920">
        <v>4</v>
      </c>
      <c r="D2920">
        <v>127.11</v>
      </c>
      <c r="E2920">
        <v>12.71</v>
      </c>
      <c r="F2920">
        <v>0</v>
      </c>
      <c r="G2920">
        <v>0.1</v>
      </c>
      <c r="H2920" t="s">
        <v>622</v>
      </c>
      <c r="J2920" t="s">
        <v>623</v>
      </c>
      <c r="K2920" s="1"/>
      <c r="L2920" s="1">
        <v>46303.702569444446</v>
      </c>
      <c r="M2920" s="2">
        <v>46303</v>
      </c>
      <c r="N2920" t="s">
        <v>643</v>
      </c>
      <c r="O2920" t="s">
        <v>625</v>
      </c>
      <c r="P2920">
        <v>1</v>
      </c>
      <c r="Q2920">
        <v>0</v>
      </c>
      <c r="R2920">
        <v>127.11</v>
      </c>
      <c r="S2920" t="s">
        <v>146</v>
      </c>
      <c r="T2920" t="s">
        <v>778</v>
      </c>
    </row>
    <row r="2921" spans="1:20" x14ac:dyDescent="0.3">
      <c r="A2921">
        <v>2920</v>
      </c>
      <c r="B2921">
        <v>178</v>
      </c>
      <c r="C2921">
        <v>3</v>
      </c>
      <c r="D2921">
        <v>220.97</v>
      </c>
      <c r="E2921">
        <v>22.1</v>
      </c>
      <c r="F2921">
        <v>0</v>
      </c>
      <c r="G2921">
        <v>0.1</v>
      </c>
      <c r="H2921" t="s">
        <v>622</v>
      </c>
      <c r="J2921" t="s">
        <v>623</v>
      </c>
      <c r="K2921" s="1"/>
      <c r="L2921" s="1">
        <v>46304.301793981482</v>
      </c>
      <c r="M2921" s="2">
        <v>46304</v>
      </c>
      <c r="N2921" t="s">
        <v>643</v>
      </c>
      <c r="O2921" t="s">
        <v>625</v>
      </c>
      <c r="P2921">
        <v>1</v>
      </c>
      <c r="Q2921">
        <v>0</v>
      </c>
      <c r="R2921">
        <v>220.97</v>
      </c>
      <c r="S2921" t="s">
        <v>351</v>
      </c>
      <c r="T2921" t="s">
        <v>777</v>
      </c>
    </row>
    <row r="2922" spans="1:20" x14ac:dyDescent="0.3">
      <c r="A2922">
        <v>2921</v>
      </c>
      <c r="B2922">
        <v>94</v>
      </c>
      <c r="C2922">
        <v>2</v>
      </c>
      <c r="D2922">
        <v>198.09</v>
      </c>
      <c r="E2922">
        <v>19.809999999999999</v>
      </c>
      <c r="F2922">
        <v>0</v>
      </c>
      <c r="G2922">
        <v>0.1</v>
      </c>
      <c r="H2922" t="s">
        <v>622</v>
      </c>
      <c r="J2922" t="s">
        <v>623</v>
      </c>
      <c r="K2922" s="1"/>
      <c r="L2922" s="1">
        <v>46304.317048611112</v>
      </c>
      <c r="M2922" s="2">
        <v>46304</v>
      </c>
      <c r="N2922" t="s">
        <v>643</v>
      </c>
      <c r="O2922" t="s">
        <v>625</v>
      </c>
      <c r="P2922">
        <v>1</v>
      </c>
      <c r="Q2922">
        <v>0</v>
      </c>
      <c r="R2922">
        <v>198.09</v>
      </c>
      <c r="S2922" t="s">
        <v>183</v>
      </c>
      <c r="T2922" t="s">
        <v>776</v>
      </c>
    </row>
    <row r="2923" spans="1:20" x14ac:dyDescent="0.3">
      <c r="A2923">
        <v>2922</v>
      </c>
      <c r="B2923">
        <v>297</v>
      </c>
      <c r="C2923">
        <v>4</v>
      </c>
      <c r="D2923">
        <v>90.33</v>
      </c>
      <c r="E2923">
        <v>9.0299999999999994</v>
      </c>
      <c r="F2923">
        <v>0</v>
      </c>
      <c r="G2923">
        <v>0.1</v>
      </c>
      <c r="H2923" t="s">
        <v>622</v>
      </c>
      <c r="J2923" t="s">
        <v>623</v>
      </c>
      <c r="K2923" s="1"/>
      <c r="L2923" s="1">
        <v>46304.342905092592</v>
      </c>
      <c r="M2923" s="2">
        <v>46304</v>
      </c>
      <c r="N2923" t="s">
        <v>643</v>
      </c>
      <c r="O2923" t="s">
        <v>625</v>
      </c>
      <c r="P2923">
        <v>1</v>
      </c>
      <c r="Q2923">
        <v>0</v>
      </c>
      <c r="R2923">
        <v>90.33</v>
      </c>
      <c r="S2923" t="s">
        <v>589</v>
      </c>
      <c r="T2923" t="s">
        <v>778</v>
      </c>
    </row>
    <row r="2924" spans="1:20" x14ac:dyDescent="0.3">
      <c r="A2924">
        <v>2923</v>
      </c>
      <c r="B2924">
        <v>250</v>
      </c>
      <c r="C2924">
        <v>3</v>
      </c>
      <c r="D2924">
        <v>112.14</v>
      </c>
      <c r="E2924">
        <v>11.21</v>
      </c>
      <c r="F2924">
        <v>0</v>
      </c>
      <c r="G2924">
        <v>0.1</v>
      </c>
      <c r="H2924" t="s">
        <v>622</v>
      </c>
      <c r="J2924" t="s">
        <v>623</v>
      </c>
      <c r="K2924" s="1"/>
      <c r="L2924" s="1">
        <v>46304.358506944445</v>
      </c>
      <c r="M2924" s="2">
        <v>46304</v>
      </c>
      <c r="N2924" t="s">
        <v>643</v>
      </c>
      <c r="O2924" t="s">
        <v>625</v>
      </c>
      <c r="P2924">
        <v>1</v>
      </c>
      <c r="Q2924">
        <v>0</v>
      </c>
      <c r="R2924">
        <v>112.14</v>
      </c>
      <c r="S2924" t="s">
        <v>495</v>
      </c>
      <c r="T2924" t="s">
        <v>777</v>
      </c>
    </row>
    <row r="2925" spans="1:20" x14ac:dyDescent="0.3">
      <c r="A2925">
        <v>2924</v>
      </c>
      <c r="B2925">
        <v>278</v>
      </c>
      <c r="C2925">
        <v>2</v>
      </c>
      <c r="D2925">
        <v>154.06</v>
      </c>
      <c r="E2925">
        <v>15.41</v>
      </c>
      <c r="F2925">
        <v>0</v>
      </c>
      <c r="G2925">
        <v>0.1</v>
      </c>
      <c r="H2925" t="s">
        <v>626</v>
      </c>
      <c r="I2925">
        <v>3</v>
      </c>
      <c r="J2925" t="s">
        <v>627</v>
      </c>
      <c r="K2925" s="1">
        <v>46304.796412037038</v>
      </c>
      <c r="L2925" s="1">
        <v>46304.463078703702</v>
      </c>
      <c r="M2925" s="2">
        <v>46304</v>
      </c>
      <c r="N2925" t="s">
        <v>643</v>
      </c>
      <c r="O2925" t="s">
        <v>625</v>
      </c>
      <c r="P2925">
        <v>1</v>
      </c>
      <c r="Q2925">
        <v>1</v>
      </c>
      <c r="R2925">
        <v>0</v>
      </c>
      <c r="S2925" t="s">
        <v>551</v>
      </c>
      <c r="T2925" t="s">
        <v>776</v>
      </c>
    </row>
    <row r="2926" spans="1:20" x14ac:dyDescent="0.3">
      <c r="A2926">
        <v>2925</v>
      </c>
      <c r="B2926">
        <v>7</v>
      </c>
      <c r="C2926">
        <v>2</v>
      </c>
      <c r="D2926">
        <v>65.97</v>
      </c>
      <c r="E2926">
        <v>6.6</v>
      </c>
      <c r="F2926">
        <v>0</v>
      </c>
      <c r="G2926">
        <v>0.1</v>
      </c>
      <c r="H2926" t="s">
        <v>622</v>
      </c>
      <c r="J2926" t="s">
        <v>623</v>
      </c>
      <c r="K2926" s="1"/>
      <c r="L2926" s="1">
        <v>46304.481782407405</v>
      </c>
      <c r="M2926" s="2">
        <v>46304</v>
      </c>
      <c r="N2926" t="s">
        <v>643</v>
      </c>
      <c r="O2926" t="s">
        <v>625</v>
      </c>
      <c r="P2926">
        <v>1</v>
      </c>
      <c r="Q2926">
        <v>0</v>
      </c>
      <c r="R2926">
        <v>65.97</v>
      </c>
      <c r="S2926" t="s">
        <v>10</v>
      </c>
      <c r="T2926" t="s">
        <v>776</v>
      </c>
    </row>
    <row r="2927" spans="1:20" x14ac:dyDescent="0.3">
      <c r="A2927">
        <v>2926</v>
      </c>
      <c r="B2927">
        <v>134</v>
      </c>
      <c r="C2927">
        <v>4</v>
      </c>
      <c r="D2927">
        <v>115.04</v>
      </c>
      <c r="E2927">
        <v>11.5</v>
      </c>
      <c r="F2927">
        <v>0</v>
      </c>
      <c r="G2927">
        <v>0.1</v>
      </c>
      <c r="H2927" t="s">
        <v>622</v>
      </c>
      <c r="J2927" t="s">
        <v>623</v>
      </c>
      <c r="K2927" s="1"/>
      <c r="L2927" s="1">
        <v>46304.529965277776</v>
      </c>
      <c r="M2927" s="2">
        <v>46304</v>
      </c>
      <c r="N2927" t="s">
        <v>643</v>
      </c>
      <c r="O2927" t="s">
        <v>625</v>
      </c>
      <c r="P2927">
        <v>1</v>
      </c>
      <c r="Q2927">
        <v>0</v>
      </c>
      <c r="R2927">
        <v>115.04</v>
      </c>
      <c r="S2927" t="s">
        <v>263</v>
      </c>
      <c r="T2927" t="s">
        <v>778</v>
      </c>
    </row>
    <row r="2928" spans="1:20" x14ac:dyDescent="0.3">
      <c r="A2928">
        <v>2927</v>
      </c>
      <c r="B2928">
        <v>250</v>
      </c>
      <c r="C2928">
        <v>5</v>
      </c>
      <c r="D2928">
        <v>75.42</v>
      </c>
      <c r="E2928">
        <v>7.54</v>
      </c>
      <c r="F2928">
        <v>0</v>
      </c>
      <c r="G2928">
        <v>0.1</v>
      </c>
      <c r="H2928" t="s">
        <v>622</v>
      </c>
      <c r="J2928" t="s">
        <v>623</v>
      </c>
      <c r="K2928" s="1"/>
      <c r="L2928" s="1">
        <v>46304.568703703706</v>
      </c>
      <c r="M2928" s="2">
        <v>46304</v>
      </c>
      <c r="N2928" t="s">
        <v>643</v>
      </c>
      <c r="O2928" t="s">
        <v>625</v>
      </c>
      <c r="P2928">
        <v>1</v>
      </c>
      <c r="Q2928">
        <v>0</v>
      </c>
      <c r="R2928">
        <v>75.42</v>
      </c>
      <c r="S2928" t="s">
        <v>495</v>
      </c>
      <c r="T2928" t="s">
        <v>779</v>
      </c>
    </row>
    <row r="2929" spans="1:20" x14ac:dyDescent="0.3">
      <c r="A2929">
        <v>2928</v>
      </c>
      <c r="B2929">
        <v>185</v>
      </c>
      <c r="C2929">
        <v>3</v>
      </c>
      <c r="D2929">
        <v>59.39</v>
      </c>
      <c r="E2929">
        <v>5.94</v>
      </c>
      <c r="F2929">
        <v>0</v>
      </c>
      <c r="G2929">
        <v>0.1</v>
      </c>
      <c r="H2929" t="s">
        <v>622</v>
      </c>
      <c r="J2929" t="s">
        <v>623</v>
      </c>
      <c r="K2929" s="1"/>
      <c r="L2929" s="1">
        <v>46304.598495370374</v>
      </c>
      <c r="M2929" s="2">
        <v>46304</v>
      </c>
      <c r="N2929" t="s">
        <v>643</v>
      </c>
      <c r="O2929" t="s">
        <v>625</v>
      </c>
      <c r="P2929">
        <v>1</v>
      </c>
      <c r="Q2929">
        <v>0</v>
      </c>
      <c r="R2929">
        <v>59.39</v>
      </c>
      <c r="S2929" t="s">
        <v>365</v>
      </c>
      <c r="T2929" t="s">
        <v>777</v>
      </c>
    </row>
    <row r="2930" spans="1:20" x14ac:dyDescent="0.3">
      <c r="A2930">
        <v>2929</v>
      </c>
      <c r="B2930">
        <v>190</v>
      </c>
      <c r="C2930">
        <v>5</v>
      </c>
      <c r="D2930">
        <v>166.55</v>
      </c>
      <c r="E2930">
        <v>16.66</v>
      </c>
      <c r="F2930">
        <v>0</v>
      </c>
      <c r="G2930">
        <v>0.1</v>
      </c>
      <c r="H2930" t="s">
        <v>622</v>
      </c>
      <c r="J2930" t="s">
        <v>623</v>
      </c>
      <c r="K2930" s="1"/>
      <c r="L2930" s="1">
        <v>46304.652268518519</v>
      </c>
      <c r="M2930" s="2">
        <v>46304</v>
      </c>
      <c r="N2930" t="s">
        <v>643</v>
      </c>
      <c r="O2930" t="s">
        <v>625</v>
      </c>
      <c r="P2930">
        <v>1</v>
      </c>
      <c r="Q2930">
        <v>0</v>
      </c>
      <c r="R2930">
        <v>166.55</v>
      </c>
      <c r="S2930" t="s">
        <v>375</v>
      </c>
      <c r="T2930" t="s">
        <v>779</v>
      </c>
    </row>
    <row r="2931" spans="1:20" x14ac:dyDescent="0.3">
      <c r="A2931">
        <v>2930</v>
      </c>
      <c r="B2931">
        <v>156</v>
      </c>
      <c r="C2931">
        <v>5</v>
      </c>
      <c r="D2931">
        <v>25.69</v>
      </c>
      <c r="E2931">
        <v>2.57</v>
      </c>
      <c r="F2931">
        <v>0</v>
      </c>
      <c r="G2931">
        <v>0.1</v>
      </c>
      <c r="H2931" t="s">
        <v>622</v>
      </c>
      <c r="J2931" t="s">
        <v>623</v>
      </c>
      <c r="K2931" s="1"/>
      <c r="L2931" s="1">
        <v>46304.660810185182</v>
      </c>
      <c r="M2931" s="2">
        <v>46304</v>
      </c>
      <c r="N2931" t="s">
        <v>643</v>
      </c>
      <c r="O2931" t="s">
        <v>625</v>
      </c>
      <c r="P2931">
        <v>1</v>
      </c>
      <c r="Q2931">
        <v>0</v>
      </c>
      <c r="R2931">
        <v>25.69</v>
      </c>
      <c r="S2931" t="s">
        <v>307</v>
      </c>
      <c r="T2931" t="s">
        <v>779</v>
      </c>
    </row>
    <row r="2932" spans="1:20" x14ac:dyDescent="0.3">
      <c r="A2932">
        <v>2931</v>
      </c>
      <c r="B2932">
        <v>65</v>
      </c>
      <c r="C2932">
        <v>4</v>
      </c>
      <c r="D2932">
        <v>24.13</v>
      </c>
      <c r="E2932">
        <v>0</v>
      </c>
      <c r="F2932">
        <v>1</v>
      </c>
      <c r="G2932">
        <v>0.1</v>
      </c>
      <c r="H2932" t="s">
        <v>622</v>
      </c>
      <c r="J2932" t="s">
        <v>623</v>
      </c>
      <c r="K2932" s="1"/>
      <c r="L2932" s="1">
        <v>46304.692152777781</v>
      </c>
      <c r="M2932" s="2">
        <v>46304</v>
      </c>
      <c r="N2932" t="s">
        <v>643</v>
      </c>
      <c r="O2932" t="s">
        <v>629</v>
      </c>
      <c r="P2932">
        <v>1</v>
      </c>
      <c r="Q2932">
        <v>0</v>
      </c>
      <c r="R2932">
        <v>24.13</v>
      </c>
      <c r="S2932" t="s">
        <v>126</v>
      </c>
      <c r="T2932" t="s">
        <v>778</v>
      </c>
    </row>
    <row r="2933" spans="1:20" x14ac:dyDescent="0.3">
      <c r="A2933">
        <v>2932</v>
      </c>
      <c r="B2933">
        <v>137</v>
      </c>
      <c r="C2933">
        <v>2</v>
      </c>
      <c r="D2933">
        <v>26.37</v>
      </c>
      <c r="E2933">
        <v>0</v>
      </c>
      <c r="F2933">
        <v>1</v>
      </c>
      <c r="G2933">
        <v>0.1</v>
      </c>
      <c r="H2933" t="s">
        <v>622</v>
      </c>
      <c r="J2933" t="s">
        <v>623</v>
      </c>
      <c r="K2933" s="1"/>
      <c r="L2933" s="1">
        <v>46304.764907407407</v>
      </c>
      <c r="M2933" s="2">
        <v>46304</v>
      </c>
      <c r="N2933" t="s">
        <v>643</v>
      </c>
      <c r="O2933" t="s">
        <v>629</v>
      </c>
      <c r="P2933">
        <v>1</v>
      </c>
      <c r="Q2933">
        <v>0</v>
      </c>
      <c r="R2933">
        <v>26.37</v>
      </c>
      <c r="S2933" t="s">
        <v>269</v>
      </c>
      <c r="T2933" t="s">
        <v>776</v>
      </c>
    </row>
    <row r="2934" spans="1:20" x14ac:dyDescent="0.3">
      <c r="A2934">
        <v>2933</v>
      </c>
      <c r="B2934">
        <v>134</v>
      </c>
      <c r="C2934">
        <v>3</v>
      </c>
      <c r="D2934">
        <v>127.42</v>
      </c>
      <c r="E2934">
        <v>12.74</v>
      </c>
      <c r="F2934">
        <v>0</v>
      </c>
      <c r="G2934">
        <v>0.1</v>
      </c>
      <c r="H2934" t="s">
        <v>622</v>
      </c>
      <c r="J2934" t="s">
        <v>623</v>
      </c>
      <c r="K2934" s="1"/>
      <c r="L2934" s="1">
        <v>46305.333310185182</v>
      </c>
      <c r="M2934" s="2">
        <v>46305</v>
      </c>
      <c r="N2934" t="s">
        <v>643</v>
      </c>
      <c r="O2934" t="s">
        <v>625</v>
      </c>
      <c r="P2934">
        <v>1</v>
      </c>
      <c r="Q2934">
        <v>0</v>
      </c>
      <c r="R2934">
        <v>127.42</v>
      </c>
      <c r="S2934" t="s">
        <v>263</v>
      </c>
      <c r="T2934" t="s">
        <v>777</v>
      </c>
    </row>
    <row r="2935" spans="1:20" x14ac:dyDescent="0.3">
      <c r="A2935">
        <v>2934</v>
      </c>
      <c r="B2935">
        <v>134</v>
      </c>
      <c r="C2935">
        <v>2</v>
      </c>
      <c r="D2935">
        <v>108.07</v>
      </c>
      <c r="E2935">
        <v>10.81</v>
      </c>
      <c r="F2935">
        <v>0</v>
      </c>
      <c r="G2935">
        <v>0.1</v>
      </c>
      <c r="H2935" t="s">
        <v>622</v>
      </c>
      <c r="J2935" t="s">
        <v>623</v>
      </c>
      <c r="K2935" s="1"/>
      <c r="L2935" s="1">
        <v>46305.343032407407</v>
      </c>
      <c r="M2935" s="2">
        <v>46305</v>
      </c>
      <c r="N2935" t="s">
        <v>643</v>
      </c>
      <c r="O2935" t="s">
        <v>625</v>
      </c>
      <c r="P2935">
        <v>1</v>
      </c>
      <c r="Q2935">
        <v>0</v>
      </c>
      <c r="R2935">
        <v>108.07</v>
      </c>
      <c r="S2935" t="s">
        <v>263</v>
      </c>
      <c r="T2935" t="s">
        <v>776</v>
      </c>
    </row>
    <row r="2936" spans="1:20" x14ac:dyDescent="0.3">
      <c r="A2936">
        <v>2935</v>
      </c>
      <c r="B2936">
        <v>87</v>
      </c>
      <c r="C2936">
        <v>4</v>
      </c>
      <c r="D2936">
        <v>25.47</v>
      </c>
      <c r="E2936">
        <v>2.5499999999999998</v>
      </c>
      <c r="F2936">
        <v>0</v>
      </c>
      <c r="G2936">
        <v>0.1</v>
      </c>
      <c r="H2936" t="s">
        <v>622</v>
      </c>
      <c r="J2936" t="s">
        <v>623</v>
      </c>
      <c r="K2936" s="1"/>
      <c r="L2936" s="1">
        <v>46305.401145833333</v>
      </c>
      <c r="M2936" s="2">
        <v>46305</v>
      </c>
      <c r="N2936" t="s">
        <v>643</v>
      </c>
      <c r="O2936" t="s">
        <v>625</v>
      </c>
      <c r="P2936">
        <v>1</v>
      </c>
      <c r="Q2936">
        <v>0</v>
      </c>
      <c r="R2936">
        <v>25.47</v>
      </c>
      <c r="S2936" t="s">
        <v>169</v>
      </c>
      <c r="T2936" t="s">
        <v>778</v>
      </c>
    </row>
    <row r="2937" spans="1:20" x14ac:dyDescent="0.3">
      <c r="A2937">
        <v>2936</v>
      </c>
      <c r="B2937">
        <v>246</v>
      </c>
      <c r="C2937">
        <v>3</v>
      </c>
      <c r="D2937">
        <v>39.380000000000003</v>
      </c>
      <c r="E2937">
        <v>3.94</v>
      </c>
      <c r="F2937">
        <v>0</v>
      </c>
      <c r="G2937">
        <v>0.1</v>
      </c>
      <c r="H2937" t="s">
        <v>622</v>
      </c>
      <c r="J2937" t="s">
        <v>623</v>
      </c>
      <c r="K2937" s="1"/>
      <c r="L2937" s="1">
        <v>46305.403761574074</v>
      </c>
      <c r="M2937" s="2">
        <v>46305</v>
      </c>
      <c r="N2937" t="s">
        <v>643</v>
      </c>
      <c r="O2937" t="s">
        <v>625</v>
      </c>
      <c r="P2937">
        <v>1</v>
      </c>
      <c r="Q2937">
        <v>0</v>
      </c>
      <c r="R2937">
        <v>39.380000000000003</v>
      </c>
      <c r="S2937" t="s">
        <v>487</v>
      </c>
      <c r="T2937" t="s">
        <v>777</v>
      </c>
    </row>
    <row r="2938" spans="1:20" x14ac:dyDescent="0.3">
      <c r="A2938">
        <v>2937</v>
      </c>
      <c r="B2938">
        <v>134</v>
      </c>
      <c r="C2938">
        <v>2</v>
      </c>
      <c r="D2938">
        <v>135.49</v>
      </c>
      <c r="E2938">
        <v>13.55</v>
      </c>
      <c r="F2938">
        <v>0</v>
      </c>
      <c r="G2938">
        <v>0.1</v>
      </c>
      <c r="H2938" t="s">
        <v>622</v>
      </c>
      <c r="J2938" t="s">
        <v>623</v>
      </c>
      <c r="K2938" s="1"/>
      <c r="L2938" s="1">
        <v>46305.411400462966</v>
      </c>
      <c r="M2938" s="2">
        <v>46305</v>
      </c>
      <c r="N2938" t="s">
        <v>643</v>
      </c>
      <c r="O2938" t="s">
        <v>625</v>
      </c>
      <c r="P2938">
        <v>1</v>
      </c>
      <c r="Q2938">
        <v>0</v>
      </c>
      <c r="R2938">
        <v>135.49</v>
      </c>
      <c r="S2938" t="s">
        <v>263</v>
      </c>
      <c r="T2938" t="s">
        <v>776</v>
      </c>
    </row>
    <row r="2939" spans="1:20" x14ac:dyDescent="0.3">
      <c r="A2939">
        <v>2938</v>
      </c>
      <c r="B2939">
        <v>188</v>
      </c>
      <c r="C2939">
        <v>3</v>
      </c>
      <c r="D2939">
        <v>230.98</v>
      </c>
      <c r="E2939">
        <v>23.1</v>
      </c>
      <c r="F2939">
        <v>0</v>
      </c>
      <c r="G2939">
        <v>0.1</v>
      </c>
      <c r="H2939" t="s">
        <v>622</v>
      </c>
      <c r="J2939" t="s">
        <v>623</v>
      </c>
      <c r="K2939" s="1"/>
      <c r="L2939" s="1">
        <v>46305.44703703704</v>
      </c>
      <c r="M2939" s="2">
        <v>46305</v>
      </c>
      <c r="N2939" t="s">
        <v>643</v>
      </c>
      <c r="O2939" t="s">
        <v>625</v>
      </c>
      <c r="P2939">
        <v>1</v>
      </c>
      <c r="Q2939">
        <v>0</v>
      </c>
      <c r="R2939">
        <v>230.98</v>
      </c>
      <c r="S2939" t="s">
        <v>371</v>
      </c>
      <c r="T2939" t="s">
        <v>777</v>
      </c>
    </row>
    <row r="2940" spans="1:20" x14ac:dyDescent="0.3">
      <c r="A2940">
        <v>2939</v>
      </c>
      <c r="B2940">
        <v>137</v>
      </c>
      <c r="C2940">
        <v>5</v>
      </c>
      <c r="D2940">
        <v>76.180000000000007</v>
      </c>
      <c r="E2940">
        <v>7.62</v>
      </c>
      <c r="F2940">
        <v>0</v>
      </c>
      <c r="G2940">
        <v>0.1</v>
      </c>
      <c r="H2940" t="s">
        <v>622</v>
      </c>
      <c r="J2940" t="s">
        <v>623</v>
      </c>
      <c r="K2940" s="1"/>
      <c r="L2940" s="1">
        <v>46305.448564814818</v>
      </c>
      <c r="M2940" s="2">
        <v>46305</v>
      </c>
      <c r="N2940" t="s">
        <v>643</v>
      </c>
      <c r="O2940" t="s">
        <v>625</v>
      </c>
      <c r="P2940">
        <v>1</v>
      </c>
      <c r="Q2940">
        <v>0</v>
      </c>
      <c r="R2940">
        <v>76.180000000000007</v>
      </c>
      <c r="S2940" t="s">
        <v>269</v>
      </c>
      <c r="T2940" t="s">
        <v>779</v>
      </c>
    </row>
    <row r="2941" spans="1:20" x14ac:dyDescent="0.3">
      <c r="A2941">
        <v>2940</v>
      </c>
      <c r="B2941">
        <v>134</v>
      </c>
      <c r="C2941">
        <v>5</v>
      </c>
      <c r="D2941">
        <v>89.64</v>
      </c>
      <c r="E2941">
        <v>0</v>
      </c>
      <c r="F2941">
        <v>1</v>
      </c>
      <c r="G2941">
        <v>0.1</v>
      </c>
      <c r="H2941" t="s">
        <v>622</v>
      </c>
      <c r="J2941" t="s">
        <v>623</v>
      </c>
      <c r="K2941" s="1"/>
      <c r="L2941" s="1">
        <v>46305.457766203705</v>
      </c>
      <c r="M2941" s="2">
        <v>46305</v>
      </c>
      <c r="N2941" t="s">
        <v>643</v>
      </c>
      <c r="O2941" t="s">
        <v>629</v>
      </c>
      <c r="P2941">
        <v>1</v>
      </c>
      <c r="Q2941">
        <v>0</v>
      </c>
      <c r="R2941">
        <v>89.64</v>
      </c>
      <c r="S2941" t="s">
        <v>263</v>
      </c>
      <c r="T2941" t="s">
        <v>779</v>
      </c>
    </row>
    <row r="2942" spans="1:20" x14ac:dyDescent="0.3">
      <c r="A2942">
        <v>2941</v>
      </c>
      <c r="B2942">
        <v>75</v>
      </c>
      <c r="C2942">
        <v>4</v>
      </c>
      <c r="D2942">
        <v>65.900000000000006</v>
      </c>
      <c r="E2942">
        <v>6.59</v>
      </c>
      <c r="F2942">
        <v>0</v>
      </c>
      <c r="G2942">
        <v>0.1</v>
      </c>
      <c r="H2942" t="s">
        <v>626</v>
      </c>
      <c r="I2942">
        <v>2</v>
      </c>
      <c r="J2942" t="s">
        <v>628</v>
      </c>
      <c r="K2942" s="1">
        <v>46306.131099537037</v>
      </c>
      <c r="L2942" s="1">
        <v>46305.547766203701</v>
      </c>
      <c r="M2942" s="2">
        <v>46305</v>
      </c>
      <c r="N2942" t="s">
        <v>643</v>
      </c>
      <c r="O2942" t="s">
        <v>625</v>
      </c>
      <c r="P2942">
        <v>1</v>
      </c>
      <c r="Q2942">
        <v>1</v>
      </c>
      <c r="R2942">
        <v>0</v>
      </c>
      <c r="S2942" t="s">
        <v>146</v>
      </c>
      <c r="T2942" t="s">
        <v>778</v>
      </c>
    </row>
    <row r="2943" spans="1:20" x14ac:dyDescent="0.3">
      <c r="A2943">
        <v>2942</v>
      </c>
      <c r="B2943">
        <v>246</v>
      </c>
      <c r="C2943">
        <v>2</v>
      </c>
      <c r="D2943">
        <v>47.25</v>
      </c>
      <c r="E2943">
        <v>4.7300000000000004</v>
      </c>
      <c r="F2943">
        <v>0</v>
      </c>
      <c r="G2943">
        <v>0.1</v>
      </c>
      <c r="H2943" t="s">
        <v>622</v>
      </c>
      <c r="J2943" t="s">
        <v>623</v>
      </c>
      <c r="K2943" s="1"/>
      <c r="L2943" s="1">
        <v>46305.636087962965</v>
      </c>
      <c r="M2943" s="2">
        <v>46305</v>
      </c>
      <c r="N2943" t="s">
        <v>643</v>
      </c>
      <c r="O2943" t="s">
        <v>625</v>
      </c>
      <c r="P2943">
        <v>1</v>
      </c>
      <c r="Q2943">
        <v>0</v>
      </c>
      <c r="R2943">
        <v>47.25</v>
      </c>
      <c r="S2943" t="s">
        <v>487</v>
      </c>
      <c r="T2943" t="s">
        <v>776</v>
      </c>
    </row>
    <row r="2944" spans="1:20" x14ac:dyDescent="0.3">
      <c r="A2944">
        <v>2943</v>
      </c>
      <c r="B2944">
        <v>175</v>
      </c>
      <c r="C2944">
        <v>3</v>
      </c>
      <c r="D2944">
        <v>23.57</v>
      </c>
      <c r="E2944">
        <v>2.36</v>
      </c>
      <c r="F2944">
        <v>0</v>
      </c>
      <c r="G2944">
        <v>0.1</v>
      </c>
      <c r="H2944" t="s">
        <v>622</v>
      </c>
      <c r="J2944" t="s">
        <v>623</v>
      </c>
      <c r="K2944" s="1"/>
      <c r="L2944" s="1">
        <v>46305.639710648145</v>
      </c>
      <c r="M2944" s="2">
        <v>46305</v>
      </c>
      <c r="N2944" t="s">
        <v>643</v>
      </c>
      <c r="O2944" t="s">
        <v>625</v>
      </c>
      <c r="P2944">
        <v>1</v>
      </c>
      <c r="Q2944">
        <v>0</v>
      </c>
      <c r="R2944">
        <v>23.57</v>
      </c>
      <c r="S2944" t="s">
        <v>345</v>
      </c>
      <c r="T2944" t="s">
        <v>777</v>
      </c>
    </row>
    <row r="2945" spans="1:20" x14ac:dyDescent="0.3">
      <c r="A2945">
        <v>2944</v>
      </c>
      <c r="B2945">
        <v>111</v>
      </c>
      <c r="C2945">
        <v>3</v>
      </c>
      <c r="D2945">
        <v>84.3</v>
      </c>
      <c r="E2945">
        <v>8.43</v>
      </c>
      <c r="F2945">
        <v>0</v>
      </c>
      <c r="G2945">
        <v>0.1</v>
      </c>
      <c r="H2945" t="s">
        <v>622</v>
      </c>
      <c r="J2945" t="s">
        <v>623</v>
      </c>
      <c r="K2945" s="1"/>
      <c r="L2945" s="1">
        <v>46305.682685185187</v>
      </c>
      <c r="M2945" s="2">
        <v>46305</v>
      </c>
      <c r="N2945" t="s">
        <v>643</v>
      </c>
      <c r="O2945" t="s">
        <v>625</v>
      </c>
      <c r="P2945">
        <v>1</v>
      </c>
      <c r="Q2945">
        <v>0</v>
      </c>
      <c r="R2945">
        <v>84.3</v>
      </c>
      <c r="S2945" t="s">
        <v>217</v>
      </c>
      <c r="T2945" t="s">
        <v>777</v>
      </c>
    </row>
    <row r="2946" spans="1:20" x14ac:dyDescent="0.3">
      <c r="A2946">
        <v>2945</v>
      </c>
      <c r="B2946">
        <v>61</v>
      </c>
      <c r="C2946">
        <v>3</v>
      </c>
      <c r="D2946">
        <v>101.95</v>
      </c>
      <c r="E2946">
        <v>10.199999999999999</v>
      </c>
      <c r="F2946">
        <v>0</v>
      </c>
      <c r="G2946">
        <v>0.1</v>
      </c>
      <c r="H2946" t="s">
        <v>622</v>
      </c>
      <c r="J2946" t="s">
        <v>623</v>
      </c>
      <c r="K2946" s="1"/>
      <c r="L2946" s="1">
        <v>46305.687222222223</v>
      </c>
      <c r="M2946" s="2">
        <v>46305</v>
      </c>
      <c r="N2946" t="s">
        <v>643</v>
      </c>
      <c r="O2946" t="s">
        <v>625</v>
      </c>
      <c r="P2946">
        <v>1</v>
      </c>
      <c r="Q2946">
        <v>0</v>
      </c>
      <c r="R2946">
        <v>101.95</v>
      </c>
      <c r="S2946" t="s">
        <v>118</v>
      </c>
      <c r="T2946" t="s">
        <v>777</v>
      </c>
    </row>
    <row r="2947" spans="1:20" x14ac:dyDescent="0.3">
      <c r="A2947">
        <v>2946</v>
      </c>
      <c r="B2947">
        <v>250</v>
      </c>
      <c r="C2947">
        <v>3</v>
      </c>
      <c r="D2947">
        <v>97.65</v>
      </c>
      <c r="E2947">
        <v>9.77</v>
      </c>
      <c r="F2947">
        <v>0</v>
      </c>
      <c r="G2947">
        <v>0.1</v>
      </c>
      <c r="H2947" t="s">
        <v>622</v>
      </c>
      <c r="J2947" t="s">
        <v>623</v>
      </c>
      <c r="K2947" s="1"/>
      <c r="L2947" s="1">
        <v>46306.329791666663</v>
      </c>
      <c r="M2947" s="2">
        <v>46306</v>
      </c>
      <c r="N2947" t="s">
        <v>643</v>
      </c>
      <c r="O2947" t="s">
        <v>625</v>
      </c>
      <c r="P2947">
        <v>1</v>
      </c>
      <c r="Q2947">
        <v>0</v>
      </c>
      <c r="R2947">
        <v>97.65</v>
      </c>
      <c r="S2947" t="s">
        <v>495</v>
      </c>
      <c r="T2947" t="s">
        <v>777</v>
      </c>
    </row>
    <row r="2948" spans="1:20" x14ac:dyDescent="0.3">
      <c r="A2948">
        <v>2947</v>
      </c>
      <c r="B2948">
        <v>285</v>
      </c>
      <c r="C2948">
        <v>2</v>
      </c>
      <c r="D2948">
        <v>37.4</v>
      </c>
      <c r="E2948">
        <v>3.74</v>
      </c>
      <c r="F2948">
        <v>0</v>
      </c>
      <c r="G2948">
        <v>0.1</v>
      </c>
      <c r="H2948" t="s">
        <v>622</v>
      </c>
      <c r="J2948" t="s">
        <v>623</v>
      </c>
      <c r="K2948" s="1"/>
      <c r="L2948" s="1">
        <v>46306.347662037035</v>
      </c>
      <c r="M2948" s="2">
        <v>46306</v>
      </c>
      <c r="N2948" t="s">
        <v>643</v>
      </c>
      <c r="O2948" t="s">
        <v>625</v>
      </c>
      <c r="P2948">
        <v>1</v>
      </c>
      <c r="Q2948">
        <v>0</v>
      </c>
      <c r="R2948">
        <v>37.4</v>
      </c>
      <c r="S2948" t="s">
        <v>565</v>
      </c>
      <c r="T2948" t="s">
        <v>776</v>
      </c>
    </row>
    <row r="2949" spans="1:20" x14ac:dyDescent="0.3">
      <c r="A2949">
        <v>2948</v>
      </c>
      <c r="B2949">
        <v>106</v>
      </c>
      <c r="C2949">
        <v>5</v>
      </c>
      <c r="D2949">
        <v>132.87</v>
      </c>
      <c r="E2949">
        <v>13.29</v>
      </c>
      <c r="F2949">
        <v>0</v>
      </c>
      <c r="G2949">
        <v>0.1</v>
      </c>
      <c r="H2949" t="s">
        <v>622</v>
      </c>
      <c r="J2949" t="s">
        <v>623</v>
      </c>
      <c r="K2949" s="1"/>
      <c r="L2949" s="1">
        <v>46306.53634259259</v>
      </c>
      <c r="M2949" s="2">
        <v>46306</v>
      </c>
      <c r="N2949" t="s">
        <v>643</v>
      </c>
      <c r="O2949" t="s">
        <v>625</v>
      </c>
      <c r="P2949">
        <v>1</v>
      </c>
      <c r="Q2949">
        <v>0</v>
      </c>
      <c r="R2949">
        <v>132.87</v>
      </c>
      <c r="S2949" t="s">
        <v>207</v>
      </c>
      <c r="T2949" t="s">
        <v>779</v>
      </c>
    </row>
    <row r="2950" spans="1:20" x14ac:dyDescent="0.3">
      <c r="A2950">
        <v>2949</v>
      </c>
      <c r="B2950">
        <v>215</v>
      </c>
      <c r="C2950">
        <v>2</v>
      </c>
      <c r="D2950">
        <v>13.33</v>
      </c>
      <c r="E2950">
        <v>1.33</v>
      </c>
      <c r="F2950">
        <v>0</v>
      </c>
      <c r="G2950">
        <v>0.1</v>
      </c>
      <c r="H2950" t="s">
        <v>622</v>
      </c>
      <c r="J2950" t="s">
        <v>623</v>
      </c>
      <c r="K2950" s="1"/>
      <c r="L2950" s="1">
        <v>46306.683009259257</v>
      </c>
      <c r="M2950" s="2">
        <v>46306</v>
      </c>
      <c r="N2950" t="s">
        <v>643</v>
      </c>
      <c r="O2950" t="s">
        <v>625</v>
      </c>
      <c r="P2950">
        <v>1</v>
      </c>
      <c r="Q2950">
        <v>0</v>
      </c>
      <c r="R2950">
        <v>13.33</v>
      </c>
      <c r="S2950" t="s">
        <v>425</v>
      </c>
      <c r="T2950" t="s">
        <v>776</v>
      </c>
    </row>
    <row r="2951" spans="1:20" x14ac:dyDescent="0.3">
      <c r="A2951">
        <v>2950</v>
      </c>
      <c r="B2951">
        <v>202</v>
      </c>
      <c r="C2951">
        <v>3</v>
      </c>
      <c r="D2951">
        <v>10.68</v>
      </c>
      <c r="E2951">
        <v>1.07</v>
      </c>
      <c r="F2951">
        <v>0</v>
      </c>
      <c r="G2951">
        <v>0.1</v>
      </c>
      <c r="H2951" t="s">
        <v>622</v>
      </c>
      <c r="J2951" t="s">
        <v>623</v>
      </c>
      <c r="K2951" s="1"/>
      <c r="L2951" s="1">
        <v>46306.713599537034</v>
      </c>
      <c r="M2951" s="2">
        <v>46306</v>
      </c>
      <c r="N2951" t="s">
        <v>643</v>
      </c>
      <c r="O2951" t="s">
        <v>625</v>
      </c>
      <c r="P2951">
        <v>1</v>
      </c>
      <c r="Q2951">
        <v>0</v>
      </c>
      <c r="R2951">
        <v>10.68</v>
      </c>
      <c r="S2951" t="s">
        <v>399</v>
      </c>
      <c r="T2951" t="s">
        <v>777</v>
      </c>
    </row>
    <row r="2952" spans="1:20" x14ac:dyDescent="0.3">
      <c r="A2952">
        <v>2951</v>
      </c>
      <c r="B2952">
        <v>229</v>
      </c>
      <c r="C2952">
        <v>4</v>
      </c>
      <c r="D2952">
        <v>95.39</v>
      </c>
      <c r="E2952">
        <v>0</v>
      </c>
      <c r="F2952">
        <v>1</v>
      </c>
      <c r="G2952">
        <v>0.1</v>
      </c>
      <c r="H2952" t="s">
        <v>622</v>
      </c>
      <c r="J2952" t="s">
        <v>623</v>
      </c>
      <c r="K2952" s="1"/>
      <c r="L2952" s="1">
        <v>46306.715775462966</v>
      </c>
      <c r="M2952" s="2">
        <v>46306</v>
      </c>
      <c r="N2952" t="s">
        <v>643</v>
      </c>
      <c r="O2952" t="s">
        <v>629</v>
      </c>
      <c r="P2952">
        <v>1</v>
      </c>
      <c r="Q2952">
        <v>0</v>
      </c>
      <c r="R2952">
        <v>95.39</v>
      </c>
      <c r="S2952" t="s">
        <v>453</v>
      </c>
      <c r="T2952" t="s">
        <v>778</v>
      </c>
    </row>
    <row r="2953" spans="1:20" x14ac:dyDescent="0.3">
      <c r="A2953">
        <v>2952</v>
      </c>
      <c r="B2953">
        <v>75</v>
      </c>
      <c r="C2953">
        <v>3</v>
      </c>
      <c r="D2953">
        <v>126.8</v>
      </c>
      <c r="E2953">
        <v>12.68</v>
      </c>
      <c r="F2953">
        <v>0</v>
      </c>
      <c r="G2953">
        <v>0.1</v>
      </c>
      <c r="H2953" t="s">
        <v>622</v>
      </c>
      <c r="J2953" t="s">
        <v>623</v>
      </c>
      <c r="K2953" s="1"/>
      <c r="L2953" s="1">
        <v>46307.341909722221</v>
      </c>
      <c r="M2953" s="2">
        <v>46307</v>
      </c>
      <c r="N2953" t="s">
        <v>643</v>
      </c>
      <c r="O2953" t="s">
        <v>625</v>
      </c>
      <c r="P2953">
        <v>1</v>
      </c>
      <c r="Q2953">
        <v>0</v>
      </c>
      <c r="R2953">
        <v>126.8</v>
      </c>
      <c r="S2953" t="s">
        <v>146</v>
      </c>
      <c r="T2953" t="s">
        <v>777</v>
      </c>
    </row>
    <row r="2954" spans="1:20" x14ac:dyDescent="0.3">
      <c r="A2954">
        <v>2953</v>
      </c>
      <c r="B2954">
        <v>294</v>
      </c>
      <c r="C2954">
        <v>5</v>
      </c>
      <c r="D2954">
        <v>36.71</v>
      </c>
      <c r="E2954">
        <v>3.67</v>
      </c>
      <c r="F2954">
        <v>0</v>
      </c>
      <c r="G2954">
        <v>0.1</v>
      </c>
      <c r="H2954" t="s">
        <v>622</v>
      </c>
      <c r="J2954" t="s">
        <v>623</v>
      </c>
      <c r="K2954" s="1"/>
      <c r="L2954" s="1">
        <v>46307.389432870368</v>
      </c>
      <c r="M2954" s="2">
        <v>46307</v>
      </c>
      <c r="N2954" t="s">
        <v>643</v>
      </c>
      <c r="O2954" t="s">
        <v>625</v>
      </c>
      <c r="P2954">
        <v>1</v>
      </c>
      <c r="Q2954">
        <v>0</v>
      </c>
      <c r="R2954">
        <v>36.71</v>
      </c>
      <c r="S2954" t="s">
        <v>583</v>
      </c>
      <c r="T2954" t="s">
        <v>779</v>
      </c>
    </row>
    <row r="2955" spans="1:20" x14ac:dyDescent="0.3">
      <c r="A2955">
        <v>2954</v>
      </c>
      <c r="B2955">
        <v>29</v>
      </c>
      <c r="C2955">
        <v>2</v>
      </c>
      <c r="D2955">
        <v>29.87</v>
      </c>
      <c r="E2955">
        <v>2.99</v>
      </c>
      <c r="F2955">
        <v>0</v>
      </c>
      <c r="G2955">
        <v>0.1</v>
      </c>
      <c r="H2955" t="s">
        <v>622</v>
      </c>
      <c r="J2955" t="s">
        <v>623</v>
      </c>
      <c r="K2955" s="1"/>
      <c r="L2955" s="1">
        <v>46307.41778935185</v>
      </c>
      <c r="M2955" s="2">
        <v>46307</v>
      </c>
      <c r="N2955" t="s">
        <v>643</v>
      </c>
      <c r="O2955" t="s">
        <v>625</v>
      </c>
      <c r="P2955">
        <v>1</v>
      </c>
      <c r="Q2955">
        <v>0</v>
      </c>
      <c r="R2955">
        <v>29.87</v>
      </c>
      <c r="S2955" t="s">
        <v>54</v>
      </c>
      <c r="T2955" t="s">
        <v>776</v>
      </c>
    </row>
    <row r="2956" spans="1:20" x14ac:dyDescent="0.3">
      <c r="A2956">
        <v>2955</v>
      </c>
      <c r="B2956">
        <v>170</v>
      </c>
      <c r="C2956">
        <v>4</v>
      </c>
      <c r="D2956">
        <v>102.84</v>
      </c>
      <c r="E2956">
        <v>10.28</v>
      </c>
      <c r="F2956">
        <v>0</v>
      </c>
      <c r="G2956">
        <v>0.1</v>
      </c>
      <c r="H2956" t="s">
        <v>622</v>
      </c>
      <c r="J2956" t="s">
        <v>623</v>
      </c>
      <c r="K2956" s="1"/>
      <c r="L2956" s="1">
        <v>46307.577118055553</v>
      </c>
      <c r="M2956" s="2">
        <v>46307</v>
      </c>
      <c r="N2956" t="s">
        <v>643</v>
      </c>
      <c r="O2956" t="s">
        <v>625</v>
      </c>
      <c r="P2956">
        <v>1</v>
      </c>
      <c r="Q2956">
        <v>0</v>
      </c>
      <c r="R2956">
        <v>102.84</v>
      </c>
      <c r="S2956" t="s">
        <v>335</v>
      </c>
      <c r="T2956" t="s">
        <v>778</v>
      </c>
    </row>
    <row r="2957" spans="1:20" x14ac:dyDescent="0.3">
      <c r="A2957">
        <v>2956</v>
      </c>
      <c r="B2957">
        <v>170</v>
      </c>
      <c r="C2957">
        <v>5</v>
      </c>
      <c r="D2957">
        <v>65.53</v>
      </c>
      <c r="E2957">
        <v>6.55</v>
      </c>
      <c r="F2957">
        <v>0</v>
      </c>
      <c r="G2957">
        <v>0.1</v>
      </c>
      <c r="H2957" t="s">
        <v>622</v>
      </c>
      <c r="J2957" t="s">
        <v>623</v>
      </c>
      <c r="K2957" s="1"/>
      <c r="L2957" s="1">
        <v>46308.292696759258</v>
      </c>
      <c r="M2957" s="2">
        <v>46308</v>
      </c>
      <c r="N2957" t="s">
        <v>643</v>
      </c>
      <c r="O2957" t="s">
        <v>625</v>
      </c>
      <c r="P2957">
        <v>1</v>
      </c>
      <c r="Q2957">
        <v>0</v>
      </c>
      <c r="R2957">
        <v>65.53</v>
      </c>
      <c r="S2957" t="s">
        <v>335</v>
      </c>
      <c r="T2957" t="s">
        <v>779</v>
      </c>
    </row>
    <row r="2958" spans="1:20" x14ac:dyDescent="0.3">
      <c r="A2958">
        <v>2957</v>
      </c>
      <c r="B2958">
        <v>250</v>
      </c>
      <c r="C2958">
        <v>5</v>
      </c>
      <c r="D2958">
        <v>92.97</v>
      </c>
      <c r="E2958">
        <v>9.3000000000000007</v>
      </c>
      <c r="F2958">
        <v>0</v>
      </c>
      <c r="G2958">
        <v>0.1</v>
      </c>
      <c r="H2958" t="s">
        <v>622</v>
      </c>
      <c r="J2958" t="s">
        <v>623</v>
      </c>
      <c r="K2958" s="1"/>
      <c r="L2958" s="1">
        <v>46308.319467592592</v>
      </c>
      <c r="M2958" s="2">
        <v>46308</v>
      </c>
      <c r="N2958" t="s">
        <v>643</v>
      </c>
      <c r="O2958" t="s">
        <v>625</v>
      </c>
      <c r="P2958">
        <v>1</v>
      </c>
      <c r="Q2958">
        <v>0</v>
      </c>
      <c r="R2958">
        <v>92.97</v>
      </c>
      <c r="S2958" t="s">
        <v>495</v>
      </c>
      <c r="T2958" t="s">
        <v>779</v>
      </c>
    </row>
    <row r="2959" spans="1:20" x14ac:dyDescent="0.3">
      <c r="A2959">
        <v>2958</v>
      </c>
      <c r="B2959">
        <v>21</v>
      </c>
      <c r="C2959">
        <v>2</v>
      </c>
      <c r="D2959">
        <v>43.72</v>
      </c>
      <c r="E2959">
        <v>4.37</v>
      </c>
      <c r="F2959">
        <v>0</v>
      </c>
      <c r="G2959">
        <v>0.1</v>
      </c>
      <c r="H2959" t="s">
        <v>622</v>
      </c>
      <c r="J2959" t="s">
        <v>623</v>
      </c>
      <c r="K2959" s="1"/>
      <c r="L2959" s="1">
        <v>46308.34646990741</v>
      </c>
      <c r="M2959" s="2">
        <v>46308</v>
      </c>
      <c r="N2959" t="s">
        <v>643</v>
      </c>
      <c r="O2959" t="s">
        <v>625</v>
      </c>
      <c r="P2959">
        <v>1</v>
      </c>
      <c r="Q2959">
        <v>0</v>
      </c>
      <c r="R2959">
        <v>43.72</v>
      </c>
      <c r="S2959" t="s">
        <v>38</v>
      </c>
      <c r="T2959" t="s">
        <v>776</v>
      </c>
    </row>
    <row r="2960" spans="1:20" x14ac:dyDescent="0.3">
      <c r="A2960">
        <v>2959</v>
      </c>
      <c r="B2960">
        <v>16</v>
      </c>
      <c r="C2960">
        <v>4</v>
      </c>
      <c r="D2960">
        <v>215.08</v>
      </c>
      <c r="E2960">
        <v>21.51</v>
      </c>
      <c r="F2960">
        <v>0</v>
      </c>
      <c r="G2960">
        <v>0.1</v>
      </c>
      <c r="H2960" t="s">
        <v>622</v>
      </c>
      <c r="J2960" t="s">
        <v>623</v>
      </c>
      <c r="K2960" s="1"/>
      <c r="L2960" s="1">
        <v>46308.384664351855</v>
      </c>
      <c r="M2960" s="2">
        <v>46308</v>
      </c>
      <c r="N2960" t="s">
        <v>643</v>
      </c>
      <c r="O2960" t="s">
        <v>625</v>
      </c>
      <c r="P2960">
        <v>1</v>
      </c>
      <c r="Q2960">
        <v>0</v>
      </c>
      <c r="R2960">
        <v>215.08</v>
      </c>
      <c r="S2960" t="s">
        <v>28</v>
      </c>
      <c r="T2960" t="s">
        <v>778</v>
      </c>
    </row>
    <row r="2961" spans="1:20" x14ac:dyDescent="0.3">
      <c r="A2961">
        <v>2960</v>
      </c>
      <c r="B2961">
        <v>179</v>
      </c>
      <c r="C2961">
        <v>2</v>
      </c>
      <c r="D2961">
        <v>161.07</v>
      </c>
      <c r="E2961">
        <v>16.11</v>
      </c>
      <c r="F2961">
        <v>0</v>
      </c>
      <c r="G2961">
        <v>0.1</v>
      </c>
      <c r="H2961" t="s">
        <v>622</v>
      </c>
      <c r="J2961" t="s">
        <v>623</v>
      </c>
      <c r="K2961" s="1"/>
      <c r="L2961" s="1">
        <v>46308.392488425925</v>
      </c>
      <c r="M2961" s="2">
        <v>46308</v>
      </c>
      <c r="N2961" t="s">
        <v>643</v>
      </c>
      <c r="O2961" t="s">
        <v>625</v>
      </c>
      <c r="P2961">
        <v>1</v>
      </c>
      <c r="Q2961">
        <v>0</v>
      </c>
      <c r="R2961">
        <v>161.07</v>
      </c>
      <c r="S2961" t="s">
        <v>353</v>
      </c>
      <c r="T2961" t="s">
        <v>776</v>
      </c>
    </row>
    <row r="2962" spans="1:20" x14ac:dyDescent="0.3">
      <c r="A2962">
        <v>2961</v>
      </c>
      <c r="B2962">
        <v>44</v>
      </c>
      <c r="C2962">
        <v>3</v>
      </c>
      <c r="D2962">
        <v>34.799999999999997</v>
      </c>
      <c r="E2962">
        <v>3.48</v>
      </c>
      <c r="F2962">
        <v>0</v>
      </c>
      <c r="G2962">
        <v>0.1</v>
      </c>
      <c r="H2962" t="s">
        <v>622</v>
      </c>
      <c r="J2962" t="s">
        <v>623</v>
      </c>
      <c r="K2962" s="1"/>
      <c r="L2962" s="1">
        <v>46308.394629629627</v>
      </c>
      <c r="M2962" s="2">
        <v>46308</v>
      </c>
      <c r="N2962" t="s">
        <v>643</v>
      </c>
      <c r="O2962" t="s">
        <v>625</v>
      </c>
      <c r="P2962">
        <v>1</v>
      </c>
      <c r="Q2962">
        <v>0</v>
      </c>
      <c r="R2962">
        <v>34.799999999999997</v>
      </c>
      <c r="S2962" t="s">
        <v>84</v>
      </c>
      <c r="T2962" t="s">
        <v>777</v>
      </c>
    </row>
    <row r="2963" spans="1:20" x14ac:dyDescent="0.3">
      <c r="A2963">
        <v>2962</v>
      </c>
      <c r="B2963">
        <v>190</v>
      </c>
      <c r="C2963">
        <v>2</v>
      </c>
      <c r="D2963">
        <v>111.04</v>
      </c>
      <c r="E2963">
        <v>11.1</v>
      </c>
      <c r="F2963">
        <v>0</v>
      </c>
      <c r="G2963">
        <v>0.1</v>
      </c>
      <c r="H2963" t="s">
        <v>622</v>
      </c>
      <c r="J2963" t="s">
        <v>623</v>
      </c>
      <c r="K2963" s="1"/>
      <c r="L2963" s="1">
        <v>46308.433229166665</v>
      </c>
      <c r="M2963" s="2">
        <v>46308</v>
      </c>
      <c r="N2963" t="s">
        <v>643</v>
      </c>
      <c r="O2963" t="s">
        <v>625</v>
      </c>
      <c r="P2963">
        <v>1</v>
      </c>
      <c r="Q2963">
        <v>0</v>
      </c>
      <c r="R2963">
        <v>111.04</v>
      </c>
      <c r="S2963" t="s">
        <v>375</v>
      </c>
      <c r="T2963" t="s">
        <v>776</v>
      </c>
    </row>
    <row r="2964" spans="1:20" x14ac:dyDescent="0.3">
      <c r="A2964">
        <v>2963</v>
      </c>
      <c r="B2964">
        <v>187</v>
      </c>
      <c r="C2964">
        <v>3</v>
      </c>
      <c r="D2964">
        <v>27.93</v>
      </c>
      <c r="E2964">
        <v>2.79</v>
      </c>
      <c r="F2964">
        <v>0</v>
      </c>
      <c r="G2964">
        <v>0.1</v>
      </c>
      <c r="H2964" t="s">
        <v>622</v>
      </c>
      <c r="J2964" t="s">
        <v>623</v>
      </c>
      <c r="K2964" s="1"/>
      <c r="L2964" s="1">
        <v>46308.558969907404</v>
      </c>
      <c r="M2964" s="2">
        <v>46308</v>
      </c>
      <c r="N2964" t="s">
        <v>643</v>
      </c>
      <c r="O2964" t="s">
        <v>625</v>
      </c>
      <c r="P2964">
        <v>1</v>
      </c>
      <c r="Q2964">
        <v>0</v>
      </c>
      <c r="R2964">
        <v>27.93</v>
      </c>
      <c r="S2964" t="s">
        <v>369</v>
      </c>
      <c r="T2964" t="s">
        <v>777</v>
      </c>
    </row>
    <row r="2965" spans="1:20" x14ac:dyDescent="0.3">
      <c r="A2965">
        <v>2964</v>
      </c>
      <c r="B2965">
        <v>293</v>
      </c>
      <c r="C2965">
        <v>4</v>
      </c>
      <c r="D2965">
        <v>36.200000000000003</v>
      </c>
      <c r="E2965">
        <v>3.62</v>
      </c>
      <c r="F2965">
        <v>0</v>
      </c>
      <c r="G2965">
        <v>0.1</v>
      </c>
      <c r="H2965" t="s">
        <v>622</v>
      </c>
      <c r="J2965" t="s">
        <v>623</v>
      </c>
      <c r="K2965" s="1"/>
      <c r="L2965" s="1">
        <v>46308.621527777781</v>
      </c>
      <c r="M2965" s="2">
        <v>46308</v>
      </c>
      <c r="N2965" t="s">
        <v>643</v>
      </c>
      <c r="O2965" t="s">
        <v>625</v>
      </c>
      <c r="P2965">
        <v>1</v>
      </c>
      <c r="Q2965">
        <v>0</v>
      </c>
      <c r="R2965">
        <v>36.200000000000003</v>
      </c>
      <c r="S2965" t="s">
        <v>581</v>
      </c>
      <c r="T2965" t="s">
        <v>778</v>
      </c>
    </row>
    <row r="2966" spans="1:20" x14ac:dyDescent="0.3">
      <c r="A2966">
        <v>2965</v>
      </c>
      <c r="B2966">
        <v>134</v>
      </c>
      <c r="C2966">
        <v>3</v>
      </c>
      <c r="D2966">
        <v>64.47</v>
      </c>
      <c r="E2966">
        <v>6.45</v>
      </c>
      <c r="F2966">
        <v>0</v>
      </c>
      <c r="G2966">
        <v>0.1</v>
      </c>
      <c r="H2966" t="s">
        <v>622</v>
      </c>
      <c r="J2966" t="s">
        <v>623</v>
      </c>
      <c r="K2966" s="1"/>
      <c r="L2966" s="1">
        <v>46308.793252314812</v>
      </c>
      <c r="M2966" s="2">
        <v>46308</v>
      </c>
      <c r="N2966" t="s">
        <v>643</v>
      </c>
      <c r="O2966" t="s">
        <v>625</v>
      </c>
      <c r="P2966">
        <v>1</v>
      </c>
      <c r="Q2966">
        <v>0</v>
      </c>
      <c r="R2966">
        <v>64.47</v>
      </c>
      <c r="S2966" t="s">
        <v>263</v>
      </c>
      <c r="T2966" t="s">
        <v>777</v>
      </c>
    </row>
    <row r="2967" spans="1:20" x14ac:dyDescent="0.3">
      <c r="A2967">
        <v>2966</v>
      </c>
      <c r="B2967">
        <v>281</v>
      </c>
      <c r="C2967">
        <v>5</v>
      </c>
      <c r="D2967">
        <v>111.24</v>
      </c>
      <c r="E2967">
        <v>11.12</v>
      </c>
      <c r="F2967">
        <v>0</v>
      </c>
      <c r="G2967">
        <v>0.1</v>
      </c>
      <c r="H2967" t="s">
        <v>622</v>
      </c>
      <c r="J2967" t="s">
        <v>623</v>
      </c>
      <c r="K2967" s="1"/>
      <c r="L2967" s="1">
        <v>46309.30059027778</v>
      </c>
      <c r="M2967" s="2">
        <v>46309</v>
      </c>
      <c r="N2967" t="s">
        <v>643</v>
      </c>
      <c r="O2967" t="s">
        <v>625</v>
      </c>
      <c r="P2967">
        <v>1</v>
      </c>
      <c r="Q2967">
        <v>0</v>
      </c>
      <c r="R2967">
        <v>111.24</v>
      </c>
      <c r="S2967" t="s">
        <v>557</v>
      </c>
      <c r="T2967" t="s">
        <v>779</v>
      </c>
    </row>
    <row r="2968" spans="1:20" x14ac:dyDescent="0.3">
      <c r="A2968">
        <v>2967</v>
      </c>
      <c r="B2968">
        <v>283</v>
      </c>
      <c r="C2968">
        <v>3</v>
      </c>
      <c r="D2968">
        <v>15.94</v>
      </c>
      <c r="E2968">
        <v>1.59</v>
      </c>
      <c r="F2968">
        <v>0</v>
      </c>
      <c r="G2968">
        <v>0.1</v>
      </c>
      <c r="H2968" t="s">
        <v>622</v>
      </c>
      <c r="J2968" t="s">
        <v>623</v>
      </c>
      <c r="K2968" s="1"/>
      <c r="L2968" s="1">
        <v>46309.530081018522</v>
      </c>
      <c r="M2968" s="2">
        <v>46309</v>
      </c>
      <c r="N2968" t="s">
        <v>643</v>
      </c>
      <c r="O2968" t="s">
        <v>625</v>
      </c>
      <c r="P2968">
        <v>1</v>
      </c>
      <c r="Q2968">
        <v>0</v>
      </c>
      <c r="R2968">
        <v>15.94</v>
      </c>
      <c r="S2968" t="s">
        <v>561</v>
      </c>
      <c r="T2968" t="s">
        <v>777</v>
      </c>
    </row>
    <row r="2969" spans="1:20" x14ac:dyDescent="0.3">
      <c r="A2969">
        <v>2968</v>
      </c>
      <c r="B2969">
        <v>229</v>
      </c>
      <c r="C2969">
        <v>4</v>
      </c>
      <c r="D2969">
        <v>84.84</v>
      </c>
      <c r="E2969">
        <v>8.48</v>
      </c>
      <c r="F2969">
        <v>0</v>
      </c>
      <c r="G2969">
        <v>0.1</v>
      </c>
      <c r="H2969" t="s">
        <v>622</v>
      </c>
      <c r="J2969" t="s">
        <v>623</v>
      </c>
      <c r="K2969" s="1"/>
      <c r="L2969" s="1">
        <v>46309.611759259256</v>
      </c>
      <c r="M2969" s="2">
        <v>46309</v>
      </c>
      <c r="N2969" t="s">
        <v>643</v>
      </c>
      <c r="O2969" t="s">
        <v>625</v>
      </c>
      <c r="P2969">
        <v>1</v>
      </c>
      <c r="Q2969">
        <v>0</v>
      </c>
      <c r="R2969">
        <v>84.84</v>
      </c>
      <c r="S2969" t="s">
        <v>453</v>
      </c>
      <c r="T2969" t="s">
        <v>778</v>
      </c>
    </row>
    <row r="2970" spans="1:20" x14ac:dyDescent="0.3">
      <c r="A2970">
        <v>2969</v>
      </c>
      <c r="B2970">
        <v>36</v>
      </c>
      <c r="C2970">
        <v>5</v>
      </c>
      <c r="D2970">
        <v>243</v>
      </c>
      <c r="E2970">
        <v>24.3</v>
      </c>
      <c r="F2970">
        <v>0</v>
      </c>
      <c r="G2970">
        <v>0.1</v>
      </c>
      <c r="H2970" t="s">
        <v>622</v>
      </c>
      <c r="J2970" t="s">
        <v>623</v>
      </c>
      <c r="K2970" s="1"/>
      <c r="L2970" s="1">
        <v>46309.632627314815</v>
      </c>
      <c r="M2970" s="2">
        <v>46309</v>
      </c>
      <c r="N2970" t="s">
        <v>643</v>
      </c>
      <c r="O2970" t="s">
        <v>625</v>
      </c>
      <c r="P2970">
        <v>1</v>
      </c>
      <c r="Q2970">
        <v>0</v>
      </c>
      <c r="R2970">
        <v>243</v>
      </c>
      <c r="S2970" t="s">
        <v>68</v>
      </c>
      <c r="T2970" t="s">
        <v>779</v>
      </c>
    </row>
    <row r="2971" spans="1:20" x14ac:dyDescent="0.3">
      <c r="A2971">
        <v>2970</v>
      </c>
      <c r="B2971">
        <v>177</v>
      </c>
      <c r="C2971">
        <v>3</v>
      </c>
      <c r="D2971">
        <v>30.08</v>
      </c>
      <c r="E2971">
        <v>3.01</v>
      </c>
      <c r="F2971">
        <v>0</v>
      </c>
      <c r="G2971">
        <v>0.1</v>
      </c>
      <c r="H2971" t="s">
        <v>622</v>
      </c>
      <c r="J2971" t="s">
        <v>623</v>
      </c>
      <c r="K2971" s="1"/>
      <c r="L2971" s="1">
        <v>46309.659131944441</v>
      </c>
      <c r="M2971" s="2">
        <v>46309</v>
      </c>
      <c r="N2971" t="s">
        <v>643</v>
      </c>
      <c r="O2971" t="s">
        <v>625</v>
      </c>
      <c r="P2971">
        <v>1</v>
      </c>
      <c r="Q2971">
        <v>0</v>
      </c>
      <c r="R2971">
        <v>30.08</v>
      </c>
      <c r="S2971" t="s">
        <v>349</v>
      </c>
      <c r="T2971" t="s">
        <v>777</v>
      </c>
    </row>
    <row r="2972" spans="1:20" x14ac:dyDescent="0.3">
      <c r="A2972">
        <v>2971</v>
      </c>
      <c r="B2972">
        <v>243</v>
      </c>
      <c r="C2972">
        <v>4</v>
      </c>
      <c r="D2972">
        <v>44.93</v>
      </c>
      <c r="E2972">
        <v>4.49</v>
      </c>
      <c r="F2972">
        <v>0</v>
      </c>
      <c r="G2972">
        <v>0.1</v>
      </c>
      <c r="H2972" t="s">
        <v>622</v>
      </c>
      <c r="J2972" t="s">
        <v>623</v>
      </c>
      <c r="K2972" s="1"/>
      <c r="L2972" s="1">
        <v>46309.700254629628</v>
      </c>
      <c r="M2972" s="2">
        <v>46309</v>
      </c>
      <c r="N2972" t="s">
        <v>643</v>
      </c>
      <c r="O2972" t="s">
        <v>625</v>
      </c>
      <c r="P2972">
        <v>1</v>
      </c>
      <c r="Q2972">
        <v>0</v>
      </c>
      <c r="R2972">
        <v>44.93</v>
      </c>
      <c r="S2972" t="s">
        <v>481</v>
      </c>
      <c r="T2972" t="s">
        <v>778</v>
      </c>
    </row>
    <row r="2973" spans="1:20" x14ac:dyDescent="0.3">
      <c r="A2973">
        <v>2972</v>
      </c>
      <c r="B2973">
        <v>229</v>
      </c>
      <c r="C2973">
        <v>2</v>
      </c>
      <c r="D2973">
        <v>66.53</v>
      </c>
      <c r="E2973">
        <v>6.65</v>
      </c>
      <c r="F2973">
        <v>0</v>
      </c>
      <c r="G2973">
        <v>0.1</v>
      </c>
      <c r="H2973" t="s">
        <v>622</v>
      </c>
      <c r="J2973" t="s">
        <v>623</v>
      </c>
      <c r="K2973" s="1"/>
      <c r="L2973" s="1">
        <v>46310.38890046296</v>
      </c>
      <c r="M2973" s="2">
        <v>46310</v>
      </c>
      <c r="N2973" t="s">
        <v>643</v>
      </c>
      <c r="O2973" t="s">
        <v>625</v>
      </c>
      <c r="P2973">
        <v>1</v>
      </c>
      <c r="Q2973">
        <v>0</v>
      </c>
      <c r="R2973">
        <v>66.53</v>
      </c>
      <c r="S2973" t="s">
        <v>453</v>
      </c>
      <c r="T2973" t="s">
        <v>776</v>
      </c>
    </row>
    <row r="2974" spans="1:20" x14ac:dyDescent="0.3">
      <c r="A2974">
        <v>2973</v>
      </c>
      <c r="B2974">
        <v>44</v>
      </c>
      <c r="C2974">
        <v>2</v>
      </c>
      <c r="D2974">
        <v>19.2</v>
      </c>
      <c r="E2974">
        <v>1.92</v>
      </c>
      <c r="F2974">
        <v>0</v>
      </c>
      <c r="G2974">
        <v>0.1</v>
      </c>
      <c r="H2974" t="s">
        <v>622</v>
      </c>
      <c r="J2974" t="s">
        <v>623</v>
      </c>
      <c r="K2974" s="1"/>
      <c r="L2974" s="1">
        <v>46310.502314814818</v>
      </c>
      <c r="M2974" s="2">
        <v>46310</v>
      </c>
      <c r="N2974" t="s">
        <v>643</v>
      </c>
      <c r="O2974" t="s">
        <v>625</v>
      </c>
      <c r="P2974">
        <v>1</v>
      </c>
      <c r="Q2974">
        <v>0</v>
      </c>
      <c r="R2974">
        <v>19.2</v>
      </c>
      <c r="S2974" t="s">
        <v>84</v>
      </c>
      <c r="T2974" t="s">
        <v>776</v>
      </c>
    </row>
    <row r="2975" spans="1:20" x14ac:dyDescent="0.3">
      <c r="A2975">
        <v>2974</v>
      </c>
      <c r="B2975">
        <v>202</v>
      </c>
      <c r="C2975">
        <v>2</v>
      </c>
      <c r="D2975">
        <v>31.47</v>
      </c>
      <c r="E2975">
        <v>3.15</v>
      </c>
      <c r="F2975">
        <v>0</v>
      </c>
      <c r="G2975">
        <v>0.1</v>
      </c>
      <c r="H2975" t="s">
        <v>622</v>
      </c>
      <c r="J2975" t="s">
        <v>623</v>
      </c>
      <c r="K2975" s="1"/>
      <c r="L2975" s="1">
        <v>46310.606458333335</v>
      </c>
      <c r="M2975" s="2">
        <v>46310</v>
      </c>
      <c r="N2975" t="s">
        <v>643</v>
      </c>
      <c r="O2975" t="s">
        <v>625</v>
      </c>
      <c r="P2975">
        <v>1</v>
      </c>
      <c r="Q2975">
        <v>0</v>
      </c>
      <c r="R2975">
        <v>31.47</v>
      </c>
      <c r="S2975" t="s">
        <v>399</v>
      </c>
      <c r="T2975" t="s">
        <v>776</v>
      </c>
    </row>
    <row r="2976" spans="1:20" x14ac:dyDescent="0.3">
      <c r="A2976">
        <v>2975</v>
      </c>
      <c r="B2976">
        <v>161</v>
      </c>
      <c r="C2976">
        <v>5</v>
      </c>
      <c r="D2976">
        <v>86.78</v>
      </c>
      <c r="E2976">
        <v>8.68</v>
      </c>
      <c r="F2976">
        <v>0</v>
      </c>
      <c r="G2976">
        <v>0.1</v>
      </c>
      <c r="H2976" t="s">
        <v>622</v>
      </c>
      <c r="J2976" t="s">
        <v>623</v>
      </c>
      <c r="K2976" s="1"/>
      <c r="L2976" s="1">
        <v>46310.610138888886</v>
      </c>
      <c r="M2976" s="2">
        <v>46310</v>
      </c>
      <c r="N2976" t="s">
        <v>643</v>
      </c>
      <c r="O2976" t="s">
        <v>625</v>
      </c>
      <c r="P2976">
        <v>1</v>
      </c>
      <c r="Q2976">
        <v>0</v>
      </c>
      <c r="R2976">
        <v>86.78</v>
      </c>
      <c r="S2976" t="s">
        <v>317</v>
      </c>
      <c r="T2976" t="s">
        <v>779</v>
      </c>
    </row>
    <row r="2977" spans="1:20" x14ac:dyDescent="0.3">
      <c r="A2977">
        <v>2976</v>
      </c>
      <c r="B2977">
        <v>128</v>
      </c>
      <c r="C2977">
        <v>2</v>
      </c>
      <c r="D2977">
        <v>21.49</v>
      </c>
      <c r="E2977">
        <v>2.15</v>
      </c>
      <c r="F2977">
        <v>0</v>
      </c>
      <c r="G2977">
        <v>0.1</v>
      </c>
      <c r="H2977" t="s">
        <v>622</v>
      </c>
      <c r="J2977" t="s">
        <v>623</v>
      </c>
      <c r="K2977" s="1"/>
      <c r="L2977" s="1">
        <v>46310.739594907405</v>
      </c>
      <c r="M2977" s="2">
        <v>46310</v>
      </c>
      <c r="N2977" t="s">
        <v>643</v>
      </c>
      <c r="O2977" t="s">
        <v>625</v>
      </c>
      <c r="P2977">
        <v>1</v>
      </c>
      <c r="Q2977">
        <v>0</v>
      </c>
      <c r="R2977">
        <v>21.49</v>
      </c>
      <c r="S2977" t="s">
        <v>251</v>
      </c>
      <c r="T2977" t="s">
        <v>776</v>
      </c>
    </row>
    <row r="2978" spans="1:20" x14ac:dyDescent="0.3">
      <c r="A2978">
        <v>2977</v>
      </c>
      <c r="B2978">
        <v>65</v>
      </c>
      <c r="C2978">
        <v>2</v>
      </c>
      <c r="D2978">
        <v>24.56</v>
      </c>
      <c r="E2978">
        <v>0</v>
      </c>
      <c r="F2978">
        <v>1</v>
      </c>
      <c r="G2978">
        <v>0.1</v>
      </c>
      <c r="H2978" t="s">
        <v>622</v>
      </c>
      <c r="J2978" t="s">
        <v>623</v>
      </c>
      <c r="K2978" s="1"/>
      <c r="L2978" s="1">
        <v>46311.369201388887</v>
      </c>
      <c r="M2978" s="2">
        <v>46311</v>
      </c>
      <c r="N2978" t="s">
        <v>643</v>
      </c>
      <c r="O2978" t="s">
        <v>629</v>
      </c>
      <c r="P2978">
        <v>1</v>
      </c>
      <c r="Q2978">
        <v>0</v>
      </c>
      <c r="R2978">
        <v>24.56</v>
      </c>
      <c r="S2978" t="s">
        <v>126</v>
      </c>
      <c r="T2978" t="s">
        <v>776</v>
      </c>
    </row>
    <row r="2979" spans="1:20" x14ac:dyDescent="0.3">
      <c r="A2979">
        <v>2978</v>
      </c>
      <c r="B2979">
        <v>88</v>
      </c>
      <c r="C2979">
        <v>4</v>
      </c>
      <c r="D2979">
        <v>104.72</v>
      </c>
      <c r="E2979">
        <v>10.47</v>
      </c>
      <c r="F2979">
        <v>0</v>
      </c>
      <c r="G2979">
        <v>0.1</v>
      </c>
      <c r="H2979" t="s">
        <v>622</v>
      </c>
      <c r="J2979" t="s">
        <v>623</v>
      </c>
      <c r="K2979" s="1"/>
      <c r="L2979" s="1">
        <v>46311.372314814813</v>
      </c>
      <c r="M2979" s="2">
        <v>46311</v>
      </c>
      <c r="N2979" t="s">
        <v>643</v>
      </c>
      <c r="O2979" t="s">
        <v>625</v>
      </c>
      <c r="P2979">
        <v>1</v>
      </c>
      <c r="Q2979">
        <v>0</v>
      </c>
      <c r="R2979">
        <v>104.72</v>
      </c>
      <c r="S2979" t="s">
        <v>171</v>
      </c>
      <c r="T2979" t="s">
        <v>778</v>
      </c>
    </row>
    <row r="2980" spans="1:20" x14ac:dyDescent="0.3">
      <c r="A2980">
        <v>2979</v>
      </c>
      <c r="B2980">
        <v>128</v>
      </c>
      <c r="C2980">
        <v>3</v>
      </c>
      <c r="D2980">
        <v>20.04</v>
      </c>
      <c r="E2980">
        <v>0</v>
      </c>
      <c r="F2980">
        <v>1</v>
      </c>
      <c r="G2980">
        <v>0.1</v>
      </c>
      <c r="H2980" t="s">
        <v>622</v>
      </c>
      <c r="J2980" t="s">
        <v>623</v>
      </c>
      <c r="K2980" s="1"/>
      <c r="L2980" s="1">
        <v>46311.414675925924</v>
      </c>
      <c r="M2980" s="2">
        <v>46311</v>
      </c>
      <c r="N2980" t="s">
        <v>643</v>
      </c>
      <c r="O2980" t="s">
        <v>629</v>
      </c>
      <c r="P2980">
        <v>1</v>
      </c>
      <c r="Q2980">
        <v>0</v>
      </c>
      <c r="R2980">
        <v>20.04</v>
      </c>
      <c r="S2980" t="s">
        <v>251</v>
      </c>
      <c r="T2980" t="s">
        <v>777</v>
      </c>
    </row>
    <row r="2981" spans="1:20" x14ac:dyDescent="0.3">
      <c r="A2981">
        <v>2980</v>
      </c>
      <c r="B2981">
        <v>119</v>
      </c>
      <c r="C2981">
        <v>2</v>
      </c>
      <c r="D2981">
        <v>146.75</v>
      </c>
      <c r="E2981">
        <v>14.68</v>
      </c>
      <c r="F2981">
        <v>0</v>
      </c>
      <c r="G2981">
        <v>0.1</v>
      </c>
      <c r="H2981" t="s">
        <v>622</v>
      </c>
      <c r="J2981" t="s">
        <v>623</v>
      </c>
      <c r="K2981" s="1"/>
      <c r="L2981" s="1">
        <v>46311.591319444444</v>
      </c>
      <c r="M2981" s="2">
        <v>46311</v>
      </c>
      <c r="N2981" t="s">
        <v>643</v>
      </c>
      <c r="O2981" t="s">
        <v>625</v>
      </c>
      <c r="P2981">
        <v>1</v>
      </c>
      <c r="Q2981">
        <v>0</v>
      </c>
      <c r="R2981">
        <v>146.75</v>
      </c>
      <c r="S2981" t="s">
        <v>233</v>
      </c>
      <c r="T2981" t="s">
        <v>776</v>
      </c>
    </row>
    <row r="2982" spans="1:20" x14ac:dyDescent="0.3">
      <c r="A2982">
        <v>2981</v>
      </c>
      <c r="B2982">
        <v>65</v>
      </c>
      <c r="C2982">
        <v>2</v>
      </c>
      <c r="D2982">
        <v>23.7</v>
      </c>
      <c r="E2982">
        <v>2.37</v>
      </c>
      <c r="F2982">
        <v>0</v>
      </c>
      <c r="G2982">
        <v>0.1</v>
      </c>
      <c r="H2982" t="s">
        <v>622</v>
      </c>
      <c r="J2982" t="s">
        <v>623</v>
      </c>
      <c r="K2982" s="1"/>
      <c r="L2982" s="1">
        <v>46311.644560185188</v>
      </c>
      <c r="M2982" s="2">
        <v>46311</v>
      </c>
      <c r="N2982" t="s">
        <v>643</v>
      </c>
      <c r="O2982" t="s">
        <v>625</v>
      </c>
      <c r="P2982">
        <v>1</v>
      </c>
      <c r="Q2982">
        <v>0</v>
      </c>
      <c r="R2982">
        <v>23.7</v>
      </c>
      <c r="S2982" t="s">
        <v>126</v>
      </c>
      <c r="T2982" t="s">
        <v>776</v>
      </c>
    </row>
    <row r="2983" spans="1:20" x14ac:dyDescent="0.3">
      <c r="A2983">
        <v>2982</v>
      </c>
      <c r="B2983">
        <v>273</v>
      </c>
      <c r="C2983">
        <v>5</v>
      </c>
      <c r="D2983">
        <v>31.52</v>
      </c>
      <c r="E2983">
        <v>3.15</v>
      </c>
      <c r="F2983">
        <v>0</v>
      </c>
      <c r="G2983">
        <v>0.1</v>
      </c>
      <c r="H2983" t="s">
        <v>622</v>
      </c>
      <c r="J2983" t="s">
        <v>623</v>
      </c>
      <c r="K2983" s="1"/>
      <c r="L2983" s="1">
        <v>46312.37190972222</v>
      </c>
      <c r="M2983" s="2">
        <v>46312</v>
      </c>
      <c r="N2983" t="s">
        <v>643</v>
      </c>
      <c r="O2983" t="s">
        <v>625</v>
      </c>
      <c r="P2983">
        <v>1</v>
      </c>
      <c r="Q2983">
        <v>0</v>
      </c>
      <c r="R2983">
        <v>31.52</v>
      </c>
      <c r="S2983" t="s">
        <v>541</v>
      </c>
      <c r="T2983" t="s">
        <v>779</v>
      </c>
    </row>
    <row r="2984" spans="1:20" x14ac:dyDescent="0.3">
      <c r="A2984">
        <v>2983</v>
      </c>
      <c r="B2984">
        <v>134</v>
      </c>
      <c r="C2984">
        <v>3</v>
      </c>
      <c r="D2984">
        <v>104.07</v>
      </c>
      <c r="E2984">
        <v>10.41</v>
      </c>
      <c r="F2984">
        <v>0</v>
      </c>
      <c r="G2984">
        <v>0.1</v>
      </c>
      <c r="H2984" t="s">
        <v>622</v>
      </c>
      <c r="J2984" t="s">
        <v>623</v>
      </c>
      <c r="K2984" s="1"/>
      <c r="L2984" s="1">
        <v>46312.62903935185</v>
      </c>
      <c r="M2984" s="2">
        <v>46312</v>
      </c>
      <c r="N2984" t="s">
        <v>643</v>
      </c>
      <c r="O2984" t="s">
        <v>625</v>
      </c>
      <c r="P2984">
        <v>1</v>
      </c>
      <c r="Q2984">
        <v>0</v>
      </c>
      <c r="R2984">
        <v>104.07</v>
      </c>
      <c r="S2984" t="s">
        <v>263</v>
      </c>
      <c r="T2984" t="s">
        <v>777</v>
      </c>
    </row>
    <row r="2985" spans="1:20" x14ac:dyDescent="0.3">
      <c r="A2985">
        <v>2984</v>
      </c>
      <c r="B2985">
        <v>285</v>
      </c>
      <c r="C2985">
        <v>5</v>
      </c>
      <c r="D2985">
        <v>28.18</v>
      </c>
      <c r="E2985">
        <v>2.82</v>
      </c>
      <c r="F2985">
        <v>0</v>
      </c>
      <c r="G2985">
        <v>0.1</v>
      </c>
      <c r="H2985" t="s">
        <v>622</v>
      </c>
      <c r="J2985" t="s">
        <v>623</v>
      </c>
      <c r="K2985" s="1"/>
      <c r="L2985" s="1">
        <v>46312.715462962966</v>
      </c>
      <c r="M2985" s="2">
        <v>46312</v>
      </c>
      <c r="N2985" t="s">
        <v>643</v>
      </c>
      <c r="O2985" t="s">
        <v>625</v>
      </c>
      <c r="P2985">
        <v>1</v>
      </c>
      <c r="Q2985">
        <v>0</v>
      </c>
      <c r="R2985">
        <v>28.18</v>
      </c>
      <c r="S2985" t="s">
        <v>565</v>
      </c>
      <c r="T2985" t="s">
        <v>779</v>
      </c>
    </row>
    <row r="2986" spans="1:20" x14ac:dyDescent="0.3">
      <c r="A2986">
        <v>2985</v>
      </c>
      <c r="B2986">
        <v>163</v>
      </c>
      <c r="C2986">
        <v>2</v>
      </c>
      <c r="D2986">
        <v>56.62</v>
      </c>
      <c r="E2986">
        <v>5.66</v>
      </c>
      <c r="F2986">
        <v>0</v>
      </c>
      <c r="G2986">
        <v>0.1</v>
      </c>
      <c r="H2986" t="s">
        <v>622</v>
      </c>
      <c r="J2986" t="s">
        <v>623</v>
      </c>
      <c r="K2986" s="1"/>
      <c r="L2986" s="1">
        <v>46312.768761574072</v>
      </c>
      <c r="M2986" s="2">
        <v>46312</v>
      </c>
      <c r="N2986" t="s">
        <v>643</v>
      </c>
      <c r="O2986" t="s">
        <v>625</v>
      </c>
      <c r="P2986">
        <v>1</v>
      </c>
      <c r="Q2986">
        <v>0</v>
      </c>
      <c r="R2986">
        <v>56.62</v>
      </c>
      <c r="S2986" t="s">
        <v>321</v>
      </c>
      <c r="T2986" t="s">
        <v>776</v>
      </c>
    </row>
    <row r="2987" spans="1:20" x14ac:dyDescent="0.3">
      <c r="A2987">
        <v>2986</v>
      </c>
      <c r="B2987">
        <v>48</v>
      </c>
      <c r="C2987">
        <v>5</v>
      </c>
      <c r="D2987">
        <v>139.15</v>
      </c>
      <c r="E2987">
        <v>13.92</v>
      </c>
      <c r="F2987">
        <v>0</v>
      </c>
      <c r="G2987">
        <v>0.1</v>
      </c>
      <c r="H2987" t="s">
        <v>622</v>
      </c>
      <c r="J2987" t="s">
        <v>623</v>
      </c>
      <c r="K2987" s="1"/>
      <c r="L2987" s="1">
        <v>46313.294641203705</v>
      </c>
      <c r="M2987" s="2">
        <v>46313</v>
      </c>
      <c r="N2987" t="s">
        <v>643</v>
      </c>
      <c r="O2987" t="s">
        <v>625</v>
      </c>
      <c r="P2987">
        <v>1</v>
      </c>
      <c r="Q2987">
        <v>0</v>
      </c>
      <c r="R2987">
        <v>139.15</v>
      </c>
      <c r="S2987" t="s">
        <v>92</v>
      </c>
      <c r="T2987" t="s">
        <v>779</v>
      </c>
    </row>
    <row r="2988" spans="1:20" x14ac:dyDescent="0.3">
      <c r="A2988">
        <v>2987</v>
      </c>
      <c r="B2988">
        <v>11</v>
      </c>
      <c r="C2988">
        <v>4</v>
      </c>
      <c r="D2988">
        <v>238.16</v>
      </c>
      <c r="E2988">
        <v>23.82</v>
      </c>
      <c r="F2988">
        <v>0</v>
      </c>
      <c r="G2988">
        <v>0.1</v>
      </c>
      <c r="H2988" t="s">
        <v>622</v>
      </c>
      <c r="J2988" t="s">
        <v>623</v>
      </c>
      <c r="K2988" s="1"/>
      <c r="L2988" s="1">
        <v>46313.417164351849</v>
      </c>
      <c r="M2988" s="2">
        <v>46313</v>
      </c>
      <c r="N2988" t="s">
        <v>643</v>
      </c>
      <c r="O2988" t="s">
        <v>625</v>
      </c>
      <c r="P2988">
        <v>1</v>
      </c>
      <c r="Q2988">
        <v>0</v>
      </c>
      <c r="R2988">
        <v>238.16</v>
      </c>
      <c r="S2988" t="s">
        <v>18</v>
      </c>
      <c r="T2988" t="s">
        <v>778</v>
      </c>
    </row>
    <row r="2989" spans="1:20" x14ac:dyDescent="0.3">
      <c r="A2989">
        <v>2988</v>
      </c>
      <c r="B2989">
        <v>147</v>
      </c>
      <c r="C2989">
        <v>3</v>
      </c>
      <c r="D2989">
        <v>149.19</v>
      </c>
      <c r="E2989">
        <v>14.92</v>
      </c>
      <c r="F2989">
        <v>0</v>
      </c>
      <c r="G2989">
        <v>0.1</v>
      </c>
      <c r="H2989" t="s">
        <v>622</v>
      </c>
      <c r="J2989" t="s">
        <v>623</v>
      </c>
      <c r="K2989" s="1"/>
      <c r="L2989" s="1">
        <v>46313.417534722219</v>
      </c>
      <c r="M2989" s="2">
        <v>46313</v>
      </c>
      <c r="N2989" t="s">
        <v>643</v>
      </c>
      <c r="O2989" t="s">
        <v>625</v>
      </c>
      <c r="P2989">
        <v>1</v>
      </c>
      <c r="Q2989">
        <v>0</v>
      </c>
      <c r="R2989">
        <v>149.19</v>
      </c>
      <c r="S2989" t="s">
        <v>289</v>
      </c>
      <c r="T2989" t="s">
        <v>777</v>
      </c>
    </row>
    <row r="2990" spans="1:20" x14ac:dyDescent="0.3">
      <c r="A2990">
        <v>2989</v>
      </c>
      <c r="B2990">
        <v>61</v>
      </c>
      <c r="C2990">
        <v>3</v>
      </c>
      <c r="D2990">
        <v>112.22</v>
      </c>
      <c r="E2990">
        <v>11.22</v>
      </c>
      <c r="F2990">
        <v>0</v>
      </c>
      <c r="G2990">
        <v>0.1</v>
      </c>
      <c r="H2990" t="s">
        <v>622</v>
      </c>
      <c r="J2990" t="s">
        <v>623</v>
      </c>
      <c r="K2990" s="1"/>
      <c r="L2990" s="1">
        <v>46313.48982638889</v>
      </c>
      <c r="M2990" s="2">
        <v>46313</v>
      </c>
      <c r="N2990" t="s">
        <v>643</v>
      </c>
      <c r="O2990" t="s">
        <v>625</v>
      </c>
      <c r="P2990">
        <v>1</v>
      </c>
      <c r="Q2990">
        <v>0</v>
      </c>
      <c r="R2990">
        <v>112.22</v>
      </c>
      <c r="S2990" t="s">
        <v>118</v>
      </c>
      <c r="T2990" t="s">
        <v>777</v>
      </c>
    </row>
    <row r="2991" spans="1:20" x14ac:dyDescent="0.3">
      <c r="A2991">
        <v>2990</v>
      </c>
      <c r="B2991">
        <v>128</v>
      </c>
      <c r="C2991">
        <v>5</v>
      </c>
      <c r="D2991">
        <v>23.89</v>
      </c>
      <c r="E2991">
        <v>0</v>
      </c>
      <c r="F2991">
        <v>1</v>
      </c>
      <c r="G2991">
        <v>0.1</v>
      </c>
      <c r="H2991" t="s">
        <v>622</v>
      </c>
      <c r="J2991" t="s">
        <v>623</v>
      </c>
      <c r="K2991" s="1"/>
      <c r="L2991" s="1">
        <v>46313.602962962963</v>
      </c>
      <c r="M2991" s="2">
        <v>46313</v>
      </c>
      <c r="N2991" t="s">
        <v>643</v>
      </c>
      <c r="O2991" t="s">
        <v>629</v>
      </c>
      <c r="P2991">
        <v>1</v>
      </c>
      <c r="Q2991">
        <v>0</v>
      </c>
      <c r="R2991">
        <v>23.89</v>
      </c>
      <c r="S2991" t="s">
        <v>251</v>
      </c>
      <c r="T2991" t="s">
        <v>779</v>
      </c>
    </row>
    <row r="2992" spans="1:20" x14ac:dyDescent="0.3">
      <c r="A2992">
        <v>2991</v>
      </c>
      <c r="B2992">
        <v>270</v>
      </c>
      <c r="C2992">
        <v>4</v>
      </c>
      <c r="D2992">
        <v>38.270000000000003</v>
      </c>
      <c r="E2992">
        <v>3.83</v>
      </c>
      <c r="F2992">
        <v>0</v>
      </c>
      <c r="G2992">
        <v>0.1</v>
      </c>
      <c r="H2992" t="s">
        <v>622</v>
      </c>
      <c r="J2992" t="s">
        <v>623</v>
      </c>
      <c r="K2992" s="1"/>
      <c r="L2992" s="1">
        <v>46313.619189814817</v>
      </c>
      <c r="M2992" s="2">
        <v>46313</v>
      </c>
      <c r="N2992" t="s">
        <v>643</v>
      </c>
      <c r="O2992" t="s">
        <v>625</v>
      </c>
      <c r="P2992">
        <v>1</v>
      </c>
      <c r="Q2992">
        <v>0</v>
      </c>
      <c r="R2992">
        <v>38.270000000000003</v>
      </c>
      <c r="S2992" t="s">
        <v>535</v>
      </c>
      <c r="T2992" t="s">
        <v>778</v>
      </c>
    </row>
    <row r="2993" spans="1:20" x14ac:dyDescent="0.3">
      <c r="A2993">
        <v>2992</v>
      </c>
      <c r="B2993">
        <v>128</v>
      </c>
      <c r="C2993">
        <v>5</v>
      </c>
      <c r="D2993">
        <v>38.67</v>
      </c>
      <c r="E2993">
        <v>3.87</v>
      </c>
      <c r="F2993">
        <v>0</v>
      </c>
      <c r="G2993">
        <v>0.1</v>
      </c>
      <c r="H2993" t="s">
        <v>622</v>
      </c>
      <c r="J2993" t="s">
        <v>623</v>
      </c>
      <c r="K2993" s="1"/>
      <c r="L2993" s="1">
        <v>46313.635312500002</v>
      </c>
      <c r="M2993" s="2">
        <v>46313</v>
      </c>
      <c r="N2993" t="s">
        <v>643</v>
      </c>
      <c r="O2993" t="s">
        <v>625</v>
      </c>
      <c r="P2993">
        <v>1</v>
      </c>
      <c r="Q2993">
        <v>0</v>
      </c>
      <c r="R2993">
        <v>38.67</v>
      </c>
      <c r="S2993" t="s">
        <v>251</v>
      </c>
      <c r="T2993" t="s">
        <v>779</v>
      </c>
    </row>
    <row r="2994" spans="1:20" x14ac:dyDescent="0.3">
      <c r="A2994">
        <v>2993</v>
      </c>
      <c r="B2994">
        <v>39</v>
      </c>
      <c r="C2994">
        <v>2</v>
      </c>
      <c r="D2994">
        <v>174.3</v>
      </c>
      <c r="E2994">
        <v>17.43</v>
      </c>
      <c r="F2994">
        <v>0</v>
      </c>
      <c r="G2994">
        <v>0.1</v>
      </c>
      <c r="H2994" t="s">
        <v>622</v>
      </c>
      <c r="J2994" t="s">
        <v>623</v>
      </c>
      <c r="K2994" s="1"/>
      <c r="L2994" s="1">
        <v>46314.46979166667</v>
      </c>
      <c r="M2994" s="2">
        <v>46314</v>
      </c>
      <c r="N2994" t="s">
        <v>643</v>
      </c>
      <c r="O2994" t="s">
        <v>625</v>
      </c>
      <c r="P2994">
        <v>1</v>
      </c>
      <c r="Q2994">
        <v>0</v>
      </c>
      <c r="R2994">
        <v>174.3</v>
      </c>
      <c r="S2994" t="s">
        <v>74</v>
      </c>
      <c r="T2994" t="s">
        <v>776</v>
      </c>
    </row>
    <row r="2995" spans="1:20" x14ac:dyDescent="0.3">
      <c r="A2995">
        <v>2994</v>
      </c>
      <c r="B2995">
        <v>178</v>
      </c>
      <c r="C2995">
        <v>2</v>
      </c>
      <c r="D2995">
        <v>119.09</v>
      </c>
      <c r="E2995">
        <v>0</v>
      </c>
      <c r="F2995">
        <v>1</v>
      </c>
      <c r="G2995">
        <v>0.1</v>
      </c>
      <c r="H2995" t="s">
        <v>622</v>
      </c>
      <c r="J2995" t="s">
        <v>623</v>
      </c>
      <c r="K2995" s="1"/>
      <c r="L2995" s="1">
        <v>46314.5856712963</v>
      </c>
      <c r="M2995" s="2">
        <v>46314</v>
      </c>
      <c r="N2995" t="s">
        <v>643</v>
      </c>
      <c r="O2995" t="s">
        <v>629</v>
      </c>
      <c r="P2995">
        <v>1</v>
      </c>
      <c r="Q2995">
        <v>0</v>
      </c>
      <c r="R2995">
        <v>119.09</v>
      </c>
      <c r="S2995" t="s">
        <v>351</v>
      </c>
      <c r="T2995" t="s">
        <v>776</v>
      </c>
    </row>
    <row r="2996" spans="1:20" x14ac:dyDescent="0.3">
      <c r="A2996">
        <v>2995</v>
      </c>
      <c r="B2996">
        <v>171</v>
      </c>
      <c r="C2996">
        <v>4</v>
      </c>
      <c r="D2996">
        <v>91.64</v>
      </c>
      <c r="E2996">
        <v>9.16</v>
      </c>
      <c r="F2996">
        <v>0</v>
      </c>
      <c r="G2996">
        <v>0.1</v>
      </c>
      <c r="H2996" t="s">
        <v>622</v>
      </c>
      <c r="J2996" t="s">
        <v>623</v>
      </c>
      <c r="K2996" s="1"/>
      <c r="L2996" s="1">
        <v>46314.59</v>
      </c>
      <c r="M2996" s="2">
        <v>46314</v>
      </c>
      <c r="N2996" t="s">
        <v>643</v>
      </c>
      <c r="O2996" t="s">
        <v>625</v>
      </c>
      <c r="P2996">
        <v>1</v>
      </c>
      <c r="Q2996">
        <v>0</v>
      </c>
      <c r="R2996">
        <v>91.64</v>
      </c>
      <c r="S2996" t="s">
        <v>337</v>
      </c>
      <c r="T2996" t="s">
        <v>778</v>
      </c>
    </row>
    <row r="2997" spans="1:20" x14ac:dyDescent="0.3">
      <c r="A2997">
        <v>2996</v>
      </c>
      <c r="B2997">
        <v>169</v>
      </c>
      <c r="C2997">
        <v>4</v>
      </c>
      <c r="D2997">
        <v>67.02</v>
      </c>
      <c r="E2997">
        <v>6.7</v>
      </c>
      <c r="F2997">
        <v>0</v>
      </c>
      <c r="G2997">
        <v>0.1</v>
      </c>
      <c r="H2997" t="s">
        <v>622</v>
      </c>
      <c r="J2997" t="s">
        <v>623</v>
      </c>
      <c r="K2997" s="1"/>
      <c r="L2997" s="1">
        <v>46314.639664351853</v>
      </c>
      <c r="M2997" s="2">
        <v>46314</v>
      </c>
      <c r="N2997" t="s">
        <v>643</v>
      </c>
      <c r="O2997" t="s">
        <v>625</v>
      </c>
      <c r="P2997">
        <v>1</v>
      </c>
      <c r="Q2997">
        <v>0</v>
      </c>
      <c r="R2997">
        <v>67.02</v>
      </c>
      <c r="S2997" t="s">
        <v>333</v>
      </c>
      <c r="T2997" t="s">
        <v>778</v>
      </c>
    </row>
    <row r="2998" spans="1:20" x14ac:dyDescent="0.3">
      <c r="A2998">
        <v>2997</v>
      </c>
      <c r="B2998">
        <v>75</v>
      </c>
      <c r="C2998">
        <v>4</v>
      </c>
      <c r="D2998">
        <v>157.99</v>
      </c>
      <c r="E2998">
        <v>15.8</v>
      </c>
      <c r="F2998">
        <v>0</v>
      </c>
      <c r="G2998">
        <v>0.1</v>
      </c>
      <c r="H2998" t="s">
        <v>622</v>
      </c>
      <c r="J2998" t="s">
        <v>623</v>
      </c>
      <c r="K2998" s="1"/>
      <c r="L2998" s="1">
        <v>46315.326111111113</v>
      </c>
      <c r="M2998" s="2">
        <v>46315</v>
      </c>
      <c r="N2998" t="s">
        <v>643</v>
      </c>
      <c r="O2998" t="s">
        <v>625</v>
      </c>
      <c r="P2998">
        <v>1</v>
      </c>
      <c r="Q2998">
        <v>0</v>
      </c>
      <c r="R2998">
        <v>157.99</v>
      </c>
      <c r="S2998" t="s">
        <v>146</v>
      </c>
      <c r="T2998" t="s">
        <v>778</v>
      </c>
    </row>
    <row r="2999" spans="1:20" x14ac:dyDescent="0.3">
      <c r="A2999">
        <v>2998</v>
      </c>
      <c r="B2999">
        <v>137</v>
      </c>
      <c r="C2999">
        <v>5</v>
      </c>
      <c r="D2999">
        <v>16.86</v>
      </c>
      <c r="E2999">
        <v>1.69</v>
      </c>
      <c r="F2999">
        <v>0</v>
      </c>
      <c r="G2999">
        <v>0.1</v>
      </c>
      <c r="H2999" t="s">
        <v>622</v>
      </c>
      <c r="J2999" t="s">
        <v>623</v>
      </c>
      <c r="K2999" s="1"/>
      <c r="L2999" s="1">
        <v>46315.615578703706</v>
      </c>
      <c r="M2999" s="2">
        <v>46315</v>
      </c>
      <c r="N2999" t="s">
        <v>643</v>
      </c>
      <c r="O2999" t="s">
        <v>625</v>
      </c>
      <c r="P2999">
        <v>1</v>
      </c>
      <c r="Q2999">
        <v>0</v>
      </c>
      <c r="R2999">
        <v>16.86</v>
      </c>
      <c r="S2999" t="s">
        <v>269</v>
      </c>
      <c r="T2999" t="s">
        <v>779</v>
      </c>
    </row>
    <row r="3000" spans="1:20" x14ac:dyDescent="0.3">
      <c r="A3000">
        <v>2999</v>
      </c>
      <c r="B3000">
        <v>156</v>
      </c>
      <c r="C3000">
        <v>3</v>
      </c>
      <c r="D3000">
        <v>32.020000000000003</v>
      </c>
      <c r="E3000">
        <v>3.2</v>
      </c>
      <c r="F3000">
        <v>0</v>
      </c>
      <c r="G3000">
        <v>0.1</v>
      </c>
      <c r="H3000" t="s">
        <v>626</v>
      </c>
      <c r="I3000">
        <v>5</v>
      </c>
      <c r="J3000" t="s">
        <v>627</v>
      </c>
      <c r="K3000" s="1">
        <v>46315.855266203704</v>
      </c>
      <c r="L3000" s="1">
        <v>46315.688599537039</v>
      </c>
      <c r="M3000" s="2">
        <v>46315</v>
      </c>
      <c r="N3000" t="s">
        <v>643</v>
      </c>
      <c r="O3000" t="s">
        <v>625</v>
      </c>
      <c r="P3000">
        <v>1</v>
      </c>
      <c r="Q3000">
        <v>1</v>
      </c>
      <c r="R3000">
        <v>0</v>
      </c>
      <c r="S3000" t="s">
        <v>307</v>
      </c>
      <c r="T3000" t="s">
        <v>777</v>
      </c>
    </row>
    <row r="3001" spans="1:20" x14ac:dyDescent="0.3">
      <c r="A3001">
        <v>3000</v>
      </c>
      <c r="B3001">
        <v>219</v>
      </c>
      <c r="C3001">
        <v>4</v>
      </c>
      <c r="D3001">
        <v>56.19</v>
      </c>
      <c r="E3001">
        <v>5.62</v>
      </c>
      <c r="F3001">
        <v>0</v>
      </c>
      <c r="G3001">
        <v>0.1</v>
      </c>
      <c r="H3001" t="s">
        <v>622</v>
      </c>
      <c r="J3001" t="s">
        <v>623</v>
      </c>
      <c r="K3001" s="1"/>
      <c r="L3001" s="1">
        <v>46315.825520833336</v>
      </c>
      <c r="M3001" s="2">
        <v>46315</v>
      </c>
      <c r="N3001" t="s">
        <v>643</v>
      </c>
      <c r="O3001" t="s">
        <v>625</v>
      </c>
      <c r="P3001">
        <v>1</v>
      </c>
      <c r="Q3001">
        <v>0</v>
      </c>
      <c r="R3001">
        <v>56.19</v>
      </c>
      <c r="S3001" t="s">
        <v>433</v>
      </c>
      <c r="T3001" t="s">
        <v>778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0BF6-DAD9-4749-BCD9-A210E04E053C}">
  <dimension ref="A1:K3180"/>
  <sheetViews>
    <sheetView workbookViewId="0"/>
  </sheetViews>
  <sheetFormatPr baseColWidth="10" defaultRowHeight="14.4" x14ac:dyDescent="0.3"/>
  <cols>
    <col min="1" max="1" width="5" bestFit="1" customWidth="1"/>
    <col min="2" max="2" width="13.5546875" bestFit="1" customWidth="1"/>
    <col min="3" max="3" width="9.33203125" bestFit="1" customWidth="1"/>
    <col min="4" max="4" width="13.33203125" bestFit="1" customWidth="1"/>
    <col min="5" max="5" width="11.77734375" bestFit="1" customWidth="1"/>
    <col min="6" max="6" width="8.44140625" bestFit="1" customWidth="1"/>
    <col min="7" max="7" width="36.5546875" bestFit="1" customWidth="1"/>
    <col min="8" max="8" width="15.21875" bestFit="1" customWidth="1"/>
    <col min="9" max="9" width="7.6640625" bestFit="1" customWidth="1"/>
    <col min="10" max="10" width="13.33203125" bestFit="1" customWidth="1"/>
    <col min="11" max="11" width="14.6640625" bestFit="1" customWidth="1"/>
  </cols>
  <sheetData>
    <row r="1" spans="1:11" x14ac:dyDescent="0.3">
      <c r="A1" t="s">
        <v>0</v>
      </c>
      <c r="B1" t="s">
        <v>607</v>
      </c>
      <c r="C1" t="s">
        <v>608</v>
      </c>
      <c r="D1" t="s">
        <v>644</v>
      </c>
      <c r="E1" t="s">
        <v>645</v>
      </c>
      <c r="F1" t="s">
        <v>4</v>
      </c>
      <c r="G1" t="s">
        <v>646</v>
      </c>
      <c r="H1" t="s">
        <v>6</v>
      </c>
      <c r="I1" t="s">
        <v>617</v>
      </c>
      <c r="J1" t="s">
        <v>647</v>
      </c>
      <c r="K1" t="s">
        <v>648</v>
      </c>
    </row>
    <row r="2" spans="1:11" x14ac:dyDescent="0.3">
      <c r="A2">
        <v>1</v>
      </c>
      <c r="B2">
        <v>7</v>
      </c>
      <c r="C2">
        <v>1</v>
      </c>
      <c r="E2" t="s">
        <v>649</v>
      </c>
      <c r="F2">
        <v>8.8000000000000007</v>
      </c>
      <c r="G2" t="s">
        <v>650</v>
      </c>
      <c r="H2" s="1">
        <v>45951.036076388889</v>
      </c>
      <c r="I2" t="s">
        <v>624</v>
      </c>
      <c r="J2">
        <v>0</v>
      </c>
      <c r="K2">
        <v>0</v>
      </c>
    </row>
    <row r="3" spans="1:11" x14ac:dyDescent="0.3">
      <c r="A3">
        <v>2</v>
      </c>
      <c r="B3">
        <v>6</v>
      </c>
      <c r="C3">
        <v>3</v>
      </c>
      <c r="D3">
        <v>1</v>
      </c>
      <c r="E3" t="s">
        <v>651</v>
      </c>
      <c r="F3">
        <v>2.2400000000000002</v>
      </c>
      <c r="G3" t="s">
        <v>623</v>
      </c>
      <c r="H3" s="1">
        <v>45951.294374999998</v>
      </c>
      <c r="I3" t="s">
        <v>624</v>
      </c>
      <c r="J3">
        <v>2.2400000000000002</v>
      </c>
      <c r="K3">
        <v>0</v>
      </c>
    </row>
    <row r="4" spans="1:11" x14ac:dyDescent="0.3">
      <c r="A4">
        <v>3</v>
      </c>
      <c r="B4">
        <v>58</v>
      </c>
      <c r="C4">
        <v>4</v>
      </c>
      <c r="D4">
        <v>2</v>
      </c>
      <c r="E4" t="s">
        <v>651</v>
      </c>
      <c r="F4">
        <v>12.33</v>
      </c>
      <c r="G4" t="s">
        <v>623</v>
      </c>
      <c r="H4" s="1">
        <v>45951.357083333336</v>
      </c>
      <c r="I4" t="s">
        <v>624</v>
      </c>
      <c r="J4">
        <v>12.33</v>
      </c>
      <c r="K4">
        <v>0</v>
      </c>
    </row>
    <row r="5" spans="1:11" x14ac:dyDescent="0.3">
      <c r="A5">
        <v>4</v>
      </c>
      <c r="B5">
        <v>51</v>
      </c>
      <c r="C5">
        <v>3</v>
      </c>
      <c r="D5">
        <v>3</v>
      </c>
      <c r="E5" t="s">
        <v>651</v>
      </c>
      <c r="F5">
        <v>28.9</v>
      </c>
      <c r="G5" t="s">
        <v>623</v>
      </c>
      <c r="H5" s="1">
        <v>45951.359166666669</v>
      </c>
      <c r="I5" t="s">
        <v>624</v>
      </c>
      <c r="J5">
        <v>28.9</v>
      </c>
      <c r="K5">
        <v>0</v>
      </c>
    </row>
    <row r="6" spans="1:11" x14ac:dyDescent="0.3">
      <c r="A6">
        <v>5</v>
      </c>
      <c r="B6">
        <v>27</v>
      </c>
      <c r="C6">
        <v>4</v>
      </c>
      <c r="D6">
        <v>4</v>
      </c>
      <c r="E6" t="s">
        <v>651</v>
      </c>
      <c r="F6">
        <v>6.53</v>
      </c>
      <c r="G6" t="s">
        <v>623</v>
      </c>
      <c r="H6" s="1">
        <v>45951.372349537036</v>
      </c>
      <c r="I6" t="s">
        <v>624</v>
      </c>
      <c r="J6">
        <v>6.53</v>
      </c>
      <c r="K6">
        <v>0</v>
      </c>
    </row>
    <row r="7" spans="1:11" x14ac:dyDescent="0.3">
      <c r="A7">
        <v>6</v>
      </c>
      <c r="B7">
        <v>27</v>
      </c>
      <c r="C7">
        <v>2</v>
      </c>
      <c r="D7">
        <v>5</v>
      </c>
      <c r="E7" t="s">
        <v>651</v>
      </c>
      <c r="F7">
        <v>6.7</v>
      </c>
      <c r="G7" t="s">
        <v>623</v>
      </c>
      <c r="H7" s="1">
        <v>45951.379699074074</v>
      </c>
      <c r="I7" t="s">
        <v>624</v>
      </c>
      <c r="J7">
        <v>6.7</v>
      </c>
      <c r="K7">
        <v>0</v>
      </c>
    </row>
    <row r="8" spans="1:11" x14ac:dyDescent="0.3">
      <c r="A8">
        <v>7</v>
      </c>
      <c r="B8">
        <v>36</v>
      </c>
      <c r="C8">
        <v>2</v>
      </c>
      <c r="D8">
        <v>6</v>
      </c>
      <c r="E8" t="s">
        <v>651</v>
      </c>
      <c r="F8">
        <v>10.48</v>
      </c>
      <c r="G8" t="s">
        <v>623</v>
      </c>
      <c r="H8" s="1">
        <v>45951.387372685182</v>
      </c>
      <c r="I8" t="s">
        <v>624</v>
      </c>
      <c r="J8">
        <v>10.48</v>
      </c>
      <c r="K8">
        <v>0</v>
      </c>
    </row>
    <row r="9" spans="1:11" x14ac:dyDescent="0.3">
      <c r="A9">
        <v>8</v>
      </c>
      <c r="B9">
        <v>44</v>
      </c>
      <c r="C9">
        <v>5</v>
      </c>
      <c r="D9">
        <v>7</v>
      </c>
      <c r="E9" t="s">
        <v>651</v>
      </c>
      <c r="F9">
        <v>2.5</v>
      </c>
      <c r="G9" t="s">
        <v>623</v>
      </c>
      <c r="H9" s="1">
        <v>45951.403391203705</v>
      </c>
      <c r="I9" t="s">
        <v>624</v>
      </c>
      <c r="J9">
        <v>2.5</v>
      </c>
      <c r="K9">
        <v>0</v>
      </c>
    </row>
    <row r="10" spans="1:11" x14ac:dyDescent="0.3">
      <c r="A10">
        <v>9</v>
      </c>
      <c r="B10">
        <v>47</v>
      </c>
      <c r="C10">
        <v>2</v>
      </c>
      <c r="D10">
        <v>8</v>
      </c>
      <c r="E10" t="s">
        <v>651</v>
      </c>
      <c r="F10">
        <v>3.07</v>
      </c>
      <c r="G10" t="s">
        <v>623</v>
      </c>
      <c r="H10" s="1">
        <v>45951.539583333331</v>
      </c>
      <c r="I10" t="s">
        <v>624</v>
      </c>
      <c r="J10">
        <v>3.07</v>
      </c>
      <c r="K10">
        <v>0</v>
      </c>
    </row>
    <row r="11" spans="1:11" x14ac:dyDescent="0.3">
      <c r="A11">
        <v>10</v>
      </c>
      <c r="B11">
        <v>16</v>
      </c>
      <c r="C11">
        <v>2</v>
      </c>
      <c r="D11">
        <v>9</v>
      </c>
      <c r="E11" t="s">
        <v>651</v>
      </c>
      <c r="F11">
        <v>18.23</v>
      </c>
      <c r="G11" t="s">
        <v>623</v>
      </c>
      <c r="H11" s="1">
        <v>45951.689479166664</v>
      </c>
      <c r="I11" t="s">
        <v>624</v>
      </c>
      <c r="J11">
        <v>18.23</v>
      </c>
      <c r="K11">
        <v>0</v>
      </c>
    </row>
    <row r="12" spans="1:11" x14ac:dyDescent="0.3">
      <c r="A12">
        <v>11</v>
      </c>
      <c r="B12">
        <v>10</v>
      </c>
      <c r="C12">
        <v>2</v>
      </c>
      <c r="D12">
        <v>10</v>
      </c>
      <c r="E12" t="s">
        <v>651</v>
      </c>
      <c r="F12">
        <v>7.09</v>
      </c>
      <c r="G12" t="s">
        <v>623</v>
      </c>
      <c r="H12" s="1">
        <v>45951.708506944444</v>
      </c>
      <c r="I12" t="s">
        <v>624</v>
      </c>
      <c r="J12">
        <v>7.09</v>
      </c>
      <c r="K12">
        <v>0</v>
      </c>
    </row>
    <row r="13" spans="1:11" x14ac:dyDescent="0.3">
      <c r="A13">
        <v>12</v>
      </c>
      <c r="B13">
        <v>31</v>
      </c>
      <c r="C13">
        <v>3</v>
      </c>
      <c r="D13">
        <v>11</v>
      </c>
      <c r="E13" t="s">
        <v>651</v>
      </c>
      <c r="F13">
        <v>2.9</v>
      </c>
      <c r="G13" t="s">
        <v>623</v>
      </c>
      <c r="H13" s="1">
        <v>45951.791666666664</v>
      </c>
      <c r="I13" t="s">
        <v>624</v>
      </c>
      <c r="J13">
        <v>2.9</v>
      </c>
      <c r="K13">
        <v>0</v>
      </c>
    </row>
    <row r="14" spans="1:11" x14ac:dyDescent="0.3">
      <c r="A14">
        <v>13</v>
      </c>
      <c r="B14">
        <v>39</v>
      </c>
      <c r="C14">
        <v>2</v>
      </c>
      <c r="D14">
        <v>12</v>
      </c>
      <c r="E14" t="s">
        <v>651</v>
      </c>
      <c r="F14">
        <v>18.53</v>
      </c>
      <c r="G14" t="s">
        <v>623</v>
      </c>
      <c r="H14" s="1">
        <v>45952.385324074072</v>
      </c>
      <c r="I14" t="s">
        <v>624</v>
      </c>
      <c r="J14">
        <v>18.53</v>
      </c>
      <c r="K14">
        <v>0</v>
      </c>
    </row>
    <row r="15" spans="1:11" x14ac:dyDescent="0.3">
      <c r="A15">
        <v>14</v>
      </c>
      <c r="B15">
        <v>52</v>
      </c>
      <c r="C15">
        <v>2</v>
      </c>
      <c r="D15">
        <v>13</v>
      </c>
      <c r="E15" t="s">
        <v>651</v>
      </c>
      <c r="F15">
        <v>3.7</v>
      </c>
      <c r="G15" t="s">
        <v>623</v>
      </c>
      <c r="H15" s="1">
        <v>45952.387361111112</v>
      </c>
      <c r="I15" t="s">
        <v>624</v>
      </c>
      <c r="J15">
        <v>3.7</v>
      </c>
      <c r="K15">
        <v>0</v>
      </c>
    </row>
    <row r="16" spans="1:11" x14ac:dyDescent="0.3">
      <c r="A16">
        <v>15</v>
      </c>
      <c r="B16">
        <v>45</v>
      </c>
      <c r="C16">
        <v>4</v>
      </c>
      <c r="D16">
        <v>14</v>
      </c>
      <c r="E16" t="s">
        <v>651</v>
      </c>
      <c r="F16">
        <v>21.17</v>
      </c>
      <c r="G16" t="s">
        <v>623</v>
      </c>
      <c r="H16" s="1">
        <v>45952.41578703704</v>
      </c>
      <c r="I16" t="s">
        <v>624</v>
      </c>
      <c r="J16">
        <v>21.17</v>
      </c>
      <c r="K16">
        <v>0</v>
      </c>
    </row>
    <row r="17" spans="1:11" x14ac:dyDescent="0.3">
      <c r="A17">
        <v>16</v>
      </c>
      <c r="B17">
        <v>65</v>
      </c>
      <c r="C17">
        <v>2</v>
      </c>
      <c r="D17">
        <v>15</v>
      </c>
      <c r="E17" t="s">
        <v>651</v>
      </c>
      <c r="F17">
        <v>4.4800000000000004</v>
      </c>
      <c r="G17" t="s">
        <v>623</v>
      </c>
      <c r="H17" s="1">
        <v>45952.502662037034</v>
      </c>
      <c r="I17" t="s">
        <v>624</v>
      </c>
      <c r="J17">
        <v>4.4800000000000004</v>
      </c>
      <c r="K17">
        <v>0</v>
      </c>
    </row>
    <row r="18" spans="1:11" x14ac:dyDescent="0.3">
      <c r="A18">
        <v>17</v>
      </c>
      <c r="B18">
        <v>39</v>
      </c>
      <c r="C18">
        <v>5</v>
      </c>
      <c r="D18">
        <v>16</v>
      </c>
      <c r="E18" t="s">
        <v>651</v>
      </c>
      <c r="F18">
        <v>26.05</v>
      </c>
      <c r="G18" t="s">
        <v>623</v>
      </c>
      <c r="H18" s="1">
        <v>45952.659386574072</v>
      </c>
      <c r="I18" t="s">
        <v>624</v>
      </c>
      <c r="J18">
        <v>26.05</v>
      </c>
      <c r="K18">
        <v>0</v>
      </c>
    </row>
    <row r="19" spans="1:11" x14ac:dyDescent="0.3">
      <c r="A19">
        <v>18</v>
      </c>
      <c r="B19">
        <v>37</v>
      </c>
      <c r="C19">
        <v>2</v>
      </c>
      <c r="D19">
        <v>17</v>
      </c>
      <c r="E19" t="s">
        <v>651</v>
      </c>
      <c r="F19">
        <v>6.08</v>
      </c>
      <c r="G19" t="s">
        <v>623</v>
      </c>
      <c r="H19" s="1">
        <v>45952.740810185183</v>
      </c>
      <c r="I19" t="s">
        <v>624</v>
      </c>
      <c r="J19">
        <v>6.08</v>
      </c>
      <c r="K19">
        <v>0</v>
      </c>
    </row>
    <row r="20" spans="1:11" x14ac:dyDescent="0.3">
      <c r="A20">
        <v>19</v>
      </c>
      <c r="B20">
        <v>49</v>
      </c>
      <c r="C20">
        <v>4</v>
      </c>
      <c r="D20">
        <v>18</v>
      </c>
      <c r="E20" t="s">
        <v>651</v>
      </c>
      <c r="F20">
        <v>11.38</v>
      </c>
      <c r="G20" t="s">
        <v>623</v>
      </c>
      <c r="H20" s="1">
        <v>45952.742002314815</v>
      </c>
      <c r="I20" t="s">
        <v>624</v>
      </c>
      <c r="J20">
        <v>11.38</v>
      </c>
      <c r="K20">
        <v>0</v>
      </c>
    </row>
    <row r="21" spans="1:11" x14ac:dyDescent="0.3">
      <c r="A21">
        <v>20</v>
      </c>
      <c r="B21">
        <v>8</v>
      </c>
      <c r="C21">
        <v>5</v>
      </c>
      <c r="D21">
        <v>19</v>
      </c>
      <c r="E21" t="s">
        <v>651</v>
      </c>
      <c r="F21">
        <v>2.2999999999999998</v>
      </c>
      <c r="G21" t="s">
        <v>623</v>
      </c>
      <c r="H21" s="1">
        <v>45952.751388888886</v>
      </c>
      <c r="I21" t="s">
        <v>624</v>
      </c>
      <c r="J21">
        <v>2.2999999999999998</v>
      </c>
      <c r="K21">
        <v>0</v>
      </c>
    </row>
    <row r="22" spans="1:11" x14ac:dyDescent="0.3">
      <c r="A22">
        <v>21</v>
      </c>
      <c r="B22">
        <v>16</v>
      </c>
      <c r="C22">
        <v>4</v>
      </c>
      <c r="D22">
        <v>20</v>
      </c>
      <c r="E22" t="s">
        <v>651</v>
      </c>
      <c r="F22">
        <v>18.07</v>
      </c>
      <c r="G22" t="s">
        <v>623</v>
      </c>
      <c r="H22" s="1">
        <v>45953.383518518516</v>
      </c>
      <c r="I22" t="s">
        <v>624</v>
      </c>
      <c r="J22">
        <v>18.07</v>
      </c>
      <c r="K22">
        <v>0</v>
      </c>
    </row>
    <row r="23" spans="1:11" x14ac:dyDescent="0.3">
      <c r="A23">
        <v>22</v>
      </c>
      <c r="B23">
        <v>160</v>
      </c>
      <c r="C23">
        <v>1</v>
      </c>
      <c r="E23" t="s">
        <v>649</v>
      </c>
      <c r="F23">
        <v>5.92</v>
      </c>
      <c r="G23" t="s">
        <v>652</v>
      </c>
      <c r="H23" s="1">
        <v>45953.468657407408</v>
      </c>
      <c r="I23" t="s">
        <v>624</v>
      </c>
      <c r="J23">
        <v>0</v>
      </c>
      <c r="K23">
        <v>0</v>
      </c>
    </row>
    <row r="24" spans="1:11" x14ac:dyDescent="0.3">
      <c r="A24">
        <v>23</v>
      </c>
      <c r="B24">
        <v>57</v>
      </c>
      <c r="C24">
        <v>2</v>
      </c>
      <c r="D24">
        <v>21</v>
      </c>
      <c r="E24" t="s">
        <v>651</v>
      </c>
      <c r="F24">
        <v>6.89</v>
      </c>
      <c r="G24" t="s">
        <v>623</v>
      </c>
      <c r="H24" s="1">
        <v>45953.532118055555</v>
      </c>
      <c r="I24" t="s">
        <v>624</v>
      </c>
      <c r="J24">
        <v>6.89</v>
      </c>
      <c r="K24">
        <v>0</v>
      </c>
    </row>
    <row r="25" spans="1:11" x14ac:dyDescent="0.3">
      <c r="A25">
        <v>24</v>
      </c>
      <c r="B25">
        <v>21</v>
      </c>
      <c r="C25">
        <v>4</v>
      </c>
      <c r="D25">
        <v>22</v>
      </c>
      <c r="E25" t="s">
        <v>651</v>
      </c>
      <c r="F25">
        <v>3.09</v>
      </c>
      <c r="G25" t="s">
        <v>623</v>
      </c>
      <c r="H25" s="1">
        <v>45953.584791666668</v>
      </c>
      <c r="I25" t="s">
        <v>624</v>
      </c>
      <c r="J25">
        <v>3.09</v>
      </c>
      <c r="K25">
        <v>0</v>
      </c>
    </row>
    <row r="26" spans="1:11" x14ac:dyDescent="0.3">
      <c r="A26">
        <v>25</v>
      </c>
      <c r="B26">
        <v>32</v>
      </c>
      <c r="C26">
        <v>3</v>
      </c>
      <c r="D26">
        <v>23</v>
      </c>
      <c r="E26" t="s">
        <v>651</v>
      </c>
      <c r="F26">
        <v>4.33</v>
      </c>
      <c r="G26" t="s">
        <v>623</v>
      </c>
      <c r="H26" s="1">
        <v>45953.656145833331</v>
      </c>
      <c r="I26" t="s">
        <v>624</v>
      </c>
      <c r="J26">
        <v>4.33</v>
      </c>
      <c r="K26">
        <v>0</v>
      </c>
    </row>
    <row r="27" spans="1:11" x14ac:dyDescent="0.3">
      <c r="A27">
        <v>26</v>
      </c>
      <c r="B27">
        <v>164</v>
      </c>
      <c r="C27">
        <v>2</v>
      </c>
      <c r="D27">
        <v>24</v>
      </c>
      <c r="E27" t="s">
        <v>651</v>
      </c>
      <c r="F27">
        <v>1.91</v>
      </c>
      <c r="G27" t="s">
        <v>623</v>
      </c>
      <c r="H27" s="1">
        <v>45953.702557870369</v>
      </c>
      <c r="I27" t="s">
        <v>624</v>
      </c>
      <c r="J27">
        <v>1.91</v>
      </c>
      <c r="K27">
        <v>0</v>
      </c>
    </row>
    <row r="28" spans="1:11" x14ac:dyDescent="0.3">
      <c r="A28">
        <v>27</v>
      </c>
      <c r="B28">
        <v>11</v>
      </c>
      <c r="C28">
        <v>1</v>
      </c>
      <c r="E28" t="s">
        <v>649</v>
      </c>
      <c r="F28">
        <v>6.38</v>
      </c>
      <c r="G28" t="s">
        <v>653</v>
      </c>
      <c r="H28" s="1">
        <v>45953.960393518515</v>
      </c>
      <c r="I28" t="s">
        <v>624</v>
      </c>
      <c r="J28">
        <v>0</v>
      </c>
      <c r="K28">
        <v>0</v>
      </c>
    </row>
    <row r="29" spans="1:11" x14ac:dyDescent="0.3">
      <c r="A29">
        <v>28</v>
      </c>
      <c r="B29">
        <v>55</v>
      </c>
      <c r="C29">
        <v>2</v>
      </c>
      <c r="D29">
        <v>25</v>
      </c>
      <c r="E29" t="s">
        <v>651</v>
      </c>
      <c r="F29">
        <v>2.79</v>
      </c>
      <c r="G29" t="s">
        <v>623</v>
      </c>
      <c r="H29" s="1">
        <v>45954.410868055558</v>
      </c>
      <c r="I29" t="s">
        <v>624</v>
      </c>
      <c r="J29">
        <v>2.79</v>
      </c>
      <c r="K29">
        <v>0</v>
      </c>
    </row>
    <row r="30" spans="1:11" x14ac:dyDescent="0.3">
      <c r="A30">
        <v>29</v>
      </c>
      <c r="B30">
        <v>6</v>
      </c>
      <c r="C30">
        <v>5</v>
      </c>
      <c r="D30">
        <v>26</v>
      </c>
      <c r="E30" t="s">
        <v>651</v>
      </c>
      <c r="F30">
        <v>4.18</v>
      </c>
      <c r="G30" t="s">
        <v>623</v>
      </c>
      <c r="H30" s="1">
        <v>45954.437928240739</v>
      </c>
      <c r="I30" t="s">
        <v>624</v>
      </c>
      <c r="J30">
        <v>4.18</v>
      </c>
      <c r="K30">
        <v>0</v>
      </c>
    </row>
    <row r="31" spans="1:11" x14ac:dyDescent="0.3">
      <c r="A31">
        <v>30</v>
      </c>
      <c r="B31">
        <v>44</v>
      </c>
      <c r="C31">
        <v>3</v>
      </c>
      <c r="D31">
        <v>27</v>
      </c>
      <c r="E31" t="s">
        <v>651</v>
      </c>
      <c r="F31">
        <v>4.0199999999999996</v>
      </c>
      <c r="G31" t="s">
        <v>623</v>
      </c>
      <c r="H31" s="1">
        <v>45954.466724537036</v>
      </c>
      <c r="I31" t="s">
        <v>624</v>
      </c>
      <c r="J31">
        <v>4.0199999999999996</v>
      </c>
      <c r="K31">
        <v>0</v>
      </c>
    </row>
    <row r="32" spans="1:11" x14ac:dyDescent="0.3">
      <c r="A32">
        <v>31</v>
      </c>
      <c r="B32">
        <v>6</v>
      </c>
      <c r="C32">
        <v>2</v>
      </c>
      <c r="D32">
        <v>28</v>
      </c>
      <c r="E32" t="s">
        <v>651</v>
      </c>
      <c r="F32">
        <v>1.75</v>
      </c>
      <c r="G32" t="s">
        <v>623</v>
      </c>
      <c r="H32" s="1">
        <v>45954.481388888889</v>
      </c>
      <c r="I32" t="s">
        <v>624</v>
      </c>
      <c r="J32">
        <v>1.75</v>
      </c>
      <c r="K32">
        <v>0</v>
      </c>
    </row>
    <row r="33" spans="1:11" x14ac:dyDescent="0.3">
      <c r="A33">
        <v>32</v>
      </c>
      <c r="B33">
        <v>47</v>
      </c>
      <c r="C33">
        <v>5</v>
      </c>
      <c r="D33">
        <v>29</v>
      </c>
      <c r="E33" t="s">
        <v>651</v>
      </c>
      <c r="F33">
        <v>2.96</v>
      </c>
      <c r="G33" t="s">
        <v>623</v>
      </c>
      <c r="H33" s="1">
        <v>45954.539930555555</v>
      </c>
      <c r="I33" t="s">
        <v>624</v>
      </c>
      <c r="J33">
        <v>2.96</v>
      </c>
      <c r="K33">
        <v>0</v>
      </c>
    </row>
    <row r="34" spans="1:11" x14ac:dyDescent="0.3">
      <c r="A34">
        <v>33</v>
      </c>
      <c r="B34">
        <v>164</v>
      </c>
      <c r="C34">
        <v>3</v>
      </c>
      <c r="D34">
        <v>30</v>
      </c>
      <c r="E34" t="s">
        <v>651</v>
      </c>
      <c r="F34">
        <v>3.06</v>
      </c>
      <c r="G34" t="s">
        <v>623</v>
      </c>
      <c r="H34" s="1">
        <v>45954.645196759258</v>
      </c>
      <c r="I34" t="s">
        <v>624</v>
      </c>
      <c r="J34">
        <v>3.06</v>
      </c>
      <c r="K34">
        <v>0</v>
      </c>
    </row>
    <row r="35" spans="1:11" x14ac:dyDescent="0.3">
      <c r="A35">
        <v>34</v>
      </c>
      <c r="B35">
        <v>44</v>
      </c>
      <c r="C35">
        <v>2</v>
      </c>
      <c r="D35">
        <v>31</v>
      </c>
      <c r="E35" t="s">
        <v>651</v>
      </c>
      <c r="F35">
        <v>2.1</v>
      </c>
      <c r="G35" t="s">
        <v>623</v>
      </c>
      <c r="H35" s="1">
        <v>45954.772557870368</v>
      </c>
      <c r="I35" t="s">
        <v>624</v>
      </c>
      <c r="J35">
        <v>2.1</v>
      </c>
      <c r="K35">
        <v>0</v>
      </c>
    </row>
    <row r="36" spans="1:11" x14ac:dyDescent="0.3">
      <c r="A36">
        <v>35</v>
      </c>
      <c r="B36">
        <v>55</v>
      </c>
      <c r="C36">
        <v>4</v>
      </c>
      <c r="D36">
        <v>32</v>
      </c>
      <c r="E36" t="s">
        <v>651</v>
      </c>
      <c r="F36">
        <v>2.81</v>
      </c>
      <c r="G36" t="s">
        <v>623</v>
      </c>
      <c r="H36" s="1">
        <v>45955.338553240741</v>
      </c>
      <c r="I36" t="s">
        <v>624</v>
      </c>
      <c r="J36">
        <v>2.81</v>
      </c>
      <c r="K36">
        <v>0</v>
      </c>
    </row>
    <row r="37" spans="1:11" x14ac:dyDescent="0.3">
      <c r="A37">
        <v>36</v>
      </c>
      <c r="B37">
        <v>49</v>
      </c>
      <c r="C37">
        <v>3</v>
      </c>
      <c r="D37">
        <v>33</v>
      </c>
      <c r="E37" t="s">
        <v>651</v>
      </c>
      <c r="F37">
        <v>6.48</v>
      </c>
      <c r="G37" t="s">
        <v>623</v>
      </c>
      <c r="H37" s="1">
        <v>45955.341643518521</v>
      </c>
      <c r="I37" t="s">
        <v>624</v>
      </c>
      <c r="J37">
        <v>6.48</v>
      </c>
      <c r="K37">
        <v>0</v>
      </c>
    </row>
    <row r="38" spans="1:11" x14ac:dyDescent="0.3">
      <c r="A38">
        <v>37</v>
      </c>
      <c r="B38">
        <v>16</v>
      </c>
      <c r="C38">
        <v>4</v>
      </c>
      <c r="D38">
        <v>34</v>
      </c>
      <c r="E38" t="s">
        <v>651</v>
      </c>
      <c r="F38">
        <v>26.05</v>
      </c>
      <c r="G38" t="s">
        <v>623</v>
      </c>
      <c r="H38" s="1">
        <v>45955.368055555555</v>
      </c>
      <c r="I38" t="s">
        <v>624</v>
      </c>
      <c r="J38">
        <v>26.05</v>
      </c>
      <c r="K38">
        <v>0</v>
      </c>
    </row>
    <row r="39" spans="1:11" x14ac:dyDescent="0.3">
      <c r="A39">
        <v>38</v>
      </c>
      <c r="B39">
        <v>72</v>
      </c>
      <c r="C39">
        <v>5</v>
      </c>
      <c r="D39">
        <v>35</v>
      </c>
      <c r="E39" t="s">
        <v>651</v>
      </c>
      <c r="F39">
        <v>2.71</v>
      </c>
      <c r="G39" t="s">
        <v>623</v>
      </c>
      <c r="H39" s="1">
        <v>45955.387685185182</v>
      </c>
      <c r="I39" t="s">
        <v>624</v>
      </c>
      <c r="J39">
        <v>2.71</v>
      </c>
      <c r="K39">
        <v>0</v>
      </c>
    </row>
    <row r="40" spans="1:11" x14ac:dyDescent="0.3">
      <c r="A40">
        <v>39</v>
      </c>
      <c r="B40">
        <v>29</v>
      </c>
      <c r="C40">
        <v>2</v>
      </c>
      <c r="D40">
        <v>36</v>
      </c>
      <c r="E40" t="s">
        <v>651</v>
      </c>
      <c r="F40">
        <v>3.7</v>
      </c>
      <c r="G40" t="s">
        <v>623</v>
      </c>
      <c r="H40" s="1">
        <v>45955.473391203705</v>
      </c>
      <c r="I40" t="s">
        <v>624</v>
      </c>
      <c r="J40">
        <v>3.7</v>
      </c>
      <c r="K40">
        <v>0</v>
      </c>
    </row>
    <row r="41" spans="1:11" x14ac:dyDescent="0.3">
      <c r="A41">
        <v>40</v>
      </c>
      <c r="B41">
        <v>65</v>
      </c>
      <c r="C41">
        <v>3</v>
      </c>
      <c r="D41">
        <v>37</v>
      </c>
      <c r="E41" t="s">
        <v>651</v>
      </c>
      <c r="F41">
        <v>2.65</v>
      </c>
      <c r="G41" t="s">
        <v>623</v>
      </c>
      <c r="H41" s="1">
        <v>45955.492418981485</v>
      </c>
      <c r="I41" t="s">
        <v>624</v>
      </c>
      <c r="J41">
        <v>2.65</v>
      </c>
      <c r="K41">
        <v>0</v>
      </c>
    </row>
    <row r="42" spans="1:11" x14ac:dyDescent="0.3">
      <c r="A42">
        <v>41</v>
      </c>
      <c r="B42">
        <v>209</v>
      </c>
      <c r="C42">
        <v>2</v>
      </c>
      <c r="D42">
        <v>38</v>
      </c>
      <c r="E42" t="s">
        <v>651</v>
      </c>
      <c r="F42">
        <v>30</v>
      </c>
      <c r="G42" t="s">
        <v>623</v>
      </c>
      <c r="H42" s="1">
        <v>45955.631782407407</v>
      </c>
      <c r="I42" t="s">
        <v>624</v>
      </c>
      <c r="J42">
        <v>30</v>
      </c>
      <c r="K42">
        <v>0</v>
      </c>
    </row>
    <row r="43" spans="1:11" x14ac:dyDescent="0.3">
      <c r="A43">
        <v>42</v>
      </c>
      <c r="B43">
        <v>112</v>
      </c>
      <c r="C43">
        <v>3</v>
      </c>
      <c r="D43">
        <v>39</v>
      </c>
      <c r="E43" t="s">
        <v>651</v>
      </c>
      <c r="F43">
        <v>3.95</v>
      </c>
      <c r="G43" t="s">
        <v>623</v>
      </c>
      <c r="H43" s="1">
        <v>45955.651076388887</v>
      </c>
      <c r="I43" t="s">
        <v>624</v>
      </c>
      <c r="J43">
        <v>3.95</v>
      </c>
      <c r="K43">
        <v>0</v>
      </c>
    </row>
    <row r="44" spans="1:11" x14ac:dyDescent="0.3">
      <c r="A44">
        <v>43</v>
      </c>
      <c r="B44">
        <v>39</v>
      </c>
      <c r="C44">
        <v>2</v>
      </c>
      <c r="D44">
        <v>40</v>
      </c>
      <c r="E44" t="s">
        <v>651</v>
      </c>
      <c r="F44">
        <v>21.08</v>
      </c>
      <c r="G44" t="s">
        <v>623</v>
      </c>
      <c r="H44" s="1">
        <v>45955.654456018521</v>
      </c>
      <c r="I44" t="s">
        <v>624</v>
      </c>
      <c r="J44">
        <v>21.08</v>
      </c>
      <c r="K44">
        <v>0</v>
      </c>
    </row>
    <row r="45" spans="1:11" x14ac:dyDescent="0.3">
      <c r="A45">
        <v>44</v>
      </c>
      <c r="B45">
        <v>52</v>
      </c>
      <c r="C45">
        <v>4</v>
      </c>
      <c r="D45">
        <v>41</v>
      </c>
      <c r="E45" t="s">
        <v>651</v>
      </c>
      <c r="F45">
        <v>1.43</v>
      </c>
      <c r="G45" t="s">
        <v>623</v>
      </c>
      <c r="H45" s="1">
        <v>45955.689629629633</v>
      </c>
      <c r="I45" t="s">
        <v>624</v>
      </c>
      <c r="J45">
        <v>1.43</v>
      </c>
      <c r="K45">
        <v>0</v>
      </c>
    </row>
    <row r="46" spans="1:11" x14ac:dyDescent="0.3">
      <c r="A46">
        <v>45</v>
      </c>
      <c r="B46">
        <v>36</v>
      </c>
      <c r="C46">
        <v>4</v>
      </c>
      <c r="D46">
        <v>42</v>
      </c>
      <c r="E46" t="s">
        <v>651</v>
      </c>
      <c r="F46">
        <v>28.2</v>
      </c>
      <c r="G46" t="s">
        <v>623</v>
      </c>
      <c r="H46" s="1">
        <v>45955.764745370368</v>
      </c>
      <c r="I46" t="s">
        <v>624</v>
      </c>
      <c r="J46">
        <v>28.2</v>
      </c>
      <c r="K46">
        <v>0</v>
      </c>
    </row>
    <row r="47" spans="1:11" x14ac:dyDescent="0.3">
      <c r="A47">
        <v>46</v>
      </c>
      <c r="B47">
        <v>151</v>
      </c>
      <c r="C47">
        <v>3</v>
      </c>
      <c r="D47">
        <v>43</v>
      </c>
      <c r="E47" t="s">
        <v>651</v>
      </c>
      <c r="F47">
        <v>22.03</v>
      </c>
      <c r="G47" t="s">
        <v>623</v>
      </c>
      <c r="H47" s="1">
        <v>45956.393275462964</v>
      </c>
      <c r="I47" t="s">
        <v>624</v>
      </c>
      <c r="J47">
        <v>22.03</v>
      </c>
      <c r="K47">
        <v>0</v>
      </c>
    </row>
    <row r="48" spans="1:11" x14ac:dyDescent="0.3">
      <c r="A48">
        <v>47</v>
      </c>
      <c r="B48">
        <v>29</v>
      </c>
      <c r="C48">
        <v>5</v>
      </c>
      <c r="D48">
        <v>44</v>
      </c>
      <c r="E48" t="s">
        <v>651</v>
      </c>
      <c r="F48">
        <v>5.6</v>
      </c>
      <c r="G48" t="s">
        <v>623</v>
      </c>
      <c r="H48" s="1">
        <v>45956.496701388889</v>
      </c>
      <c r="I48" t="s">
        <v>624</v>
      </c>
      <c r="J48">
        <v>5.6</v>
      </c>
      <c r="K48">
        <v>0</v>
      </c>
    </row>
    <row r="49" spans="1:11" x14ac:dyDescent="0.3">
      <c r="A49">
        <v>48</v>
      </c>
      <c r="B49">
        <v>15</v>
      </c>
      <c r="C49">
        <v>3</v>
      </c>
      <c r="D49">
        <v>45</v>
      </c>
      <c r="E49" t="s">
        <v>651</v>
      </c>
      <c r="F49">
        <v>7.4</v>
      </c>
      <c r="G49" t="s">
        <v>623</v>
      </c>
      <c r="H49" s="1">
        <v>45956.661145833335</v>
      </c>
      <c r="I49" t="s">
        <v>624</v>
      </c>
      <c r="J49">
        <v>7.4</v>
      </c>
      <c r="K49">
        <v>0</v>
      </c>
    </row>
    <row r="50" spans="1:11" x14ac:dyDescent="0.3">
      <c r="A50">
        <v>49</v>
      </c>
      <c r="B50">
        <v>293</v>
      </c>
      <c r="C50">
        <v>3</v>
      </c>
      <c r="D50">
        <v>46</v>
      </c>
      <c r="E50" t="s">
        <v>651</v>
      </c>
      <c r="F50">
        <v>2.76</v>
      </c>
      <c r="G50" t="s">
        <v>623</v>
      </c>
      <c r="H50" s="1">
        <v>45956.712106481478</v>
      </c>
      <c r="I50" t="s">
        <v>624</v>
      </c>
      <c r="J50">
        <v>2.76</v>
      </c>
      <c r="K50">
        <v>0</v>
      </c>
    </row>
    <row r="51" spans="1:11" x14ac:dyDescent="0.3">
      <c r="A51">
        <v>50</v>
      </c>
      <c r="B51">
        <v>62</v>
      </c>
      <c r="C51">
        <v>2</v>
      </c>
      <c r="D51">
        <v>47</v>
      </c>
      <c r="E51" t="s">
        <v>651</v>
      </c>
      <c r="F51">
        <v>5.73</v>
      </c>
      <c r="G51" t="s">
        <v>623</v>
      </c>
      <c r="H51" s="1">
        <v>45956.759687500002</v>
      </c>
      <c r="I51" t="s">
        <v>624</v>
      </c>
      <c r="J51">
        <v>5.73</v>
      </c>
      <c r="K51">
        <v>0</v>
      </c>
    </row>
    <row r="52" spans="1:11" x14ac:dyDescent="0.3">
      <c r="A52">
        <v>51</v>
      </c>
      <c r="B52">
        <v>48</v>
      </c>
      <c r="C52">
        <v>4</v>
      </c>
      <c r="D52">
        <v>48</v>
      </c>
      <c r="E52" t="s">
        <v>651</v>
      </c>
      <c r="F52">
        <v>17.84</v>
      </c>
      <c r="G52" t="s">
        <v>623</v>
      </c>
      <c r="H52" s="1">
        <v>45957.345914351848</v>
      </c>
      <c r="I52" t="s">
        <v>624</v>
      </c>
      <c r="J52">
        <v>17.84</v>
      </c>
      <c r="K52">
        <v>0</v>
      </c>
    </row>
    <row r="53" spans="1:11" x14ac:dyDescent="0.3">
      <c r="A53">
        <v>52</v>
      </c>
      <c r="B53">
        <v>9</v>
      </c>
      <c r="C53">
        <v>1</v>
      </c>
      <c r="E53" t="s">
        <v>649</v>
      </c>
      <c r="F53">
        <v>16.71</v>
      </c>
      <c r="G53" t="s">
        <v>653</v>
      </c>
      <c r="H53" s="1">
        <v>45957.381307870368</v>
      </c>
      <c r="I53" t="s">
        <v>624</v>
      </c>
      <c r="J53">
        <v>0</v>
      </c>
      <c r="K53">
        <v>0</v>
      </c>
    </row>
    <row r="54" spans="1:11" x14ac:dyDescent="0.3">
      <c r="A54">
        <v>53</v>
      </c>
      <c r="B54">
        <v>44</v>
      </c>
      <c r="C54">
        <v>2</v>
      </c>
      <c r="D54">
        <v>49</v>
      </c>
      <c r="E54" t="s">
        <v>651</v>
      </c>
      <c r="F54">
        <v>3.61</v>
      </c>
      <c r="G54" t="s">
        <v>623</v>
      </c>
      <c r="H54" s="1">
        <v>45957.394629629627</v>
      </c>
      <c r="I54" t="s">
        <v>624</v>
      </c>
      <c r="J54">
        <v>3.61</v>
      </c>
      <c r="K54">
        <v>0</v>
      </c>
    </row>
    <row r="55" spans="1:11" x14ac:dyDescent="0.3">
      <c r="A55">
        <v>54</v>
      </c>
      <c r="B55">
        <v>18</v>
      </c>
      <c r="C55">
        <v>5</v>
      </c>
      <c r="D55">
        <v>50</v>
      </c>
      <c r="E55" t="s">
        <v>651</v>
      </c>
      <c r="F55">
        <v>10.85</v>
      </c>
      <c r="G55" t="s">
        <v>623</v>
      </c>
      <c r="H55" s="1">
        <v>45957.400729166664</v>
      </c>
      <c r="I55" t="s">
        <v>624</v>
      </c>
      <c r="J55">
        <v>10.85</v>
      </c>
      <c r="K55">
        <v>0</v>
      </c>
    </row>
    <row r="56" spans="1:11" x14ac:dyDescent="0.3">
      <c r="A56">
        <v>55</v>
      </c>
      <c r="B56">
        <v>65</v>
      </c>
      <c r="C56">
        <v>2</v>
      </c>
      <c r="D56">
        <v>51</v>
      </c>
      <c r="E56" t="s">
        <v>651</v>
      </c>
      <c r="F56">
        <v>3.58</v>
      </c>
      <c r="G56" t="s">
        <v>623</v>
      </c>
      <c r="H56" s="1">
        <v>45957.431828703702</v>
      </c>
      <c r="I56" t="s">
        <v>624</v>
      </c>
      <c r="J56">
        <v>3.58</v>
      </c>
      <c r="K56">
        <v>0</v>
      </c>
    </row>
    <row r="57" spans="1:11" x14ac:dyDescent="0.3">
      <c r="A57">
        <v>56</v>
      </c>
      <c r="B57">
        <v>11</v>
      </c>
      <c r="C57">
        <v>2</v>
      </c>
      <c r="D57">
        <v>52</v>
      </c>
      <c r="E57" t="s">
        <v>651</v>
      </c>
      <c r="F57">
        <v>9.4700000000000006</v>
      </c>
      <c r="G57" t="s">
        <v>623</v>
      </c>
      <c r="H57" s="1">
        <v>45957.612881944442</v>
      </c>
      <c r="I57" t="s">
        <v>624</v>
      </c>
      <c r="J57">
        <v>9.4700000000000006</v>
      </c>
      <c r="K57">
        <v>0</v>
      </c>
    </row>
    <row r="58" spans="1:11" x14ac:dyDescent="0.3">
      <c r="A58">
        <v>57</v>
      </c>
      <c r="B58">
        <v>59</v>
      </c>
      <c r="C58">
        <v>4</v>
      </c>
      <c r="D58">
        <v>53</v>
      </c>
      <c r="E58" t="s">
        <v>651</v>
      </c>
      <c r="F58">
        <v>2.15</v>
      </c>
      <c r="G58" t="s">
        <v>623</v>
      </c>
      <c r="H58" s="1">
        <v>45957.648611111108</v>
      </c>
      <c r="I58" t="s">
        <v>624</v>
      </c>
      <c r="J58">
        <v>2.15</v>
      </c>
      <c r="K58">
        <v>0</v>
      </c>
    </row>
    <row r="59" spans="1:11" x14ac:dyDescent="0.3">
      <c r="A59">
        <v>58</v>
      </c>
      <c r="B59">
        <v>154</v>
      </c>
      <c r="C59">
        <v>4</v>
      </c>
      <c r="D59">
        <v>54</v>
      </c>
      <c r="E59" t="s">
        <v>651</v>
      </c>
      <c r="F59">
        <v>4.9000000000000004</v>
      </c>
      <c r="G59" t="s">
        <v>623</v>
      </c>
      <c r="H59" s="1">
        <v>45957.686932870369</v>
      </c>
      <c r="I59" t="s">
        <v>624</v>
      </c>
      <c r="J59">
        <v>4.9000000000000004</v>
      </c>
      <c r="K59">
        <v>0</v>
      </c>
    </row>
    <row r="60" spans="1:11" x14ac:dyDescent="0.3">
      <c r="A60">
        <v>59</v>
      </c>
      <c r="B60">
        <v>48</v>
      </c>
      <c r="C60">
        <v>3</v>
      </c>
      <c r="D60">
        <v>48</v>
      </c>
      <c r="E60" t="s">
        <v>649</v>
      </c>
      <c r="F60">
        <v>-17.84</v>
      </c>
      <c r="G60" t="s">
        <v>654</v>
      </c>
      <c r="H60" s="1">
        <v>45957.845914351848</v>
      </c>
      <c r="I60" t="s">
        <v>624</v>
      </c>
      <c r="J60">
        <v>0</v>
      </c>
      <c r="K60">
        <v>0</v>
      </c>
    </row>
    <row r="61" spans="1:11" x14ac:dyDescent="0.3">
      <c r="A61">
        <v>60</v>
      </c>
      <c r="B61">
        <v>39</v>
      </c>
      <c r="C61">
        <v>3</v>
      </c>
      <c r="D61">
        <v>55</v>
      </c>
      <c r="E61" t="s">
        <v>651</v>
      </c>
      <c r="F61">
        <v>22.53</v>
      </c>
      <c r="G61" t="s">
        <v>623</v>
      </c>
      <c r="H61" s="1">
        <v>45958.383240740739</v>
      </c>
      <c r="I61" t="s">
        <v>624</v>
      </c>
      <c r="J61">
        <v>22.53</v>
      </c>
      <c r="K61">
        <v>0</v>
      </c>
    </row>
    <row r="62" spans="1:11" x14ac:dyDescent="0.3">
      <c r="A62">
        <v>61</v>
      </c>
      <c r="B62">
        <v>44</v>
      </c>
      <c r="C62">
        <v>3</v>
      </c>
      <c r="D62">
        <v>56</v>
      </c>
      <c r="E62" t="s">
        <v>651</v>
      </c>
      <c r="F62">
        <v>1.88</v>
      </c>
      <c r="G62" t="s">
        <v>623</v>
      </c>
      <c r="H62" s="1">
        <v>45958.489837962959</v>
      </c>
      <c r="I62" t="s">
        <v>624</v>
      </c>
      <c r="J62">
        <v>1.88</v>
      </c>
      <c r="K62">
        <v>0</v>
      </c>
    </row>
    <row r="63" spans="1:11" x14ac:dyDescent="0.3">
      <c r="A63">
        <v>62</v>
      </c>
      <c r="B63">
        <v>39</v>
      </c>
      <c r="C63">
        <v>2</v>
      </c>
      <c r="D63">
        <v>57</v>
      </c>
      <c r="E63" t="s">
        <v>651</v>
      </c>
      <c r="F63">
        <v>30</v>
      </c>
      <c r="G63" t="s">
        <v>623</v>
      </c>
      <c r="H63" s="1">
        <v>45958.529583333337</v>
      </c>
      <c r="I63" t="s">
        <v>624</v>
      </c>
      <c r="J63">
        <v>30</v>
      </c>
      <c r="K63">
        <v>0</v>
      </c>
    </row>
    <row r="64" spans="1:11" x14ac:dyDescent="0.3">
      <c r="A64">
        <v>63</v>
      </c>
      <c r="B64">
        <v>39</v>
      </c>
      <c r="C64">
        <v>2</v>
      </c>
      <c r="D64">
        <v>58</v>
      </c>
      <c r="E64" t="s">
        <v>651</v>
      </c>
      <c r="F64">
        <v>30</v>
      </c>
      <c r="G64" t="s">
        <v>623</v>
      </c>
      <c r="H64" s="1">
        <v>45958.620462962965</v>
      </c>
      <c r="I64" t="s">
        <v>624</v>
      </c>
      <c r="J64">
        <v>30</v>
      </c>
      <c r="K64">
        <v>0</v>
      </c>
    </row>
    <row r="65" spans="1:11" x14ac:dyDescent="0.3">
      <c r="A65">
        <v>64</v>
      </c>
      <c r="B65">
        <v>154</v>
      </c>
      <c r="C65">
        <v>5</v>
      </c>
      <c r="D65">
        <v>59</v>
      </c>
      <c r="E65" t="s">
        <v>651</v>
      </c>
      <c r="F65">
        <v>4.74</v>
      </c>
      <c r="G65" t="s">
        <v>623</v>
      </c>
      <c r="H65" s="1">
        <v>45958.642141203702</v>
      </c>
      <c r="I65" t="s">
        <v>624</v>
      </c>
      <c r="J65">
        <v>4.74</v>
      </c>
      <c r="K65">
        <v>0</v>
      </c>
    </row>
    <row r="66" spans="1:11" x14ac:dyDescent="0.3">
      <c r="A66">
        <v>65</v>
      </c>
      <c r="B66">
        <v>16</v>
      </c>
      <c r="C66">
        <v>2</v>
      </c>
      <c r="D66">
        <v>60</v>
      </c>
      <c r="E66" t="s">
        <v>651</v>
      </c>
      <c r="F66">
        <v>13.44</v>
      </c>
      <c r="G66" t="s">
        <v>623</v>
      </c>
      <c r="H66" s="1">
        <v>45958.660694444443</v>
      </c>
      <c r="I66" t="s">
        <v>624</v>
      </c>
      <c r="J66">
        <v>13.44</v>
      </c>
      <c r="K66">
        <v>0</v>
      </c>
    </row>
    <row r="67" spans="1:11" x14ac:dyDescent="0.3">
      <c r="A67">
        <v>66</v>
      </c>
      <c r="B67">
        <v>65</v>
      </c>
      <c r="C67">
        <v>2</v>
      </c>
      <c r="D67">
        <v>61</v>
      </c>
      <c r="E67" t="s">
        <v>651</v>
      </c>
      <c r="F67">
        <v>2.42</v>
      </c>
      <c r="G67" t="s">
        <v>623</v>
      </c>
      <c r="H67" s="1">
        <v>45958.67769675926</v>
      </c>
      <c r="I67" t="s">
        <v>624</v>
      </c>
      <c r="J67">
        <v>2.42</v>
      </c>
      <c r="K67">
        <v>0</v>
      </c>
    </row>
    <row r="68" spans="1:11" x14ac:dyDescent="0.3">
      <c r="A68">
        <v>67</v>
      </c>
      <c r="B68">
        <v>61</v>
      </c>
      <c r="C68">
        <v>3</v>
      </c>
      <c r="D68">
        <v>62</v>
      </c>
      <c r="E68" t="s">
        <v>651</v>
      </c>
      <c r="F68">
        <v>6.45</v>
      </c>
      <c r="G68" t="s">
        <v>623</v>
      </c>
      <c r="H68" s="1">
        <v>45958.700613425928</v>
      </c>
      <c r="I68" t="s">
        <v>624</v>
      </c>
      <c r="J68">
        <v>6.45</v>
      </c>
      <c r="K68">
        <v>0</v>
      </c>
    </row>
    <row r="69" spans="1:11" x14ac:dyDescent="0.3">
      <c r="A69">
        <v>68</v>
      </c>
      <c r="B69">
        <v>29</v>
      </c>
      <c r="C69">
        <v>4</v>
      </c>
      <c r="D69">
        <v>63</v>
      </c>
      <c r="E69" t="s">
        <v>651</v>
      </c>
      <c r="F69">
        <v>1.87</v>
      </c>
      <c r="G69" t="s">
        <v>623</v>
      </c>
      <c r="H69" s="1">
        <v>45958.737083333333</v>
      </c>
      <c r="I69" t="s">
        <v>624</v>
      </c>
      <c r="J69">
        <v>1.87</v>
      </c>
      <c r="K69">
        <v>0</v>
      </c>
    </row>
    <row r="70" spans="1:11" x14ac:dyDescent="0.3">
      <c r="A70">
        <v>69</v>
      </c>
      <c r="B70">
        <v>30</v>
      </c>
      <c r="C70">
        <v>2</v>
      </c>
      <c r="D70">
        <v>64</v>
      </c>
      <c r="E70" t="s">
        <v>651</v>
      </c>
      <c r="F70">
        <v>2.83</v>
      </c>
      <c r="G70" t="s">
        <v>623</v>
      </c>
      <c r="H70" s="1">
        <v>45958.777106481481</v>
      </c>
      <c r="I70" t="s">
        <v>624</v>
      </c>
      <c r="J70">
        <v>2.83</v>
      </c>
      <c r="K70">
        <v>0</v>
      </c>
    </row>
    <row r="71" spans="1:11" x14ac:dyDescent="0.3">
      <c r="A71">
        <v>70</v>
      </c>
      <c r="B71">
        <v>44</v>
      </c>
      <c r="C71">
        <v>5</v>
      </c>
      <c r="D71">
        <v>49</v>
      </c>
      <c r="E71" t="s">
        <v>649</v>
      </c>
      <c r="F71">
        <v>-3.61</v>
      </c>
      <c r="G71" t="s">
        <v>655</v>
      </c>
      <c r="H71" s="1">
        <v>45959.269629629627</v>
      </c>
      <c r="I71" t="s">
        <v>624</v>
      </c>
      <c r="J71">
        <v>0</v>
      </c>
      <c r="K71">
        <v>0</v>
      </c>
    </row>
    <row r="72" spans="1:11" x14ac:dyDescent="0.3">
      <c r="A72">
        <v>71</v>
      </c>
      <c r="B72">
        <v>24</v>
      </c>
      <c r="C72">
        <v>1</v>
      </c>
      <c r="E72" t="s">
        <v>649</v>
      </c>
      <c r="F72">
        <v>39.44</v>
      </c>
      <c r="G72" t="s">
        <v>656</v>
      </c>
      <c r="H72" s="1">
        <v>45959.295937499999</v>
      </c>
      <c r="I72" t="s">
        <v>624</v>
      </c>
      <c r="J72">
        <v>0</v>
      </c>
      <c r="K72">
        <v>0</v>
      </c>
    </row>
    <row r="73" spans="1:11" x14ac:dyDescent="0.3">
      <c r="A73">
        <v>72</v>
      </c>
      <c r="B73">
        <v>21</v>
      </c>
      <c r="C73">
        <v>4</v>
      </c>
      <c r="D73">
        <v>65</v>
      </c>
      <c r="E73" t="s">
        <v>651</v>
      </c>
      <c r="F73">
        <v>2.89</v>
      </c>
      <c r="G73" t="s">
        <v>623</v>
      </c>
      <c r="H73" s="1">
        <v>45959.40048611111</v>
      </c>
      <c r="I73" t="s">
        <v>624</v>
      </c>
      <c r="J73">
        <v>2.89</v>
      </c>
      <c r="K73">
        <v>0</v>
      </c>
    </row>
    <row r="74" spans="1:11" x14ac:dyDescent="0.3">
      <c r="A74">
        <v>73</v>
      </c>
      <c r="B74">
        <v>32</v>
      </c>
      <c r="C74">
        <v>3</v>
      </c>
      <c r="D74">
        <v>66</v>
      </c>
      <c r="E74" t="s">
        <v>651</v>
      </c>
      <c r="F74">
        <v>2.8</v>
      </c>
      <c r="G74" t="s">
        <v>623</v>
      </c>
      <c r="H74" s="1">
        <v>45959.425069444442</v>
      </c>
      <c r="I74" t="s">
        <v>624</v>
      </c>
      <c r="J74">
        <v>2.8</v>
      </c>
      <c r="K74">
        <v>0</v>
      </c>
    </row>
    <row r="75" spans="1:11" x14ac:dyDescent="0.3">
      <c r="A75">
        <v>74</v>
      </c>
      <c r="B75">
        <v>65</v>
      </c>
      <c r="C75">
        <v>2</v>
      </c>
      <c r="D75">
        <v>67</v>
      </c>
      <c r="E75" t="s">
        <v>651</v>
      </c>
      <c r="F75">
        <v>2.73</v>
      </c>
      <c r="G75" t="s">
        <v>623</v>
      </c>
      <c r="H75" s="1">
        <v>45959.546793981484</v>
      </c>
      <c r="I75" t="s">
        <v>624</v>
      </c>
      <c r="J75">
        <v>2.73</v>
      </c>
      <c r="K75">
        <v>0</v>
      </c>
    </row>
    <row r="76" spans="1:11" x14ac:dyDescent="0.3">
      <c r="A76">
        <v>75</v>
      </c>
      <c r="B76">
        <v>7</v>
      </c>
      <c r="C76">
        <v>4</v>
      </c>
      <c r="D76">
        <v>68</v>
      </c>
      <c r="E76" t="s">
        <v>651</v>
      </c>
      <c r="F76">
        <v>5.91</v>
      </c>
      <c r="G76" t="s">
        <v>623</v>
      </c>
      <c r="H76" s="1">
        <v>45959.599583333336</v>
      </c>
      <c r="I76" t="s">
        <v>624</v>
      </c>
      <c r="J76">
        <v>5.91</v>
      </c>
      <c r="K76">
        <v>0</v>
      </c>
    </row>
    <row r="77" spans="1:11" x14ac:dyDescent="0.3">
      <c r="A77">
        <v>76</v>
      </c>
      <c r="B77">
        <v>31</v>
      </c>
      <c r="C77">
        <v>5</v>
      </c>
      <c r="D77">
        <v>69</v>
      </c>
      <c r="E77" t="s">
        <v>651</v>
      </c>
      <c r="F77">
        <v>1.32</v>
      </c>
      <c r="G77" t="s">
        <v>623</v>
      </c>
      <c r="H77" s="1">
        <v>45959.72315972222</v>
      </c>
      <c r="I77" t="s">
        <v>624</v>
      </c>
      <c r="J77">
        <v>1.32</v>
      </c>
      <c r="K77">
        <v>0</v>
      </c>
    </row>
    <row r="78" spans="1:11" x14ac:dyDescent="0.3">
      <c r="A78">
        <v>77</v>
      </c>
      <c r="B78">
        <v>32</v>
      </c>
      <c r="C78">
        <v>5</v>
      </c>
      <c r="D78">
        <v>70</v>
      </c>
      <c r="E78" t="s">
        <v>651</v>
      </c>
      <c r="F78">
        <v>4.3600000000000003</v>
      </c>
      <c r="G78" t="s">
        <v>623</v>
      </c>
      <c r="H78" s="1">
        <v>45959.732372685183</v>
      </c>
      <c r="I78" t="s">
        <v>624</v>
      </c>
      <c r="J78">
        <v>4.3600000000000003</v>
      </c>
      <c r="K78">
        <v>0</v>
      </c>
    </row>
    <row r="79" spans="1:11" x14ac:dyDescent="0.3">
      <c r="A79">
        <v>78</v>
      </c>
      <c r="B79">
        <v>64</v>
      </c>
      <c r="C79">
        <v>4</v>
      </c>
      <c r="D79">
        <v>71</v>
      </c>
      <c r="E79" t="s">
        <v>651</v>
      </c>
      <c r="F79">
        <v>5.22</v>
      </c>
      <c r="G79" t="s">
        <v>623</v>
      </c>
      <c r="H79" s="1">
        <v>45959.761643518519</v>
      </c>
      <c r="I79" t="s">
        <v>624</v>
      </c>
      <c r="J79">
        <v>5.22</v>
      </c>
      <c r="K79">
        <v>0</v>
      </c>
    </row>
    <row r="80" spans="1:11" x14ac:dyDescent="0.3">
      <c r="A80">
        <v>79</v>
      </c>
      <c r="B80">
        <v>20</v>
      </c>
      <c r="C80">
        <v>5</v>
      </c>
      <c r="D80">
        <v>72</v>
      </c>
      <c r="E80" t="s">
        <v>651</v>
      </c>
      <c r="F80">
        <v>1.79</v>
      </c>
      <c r="G80" t="s">
        <v>623</v>
      </c>
      <c r="H80" s="1">
        <v>45960.326122685183</v>
      </c>
      <c r="I80" t="s">
        <v>624</v>
      </c>
      <c r="J80">
        <v>1.79</v>
      </c>
      <c r="K80">
        <v>0</v>
      </c>
    </row>
    <row r="81" spans="1:11" x14ac:dyDescent="0.3">
      <c r="A81">
        <v>80</v>
      </c>
      <c r="B81">
        <v>36</v>
      </c>
      <c r="C81">
        <v>5</v>
      </c>
      <c r="D81">
        <v>73</v>
      </c>
      <c r="E81" t="s">
        <v>651</v>
      </c>
      <c r="F81">
        <v>21.78</v>
      </c>
      <c r="G81" t="s">
        <v>623</v>
      </c>
      <c r="H81" s="1">
        <v>45960.415555555555</v>
      </c>
      <c r="I81" t="s">
        <v>624</v>
      </c>
      <c r="J81">
        <v>21.78</v>
      </c>
      <c r="K81">
        <v>0</v>
      </c>
    </row>
    <row r="82" spans="1:11" x14ac:dyDescent="0.3">
      <c r="A82">
        <v>81</v>
      </c>
      <c r="B82">
        <v>65</v>
      </c>
      <c r="C82">
        <v>4</v>
      </c>
      <c r="D82">
        <v>74</v>
      </c>
      <c r="E82" t="s">
        <v>651</v>
      </c>
      <c r="F82">
        <v>1.69</v>
      </c>
      <c r="G82" t="s">
        <v>623</v>
      </c>
      <c r="H82" s="1">
        <v>45960.479039351849</v>
      </c>
      <c r="I82" t="s">
        <v>624</v>
      </c>
      <c r="J82">
        <v>1.69</v>
      </c>
      <c r="K82">
        <v>0</v>
      </c>
    </row>
    <row r="83" spans="1:11" x14ac:dyDescent="0.3">
      <c r="A83">
        <v>82</v>
      </c>
      <c r="B83">
        <v>223</v>
      </c>
      <c r="C83">
        <v>3</v>
      </c>
      <c r="D83">
        <v>75</v>
      </c>
      <c r="E83" t="s">
        <v>651</v>
      </c>
      <c r="F83">
        <v>3.8</v>
      </c>
      <c r="G83" t="s">
        <v>623</v>
      </c>
      <c r="H83" s="1">
        <v>45960.54010416667</v>
      </c>
      <c r="I83" t="s">
        <v>624</v>
      </c>
      <c r="J83">
        <v>3.8</v>
      </c>
      <c r="K83">
        <v>0</v>
      </c>
    </row>
    <row r="84" spans="1:11" x14ac:dyDescent="0.3">
      <c r="A84">
        <v>83</v>
      </c>
      <c r="B84">
        <v>262</v>
      </c>
      <c r="C84">
        <v>5</v>
      </c>
      <c r="D84">
        <v>76</v>
      </c>
      <c r="E84" t="s">
        <v>651</v>
      </c>
      <c r="F84">
        <v>7.75</v>
      </c>
      <c r="G84" t="s">
        <v>623</v>
      </c>
      <c r="H84" s="1">
        <v>45960.559062499997</v>
      </c>
      <c r="I84" t="s">
        <v>624</v>
      </c>
      <c r="J84">
        <v>7.75</v>
      </c>
      <c r="K84">
        <v>0</v>
      </c>
    </row>
    <row r="85" spans="1:11" x14ac:dyDescent="0.3">
      <c r="A85">
        <v>84</v>
      </c>
      <c r="B85">
        <v>48</v>
      </c>
      <c r="C85">
        <v>2</v>
      </c>
      <c r="D85">
        <v>77</v>
      </c>
      <c r="E85" t="s">
        <v>651</v>
      </c>
      <c r="F85">
        <v>17.04</v>
      </c>
      <c r="G85" t="s">
        <v>623</v>
      </c>
      <c r="H85" s="1">
        <v>45960.575960648152</v>
      </c>
      <c r="I85" t="s">
        <v>624</v>
      </c>
      <c r="J85">
        <v>17.04</v>
      </c>
      <c r="K85">
        <v>0</v>
      </c>
    </row>
    <row r="86" spans="1:11" x14ac:dyDescent="0.3">
      <c r="A86">
        <v>85</v>
      </c>
      <c r="B86">
        <v>262</v>
      </c>
      <c r="C86">
        <v>5</v>
      </c>
      <c r="D86">
        <v>78</v>
      </c>
      <c r="E86" t="s">
        <v>651</v>
      </c>
      <c r="F86">
        <v>7.68</v>
      </c>
      <c r="G86" t="s">
        <v>623</v>
      </c>
      <c r="H86" s="1">
        <v>45960.623159722221</v>
      </c>
      <c r="I86" t="s">
        <v>624</v>
      </c>
      <c r="J86">
        <v>7.68</v>
      </c>
      <c r="K86">
        <v>0</v>
      </c>
    </row>
    <row r="87" spans="1:11" x14ac:dyDescent="0.3">
      <c r="A87">
        <v>86</v>
      </c>
      <c r="B87">
        <v>194</v>
      </c>
      <c r="C87">
        <v>3</v>
      </c>
      <c r="D87">
        <v>79</v>
      </c>
      <c r="E87" t="s">
        <v>651</v>
      </c>
      <c r="F87">
        <v>9.16</v>
      </c>
      <c r="G87" t="s">
        <v>623</v>
      </c>
      <c r="H87" s="1">
        <v>45961.333854166667</v>
      </c>
      <c r="I87" t="s">
        <v>624</v>
      </c>
      <c r="J87">
        <v>9.16</v>
      </c>
      <c r="K87">
        <v>0</v>
      </c>
    </row>
    <row r="88" spans="1:11" x14ac:dyDescent="0.3">
      <c r="A88">
        <v>87</v>
      </c>
      <c r="B88">
        <v>62</v>
      </c>
      <c r="C88">
        <v>4</v>
      </c>
      <c r="D88">
        <v>80</v>
      </c>
      <c r="E88" t="s">
        <v>651</v>
      </c>
      <c r="F88">
        <v>7.3</v>
      </c>
      <c r="G88" t="s">
        <v>623</v>
      </c>
      <c r="H88" s="1">
        <v>45961.336388888885</v>
      </c>
      <c r="I88" t="s">
        <v>624</v>
      </c>
      <c r="J88">
        <v>7.3</v>
      </c>
      <c r="K88">
        <v>0</v>
      </c>
    </row>
    <row r="89" spans="1:11" x14ac:dyDescent="0.3">
      <c r="A89">
        <v>88</v>
      </c>
      <c r="B89">
        <v>43</v>
      </c>
      <c r="C89">
        <v>2</v>
      </c>
      <c r="D89">
        <v>81</v>
      </c>
      <c r="E89" t="s">
        <v>651</v>
      </c>
      <c r="F89">
        <v>6.63</v>
      </c>
      <c r="G89" t="s">
        <v>623</v>
      </c>
      <c r="H89" s="1">
        <v>45961.368483796294</v>
      </c>
      <c r="I89" t="s">
        <v>624</v>
      </c>
      <c r="J89">
        <v>6.63</v>
      </c>
      <c r="K89">
        <v>0</v>
      </c>
    </row>
    <row r="90" spans="1:11" x14ac:dyDescent="0.3">
      <c r="A90">
        <v>89</v>
      </c>
      <c r="B90">
        <v>39</v>
      </c>
      <c r="C90">
        <v>4</v>
      </c>
      <c r="D90">
        <v>82</v>
      </c>
      <c r="E90" t="s">
        <v>651</v>
      </c>
      <c r="F90">
        <v>23.99</v>
      </c>
      <c r="G90" t="s">
        <v>623</v>
      </c>
      <c r="H90" s="1">
        <v>45961.390196759261</v>
      </c>
      <c r="I90" t="s">
        <v>624</v>
      </c>
      <c r="J90">
        <v>23.99</v>
      </c>
      <c r="K90">
        <v>0</v>
      </c>
    </row>
    <row r="91" spans="1:11" x14ac:dyDescent="0.3">
      <c r="A91">
        <v>90</v>
      </c>
      <c r="B91">
        <v>202</v>
      </c>
      <c r="C91">
        <v>3</v>
      </c>
      <c r="D91">
        <v>83</v>
      </c>
      <c r="E91" t="s">
        <v>651</v>
      </c>
      <c r="F91">
        <v>2.84</v>
      </c>
      <c r="G91" t="s">
        <v>623</v>
      </c>
      <c r="H91" s="1">
        <v>45961.411944444444</v>
      </c>
      <c r="I91" t="s">
        <v>624</v>
      </c>
      <c r="J91">
        <v>2.84</v>
      </c>
      <c r="K91">
        <v>0</v>
      </c>
    </row>
    <row r="92" spans="1:11" x14ac:dyDescent="0.3">
      <c r="A92">
        <v>91</v>
      </c>
      <c r="B92">
        <v>38</v>
      </c>
      <c r="C92">
        <v>5</v>
      </c>
      <c r="D92">
        <v>84</v>
      </c>
      <c r="E92" t="s">
        <v>651</v>
      </c>
      <c r="F92">
        <v>2.33</v>
      </c>
      <c r="G92" t="s">
        <v>623</v>
      </c>
      <c r="H92" s="1">
        <v>45961.435023148151</v>
      </c>
      <c r="I92" t="s">
        <v>624</v>
      </c>
      <c r="J92">
        <v>2.33</v>
      </c>
      <c r="K92">
        <v>0</v>
      </c>
    </row>
    <row r="93" spans="1:11" x14ac:dyDescent="0.3">
      <c r="A93">
        <v>92</v>
      </c>
      <c r="B93">
        <v>155</v>
      </c>
      <c r="C93">
        <v>1</v>
      </c>
      <c r="E93" t="s">
        <v>649</v>
      </c>
      <c r="F93">
        <v>19.91</v>
      </c>
      <c r="G93" t="s">
        <v>650</v>
      </c>
      <c r="H93" s="1">
        <v>45961.44667824074</v>
      </c>
      <c r="I93" t="s">
        <v>624</v>
      </c>
      <c r="J93">
        <v>0</v>
      </c>
      <c r="K93">
        <v>0</v>
      </c>
    </row>
    <row r="94" spans="1:11" x14ac:dyDescent="0.3">
      <c r="A94">
        <v>93</v>
      </c>
      <c r="B94">
        <v>39</v>
      </c>
      <c r="C94">
        <v>3</v>
      </c>
      <c r="D94">
        <v>85</v>
      </c>
      <c r="E94" t="s">
        <v>651</v>
      </c>
      <c r="F94">
        <v>23.55</v>
      </c>
      <c r="G94" t="s">
        <v>623</v>
      </c>
      <c r="H94" s="1">
        <v>45961.590729166666</v>
      </c>
      <c r="I94" t="s">
        <v>624</v>
      </c>
      <c r="J94">
        <v>23.55</v>
      </c>
      <c r="K94">
        <v>0</v>
      </c>
    </row>
    <row r="95" spans="1:11" x14ac:dyDescent="0.3">
      <c r="A95">
        <v>94</v>
      </c>
      <c r="B95">
        <v>39</v>
      </c>
      <c r="C95">
        <v>2</v>
      </c>
      <c r="D95">
        <v>86</v>
      </c>
      <c r="E95" t="s">
        <v>651</v>
      </c>
      <c r="F95">
        <v>14.97</v>
      </c>
      <c r="G95" t="s">
        <v>623</v>
      </c>
      <c r="H95" s="1">
        <v>45961.643113425926</v>
      </c>
      <c r="I95" t="s">
        <v>624</v>
      </c>
      <c r="J95">
        <v>14.97</v>
      </c>
      <c r="K95">
        <v>0</v>
      </c>
    </row>
    <row r="96" spans="1:11" x14ac:dyDescent="0.3">
      <c r="A96">
        <v>95</v>
      </c>
      <c r="B96">
        <v>19</v>
      </c>
      <c r="C96">
        <v>3</v>
      </c>
      <c r="D96">
        <v>87</v>
      </c>
      <c r="E96" t="s">
        <v>651</v>
      </c>
      <c r="F96">
        <v>3.78</v>
      </c>
      <c r="G96" t="s">
        <v>623</v>
      </c>
      <c r="H96" s="1">
        <v>45961.650416666664</v>
      </c>
      <c r="I96" t="s">
        <v>624</v>
      </c>
      <c r="J96">
        <v>3.78</v>
      </c>
      <c r="K96">
        <v>0</v>
      </c>
    </row>
    <row r="97" spans="1:11" x14ac:dyDescent="0.3">
      <c r="A97">
        <v>96</v>
      </c>
      <c r="B97">
        <v>39</v>
      </c>
      <c r="C97">
        <v>2</v>
      </c>
      <c r="D97">
        <v>88</v>
      </c>
      <c r="E97" t="s">
        <v>657</v>
      </c>
      <c r="F97">
        <v>80</v>
      </c>
      <c r="G97" t="s">
        <v>623</v>
      </c>
      <c r="H97" s="1">
        <v>45961.663865740738</v>
      </c>
      <c r="I97" t="s">
        <v>624</v>
      </c>
      <c r="J97">
        <v>0</v>
      </c>
      <c r="K97">
        <v>80</v>
      </c>
    </row>
    <row r="98" spans="1:11" x14ac:dyDescent="0.3">
      <c r="A98">
        <v>97</v>
      </c>
      <c r="B98">
        <v>207</v>
      </c>
      <c r="C98">
        <v>5</v>
      </c>
      <c r="D98">
        <v>89</v>
      </c>
      <c r="E98" t="s">
        <v>651</v>
      </c>
      <c r="F98">
        <v>5.75</v>
      </c>
      <c r="G98" t="s">
        <v>623</v>
      </c>
      <c r="H98" s="1">
        <v>45961.676481481481</v>
      </c>
      <c r="I98" t="s">
        <v>624</v>
      </c>
      <c r="J98">
        <v>5.75</v>
      </c>
      <c r="K98">
        <v>0</v>
      </c>
    </row>
    <row r="99" spans="1:11" x14ac:dyDescent="0.3">
      <c r="A99">
        <v>98</v>
      </c>
      <c r="B99">
        <v>154</v>
      </c>
      <c r="C99">
        <v>2</v>
      </c>
      <c r="D99">
        <v>90</v>
      </c>
      <c r="E99" t="s">
        <v>651</v>
      </c>
      <c r="F99">
        <v>3.01</v>
      </c>
      <c r="G99" t="s">
        <v>623</v>
      </c>
      <c r="H99" s="1">
        <v>45962.333599537036</v>
      </c>
      <c r="I99" t="s">
        <v>630</v>
      </c>
      <c r="J99">
        <v>3.01</v>
      </c>
      <c r="K99">
        <v>0</v>
      </c>
    </row>
    <row r="100" spans="1:11" x14ac:dyDescent="0.3">
      <c r="A100">
        <v>99</v>
      </c>
      <c r="B100">
        <v>61</v>
      </c>
      <c r="C100">
        <v>4</v>
      </c>
      <c r="D100">
        <v>91</v>
      </c>
      <c r="E100" t="s">
        <v>651</v>
      </c>
      <c r="F100">
        <v>8.2200000000000006</v>
      </c>
      <c r="G100" t="s">
        <v>623</v>
      </c>
      <c r="H100" s="1">
        <v>45962.352164351854</v>
      </c>
      <c r="I100" t="s">
        <v>630</v>
      </c>
      <c r="J100">
        <v>8.2200000000000006</v>
      </c>
      <c r="K100">
        <v>0</v>
      </c>
    </row>
    <row r="101" spans="1:11" x14ac:dyDescent="0.3">
      <c r="A101">
        <v>100</v>
      </c>
      <c r="B101">
        <v>11</v>
      </c>
      <c r="C101">
        <v>2</v>
      </c>
      <c r="D101">
        <v>92</v>
      </c>
      <c r="E101" t="s">
        <v>651</v>
      </c>
      <c r="F101">
        <v>24.71</v>
      </c>
      <c r="G101" t="s">
        <v>623</v>
      </c>
      <c r="H101" s="1">
        <v>45962.400416666664</v>
      </c>
      <c r="I101" t="s">
        <v>630</v>
      </c>
      <c r="J101">
        <v>24.71</v>
      </c>
      <c r="K101">
        <v>0</v>
      </c>
    </row>
    <row r="102" spans="1:11" x14ac:dyDescent="0.3">
      <c r="A102">
        <v>101</v>
      </c>
      <c r="B102">
        <v>65</v>
      </c>
      <c r="C102">
        <v>3</v>
      </c>
      <c r="D102">
        <v>93</v>
      </c>
      <c r="E102" t="s">
        <v>651</v>
      </c>
      <c r="F102">
        <v>3.77</v>
      </c>
      <c r="G102" t="s">
        <v>623</v>
      </c>
      <c r="H102" s="1">
        <v>45962.453738425924</v>
      </c>
      <c r="I102" t="s">
        <v>630</v>
      </c>
      <c r="J102">
        <v>3.77</v>
      </c>
      <c r="K102">
        <v>0</v>
      </c>
    </row>
    <row r="103" spans="1:11" x14ac:dyDescent="0.3">
      <c r="A103">
        <v>102</v>
      </c>
      <c r="B103">
        <v>51</v>
      </c>
      <c r="C103">
        <v>4</v>
      </c>
      <c r="D103">
        <v>94</v>
      </c>
      <c r="E103" t="s">
        <v>651</v>
      </c>
      <c r="F103">
        <v>16.47</v>
      </c>
      <c r="G103" t="s">
        <v>623</v>
      </c>
      <c r="H103" s="1">
        <v>45962.534097222226</v>
      </c>
      <c r="I103" t="s">
        <v>630</v>
      </c>
      <c r="J103">
        <v>16.47</v>
      </c>
      <c r="K103">
        <v>0</v>
      </c>
    </row>
    <row r="104" spans="1:11" x14ac:dyDescent="0.3">
      <c r="A104">
        <v>103</v>
      </c>
      <c r="B104">
        <v>164</v>
      </c>
      <c r="C104">
        <v>5</v>
      </c>
      <c r="D104">
        <v>95</v>
      </c>
      <c r="E104" t="s">
        <v>651</v>
      </c>
      <c r="F104">
        <v>3.92</v>
      </c>
      <c r="G104" t="s">
        <v>623</v>
      </c>
      <c r="H104" s="1">
        <v>45962.577314814815</v>
      </c>
      <c r="I104" t="s">
        <v>630</v>
      </c>
      <c r="J104">
        <v>3.92</v>
      </c>
      <c r="K104">
        <v>0</v>
      </c>
    </row>
    <row r="105" spans="1:11" x14ac:dyDescent="0.3">
      <c r="A105">
        <v>104</v>
      </c>
      <c r="B105">
        <v>279</v>
      </c>
      <c r="C105">
        <v>2</v>
      </c>
      <c r="D105">
        <v>96</v>
      </c>
      <c r="E105" t="s">
        <v>651</v>
      </c>
      <c r="F105">
        <v>18.670000000000002</v>
      </c>
      <c r="G105" t="s">
        <v>623</v>
      </c>
      <c r="H105" s="1">
        <v>45962.624201388891</v>
      </c>
      <c r="I105" t="s">
        <v>630</v>
      </c>
      <c r="J105">
        <v>18.670000000000002</v>
      </c>
      <c r="K105">
        <v>0</v>
      </c>
    </row>
    <row r="106" spans="1:11" x14ac:dyDescent="0.3">
      <c r="A106">
        <v>105</v>
      </c>
      <c r="B106">
        <v>296</v>
      </c>
      <c r="C106">
        <v>5</v>
      </c>
      <c r="D106">
        <v>97</v>
      </c>
      <c r="E106" t="s">
        <v>651</v>
      </c>
      <c r="F106">
        <v>6.16</v>
      </c>
      <c r="G106" t="s">
        <v>623</v>
      </c>
      <c r="H106" s="1">
        <v>45962.642222222225</v>
      </c>
      <c r="I106" t="s">
        <v>630</v>
      </c>
      <c r="J106">
        <v>6.16</v>
      </c>
      <c r="K106">
        <v>0</v>
      </c>
    </row>
    <row r="107" spans="1:11" x14ac:dyDescent="0.3">
      <c r="A107">
        <v>106</v>
      </c>
      <c r="B107">
        <v>39</v>
      </c>
      <c r="C107">
        <v>4</v>
      </c>
      <c r="D107">
        <v>98</v>
      </c>
      <c r="E107" t="s">
        <v>651</v>
      </c>
      <c r="F107">
        <v>16.11</v>
      </c>
      <c r="G107" t="s">
        <v>623</v>
      </c>
      <c r="H107" s="1">
        <v>45962.722395833334</v>
      </c>
      <c r="I107" t="s">
        <v>630</v>
      </c>
      <c r="J107">
        <v>16.11</v>
      </c>
      <c r="K107">
        <v>0</v>
      </c>
    </row>
    <row r="108" spans="1:11" x14ac:dyDescent="0.3">
      <c r="A108">
        <v>107</v>
      </c>
      <c r="B108">
        <v>70</v>
      </c>
      <c r="C108">
        <v>3</v>
      </c>
      <c r="D108">
        <v>99</v>
      </c>
      <c r="E108" t="s">
        <v>651</v>
      </c>
      <c r="F108">
        <v>14.38</v>
      </c>
      <c r="G108" t="s">
        <v>623</v>
      </c>
      <c r="H108" s="1">
        <v>45962.737824074073</v>
      </c>
      <c r="I108" t="s">
        <v>630</v>
      </c>
      <c r="J108">
        <v>14.38</v>
      </c>
      <c r="K108">
        <v>0</v>
      </c>
    </row>
    <row r="109" spans="1:11" x14ac:dyDescent="0.3">
      <c r="A109">
        <v>108</v>
      </c>
      <c r="B109">
        <v>70</v>
      </c>
      <c r="C109">
        <v>3</v>
      </c>
      <c r="D109">
        <v>99</v>
      </c>
      <c r="E109" t="s">
        <v>649</v>
      </c>
      <c r="F109">
        <v>-14.38</v>
      </c>
      <c r="G109" t="s">
        <v>658</v>
      </c>
      <c r="H109" s="1">
        <v>45963.071157407408</v>
      </c>
      <c r="I109" t="s">
        <v>630</v>
      </c>
      <c r="J109">
        <v>0</v>
      </c>
      <c r="K109">
        <v>0</v>
      </c>
    </row>
    <row r="110" spans="1:11" x14ac:dyDescent="0.3">
      <c r="A110">
        <v>109</v>
      </c>
      <c r="B110">
        <v>36</v>
      </c>
      <c r="C110">
        <v>1</v>
      </c>
      <c r="E110" t="s">
        <v>649</v>
      </c>
      <c r="F110">
        <v>-24.59</v>
      </c>
      <c r="G110" t="s">
        <v>656</v>
      </c>
      <c r="H110" s="1">
        <v>45963.229849537034</v>
      </c>
      <c r="I110" t="s">
        <v>630</v>
      </c>
      <c r="J110">
        <v>0</v>
      </c>
      <c r="K110">
        <v>0</v>
      </c>
    </row>
    <row r="111" spans="1:11" x14ac:dyDescent="0.3">
      <c r="A111">
        <v>110</v>
      </c>
      <c r="B111">
        <v>8</v>
      </c>
      <c r="C111">
        <v>3</v>
      </c>
      <c r="D111">
        <v>100</v>
      </c>
      <c r="E111" t="s">
        <v>651</v>
      </c>
      <c r="F111">
        <v>2.88</v>
      </c>
      <c r="G111" t="s">
        <v>623</v>
      </c>
      <c r="H111" s="1">
        <v>45963.336168981485</v>
      </c>
      <c r="I111" t="s">
        <v>630</v>
      </c>
      <c r="J111">
        <v>2.88</v>
      </c>
      <c r="K111">
        <v>0</v>
      </c>
    </row>
    <row r="112" spans="1:11" x14ac:dyDescent="0.3">
      <c r="A112">
        <v>111</v>
      </c>
      <c r="B112">
        <v>217</v>
      </c>
      <c r="C112">
        <v>3</v>
      </c>
      <c r="D112">
        <v>101</v>
      </c>
      <c r="E112" t="s">
        <v>651</v>
      </c>
      <c r="F112">
        <v>2.5</v>
      </c>
      <c r="G112" t="s">
        <v>623</v>
      </c>
      <c r="H112" s="1">
        <v>45963.451215277775</v>
      </c>
      <c r="I112" t="s">
        <v>630</v>
      </c>
      <c r="J112">
        <v>2.5</v>
      </c>
      <c r="K112">
        <v>0</v>
      </c>
    </row>
    <row r="113" spans="1:11" x14ac:dyDescent="0.3">
      <c r="A113">
        <v>112</v>
      </c>
      <c r="B113">
        <v>207</v>
      </c>
      <c r="C113">
        <v>4</v>
      </c>
      <c r="D113">
        <v>102</v>
      </c>
      <c r="E113" t="s">
        <v>651</v>
      </c>
      <c r="F113">
        <v>3.68</v>
      </c>
      <c r="G113" t="s">
        <v>623</v>
      </c>
      <c r="H113" s="1">
        <v>45963.54283564815</v>
      </c>
      <c r="I113" t="s">
        <v>630</v>
      </c>
      <c r="J113">
        <v>3.68</v>
      </c>
      <c r="K113">
        <v>0</v>
      </c>
    </row>
    <row r="114" spans="1:11" x14ac:dyDescent="0.3">
      <c r="A114">
        <v>113</v>
      </c>
      <c r="B114">
        <v>69</v>
      </c>
      <c r="C114">
        <v>2</v>
      </c>
      <c r="D114">
        <v>103</v>
      </c>
      <c r="E114" t="s">
        <v>651</v>
      </c>
      <c r="F114">
        <v>2.1</v>
      </c>
      <c r="G114" t="s">
        <v>623</v>
      </c>
      <c r="H114" s="1">
        <v>45963.698460648149</v>
      </c>
      <c r="I114" t="s">
        <v>630</v>
      </c>
      <c r="J114">
        <v>2.1</v>
      </c>
      <c r="K114">
        <v>0</v>
      </c>
    </row>
    <row r="115" spans="1:11" x14ac:dyDescent="0.3">
      <c r="A115">
        <v>114</v>
      </c>
      <c r="B115">
        <v>12</v>
      </c>
      <c r="C115">
        <v>2</v>
      </c>
      <c r="D115">
        <v>104</v>
      </c>
      <c r="E115" t="s">
        <v>651</v>
      </c>
      <c r="F115">
        <v>2.83</v>
      </c>
      <c r="G115" t="s">
        <v>623</v>
      </c>
      <c r="H115" s="1">
        <v>45963.748912037037</v>
      </c>
      <c r="I115" t="s">
        <v>630</v>
      </c>
      <c r="J115">
        <v>2.83</v>
      </c>
      <c r="K115">
        <v>0</v>
      </c>
    </row>
    <row r="116" spans="1:11" x14ac:dyDescent="0.3">
      <c r="A116">
        <v>115</v>
      </c>
      <c r="B116">
        <v>151</v>
      </c>
      <c r="C116">
        <v>4</v>
      </c>
      <c r="D116">
        <v>105</v>
      </c>
      <c r="E116" t="s">
        <v>651</v>
      </c>
      <c r="F116">
        <v>25.07</v>
      </c>
      <c r="G116" t="s">
        <v>623</v>
      </c>
      <c r="H116" s="1">
        <v>45963.782858796294</v>
      </c>
      <c r="I116" t="s">
        <v>630</v>
      </c>
      <c r="J116">
        <v>25.07</v>
      </c>
      <c r="K116">
        <v>0</v>
      </c>
    </row>
    <row r="117" spans="1:11" x14ac:dyDescent="0.3">
      <c r="A117">
        <v>116</v>
      </c>
      <c r="B117">
        <v>21</v>
      </c>
      <c r="C117">
        <v>5</v>
      </c>
      <c r="D117">
        <v>106</v>
      </c>
      <c r="E117" t="s">
        <v>651</v>
      </c>
      <c r="F117">
        <v>4.01</v>
      </c>
      <c r="G117" t="s">
        <v>623</v>
      </c>
      <c r="H117" s="1">
        <v>45964.331770833334</v>
      </c>
      <c r="I117" t="s">
        <v>630</v>
      </c>
      <c r="J117">
        <v>4.01</v>
      </c>
      <c r="K117">
        <v>0</v>
      </c>
    </row>
    <row r="118" spans="1:11" x14ac:dyDescent="0.3">
      <c r="A118">
        <v>117</v>
      </c>
      <c r="B118">
        <v>39</v>
      </c>
      <c r="C118">
        <v>2</v>
      </c>
      <c r="D118">
        <v>107</v>
      </c>
      <c r="E118" t="s">
        <v>651</v>
      </c>
      <c r="F118">
        <v>11.12</v>
      </c>
      <c r="G118" t="s">
        <v>623</v>
      </c>
      <c r="H118" s="1">
        <v>45964.349918981483</v>
      </c>
      <c r="I118" t="s">
        <v>630</v>
      </c>
      <c r="J118">
        <v>11.12</v>
      </c>
      <c r="K118">
        <v>0</v>
      </c>
    </row>
    <row r="119" spans="1:11" x14ac:dyDescent="0.3">
      <c r="A119">
        <v>118</v>
      </c>
      <c r="B119">
        <v>240</v>
      </c>
      <c r="C119">
        <v>3</v>
      </c>
      <c r="D119">
        <v>108</v>
      </c>
      <c r="E119" t="s">
        <v>651</v>
      </c>
      <c r="F119">
        <v>13.39</v>
      </c>
      <c r="G119" t="s">
        <v>623</v>
      </c>
      <c r="H119" s="1">
        <v>45964.354074074072</v>
      </c>
      <c r="I119" t="s">
        <v>630</v>
      </c>
      <c r="J119">
        <v>13.39</v>
      </c>
      <c r="K119">
        <v>0</v>
      </c>
    </row>
    <row r="120" spans="1:11" x14ac:dyDescent="0.3">
      <c r="A120">
        <v>119</v>
      </c>
      <c r="B120">
        <v>52</v>
      </c>
      <c r="C120">
        <v>3</v>
      </c>
      <c r="D120">
        <v>109</v>
      </c>
      <c r="E120" t="s">
        <v>651</v>
      </c>
      <c r="F120">
        <v>3.21</v>
      </c>
      <c r="G120" t="s">
        <v>623</v>
      </c>
      <c r="H120" s="1">
        <v>45964.378796296296</v>
      </c>
      <c r="I120" t="s">
        <v>630</v>
      </c>
      <c r="J120">
        <v>3.21</v>
      </c>
      <c r="K120">
        <v>0</v>
      </c>
    </row>
    <row r="121" spans="1:11" x14ac:dyDescent="0.3">
      <c r="A121">
        <v>120</v>
      </c>
      <c r="B121">
        <v>194</v>
      </c>
      <c r="C121">
        <v>5</v>
      </c>
      <c r="D121">
        <v>110</v>
      </c>
      <c r="E121" t="s">
        <v>651</v>
      </c>
      <c r="F121">
        <v>6.55</v>
      </c>
      <c r="G121" t="s">
        <v>623</v>
      </c>
      <c r="H121" s="1">
        <v>45964.394918981481</v>
      </c>
      <c r="I121" t="s">
        <v>630</v>
      </c>
      <c r="J121">
        <v>6.55</v>
      </c>
      <c r="K121">
        <v>0</v>
      </c>
    </row>
    <row r="122" spans="1:11" x14ac:dyDescent="0.3">
      <c r="A122">
        <v>121</v>
      </c>
      <c r="B122">
        <v>279</v>
      </c>
      <c r="C122">
        <v>3</v>
      </c>
      <c r="D122">
        <v>111</v>
      </c>
      <c r="E122" t="s">
        <v>651</v>
      </c>
      <c r="F122">
        <v>9.7899999999999991</v>
      </c>
      <c r="G122" t="s">
        <v>623</v>
      </c>
      <c r="H122" s="1">
        <v>45964.396979166668</v>
      </c>
      <c r="I122" t="s">
        <v>630</v>
      </c>
      <c r="J122">
        <v>9.7899999999999991</v>
      </c>
      <c r="K122">
        <v>0</v>
      </c>
    </row>
    <row r="123" spans="1:11" x14ac:dyDescent="0.3">
      <c r="A123">
        <v>122</v>
      </c>
      <c r="B123">
        <v>61</v>
      </c>
      <c r="C123">
        <v>5</v>
      </c>
      <c r="D123">
        <v>112</v>
      </c>
      <c r="E123" t="s">
        <v>651</v>
      </c>
      <c r="F123">
        <v>14.49</v>
      </c>
      <c r="G123" t="s">
        <v>623</v>
      </c>
      <c r="H123" s="1">
        <v>45964.516053240739</v>
      </c>
      <c r="I123" t="s">
        <v>630</v>
      </c>
      <c r="J123">
        <v>14.49</v>
      </c>
      <c r="K123">
        <v>0</v>
      </c>
    </row>
    <row r="124" spans="1:11" x14ac:dyDescent="0.3">
      <c r="A124">
        <v>123</v>
      </c>
      <c r="B124">
        <v>240</v>
      </c>
      <c r="C124">
        <v>1</v>
      </c>
      <c r="E124" t="s">
        <v>649</v>
      </c>
      <c r="F124">
        <v>-7.38</v>
      </c>
      <c r="G124" t="s">
        <v>653</v>
      </c>
      <c r="H124" s="1">
        <v>45964.642939814818</v>
      </c>
      <c r="I124" t="s">
        <v>630</v>
      </c>
      <c r="J124">
        <v>0</v>
      </c>
      <c r="K124">
        <v>0</v>
      </c>
    </row>
    <row r="125" spans="1:11" x14ac:dyDescent="0.3">
      <c r="A125">
        <v>124</v>
      </c>
      <c r="B125">
        <v>61</v>
      </c>
      <c r="C125">
        <v>2</v>
      </c>
      <c r="D125">
        <v>113</v>
      </c>
      <c r="E125" t="s">
        <v>651</v>
      </c>
      <c r="F125">
        <v>3.05</v>
      </c>
      <c r="G125" t="s">
        <v>623</v>
      </c>
      <c r="H125" s="1">
        <v>45964.663518518515</v>
      </c>
      <c r="I125" t="s">
        <v>630</v>
      </c>
      <c r="J125">
        <v>3.05</v>
      </c>
      <c r="K125">
        <v>0</v>
      </c>
    </row>
    <row r="126" spans="1:11" x14ac:dyDescent="0.3">
      <c r="A126">
        <v>125</v>
      </c>
      <c r="B126">
        <v>17</v>
      </c>
      <c r="C126">
        <v>3</v>
      </c>
      <c r="D126">
        <v>114</v>
      </c>
      <c r="E126" t="s">
        <v>651</v>
      </c>
      <c r="F126">
        <v>12.04</v>
      </c>
      <c r="G126" t="s">
        <v>623</v>
      </c>
      <c r="H126" s="1">
        <v>45964.689444444448</v>
      </c>
      <c r="I126" t="s">
        <v>630</v>
      </c>
      <c r="J126">
        <v>12.04</v>
      </c>
      <c r="K126">
        <v>0</v>
      </c>
    </row>
    <row r="127" spans="1:11" x14ac:dyDescent="0.3">
      <c r="A127">
        <v>126</v>
      </c>
      <c r="B127">
        <v>59</v>
      </c>
      <c r="C127">
        <v>3</v>
      </c>
      <c r="D127">
        <v>115</v>
      </c>
      <c r="E127" t="s">
        <v>651</v>
      </c>
      <c r="F127">
        <v>1.79</v>
      </c>
      <c r="G127" t="s">
        <v>623</v>
      </c>
      <c r="H127" s="1">
        <v>45964.76734953704</v>
      </c>
      <c r="I127" t="s">
        <v>630</v>
      </c>
      <c r="J127">
        <v>1.79</v>
      </c>
      <c r="K127">
        <v>0</v>
      </c>
    </row>
    <row r="128" spans="1:11" x14ac:dyDescent="0.3">
      <c r="A128">
        <v>127</v>
      </c>
      <c r="B128">
        <v>154</v>
      </c>
      <c r="C128">
        <v>5</v>
      </c>
      <c r="D128">
        <v>116</v>
      </c>
      <c r="E128" t="s">
        <v>651</v>
      </c>
      <c r="F128">
        <v>4.1100000000000003</v>
      </c>
      <c r="G128" t="s">
        <v>623</v>
      </c>
      <c r="H128" s="1">
        <v>45964.776712962965</v>
      </c>
      <c r="I128" t="s">
        <v>630</v>
      </c>
      <c r="J128">
        <v>4.1100000000000003</v>
      </c>
      <c r="K128">
        <v>0</v>
      </c>
    </row>
    <row r="129" spans="1:11" x14ac:dyDescent="0.3">
      <c r="A129">
        <v>128</v>
      </c>
      <c r="B129">
        <v>279</v>
      </c>
      <c r="C129">
        <v>5</v>
      </c>
      <c r="D129">
        <v>111</v>
      </c>
      <c r="E129" t="s">
        <v>649</v>
      </c>
      <c r="F129">
        <v>-9.7899999999999991</v>
      </c>
      <c r="G129" t="s">
        <v>659</v>
      </c>
      <c r="H129" s="1">
        <v>45965.021979166668</v>
      </c>
      <c r="I129" t="s">
        <v>630</v>
      </c>
      <c r="J129">
        <v>0</v>
      </c>
      <c r="K129">
        <v>0</v>
      </c>
    </row>
    <row r="130" spans="1:11" x14ac:dyDescent="0.3">
      <c r="A130">
        <v>129</v>
      </c>
      <c r="B130">
        <v>52</v>
      </c>
      <c r="C130">
        <v>5</v>
      </c>
      <c r="D130">
        <v>117</v>
      </c>
      <c r="E130" t="s">
        <v>651</v>
      </c>
      <c r="F130">
        <v>3.51</v>
      </c>
      <c r="G130" t="s">
        <v>623</v>
      </c>
      <c r="H130" s="1">
        <v>45965.368344907409</v>
      </c>
      <c r="I130" t="s">
        <v>630</v>
      </c>
      <c r="J130">
        <v>3.51</v>
      </c>
      <c r="K130">
        <v>0</v>
      </c>
    </row>
    <row r="131" spans="1:11" x14ac:dyDescent="0.3">
      <c r="A131">
        <v>130</v>
      </c>
      <c r="B131">
        <v>65</v>
      </c>
      <c r="C131">
        <v>3</v>
      </c>
      <c r="D131">
        <v>118</v>
      </c>
      <c r="E131" t="s">
        <v>651</v>
      </c>
      <c r="F131">
        <v>1.65</v>
      </c>
      <c r="G131" t="s">
        <v>623</v>
      </c>
      <c r="H131" s="1">
        <v>45965.370717592596</v>
      </c>
      <c r="I131" t="s">
        <v>630</v>
      </c>
      <c r="J131">
        <v>1.65</v>
      </c>
      <c r="K131">
        <v>0</v>
      </c>
    </row>
    <row r="132" spans="1:11" x14ac:dyDescent="0.3">
      <c r="A132">
        <v>131</v>
      </c>
      <c r="B132">
        <v>13</v>
      </c>
      <c r="C132">
        <v>5</v>
      </c>
      <c r="D132">
        <v>119</v>
      </c>
      <c r="E132" t="s">
        <v>651</v>
      </c>
      <c r="F132">
        <v>3.23</v>
      </c>
      <c r="G132" t="s">
        <v>623</v>
      </c>
      <c r="H132" s="1">
        <v>45965.442442129628</v>
      </c>
      <c r="I132" t="s">
        <v>630</v>
      </c>
      <c r="J132">
        <v>3.23</v>
      </c>
      <c r="K132">
        <v>0</v>
      </c>
    </row>
    <row r="133" spans="1:11" x14ac:dyDescent="0.3">
      <c r="A133">
        <v>132</v>
      </c>
      <c r="B133">
        <v>279</v>
      </c>
      <c r="C133">
        <v>4</v>
      </c>
      <c r="D133">
        <v>120</v>
      </c>
      <c r="E133" t="s">
        <v>651</v>
      </c>
      <c r="F133">
        <v>20.9</v>
      </c>
      <c r="G133" t="s">
        <v>623</v>
      </c>
      <c r="H133" s="1">
        <v>45965.492129629631</v>
      </c>
      <c r="I133" t="s">
        <v>630</v>
      </c>
      <c r="J133">
        <v>20.9</v>
      </c>
      <c r="K133">
        <v>0</v>
      </c>
    </row>
    <row r="134" spans="1:11" x14ac:dyDescent="0.3">
      <c r="A134">
        <v>133</v>
      </c>
      <c r="B134">
        <v>293</v>
      </c>
      <c r="C134">
        <v>4</v>
      </c>
      <c r="D134">
        <v>121</v>
      </c>
      <c r="E134" t="s">
        <v>651</v>
      </c>
      <c r="F134">
        <v>3.02</v>
      </c>
      <c r="G134" t="s">
        <v>623</v>
      </c>
      <c r="H134" s="1">
        <v>45965.627604166664</v>
      </c>
      <c r="I134" t="s">
        <v>630</v>
      </c>
      <c r="J134">
        <v>3.02</v>
      </c>
      <c r="K134">
        <v>0</v>
      </c>
    </row>
    <row r="135" spans="1:11" x14ac:dyDescent="0.3">
      <c r="A135">
        <v>134</v>
      </c>
      <c r="B135">
        <v>280</v>
      </c>
      <c r="C135">
        <v>4</v>
      </c>
      <c r="D135">
        <v>122</v>
      </c>
      <c r="E135" t="s">
        <v>651</v>
      </c>
      <c r="F135">
        <v>5.1100000000000003</v>
      </c>
      <c r="G135" t="s">
        <v>623</v>
      </c>
      <c r="H135" s="1">
        <v>45965.629687499997</v>
      </c>
      <c r="I135" t="s">
        <v>630</v>
      </c>
      <c r="J135">
        <v>5.1100000000000003</v>
      </c>
      <c r="K135">
        <v>0</v>
      </c>
    </row>
    <row r="136" spans="1:11" x14ac:dyDescent="0.3">
      <c r="A136">
        <v>135</v>
      </c>
      <c r="B136">
        <v>33</v>
      </c>
      <c r="C136">
        <v>2</v>
      </c>
      <c r="D136">
        <v>123</v>
      </c>
      <c r="E136" t="s">
        <v>651</v>
      </c>
      <c r="F136">
        <v>2.37</v>
      </c>
      <c r="G136" t="s">
        <v>623</v>
      </c>
      <c r="H136" s="1">
        <v>45965.655138888891</v>
      </c>
      <c r="I136" t="s">
        <v>630</v>
      </c>
      <c r="J136">
        <v>2.37</v>
      </c>
      <c r="K136">
        <v>0</v>
      </c>
    </row>
    <row r="137" spans="1:11" x14ac:dyDescent="0.3">
      <c r="A137">
        <v>136</v>
      </c>
      <c r="B137">
        <v>104</v>
      </c>
      <c r="C137">
        <v>2</v>
      </c>
      <c r="D137">
        <v>124</v>
      </c>
      <c r="E137" t="s">
        <v>651</v>
      </c>
      <c r="F137">
        <v>22.2</v>
      </c>
      <c r="G137" t="s">
        <v>623</v>
      </c>
      <c r="H137" s="1">
        <v>45965.672708333332</v>
      </c>
      <c r="I137" t="s">
        <v>630</v>
      </c>
      <c r="J137">
        <v>22.2</v>
      </c>
      <c r="K137">
        <v>0</v>
      </c>
    </row>
    <row r="138" spans="1:11" x14ac:dyDescent="0.3">
      <c r="A138">
        <v>137</v>
      </c>
      <c r="B138">
        <v>39</v>
      </c>
      <c r="C138">
        <v>5</v>
      </c>
      <c r="D138">
        <v>125</v>
      </c>
      <c r="E138" t="s">
        <v>651</v>
      </c>
      <c r="F138">
        <v>16.95</v>
      </c>
      <c r="G138" t="s">
        <v>623</v>
      </c>
      <c r="H138" s="1">
        <v>45965.703923611109</v>
      </c>
      <c r="I138" t="s">
        <v>630</v>
      </c>
      <c r="J138">
        <v>16.95</v>
      </c>
      <c r="K138">
        <v>0</v>
      </c>
    </row>
    <row r="139" spans="1:11" x14ac:dyDescent="0.3">
      <c r="A139">
        <v>138</v>
      </c>
      <c r="B139">
        <v>240</v>
      </c>
      <c r="C139">
        <v>3</v>
      </c>
      <c r="D139">
        <v>126</v>
      </c>
      <c r="E139" t="s">
        <v>651</v>
      </c>
      <c r="F139">
        <v>9.73</v>
      </c>
      <c r="G139" t="s">
        <v>623</v>
      </c>
      <c r="H139" s="1">
        <v>45966.298159722224</v>
      </c>
      <c r="I139" t="s">
        <v>630</v>
      </c>
      <c r="J139">
        <v>9.73</v>
      </c>
      <c r="K139">
        <v>0</v>
      </c>
    </row>
    <row r="140" spans="1:11" x14ac:dyDescent="0.3">
      <c r="A140">
        <v>139</v>
      </c>
      <c r="B140">
        <v>24</v>
      </c>
      <c r="C140">
        <v>5</v>
      </c>
      <c r="D140">
        <v>127</v>
      </c>
      <c r="E140" t="s">
        <v>651</v>
      </c>
      <c r="F140">
        <v>17.88</v>
      </c>
      <c r="G140" t="s">
        <v>623</v>
      </c>
      <c r="H140" s="1">
        <v>45966.300208333334</v>
      </c>
      <c r="I140" t="s">
        <v>630</v>
      </c>
      <c r="J140">
        <v>17.88</v>
      </c>
      <c r="K140">
        <v>0</v>
      </c>
    </row>
    <row r="141" spans="1:11" x14ac:dyDescent="0.3">
      <c r="A141">
        <v>140</v>
      </c>
      <c r="B141">
        <v>39</v>
      </c>
      <c r="C141">
        <v>5</v>
      </c>
      <c r="D141">
        <v>128</v>
      </c>
      <c r="E141" t="s">
        <v>651</v>
      </c>
      <c r="F141">
        <v>18.22</v>
      </c>
      <c r="G141" t="s">
        <v>623</v>
      </c>
      <c r="H141" s="1">
        <v>45966.352465277778</v>
      </c>
      <c r="I141" t="s">
        <v>630</v>
      </c>
      <c r="J141">
        <v>18.22</v>
      </c>
      <c r="K141">
        <v>0</v>
      </c>
    </row>
    <row r="142" spans="1:11" x14ac:dyDescent="0.3">
      <c r="A142">
        <v>141</v>
      </c>
      <c r="B142">
        <v>21</v>
      </c>
      <c r="C142">
        <v>4</v>
      </c>
      <c r="D142">
        <v>129</v>
      </c>
      <c r="E142" t="s">
        <v>651</v>
      </c>
      <c r="F142">
        <v>3.04</v>
      </c>
      <c r="G142" t="s">
        <v>623</v>
      </c>
      <c r="H142" s="1">
        <v>45966.378668981481</v>
      </c>
      <c r="I142" t="s">
        <v>630</v>
      </c>
      <c r="J142">
        <v>3.04</v>
      </c>
      <c r="K142">
        <v>0</v>
      </c>
    </row>
    <row r="143" spans="1:11" x14ac:dyDescent="0.3">
      <c r="A143">
        <v>142</v>
      </c>
      <c r="B143">
        <v>45</v>
      </c>
      <c r="C143">
        <v>4</v>
      </c>
      <c r="D143">
        <v>130</v>
      </c>
      <c r="E143" t="s">
        <v>651</v>
      </c>
      <c r="F143">
        <v>12.27</v>
      </c>
      <c r="G143" t="s">
        <v>623</v>
      </c>
      <c r="H143" s="1">
        <v>45966.383125</v>
      </c>
      <c r="I143" t="s">
        <v>630</v>
      </c>
      <c r="J143">
        <v>12.27</v>
      </c>
      <c r="K143">
        <v>0</v>
      </c>
    </row>
    <row r="144" spans="1:11" x14ac:dyDescent="0.3">
      <c r="A144">
        <v>143</v>
      </c>
      <c r="B144">
        <v>48</v>
      </c>
      <c r="C144">
        <v>4</v>
      </c>
      <c r="D144">
        <v>131</v>
      </c>
      <c r="E144" t="s">
        <v>651</v>
      </c>
      <c r="F144">
        <v>19.66</v>
      </c>
      <c r="G144" t="s">
        <v>623</v>
      </c>
      <c r="H144" s="1">
        <v>45966.513611111113</v>
      </c>
      <c r="I144" t="s">
        <v>630</v>
      </c>
      <c r="J144">
        <v>19.66</v>
      </c>
      <c r="K144">
        <v>0</v>
      </c>
    </row>
    <row r="145" spans="1:11" x14ac:dyDescent="0.3">
      <c r="A145">
        <v>144</v>
      </c>
      <c r="B145">
        <v>61</v>
      </c>
      <c r="C145">
        <v>5</v>
      </c>
      <c r="D145">
        <v>132</v>
      </c>
      <c r="E145" t="s">
        <v>651</v>
      </c>
      <c r="F145">
        <v>7.26</v>
      </c>
      <c r="G145" t="s">
        <v>623</v>
      </c>
      <c r="H145" s="1">
        <v>45966.621145833335</v>
      </c>
      <c r="I145" t="s">
        <v>630</v>
      </c>
      <c r="J145">
        <v>7.26</v>
      </c>
      <c r="K145">
        <v>0</v>
      </c>
    </row>
    <row r="146" spans="1:11" x14ac:dyDescent="0.3">
      <c r="A146">
        <v>145</v>
      </c>
      <c r="B146">
        <v>164</v>
      </c>
      <c r="C146">
        <v>2</v>
      </c>
      <c r="D146">
        <v>133</v>
      </c>
      <c r="E146" t="s">
        <v>651</v>
      </c>
      <c r="F146">
        <v>3.4</v>
      </c>
      <c r="G146" t="s">
        <v>623</v>
      </c>
      <c r="H146" s="1">
        <v>45967.294236111113</v>
      </c>
      <c r="I146" t="s">
        <v>630</v>
      </c>
      <c r="J146">
        <v>3.4</v>
      </c>
      <c r="K146">
        <v>0</v>
      </c>
    </row>
    <row r="147" spans="1:11" x14ac:dyDescent="0.3">
      <c r="A147">
        <v>146</v>
      </c>
      <c r="B147">
        <v>152</v>
      </c>
      <c r="C147">
        <v>4</v>
      </c>
      <c r="D147">
        <v>134</v>
      </c>
      <c r="E147" t="s">
        <v>651</v>
      </c>
      <c r="F147">
        <v>24.04</v>
      </c>
      <c r="G147" t="s">
        <v>623</v>
      </c>
      <c r="H147" s="1">
        <v>45967.381157407406</v>
      </c>
      <c r="I147" t="s">
        <v>630</v>
      </c>
      <c r="J147">
        <v>24.04</v>
      </c>
      <c r="K147">
        <v>0</v>
      </c>
    </row>
    <row r="148" spans="1:11" x14ac:dyDescent="0.3">
      <c r="A148">
        <v>147</v>
      </c>
      <c r="B148">
        <v>52</v>
      </c>
      <c r="C148">
        <v>5</v>
      </c>
      <c r="D148">
        <v>135</v>
      </c>
      <c r="E148" t="s">
        <v>651</v>
      </c>
      <c r="F148">
        <v>3.22</v>
      </c>
      <c r="G148" t="s">
        <v>623</v>
      </c>
      <c r="H148" s="1">
        <v>45967.422164351854</v>
      </c>
      <c r="I148" t="s">
        <v>630</v>
      </c>
      <c r="J148">
        <v>3.22</v>
      </c>
      <c r="K148">
        <v>0</v>
      </c>
    </row>
    <row r="149" spans="1:11" x14ac:dyDescent="0.3">
      <c r="A149">
        <v>148</v>
      </c>
      <c r="B149">
        <v>287</v>
      </c>
      <c r="C149">
        <v>4</v>
      </c>
      <c r="D149">
        <v>136</v>
      </c>
      <c r="E149" t="s">
        <v>651</v>
      </c>
      <c r="F149">
        <v>2.34</v>
      </c>
      <c r="G149" t="s">
        <v>623</v>
      </c>
      <c r="H149" s="1">
        <v>45967.476967592593</v>
      </c>
      <c r="I149" t="s">
        <v>630</v>
      </c>
      <c r="J149">
        <v>2.34</v>
      </c>
      <c r="K149">
        <v>0</v>
      </c>
    </row>
    <row r="150" spans="1:11" x14ac:dyDescent="0.3">
      <c r="A150">
        <v>149</v>
      </c>
      <c r="B150">
        <v>39</v>
      </c>
      <c r="C150">
        <v>4</v>
      </c>
      <c r="D150">
        <v>137</v>
      </c>
      <c r="E150" t="s">
        <v>651</v>
      </c>
      <c r="F150">
        <v>23.85</v>
      </c>
      <c r="G150" t="s">
        <v>623</v>
      </c>
      <c r="H150" s="1">
        <v>45967.630185185182</v>
      </c>
      <c r="I150" t="s">
        <v>630</v>
      </c>
      <c r="J150">
        <v>23.85</v>
      </c>
      <c r="K150">
        <v>0</v>
      </c>
    </row>
    <row r="151" spans="1:11" x14ac:dyDescent="0.3">
      <c r="A151">
        <v>150</v>
      </c>
      <c r="B151">
        <v>57</v>
      </c>
      <c r="C151">
        <v>1</v>
      </c>
      <c r="E151" t="s">
        <v>649</v>
      </c>
      <c r="F151">
        <v>7.79</v>
      </c>
      <c r="G151" t="s">
        <v>656</v>
      </c>
      <c r="H151" s="1">
        <v>45968.040034722224</v>
      </c>
      <c r="I151" t="s">
        <v>630</v>
      </c>
      <c r="J151">
        <v>0</v>
      </c>
      <c r="K151">
        <v>0</v>
      </c>
    </row>
    <row r="152" spans="1:11" x14ac:dyDescent="0.3">
      <c r="A152">
        <v>151</v>
      </c>
      <c r="B152">
        <v>29</v>
      </c>
      <c r="C152">
        <v>1</v>
      </c>
      <c r="E152" t="s">
        <v>649</v>
      </c>
      <c r="F152">
        <v>16.829999999999998</v>
      </c>
      <c r="G152" t="s">
        <v>653</v>
      </c>
      <c r="H152" s="1">
        <v>45968.154131944444</v>
      </c>
      <c r="I152" t="s">
        <v>630</v>
      </c>
      <c r="J152">
        <v>0</v>
      </c>
      <c r="K152">
        <v>0</v>
      </c>
    </row>
    <row r="153" spans="1:11" x14ac:dyDescent="0.3">
      <c r="A153">
        <v>152</v>
      </c>
      <c r="B153">
        <v>16</v>
      </c>
      <c r="C153">
        <v>3</v>
      </c>
      <c r="D153">
        <v>138</v>
      </c>
      <c r="E153" t="s">
        <v>651</v>
      </c>
      <c r="F153">
        <v>26.28</v>
      </c>
      <c r="G153" t="s">
        <v>623</v>
      </c>
      <c r="H153" s="1">
        <v>45968.359027777777</v>
      </c>
      <c r="I153" t="s">
        <v>630</v>
      </c>
      <c r="J153">
        <v>26.28</v>
      </c>
      <c r="K153">
        <v>0</v>
      </c>
    </row>
    <row r="154" spans="1:11" x14ac:dyDescent="0.3">
      <c r="A154">
        <v>153</v>
      </c>
      <c r="B154">
        <v>48</v>
      </c>
      <c r="C154">
        <v>5</v>
      </c>
      <c r="D154">
        <v>139</v>
      </c>
      <c r="E154" t="s">
        <v>651</v>
      </c>
      <c r="F154">
        <v>13.34</v>
      </c>
      <c r="G154" t="s">
        <v>623</v>
      </c>
      <c r="H154" s="1">
        <v>45968.388379629629</v>
      </c>
      <c r="I154" t="s">
        <v>630</v>
      </c>
      <c r="J154">
        <v>13.34</v>
      </c>
      <c r="K154">
        <v>0</v>
      </c>
    </row>
    <row r="155" spans="1:11" x14ac:dyDescent="0.3">
      <c r="A155">
        <v>154</v>
      </c>
      <c r="B155">
        <v>39</v>
      </c>
      <c r="C155">
        <v>4</v>
      </c>
      <c r="D155">
        <v>140</v>
      </c>
      <c r="E155" t="s">
        <v>651</v>
      </c>
      <c r="F155">
        <v>22</v>
      </c>
      <c r="G155" t="s">
        <v>623</v>
      </c>
      <c r="H155" s="1">
        <v>45968.440833333334</v>
      </c>
      <c r="I155" t="s">
        <v>630</v>
      </c>
      <c r="J155">
        <v>22</v>
      </c>
      <c r="K155">
        <v>0</v>
      </c>
    </row>
    <row r="156" spans="1:11" x14ac:dyDescent="0.3">
      <c r="A156">
        <v>155</v>
      </c>
      <c r="B156">
        <v>94</v>
      </c>
      <c r="C156">
        <v>4</v>
      </c>
      <c r="D156">
        <v>141</v>
      </c>
      <c r="E156" t="s">
        <v>651</v>
      </c>
      <c r="F156">
        <v>18.66</v>
      </c>
      <c r="G156" t="s">
        <v>623</v>
      </c>
      <c r="H156" s="1">
        <v>45968.466087962966</v>
      </c>
      <c r="I156" t="s">
        <v>630</v>
      </c>
      <c r="J156">
        <v>18.66</v>
      </c>
      <c r="K156">
        <v>0</v>
      </c>
    </row>
    <row r="157" spans="1:11" x14ac:dyDescent="0.3">
      <c r="A157">
        <v>156</v>
      </c>
      <c r="B157">
        <v>12</v>
      </c>
      <c r="C157">
        <v>4</v>
      </c>
      <c r="D157">
        <v>142</v>
      </c>
      <c r="E157" t="s">
        <v>651</v>
      </c>
      <c r="F157">
        <v>3.86</v>
      </c>
      <c r="G157" t="s">
        <v>623</v>
      </c>
      <c r="H157" s="1">
        <v>45968.47892361111</v>
      </c>
      <c r="I157" t="s">
        <v>630</v>
      </c>
      <c r="J157">
        <v>3.86</v>
      </c>
      <c r="K157">
        <v>0</v>
      </c>
    </row>
    <row r="158" spans="1:11" x14ac:dyDescent="0.3">
      <c r="A158">
        <v>157</v>
      </c>
      <c r="B158">
        <v>27</v>
      </c>
      <c r="C158">
        <v>2</v>
      </c>
      <c r="D158">
        <v>143</v>
      </c>
      <c r="E158" t="s">
        <v>651</v>
      </c>
      <c r="F158">
        <v>9.76</v>
      </c>
      <c r="G158" t="s">
        <v>623</v>
      </c>
      <c r="H158" s="1">
        <v>45968.499618055554</v>
      </c>
      <c r="I158" t="s">
        <v>630</v>
      </c>
      <c r="J158">
        <v>9.76</v>
      </c>
      <c r="K158">
        <v>0</v>
      </c>
    </row>
    <row r="159" spans="1:11" x14ac:dyDescent="0.3">
      <c r="A159">
        <v>158</v>
      </c>
      <c r="B159">
        <v>42</v>
      </c>
      <c r="C159">
        <v>4</v>
      </c>
      <c r="D159">
        <v>144</v>
      </c>
      <c r="E159" t="s">
        <v>651</v>
      </c>
      <c r="F159">
        <v>3.21</v>
      </c>
      <c r="G159" t="s">
        <v>623</v>
      </c>
      <c r="H159" s="1">
        <v>45968.512465277781</v>
      </c>
      <c r="I159" t="s">
        <v>630</v>
      </c>
      <c r="J159">
        <v>3.21</v>
      </c>
      <c r="K159">
        <v>0</v>
      </c>
    </row>
    <row r="160" spans="1:11" x14ac:dyDescent="0.3">
      <c r="A160">
        <v>159</v>
      </c>
      <c r="B160">
        <v>39</v>
      </c>
      <c r="C160">
        <v>3</v>
      </c>
      <c r="D160">
        <v>145</v>
      </c>
      <c r="E160" t="s">
        <v>651</v>
      </c>
      <c r="F160">
        <v>16.79</v>
      </c>
      <c r="G160" t="s">
        <v>623</v>
      </c>
      <c r="H160" s="1">
        <v>45968.549375000002</v>
      </c>
      <c r="I160" t="s">
        <v>630</v>
      </c>
      <c r="J160">
        <v>16.79</v>
      </c>
      <c r="K160">
        <v>0</v>
      </c>
    </row>
    <row r="161" spans="1:11" x14ac:dyDescent="0.3">
      <c r="A161">
        <v>160</v>
      </c>
      <c r="B161">
        <v>296</v>
      </c>
      <c r="C161">
        <v>1</v>
      </c>
      <c r="E161" t="s">
        <v>649</v>
      </c>
      <c r="F161">
        <v>8.75</v>
      </c>
      <c r="G161" t="s">
        <v>650</v>
      </c>
      <c r="H161" s="1">
        <v>45968.555555555555</v>
      </c>
      <c r="I161" t="s">
        <v>630</v>
      </c>
      <c r="J161">
        <v>0</v>
      </c>
      <c r="K161">
        <v>0</v>
      </c>
    </row>
    <row r="162" spans="1:11" x14ac:dyDescent="0.3">
      <c r="A162">
        <v>161</v>
      </c>
      <c r="B162">
        <v>85</v>
      </c>
      <c r="C162">
        <v>4</v>
      </c>
      <c r="D162">
        <v>146</v>
      </c>
      <c r="E162" t="s">
        <v>651</v>
      </c>
      <c r="F162">
        <v>9.99</v>
      </c>
      <c r="G162" t="s">
        <v>623</v>
      </c>
      <c r="H162" s="1">
        <v>45968.561423611114</v>
      </c>
      <c r="I162" t="s">
        <v>630</v>
      </c>
      <c r="J162">
        <v>9.99</v>
      </c>
      <c r="K162">
        <v>0</v>
      </c>
    </row>
    <row r="163" spans="1:11" x14ac:dyDescent="0.3">
      <c r="A163">
        <v>162</v>
      </c>
      <c r="B163">
        <v>70</v>
      </c>
      <c r="C163">
        <v>2</v>
      </c>
      <c r="D163">
        <v>147</v>
      </c>
      <c r="E163" t="s">
        <v>651</v>
      </c>
      <c r="F163">
        <v>13.69</v>
      </c>
      <c r="G163" t="s">
        <v>623</v>
      </c>
      <c r="H163" s="1">
        <v>45968.63003472222</v>
      </c>
      <c r="I163" t="s">
        <v>630</v>
      </c>
      <c r="J163">
        <v>13.69</v>
      </c>
      <c r="K163">
        <v>0</v>
      </c>
    </row>
    <row r="164" spans="1:11" x14ac:dyDescent="0.3">
      <c r="A164">
        <v>163</v>
      </c>
      <c r="B164">
        <v>279</v>
      </c>
      <c r="C164">
        <v>4</v>
      </c>
      <c r="D164">
        <v>148</v>
      </c>
      <c r="E164" t="s">
        <v>651</v>
      </c>
      <c r="F164">
        <v>10.23</v>
      </c>
      <c r="G164" t="s">
        <v>623</v>
      </c>
      <c r="H164" s="1">
        <v>45968.785752314812</v>
      </c>
      <c r="I164" t="s">
        <v>630</v>
      </c>
      <c r="J164">
        <v>10.23</v>
      </c>
      <c r="K164">
        <v>0</v>
      </c>
    </row>
    <row r="165" spans="1:11" x14ac:dyDescent="0.3">
      <c r="A165">
        <v>164</v>
      </c>
      <c r="B165">
        <v>28</v>
      </c>
      <c r="C165">
        <v>1</v>
      </c>
      <c r="E165" t="s">
        <v>649</v>
      </c>
      <c r="F165">
        <v>26.55</v>
      </c>
      <c r="G165" t="s">
        <v>660</v>
      </c>
      <c r="H165" s="1">
        <v>45968.788287037038</v>
      </c>
      <c r="I165" t="s">
        <v>630</v>
      </c>
      <c r="J165">
        <v>0</v>
      </c>
      <c r="K165">
        <v>0</v>
      </c>
    </row>
    <row r="166" spans="1:11" x14ac:dyDescent="0.3">
      <c r="A166">
        <v>165</v>
      </c>
      <c r="B166">
        <v>69</v>
      </c>
      <c r="C166">
        <v>5</v>
      </c>
      <c r="D166">
        <v>149</v>
      </c>
      <c r="E166" t="s">
        <v>651</v>
      </c>
      <c r="F166">
        <v>3.29</v>
      </c>
      <c r="G166" t="s">
        <v>623</v>
      </c>
      <c r="H166" s="1">
        <v>45968.827627314815</v>
      </c>
      <c r="I166" t="s">
        <v>630</v>
      </c>
      <c r="J166">
        <v>3.29</v>
      </c>
      <c r="K166">
        <v>0</v>
      </c>
    </row>
    <row r="167" spans="1:11" x14ac:dyDescent="0.3">
      <c r="A167">
        <v>166</v>
      </c>
      <c r="B167">
        <v>215</v>
      </c>
      <c r="C167">
        <v>2</v>
      </c>
      <c r="D167">
        <v>150</v>
      </c>
      <c r="E167" t="s">
        <v>651</v>
      </c>
      <c r="F167">
        <v>2.56</v>
      </c>
      <c r="G167" t="s">
        <v>623</v>
      </c>
      <c r="H167" s="1">
        <v>45969.295347222222</v>
      </c>
      <c r="I167" t="s">
        <v>630</v>
      </c>
      <c r="J167">
        <v>2.56</v>
      </c>
      <c r="K167">
        <v>0</v>
      </c>
    </row>
    <row r="168" spans="1:11" x14ac:dyDescent="0.3">
      <c r="A168">
        <v>167</v>
      </c>
      <c r="B168">
        <v>155</v>
      </c>
      <c r="C168">
        <v>4</v>
      </c>
      <c r="D168">
        <v>151</v>
      </c>
      <c r="E168" t="s">
        <v>651</v>
      </c>
      <c r="F168">
        <v>1.76</v>
      </c>
      <c r="G168" t="s">
        <v>623</v>
      </c>
      <c r="H168" s="1">
        <v>45969.381655092591</v>
      </c>
      <c r="I168" t="s">
        <v>630</v>
      </c>
      <c r="J168">
        <v>1.76</v>
      </c>
      <c r="K168">
        <v>0</v>
      </c>
    </row>
    <row r="169" spans="1:11" x14ac:dyDescent="0.3">
      <c r="A169">
        <v>168</v>
      </c>
      <c r="B169">
        <v>24</v>
      </c>
      <c r="C169">
        <v>5</v>
      </c>
      <c r="D169">
        <v>152</v>
      </c>
      <c r="E169" t="s">
        <v>651</v>
      </c>
      <c r="F169">
        <v>8</v>
      </c>
      <c r="G169" t="s">
        <v>623</v>
      </c>
      <c r="H169" s="1">
        <v>45969.396018518521</v>
      </c>
      <c r="I169" t="s">
        <v>630</v>
      </c>
      <c r="J169">
        <v>8</v>
      </c>
      <c r="K169">
        <v>0</v>
      </c>
    </row>
    <row r="170" spans="1:11" x14ac:dyDescent="0.3">
      <c r="A170">
        <v>169</v>
      </c>
      <c r="B170">
        <v>279</v>
      </c>
      <c r="C170">
        <v>5</v>
      </c>
      <c r="D170">
        <v>153</v>
      </c>
      <c r="E170" t="s">
        <v>651</v>
      </c>
      <c r="F170">
        <v>24.76</v>
      </c>
      <c r="G170" t="s">
        <v>623</v>
      </c>
      <c r="H170" s="1">
        <v>45969.397939814815</v>
      </c>
      <c r="I170" t="s">
        <v>630</v>
      </c>
      <c r="J170">
        <v>24.76</v>
      </c>
      <c r="K170">
        <v>0</v>
      </c>
    </row>
    <row r="171" spans="1:11" x14ac:dyDescent="0.3">
      <c r="A171">
        <v>170</v>
      </c>
      <c r="B171">
        <v>21</v>
      </c>
      <c r="C171">
        <v>3</v>
      </c>
      <c r="D171">
        <v>154</v>
      </c>
      <c r="E171" t="s">
        <v>651</v>
      </c>
      <c r="F171">
        <v>1.43</v>
      </c>
      <c r="G171" t="s">
        <v>623</v>
      </c>
      <c r="H171" s="1">
        <v>45969.417025462964</v>
      </c>
      <c r="I171" t="s">
        <v>630</v>
      </c>
      <c r="J171">
        <v>1.43</v>
      </c>
      <c r="K171">
        <v>0</v>
      </c>
    </row>
    <row r="172" spans="1:11" x14ac:dyDescent="0.3">
      <c r="A172">
        <v>171</v>
      </c>
      <c r="B172">
        <v>15</v>
      </c>
      <c r="C172">
        <v>4</v>
      </c>
      <c r="D172">
        <v>155</v>
      </c>
      <c r="E172" t="s">
        <v>651</v>
      </c>
      <c r="F172">
        <v>9.4</v>
      </c>
      <c r="G172" t="s">
        <v>623</v>
      </c>
      <c r="H172" s="1">
        <v>45969.471203703702</v>
      </c>
      <c r="I172" t="s">
        <v>630</v>
      </c>
      <c r="J172">
        <v>9.4</v>
      </c>
      <c r="K172">
        <v>0</v>
      </c>
    </row>
    <row r="173" spans="1:11" x14ac:dyDescent="0.3">
      <c r="A173">
        <v>172</v>
      </c>
      <c r="B173">
        <v>21</v>
      </c>
      <c r="C173">
        <v>4</v>
      </c>
      <c r="D173">
        <v>156</v>
      </c>
      <c r="E173" t="s">
        <v>651</v>
      </c>
      <c r="F173">
        <v>2.3199999999999998</v>
      </c>
      <c r="G173" t="s">
        <v>623</v>
      </c>
      <c r="H173" s="1">
        <v>45969.487395833334</v>
      </c>
      <c r="I173" t="s">
        <v>630</v>
      </c>
      <c r="J173">
        <v>2.3199999999999998</v>
      </c>
      <c r="K173">
        <v>0</v>
      </c>
    </row>
    <row r="174" spans="1:11" x14ac:dyDescent="0.3">
      <c r="A174">
        <v>173</v>
      </c>
      <c r="B174">
        <v>18</v>
      </c>
      <c r="C174">
        <v>2</v>
      </c>
      <c r="D174">
        <v>157</v>
      </c>
      <c r="E174" t="s">
        <v>651</v>
      </c>
      <c r="F174">
        <v>8.36</v>
      </c>
      <c r="G174" t="s">
        <v>623</v>
      </c>
      <c r="H174" s="1">
        <v>45969.491435185184</v>
      </c>
      <c r="I174" t="s">
        <v>630</v>
      </c>
      <c r="J174">
        <v>8.36</v>
      </c>
      <c r="K174">
        <v>0</v>
      </c>
    </row>
    <row r="175" spans="1:11" x14ac:dyDescent="0.3">
      <c r="A175">
        <v>174</v>
      </c>
      <c r="B175">
        <v>54</v>
      </c>
      <c r="C175">
        <v>2</v>
      </c>
      <c r="D175">
        <v>158</v>
      </c>
      <c r="E175" t="s">
        <v>651</v>
      </c>
      <c r="F175">
        <v>2.72</v>
      </c>
      <c r="G175" t="s">
        <v>623</v>
      </c>
      <c r="H175" s="1">
        <v>45969.521053240744</v>
      </c>
      <c r="I175" t="s">
        <v>630</v>
      </c>
      <c r="J175">
        <v>2.72</v>
      </c>
      <c r="K175">
        <v>0</v>
      </c>
    </row>
    <row r="176" spans="1:11" x14ac:dyDescent="0.3">
      <c r="A176">
        <v>175</v>
      </c>
      <c r="B176">
        <v>39</v>
      </c>
      <c r="C176">
        <v>3</v>
      </c>
      <c r="D176">
        <v>159</v>
      </c>
      <c r="E176" t="s">
        <v>651</v>
      </c>
      <c r="F176">
        <v>16.3</v>
      </c>
      <c r="G176" t="s">
        <v>623</v>
      </c>
      <c r="H176" s="1">
        <v>45969.57230324074</v>
      </c>
      <c r="I176" t="s">
        <v>630</v>
      </c>
      <c r="J176">
        <v>16.3</v>
      </c>
      <c r="K176">
        <v>0</v>
      </c>
    </row>
    <row r="177" spans="1:11" x14ac:dyDescent="0.3">
      <c r="A177">
        <v>176</v>
      </c>
      <c r="B177">
        <v>54</v>
      </c>
      <c r="C177">
        <v>3</v>
      </c>
      <c r="D177">
        <v>160</v>
      </c>
      <c r="E177" t="s">
        <v>651</v>
      </c>
      <c r="F177">
        <v>3.5</v>
      </c>
      <c r="G177" t="s">
        <v>623</v>
      </c>
      <c r="H177" s="1">
        <v>45969.592222222222</v>
      </c>
      <c r="I177" t="s">
        <v>630</v>
      </c>
      <c r="J177">
        <v>3.5</v>
      </c>
      <c r="K177">
        <v>0</v>
      </c>
    </row>
    <row r="178" spans="1:11" x14ac:dyDescent="0.3">
      <c r="A178">
        <v>177</v>
      </c>
      <c r="B178">
        <v>44</v>
      </c>
      <c r="C178">
        <v>5</v>
      </c>
      <c r="D178">
        <v>161</v>
      </c>
      <c r="E178" t="s">
        <v>651</v>
      </c>
      <c r="F178">
        <v>2.5099999999999998</v>
      </c>
      <c r="G178" t="s">
        <v>623</v>
      </c>
      <c r="H178" s="1">
        <v>45969.6250462963</v>
      </c>
      <c r="I178" t="s">
        <v>630</v>
      </c>
      <c r="J178">
        <v>2.5099999999999998</v>
      </c>
      <c r="K178">
        <v>0</v>
      </c>
    </row>
    <row r="179" spans="1:11" x14ac:dyDescent="0.3">
      <c r="A179">
        <v>178</v>
      </c>
      <c r="B179">
        <v>202</v>
      </c>
      <c r="C179">
        <v>3</v>
      </c>
      <c r="D179">
        <v>162</v>
      </c>
      <c r="E179" t="s">
        <v>651</v>
      </c>
      <c r="F179">
        <v>1.9</v>
      </c>
      <c r="G179" t="s">
        <v>623</v>
      </c>
      <c r="H179" s="1">
        <v>45969.641493055555</v>
      </c>
      <c r="I179" t="s">
        <v>630</v>
      </c>
      <c r="J179">
        <v>1.9</v>
      </c>
      <c r="K179">
        <v>0</v>
      </c>
    </row>
    <row r="180" spans="1:11" x14ac:dyDescent="0.3">
      <c r="A180">
        <v>179</v>
      </c>
      <c r="B180">
        <v>138</v>
      </c>
      <c r="C180">
        <v>4</v>
      </c>
      <c r="D180">
        <v>163</v>
      </c>
      <c r="E180" t="s">
        <v>651</v>
      </c>
      <c r="F180">
        <v>3.32</v>
      </c>
      <c r="G180" t="s">
        <v>623</v>
      </c>
      <c r="H180" s="1">
        <v>45969.642465277779</v>
      </c>
      <c r="I180" t="s">
        <v>630</v>
      </c>
      <c r="J180">
        <v>3.32</v>
      </c>
      <c r="K180">
        <v>0</v>
      </c>
    </row>
    <row r="181" spans="1:11" x14ac:dyDescent="0.3">
      <c r="A181">
        <v>180</v>
      </c>
      <c r="B181">
        <v>202</v>
      </c>
      <c r="C181">
        <v>3</v>
      </c>
      <c r="D181">
        <v>164</v>
      </c>
      <c r="E181" t="s">
        <v>651</v>
      </c>
      <c r="F181">
        <v>4.2699999999999996</v>
      </c>
      <c r="G181" t="s">
        <v>623</v>
      </c>
      <c r="H181" s="1">
        <v>45969.692442129628</v>
      </c>
      <c r="I181" t="s">
        <v>630</v>
      </c>
      <c r="J181">
        <v>4.2699999999999996</v>
      </c>
      <c r="K181">
        <v>0</v>
      </c>
    </row>
    <row r="182" spans="1:11" x14ac:dyDescent="0.3">
      <c r="A182">
        <v>181</v>
      </c>
      <c r="B182">
        <v>13</v>
      </c>
      <c r="C182">
        <v>3</v>
      </c>
      <c r="D182">
        <v>165</v>
      </c>
      <c r="E182" t="s">
        <v>651</v>
      </c>
      <c r="F182">
        <v>3.75</v>
      </c>
      <c r="G182" t="s">
        <v>623</v>
      </c>
      <c r="H182" s="1">
        <v>45969.709803240738</v>
      </c>
      <c r="I182" t="s">
        <v>630</v>
      </c>
      <c r="J182">
        <v>3.75</v>
      </c>
      <c r="K182">
        <v>0</v>
      </c>
    </row>
    <row r="183" spans="1:11" x14ac:dyDescent="0.3">
      <c r="A183">
        <v>182</v>
      </c>
      <c r="B183">
        <v>117</v>
      </c>
      <c r="C183">
        <v>3</v>
      </c>
      <c r="D183">
        <v>166</v>
      </c>
      <c r="E183" t="s">
        <v>651</v>
      </c>
      <c r="F183">
        <v>7.08</v>
      </c>
      <c r="G183" t="s">
        <v>623</v>
      </c>
      <c r="H183" s="1">
        <v>45969.714178240742</v>
      </c>
      <c r="I183" t="s">
        <v>630</v>
      </c>
      <c r="J183">
        <v>7.08</v>
      </c>
      <c r="K183">
        <v>0</v>
      </c>
    </row>
    <row r="184" spans="1:11" x14ac:dyDescent="0.3">
      <c r="A184">
        <v>183</v>
      </c>
      <c r="B184">
        <v>12</v>
      </c>
      <c r="C184">
        <v>5</v>
      </c>
      <c r="D184">
        <v>167</v>
      </c>
      <c r="E184" t="s">
        <v>651</v>
      </c>
      <c r="F184">
        <v>3.06</v>
      </c>
      <c r="G184" t="s">
        <v>623</v>
      </c>
      <c r="H184" s="1">
        <v>45969.718402777777</v>
      </c>
      <c r="I184" t="s">
        <v>630</v>
      </c>
      <c r="J184">
        <v>3.06</v>
      </c>
      <c r="K184">
        <v>0</v>
      </c>
    </row>
    <row r="185" spans="1:11" x14ac:dyDescent="0.3">
      <c r="A185">
        <v>184</v>
      </c>
      <c r="B185">
        <v>39</v>
      </c>
      <c r="C185">
        <v>5</v>
      </c>
      <c r="D185">
        <v>168</v>
      </c>
      <c r="E185" t="s">
        <v>651</v>
      </c>
      <c r="F185">
        <v>14.75</v>
      </c>
      <c r="G185" t="s">
        <v>623</v>
      </c>
      <c r="H185" s="1">
        <v>45970.312048611115</v>
      </c>
      <c r="I185" t="s">
        <v>630</v>
      </c>
      <c r="J185">
        <v>14.75</v>
      </c>
      <c r="K185">
        <v>0</v>
      </c>
    </row>
    <row r="186" spans="1:11" x14ac:dyDescent="0.3">
      <c r="A186">
        <v>185</v>
      </c>
      <c r="B186">
        <v>117</v>
      </c>
      <c r="C186">
        <v>2</v>
      </c>
      <c r="D186">
        <v>166</v>
      </c>
      <c r="E186" t="s">
        <v>649</v>
      </c>
      <c r="F186">
        <v>-7.08</v>
      </c>
      <c r="G186" t="s">
        <v>661</v>
      </c>
      <c r="H186" s="1">
        <v>45970.547511574077</v>
      </c>
      <c r="I186" t="s">
        <v>630</v>
      </c>
      <c r="J186">
        <v>0</v>
      </c>
      <c r="K186">
        <v>0</v>
      </c>
    </row>
    <row r="187" spans="1:11" x14ac:dyDescent="0.3">
      <c r="A187">
        <v>186</v>
      </c>
      <c r="B187">
        <v>65</v>
      </c>
      <c r="C187">
        <v>2</v>
      </c>
      <c r="D187">
        <v>169</v>
      </c>
      <c r="E187" t="s">
        <v>651</v>
      </c>
      <c r="F187">
        <v>3.38</v>
      </c>
      <c r="G187" t="s">
        <v>623</v>
      </c>
      <c r="H187" s="1">
        <v>45970.697824074072</v>
      </c>
      <c r="I187" t="s">
        <v>630</v>
      </c>
      <c r="J187">
        <v>3.38</v>
      </c>
      <c r="K187">
        <v>0</v>
      </c>
    </row>
    <row r="188" spans="1:11" x14ac:dyDescent="0.3">
      <c r="A188">
        <v>187</v>
      </c>
      <c r="B188">
        <v>34</v>
      </c>
      <c r="C188">
        <v>5</v>
      </c>
      <c r="D188">
        <v>170</v>
      </c>
      <c r="E188" t="s">
        <v>651</v>
      </c>
      <c r="F188">
        <v>11.77</v>
      </c>
      <c r="G188" t="s">
        <v>623</v>
      </c>
      <c r="H188" s="1">
        <v>45970.703032407408</v>
      </c>
      <c r="I188" t="s">
        <v>630</v>
      </c>
      <c r="J188">
        <v>11.77</v>
      </c>
      <c r="K188">
        <v>0</v>
      </c>
    </row>
    <row r="189" spans="1:11" x14ac:dyDescent="0.3">
      <c r="A189">
        <v>188</v>
      </c>
      <c r="B189">
        <v>69</v>
      </c>
      <c r="C189">
        <v>5</v>
      </c>
      <c r="D189">
        <v>171</v>
      </c>
      <c r="E189" t="s">
        <v>651</v>
      </c>
      <c r="F189">
        <v>2.3199999999999998</v>
      </c>
      <c r="G189" t="s">
        <v>623</v>
      </c>
      <c r="H189" s="1">
        <v>45971.381203703706</v>
      </c>
      <c r="I189" t="s">
        <v>630</v>
      </c>
      <c r="J189">
        <v>2.3199999999999998</v>
      </c>
      <c r="K189">
        <v>0</v>
      </c>
    </row>
    <row r="190" spans="1:11" x14ac:dyDescent="0.3">
      <c r="A190">
        <v>189</v>
      </c>
      <c r="B190">
        <v>69</v>
      </c>
      <c r="C190">
        <v>5</v>
      </c>
      <c r="D190">
        <v>172</v>
      </c>
      <c r="E190" t="s">
        <v>651</v>
      </c>
      <c r="F190">
        <v>5.14</v>
      </c>
      <c r="G190" t="s">
        <v>623</v>
      </c>
      <c r="H190" s="1">
        <v>45971.401250000003</v>
      </c>
      <c r="I190" t="s">
        <v>630</v>
      </c>
      <c r="J190">
        <v>5.14</v>
      </c>
      <c r="K190">
        <v>0</v>
      </c>
    </row>
    <row r="191" spans="1:11" x14ac:dyDescent="0.3">
      <c r="A191">
        <v>190</v>
      </c>
      <c r="B191">
        <v>39</v>
      </c>
      <c r="C191">
        <v>3</v>
      </c>
      <c r="D191">
        <v>173</v>
      </c>
      <c r="E191" t="s">
        <v>651</v>
      </c>
      <c r="F191">
        <v>20.010000000000002</v>
      </c>
      <c r="G191" t="s">
        <v>623</v>
      </c>
      <c r="H191" s="1">
        <v>45971.402777777781</v>
      </c>
      <c r="I191" t="s">
        <v>630</v>
      </c>
      <c r="J191">
        <v>20.010000000000002</v>
      </c>
      <c r="K191">
        <v>0</v>
      </c>
    </row>
    <row r="192" spans="1:11" x14ac:dyDescent="0.3">
      <c r="A192">
        <v>191</v>
      </c>
      <c r="B192">
        <v>39</v>
      </c>
      <c r="C192">
        <v>5</v>
      </c>
      <c r="D192">
        <v>174</v>
      </c>
      <c r="E192" t="s">
        <v>651</v>
      </c>
      <c r="F192">
        <v>30</v>
      </c>
      <c r="G192" t="s">
        <v>623</v>
      </c>
      <c r="H192" s="1">
        <v>45971.408472222225</v>
      </c>
      <c r="I192" t="s">
        <v>630</v>
      </c>
      <c r="J192">
        <v>30</v>
      </c>
      <c r="K192">
        <v>0</v>
      </c>
    </row>
    <row r="193" spans="1:11" x14ac:dyDescent="0.3">
      <c r="A193">
        <v>192</v>
      </c>
      <c r="B193">
        <v>31</v>
      </c>
      <c r="C193">
        <v>3</v>
      </c>
      <c r="D193">
        <v>175</v>
      </c>
      <c r="E193" t="s">
        <v>651</v>
      </c>
      <c r="F193">
        <v>2.64</v>
      </c>
      <c r="G193" t="s">
        <v>623</v>
      </c>
      <c r="H193" s="1">
        <v>45971.422523148147</v>
      </c>
      <c r="I193" t="s">
        <v>630</v>
      </c>
      <c r="J193">
        <v>2.64</v>
      </c>
      <c r="K193">
        <v>0</v>
      </c>
    </row>
    <row r="194" spans="1:11" x14ac:dyDescent="0.3">
      <c r="A194">
        <v>193</v>
      </c>
      <c r="B194">
        <v>44</v>
      </c>
      <c r="C194">
        <v>3</v>
      </c>
      <c r="D194">
        <v>176</v>
      </c>
      <c r="E194" t="s">
        <v>651</v>
      </c>
      <c r="F194">
        <v>5.07</v>
      </c>
      <c r="G194" t="s">
        <v>623</v>
      </c>
      <c r="H194" s="1">
        <v>45971.486481481479</v>
      </c>
      <c r="I194" t="s">
        <v>630</v>
      </c>
      <c r="J194">
        <v>5.07</v>
      </c>
      <c r="K194">
        <v>0</v>
      </c>
    </row>
    <row r="195" spans="1:11" x14ac:dyDescent="0.3">
      <c r="A195">
        <v>194</v>
      </c>
      <c r="B195">
        <v>48</v>
      </c>
      <c r="C195">
        <v>3</v>
      </c>
      <c r="D195">
        <v>177</v>
      </c>
      <c r="E195" t="s">
        <v>651</v>
      </c>
      <c r="F195">
        <v>9.39</v>
      </c>
      <c r="G195" t="s">
        <v>623</v>
      </c>
      <c r="H195" s="1">
        <v>45971.512650462966</v>
      </c>
      <c r="I195" t="s">
        <v>630</v>
      </c>
      <c r="J195">
        <v>9.39</v>
      </c>
      <c r="K195">
        <v>0</v>
      </c>
    </row>
    <row r="196" spans="1:11" x14ac:dyDescent="0.3">
      <c r="A196">
        <v>195</v>
      </c>
      <c r="B196">
        <v>154</v>
      </c>
      <c r="C196">
        <v>4</v>
      </c>
      <c r="D196">
        <v>178</v>
      </c>
      <c r="E196" t="s">
        <v>651</v>
      </c>
      <c r="F196">
        <v>3.52</v>
      </c>
      <c r="G196" t="s">
        <v>623</v>
      </c>
      <c r="H196" s="1">
        <v>45971.518275462964</v>
      </c>
      <c r="I196" t="s">
        <v>630</v>
      </c>
      <c r="J196">
        <v>3.52</v>
      </c>
      <c r="K196">
        <v>0</v>
      </c>
    </row>
    <row r="197" spans="1:11" x14ac:dyDescent="0.3">
      <c r="A197">
        <v>196</v>
      </c>
      <c r="B197">
        <v>16</v>
      </c>
      <c r="C197">
        <v>3</v>
      </c>
      <c r="D197">
        <v>179</v>
      </c>
      <c r="E197" t="s">
        <v>651</v>
      </c>
      <c r="F197">
        <v>15.35</v>
      </c>
      <c r="G197" t="s">
        <v>623</v>
      </c>
      <c r="H197" s="1">
        <v>45971.571793981479</v>
      </c>
      <c r="I197" t="s">
        <v>630</v>
      </c>
      <c r="J197">
        <v>15.35</v>
      </c>
      <c r="K197">
        <v>0</v>
      </c>
    </row>
    <row r="198" spans="1:11" x14ac:dyDescent="0.3">
      <c r="A198">
        <v>197</v>
      </c>
      <c r="B198">
        <v>152</v>
      </c>
      <c r="C198">
        <v>5</v>
      </c>
      <c r="D198">
        <v>180</v>
      </c>
      <c r="E198" t="s">
        <v>651</v>
      </c>
      <c r="F198">
        <v>8</v>
      </c>
      <c r="G198" t="s">
        <v>623</v>
      </c>
      <c r="H198" s="1">
        <v>45971.696898148148</v>
      </c>
      <c r="I198" t="s">
        <v>630</v>
      </c>
      <c r="J198">
        <v>8</v>
      </c>
      <c r="K198">
        <v>0</v>
      </c>
    </row>
    <row r="199" spans="1:11" x14ac:dyDescent="0.3">
      <c r="A199">
        <v>198</v>
      </c>
      <c r="B199">
        <v>85</v>
      </c>
      <c r="C199">
        <v>4</v>
      </c>
      <c r="D199">
        <v>181</v>
      </c>
      <c r="E199" t="s">
        <v>651</v>
      </c>
      <c r="F199">
        <v>7.22</v>
      </c>
      <c r="G199" t="s">
        <v>623</v>
      </c>
      <c r="H199" s="1">
        <v>45971.762465277781</v>
      </c>
      <c r="I199" t="s">
        <v>630</v>
      </c>
      <c r="J199">
        <v>7.22</v>
      </c>
      <c r="K199">
        <v>0</v>
      </c>
    </row>
    <row r="200" spans="1:11" x14ac:dyDescent="0.3">
      <c r="A200">
        <v>199</v>
      </c>
      <c r="B200">
        <v>69</v>
      </c>
      <c r="C200">
        <v>2</v>
      </c>
      <c r="D200">
        <v>171</v>
      </c>
      <c r="E200" t="s">
        <v>649</v>
      </c>
      <c r="F200">
        <v>-2.3199999999999998</v>
      </c>
      <c r="G200" t="s">
        <v>662</v>
      </c>
      <c r="H200" s="1">
        <v>45971.79787037037</v>
      </c>
      <c r="I200" t="s">
        <v>630</v>
      </c>
      <c r="J200">
        <v>0</v>
      </c>
      <c r="K200">
        <v>0</v>
      </c>
    </row>
    <row r="201" spans="1:11" x14ac:dyDescent="0.3">
      <c r="A201">
        <v>200</v>
      </c>
      <c r="B201">
        <v>39</v>
      </c>
      <c r="C201">
        <v>2</v>
      </c>
      <c r="D201">
        <v>182</v>
      </c>
      <c r="E201" t="s">
        <v>651</v>
      </c>
      <c r="F201">
        <v>12.73</v>
      </c>
      <c r="G201" t="s">
        <v>623</v>
      </c>
      <c r="H201" s="1">
        <v>45972.47923611111</v>
      </c>
      <c r="I201" t="s">
        <v>630</v>
      </c>
      <c r="J201">
        <v>12.73</v>
      </c>
      <c r="K201">
        <v>0</v>
      </c>
    </row>
    <row r="202" spans="1:11" x14ac:dyDescent="0.3">
      <c r="A202">
        <v>201</v>
      </c>
      <c r="B202">
        <v>16</v>
      </c>
      <c r="C202">
        <v>5</v>
      </c>
      <c r="D202">
        <v>183</v>
      </c>
      <c r="E202" t="s">
        <v>651</v>
      </c>
      <c r="F202">
        <v>17.239999999999998</v>
      </c>
      <c r="G202" t="s">
        <v>623</v>
      </c>
      <c r="H202" s="1">
        <v>45972.594317129631</v>
      </c>
      <c r="I202" t="s">
        <v>630</v>
      </c>
      <c r="J202">
        <v>17.239999999999998</v>
      </c>
      <c r="K202">
        <v>0</v>
      </c>
    </row>
    <row r="203" spans="1:11" x14ac:dyDescent="0.3">
      <c r="A203">
        <v>202</v>
      </c>
      <c r="B203">
        <v>39</v>
      </c>
      <c r="C203">
        <v>5</v>
      </c>
      <c r="D203">
        <v>184</v>
      </c>
      <c r="E203" t="s">
        <v>651</v>
      </c>
      <c r="F203">
        <v>21.28</v>
      </c>
      <c r="G203" t="s">
        <v>623</v>
      </c>
      <c r="H203" s="1">
        <v>45972.630729166667</v>
      </c>
      <c r="I203" t="s">
        <v>630</v>
      </c>
      <c r="J203">
        <v>21.28</v>
      </c>
      <c r="K203">
        <v>0</v>
      </c>
    </row>
    <row r="204" spans="1:11" x14ac:dyDescent="0.3">
      <c r="A204">
        <v>203</v>
      </c>
      <c r="B204">
        <v>47</v>
      </c>
      <c r="C204">
        <v>3</v>
      </c>
      <c r="D204">
        <v>185</v>
      </c>
      <c r="E204" t="s">
        <v>651</v>
      </c>
      <c r="F204">
        <v>3.34</v>
      </c>
      <c r="G204" t="s">
        <v>623</v>
      </c>
      <c r="H204" s="1">
        <v>45972.634074074071</v>
      </c>
      <c r="I204" t="s">
        <v>630</v>
      </c>
      <c r="J204">
        <v>3.34</v>
      </c>
      <c r="K204">
        <v>0</v>
      </c>
    </row>
    <row r="205" spans="1:11" x14ac:dyDescent="0.3">
      <c r="A205">
        <v>204</v>
      </c>
      <c r="B205">
        <v>85</v>
      </c>
      <c r="C205">
        <v>3</v>
      </c>
      <c r="D205">
        <v>186</v>
      </c>
      <c r="E205" t="s">
        <v>651</v>
      </c>
      <c r="F205">
        <v>6.38</v>
      </c>
      <c r="G205" t="s">
        <v>623</v>
      </c>
      <c r="H205" s="1">
        <v>45972.668969907405</v>
      </c>
      <c r="I205" t="s">
        <v>630</v>
      </c>
      <c r="J205">
        <v>6.38</v>
      </c>
      <c r="K205">
        <v>0</v>
      </c>
    </row>
    <row r="206" spans="1:11" x14ac:dyDescent="0.3">
      <c r="A206">
        <v>205</v>
      </c>
      <c r="B206">
        <v>81</v>
      </c>
      <c r="C206">
        <v>3</v>
      </c>
      <c r="D206">
        <v>187</v>
      </c>
      <c r="E206" t="s">
        <v>651</v>
      </c>
      <c r="F206">
        <v>2.19</v>
      </c>
      <c r="G206" t="s">
        <v>623</v>
      </c>
      <c r="H206" s="1">
        <v>45972.671886574077</v>
      </c>
      <c r="I206" t="s">
        <v>630</v>
      </c>
      <c r="J206">
        <v>2.19</v>
      </c>
      <c r="K206">
        <v>0</v>
      </c>
    </row>
    <row r="207" spans="1:11" x14ac:dyDescent="0.3">
      <c r="A207">
        <v>206</v>
      </c>
      <c r="B207">
        <v>65</v>
      </c>
      <c r="C207">
        <v>5</v>
      </c>
      <c r="D207">
        <v>188</v>
      </c>
      <c r="E207" t="s">
        <v>651</v>
      </c>
      <c r="F207">
        <v>3.07</v>
      </c>
      <c r="G207" t="s">
        <v>623</v>
      </c>
      <c r="H207" s="1">
        <v>45972.676249999997</v>
      </c>
      <c r="I207" t="s">
        <v>630</v>
      </c>
      <c r="J207">
        <v>3.07</v>
      </c>
      <c r="K207">
        <v>0</v>
      </c>
    </row>
    <row r="208" spans="1:11" x14ac:dyDescent="0.3">
      <c r="A208">
        <v>207</v>
      </c>
      <c r="B208">
        <v>55</v>
      </c>
      <c r="C208">
        <v>3</v>
      </c>
      <c r="D208">
        <v>189</v>
      </c>
      <c r="E208" t="s">
        <v>651</v>
      </c>
      <c r="F208">
        <v>4.5599999999999996</v>
      </c>
      <c r="G208" t="s">
        <v>623</v>
      </c>
      <c r="H208" s="1">
        <v>45972.727071759262</v>
      </c>
      <c r="I208" t="s">
        <v>630</v>
      </c>
      <c r="J208">
        <v>4.5599999999999996</v>
      </c>
      <c r="K208">
        <v>0</v>
      </c>
    </row>
    <row r="209" spans="1:11" x14ac:dyDescent="0.3">
      <c r="A209">
        <v>208</v>
      </c>
      <c r="B209">
        <v>240</v>
      </c>
      <c r="C209">
        <v>4</v>
      </c>
      <c r="D209">
        <v>190</v>
      </c>
      <c r="E209" t="s">
        <v>651</v>
      </c>
      <c r="F209">
        <v>10.68</v>
      </c>
      <c r="G209" t="s">
        <v>623</v>
      </c>
      <c r="H209" s="1">
        <v>45972.819675925923</v>
      </c>
      <c r="I209" t="s">
        <v>630</v>
      </c>
      <c r="J209">
        <v>10.68</v>
      </c>
      <c r="K209">
        <v>0</v>
      </c>
    </row>
    <row r="210" spans="1:11" x14ac:dyDescent="0.3">
      <c r="A210">
        <v>209</v>
      </c>
      <c r="B210">
        <v>22</v>
      </c>
      <c r="C210">
        <v>2</v>
      </c>
      <c r="D210">
        <v>191</v>
      </c>
      <c r="E210" t="s">
        <v>651</v>
      </c>
      <c r="F210">
        <v>6.78</v>
      </c>
      <c r="G210" t="s">
        <v>623</v>
      </c>
      <c r="H210" s="1">
        <v>45973.373483796298</v>
      </c>
      <c r="I210" t="s">
        <v>630</v>
      </c>
      <c r="J210">
        <v>6.78</v>
      </c>
      <c r="K210">
        <v>0</v>
      </c>
    </row>
    <row r="211" spans="1:11" x14ac:dyDescent="0.3">
      <c r="A211">
        <v>210</v>
      </c>
      <c r="B211">
        <v>117</v>
      </c>
      <c r="C211">
        <v>2</v>
      </c>
      <c r="D211">
        <v>192</v>
      </c>
      <c r="E211" t="s">
        <v>651</v>
      </c>
      <c r="F211">
        <v>9.5299999999999994</v>
      </c>
      <c r="G211" t="s">
        <v>623</v>
      </c>
      <c r="H211" s="1">
        <v>45973.481319444443</v>
      </c>
      <c r="I211" t="s">
        <v>630</v>
      </c>
      <c r="J211">
        <v>9.5299999999999994</v>
      </c>
      <c r="K211">
        <v>0</v>
      </c>
    </row>
    <row r="212" spans="1:11" x14ac:dyDescent="0.3">
      <c r="A212">
        <v>211</v>
      </c>
      <c r="B212">
        <v>39</v>
      </c>
      <c r="C212">
        <v>3</v>
      </c>
      <c r="D212">
        <v>193</v>
      </c>
      <c r="E212" t="s">
        <v>657</v>
      </c>
      <c r="F212">
        <v>300</v>
      </c>
      <c r="G212" t="s">
        <v>623</v>
      </c>
      <c r="H212" s="1">
        <v>45973.482685185183</v>
      </c>
      <c r="I212" t="s">
        <v>630</v>
      </c>
      <c r="J212">
        <v>0</v>
      </c>
      <c r="K212">
        <v>300</v>
      </c>
    </row>
    <row r="213" spans="1:11" x14ac:dyDescent="0.3">
      <c r="A213">
        <v>212</v>
      </c>
      <c r="B213">
        <v>138</v>
      </c>
      <c r="C213">
        <v>3</v>
      </c>
      <c r="D213">
        <v>194</v>
      </c>
      <c r="E213" t="s">
        <v>651</v>
      </c>
      <c r="F213">
        <v>5.58</v>
      </c>
      <c r="G213" t="s">
        <v>623</v>
      </c>
      <c r="H213" s="1">
        <v>45973.542812500003</v>
      </c>
      <c r="I213" t="s">
        <v>630</v>
      </c>
      <c r="J213">
        <v>5.58</v>
      </c>
      <c r="K213">
        <v>0</v>
      </c>
    </row>
    <row r="214" spans="1:11" x14ac:dyDescent="0.3">
      <c r="A214">
        <v>213</v>
      </c>
      <c r="B214">
        <v>25</v>
      </c>
      <c r="C214">
        <v>2</v>
      </c>
      <c r="D214">
        <v>195</v>
      </c>
      <c r="E214" t="s">
        <v>651</v>
      </c>
      <c r="F214">
        <v>6.35</v>
      </c>
      <c r="G214" t="s">
        <v>623</v>
      </c>
      <c r="H214" s="1">
        <v>45973.544861111113</v>
      </c>
      <c r="I214" t="s">
        <v>630</v>
      </c>
      <c r="J214">
        <v>6.35</v>
      </c>
      <c r="K214">
        <v>0</v>
      </c>
    </row>
    <row r="215" spans="1:11" x14ac:dyDescent="0.3">
      <c r="A215">
        <v>214</v>
      </c>
      <c r="B215">
        <v>38</v>
      </c>
      <c r="C215">
        <v>3</v>
      </c>
      <c r="D215">
        <v>196</v>
      </c>
      <c r="E215" t="s">
        <v>651</v>
      </c>
      <c r="F215">
        <v>5.38</v>
      </c>
      <c r="G215" t="s">
        <v>623</v>
      </c>
      <c r="H215" s="1">
        <v>45973.549155092594</v>
      </c>
      <c r="I215" t="s">
        <v>630</v>
      </c>
      <c r="J215">
        <v>5.38</v>
      </c>
      <c r="K215">
        <v>0</v>
      </c>
    </row>
    <row r="216" spans="1:11" x14ac:dyDescent="0.3">
      <c r="A216">
        <v>215</v>
      </c>
      <c r="B216">
        <v>257</v>
      </c>
      <c r="C216">
        <v>5</v>
      </c>
      <c r="D216">
        <v>197</v>
      </c>
      <c r="E216" t="s">
        <v>651</v>
      </c>
      <c r="F216">
        <v>6.79</v>
      </c>
      <c r="G216" t="s">
        <v>623</v>
      </c>
      <c r="H216" s="1">
        <v>45973.664733796293</v>
      </c>
      <c r="I216" t="s">
        <v>630</v>
      </c>
      <c r="J216">
        <v>6.79</v>
      </c>
      <c r="K216">
        <v>0</v>
      </c>
    </row>
    <row r="217" spans="1:11" x14ac:dyDescent="0.3">
      <c r="A217">
        <v>216</v>
      </c>
      <c r="B217">
        <v>58</v>
      </c>
      <c r="C217">
        <v>5</v>
      </c>
      <c r="D217">
        <v>198</v>
      </c>
      <c r="E217" t="s">
        <v>651</v>
      </c>
      <c r="F217">
        <v>7.01</v>
      </c>
      <c r="G217" t="s">
        <v>623</v>
      </c>
      <c r="H217" s="1">
        <v>45973.672326388885</v>
      </c>
      <c r="I217" t="s">
        <v>630</v>
      </c>
      <c r="J217">
        <v>7.01</v>
      </c>
      <c r="K217">
        <v>0</v>
      </c>
    </row>
    <row r="218" spans="1:11" x14ac:dyDescent="0.3">
      <c r="A218">
        <v>217</v>
      </c>
      <c r="B218">
        <v>203</v>
      </c>
      <c r="C218">
        <v>2</v>
      </c>
      <c r="D218">
        <v>199</v>
      </c>
      <c r="E218" t="s">
        <v>651</v>
      </c>
      <c r="F218">
        <v>12.39</v>
      </c>
      <c r="G218" t="s">
        <v>623</v>
      </c>
      <c r="H218" s="1">
        <v>45974.340937499997</v>
      </c>
      <c r="I218" t="s">
        <v>630</v>
      </c>
      <c r="J218">
        <v>12.39</v>
      </c>
      <c r="K218">
        <v>0</v>
      </c>
    </row>
    <row r="219" spans="1:11" x14ac:dyDescent="0.3">
      <c r="A219">
        <v>218</v>
      </c>
      <c r="B219">
        <v>25</v>
      </c>
      <c r="C219">
        <v>2</v>
      </c>
      <c r="D219">
        <v>200</v>
      </c>
      <c r="E219" t="s">
        <v>651</v>
      </c>
      <c r="F219">
        <v>7.88</v>
      </c>
      <c r="G219" t="s">
        <v>623</v>
      </c>
      <c r="H219" s="1">
        <v>45974.351921296293</v>
      </c>
      <c r="I219" t="s">
        <v>630</v>
      </c>
      <c r="J219">
        <v>7.88</v>
      </c>
      <c r="K219">
        <v>0</v>
      </c>
    </row>
    <row r="220" spans="1:11" x14ac:dyDescent="0.3">
      <c r="A220">
        <v>219</v>
      </c>
      <c r="B220">
        <v>61</v>
      </c>
      <c r="C220">
        <v>5</v>
      </c>
      <c r="D220">
        <v>201</v>
      </c>
      <c r="E220" t="s">
        <v>651</v>
      </c>
      <c r="F220">
        <v>13.03</v>
      </c>
      <c r="G220" t="s">
        <v>623</v>
      </c>
      <c r="H220" s="1">
        <v>45974.403229166666</v>
      </c>
      <c r="I220" t="s">
        <v>630</v>
      </c>
      <c r="J220">
        <v>13.03</v>
      </c>
      <c r="K220">
        <v>0</v>
      </c>
    </row>
    <row r="221" spans="1:11" x14ac:dyDescent="0.3">
      <c r="A221">
        <v>220</v>
      </c>
      <c r="B221">
        <v>277</v>
      </c>
      <c r="C221">
        <v>2</v>
      </c>
      <c r="D221">
        <v>202</v>
      </c>
      <c r="E221" t="s">
        <v>651</v>
      </c>
      <c r="F221">
        <v>7.55</v>
      </c>
      <c r="G221" t="s">
        <v>623</v>
      </c>
      <c r="H221" s="1">
        <v>45974.48841435185</v>
      </c>
      <c r="I221" t="s">
        <v>630</v>
      </c>
      <c r="J221">
        <v>7.55</v>
      </c>
      <c r="K221">
        <v>0</v>
      </c>
    </row>
    <row r="222" spans="1:11" x14ac:dyDescent="0.3">
      <c r="A222">
        <v>221</v>
      </c>
      <c r="B222">
        <v>227</v>
      </c>
      <c r="C222">
        <v>2</v>
      </c>
      <c r="D222">
        <v>203</v>
      </c>
      <c r="E222" t="s">
        <v>651</v>
      </c>
      <c r="F222">
        <v>3.58</v>
      </c>
      <c r="G222" t="s">
        <v>623</v>
      </c>
      <c r="H222" s="1">
        <v>45974.513067129628</v>
      </c>
      <c r="I222" t="s">
        <v>630</v>
      </c>
      <c r="J222">
        <v>3.58</v>
      </c>
      <c r="K222">
        <v>0</v>
      </c>
    </row>
    <row r="223" spans="1:11" x14ac:dyDescent="0.3">
      <c r="A223">
        <v>222</v>
      </c>
      <c r="B223">
        <v>268</v>
      </c>
      <c r="C223">
        <v>2</v>
      </c>
      <c r="D223">
        <v>204</v>
      </c>
      <c r="E223" t="s">
        <v>651</v>
      </c>
      <c r="F223">
        <v>2.42</v>
      </c>
      <c r="G223" t="s">
        <v>623</v>
      </c>
      <c r="H223" s="1">
        <v>45974.552604166667</v>
      </c>
      <c r="I223" t="s">
        <v>630</v>
      </c>
      <c r="J223">
        <v>2.42</v>
      </c>
      <c r="K223">
        <v>0</v>
      </c>
    </row>
    <row r="224" spans="1:11" x14ac:dyDescent="0.3">
      <c r="A224">
        <v>223</v>
      </c>
      <c r="B224">
        <v>97</v>
      </c>
      <c r="C224">
        <v>5</v>
      </c>
      <c r="D224">
        <v>205</v>
      </c>
      <c r="E224" t="s">
        <v>651</v>
      </c>
      <c r="F224">
        <v>9.9499999999999993</v>
      </c>
      <c r="G224" t="s">
        <v>623</v>
      </c>
      <c r="H224" s="1">
        <v>45974.632916666669</v>
      </c>
      <c r="I224" t="s">
        <v>630</v>
      </c>
      <c r="J224">
        <v>9.9499999999999993</v>
      </c>
      <c r="K224">
        <v>0</v>
      </c>
    </row>
    <row r="225" spans="1:11" x14ac:dyDescent="0.3">
      <c r="A225">
        <v>224</v>
      </c>
      <c r="B225">
        <v>8</v>
      </c>
      <c r="C225">
        <v>3</v>
      </c>
      <c r="D225">
        <v>206</v>
      </c>
      <c r="E225" t="s">
        <v>651</v>
      </c>
      <c r="F225">
        <v>3.29</v>
      </c>
      <c r="G225" t="s">
        <v>623</v>
      </c>
      <c r="H225" s="1">
        <v>45974.659351851849</v>
      </c>
      <c r="I225" t="s">
        <v>630</v>
      </c>
      <c r="J225">
        <v>3.29</v>
      </c>
      <c r="K225">
        <v>0</v>
      </c>
    </row>
    <row r="226" spans="1:11" x14ac:dyDescent="0.3">
      <c r="A226">
        <v>225</v>
      </c>
      <c r="B226">
        <v>48</v>
      </c>
      <c r="C226">
        <v>3</v>
      </c>
      <c r="D226">
        <v>207</v>
      </c>
      <c r="E226" t="s">
        <v>651</v>
      </c>
      <c r="F226">
        <v>11.19</v>
      </c>
      <c r="G226" t="s">
        <v>623</v>
      </c>
      <c r="H226" s="1">
        <v>45974.697025462963</v>
      </c>
      <c r="I226" t="s">
        <v>630</v>
      </c>
      <c r="J226">
        <v>11.19</v>
      </c>
      <c r="K226">
        <v>0</v>
      </c>
    </row>
    <row r="227" spans="1:11" x14ac:dyDescent="0.3">
      <c r="A227">
        <v>226</v>
      </c>
      <c r="B227">
        <v>21</v>
      </c>
      <c r="C227">
        <v>2</v>
      </c>
      <c r="D227">
        <v>208</v>
      </c>
      <c r="E227" t="s">
        <v>651</v>
      </c>
      <c r="F227">
        <v>6.08</v>
      </c>
      <c r="G227" t="s">
        <v>623</v>
      </c>
      <c r="H227" s="1">
        <v>45974.788344907407</v>
      </c>
      <c r="I227" t="s">
        <v>630</v>
      </c>
      <c r="J227">
        <v>6.08</v>
      </c>
      <c r="K227">
        <v>0</v>
      </c>
    </row>
    <row r="228" spans="1:11" x14ac:dyDescent="0.3">
      <c r="A228">
        <v>227</v>
      </c>
      <c r="B228">
        <v>217</v>
      </c>
      <c r="C228">
        <v>1</v>
      </c>
      <c r="E228" t="s">
        <v>649</v>
      </c>
      <c r="F228">
        <v>25.87</v>
      </c>
      <c r="G228" t="s">
        <v>650</v>
      </c>
      <c r="H228" s="1">
        <v>45974.796909722223</v>
      </c>
      <c r="I228" t="s">
        <v>630</v>
      </c>
      <c r="J228">
        <v>0</v>
      </c>
      <c r="K228">
        <v>0</v>
      </c>
    </row>
    <row r="229" spans="1:11" x14ac:dyDescent="0.3">
      <c r="A229">
        <v>228</v>
      </c>
      <c r="B229">
        <v>249</v>
      </c>
      <c r="C229">
        <v>5</v>
      </c>
      <c r="D229">
        <v>209</v>
      </c>
      <c r="E229" t="s">
        <v>651</v>
      </c>
      <c r="F229">
        <v>6.4</v>
      </c>
      <c r="G229" t="s">
        <v>623</v>
      </c>
      <c r="H229" s="1">
        <v>45974.803564814814</v>
      </c>
      <c r="I229" t="s">
        <v>630</v>
      </c>
      <c r="J229">
        <v>6.4</v>
      </c>
      <c r="K229">
        <v>0</v>
      </c>
    </row>
    <row r="230" spans="1:11" x14ac:dyDescent="0.3">
      <c r="A230">
        <v>229</v>
      </c>
      <c r="B230">
        <v>106</v>
      </c>
      <c r="C230">
        <v>4</v>
      </c>
      <c r="D230">
        <v>210</v>
      </c>
      <c r="E230" t="s">
        <v>651</v>
      </c>
      <c r="F230">
        <v>9.69</v>
      </c>
      <c r="G230" t="s">
        <v>623</v>
      </c>
      <c r="H230" s="1">
        <v>45975.384444444448</v>
      </c>
      <c r="I230" t="s">
        <v>630</v>
      </c>
      <c r="J230">
        <v>9.69</v>
      </c>
      <c r="K230">
        <v>0</v>
      </c>
    </row>
    <row r="231" spans="1:11" x14ac:dyDescent="0.3">
      <c r="A231">
        <v>230</v>
      </c>
      <c r="B231">
        <v>265</v>
      </c>
      <c r="C231">
        <v>3</v>
      </c>
      <c r="D231">
        <v>211</v>
      </c>
      <c r="E231" t="s">
        <v>651</v>
      </c>
      <c r="F231">
        <v>8.2799999999999994</v>
      </c>
      <c r="G231" t="s">
        <v>623</v>
      </c>
      <c r="H231" s="1">
        <v>45975.40729166667</v>
      </c>
      <c r="I231" t="s">
        <v>630</v>
      </c>
      <c r="J231">
        <v>8.2799999999999994</v>
      </c>
      <c r="K231">
        <v>0</v>
      </c>
    </row>
    <row r="232" spans="1:11" x14ac:dyDescent="0.3">
      <c r="A232">
        <v>231</v>
      </c>
      <c r="B232">
        <v>10</v>
      </c>
      <c r="C232">
        <v>5</v>
      </c>
      <c r="D232">
        <v>212</v>
      </c>
      <c r="E232" t="s">
        <v>651</v>
      </c>
      <c r="F232">
        <v>7.5</v>
      </c>
      <c r="G232" t="s">
        <v>623</v>
      </c>
      <c r="H232" s="1">
        <v>45975.533067129632</v>
      </c>
      <c r="I232" t="s">
        <v>630</v>
      </c>
      <c r="J232">
        <v>7.5</v>
      </c>
      <c r="K232">
        <v>0</v>
      </c>
    </row>
    <row r="233" spans="1:11" x14ac:dyDescent="0.3">
      <c r="A233">
        <v>232</v>
      </c>
      <c r="B233">
        <v>39</v>
      </c>
      <c r="C233">
        <v>2</v>
      </c>
      <c r="D233">
        <v>213</v>
      </c>
      <c r="E233" t="s">
        <v>651</v>
      </c>
      <c r="F233">
        <v>13.35</v>
      </c>
      <c r="G233" t="s">
        <v>623</v>
      </c>
      <c r="H233" s="1">
        <v>45975.544803240744</v>
      </c>
      <c r="I233" t="s">
        <v>630</v>
      </c>
      <c r="J233">
        <v>13.35</v>
      </c>
      <c r="K233">
        <v>0</v>
      </c>
    </row>
    <row r="234" spans="1:11" x14ac:dyDescent="0.3">
      <c r="A234">
        <v>233</v>
      </c>
      <c r="B234">
        <v>32</v>
      </c>
      <c r="C234">
        <v>2</v>
      </c>
      <c r="D234">
        <v>214</v>
      </c>
      <c r="E234" t="s">
        <v>651</v>
      </c>
      <c r="F234">
        <v>2.64</v>
      </c>
      <c r="G234" t="s">
        <v>623</v>
      </c>
      <c r="H234" s="1">
        <v>45975.636180555557</v>
      </c>
      <c r="I234" t="s">
        <v>630</v>
      </c>
      <c r="J234">
        <v>2.64</v>
      </c>
      <c r="K234">
        <v>0</v>
      </c>
    </row>
    <row r="235" spans="1:11" x14ac:dyDescent="0.3">
      <c r="A235">
        <v>234</v>
      </c>
      <c r="B235">
        <v>262</v>
      </c>
      <c r="C235">
        <v>2</v>
      </c>
      <c r="D235">
        <v>215</v>
      </c>
      <c r="E235" t="s">
        <v>651</v>
      </c>
      <c r="F235">
        <v>4.66</v>
      </c>
      <c r="G235" t="s">
        <v>623</v>
      </c>
      <c r="H235" s="1">
        <v>45975.638009259259</v>
      </c>
      <c r="I235" t="s">
        <v>630</v>
      </c>
      <c r="J235">
        <v>4.66</v>
      </c>
      <c r="K235">
        <v>0</v>
      </c>
    </row>
    <row r="236" spans="1:11" x14ac:dyDescent="0.3">
      <c r="A236">
        <v>235</v>
      </c>
      <c r="B236">
        <v>202</v>
      </c>
      <c r="C236">
        <v>2</v>
      </c>
      <c r="D236">
        <v>216</v>
      </c>
      <c r="E236" t="s">
        <v>651</v>
      </c>
      <c r="F236">
        <v>1.9</v>
      </c>
      <c r="G236" t="s">
        <v>623</v>
      </c>
      <c r="H236" s="1">
        <v>45975.641076388885</v>
      </c>
      <c r="I236" t="s">
        <v>630</v>
      </c>
      <c r="J236">
        <v>1.9</v>
      </c>
      <c r="K236">
        <v>0</v>
      </c>
    </row>
    <row r="237" spans="1:11" x14ac:dyDescent="0.3">
      <c r="A237">
        <v>236</v>
      </c>
      <c r="B237">
        <v>81</v>
      </c>
      <c r="C237">
        <v>5</v>
      </c>
      <c r="D237">
        <v>217</v>
      </c>
      <c r="E237" t="s">
        <v>651</v>
      </c>
      <c r="F237">
        <v>1.43</v>
      </c>
      <c r="G237" t="s">
        <v>623</v>
      </c>
      <c r="H237" s="1">
        <v>45975.697453703702</v>
      </c>
      <c r="I237" t="s">
        <v>630</v>
      </c>
      <c r="J237">
        <v>1.43</v>
      </c>
      <c r="K237">
        <v>0</v>
      </c>
    </row>
    <row r="238" spans="1:11" x14ac:dyDescent="0.3">
      <c r="A238">
        <v>237</v>
      </c>
      <c r="B238">
        <v>194</v>
      </c>
      <c r="C238">
        <v>5</v>
      </c>
      <c r="D238">
        <v>218</v>
      </c>
      <c r="E238" t="s">
        <v>651</v>
      </c>
      <c r="F238">
        <v>11.9</v>
      </c>
      <c r="G238" t="s">
        <v>623</v>
      </c>
      <c r="H238" s="1">
        <v>45975.726886574077</v>
      </c>
      <c r="I238" t="s">
        <v>630</v>
      </c>
      <c r="J238">
        <v>11.9</v>
      </c>
      <c r="K238">
        <v>0</v>
      </c>
    </row>
    <row r="239" spans="1:11" x14ac:dyDescent="0.3">
      <c r="A239">
        <v>238</v>
      </c>
      <c r="B239">
        <v>11</v>
      </c>
      <c r="C239">
        <v>3</v>
      </c>
      <c r="D239">
        <v>219</v>
      </c>
      <c r="E239" t="s">
        <v>651</v>
      </c>
      <c r="F239">
        <v>25.74</v>
      </c>
      <c r="G239" t="s">
        <v>623</v>
      </c>
      <c r="H239" s="1">
        <v>45975.74664351852</v>
      </c>
      <c r="I239" t="s">
        <v>630</v>
      </c>
      <c r="J239">
        <v>25.74</v>
      </c>
      <c r="K239">
        <v>0</v>
      </c>
    </row>
    <row r="240" spans="1:11" x14ac:dyDescent="0.3">
      <c r="A240">
        <v>239</v>
      </c>
      <c r="B240">
        <v>117</v>
      </c>
      <c r="C240">
        <v>4</v>
      </c>
      <c r="D240">
        <v>220</v>
      </c>
      <c r="E240" t="s">
        <v>651</v>
      </c>
      <c r="F240">
        <v>8.77</v>
      </c>
      <c r="G240" t="s">
        <v>623</v>
      </c>
      <c r="H240" s="1">
        <v>45975.752928240741</v>
      </c>
      <c r="I240" t="s">
        <v>630</v>
      </c>
      <c r="J240">
        <v>8.77</v>
      </c>
      <c r="K240">
        <v>0</v>
      </c>
    </row>
    <row r="241" spans="1:11" x14ac:dyDescent="0.3">
      <c r="A241">
        <v>240</v>
      </c>
      <c r="B241">
        <v>202</v>
      </c>
      <c r="C241">
        <v>2</v>
      </c>
      <c r="D241">
        <v>221</v>
      </c>
      <c r="E241" t="s">
        <v>651</v>
      </c>
      <c r="F241">
        <v>4.33</v>
      </c>
      <c r="G241" t="s">
        <v>623</v>
      </c>
      <c r="H241" s="1">
        <v>45975.754374999997</v>
      </c>
      <c r="I241" t="s">
        <v>630</v>
      </c>
      <c r="J241">
        <v>4.33</v>
      </c>
      <c r="K241">
        <v>0</v>
      </c>
    </row>
    <row r="242" spans="1:11" x14ac:dyDescent="0.3">
      <c r="A242">
        <v>241</v>
      </c>
      <c r="B242">
        <v>70</v>
      </c>
      <c r="C242">
        <v>2</v>
      </c>
      <c r="D242">
        <v>222</v>
      </c>
      <c r="E242" t="s">
        <v>651</v>
      </c>
      <c r="F242">
        <v>17.260000000000002</v>
      </c>
      <c r="G242" t="s">
        <v>623</v>
      </c>
      <c r="H242" s="1">
        <v>45976.374467592592</v>
      </c>
      <c r="I242" t="s">
        <v>630</v>
      </c>
      <c r="J242">
        <v>17.260000000000002</v>
      </c>
      <c r="K242">
        <v>0</v>
      </c>
    </row>
    <row r="243" spans="1:11" x14ac:dyDescent="0.3">
      <c r="A243">
        <v>242</v>
      </c>
      <c r="B243">
        <v>264</v>
      </c>
      <c r="C243">
        <v>5</v>
      </c>
      <c r="D243">
        <v>223</v>
      </c>
      <c r="E243" t="s">
        <v>651</v>
      </c>
      <c r="F243">
        <v>18.39</v>
      </c>
      <c r="G243" t="s">
        <v>623</v>
      </c>
      <c r="H243" s="1">
        <v>45976.380486111113</v>
      </c>
      <c r="I243" t="s">
        <v>630</v>
      </c>
      <c r="J243">
        <v>18.39</v>
      </c>
      <c r="K243">
        <v>0</v>
      </c>
    </row>
    <row r="244" spans="1:11" x14ac:dyDescent="0.3">
      <c r="A244">
        <v>243</v>
      </c>
      <c r="B244">
        <v>293</v>
      </c>
      <c r="C244">
        <v>4</v>
      </c>
      <c r="D244">
        <v>224</v>
      </c>
      <c r="E244" t="s">
        <v>651</v>
      </c>
      <c r="F244">
        <v>2.89</v>
      </c>
      <c r="G244" t="s">
        <v>623</v>
      </c>
      <c r="H244" s="1">
        <v>45976.389444444445</v>
      </c>
      <c r="I244" t="s">
        <v>630</v>
      </c>
      <c r="J244">
        <v>2.89</v>
      </c>
      <c r="K244">
        <v>0</v>
      </c>
    </row>
    <row r="245" spans="1:11" x14ac:dyDescent="0.3">
      <c r="A245">
        <v>244</v>
      </c>
      <c r="B245">
        <v>13</v>
      </c>
      <c r="C245">
        <v>4</v>
      </c>
      <c r="D245">
        <v>225</v>
      </c>
      <c r="E245" t="s">
        <v>651</v>
      </c>
      <c r="F245">
        <v>3.77</v>
      </c>
      <c r="G245" t="s">
        <v>623</v>
      </c>
      <c r="H245" s="1">
        <v>45976.396666666667</v>
      </c>
      <c r="I245" t="s">
        <v>630</v>
      </c>
      <c r="J245">
        <v>3.77</v>
      </c>
      <c r="K245">
        <v>0</v>
      </c>
    </row>
    <row r="246" spans="1:11" x14ac:dyDescent="0.3">
      <c r="A246">
        <v>245</v>
      </c>
      <c r="B246">
        <v>97</v>
      </c>
      <c r="C246">
        <v>4</v>
      </c>
      <c r="D246">
        <v>205</v>
      </c>
      <c r="E246" t="s">
        <v>649</v>
      </c>
      <c r="F246">
        <v>-9.9499999999999993</v>
      </c>
      <c r="G246" t="s">
        <v>663</v>
      </c>
      <c r="H246" s="1">
        <v>45976.424583333333</v>
      </c>
      <c r="I246" t="s">
        <v>630</v>
      </c>
      <c r="J246">
        <v>0</v>
      </c>
      <c r="K246">
        <v>0</v>
      </c>
    </row>
    <row r="247" spans="1:11" x14ac:dyDescent="0.3">
      <c r="A247">
        <v>246</v>
      </c>
      <c r="B247">
        <v>280</v>
      </c>
      <c r="C247">
        <v>5</v>
      </c>
      <c r="D247">
        <v>226</v>
      </c>
      <c r="E247" t="s">
        <v>651</v>
      </c>
      <c r="F247">
        <v>3.63</v>
      </c>
      <c r="G247" t="s">
        <v>623</v>
      </c>
      <c r="H247" s="1">
        <v>45976.46502314815</v>
      </c>
      <c r="I247" t="s">
        <v>630</v>
      </c>
      <c r="J247">
        <v>3.63</v>
      </c>
      <c r="K247">
        <v>0</v>
      </c>
    </row>
    <row r="248" spans="1:11" x14ac:dyDescent="0.3">
      <c r="A248">
        <v>247</v>
      </c>
      <c r="B248">
        <v>117</v>
      </c>
      <c r="C248">
        <v>4</v>
      </c>
      <c r="D248">
        <v>227</v>
      </c>
      <c r="E248" t="s">
        <v>651</v>
      </c>
      <c r="F248">
        <v>7.35</v>
      </c>
      <c r="G248" t="s">
        <v>623</v>
      </c>
      <c r="H248" s="1">
        <v>45976.509027777778</v>
      </c>
      <c r="I248" t="s">
        <v>630</v>
      </c>
      <c r="J248">
        <v>7.35</v>
      </c>
      <c r="K248">
        <v>0</v>
      </c>
    </row>
    <row r="249" spans="1:11" x14ac:dyDescent="0.3">
      <c r="A249">
        <v>248</v>
      </c>
      <c r="B249">
        <v>10</v>
      </c>
      <c r="C249">
        <v>5</v>
      </c>
      <c r="D249">
        <v>228</v>
      </c>
      <c r="E249" t="s">
        <v>651</v>
      </c>
      <c r="F249">
        <v>4.24</v>
      </c>
      <c r="G249" t="s">
        <v>623</v>
      </c>
      <c r="H249" s="1">
        <v>45976.621076388888</v>
      </c>
      <c r="I249" t="s">
        <v>630</v>
      </c>
      <c r="J249">
        <v>4.24</v>
      </c>
      <c r="K249">
        <v>0</v>
      </c>
    </row>
    <row r="250" spans="1:11" x14ac:dyDescent="0.3">
      <c r="A250">
        <v>249</v>
      </c>
      <c r="B250">
        <v>44</v>
      </c>
      <c r="C250">
        <v>3</v>
      </c>
      <c r="D250">
        <v>229</v>
      </c>
      <c r="E250" t="s">
        <v>651</v>
      </c>
      <c r="F250">
        <v>1.57</v>
      </c>
      <c r="G250" t="s">
        <v>623</v>
      </c>
      <c r="H250" s="1">
        <v>45976.658229166664</v>
      </c>
      <c r="I250" t="s">
        <v>630</v>
      </c>
      <c r="J250">
        <v>1.57</v>
      </c>
      <c r="K250">
        <v>0</v>
      </c>
    </row>
    <row r="251" spans="1:11" x14ac:dyDescent="0.3">
      <c r="A251">
        <v>250</v>
      </c>
      <c r="B251">
        <v>16</v>
      </c>
      <c r="C251">
        <v>5</v>
      </c>
      <c r="D251">
        <v>230</v>
      </c>
      <c r="E251" t="s">
        <v>651</v>
      </c>
      <c r="F251">
        <v>20.190000000000001</v>
      </c>
      <c r="G251" t="s">
        <v>623</v>
      </c>
      <c r="H251" s="1">
        <v>45976.659803240742</v>
      </c>
      <c r="I251" t="s">
        <v>630</v>
      </c>
      <c r="J251">
        <v>20.190000000000001</v>
      </c>
      <c r="K251">
        <v>0</v>
      </c>
    </row>
    <row r="252" spans="1:11" x14ac:dyDescent="0.3">
      <c r="A252">
        <v>251</v>
      </c>
      <c r="B252">
        <v>39</v>
      </c>
      <c r="C252">
        <v>4</v>
      </c>
      <c r="D252">
        <v>231</v>
      </c>
      <c r="E252" t="s">
        <v>651</v>
      </c>
      <c r="F252">
        <v>10.39</v>
      </c>
      <c r="G252" t="s">
        <v>623</v>
      </c>
      <c r="H252" s="1">
        <v>45976.689479166664</v>
      </c>
      <c r="I252" t="s">
        <v>630</v>
      </c>
      <c r="J252">
        <v>10.39</v>
      </c>
      <c r="K252">
        <v>0</v>
      </c>
    </row>
    <row r="253" spans="1:11" x14ac:dyDescent="0.3">
      <c r="A253">
        <v>252</v>
      </c>
      <c r="B253">
        <v>60</v>
      </c>
      <c r="C253">
        <v>5</v>
      </c>
      <c r="D253">
        <v>232</v>
      </c>
      <c r="E253" t="s">
        <v>651</v>
      </c>
      <c r="F253">
        <v>17.22</v>
      </c>
      <c r="G253" t="s">
        <v>623</v>
      </c>
      <c r="H253" s="1">
        <v>45976.707650462966</v>
      </c>
      <c r="I253" t="s">
        <v>630</v>
      </c>
      <c r="J253">
        <v>17.22</v>
      </c>
      <c r="K253">
        <v>0</v>
      </c>
    </row>
    <row r="254" spans="1:11" x14ac:dyDescent="0.3">
      <c r="A254">
        <v>253</v>
      </c>
      <c r="B254">
        <v>44</v>
      </c>
      <c r="C254">
        <v>3</v>
      </c>
      <c r="D254">
        <v>233</v>
      </c>
      <c r="E254" t="s">
        <v>651</v>
      </c>
      <c r="F254">
        <v>5.81</v>
      </c>
      <c r="G254" t="s">
        <v>623</v>
      </c>
      <c r="H254" s="1">
        <v>45976.771064814813</v>
      </c>
      <c r="I254" t="s">
        <v>630</v>
      </c>
      <c r="J254">
        <v>5.81</v>
      </c>
      <c r="K254">
        <v>0</v>
      </c>
    </row>
    <row r="255" spans="1:11" x14ac:dyDescent="0.3">
      <c r="A255">
        <v>254</v>
      </c>
      <c r="B255">
        <v>52</v>
      </c>
      <c r="C255">
        <v>5</v>
      </c>
      <c r="D255">
        <v>234</v>
      </c>
      <c r="E255" t="s">
        <v>651</v>
      </c>
      <c r="F255">
        <v>3.24</v>
      </c>
      <c r="G255" t="s">
        <v>623</v>
      </c>
      <c r="H255" s="1">
        <v>45976.782858796294</v>
      </c>
      <c r="I255" t="s">
        <v>630</v>
      </c>
      <c r="J255">
        <v>3.24</v>
      </c>
      <c r="K255">
        <v>0</v>
      </c>
    </row>
    <row r="256" spans="1:11" x14ac:dyDescent="0.3">
      <c r="A256">
        <v>255</v>
      </c>
      <c r="B256">
        <v>16</v>
      </c>
      <c r="C256">
        <v>5</v>
      </c>
      <c r="D256">
        <v>235</v>
      </c>
      <c r="E256" t="s">
        <v>651</v>
      </c>
      <c r="F256">
        <v>21.11</v>
      </c>
      <c r="G256" t="s">
        <v>623</v>
      </c>
      <c r="H256" s="1">
        <v>45977.379236111112</v>
      </c>
      <c r="I256" t="s">
        <v>630</v>
      </c>
      <c r="J256">
        <v>21.11</v>
      </c>
      <c r="K256">
        <v>0</v>
      </c>
    </row>
    <row r="257" spans="1:11" x14ac:dyDescent="0.3">
      <c r="A257">
        <v>256</v>
      </c>
      <c r="B257">
        <v>16</v>
      </c>
      <c r="C257">
        <v>2</v>
      </c>
      <c r="D257">
        <v>236</v>
      </c>
      <c r="E257" t="s">
        <v>651</v>
      </c>
      <c r="F257">
        <v>22.05</v>
      </c>
      <c r="G257" t="s">
        <v>623</v>
      </c>
      <c r="H257" s="1">
        <v>45977.384340277778</v>
      </c>
      <c r="I257" t="s">
        <v>630</v>
      </c>
      <c r="J257">
        <v>22.05</v>
      </c>
      <c r="K257">
        <v>0</v>
      </c>
    </row>
    <row r="258" spans="1:11" x14ac:dyDescent="0.3">
      <c r="A258">
        <v>257</v>
      </c>
      <c r="B258">
        <v>44</v>
      </c>
      <c r="C258">
        <v>5</v>
      </c>
      <c r="D258">
        <v>233</v>
      </c>
      <c r="E258" t="s">
        <v>649</v>
      </c>
      <c r="F258">
        <v>-5.81</v>
      </c>
      <c r="G258" t="s">
        <v>664</v>
      </c>
      <c r="H258" s="1">
        <v>45977.521064814813</v>
      </c>
      <c r="I258" t="s">
        <v>630</v>
      </c>
      <c r="J258">
        <v>0</v>
      </c>
      <c r="K258">
        <v>0</v>
      </c>
    </row>
    <row r="259" spans="1:11" x14ac:dyDescent="0.3">
      <c r="A259">
        <v>258</v>
      </c>
      <c r="B259">
        <v>69</v>
      </c>
      <c r="C259">
        <v>2</v>
      </c>
      <c r="D259">
        <v>237</v>
      </c>
      <c r="E259" t="s">
        <v>651</v>
      </c>
      <c r="F259">
        <v>4.66</v>
      </c>
      <c r="G259" t="s">
        <v>623</v>
      </c>
      <c r="H259" s="1">
        <v>45977.594398148147</v>
      </c>
      <c r="I259" t="s">
        <v>630</v>
      </c>
      <c r="J259">
        <v>4.66</v>
      </c>
      <c r="K259">
        <v>0</v>
      </c>
    </row>
    <row r="260" spans="1:11" x14ac:dyDescent="0.3">
      <c r="A260">
        <v>259</v>
      </c>
      <c r="B260">
        <v>39</v>
      </c>
      <c r="C260">
        <v>4</v>
      </c>
      <c r="D260">
        <v>238</v>
      </c>
      <c r="E260" t="s">
        <v>651</v>
      </c>
      <c r="F260">
        <v>19.21</v>
      </c>
      <c r="G260" t="s">
        <v>623</v>
      </c>
      <c r="H260" s="1">
        <v>45977.672951388886</v>
      </c>
      <c r="I260" t="s">
        <v>630</v>
      </c>
      <c r="J260">
        <v>19.21</v>
      </c>
      <c r="K260">
        <v>0</v>
      </c>
    </row>
    <row r="261" spans="1:11" x14ac:dyDescent="0.3">
      <c r="A261">
        <v>260</v>
      </c>
      <c r="B261">
        <v>288</v>
      </c>
      <c r="C261">
        <v>4</v>
      </c>
      <c r="D261">
        <v>239</v>
      </c>
      <c r="E261" t="s">
        <v>651</v>
      </c>
      <c r="F261">
        <v>3.43</v>
      </c>
      <c r="G261" t="s">
        <v>623</v>
      </c>
      <c r="H261" s="1">
        <v>45977.679965277777</v>
      </c>
      <c r="I261" t="s">
        <v>630</v>
      </c>
      <c r="J261">
        <v>3.43</v>
      </c>
      <c r="K261">
        <v>0</v>
      </c>
    </row>
    <row r="262" spans="1:11" x14ac:dyDescent="0.3">
      <c r="A262">
        <v>261</v>
      </c>
      <c r="B262">
        <v>7</v>
      </c>
      <c r="C262">
        <v>5</v>
      </c>
      <c r="D262">
        <v>240</v>
      </c>
      <c r="E262" t="s">
        <v>651</v>
      </c>
      <c r="F262">
        <v>14.65</v>
      </c>
      <c r="G262" t="s">
        <v>623</v>
      </c>
      <c r="H262" s="1">
        <v>45977.698240740741</v>
      </c>
      <c r="I262" t="s">
        <v>630</v>
      </c>
      <c r="J262">
        <v>14.65</v>
      </c>
      <c r="K262">
        <v>0</v>
      </c>
    </row>
    <row r="263" spans="1:11" x14ac:dyDescent="0.3">
      <c r="A263">
        <v>262</v>
      </c>
      <c r="B263">
        <v>18</v>
      </c>
      <c r="C263">
        <v>3</v>
      </c>
      <c r="D263">
        <v>241</v>
      </c>
      <c r="E263" t="s">
        <v>651</v>
      </c>
      <c r="F263">
        <v>10.220000000000001</v>
      </c>
      <c r="G263" t="s">
        <v>623</v>
      </c>
      <c r="H263" s="1">
        <v>45977.720879629633</v>
      </c>
      <c r="I263" t="s">
        <v>630</v>
      </c>
      <c r="J263">
        <v>10.220000000000001</v>
      </c>
      <c r="K263">
        <v>0</v>
      </c>
    </row>
    <row r="264" spans="1:11" x14ac:dyDescent="0.3">
      <c r="A264">
        <v>263</v>
      </c>
      <c r="B264">
        <v>202</v>
      </c>
      <c r="C264">
        <v>5</v>
      </c>
      <c r="D264">
        <v>221</v>
      </c>
      <c r="E264" t="s">
        <v>649</v>
      </c>
      <c r="F264">
        <v>-4.33</v>
      </c>
      <c r="G264" t="s">
        <v>665</v>
      </c>
      <c r="H264" s="1">
        <v>45977.754374999997</v>
      </c>
      <c r="I264" t="s">
        <v>630</v>
      </c>
      <c r="J264">
        <v>0</v>
      </c>
      <c r="K264">
        <v>0</v>
      </c>
    </row>
    <row r="265" spans="1:11" x14ac:dyDescent="0.3">
      <c r="A265">
        <v>264</v>
      </c>
      <c r="B265">
        <v>262</v>
      </c>
      <c r="C265">
        <v>5</v>
      </c>
      <c r="D265">
        <v>242</v>
      </c>
      <c r="E265" t="s">
        <v>651</v>
      </c>
      <c r="F265">
        <v>7.5</v>
      </c>
      <c r="G265" t="s">
        <v>623</v>
      </c>
      <c r="H265" s="1">
        <v>45978.292268518519</v>
      </c>
      <c r="I265" t="s">
        <v>630</v>
      </c>
      <c r="J265">
        <v>7.5</v>
      </c>
      <c r="K265">
        <v>0</v>
      </c>
    </row>
    <row r="266" spans="1:11" x14ac:dyDescent="0.3">
      <c r="A266">
        <v>265</v>
      </c>
      <c r="B266">
        <v>39</v>
      </c>
      <c r="C266">
        <v>5</v>
      </c>
      <c r="D266">
        <v>243</v>
      </c>
      <c r="E266" t="s">
        <v>651</v>
      </c>
      <c r="F266">
        <v>14.88</v>
      </c>
      <c r="G266" t="s">
        <v>623</v>
      </c>
      <c r="H266" s="1">
        <v>45978.325162037036</v>
      </c>
      <c r="I266" t="s">
        <v>630</v>
      </c>
      <c r="J266">
        <v>14.88</v>
      </c>
      <c r="K266">
        <v>0</v>
      </c>
    </row>
    <row r="267" spans="1:11" x14ac:dyDescent="0.3">
      <c r="A267">
        <v>266</v>
      </c>
      <c r="B267">
        <v>47</v>
      </c>
      <c r="C267">
        <v>3</v>
      </c>
      <c r="D267">
        <v>244</v>
      </c>
      <c r="E267" t="s">
        <v>651</v>
      </c>
      <c r="F267">
        <v>2.4700000000000002</v>
      </c>
      <c r="G267" t="s">
        <v>623</v>
      </c>
      <c r="H267" s="1">
        <v>45978.363935185182</v>
      </c>
      <c r="I267" t="s">
        <v>630</v>
      </c>
      <c r="J267">
        <v>2.4700000000000002</v>
      </c>
      <c r="K267">
        <v>0</v>
      </c>
    </row>
    <row r="268" spans="1:11" x14ac:dyDescent="0.3">
      <c r="A268">
        <v>267</v>
      </c>
      <c r="B268">
        <v>7</v>
      </c>
      <c r="C268">
        <v>4</v>
      </c>
      <c r="D268">
        <v>245</v>
      </c>
      <c r="E268" t="s">
        <v>651</v>
      </c>
      <c r="F268">
        <v>17.170000000000002</v>
      </c>
      <c r="G268" t="s">
        <v>623</v>
      </c>
      <c r="H268" s="1">
        <v>45978.36859953704</v>
      </c>
      <c r="I268" t="s">
        <v>630</v>
      </c>
      <c r="J268">
        <v>17.170000000000002</v>
      </c>
      <c r="K268">
        <v>0</v>
      </c>
    </row>
    <row r="269" spans="1:11" x14ac:dyDescent="0.3">
      <c r="A269">
        <v>268</v>
      </c>
      <c r="B269">
        <v>59</v>
      </c>
      <c r="C269">
        <v>2</v>
      </c>
      <c r="D269">
        <v>246</v>
      </c>
      <c r="E269" t="s">
        <v>651</v>
      </c>
      <c r="F269">
        <v>2.2799999999999998</v>
      </c>
      <c r="G269" t="s">
        <v>623</v>
      </c>
      <c r="H269" s="1">
        <v>45978.372314814813</v>
      </c>
      <c r="I269" t="s">
        <v>630</v>
      </c>
      <c r="J269">
        <v>2.2799999999999998</v>
      </c>
      <c r="K269">
        <v>0</v>
      </c>
    </row>
    <row r="270" spans="1:11" x14ac:dyDescent="0.3">
      <c r="A270">
        <v>269</v>
      </c>
      <c r="B270">
        <v>23</v>
      </c>
      <c r="C270">
        <v>3</v>
      </c>
      <c r="D270">
        <v>247</v>
      </c>
      <c r="E270" t="s">
        <v>651</v>
      </c>
      <c r="F270">
        <v>12.04</v>
      </c>
      <c r="G270" t="s">
        <v>623</v>
      </c>
      <c r="H270" s="1">
        <v>45978.394259259258</v>
      </c>
      <c r="I270" t="s">
        <v>630</v>
      </c>
      <c r="J270">
        <v>12.04</v>
      </c>
      <c r="K270">
        <v>0</v>
      </c>
    </row>
    <row r="271" spans="1:11" x14ac:dyDescent="0.3">
      <c r="A271">
        <v>270</v>
      </c>
      <c r="B271">
        <v>81</v>
      </c>
      <c r="C271">
        <v>2</v>
      </c>
      <c r="D271">
        <v>248</v>
      </c>
      <c r="E271" t="s">
        <v>651</v>
      </c>
      <c r="F271">
        <v>3.78</v>
      </c>
      <c r="G271" t="s">
        <v>623</v>
      </c>
      <c r="H271" s="1">
        <v>45978.404143518521</v>
      </c>
      <c r="I271" t="s">
        <v>630</v>
      </c>
      <c r="J271">
        <v>3.78</v>
      </c>
      <c r="K271">
        <v>0</v>
      </c>
    </row>
    <row r="272" spans="1:11" x14ac:dyDescent="0.3">
      <c r="A272">
        <v>271</v>
      </c>
      <c r="B272">
        <v>59</v>
      </c>
      <c r="C272">
        <v>2</v>
      </c>
      <c r="D272">
        <v>249</v>
      </c>
      <c r="E272" t="s">
        <v>651</v>
      </c>
      <c r="F272">
        <v>1.81</v>
      </c>
      <c r="G272" t="s">
        <v>623</v>
      </c>
      <c r="H272" s="1">
        <v>45978.499988425923</v>
      </c>
      <c r="I272" t="s">
        <v>630</v>
      </c>
      <c r="J272">
        <v>1.81</v>
      </c>
      <c r="K272">
        <v>0</v>
      </c>
    </row>
    <row r="273" spans="1:11" x14ac:dyDescent="0.3">
      <c r="A273">
        <v>272</v>
      </c>
      <c r="B273">
        <v>245</v>
      </c>
      <c r="C273">
        <v>5</v>
      </c>
      <c r="D273">
        <v>250</v>
      </c>
      <c r="E273" t="s">
        <v>651</v>
      </c>
      <c r="F273">
        <v>1.91</v>
      </c>
      <c r="G273" t="s">
        <v>623</v>
      </c>
      <c r="H273" s="1">
        <v>45978.527048611111</v>
      </c>
      <c r="I273" t="s">
        <v>630</v>
      </c>
      <c r="J273">
        <v>1.91</v>
      </c>
      <c r="K273">
        <v>0</v>
      </c>
    </row>
    <row r="274" spans="1:11" x14ac:dyDescent="0.3">
      <c r="A274">
        <v>273</v>
      </c>
      <c r="B274">
        <v>209</v>
      </c>
      <c r="C274">
        <v>4</v>
      </c>
      <c r="D274">
        <v>251</v>
      </c>
      <c r="E274" t="s">
        <v>651</v>
      </c>
      <c r="F274">
        <v>30</v>
      </c>
      <c r="G274" t="s">
        <v>623</v>
      </c>
      <c r="H274" s="1">
        <v>45978.529224537036</v>
      </c>
      <c r="I274" t="s">
        <v>630</v>
      </c>
      <c r="J274">
        <v>30</v>
      </c>
      <c r="K274">
        <v>0</v>
      </c>
    </row>
    <row r="275" spans="1:11" x14ac:dyDescent="0.3">
      <c r="A275">
        <v>274</v>
      </c>
      <c r="B275">
        <v>39</v>
      </c>
      <c r="C275">
        <v>5</v>
      </c>
      <c r="D275">
        <v>252</v>
      </c>
      <c r="E275" t="s">
        <v>651</v>
      </c>
      <c r="F275">
        <v>25.29</v>
      </c>
      <c r="G275" t="s">
        <v>623</v>
      </c>
      <c r="H275" s="1">
        <v>45978.568854166668</v>
      </c>
      <c r="I275" t="s">
        <v>630</v>
      </c>
      <c r="J275">
        <v>25.29</v>
      </c>
      <c r="K275">
        <v>0</v>
      </c>
    </row>
    <row r="276" spans="1:11" x14ac:dyDescent="0.3">
      <c r="A276">
        <v>275</v>
      </c>
      <c r="B276">
        <v>262</v>
      </c>
      <c r="C276">
        <v>5</v>
      </c>
      <c r="D276">
        <v>253</v>
      </c>
      <c r="E276" t="s">
        <v>651</v>
      </c>
      <c r="F276">
        <v>9.5299999999999994</v>
      </c>
      <c r="G276" t="s">
        <v>623</v>
      </c>
      <c r="H276" s="1">
        <v>45978.656712962962</v>
      </c>
      <c r="I276" t="s">
        <v>630</v>
      </c>
      <c r="J276">
        <v>9.5299999999999994</v>
      </c>
      <c r="K276">
        <v>0</v>
      </c>
    </row>
    <row r="277" spans="1:11" x14ac:dyDescent="0.3">
      <c r="A277">
        <v>276</v>
      </c>
      <c r="B277">
        <v>57</v>
      </c>
      <c r="C277">
        <v>4</v>
      </c>
      <c r="D277">
        <v>254</v>
      </c>
      <c r="E277" t="s">
        <v>651</v>
      </c>
      <c r="F277">
        <v>8.6199999999999992</v>
      </c>
      <c r="G277" t="s">
        <v>623</v>
      </c>
      <c r="H277" s="1">
        <v>45978.737847222219</v>
      </c>
      <c r="I277" t="s">
        <v>630</v>
      </c>
      <c r="J277">
        <v>8.6199999999999992</v>
      </c>
      <c r="K277">
        <v>0</v>
      </c>
    </row>
    <row r="278" spans="1:11" x14ac:dyDescent="0.3">
      <c r="A278">
        <v>277</v>
      </c>
      <c r="B278">
        <v>13</v>
      </c>
      <c r="C278">
        <v>4</v>
      </c>
      <c r="D278">
        <v>255</v>
      </c>
      <c r="E278" t="s">
        <v>651</v>
      </c>
      <c r="F278">
        <v>3.13</v>
      </c>
      <c r="G278" t="s">
        <v>623</v>
      </c>
      <c r="H278" s="1">
        <v>45978.811712962961</v>
      </c>
      <c r="I278" t="s">
        <v>630</v>
      </c>
      <c r="J278">
        <v>3.13</v>
      </c>
      <c r="K278">
        <v>0</v>
      </c>
    </row>
    <row r="279" spans="1:11" x14ac:dyDescent="0.3">
      <c r="A279">
        <v>278</v>
      </c>
      <c r="B279">
        <v>197</v>
      </c>
      <c r="C279">
        <v>5</v>
      </c>
      <c r="D279">
        <v>256</v>
      </c>
      <c r="E279" t="s">
        <v>651</v>
      </c>
      <c r="F279">
        <v>9.58</v>
      </c>
      <c r="G279" t="s">
        <v>623</v>
      </c>
      <c r="H279" s="1">
        <v>45979.365798611114</v>
      </c>
      <c r="I279" t="s">
        <v>630</v>
      </c>
      <c r="J279">
        <v>9.58</v>
      </c>
      <c r="K279">
        <v>0</v>
      </c>
    </row>
    <row r="280" spans="1:11" x14ac:dyDescent="0.3">
      <c r="A280">
        <v>279</v>
      </c>
      <c r="B280">
        <v>43</v>
      </c>
      <c r="C280">
        <v>2</v>
      </c>
      <c r="D280">
        <v>257</v>
      </c>
      <c r="E280" t="s">
        <v>651</v>
      </c>
      <c r="F280">
        <v>16.55</v>
      </c>
      <c r="G280" t="s">
        <v>623</v>
      </c>
      <c r="H280" s="1">
        <v>45979.445208333331</v>
      </c>
      <c r="I280" t="s">
        <v>630</v>
      </c>
      <c r="J280">
        <v>16.55</v>
      </c>
      <c r="K280">
        <v>0</v>
      </c>
    </row>
    <row r="281" spans="1:11" x14ac:dyDescent="0.3">
      <c r="A281">
        <v>280</v>
      </c>
      <c r="B281">
        <v>44</v>
      </c>
      <c r="C281">
        <v>4</v>
      </c>
      <c r="D281">
        <v>258</v>
      </c>
      <c r="E281" t="s">
        <v>651</v>
      </c>
      <c r="F281">
        <v>4.6500000000000004</v>
      </c>
      <c r="G281" t="s">
        <v>623</v>
      </c>
      <c r="H281" s="1">
        <v>45979.491967592592</v>
      </c>
      <c r="I281" t="s">
        <v>630</v>
      </c>
      <c r="J281">
        <v>4.6500000000000004</v>
      </c>
      <c r="K281">
        <v>0</v>
      </c>
    </row>
    <row r="282" spans="1:11" x14ac:dyDescent="0.3">
      <c r="A282">
        <v>281</v>
      </c>
      <c r="B282">
        <v>197</v>
      </c>
      <c r="C282">
        <v>3</v>
      </c>
      <c r="D282">
        <v>259</v>
      </c>
      <c r="E282" t="s">
        <v>651</v>
      </c>
      <c r="F282">
        <v>8.1300000000000008</v>
      </c>
      <c r="G282" t="s">
        <v>623</v>
      </c>
      <c r="H282" s="1">
        <v>45979.600486111114</v>
      </c>
      <c r="I282" t="s">
        <v>630</v>
      </c>
      <c r="J282">
        <v>8.1300000000000008</v>
      </c>
      <c r="K282">
        <v>0</v>
      </c>
    </row>
    <row r="283" spans="1:11" x14ac:dyDescent="0.3">
      <c r="A283">
        <v>282</v>
      </c>
      <c r="B283">
        <v>69</v>
      </c>
      <c r="C283">
        <v>5</v>
      </c>
      <c r="D283">
        <v>260</v>
      </c>
      <c r="E283" t="s">
        <v>651</v>
      </c>
      <c r="F283">
        <v>3.33</v>
      </c>
      <c r="G283" t="s">
        <v>623</v>
      </c>
      <c r="H283" s="1">
        <v>45979.611446759256</v>
      </c>
      <c r="I283" t="s">
        <v>630</v>
      </c>
      <c r="J283">
        <v>3.33</v>
      </c>
      <c r="K283">
        <v>0</v>
      </c>
    </row>
    <row r="284" spans="1:11" x14ac:dyDescent="0.3">
      <c r="A284">
        <v>283</v>
      </c>
      <c r="B284">
        <v>59</v>
      </c>
      <c r="C284">
        <v>2</v>
      </c>
      <c r="D284">
        <v>261</v>
      </c>
      <c r="E284" t="s">
        <v>651</v>
      </c>
      <c r="F284">
        <v>1.5</v>
      </c>
      <c r="G284" t="s">
        <v>623</v>
      </c>
      <c r="H284" s="1">
        <v>45979.642314814817</v>
      </c>
      <c r="I284" t="s">
        <v>630</v>
      </c>
      <c r="J284">
        <v>1.5</v>
      </c>
      <c r="K284">
        <v>0</v>
      </c>
    </row>
    <row r="285" spans="1:11" x14ac:dyDescent="0.3">
      <c r="A285">
        <v>284</v>
      </c>
      <c r="B285">
        <v>262</v>
      </c>
      <c r="C285">
        <v>4</v>
      </c>
      <c r="D285">
        <v>262</v>
      </c>
      <c r="E285" t="s">
        <v>651</v>
      </c>
      <c r="F285">
        <v>8.15</v>
      </c>
      <c r="G285" t="s">
        <v>623</v>
      </c>
      <c r="H285" s="1">
        <v>45979.677534722221</v>
      </c>
      <c r="I285" t="s">
        <v>630</v>
      </c>
      <c r="J285">
        <v>8.15</v>
      </c>
      <c r="K285">
        <v>0</v>
      </c>
    </row>
    <row r="286" spans="1:11" x14ac:dyDescent="0.3">
      <c r="A286">
        <v>285</v>
      </c>
      <c r="B286">
        <v>211</v>
      </c>
      <c r="C286">
        <v>5</v>
      </c>
      <c r="D286">
        <v>263</v>
      </c>
      <c r="E286" t="s">
        <v>651</v>
      </c>
      <c r="F286">
        <v>12.11</v>
      </c>
      <c r="G286" t="s">
        <v>623</v>
      </c>
      <c r="H286" s="1">
        <v>45979.713761574072</v>
      </c>
      <c r="I286" t="s">
        <v>630</v>
      </c>
      <c r="J286">
        <v>12.11</v>
      </c>
      <c r="K286">
        <v>0</v>
      </c>
    </row>
    <row r="287" spans="1:11" x14ac:dyDescent="0.3">
      <c r="A287">
        <v>286</v>
      </c>
      <c r="B287">
        <v>217</v>
      </c>
      <c r="C287">
        <v>2</v>
      </c>
      <c r="D287">
        <v>264</v>
      </c>
      <c r="E287" t="s">
        <v>651</v>
      </c>
      <c r="F287">
        <v>4.09</v>
      </c>
      <c r="G287" t="s">
        <v>623</v>
      </c>
      <c r="H287" s="1">
        <v>45979.724629629629</v>
      </c>
      <c r="I287" t="s">
        <v>630</v>
      </c>
      <c r="J287">
        <v>4.09</v>
      </c>
      <c r="K287">
        <v>0</v>
      </c>
    </row>
    <row r="288" spans="1:11" x14ac:dyDescent="0.3">
      <c r="A288">
        <v>287</v>
      </c>
      <c r="B288">
        <v>58</v>
      </c>
      <c r="C288">
        <v>5</v>
      </c>
      <c r="D288">
        <v>265</v>
      </c>
      <c r="E288" t="s">
        <v>651</v>
      </c>
      <c r="F288">
        <v>4.91</v>
      </c>
      <c r="G288" t="s">
        <v>623</v>
      </c>
      <c r="H288" s="1">
        <v>45979.733275462961</v>
      </c>
      <c r="I288" t="s">
        <v>630</v>
      </c>
      <c r="J288">
        <v>4.91</v>
      </c>
      <c r="K288">
        <v>0</v>
      </c>
    </row>
    <row r="289" spans="1:11" x14ac:dyDescent="0.3">
      <c r="A289">
        <v>288</v>
      </c>
      <c r="B289">
        <v>16</v>
      </c>
      <c r="C289">
        <v>4</v>
      </c>
      <c r="D289">
        <v>266</v>
      </c>
      <c r="E289" t="s">
        <v>651</v>
      </c>
      <c r="F289">
        <v>24.85</v>
      </c>
      <c r="G289" t="s">
        <v>623</v>
      </c>
      <c r="H289" s="1">
        <v>45980.408356481479</v>
      </c>
      <c r="I289" t="s">
        <v>630</v>
      </c>
      <c r="J289">
        <v>24.85</v>
      </c>
      <c r="K289">
        <v>0</v>
      </c>
    </row>
    <row r="290" spans="1:11" x14ac:dyDescent="0.3">
      <c r="A290">
        <v>289</v>
      </c>
      <c r="B290">
        <v>39</v>
      </c>
      <c r="C290">
        <v>5</v>
      </c>
      <c r="D290">
        <v>267</v>
      </c>
      <c r="E290" t="s">
        <v>651</v>
      </c>
      <c r="F290">
        <v>10.69</v>
      </c>
      <c r="G290" t="s">
        <v>623</v>
      </c>
      <c r="H290" s="1">
        <v>45980.449942129628</v>
      </c>
      <c r="I290" t="s">
        <v>630</v>
      </c>
      <c r="J290">
        <v>10.69</v>
      </c>
      <c r="K290">
        <v>0</v>
      </c>
    </row>
    <row r="291" spans="1:11" x14ac:dyDescent="0.3">
      <c r="A291">
        <v>290</v>
      </c>
      <c r="B291">
        <v>31</v>
      </c>
      <c r="C291">
        <v>2</v>
      </c>
      <c r="D291">
        <v>268</v>
      </c>
      <c r="E291" t="s">
        <v>651</v>
      </c>
      <c r="F291">
        <v>2.19</v>
      </c>
      <c r="G291" t="s">
        <v>623</v>
      </c>
      <c r="H291" s="1">
        <v>45980.474756944444</v>
      </c>
      <c r="I291" t="s">
        <v>630</v>
      </c>
      <c r="J291">
        <v>2.19</v>
      </c>
      <c r="K291">
        <v>0</v>
      </c>
    </row>
    <row r="292" spans="1:11" x14ac:dyDescent="0.3">
      <c r="A292">
        <v>291</v>
      </c>
      <c r="B292">
        <v>7</v>
      </c>
      <c r="C292">
        <v>4</v>
      </c>
      <c r="D292">
        <v>269</v>
      </c>
      <c r="E292" t="s">
        <v>651</v>
      </c>
      <c r="F292">
        <v>9.68</v>
      </c>
      <c r="G292" t="s">
        <v>623</v>
      </c>
      <c r="H292" s="1">
        <v>45980.483414351853</v>
      </c>
      <c r="I292" t="s">
        <v>630</v>
      </c>
      <c r="J292">
        <v>9.68</v>
      </c>
      <c r="K292">
        <v>0</v>
      </c>
    </row>
    <row r="293" spans="1:11" x14ac:dyDescent="0.3">
      <c r="A293">
        <v>292</v>
      </c>
      <c r="B293">
        <v>97</v>
      </c>
      <c r="C293">
        <v>3</v>
      </c>
      <c r="D293">
        <v>270</v>
      </c>
      <c r="E293" t="s">
        <v>651</v>
      </c>
      <c r="F293">
        <v>6.89</v>
      </c>
      <c r="G293" t="s">
        <v>623</v>
      </c>
      <c r="H293" s="1">
        <v>45980.549872685187</v>
      </c>
      <c r="I293" t="s">
        <v>630</v>
      </c>
      <c r="J293">
        <v>6.89</v>
      </c>
      <c r="K293">
        <v>0</v>
      </c>
    </row>
    <row r="294" spans="1:11" x14ac:dyDescent="0.3">
      <c r="A294">
        <v>293</v>
      </c>
      <c r="B294">
        <v>11</v>
      </c>
      <c r="C294">
        <v>1</v>
      </c>
      <c r="E294" t="s">
        <v>649</v>
      </c>
      <c r="F294">
        <v>-7.75</v>
      </c>
      <c r="G294" t="s">
        <v>656</v>
      </c>
      <c r="H294" s="1">
        <v>45980.619652777779</v>
      </c>
      <c r="I294" t="s">
        <v>630</v>
      </c>
      <c r="J294">
        <v>0</v>
      </c>
      <c r="K294">
        <v>0</v>
      </c>
    </row>
    <row r="295" spans="1:11" x14ac:dyDescent="0.3">
      <c r="A295">
        <v>294</v>
      </c>
      <c r="B295">
        <v>152</v>
      </c>
      <c r="C295">
        <v>5</v>
      </c>
      <c r="D295">
        <v>271</v>
      </c>
      <c r="E295" t="s">
        <v>651</v>
      </c>
      <c r="F295">
        <v>8</v>
      </c>
      <c r="G295" t="s">
        <v>623</v>
      </c>
      <c r="H295" s="1">
        <v>45980.680462962962</v>
      </c>
      <c r="I295" t="s">
        <v>630</v>
      </c>
      <c r="J295">
        <v>8</v>
      </c>
      <c r="K295">
        <v>0</v>
      </c>
    </row>
    <row r="296" spans="1:11" x14ac:dyDescent="0.3">
      <c r="A296">
        <v>295</v>
      </c>
      <c r="B296">
        <v>8</v>
      </c>
      <c r="C296">
        <v>2</v>
      </c>
      <c r="D296">
        <v>272</v>
      </c>
      <c r="E296" t="s">
        <v>651</v>
      </c>
      <c r="F296">
        <v>2.66</v>
      </c>
      <c r="G296" t="s">
        <v>623</v>
      </c>
      <c r="H296" s="1">
        <v>45980.712280092594</v>
      </c>
      <c r="I296" t="s">
        <v>630</v>
      </c>
      <c r="J296">
        <v>2.66</v>
      </c>
      <c r="K296">
        <v>0</v>
      </c>
    </row>
    <row r="297" spans="1:11" x14ac:dyDescent="0.3">
      <c r="A297">
        <v>296</v>
      </c>
      <c r="B297">
        <v>84</v>
      </c>
      <c r="C297">
        <v>3</v>
      </c>
      <c r="D297">
        <v>273</v>
      </c>
      <c r="E297" t="s">
        <v>651</v>
      </c>
      <c r="F297">
        <v>5.41</v>
      </c>
      <c r="G297" t="s">
        <v>623</v>
      </c>
      <c r="H297" s="1">
        <v>45980.741631944446</v>
      </c>
      <c r="I297" t="s">
        <v>630</v>
      </c>
      <c r="J297">
        <v>5.41</v>
      </c>
      <c r="K297">
        <v>0</v>
      </c>
    </row>
    <row r="298" spans="1:11" x14ac:dyDescent="0.3">
      <c r="A298">
        <v>297</v>
      </c>
      <c r="B298">
        <v>39</v>
      </c>
      <c r="C298">
        <v>3</v>
      </c>
      <c r="D298">
        <v>274</v>
      </c>
      <c r="E298" t="s">
        <v>651</v>
      </c>
      <c r="F298">
        <v>20.8</v>
      </c>
      <c r="G298" t="s">
        <v>623</v>
      </c>
      <c r="H298" s="1">
        <v>45981.310104166667</v>
      </c>
      <c r="I298" t="s">
        <v>630</v>
      </c>
      <c r="J298">
        <v>20.8</v>
      </c>
      <c r="K298">
        <v>0</v>
      </c>
    </row>
    <row r="299" spans="1:11" x14ac:dyDescent="0.3">
      <c r="A299">
        <v>298</v>
      </c>
      <c r="B299">
        <v>94</v>
      </c>
      <c r="C299">
        <v>2</v>
      </c>
      <c r="D299">
        <v>275</v>
      </c>
      <c r="E299" t="s">
        <v>651</v>
      </c>
      <c r="F299">
        <v>12.47</v>
      </c>
      <c r="G299" t="s">
        <v>623</v>
      </c>
      <c r="H299" s="1">
        <v>45981.320277777777</v>
      </c>
      <c r="I299" t="s">
        <v>630</v>
      </c>
      <c r="J299">
        <v>12.47</v>
      </c>
      <c r="K299">
        <v>0</v>
      </c>
    </row>
    <row r="300" spans="1:11" x14ac:dyDescent="0.3">
      <c r="A300">
        <v>299</v>
      </c>
      <c r="B300">
        <v>104</v>
      </c>
      <c r="C300">
        <v>4</v>
      </c>
      <c r="D300">
        <v>276</v>
      </c>
      <c r="E300" t="s">
        <v>651</v>
      </c>
      <c r="F300">
        <v>30</v>
      </c>
      <c r="G300" t="s">
        <v>623</v>
      </c>
      <c r="H300" s="1">
        <v>45981.356689814813</v>
      </c>
      <c r="I300" t="s">
        <v>630</v>
      </c>
      <c r="J300">
        <v>30</v>
      </c>
      <c r="K300">
        <v>0</v>
      </c>
    </row>
    <row r="301" spans="1:11" x14ac:dyDescent="0.3">
      <c r="A301">
        <v>300</v>
      </c>
      <c r="B301">
        <v>69</v>
      </c>
      <c r="C301">
        <v>4</v>
      </c>
      <c r="D301">
        <v>277</v>
      </c>
      <c r="E301" t="s">
        <v>651</v>
      </c>
      <c r="F301">
        <v>4.04</v>
      </c>
      <c r="G301" t="s">
        <v>623</v>
      </c>
      <c r="H301" s="1">
        <v>45981.410555555558</v>
      </c>
      <c r="I301" t="s">
        <v>630</v>
      </c>
      <c r="J301">
        <v>4.04</v>
      </c>
      <c r="K301">
        <v>0</v>
      </c>
    </row>
    <row r="302" spans="1:11" x14ac:dyDescent="0.3">
      <c r="A302">
        <v>301</v>
      </c>
      <c r="B302">
        <v>160</v>
      </c>
      <c r="C302">
        <v>5</v>
      </c>
      <c r="D302">
        <v>278</v>
      </c>
      <c r="E302" t="s">
        <v>651</v>
      </c>
      <c r="F302">
        <v>2.68</v>
      </c>
      <c r="G302" t="s">
        <v>623</v>
      </c>
      <c r="H302" s="1">
        <v>45981.415706018517</v>
      </c>
      <c r="I302" t="s">
        <v>630</v>
      </c>
      <c r="J302">
        <v>2.68</v>
      </c>
      <c r="K302">
        <v>0</v>
      </c>
    </row>
    <row r="303" spans="1:11" x14ac:dyDescent="0.3">
      <c r="A303">
        <v>302</v>
      </c>
      <c r="B303">
        <v>47</v>
      </c>
      <c r="C303">
        <v>2</v>
      </c>
      <c r="D303">
        <v>279</v>
      </c>
      <c r="E303" t="s">
        <v>651</v>
      </c>
      <c r="F303">
        <v>4.03</v>
      </c>
      <c r="G303" t="s">
        <v>623</v>
      </c>
      <c r="H303" s="1">
        <v>45981.433298611111</v>
      </c>
      <c r="I303" t="s">
        <v>630</v>
      </c>
      <c r="J303">
        <v>4.03</v>
      </c>
      <c r="K303">
        <v>0</v>
      </c>
    </row>
    <row r="304" spans="1:11" x14ac:dyDescent="0.3">
      <c r="A304">
        <v>303</v>
      </c>
      <c r="B304">
        <v>151</v>
      </c>
      <c r="C304">
        <v>5</v>
      </c>
      <c r="D304">
        <v>280</v>
      </c>
      <c r="E304" t="s">
        <v>651</v>
      </c>
      <c r="F304">
        <v>10.5</v>
      </c>
      <c r="G304" t="s">
        <v>623</v>
      </c>
      <c r="H304" s="1">
        <v>45981.513310185182</v>
      </c>
      <c r="I304" t="s">
        <v>630</v>
      </c>
      <c r="J304">
        <v>10.5</v>
      </c>
      <c r="K304">
        <v>0</v>
      </c>
    </row>
    <row r="305" spans="1:11" x14ac:dyDescent="0.3">
      <c r="A305">
        <v>304</v>
      </c>
      <c r="B305">
        <v>65</v>
      </c>
      <c r="C305">
        <v>2</v>
      </c>
      <c r="D305">
        <v>281</v>
      </c>
      <c r="E305" t="s">
        <v>651</v>
      </c>
      <c r="F305">
        <v>5.71</v>
      </c>
      <c r="G305" t="s">
        <v>623</v>
      </c>
      <c r="H305" s="1">
        <v>45981.562685185185</v>
      </c>
      <c r="I305" t="s">
        <v>630</v>
      </c>
      <c r="J305">
        <v>5.71</v>
      </c>
      <c r="K305">
        <v>0</v>
      </c>
    </row>
    <row r="306" spans="1:11" x14ac:dyDescent="0.3">
      <c r="A306">
        <v>305</v>
      </c>
      <c r="B306">
        <v>39</v>
      </c>
      <c r="C306">
        <v>5</v>
      </c>
      <c r="D306">
        <v>282</v>
      </c>
      <c r="E306" t="s">
        <v>651</v>
      </c>
      <c r="F306">
        <v>22.75</v>
      </c>
      <c r="G306" t="s">
        <v>623</v>
      </c>
      <c r="H306" s="1">
        <v>45981.58734953704</v>
      </c>
      <c r="I306" t="s">
        <v>630</v>
      </c>
      <c r="J306">
        <v>22.75</v>
      </c>
      <c r="K306">
        <v>0</v>
      </c>
    </row>
    <row r="307" spans="1:11" x14ac:dyDescent="0.3">
      <c r="A307">
        <v>306</v>
      </c>
      <c r="B307">
        <v>44</v>
      </c>
      <c r="C307">
        <v>5</v>
      </c>
      <c r="D307">
        <v>283</v>
      </c>
      <c r="E307" t="s">
        <v>651</v>
      </c>
      <c r="F307">
        <v>7.45</v>
      </c>
      <c r="G307" t="s">
        <v>623</v>
      </c>
      <c r="H307" s="1">
        <v>45981.665613425925</v>
      </c>
      <c r="I307" t="s">
        <v>630</v>
      </c>
      <c r="J307">
        <v>7.45</v>
      </c>
      <c r="K307">
        <v>0</v>
      </c>
    </row>
    <row r="308" spans="1:11" x14ac:dyDescent="0.3">
      <c r="A308">
        <v>307</v>
      </c>
      <c r="B308">
        <v>65</v>
      </c>
      <c r="C308">
        <v>5</v>
      </c>
      <c r="D308">
        <v>284</v>
      </c>
      <c r="E308" t="s">
        <v>651</v>
      </c>
      <c r="F308">
        <v>3.49</v>
      </c>
      <c r="G308" t="s">
        <v>623</v>
      </c>
      <c r="H308" s="1">
        <v>45981.790208333332</v>
      </c>
      <c r="I308" t="s">
        <v>630</v>
      </c>
      <c r="J308">
        <v>3.49</v>
      </c>
      <c r="K308">
        <v>0</v>
      </c>
    </row>
    <row r="309" spans="1:11" x14ac:dyDescent="0.3">
      <c r="A309">
        <v>308</v>
      </c>
      <c r="B309">
        <v>240</v>
      </c>
      <c r="C309">
        <v>5</v>
      </c>
      <c r="D309">
        <v>285</v>
      </c>
      <c r="E309" t="s">
        <v>651</v>
      </c>
      <c r="F309">
        <v>23.39</v>
      </c>
      <c r="G309" t="s">
        <v>623</v>
      </c>
      <c r="H309" s="1">
        <v>45982.31653935185</v>
      </c>
      <c r="I309" t="s">
        <v>630</v>
      </c>
      <c r="J309">
        <v>23.39</v>
      </c>
      <c r="K309">
        <v>0</v>
      </c>
    </row>
    <row r="310" spans="1:11" x14ac:dyDescent="0.3">
      <c r="A310">
        <v>309</v>
      </c>
      <c r="B310">
        <v>61</v>
      </c>
      <c r="C310">
        <v>4</v>
      </c>
      <c r="D310">
        <v>286</v>
      </c>
      <c r="E310" t="s">
        <v>651</v>
      </c>
      <c r="F310">
        <v>22</v>
      </c>
      <c r="G310" t="s">
        <v>623</v>
      </c>
      <c r="H310" s="1">
        <v>45982.330833333333</v>
      </c>
      <c r="I310" t="s">
        <v>630</v>
      </c>
      <c r="J310">
        <v>22</v>
      </c>
      <c r="K310">
        <v>0</v>
      </c>
    </row>
    <row r="311" spans="1:11" x14ac:dyDescent="0.3">
      <c r="A311">
        <v>310</v>
      </c>
      <c r="B311">
        <v>38</v>
      </c>
      <c r="C311">
        <v>4</v>
      </c>
      <c r="D311">
        <v>287</v>
      </c>
      <c r="E311" t="s">
        <v>651</v>
      </c>
      <c r="F311">
        <v>2.31</v>
      </c>
      <c r="G311" t="s">
        <v>623</v>
      </c>
      <c r="H311" s="1">
        <v>45982.348599537036</v>
      </c>
      <c r="I311" t="s">
        <v>630</v>
      </c>
      <c r="J311">
        <v>2.31</v>
      </c>
      <c r="K311">
        <v>0</v>
      </c>
    </row>
    <row r="312" spans="1:11" x14ac:dyDescent="0.3">
      <c r="A312">
        <v>311</v>
      </c>
      <c r="B312">
        <v>106</v>
      </c>
      <c r="C312">
        <v>5</v>
      </c>
      <c r="D312">
        <v>288</v>
      </c>
      <c r="E312" t="s">
        <v>651</v>
      </c>
      <c r="F312">
        <v>8.73</v>
      </c>
      <c r="G312" t="s">
        <v>623</v>
      </c>
      <c r="H312" s="1">
        <v>45982.377870370372</v>
      </c>
      <c r="I312" t="s">
        <v>630</v>
      </c>
      <c r="J312">
        <v>8.73</v>
      </c>
      <c r="K312">
        <v>0</v>
      </c>
    </row>
    <row r="313" spans="1:11" x14ac:dyDescent="0.3">
      <c r="A313">
        <v>312</v>
      </c>
      <c r="B313">
        <v>44</v>
      </c>
      <c r="C313">
        <v>5</v>
      </c>
      <c r="D313">
        <v>289</v>
      </c>
      <c r="E313" t="s">
        <v>651</v>
      </c>
      <c r="F313">
        <v>2.3199999999999998</v>
      </c>
      <c r="G313" t="s">
        <v>623</v>
      </c>
      <c r="H313" s="1">
        <v>45982.438009259262</v>
      </c>
      <c r="I313" t="s">
        <v>630</v>
      </c>
      <c r="J313">
        <v>2.3199999999999998</v>
      </c>
      <c r="K313">
        <v>0</v>
      </c>
    </row>
    <row r="314" spans="1:11" x14ac:dyDescent="0.3">
      <c r="A314">
        <v>313</v>
      </c>
      <c r="B314">
        <v>27</v>
      </c>
      <c r="C314">
        <v>3</v>
      </c>
      <c r="D314">
        <v>290</v>
      </c>
      <c r="E314" t="s">
        <v>651</v>
      </c>
      <c r="F314">
        <v>4.6900000000000004</v>
      </c>
      <c r="G314" t="s">
        <v>623</v>
      </c>
      <c r="H314" s="1">
        <v>45982.45784722222</v>
      </c>
      <c r="I314" t="s">
        <v>630</v>
      </c>
      <c r="J314">
        <v>4.6900000000000004</v>
      </c>
      <c r="K314">
        <v>0</v>
      </c>
    </row>
    <row r="315" spans="1:11" x14ac:dyDescent="0.3">
      <c r="A315">
        <v>314</v>
      </c>
      <c r="B315">
        <v>64</v>
      </c>
      <c r="C315">
        <v>5</v>
      </c>
      <c r="D315">
        <v>291</v>
      </c>
      <c r="E315" t="s">
        <v>651</v>
      </c>
      <c r="F315">
        <v>2.97</v>
      </c>
      <c r="G315" t="s">
        <v>623</v>
      </c>
      <c r="H315" s="1">
        <v>45982.483252314814</v>
      </c>
      <c r="I315" t="s">
        <v>630</v>
      </c>
      <c r="J315">
        <v>2.97</v>
      </c>
      <c r="K315">
        <v>0</v>
      </c>
    </row>
    <row r="316" spans="1:11" x14ac:dyDescent="0.3">
      <c r="A316">
        <v>315</v>
      </c>
      <c r="B316">
        <v>39</v>
      </c>
      <c r="C316">
        <v>4</v>
      </c>
      <c r="D316">
        <v>292</v>
      </c>
      <c r="E316" t="s">
        <v>651</v>
      </c>
      <c r="F316">
        <v>23.41</v>
      </c>
      <c r="G316" t="s">
        <v>623</v>
      </c>
      <c r="H316" s="1">
        <v>45982.508981481478</v>
      </c>
      <c r="I316" t="s">
        <v>630</v>
      </c>
      <c r="J316">
        <v>23.41</v>
      </c>
      <c r="K316">
        <v>0</v>
      </c>
    </row>
    <row r="317" spans="1:11" x14ac:dyDescent="0.3">
      <c r="A317">
        <v>316</v>
      </c>
      <c r="B317">
        <v>240</v>
      </c>
      <c r="C317">
        <v>2</v>
      </c>
      <c r="D317">
        <v>293</v>
      </c>
      <c r="E317" t="s">
        <v>651</v>
      </c>
      <c r="F317">
        <v>14.75</v>
      </c>
      <c r="G317" t="s">
        <v>623</v>
      </c>
      <c r="H317" s="1">
        <v>45982.626562500001</v>
      </c>
      <c r="I317" t="s">
        <v>630</v>
      </c>
      <c r="J317">
        <v>14.75</v>
      </c>
      <c r="K317">
        <v>0</v>
      </c>
    </row>
    <row r="318" spans="1:11" x14ac:dyDescent="0.3">
      <c r="A318">
        <v>317</v>
      </c>
      <c r="B318">
        <v>207</v>
      </c>
      <c r="C318">
        <v>5</v>
      </c>
      <c r="D318">
        <v>294</v>
      </c>
      <c r="E318" t="s">
        <v>651</v>
      </c>
      <c r="F318">
        <v>2.8</v>
      </c>
      <c r="G318" t="s">
        <v>623</v>
      </c>
      <c r="H318" s="1">
        <v>45982.626921296294</v>
      </c>
      <c r="I318" t="s">
        <v>630</v>
      </c>
      <c r="J318">
        <v>2.8</v>
      </c>
      <c r="K318">
        <v>0</v>
      </c>
    </row>
    <row r="319" spans="1:11" x14ac:dyDescent="0.3">
      <c r="A319">
        <v>318</v>
      </c>
      <c r="B319">
        <v>52</v>
      </c>
      <c r="C319">
        <v>3</v>
      </c>
      <c r="D319">
        <v>295</v>
      </c>
      <c r="E319" t="s">
        <v>651</v>
      </c>
      <c r="F319">
        <v>2.46</v>
      </c>
      <c r="G319" t="s">
        <v>623</v>
      </c>
      <c r="H319" s="1">
        <v>45982.660810185182</v>
      </c>
      <c r="I319" t="s">
        <v>630</v>
      </c>
      <c r="J319">
        <v>2.46</v>
      </c>
      <c r="K319">
        <v>0</v>
      </c>
    </row>
    <row r="320" spans="1:11" x14ac:dyDescent="0.3">
      <c r="A320">
        <v>319</v>
      </c>
      <c r="B320">
        <v>59</v>
      </c>
      <c r="C320">
        <v>4</v>
      </c>
      <c r="D320">
        <v>296</v>
      </c>
      <c r="E320" t="s">
        <v>651</v>
      </c>
      <c r="F320">
        <v>3.07</v>
      </c>
      <c r="G320" t="s">
        <v>623</v>
      </c>
      <c r="H320" s="1">
        <v>45982.718229166669</v>
      </c>
      <c r="I320" t="s">
        <v>630</v>
      </c>
      <c r="J320">
        <v>3.07</v>
      </c>
      <c r="K320">
        <v>0</v>
      </c>
    </row>
    <row r="321" spans="1:11" x14ac:dyDescent="0.3">
      <c r="A321">
        <v>320</v>
      </c>
      <c r="B321">
        <v>61</v>
      </c>
      <c r="C321">
        <v>4</v>
      </c>
      <c r="D321">
        <v>297</v>
      </c>
      <c r="E321" t="s">
        <v>651</v>
      </c>
      <c r="F321">
        <v>9.1</v>
      </c>
      <c r="G321" t="s">
        <v>623</v>
      </c>
      <c r="H321" s="1">
        <v>45982.772743055553</v>
      </c>
      <c r="I321" t="s">
        <v>630</v>
      </c>
      <c r="J321">
        <v>9.1</v>
      </c>
      <c r="K321">
        <v>0</v>
      </c>
    </row>
    <row r="322" spans="1:11" x14ac:dyDescent="0.3">
      <c r="A322">
        <v>321</v>
      </c>
      <c r="B322">
        <v>207</v>
      </c>
      <c r="C322">
        <v>4</v>
      </c>
      <c r="D322">
        <v>298</v>
      </c>
      <c r="E322" t="s">
        <v>651</v>
      </c>
      <c r="F322">
        <v>2.35</v>
      </c>
      <c r="G322" t="s">
        <v>623</v>
      </c>
      <c r="H322" s="1">
        <v>45983.344976851855</v>
      </c>
      <c r="I322" t="s">
        <v>630</v>
      </c>
      <c r="J322">
        <v>2.35</v>
      </c>
      <c r="K322">
        <v>0</v>
      </c>
    </row>
    <row r="323" spans="1:11" x14ac:dyDescent="0.3">
      <c r="A323">
        <v>322</v>
      </c>
      <c r="B323">
        <v>44</v>
      </c>
      <c r="C323">
        <v>3</v>
      </c>
      <c r="D323">
        <v>299</v>
      </c>
      <c r="E323" t="s">
        <v>651</v>
      </c>
      <c r="F323">
        <v>3.83</v>
      </c>
      <c r="G323" t="s">
        <v>623</v>
      </c>
      <c r="H323" s="1">
        <v>45983.345011574071</v>
      </c>
      <c r="I323" t="s">
        <v>630</v>
      </c>
      <c r="J323">
        <v>3.83</v>
      </c>
      <c r="K323">
        <v>0</v>
      </c>
    </row>
    <row r="324" spans="1:11" x14ac:dyDescent="0.3">
      <c r="A324">
        <v>323</v>
      </c>
      <c r="B324">
        <v>47</v>
      </c>
      <c r="C324">
        <v>4</v>
      </c>
      <c r="D324">
        <v>300</v>
      </c>
      <c r="E324" t="s">
        <v>651</v>
      </c>
      <c r="F324">
        <v>3.3</v>
      </c>
      <c r="G324" t="s">
        <v>623</v>
      </c>
      <c r="H324" s="1">
        <v>45983.366840277777</v>
      </c>
      <c r="I324" t="s">
        <v>630</v>
      </c>
      <c r="J324">
        <v>3.3</v>
      </c>
      <c r="K324">
        <v>0</v>
      </c>
    </row>
    <row r="325" spans="1:11" x14ac:dyDescent="0.3">
      <c r="A325">
        <v>324</v>
      </c>
      <c r="B325">
        <v>39</v>
      </c>
      <c r="C325">
        <v>3</v>
      </c>
      <c r="D325">
        <v>301</v>
      </c>
      <c r="E325" t="s">
        <v>651</v>
      </c>
      <c r="F325">
        <v>13.74</v>
      </c>
      <c r="G325" t="s">
        <v>623</v>
      </c>
      <c r="H325" s="1">
        <v>45983.377013888887</v>
      </c>
      <c r="I325" t="s">
        <v>630</v>
      </c>
      <c r="J325">
        <v>13.74</v>
      </c>
      <c r="K325">
        <v>0</v>
      </c>
    </row>
    <row r="326" spans="1:11" x14ac:dyDescent="0.3">
      <c r="A326">
        <v>325</v>
      </c>
      <c r="B326">
        <v>261</v>
      </c>
      <c r="C326">
        <v>5</v>
      </c>
      <c r="D326">
        <v>302</v>
      </c>
      <c r="E326" t="s">
        <v>651</v>
      </c>
      <c r="F326">
        <v>5.94</v>
      </c>
      <c r="G326" t="s">
        <v>623</v>
      </c>
      <c r="H326" s="1">
        <v>45983.381701388891</v>
      </c>
      <c r="I326" t="s">
        <v>630</v>
      </c>
      <c r="J326">
        <v>5.94</v>
      </c>
      <c r="K326">
        <v>0</v>
      </c>
    </row>
    <row r="327" spans="1:11" x14ac:dyDescent="0.3">
      <c r="A327">
        <v>326</v>
      </c>
      <c r="B327">
        <v>16</v>
      </c>
      <c r="C327">
        <v>5</v>
      </c>
      <c r="D327">
        <v>303</v>
      </c>
      <c r="E327" t="s">
        <v>657</v>
      </c>
      <c r="F327">
        <v>130.58000000000001</v>
      </c>
      <c r="G327" t="s">
        <v>623</v>
      </c>
      <c r="H327" s="1">
        <v>45983.386481481481</v>
      </c>
      <c r="I327" t="s">
        <v>630</v>
      </c>
      <c r="J327">
        <v>0</v>
      </c>
      <c r="K327">
        <v>130.58000000000001</v>
      </c>
    </row>
    <row r="328" spans="1:11" x14ac:dyDescent="0.3">
      <c r="A328">
        <v>327</v>
      </c>
      <c r="B328">
        <v>84</v>
      </c>
      <c r="C328">
        <v>2</v>
      </c>
      <c r="D328">
        <v>304</v>
      </c>
      <c r="E328" t="s">
        <v>651</v>
      </c>
      <c r="F328">
        <v>3.88</v>
      </c>
      <c r="G328" t="s">
        <v>623</v>
      </c>
      <c r="H328" s="1">
        <v>45983.408020833333</v>
      </c>
      <c r="I328" t="s">
        <v>630</v>
      </c>
      <c r="J328">
        <v>3.88</v>
      </c>
      <c r="K328">
        <v>0</v>
      </c>
    </row>
    <row r="329" spans="1:11" x14ac:dyDescent="0.3">
      <c r="A329">
        <v>328</v>
      </c>
      <c r="B329">
        <v>168</v>
      </c>
      <c r="C329">
        <v>2</v>
      </c>
      <c r="D329">
        <v>305</v>
      </c>
      <c r="E329" t="s">
        <v>651</v>
      </c>
      <c r="F329">
        <v>1.72</v>
      </c>
      <c r="G329" t="s">
        <v>623</v>
      </c>
      <c r="H329" s="1">
        <v>45983.422337962962</v>
      </c>
      <c r="I329" t="s">
        <v>630</v>
      </c>
      <c r="J329">
        <v>1.72</v>
      </c>
      <c r="K329">
        <v>0</v>
      </c>
    </row>
    <row r="330" spans="1:11" x14ac:dyDescent="0.3">
      <c r="A330">
        <v>329</v>
      </c>
      <c r="B330">
        <v>32</v>
      </c>
      <c r="C330">
        <v>5</v>
      </c>
      <c r="D330">
        <v>306</v>
      </c>
      <c r="E330" t="s">
        <v>651</v>
      </c>
      <c r="F330">
        <v>3.94</v>
      </c>
      <c r="G330" t="s">
        <v>623</v>
      </c>
      <c r="H330" s="1">
        <v>45983.455046296294</v>
      </c>
      <c r="I330" t="s">
        <v>630</v>
      </c>
      <c r="J330">
        <v>3.94</v>
      </c>
      <c r="K330">
        <v>0</v>
      </c>
    </row>
    <row r="331" spans="1:11" x14ac:dyDescent="0.3">
      <c r="A331">
        <v>330</v>
      </c>
      <c r="B331">
        <v>249</v>
      </c>
      <c r="C331">
        <v>5</v>
      </c>
      <c r="D331">
        <v>307</v>
      </c>
      <c r="E331" t="s">
        <v>651</v>
      </c>
      <c r="F331">
        <v>13.52</v>
      </c>
      <c r="G331" t="s">
        <v>623</v>
      </c>
      <c r="H331" s="1">
        <v>45983.473946759259</v>
      </c>
      <c r="I331" t="s">
        <v>630</v>
      </c>
      <c r="J331">
        <v>13.52</v>
      </c>
      <c r="K331">
        <v>0</v>
      </c>
    </row>
    <row r="332" spans="1:11" x14ac:dyDescent="0.3">
      <c r="A332">
        <v>331</v>
      </c>
      <c r="B332">
        <v>155</v>
      </c>
      <c r="C332">
        <v>4</v>
      </c>
      <c r="D332">
        <v>308</v>
      </c>
      <c r="E332" t="s">
        <v>651</v>
      </c>
      <c r="F332">
        <v>5.39</v>
      </c>
      <c r="G332" t="s">
        <v>623</v>
      </c>
      <c r="H332" s="1">
        <v>45983.557939814818</v>
      </c>
      <c r="I332" t="s">
        <v>630</v>
      </c>
      <c r="J332">
        <v>5.39</v>
      </c>
      <c r="K332">
        <v>0</v>
      </c>
    </row>
    <row r="333" spans="1:11" x14ac:dyDescent="0.3">
      <c r="A333">
        <v>332</v>
      </c>
      <c r="B333">
        <v>137</v>
      </c>
      <c r="C333">
        <v>2</v>
      </c>
      <c r="D333">
        <v>309</v>
      </c>
      <c r="E333" t="s">
        <v>651</v>
      </c>
      <c r="F333">
        <v>3.07</v>
      </c>
      <c r="G333" t="s">
        <v>623</v>
      </c>
      <c r="H333" s="1">
        <v>45983.579305555555</v>
      </c>
      <c r="I333" t="s">
        <v>630</v>
      </c>
      <c r="J333">
        <v>3.07</v>
      </c>
      <c r="K333">
        <v>0</v>
      </c>
    </row>
    <row r="334" spans="1:11" x14ac:dyDescent="0.3">
      <c r="A334">
        <v>333</v>
      </c>
      <c r="B334">
        <v>38</v>
      </c>
      <c r="C334">
        <v>3</v>
      </c>
      <c r="D334">
        <v>310</v>
      </c>
      <c r="E334" t="s">
        <v>651</v>
      </c>
      <c r="F334">
        <v>2.61</v>
      </c>
      <c r="G334" t="s">
        <v>623</v>
      </c>
      <c r="H334" s="1">
        <v>45983.583715277775</v>
      </c>
      <c r="I334" t="s">
        <v>630</v>
      </c>
      <c r="J334">
        <v>2.61</v>
      </c>
      <c r="K334">
        <v>0</v>
      </c>
    </row>
    <row r="335" spans="1:11" x14ac:dyDescent="0.3">
      <c r="A335">
        <v>334</v>
      </c>
      <c r="B335">
        <v>39</v>
      </c>
      <c r="C335">
        <v>2</v>
      </c>
      <c r="D335">
        <v>311</v>
      </c>
      <c r="E335" t="s">
        <v>651</v>
      </c>
      <c r="F335">
        <v>17.37</v>
      </c>
      <c r="G335" t="s">
        <v>623</v>
      </c>
      <c r="H335" s="1">
        <v>45983.599791666667</v>
      </c>
      <c r="I335" t="s">
        <v>630</v>
      </c>
      <c r="J335">
        <v>17.37</v>
      </c>
      <c r="K335">
        <v>0</v>
      </c>
    </row>
    <row r="336" spans="1:11" x14ac:dyDescent="0.3">
      <c r="A336">
        <v>335</v>
      </c>
      <c r="B336">
        <v>16</v>
      </c>
      <c r="C336">
        <v>3</v>
      </c>
      <c r="D336">
        <v>303</v>
      </c>
      <c r="E336" t="s">
        <v>649</v>
      </c>
      <c r="F336">
        <v>130.58000000000001</v>
      </c>
      <c r="G336" t="s">
        <v>666</v>
      </c>
      <c r="H336" s="1">
        <v>45983.636481481481</v>
      </c>
      <c r="I336" t="s">
        <v>630</v>
      </c>
      <c r="J336">
        <v>0</v>
      </c>
      <c r="K336">
        <v>0</v>
      </c>
    </row>
    <row r="337" spans="1:11" x14ac:dyDescent="0.3">
      <c r="A337">
        <v>336</v>
      </c>
      <c r="B337">
        <v>76</v>
      </c>
      <c r="C337">
        <v>4</v>
      </c>
      <c r="D337">
        <v>312</v>
      </c>
      <c r="E337" t="s">
        <v>651</v>
      </c>
      <c r="F337">
        <v>4.1399999999999997</v>
      </c>
      <c r="G337" t="s">
        <v>623</v>
      </c>
      <c r="H337" s="1">
        <v>45983.63994212963</v>
      </c>
      <c r="I337" t="s">
        <v>630</v>
      </c>
      <c r="J337">
        <v>4.1399999999999997</v>
      </c>
      <c r="K337">
        <v>0</v>
      </c>
    </row>
    <row r="338" spans="1:11" x14ac:dyDescent="0.3">
      <c r="A338">
        <v>337</v>
      </c>
      <c r="B338">
        <v>44</v>
      </c>
      <c r="C338">
        <v>4</v>
      </c>
      <c r="D338">
        <v>313</v>
      </c>
      <c r="E338" t="s">
        <v>651</v>
      </c>
      <c r="F338">
        <v>4.28</v>
      </c>
      <c r="G338" t="s">
        <v>623</v>
      </c>
      <c r="H338" s="1">
        <v>45983.653067129628</v>
      </c>
      <c r="I338" t="s">
        <v>630</v>
      </c>
      <c r="J338">
        <v>4.28</v>
      </c>
      <c r="K338">
        <v>0</v>
      </c>
    </row>
    <row r="339" spans="1:11" x14ac:dyDescent="0.3">
      <c r="A339">
        <v>338</v>
      </c>
      <c r="B339">
        <v>44</v>
      </c>
      <c r="C339">
        <v>2</v>
      </c>
      <c r="D339">
        <v>314</v>
      </c>
      <c r="E339" t="s">
        <v>651</v>
      </c>
      <c r="F339">
        <v>1.96</v>
      </c>
      <c r="G339" t="s">
        <v>623</v>
      </c>
      <c r="H339" s="1">
        <v>45983.731840277775</v>
      </c>
      <c r="I339" t="s">
        <v>630</v>
      </c>
      <c r="J339">
        <v>1.96</v>
      </c>
      <c r="K339">
        <v>0</v>
      </c>
    </row>
    <row r="340" spans="1:11" x14ac:dyDescent="0.3">
      <c r="A340">
        <v>339</v>
      </c>
      <c r="B340">
        <v>138</v>
      </c>
      <c r="C340">
        <v>3</v>
      </c>
      <c r="D340">
        <v>315</v>
      </c>
      <c r="E340" t="s">
        <v>651</v>
      </c>
      <c r="F340">
        <v>3.3</v>
      </c>
      <c r="G340" t="s">
        <v>623</v>
      </c>
      <c r="H340" s="1">
        <v>45983.78974537037</v>
      </c>
      <c r="I340" t="s">
        <v>630</v>
      </c>
      <c r="J340">
        <v>3.3</v>
      </c>
      <c r="K340">
        <v>0</v>
      </c>
    </row>
    <row r="341" spans="1:11" x14ac:dyDescent="0.3">
      <c r="A341">
        <v>340</v>
      </c>
      <c r="B341">
        <v>280</v>
      </c>
      <c r="C341">
        <v>1</v>
      </c>
      <c r="E341" t="s">
        <v>649</v>
      </c>
      <c r="F341">
        <v>33.549999999999997</v>
      </c>
      <c r="G341" t="s">
        <v>660</v>
      </c>
      <c r="H341" s="1">
        <v>45983.943657407406</v>
      </c>
      <c r="I341" t="s">
        <v>630</v>
      </c>
      <c r="J341">
        <v>0</v>
      </c>
      <c r="K341">
        <v>0</v>
      </c>
    </row>
    <row r="342" spans="1:11" x14ac:dyDescent="0.3">
      <c r="A342">
        <v>341</v>
      </c>
      <c r="B342">
        <v>16</v>
      </c>
      <c r="C342">
        <v>5</v>
      </c>
      <c r="D342">
        <v>316</v>
      </c>
      <c r="E342" t="s">
        <v>651</v>
      </c>
      <c r="F342">
        <v>15.29</v>
      </c>
      <c r="G342" t="s">
        <v>623</v>
      </c>
      <c r="H342" s="1">
        <v>45984.671527777777</v>
      </c>
      <c r="I342" t="s">
        <v>630</v>
      </c>
      <c r="J342">
        <v>15.29</v>
      </c>
      <c r="K342">
        <v>0</v>
      </c>
    </row>
    <row r="343" spans="1:11" x14ac:dyDescent="0.3">
      <c r="A343">
        <v>342</v>
      </c>
      <c r="B343">
        <v>53</v>
      </c>
      <c r="C343">
        <v>4</v>
      </c>
      <c r="D343">
        <v>317</v>
      </c>
      <c r="E343" t="s">
        <v>651</v>
      </c>
      <c r="F343">
        <v>3.93</v>
      </c>
      <c r="G343" t="s">
        <v>623</v>
      </c>
      <c r="H343" s="1">
        <v>45984.704270833332</v>
      </c>
      <c r="I343" t="s">
        <v>630</v>
      </c>
      <c r="J343">
        <v>3.93</v>
      </c>
      <c r="K343">
        <v>0</v>
      </c>
    </row>
    <row r="344" spans="1:11" x14ac:dyDescent="0.3">
      <c r="A344">
        <v>343</v>
      </c>
      <c r="B344">
        <v>47</v>
      </c>
      <c r="C344">
        <v>5</v>
      </c>
      <c r="D344">
        <v>300</v>
      </c>
      <c r="E344" t="s">
        <v>649</v>
      </c>
      <c r="F344">
        <v>-3.3</v>
      </c>
      <c r="G344" t="s">
        <v>667</v>
      </c>
      <c r="H344" s="1">
        <v>45985.200173611112</v>
      </c>
      <c r="I344" t="s">
        <v>630</v>
      </c>
      <c r="J344">
        <v>0</v>
      </c>
      <c r="K344">
        <v>0</v>
      </c>
    </row>
    <row r="345" spans="1:11" x14ac:dyDescent="0.3">
      <c r="A345">
        <v>344</v>
      </c>
      <c r="B345">
        <v>137</v>
      </c>
      <c r="C345">
        <v>3</v>
      </c>
      <c r="D345">
        <v>318</v>
      </c>
      <c r="E345" t="s">
        <v>651</v>
      </c>
      <c r="F345">
        <v>4.93</v>
      </c>
      <c r="G345" t="s">
        <v>623</v>
      </c>
      <c r="H345" s="1">
        <v>45985.333043981482</v>
      </c>
      <c r="I345" t="s">
        <v>630</v>
      </c>
      <c r="J345">
        <v>4.93</v>
      </c>
      <c r="K345">
        <v>0</v>
      </c>
    </row>
    <row r="346" spans="1:11" x14ac:dyDescent="0.3">
      <c r="A346">
        <v>345</v>
      </c>
      <c r="B346">
        <v>55</v>
      </c>
      <c r="C346">
        <v>2</v>
      </c>
      <c r="D346">
        <v>319</v>
      </c>
      <c r="E346" t="s">
        <v>651</v>
      </c>
      <c r="F346">
        <v>4.34</v>
      </c>
      <c r="G346" t="s">
        <v>623</v>
      </c>
      <c r="H346" s="1">
        <v>45985.373877314814</v>
      </c>
      <c r="I346" t="s">
        <v>630</v>
      </c>
      <c r="J346">
        <v>4.34</v>
      </c>
      <c r="K346">
        <v>0</v>
      </c>
    </row>
    <row r="347" spans="1:11" x14ac:dyDescent="0.3">
      <c r="A347">
        <v>346</v>
      </c>
      <c r="B347">
        <v>13</v>
      </c>
      <c r="C347">
        <v>5</v>
      </c>
      <c r="D347">
        <v>320</v>
      </c>
      <c r="E347" t="s">
        <v>651</v>
      </c>
      <c r="F347">
        <v>1.79</v>
      </c>
      <c r="G347" t="s">
        <v>623</v>
      </c>
      <c r="H347" s="1">
        <v>45985.469513888886</v>
      </c>
      <c r="I347" t="s">
        <v>630</v>
      </c>
      <c r="J347">
        <v>1.79</v>
      </c>
      <c r="K347">
        <v>0</v>
      </c>
    </row>
    <row r="348" spans="1:11" x14ac:dyDescent="0.3">
      <c r="A348">
        <v>347</v>
      </c>
      <c r="B348">
        <v>21</v>
      </c>
      <c r="C348">
        <v>3</v>
      </c>
      <c r="D348">
        <v>321</v>
      </c>
      <c r="E348" t="s">
        <v>651</v>
      </c>
      <c r="F348">
        <v>2.38</v>
      </c>
      <c r="G348" t="s">
        <v>623</v>
      </c>
      <c r="H348" s="1">
        <v>45985.541956018518</v>
      </c>
      <c r="I348" t="s">
        <v>630</v>
      </c>
      <c r="J348">
        <v>2.38</v>
      </c>
      <c r="K348">
        <v>0</v>
      </c>
    </row>
    <row r="349" spans="1:11" x14ac:dyDescent="0.3">
      <c r="A349">
        <v>348</v>
      </c>
      <c r="B349">
        <v>65</v>
      </c>
      <c r="C349">
        <v>3</v>
      </c>
      <c r="D349">
        <v>322</v>
      </c>
      <c r="E349" t="s">
        <v>651</v>
      </c>
      <c r="F349">
        <v>2.63</v>
      </c>
      <c r="G349" t="s">
        <v>623</v>
      </c>
      <c r="H349" s="1">
        <v>45985.640775462962</v>
      </c>
      <c r="I349" t="s">
        <v>630</v>
      </c>
      <c r="J349">
        <v>2.63</v>
      </c>
      <c r="K349">
        <v>0</v>
      </c>
    </row>
    <row r="350" spans="1:11" x14ac:dyDescent="0.3">
      <c r="A350">
        <v>349</v>
      </c>
      <c r="B350">
        <v>65</v>
      </c>
      <c r="C350">
        <v>2</v>
      </c>
      <c r="D350">
        <v>323</v>
      </c>
      <c r="E350" t="s">
        <v>651</v>
      </c>
      <c r="F350">
        <v>3.09</v>
      </c>
      <c r="G350" t="s">
        <v>623</v>
      </c>
      <c r="H350" s="1">
        <v>45985.680856481478</v>
      </c>
      <c r="I350" t="s">
        <v>630</v>
      </c>
      <c r="J350">
        <v>3.09</v>
      </c>
      <c r="K350">
        <v>0</v>
      </c>
    </row>
    <row r="351" spans="1:11" x14ac:dyDescent="0.3">
      <c r="A351">
        <v>350</v>
      </c>
      <c r="B351">
        <v>76</v>
      </c>
      <c r="C351">
        <v>4</v>
      </c>
      <c r="D351">
        <v>324</v>
      </c>
      <c r="E351" t="s">
        <v>651</v>
      </c>
      <c r="F351">
        <v>9.09</v>
      </c>
      <c r="G351" t="s">
        <v>623</v>
      </c>
      <c r="H351" s="1">
        <v>45985.74863425926</v>
      </c>
      <c r="I351" t="s">
        <v>630</v>
      </c>
      <c r="J351">
        <v>9.09</v>
      </c>
      <c r="K351">
        <v>0</v>
      </c>
    </row>
    <row r="352" spans="1:11" x14ac:dyDescent="0.3">
      <c r="A352">
        <v>351</v>
      </c>
      <c r="B352">
        <v>117</v>
      </c>
      <c r="C352">
        <v>4</v>
      </c>
      <c r="D352">
        <v>325</v>
      </c>
      <c r="E352" t="s">
        <v>651</v>
      </c>
      <c r="F352">
        <v>13.74</v>
      </c>
      <c r="G352" t="s">
        <v>623</v>
      </c>
      <c r="H352" s="1">
        <v>45985.781597222223</v>
      </c>
      <c r="I352" t="s">
        <v>630</v>
      </c>
      <c r="J352">
        <v>13.74</v>
      </c>
      <c r="K352">
        <v>0</v>
      </c>
    </row>
    <row r="353" spans="1:11" x14ac:dyDescent="0.3">
      <c r="A353">
        <v>352</v>
      </c>
      <c r="B353">
        <v>277</v>
      </c>
      <c r="C353">
        <v>3</v>
      </c>
      <c r="D353">
        <v>326</v>
      </c>
      <c r="E353" t="s">
        <v>651</v>
      </c>
      <c r="F353">
        <v>11.51</v>
      </c>
      <c r="G353" t="s">
        <v>623</v>
      </c>
      <c r="H353" s="1">
        <v>45986.379837962966</v>
      </c>
      <c r="I353" t="s">
        <v>630</v>
      </c>
      <c r="J353">
        <v>11.51</v>
      </c>
      <c r="K353">
        <v>0</v>
      </c>
    </row>
    <row r="354" spans="1:11" x14ac:dyDescent="0.3">
      <c r="A354">
        <v>353</v>
      </c>
      <c r="B354">
        <v>44</v>
      </c>
      <c r="C354">
        <v>2</v>
      </c>
      <c r="D354">
        <v>327</v>
      </c>
      <c r="E354" t="s">
        <v>651</v>
      </c>
      <c r="F354">
        <v>6.47</v>
      </c>
      <c r="G354" t="s">
        <v>623</v>
      </c>
      <c r="H354" s="1">
        <v>45986.388564814813</v>
      </c>
      <c r="I354" t="s">
        <v>630</v>
      </c>
      <c r="J354">
        <v>6.47</v>
      </c>
      <c r="K354">
        <v>0</v>
      </c>
    </row>
    <row r="355" spans="1:11" x14ac:dyDescent="0.3">
      <c r="A355">
        <v>354</v>
      </c>
      <c r="B355">
        <v>57</v>
      </c>
      <c r="C355">
        <v>2</v>
      </c>
      <c r="D355">
        <v>328</v>
      </c>
      <c r="E355" t="s">
        <v>651</v>
      </c>
      <c r="F355">
        <v>5.76</v>
      </c>
      <c r="G355" t="s">
        <v>623</v>
      </c>
      <c r="H355" s="1">
        <v>45986.448738425926</v>
      </c>
      <c r="I355" t="s">
        <v>630</v>
      </c>
      <c r="J355">
        <v>5.76</v>
      </c>
      <c r="K355">
        <v>0</v>
      </c>
    </row>
    <row r="356" spans="1:11" x14ac:dyDescent="0.3">
      <c r="A356">
        <v>355</v>
      </c>
      <c r="B356">
        <v>113</v>
      </c>
      <c r="C356">
        <v>5</v>
      </c>
      <c r="D356">
        <v>329</v>
      </c>
      <c r="E356" t="s">
        <v>651</v>
      </c>
      <c r="F356">
        <v>4.58</v>
      </c>
      <c r="G356" t="s">
        <v>623</v>
      </c>
      <c r="H356" s="1">
        <v>45986.506018518521</v>
      </c>
      <c r="I356" t="s">
        <v>630</v>
      </c>
      <c r="J356">
        <v>4.58</v>
      </c>
      <c r="K356">
        <v>0</v>
      </c>
    </row>
    <row r="357" spans="1:11" x14ac:dyDescent="0.3">
      <c r="A357">
        <v>356</v>
      </c>
      <c r="B357">
        <v>126</v>
      </c>
      <c r="C357">
        <v>3</v>
      </c>
      <c r="D357">
        <v>330</v>
      </c>
      <c r="E357" t="s">
        <v>651</v>
      </c>
      <c r="F357">
        <v>9.92</v>
      </c>
      <c r="G357" t="s">
        <v>623</v>
      </c>
      <c r="H357" s="1">
        <v>45986.560567129629</v>
      </c>
      <c r="I357" t="s">
        <v>630</v>
      </c>
      <c r="J357">
        <v>9.92</v>
      </c>
      <c r="K357">
        <v>0</v>
      </c>
    </row>
    <row r="358" spans="1:11" x14ac:dyDescent="0.3">
      <c r="A358">
        <v>357</v>
      </c>
      <c r="B358">
        <v>32</v>
      </c>
      <c r="C358">
        <v>3</v>
      </c>
      <c r="D358">
        <v>331</v>
      </c>
      <c r="E358" t="s">
        <v>651</v>
      </c>
      <c r="F358">
        <v>3.76</v>
      </c>
      <c r="G358" t="s">
        <v>623</v>
      </c>
      <c r="H358" s="1">
        <v>45986.651076388887</v>
      </c>
      <c r="I358" t="s">
        <v>630</v>
      </c>
      <c r="J358">
        <v>3.76</v>
      </c>
      <c r="K358">
        <v>0</v>
      </c>
    </row>
    <row r="359" spans="1:11" x14ac:dyDescent="0.3">
      <c r="A359">
        <v>358</v>
      </c>
      <c r="B359">
        <v>76</v>
      </c>
      <c r="C359">
        <v>1</v>
      </c>
      <c r="E359" t="s">
        <v>649</v>
      </c>
      <c r="F359">
        <v>6.28</v>
      </c>
      <c r="G359" t="s">
        <v>660</v>
      </c>
      <c r="H359" s="1">
        <v>45987.305173611108</v>
      </c>
      <c r="I359" t="s">
        <v>630</v>
      </c>
      <c r="J359">
        <v>0</v>
      </c>
      <c r="K359">
        <v>0</v>
      </c>
    </row>
    <row r="360" spans="1:11" x14ac:dyDescent="0.3">
      <c r="A360">
        <v>359</v>
      </c>
      <c r="B360">
        <v>17</v>
      </c>
      <c r="C360">
        <v>5</v>
      </c>
      <c r="D360">
        <v>332</v>
      </c>
      <c r="E360" t="s">
        <v>651</v>
      </c>
      <c r="F360">
        <v>10.72</v>
      </c>
      <c r="G360" t="s">
        <v>623</v>
      </c>
      <c r="H360" s="1">
        <v>45987.30846064815</v>
      </c>
      <c r="I360" t="s">
        <v>630</v>
      </c>
      <c r="J360">
        <v>10.72</v>
      </c>
      <c r="K360">
        <v>0</v>
      </c>
    </row>
    <row r="361" spans="1:11" x14ac:dyDescent="0.3">
      <c r="A361">
        <v>360</v>
      </c>
      <c r="B361">
        <v>40</v>
      </c>
      <c r="C361">
        <v>3</v>
      </c>
      <c r="D361">
        <v>333</v>
      </c>
      <c r="E361" t="s">
        <v>651</v>
      </c>
      <c r="F361">
        <v>9.7100000000000009</v>
      </c>
      <c r="G361" t="s">
        <v>623</v>
      </c>
      <c r="H361" s="1">
        <v>45987.311932870369</v>
      </c>
      <c r="I361" t="s">
        <v>630</v>
      </c>
      <c r="J361">
        <v>9.7100000000000009</v>
      </c>
      <c r="K361">
        <v>0</v>
      </c>
    </row>
    <row r="362" spans="1:11" x14ac:dyDescent="0.3">
      <c r="A362">
        <v>361</v>
      </c>
      <c r="B362">
        <v>32</v>
      </c>
      <c r="C362">
        <v>1</v>
      </c>
      <c r="E362" t="s">
        <v>649</v>
      </c>
      <c r="F362">
        <v>8.9499999999999993</v>
      </c>
      <c r="G362" t="s">
        <v>652</v>
      </c>
      <c r="H362" s="1">
        <v>45987.315740740742</v>
      </c>
      <c r="I362" t="s">
        <v>630</v>
      </c>
      <c r="J362">
        <v>0</v>
      </c>
      <c r="K362">
        <v>0</v>
      </c>
    </row>
    <row r="363" spans="1:11" x14ac:dyDescent="0.3">
      <c r="A363">
        <v>362</v>
      </c>
      <c r="B363">
        <v>16</v>
      </c>
      <c r="C363">
        <v>5</v>
      </c>
      <c r="D363">
        <v>334</v>
      </c>
      <c r="E363" t="s">
        <v>651</v>
      </c>
      <c r="F363">
        <v>14.59</v>
      </c>
      <c r="G363" t="s">
        <v>623</v>
      </c>
      <c r="H363" s="1">
        <v>45987.346087962964</v>
      </c>
      <c r="I363" t="s">
        <v>630</v>
      </c>
      <c r="J363">
        <v>14.59</v>
      </c>
      <c r="K363">
        <v>0</v>
      </c>
    </row>
    <row r="364" spans="1:11" x14ac:dyDescent="0.3">
      <c r="A364">
        <v>363</v>
      </c>
      <c r="B364">
        <v>117</v>
      </c>
      <c r="C364">
        <v>3</v>
      </c>
      <c r="D364">
        <v>335</v>
      </c>
      <c r="E364" t="s">
        <v>651</v>
      </c>
      <c r="F364">
        <v>6.94</v>
      </c>
      <c r="G364" t="s">
        <v>623</v>
      </c>
      <c r="H364" s="1">
        <v>45987.358761574076</v>
      </c>
      <c r="I364" t="s">
        <v>630</v>
      </c>
      <c r="J364">
        <v>6.94</v>
      </c>
      <c r="K364">
        <v>0</v>
      </c>
    </row>
    <row r="365" spans="1:11" x14ac:dyDescent="0.3">
      <c r="A365">
        <v>364</v>
      </c>
      <c r="B365">
        <v>152</v>
      </c>
      <c r="C365">
        <v>2</v>
      </c>
      <c r="D365">
        <v>336</v>
      </c>
      <c r="E365" t="s">
        <v>651</v>
      </c>
      <c r="F365">
        <v>10.4</v>
      </c>
      <c r="G365" t="s">
        <v>623</v>
      </c>
      <c r="H365" s="1">
        <v>45987.366932870369</v>
      </c>
      <c r="I365" t="s">
        <v>630</v>
      </c>
      <c r="J365">
        <v>10.4</v>
      </c>
      <c r="K365">
        <v>0</v>
      </c>
    </row>
    <row r="366" spans="1:11" x14ac:dyDescent="0.3">
      <c r="A366">
        <v>365</v>
      </c>
      <c r="B366">
        <v>117</v>
      </c>
      <c r="C366">
        <v>2</v>
      </c>
      <c r="D366">
        <v>337</v>
      </c>
      <c r="E366" t="s">
        <v>651</v>
      </c>
      <c r="F366">
        <v>15.94</v>
      </c>
      <c r="G366" t="s">
        <v>623</v>
      </c>
      <c r="H366" s="1">
        <v>45987.372939814813</v>
      </c>
      <c r="I366" t="s">
        <v>630</v>
      </c>
      <c r="J366">
        <v>15.94</v>
      </c>
      <c r="K366">
        <v>0</v>
      </c>
    </row>
    <row r="367" spans="1:11" x14ac:dyDescent="0.3">
      <c r="A367">
        <v>366</v>
      </c>
      <c r="B367">
        <v>62</v>
      </c>
      <c r="C367">
        <v>5</v>
      </c>
      <c r="D367">
        <v>338</v>
      </c>
      <c r="E367" t="s">
        <v>651</v>
      </c>
      <c r="F367">
        <v>3.48</v>
      </c>
      <c r="G367" t="s">
        <v>623</v>
      </c>
      <c r="H367" s="1">
        <v>45987.422511574077</v>
      </c>
      <c r="I367" t="s">
        <v>630</v>
      </c>
      <c r="J367">
        <v>3.48</v>
      </c>
      <c r="K367">
        <v>0</v>
      </c>
    </row>
    <row r="368" spans="1:11" x14ac:dyDescent="0.3">
      <c r="A368">
        <v>367</v>
      </c>
      <c r="B368">
        <v>262</v>
      </c>
      <c r="C368">
        <v>3</v>
      </c>
      <c r="D368">
        <v>339</v>
      </c>
      <c r="E368" t="s">
        <v>651</v>
      </c>
      <c r="F368">
        <v>5.85</v>
      </c>
      <c r="G368" t="s">
        <v>623</v>
      </c>
      <c r="H368" s="1">
        <v>45987.463043981479</v>
      </c>
      <c r="I368" t="s">
        <v>630</v>
      </c>
      <c r="J368">
        <v>5.85</v>
      </c>
      <c r="K368">
        <v>0</v>
      </c>
    </row>
    <row r="369" spans="1:11" x14ac:dyDescent="0.3">
      <c r="A369">
        <v>368</v>
      </c>
      <c r="B369">
        <v>104</v>
      </c>
      <c r="C369">
        <v>3</v>
      </c>
      <c r="D369">
        <v>340</v>
      </c>
      <c r="E369" t="s">
        <v>651</v>
      </c>
      <c r="F369">
        <v>25.19</v>
      </c>
      <c r="G369" t="s">
        <v>623</v>
      </c>
      <c r="H369" s="1">
        <v>45987.470856481479</v>
      </c>
      <c r="I369" t="s">
        <v>630</v>
      </c>
      <c r="J369">
        <v>25.19</v>
      </c>
      <c r="K369">
        <v>0</v>
      </c>
    </row>
    <row r="370" spans="1:11" x14ac:dyDescent="0.3">
      <c r="A370">
        <v>369</v>
      </c>
      <c r="B370">
        <v>39</v>
      </c>
      <c r="C370">
        <v>2</v>
      </c>
      <c r="D370">
        <v>341</v>
      </c>
      <c r="E370" t="s">
        <v>651</v>
      </c>
      <c r="F370">
        <v>22.42</v>
      </c>
      <c r="G370" t="s">
        <v>623</v>
      </c>
      <c r="H370" s="1">
        <v>45987.500937500001</v>
      </c>
      <c r="I370" t="s">
        <v>630</v>
      </c>
      <c r="J370">
        <v>22.42</v>
      </c>
      <c r="K370">
        <v>0</v>
      </c>
    </row>
    <row r="371" spans="1:11" x14ac:dyDescent="0.3">
      <c r="A371">
        <v>370</v>
      </c>
      <c r="B371">
        <v>251</v>
      </c>
      <c r="C371">
        <v>3</v>
      </c>
      <c r="D371">
        <v>342</v>
      </c>
      <c r="E371" t="s">
        <v>651</v>
      </c>
      <c r="F371">
        <v>6.65</v>
      </c>
      <c r="G371" t="s">
        <v>623</v>
      </c>
      <c r="H371" s="1">
        <v>45987.518680555557</v>
      </c>
      <c r="I371" t="s">
        <v>630</v>
      </c>
      <c r="J371">
        <v>6.65</v>
      </c>
      <c r="K371">
        <v>0</v>
      </c>
    </row>
    <row r="372" spans="1:11" x14ac:dyDescent="0.3">
      <c r="A372">
        <v>371</v>
      </c>
      <c r="B372">
        <v>266</v>
      </c>
      <c r="C372">
        <v>2</v>
      </c>
      <c r="D372">
        <v>343</v>
      </c>
      <c r="E372" t="s">
        <v>651</v>
      </c>
      <c r="F372">
        <v>25.24</v>
      </c>
      <c r="G372" t="s">
        <v>623</v>
      </c>
      <c r="H372" s="1">
        <v>45987.60496527778</v>
      </c>
      <c r="I372" t="s">
        <v>630</v>
      </c>
      <c r="J372">
        <v>25.24</v>
      </c>
      <c r="K372">
        <v>0</v>
      </c>
    </row>
    <row r="373" spans="1:11" x14ac:dyDescent="0.3">
      <c r="A373">
        <v>372</v>
      </c>
      <c r="B373">
        <v>51</v>
      </c>
      <c r="C373">
        <v>4</v>
      </c>
      <c r="D373">
        <v>344</v>
      </c>
      <c r="E373" t="s">
        <v>651</v>
      </c>
      <c r="F373">
        <v>19.78</v>
      </c>
      <c r="G373" t="s">
        <v>623</v>
      </c>
      <c r="H373" s="1">
        <v>45987.631331018521</v>
      </c>
      <c r="I373" t="s">
        <v>630</v>
      </c>
      <c r="J373">
        <v>19.78</v>
      </c>
      <c r="K373">
        <v>0</v>
      </c>
    </row>
    <row r="374" spans="1:11" x14ac:dyDescent="0.3">
      <c r="A374">
        <v>373</v>
      </c>
      <c r="B374">
        <v>245</v>
      </c>
      <c r="C374">
        <v>5</v>
      </c>
      <c r="D374">
        <v>345</v>
      </c>
      <c r="E374" t="s">
        <v>651</v>
      </c>
      <c r="F374">
        <v>2.85</v>
      </c>
      <c r="G374" t="s">
        <v>623</v>
      </c>
      <c r="H374" s="1">
        <v>45987.645775462966</v>
      </c>
      <c r="I374" t="s">
        <v>630</v>
      </c>
      <c r="J374">
        <v>2.85</v>
      </c>
      <c r="K374">
        <v>0</v>
      </c>
    </row>
    <row r="375" spans="1:11" x14ac:dyDescent="0.3">
      <c r="A375">
        <v>374</v>
      </c>
      <c r="B375">
        <v>39</v>
      </c>
      <c r="C375">
        <v>4</v>
      </c>
      <c r="D375">
        <v>346</v>
      </c>
      <c r="E375" t="s">
        <v>657</v>
      </c>
      <c r="F375">
        <v>157.72999999999999</v>
      </c>
      <c r="G375" t="s">
        <v>623</v>
      </c>
      <c r="H375" s="1">
        <v>45987.76353009259</v>
      </c>
      <c r="I375" t="s">
        <v>630</v>
      </c>
      <c r="J375">
        <v>0</v>
      </c>
      <c r="K375">
        <v>157.72999999999999</v>
      </c>
    </row>
    <row r="376" spans="1:11" x14ac:dyDescent="0.3">
      <c r="A376">
        <v>375</v>
      </c>
      <c r="B376">
        <v>44</v>
      </c>
      <c r="C376">
        <v>3</v>
      </c>
      <c r="D376">
        <v>347</v>
      </c>
      <c r="E376" t="s">
        <v>651</v>
      </c>
      <c r="F376">
        <v>2.86</v>
      </c>
      <c r="G376" t="s">
        <v>623</v>
      </c>
      <c r="H376" s="1">
        <v>45987.823807870373</v>
      </c>
      <c r="I376" t="s">
        <v>630</v>
      </c>
      <c r="J376">
        <v>2.86</v>
      </c>
      <c r="K376">
        <v>0</v>
      </c>
    </row>
    <row r="377" spans="1:11" x14ac:dyDescent="0.3">
      <c r="A377">
        <v>376</v>
      </c>
      <c r="B377">
        <v>117</v>
      </c>
      <c r="C377">
        <v>3</v>
      </c>
      <c r="D377">
        <v>335</v>
      </c>
      <c r="E377" t="s">
        <v>649</v>
      </c>
      <c r="F377">
        <v>-6.94</v>
      </c>
      <c r="G377" t="s">
        <v>668</v>
      </c>
      <c r="H377" s="1">
        <v>45987.983761574076</v>
      </c>
      <c r="I377" t="s">
        <v>630</v>
      </c>
      <c r="J377">
        <v>0</v>
      </c>
      <c r="K377">
        <v>0</v>
      </c>
    </row>
    <row r="378" spans="1:11" x14ac:dyDescent="0.3">
      <c r="A378">
        <v>377</v>
      </c>
      <c r="B378">
        <v>137</v>
      </c>
      <c r="C378">
        <v>4</v>
      </c>
      <c r="D378">
        <v>348</v>
      </c>
      <c r="E378" t="s">
        <v>651</v>
      </c>
      <c r="F378">
        <v>4.08</v>
      </c>
      <c r="G378" t="s">
        <v>623</v>
      </c>
      <c r="H378" s="1">
        <v>45988.405729166669</v>
      </c>
      <c r="I378" t="s">
        <v>630</v>
      </c>
      <c r="J378">
        <v>4.08</v>
      </c>
      <c r="K378">
        <v>0</v>
      </c>
    </row>
    <row r="379" spans="1:11" x14ac:dyDescent="0.3">
      <c r="A379">
        <v>378</v>
      </c>
      <c r="B379">
        <v>240</v>
      </c>
      <c r="C379">
        <v>5</v>
      </c>
      <c r="D379">
        <v>349</v>
      </c>
      <c r="E379" t="s">
        <v>651</v>
      </c>
      <c r="F379">
        <v>18.75</v>
      </c>
      <c r="G379" t="s">
        <v>623</v>
      </c>
      <c r="H379" s="1">
        <v>45988.418553240743</v>
      </c>
      <c r="I379" t="s">
        <v>630</v>
      </c>
      <c r="J379">
        <v>18.75</v>
      </c>
      <c r="K379">
        <v>0</v>
      </c>
    </row>
    <row r="380" spans="1:11" x14ac:dyDescent="0.3">
      <c r="A380">
        <v>379</v>
      </c>
      <c r="B380">
        <v>266</v>
      </c>
      <c r="C380">
        <v>5</v>
      </c>
      <c r="D380">
        <v>350</v>
      </c>
      <c r="E380" t="s">
        <v>651</v>
      </c>
      <c r="F380">
        <v>10.7</v>
      </c>
      <c r="G380" t="s">
        <v>623</v>
      </c>
      <c r="H380" s="1">
        <v>45988.523715277777</v>
      </c>
      <c r="I380" t="s">
        <v>630</v>
      </c>
      <c r="J380">
        <v>10.7</v>
      </c>
      <c r="K380">
        <v>0</v>
      </c>
    </row>
    <row r="381" spans="1:11" x14ac:dyDescent="0.3">
      <c r="A381">
        <v>380</v>
      </c>
      <c r="B381">
        <v>249</v>
      </c>
      <c r="C381">
        <v>1</v>
      </c>
      <c r="E381" t="s">
        <v>649</v>
      </c>
      <c r="F381">
        <v>23.2</v>
      </c>
      <c r="G381" t="s">
        <v>652</v>
      </c>
      <c r="H381" s="1">
        <v>45988.615208333336</v>
      </c>
      <c r="I381" t="s">
        <v>630</v>
      </c>
      <c r="J381">
        <v>0</v>
      </c>
      <c r="K381">
        <v>0</v>
      </c>
    </row>
    <row r="382" spans="1:11" x14ac:dyDescent="0.3">
      <c r="A382">
        <v>381</v>
      </c>
      <c r="B382">
        <v>106</v>
      </c>
      <c r="C382">
        <v>2</v>
      </c>
      <c r="D382">
        <v>351</v>
      </c>
      <c r="E382" t="s">
        <v>651</v>
      </c>
      <c r="F382">
        <v>11.15</v>
      </c>
      <c r="G382" t="s">
        <v>623</v>
      </c>
      <c r="H382" s="1">
        <v>45988.703043981484</v>
      </c>
      <c r="I382" t="s">
        <v>630</v>
      </c>
      <c r="J382">
        <v>11.15</v>
      </c>
      <c r="K382">
        <v>0</v>
      </c>
    </row>
    <row r="383" spans="1:11" x14ac:dyDescent="0.3">
      <c r="A383">
        <v>382</v>
      </c>
      <c r="B383">
        <v>137</v>
      </c>
      <c r="C383">
        <v>4</v>
      </c>
      <c r="D383">
        <v>352</v>
      </c>
      <c r="E383" t="s">
        <v>651</v>
      </c>
      <c r="F383">
        <v>4.12</v>
      </c>
      <c r="G383" t="s">
        <v>623</v>
      </c>
      <c r="H383" s="1">
        <v>45988.736875000002</v>
      </c>
      <c r="I383" t="s">
        <v>630</v>
      </c>
      <c r="J383">
        <v>4.12</v>
      </c>
      <c r="K383">
        <v>0</v>
      </c>
    </row>
    <row r="384" spans="1:11" x14ac:dyDescent="0.3">
      <c r="A384">
        <v>383</v>
      </c>
      <c r="B384">
        <v>262</v>
      </c>
      <c r="C384">
        <v>1</v>
      </c>
      <c r="E384" t="s">
        <v>649</v>
      </c>
      <c r="F384">
        <v>-5.47</v>
      </c>
      <c r="G384" t="s">
        <v>652</v>
      </c>
      <c r="H384" s="1">
        <v>45988.869583333333</v>
      </c>
      <c r="I384" t="s">
        <v>630</v>
      </c>
      <c r="J384">
        <v>0</v>
      </c>
      <c r="K384">
        <v>0</v>
      </c>
    </row>
    <row r="385" spans="1:11" x14ac:dyDescent="0.3">
      <c r="A385">
        <v>384</v>
      </c>
      <c r="B385">
        <v>207</v>
      </c>
      <c r="C385">
        <v>3</v>
      </c>
      <c r="D385">
        <v>353</v>
      </c>
      <c r="E385" t="s">
        <v>651</v>
      </c>
      <c r="F385">
        <v>3.84</v>
      </c>
      <c r="G385" t="s">
        <v>623</v>
      </c>
      <c r="H385" s="1">
        <v>45989.420682870368</v>
      </c>
      <c r="I385" t="s">
        <v>630</v>
      </c>
      <c r="J385">
        <v>3.84</v>
      </c>
      <c r="K385">
        <v>0</v>
      </c>
    </row>
    <row r="386" spans="1:11" x14ac:dyDescent="0.3">
      <c r="A386">
        <v>385</v>
      </c>
      <c r="B386">
        <v>117</v>
      </c>
      <c r="C386">
        <v>3</v>
      </c>
      <c r="D386">
        <v>354</v>
      </c>
      <c r="E386" t="s">
        <v>651</v>
      </c>
      <c r="F386">
        <v>8</v>
      </c>
      <c r="G386" t="s">
        <v>623</v>
      </c>
      <c r="H386" s="1">
        <v>45989.423472222225</v>
      </c>
      <c r="I386" t="s">
        <v>630</v>
      </c>
      <c r="J386">
        <v>8</v>
      </c>
      <c r="K386">
        <v>0</v>
      </c>
    </row>
    <row r="387" spans="1:11" x14ac:dyDescent="0.3">
      <c r="A387">
        <v>386</v>
      </c>
      <c r="B387">
        <v>44</v>
      </c>
      <c r="C387">
        <v>4</v>
      </c>
      <c r="D387">
        <v>355</v>
      </c>
      <c r="E387" t="s">
        <v>651</v>
      </c>
      <c r="F387">
        <v>3.92</v>
      </c>
      <c r="G387" t="s">
        <v>623</v>
      </c>
      <c r="H387" s="1">
        <v>45989.432858796295</v>
      </c>
      <c r="I387" t="s">
        <v>630</v>
      </c>
      <c r="J387">
        <v>3.92</v>
      </c>
      <c r="K387">
        <v>0</v>
      </c>
    </row>
    <row r="388" spans="1:11" x14ac:dyDescent="0.3">
      <c r="A388">
        <v>387</v>
      </c>
      <c r="B388">
        <v>57</v>
      </c>
      <c r="C388">
        <v>2</v>
      </c>
      <c r="D388">
        <v>356</v>
      </c>
      <c r="E388" t="s">
        <v>651</v>
      </c>
      <c r="F388">
        <v>8.56</v>
      </c>
      <c r="G388" t="s">
        <v>623</v>
      </c>
      <c r="H388" s="1">
        <v>45989.464953703704</v>
      </c>
      <c r="I388" t="s">
        <v>630</v>
      </c>
      <c r="J388">
        <v>8.56</v>
      </c>
      <c r="K388">
        <v>0</v>
      </c>
    </row>
    <row r="389" spans="1:11" x14ac:dyDescent="0.3">
      <c r="A389">
        <v>388</v>
      </c>
      <c r="B389">
        <v>51</v>
      </c>
      <c r="C389">
        <v>2</v>
      </c>
      <c r="D389">
        <v>344</v>
      </c>
      <c r="E389" t="s">
        <v>649</v>
      </c>
      <c r="F389">
        <v>-19.78</v>
      </c>
      <c r="G389" t="s">
        <v>669</v>
      </c>
      <c r="H389" s="1">
        <v>45989.506331018521</v>
      </c>
      <c r="I389" t="s">
        <v>630</v>
      </c>
      <c r="J389">
        <v>0</v>
      </c>
      <c r="K389">
        <v>0</v>
      </c>
    </row>
    <row r="390" spans="1:11" x14ac:dyDescent="0.3">
      <c r="A390">
        <v>389</v>
      </c>
      <c r="B390">
        <v>106</v>
      </c>
      <c r="C390">
        <v>3</v>
      </c>
      <c r="D390">
        <v>357</v>
      </c>
      <c r="E390" t="s">
        <v>651</v>
      </c>
      <c r="F390">
        <v>8.8800000000000008</v>
      </c>
      <c r="G390" t="s">
        <v>623</v>
      </c>
      <c r="H390" s="1">
        <v>45989.702349537038</v>
      </c>
      <c r="I390" t="s">
        <v>630</v>
      </c>
      <c r="J390">
        <v>8.8800000000000008</v>
      </c>
      <c r="K390">
        <v>0</v>
      </c>
    </row>
    <row r="391" spans="1:11" x14ac:dyDescent="0.3">
      <c r="A391">
        <v>390</v>
      </c>
      <c r="B391">
        <v>300</v>
      </c>
      <c r="C391">
        <v>3</v>
      </c>
      <c r="D391">
        <v>358</v>
      </c>
      <c r="E391" t="s">
        <v>651</v>
      </c>
      <c r="F391">
        <v>6.12</v>
      </c>
      <c r="G391" t="s">
        <v>623</v>
      </c>
      <c r="H391" s="1">
        <v>45989.744201388887</v>
      </c>
      <c r="I391" t="s">
        <v>630</v>
      </c>
      <c r="J391">
        <v>6.12</v>
      </c>
      <c r="K391">
        <v>0</v>
      </c>
    </row>
    <row r="392" spans="1:11" x14ac:dyDescent="0.3">
      <c r="A392">
        <v>391</v>
      </c>
      <c r="B392">
        <v>7</v>
      </c>
      <c r="C392">
        <v>5</v>
      </c>
      <c r="D392">
        <v>359</v>
      </c>
      <c r="E392" t="s">
        <v>651</v>
      </c>
      <c r="F392">
        <v>7.43</v>
      </c>
      <c r="G392" t="s">
        <v>623</v>
      </c>
      <c r="H392" s="1">
        <v>45989.779456018521</v>
      </c>
      <c r="I392" t="s">
        <v>630</v>
      </c>
      <c r="J392">
        <v>7.43</v>
      </c>
      <c r="K392">
        <v>0</v>
      </c>
    </row>
    <row r="393" spans="1:11" x14ac:dyDescent="0.3">
      <c r="A393">
        <v>392</v>
      </c>
      <c r="B393">
        <v>25</v>
      </c>
      <c r="C393">
        <v>1</v>
      </c>
      <c r="E393" t="s">
        <v>649</v>
      </c>
      <c r="F393">
        <v>33.39</v>
      </c>
      <c r="G393" t="s">
        <v>656</v>
      </c>
      <c r="H393" s="1">
        <v>45989.872476851851</v>
      </c>
      <c r="I393" t="s">
        <v>630</v>
      </c>
      <c r="J393">
        <v>0</v>
      </c>
      <c r="K393">
        <v>0</v>
      </c>
    </row>
    <row r="394" spans="1:11" x14ac:dyDescent="0.3">
      <c r="A394">
        <v>393</v>
      </c>
      <c r="B394">
        <v>137</v>
      </c>
      <c r="C394">
        <v>3</v>
      </c>
      <c r="D394">
        <v>348</v>
      </c>
      <c r="E394" t="s">
        <v>649</v>
      </c>
      <c r="F394">
        <v>-4.08</v>
      </c>
      <c r="G394" t="s">
        <v>670</v>
      </c>
      <c r="H394" s="1">
        <v>45989.905729166669</v>
      </c>
      <c r="I394" t="s">
        <v>630</v>
      </c>
      <c r="J394">
        <v>0</v>
      </c>
      <c r="K394">
        <v>0</v>
      </c>
    </row>
    <row r="395" spans="1:11" x14ac:dyDescent="0.3">
      <c r="A395">
        <v>394</v>
      </c>
      <c r="B395">
        <v>117</v>
      </c>
      <c r="C395">
        <v>4</v>
      </c>
      <c r="D395">
        <v>360</v>
      </c>
      <c r="E395" t="s">
        <v>651</v>
      </c>
      <c r="F395">
        <v>7.48</v>
      </c>
      <c r="G395" t="s">
        <v>623</v>
      </c>
      <c r="H395" s="1">
        <v>45990.307997685188</v>
      </c>
      <c r="I395" t="s">
        <v>630</v>
      </c>
      <c r="J395">
        <v>7.48</v>
      </c>
      <c r="K395">
        <v>0</v>
      </c>
    </row>
    <row r="396" spans="1:11" x14ac:dyDescent="0.3">
      <c r="A396">
        <v>395</v>
      </c>
      <c r="B396">
        <v>202</v>
      </c>
      <c r="C396">
        <v>4</v>
      </c>
      <c r="D396">
        <v>361</v>
      </c>
      <c r="E396" t="s">
        <v>651</v>
      </c>
      <c r="F396">
        <v>1.9</v>
      </c>
      <c r="G396" t="s">
        <v>623</v>
      </c>
      <c r="H396" s="1">
        <v>45990.386354166665</v>
      </c>
      <c r="I396" t="s">
        <v>630</v>
      </c>
      <c r="J396">
        <v>1.9</v>
      </c>
      <c r="K396">
        <v>0</v>
      </c>
    </row>
    <row r="397" spans="1:11" x14ac:dyDescent="0.3">
      <c r="A397">
        <v>396</v>
      </c>
      <c r="B397">
        <v>202</v>
      </c>
      <c r="C397">
        <v>3</v>
      </c>
      <c r="D397">
        <v>362</v>
      </c>
      <c r="E397" t="s">
        <v>651</v>
      </c>
      <c r="F397">
        <v>3</v>
      </c>
      <c r="G397" t="s">
        <v>623</v>
      </c>
      <c r="H397" s="1">
        <v>45990.393622685187</v>
      </c>
      <c r="I397" t="s">
        <v>630</v>
      </c>
      <c r="J397">
        <v>3</v>
      </c>
      <c r="K397">
        <v>0</v>
      </c>
    </row>
    <row r="398" spans="1:11" x14ac:dyDescent="0.3">
      <c r="A398">
        <v>397</v>
      </c>
      <c r="B398">
        <v>38</v>
      </c>
      <c r="C398">
        <v>2</v>
      </c>
      <c r="D398">
        <v>363</v>
      </c>
      <c r="E398" t="s">
        <v>651</v>
      </c>
      <c r="F398">
        <v>1.94</v>
      </c>
      <c r="G398" t="s">
        <v>623</v>
      </c>
      <c r="H398" s="1">
        <v>45990.405659722222</v>
      </c>
      <c r="I398" t="s">
        <v>630</v>
      </c>
      <c r="J398">
        <v>1.94</v>
      </c>
      <c r="K398">
        <v>0</v>
      </c>
    </row>
    <row r="399" spans="1:11" x14ac:dyDescent="0.3">
      <c r="A399">
        <v>398</v>
      </c>
      <c r="B399">
        <v>48</v>
      </c>
      <c r="C399">
        <v>5</v>
      </c>
      <c r="D399">
        <v>364</v>
      </c>
      <c r="E399" t="s">
        <v>651</v>
      </c>
      <c r="F399">
        <v>7.65</v>
      </c>
      <c r="G399" t="s">
        <v>623</v>
      </c>
      <c r="H399" s="1">
        <v>45990.417187500003</v>
      </c>
      <c r="I399" t="s">
        <v>630</v>
      </c>
      <c r="J399">
        <v>7.65</v>
      </c>
      <c r="K399">
        <v>0</v>
      </c>
    </row>
    <row r="400" spans="1:11" x14ac:dyDescent="0.3">
      <c r="A400">
        <v>399</v>
      </c>
      <c r="B400">
        <v>137</v>
      </c>
      <c r="C400">
        <v>4</v>
      </c>
      <c r="D400">
        <v>365</v>
      </c>
      <c r="E400" t="s">
        <v>651</v>
      </c>
      <c r="F400">
        <v>4.45</v>
      </c>
      <c r="G400" t="s">
        <v>623</v>
      </c>
      <c r="H400" s="1">
        <v>45990.476666666669</v>
      </c>
      <c r="I400" t="s">
        <v>630</v>
      </c>
      <c r="J400">
        <v>4.45</v>
      </c>
      <c r="K400">
        <v>0</v>
      </c>
    </row>
    <row r="401" spans="1:11" x14ac:dyDescent="0.3">
      <c r="A401">
        <v>400</v>
      </c>
      <c r="B401">
        <v>52</v>
      </c>
      <c r="C401">
        <v>4</v>
      </c>
      <c r="D401">
        <v>366</v>
      </c>
      <c r="E401" t="s">
        <v>651</v>
      </c>
      <c r="F401">
        <v>2.61</v>
      </c>
      <c r="G401" t="s">
        <v>623</v>
      </c>
      <c r="H401" s="1">
        <v>45990.513333333336</v>
      </c>
      <c r="I401" t="s">
        <v>630</v>
      </c>
      <c r="J401">
        <v>2.61</v>
      </c>
      <c r="K401">
        <v>0</v>
      </c>
    </row>
    <row r="402" spans="1:11" x14ac:dyDescent="0.3">
      <c r="A402">
        <v>401</v>
      </c>
      <c r="B402">
        <v>138</v>
      </c>
      <c r="C402">
        <v>3</v>
      </c>
      <c r="D402">
        <v>367</v>
      </c>
      <c r="E402" t="s">
        <v>651</v>
      </c>
      <c r="F402">
        <v>2.2799999999999998</v>
      </c>
      <c r="G402" t="s">
        <v>623</v>
      </c>
      <c r="H402" s="1">
        <v>45990.557187500002</v>
      </c>
      <c r="I402" t="s">
        <v>630</v>
      </c>
      <c r="J402">
        <v>2.2799999999999998</v>
      </c>
      <c r="K402">
        <v>0</v>
      </c>
    </row>
    <row r="403" spans="1:11" x14ac:dyDescent="0.3">
      <c r="A403">
        <v>402</v>
      </c>
      <c r="B403">
        <v>217</v>
      </c>
      <c r="C403">
        <v>5</v>
      </c>
      <c r="D403">
        <v>368</v>
      </c>
      <c r="E403" t="s">
        <v>651</v>
      </c>
      <c r="F403">
        <v>4.34</v>
      </c>
      <c r="G403" t="s">
        <v>623</v>
      </c>
      <c r="H403" s="1">
        <v>45990.572777777779</v>
      </c>
      <c r="I403" t="s">
        <v>630</v>
      </c>
      <c r="J403">
        <v>4.34</v>
      </c>
      <c r="K403">
        <v>0</v>
      </c>
    </row>
    <row r="404" spans="1:11" x14ac:dyDescent="0.3">
      <c r="A404">
        <v>403</v>
      </c>
      <c r="B404">
        <v>137</v>
      </c>
      <c r="C404">
        <v>2</v>
      </c>
      <c r="D404">
        <v>369</v>
      </c>
      <c r="E404" t="s">
        <v>651</v>
      </c>
      <c r="F404">
        <v>1.69</v>
      </c>
      <c r="G404" t="s">
        <v>623</v>
      </c>
      <c r="H404" s="1">
        <v>45990.624259259261</v>
      </c>
      <c r="I404" t="s">
        <v>630</v>
      </c>
      <c r="J404">
        <v>1.69</v>
      </c>
      <c r="K404">
        <v>0</v>
      </c>
    </row>
    <row r="405" spans="1:11" x14ac:dyDescent="0.3">
      <c r="A405">
        <v>404</v>
      </c>
      <c r="B405">
        <v>46</v>
      </c>
      <c r="C405">
        <v>5</v>
      </c>
      <c r="D405">
        <v>370</v>
      </c>
      <c r="E405" t="s">
        <v>651</v>
      </c>
      <c r="F405">
        <v>3.69</v>
      </c>
      <c r="G405" t="s">
        <v>623</v>
      </c>
      <c r="H405" s="1">
        <v>45990.640590277777</v>
      </c>
      <c r="I405" t="s">
        <v>630</v>
      </c>
      <c r="J405">
        <v>3.69</v>
      </c>
      <c r="K405">
        <v>0</v>
      </c>
    </row>
    <row r="406" spans="1:11" x14ac:dyDescent="0.3">
      <c r="A406">
        <v>405</v>
      </c>
      <c r="B406">
        <v>186</v>
      </c>
      <c r="C406">
        <v>2</v>
      </c>
      <c r="D406">
        <v>371</v>
      </c>
      <c r="E406" t="s">
        <v>651</v>
      </c>
      <c r="F406">
        <v>11.18</v>
      </c>
      <c r="G406" t="s">
        <v>623</v>
      </c>
      <c r="H406" s="1">
        <v>45990.671886574077</v>
      </c>
      <c r="I406" t="s">
        <v>630</v>
      </c>
      <c r="J406">
        <v>11.18</v>
      </c>
      <c r="K406">
        <v>0</v>
      </c>
    </row>
    <row r="407" spans="1:11" x14ac:dyDescent="0.3">
      <c r="A407">
        <v>406</v>
      </c>
      <c r="B407">
        <v>38</v>
      </c>
      <c r="C407">
        <v>2</v>
      </c>
      <c r="D407">
        <v>372</v>
      </c>
      <c r="E407" t="s">
        <v>651</v>
      </c>
      <c r="F407">
        <v>3.75</v>
      </c>
      <c r="G407" t="s">
        <v>623</v>
      </c>
      <c r="H407" s="1">
        <v>45990.696631944447</v>
      </c>
      <c r="I407" t="s">
        <v>630</v>
      </c>
      <c r="J407">
        <v>3.75</v>
      </c>
      <c r="K407">
        <v>0</v>
      </c>
    </row>
    <row r="408" spans="1:11" x14ac:dyDescent="0.3">
      <c r="A408">
        <v>407</v>
      </c>
      <c r="B408">
        <v>70</v>
      </c>
      <c r="C408">
        <v>5</v>
      </c>
      <c r="D408">
        <v>373</v>
      </c>
      <c r="E408" t="s">
        <v>651</v>
      </c>
      <c r="F408">
        <v>21.46</v>
      </c>
      <c r="G408" t="s">
        <v>623</v>
      </c>
      <c r="H408" s="1">
        <v>45990.738981481481</v>
      </c>
      <c r="I408" t="s">
        <v>630</v>
      </c>
      <c r="J408">
        <v>21.46</v>
      </c>
      <c r="K408">
        <v>0</v>
      </c>
    </row>
    <row r="409" spans="1:11" x14ac:dyDescent="0.3">
      <c r="A409">
        <v>408</v>
      </c>
      <c r="B409">
        <v>126</v>
      </c>
      <c r="C409">
        <v>2</v>
      </c>
      <c r="D409">
        <v>374</v>
      </c>
      <c r="E409" t="s">
        <v>651</v>
      </c>
      <c r="F409">
        <v>16.53</v>
      </c>
      <c r="G409" t="s">
        <v>623</v>
      </c>
      <c r="H409" s="1">
        <v>45990.743784722225</v>
      </c>
      <c r="I409" t="s">
        <v>630</v>
      </c>
      <c r="J409">
        <v>16.53</v>
      </c>
      <c r="K409">
        <v>0</v>
      </c>
    </row>
    <row r="410" spans="1:11" x14ac:dyDescent="0.3">
      <c r="A410">
        <v>409</v>
      </c>
      <c r="B410">
        <v>217</v>
      </c>
      <c r="C410">
        <v>2</v>
      </c>
      <c r="D410">
        <v>368</v>
      </c>
      <c r="E410" t="s">
        <v>649</v>
      </c>
      <c r="F410">
        <v>-4.34</v>
      </c>
      <c r="G410" t="s">
        <v>671</v>
      </c>
      <c r="H410" s="1">
        <v>45990.781111111108</v>
      </c>
      <c r="I410" t="s">
        <v>630</v>
      </c>
      <c r="J410">
        <v>0</v>
      </c>
      <c r="K410">
        <v>0</v>
      </c>
    </row>
    <row r="411" spans="1:11" x14ac:dyDescent="0.3">
      <c r="A411">
        <v>410</v>
      </c>
      <c r="B411">
        <v>72</v>
      </c>
      <c r="C411">
        <v>4</v>
      </c>
      <c r="D411">
        <v>375</v>
      </c>
      <c r="E411" t="s">
        <v>651</v>
      </c>
      <c r="F411">
        <v>1.89</v>
      </c>
      <c r="G411" t="s">
        <v>623</v>
      </c>
      <c r="H411" s="1">
        <v>45990.823333333334</v>
      </c>
      <c r="I411" t="s">
        <v>630</v>
      </c>
      <c r="J411">
        <v>1.89</v>
      </c>
      <c r="K411">
        <v>0</v>
      </c>
    </row>
    <row r="412" spans="1:11" x14ac:dyDescent="0.3">
      <c r="A412">
        <v>411</v>
      </c>
      <c r="B412">
        <v>217</v>
      </c>
      <c r="C412">
        <v>1</v>
      </c>
      <c r="E412" t="s">
        <v>649</v>
      </c>
      <c r="F412">
        <v>25.06</v>
      </c>
      <c r="G412" t="s">
        <v>653</v>
      </c>
      <c r="H412" s="1">
        <v>45990.851770833331</v>
      </c>
      <c r="I412" t="s">
        <v>630</v>
      </c>
      <c r="J412">
        <v>0</v>
      </c>
      <c r="K412">
        <v>0</v>
      </c>
    </row>
    <row r="413" spans="1:11" x14ac:dyDescent="0.3">
      <c r="A413">
        <v>412</v>
      </c>
      <c r="B413">
        <v>155</v>
      </c>
      <c r="C413">
        <v>1</v>
      </c>
      <c r="E413" t="s">
        <v>649</v>
      </c>
      <c r="F413">
        <v>14</v>
      </c>
      <c r="G413" t="s">
        <v>653</v>
      </c>
      <c r="H413" s="1">
        <v>45991.075949074075</v>
      </c>
      <c r="I413" t="s">
        <v>630</v>
      </c>
      <c r="J413">
        <v>0</v>
      </c>
      <c r="K413">
        <v>0</v>
      </c>
    </row>
    <row r="414" spans="1:11" x14ac:dyDescent="0.3">
      <c r="A414">
        <v>413</v>
      </c>
      <c r="B414">
        <v>16</v>
      </c>
      <c r="C414">
        <v>2</v>
      </c>
      <c r="D414">
        <v>376</v>
      </c>
      <c r="E414" t="s">
        <v>651</v>
      </c>
      <c r="F414">
        <v>14.82</v>
      </c>
      <c r="G414" t="s">
        <v>623</v>
      </c>
      <c r="H414" s="1">
        <v>45991.357939814814</v>
      </c>
      <c r="I414" t="s">
        <v>630</v>
      </c>
      <c r="J414">
        <v>14.82</v>
      </c>
      <c r="K414">
        <v>0</v>
      </c>
    </row>
    <row r="415" spans="1:11" x14ac:dyDescent="0.3">
      <c r="A415">
        <v>414</v>
      </c>
      <c r="B415">
        <v>151</v>
      </c>
      <c r="C415">
        <v>3</v>
      </c>
      <c r="D415">
        <v>377</v>
      </c>
      <c r="E415" t="s">
        <v>651</v>
      </c>
      <c r="F415">
        <v>14.07</v>
      </c>
      <c r="G415" t="s">
        <v>623</v>
      </c>
      <c r="H415" s="1">
        <v>45991.386655092596</v>
      </c>
      <c r="I415" t="s">
        <v>630</v>
      </c>
      <c r="J415">
        <v>14.07</v>
      </c>
      <c r="K415">
        <v>0</v>
      </c>
    </row>
    <row r="416" spans="1:11" x14ac:dyDescent="0.3">
      <c r="A416">
        <v>415</v>
      </c>
      <c r="B416">
        <v>63</v>
      </c>
      <c r="C416">
        <v>2</v>
      </c>
      <c r="D416">
        <v>378</v>
      </c>
      <c r="E416" t="s">
        <v>651</v>
      </c>
      <c r="F416">
        <v>1.98</v>
      </c>
      <c r="G416" t="s">
        <v>623</v>
      </c>
      <c r="H416" s="1">
        <v>45991.440393518518</v>
      </c>
      <c r="I416" t="s">
        <v>630</v>
      </c>
      <c r="J416">
        <v>1.98</v>
      </c>
      <c r="K416">
        <v>0</v>
      </c>
    </row>
    <row r="417" spans="1:11" x14ac:dyDescent="0.3">
      <c r="A417">
        <v>416</v>
      </c>
      <c r="B417">
        <v>240</v>
      </c>
      <c r="C417">
        <v>5</v>
      </c>
      <c r="D417">
        <v>379</v>
      </c>
      <c r="E417" t="s">
        <v>651</v>
      </c>
      <c r="F417">
        <v>14.67</v>
      </c>
      <c r="G417" t="s">
        <v>623</v>
      </c>
      <c r="H417" s="1">
        <v>45991.448587962965</v>
      </c>
      <c r="I417" t="s">
        <v>630</v>
      </c>
      <c r="J417">
        <v>14.67</v>
      </c>
      <c r="K417">
        <v>0</v>
      </c>
    </row>
    <row r="418" spans="1:11" x14ac:dyDescent="0.3">
      <c r="A418">
        <v>417</v>
      </c>
      <c r="B418">
        <v>18</v>
      </c>
      <c r="C418">
        <v>4</v>
      </c>
      <c r="D418">
        <v>380</v>
      </c>
      <c r="E418" t="s">
        <v>651</v>
      </c>
      <c r="F418">
        <v>8.23</v>
      </c>
      <c r="G418" t="s">
        <v>623</v>
      </c>
      <c r="H418" s="1">
        <v>45991.458495370367</v>
      </c>
      <c r="I418" t="s">
        <v>630</v>
      </c>
      <c r="J418">
        <v>8.23</v>
      </c>
      <c r="K418">
        <v>0</v>
      </c>
    </row>
    <row r="419" spans="1:11" x14ac:dyDescent="0.3">
      <c r="A419">
        <v>418</v>
      </c>
      <c r="B419">
        <v>40</v>
      </c>
      <c r="C419">
        <v>3</v>
      </c>
      <c r="D419">
        <v>381</v>
      </c>
      <c r="E419" t="s">
        <v>651</v>
      </c>
      <c r="F419">
        <v>8.49</v>
      </c>
      <c r="G419" t="s">
        <v>623</v>
      </c>
      <c r="H419" s="1">
        <v>45991.59783564815</v>
      </c>
      <c r="I419" t="s">
        <v>630</v>
      </c>
      <c r="J419">
        <v>8.49</v>
      </c>
      <c r="K419">
        <v>0</v>
      </c>
    </row>
    <row r="420" spans="1:11" x14ac:dyDescent="0.3">
      <c r="A420">
        <v>419</v>
      </c>
      <c r="B420">
        <v>35</v>
      </c>
      <c r="C420">
        <v>5</v>
      </c>
      <c r="D420">
        <v>382</v>
      </c>
      <c r="E420" t="s">
        <v>651</v>
      </c>
      <c r="F420">
        <v>1.85</v>
      </c>
      <c r="G420" t="s">
        <v>623</v>
      </c>
      <c r="H420" s="1">
        <v>45991.637800925928</v>
      </c>
      <c r="I420" t="s">
        <v>630</v>
      </c>
      <c r="J420">
        <v>1.85</v>
      </c>
      <c r="K420">
        <v>0</v>
      </c>
    </row>
    <row r="421" spans="1:11" x14ac:dyDescent="0.3">
      <c r="A421">
        <v>420</v>
      </c>
      <c r="B421">
        <v>141</v>
      </c>
      <c r="C421">
        <v>4</v>
      </c>
      <c r="D421">
        <v>383</v>
      </c>
      <c r="E421" t="s">
        <v>651</v>
      </c>
      <c r="F421">
        <v>9.0500000000000007</v>
      </c>
      <c r="G421" t="s">
        <v>623</v>
      </c>
      <c r="H421" s="1">
        <v>45992.310428240744</v>
      </c>
      <c r="I421" t="s">
        <v>633</v>
      </c>
      <c r="J421">
        <v>9.0500000000000007</v>
      </c>
      <c r="K421">
        <v>0</v>
      </c>
    </row>
    <row r="422" spans="1:11" x14ac:dyDescent="0.3">
      <c r="A422">
        <v>421</v>
      </c>
      <c r="B422">
        <v>52</v>
      </c>
      <c r="C422">
        <v>3</v>
      </c>
      <c r="D422">
        <v>384</v>
      </c>
      <c r="E422" t="s">
        <v>651</v>
      </c>
      <c r="F422">
        <v>3.11</v>
      </c>
      <c r="G422" t="s">
        <v>623</v>
      </c>
      <c r="H422" s="1">
        <v>45992.376620370371</v>
      </c>
      <c r="I422" t="s">
        <v>633</v>
      </c>
      <c r="J422">
        <v>3.11</v>
      </c>
      <c r="K422">
        <v>0</v>
      </c>
    </row>
    <row r="423" spans="1:11" x14ac:dyDescent="0.3">
      <c r="A423">
        <v>422</v>
      </c>
      <c r="B423">
        <v>113</v>
      </c>
      <c r="C423">
        <v>4</v>
      </c>
      <c r="D423">
        <v>385</v>
      </c>
      <c r="E423" t="s">
        <v>651</v>
      </c>
      <c r="F423">
        <v>3.67</v>
      </c>
      <c r="G423" t="s">
        <v>623</v>
      </c>
      <c r="H423" s="1">
        <v>45992.436423611114</v>
      </c>
      <c r="I423" t="s">
        <v>633</v>
      </c>
      <c r="J423">
        <v>3.67</v>
      </c>
      <c r="K423">
        <v>0</v>
      </c>
    </row>
    <row r="424" spans="1:11" x14ac:dyDescent="0.3">
      <c r="A424">
        <v>423</v>
      </c>
      <c r="B424">
        <v>117</v>
      </c>
      <c r="C424">
        <v>2</v>
      </c>
      <c r="D424">
        <v>386</v>
      </c>
      <c r="E424" t="s">
        <v>651</v>
      </c>
      <c r="F424">
        <v>7.71</v>
      </c>
      <c r="G424" t="s">
        <v>623</v>
      </c>
      <c r="H424" s="1">
        <v>45992.442615740743</v>
      </c>
      <c r="I424" t="s">
        <v>633</v>
      </c>
      <c r="J424">
        <v>7.71</v>
      </c>
      <c r="K424">
        <v>0</v>
      </c>
    </row>
    <row r="425" spans="1:11" x14ac:dyDescent="0.3">
      <c r="A425">
        <v>424</v>
      </c>
      <c r="B425">
        <v>38</v>
      </c>
      <c r="C425">
        <v>2</v>
      </c>
      <c r="D425">
        <v>387</v>
      </c>
      <c r="E425" t="s">
        <v>651</v>
      </c>
      <c r="F425">
        <v>3.39</v>
      </c>
      <c r="G425" t="s">
        <v>623</v>
      </c>
      <c r="H425" s="1">
        <v>45992.488506944443</v>
      </c>
      <c r="I425" t="s">
        <v>633</v>
      </c>
      <c r="J425">
        <v>3.39</v>
      </c>
      <c r="K425">
        <v>0</v>
      </c>
    </row>
    <row r="426" spans="1:11" x14ac:dyDescent="0.3">
      <c r="A426">
        <v>425</v>
      </c>
      <c r="B426">
        <v>85</v>
      </c>
      <c r="C426">
        <v>2</v>
      </c>
      <c r="D426">
        <v>388</v>
      </c>
      <c r="E426" t="s">
        <v>651</v>
      </c>
      <c r="F426">
        <v>9.08</v>
      </c>
      <c r="G426" t="s">
        <v>623</v>
      </c>
      <c r="H426" s="1">
        <v>45992.568009259259</v>
      </c>
      <c r="I426" t="s">
        <v>633</v>
      </c>
      <c r="J426">
        <v>9.08</v>
      </c>
      <c r="K426">
        <v>0</v>
      </c>
    </row>
    <row r="427" spans="1:11" x14ac:dyDescent="0.3">
      <c r="A427">
        <v>426</v>
      </c>
      <c r="B427">
        <v>9</v>
      </c>
      <c r="C427">
        <v>3</v>
      </c>
      <c r="D427">
        <v>389</v>
      </c>
      <c r="E427" t="s">
        <v>651</v>
      </c>
      <c r="F427">
        <v>2.59</v>
      </c>
      <c r="G427" t="s">
        <v>623</v>
      </c>
      <c r="H427" s="1">
        <v>45992.604212962964</v>
      </c>
      <c r="I427" t="s">
        <v>633</v>
      </c>
      <c r="J427">
        <v>2.59</v>
      </c>
      <c r="K427">
        <v>0</v>
      </c>
    </row>
    <row r="428" spans="1:11" x14ac:dyDescent="0.3">
      <c r="A428">
        <v>427</v>
      </c>
      <c r="B428">
        <v>251</v>
      </c>
      <c r="C428">
        <v>2</v>
      </c>
      <c r="D428">
        <v>390</v>
      </c>
      <c r="E428" t="s">
        <v>651</v>
      </c>
      <c r="F428">
        <v>10.52</v>
      </c>
      <c r="G428" t="s">
        <v>623</v>
      </c>
      <c r="H428" s="1">
        <v>45992.639884259261</v>
      </c>
      <c r="I428" t="s">
        <v>633</v>
      </c>
      <c r="J428">
        <v>10.52</v>
      </c>
      <c r="K428">
        <v>0</v>
      </c>
    </row>
    <row r="429" spans="1:11" x14ac:dyDescent="0.3">
      <c r="A429">
        <v>428</v>
      </c>
      <c r="B429">
        <v>35</v>
      </c>
      <c r="C429">
        <v>4</v>
      </c>
      <c r="D429">
        <v>391</v>
      </c>
      <c r="E429" t="s">
        <v>651</v>
      </c>
      <c r="F429">
        <v>4.33</v>
      </c>
      <c r="G429" t="s">
        <v>623</v>
      </c>
      <c r="H429" s="1">
        <v>45992.677129629628</v>
      </c>
      <c r="I429" t="s">
        <v>633</v>
      </c>
      <c r="J429">
        <v>4.33</v>
      </c>
      <c r="K429">
        <v>0</v>
      </c>
    </row>
    <row r="430" spans="1:11" x14ac:dyDescent="0.3">
      <c r="A430">
        <v>429</v>
      </c>
      <c r="B430">
        <v>94</v>
      </c>
      <c r="C430">
        <v>2</v>
      </c>
      <c r="D430">
        <v>392</v>
      </c>
      <c r="E430" t="s">
        <v>651</v>
      </c>
      <c r="F430">
        <v>30</v>
      </c>
      <c r="G430" t="s">
        <v>623</v>
      </c>
      <c r="H430" s="1">
        <v>45992.682175925926</v>
      </c>
      <c r="I430" t="s">
        <v>633</v>
      </c>
      <c r="J430">
        <v>30</v>
      </c>
      <c r="K430">
        <v>0</v>
      </c>
    </row>
    <row r="431" spans="1:11" x14ac:dyDescent="0.3">
      <c r="A431">
        <v>430</v>
      </c>
      <c r="B431">
        <v>194</v>
      </c>
      <c r="C431">
        <v>4</v>
      </c>
      <c r="D431">
        <v>393</v>
      </c>
      <c r="E431" t="s">
        <v>651</v>
      </c>
      <c r="F431">
        <v>6.01</v>
      </c>
      <c r="G431" t="s">
        <v>623</v>
      </c>
      <c r="H431" s="1">
        <v>45992.745335648149</v>
      </c>
      <c r="I431" t="s">
        <v>633</v>
      </c>
      <c r="J431">
        <v>6.01</v>
      </c>
      <c r="K431">
        <v>0</v>
      </c>
    </row>
    <row r="432" spans="1:11" x14ac:dyDescent="0.3">
      <c r="A432">
        <v>431</v>
      </c>
      <c r="B432">
        <v>245</v>
      </c>
      <c r="C432">
        <v>2</v>
      </c>
      <c r="D432">
        <v>394</v>
      </c>
      <c r="E432" t="s">
        <v>651</v>
      </c>
      <c r="F432">
        <v>2.5499999999999998</v>
      </c>
      <c r="G432" t="s">
        <v>623</v>
      </c>
      <c r="H432" s="1">
        <v>45992.787662037037</v>
      </c>
      <c r="I432" t="s">
        <v>633</v>
      </c>
      <c r="J432">
        <v>2.5499999999999998</v>
      </c>
      <c r="K432">
        <v>0</v>
      </c>
    </row>
    <row r="433" spans="1:11" x14ac:dyDescent="0.3">
      <c r="A433">
        <v>432</v>
      </c>
      <c r="B433">
        <v>154</v>
      </c>
      <c r="C433">
        <v>1</v>
      </c>
      <c r="E433" t="s">
        <v>649</v>
      </c>
      <c r="F433">
        <v>-18.09</v>
      </c>
      <c r="G433" t="s">
        <v>652</v>
      </c>
      <c r="H433" s="1">
        <v>45993.146701388891</v>
      </c>
      <c r="I433" t="s">
        <v>633</v>
      </c>
      <c r="J433">
        <v>0</v>
      </c>
      <c r="K433">
        <v>0</v>
      </c>
    </row>
    <row r="434" spans="1:11" x14ac:dyDescent="0.3">
      <c r="A434">
        <v>433</v>
      </c>
      <c r="B434">
        <v>201</v>
      </c>
      <c r="C434">
        <v>4</v>
      </c>
      <c r="D434">
        <v>395</v>
      </c>
      <c r="E434" t="s">
        <v>651</v>
      </c>
      <c r="F434">
        <v>2.16</v>
      </c>
      <c r="G434" t="s">
        <v>623</v>
      </c>
      <c r="H434" s="1">
        <v>45993.361446759256</v>
      </c>
      <c r="I434" t="s">
        <v>633</v>
      </c>
      <c r="J434">
        <v>2.16</v>
      </c>
      <c r="K434">
        <v>0</v>
      </c>
    </row>
    <row r="435" spans="1:11" x14ac:dyDescent="0.3">
      <c r="A435">
        <v>434</v>
      </c>
      <c r="B435">
        <v>265</v>
      </c>
      <c r="C435">
        <v>2</v>
      </c>
      <c r="D435">
        <v>396</v>
      </c>
      <c r="E435" t="s">
        <v>651</v>
      </c>
      <c r="F435">
        <v>16.670000000000002</v>
      </c>
      <c r="G435" t="s">
        <v>623</v>
      </c>
      <c r="H435" s="1">
        <v>45993.444374999999</v>
      </c>
      <c r="I435" t="s">
        <v>633</v>
      </c>
      <c r="J435">
        <v>16.670000000000002</v>
      </c>
      <c r="K435">
        <v>0</v>
      </c>
    </row>
    <row r="436" spans="1:11" x14ac:dyDescent="0.3">
      <c r="A436">
        <v>435</v>
      </c>
      <c r="B436">
        <v>150</v>
      </c>
      <c r="C436">
        <v>3</v>
      </c>
      <c r="D436">
        <v>397</v>
      </c>
      <c r="E436" t="s">
        <v>651</v>
      </c>
      <c r="F436">
        <v>8.52</v>
      </c>
      <c r="G436" t="s">
        <v>623</v>
      </c>
      <c r="H436" s="1">
        <v>45993.447511574072</v>
      </c>
      <c r="I436" t="s">
        <v>633</v>
      </c>
      <c r="J436">
        <v>8.52</v>
      </c>
      <c r="K436">
        <v>0</v>
      </c>
    </row>
    <row r="437" spans="1:11" x14ac:dyDescent="0.3">
      <c r="A437">
        <v>436</v>
      </c>
      <c r="B437">
        <v>279</v>
      </c>
      <c r="C437">
        <v>4</v>
      </c>
      <c r="D437">
        <v>398</v>
      </c>
      <c r="E437" t="s">
        <v>651</v>
      </c>
      <c r="F437">
        <v>30</v>
      </c>
      <c r="G437" t="s">
        <v>623</v>
      </c>
      <c r="H437" s="1">
        <v>45993.448194444441</v>
      </c>
      <c r="I437" t="s">
        <v>633</v>
      </c>
      <c r="J437">
        <v>30</v>
      </c>
      <c r="K437">
        <v>0</v>
      </c>
    </row>
    <row r="438" spans="1:11" x14ac:dyDescent="0.3">
      <c r="A438">
        <v>437</v>
      </c>
      <c r="B438">
        <v>211</v>
      </c>
      <c r="C438">
        <v>2</v>
      </c>
      <c r="D438">
        <v>399</v>
      </c>
      <c r="E438" t="s">
        <v>651</v>
      </c>
      <c r="F438">
        <v>5.17</v>
      </c>
      <c r="G438" t="s">
        <v>623</v>
      </c>
      <c r="H438" s="1">
        <v>45993.466967592591</v>
      </c>
      <c r="I438" t="s">
        <v>633</v>
      </c>
      <c r="J438">
        <v>5.17</v>
      </c>
      <c r="K438">
        <v>0</v>
      </c>
    </row>
    <row r="439" spans="1:11" x14ac:dyDescent="0.3">
      <c r="A439">
        <v>438</v>
      </c>
      <c r="B439">
        <v>137</v>
      </c>
      <c r="C439">
        <v>4</v>
      </c>
      <c r="D439">
        <v>400</v>
      </c>
      <c r="E439" t="s">
        <v>651</v>
      </c>
      <c r="F439">
        <v>3.93</v>
      </c>
      <c r="G439" t="s">
        <v>623</v>
      </c>
      <c r="H439" s="1">
        <v>45993.606782407405</v>
      </c>
      <c r="I439" t="s">
        <v>633</v>
      </c>
      <c r="J439">
        <v>3.93</v>
      </c>
      <c r="K439">
        <v>0</v>
      </c>
    </row>
    <row r="440" spans="1:11" x14ac:dyDescent="0.3">
      <c r="A440">
        <v>439</v>
      </c>
      <c r="B440">
        <v>20</v>
      </c>
      <c r="C440">
        <v>2</v>
      </c>
      <c r="D440">
        <v>401</v>
      </c>
      <c r="E440" t="s">
        <v>651</v>
      </c>
      <c r="F440">
        <v>4.46</v>
      </c>
      <c r="G440" t="s">
        <v>623</v>
      </c>
      <c r="H440" s="1">
        <v>45993.62091435185</v>
      </c>
      <c r="I440" t="s">
        <v>633</v>
      </c>
      <c r="J440">
        <v>4.46</v>
      </c>
      <c r="K440">
        <v>0</v>
      </c>
    </row>
    <row r="441" spans="1:11" x14ac:dyDescent="0.3">
      <c r="A441">
        <v>440</v>
      </c>
      <c r="B441">
        <v>240</v>
      </c>
      <c r="C441">
        <v>4</v>
      </c>
      <c r="D441">
        <v>402</v>
      </c>
      <c r="E441" t="s">
        <v>651</v>
      </c>
      <c r="F441">
        <v>10.16</v>
      </c>
      <c r="G441" t="s">
        <v>623</v>
      </c>
      <c r="H441" s="1">
        <v>45993.628854166665</v>
      </c>
      <c r="I441" t="s">
        <v>633</v>
      </c>
      <c r="J441">
        <v>10.16</v>
      </c>
      <c r="K441">
        <v>0</v>
      </c>
    </row>
    <row r="442" spans="1:11" x14ac:dyDescent="0.3">
      <c r="A442">
        <v>441</v>
      </c>
      <c r="B442">
        <v>21</v>
      </c>
      <c r="C442">
        <v>3</v>
      </c>
      <c r="D442">
        <v>403</v>
      </c>
      <c r="E442" t="s">
        <v>651</v>
      </c>
      <c r="F442">
        <v>4.68</v>
      </c>
      <c r="G442" t="s">
        <v>623</v>
      </c>
      <c r="H442" s="1">
        <v>45993.662615740737</v>
      </c>
      <c r="I442" t="s">
        <v>633</v>
      </c>
      <c r="J442">
        <v>4.68</v>
      </c>
      <c r="K442">
        <v>0</v>
      </c>
    </row>
    <row r="443" spans="1:11" x14ac:dyDescent="0.3">
      <c r="A443">
        <v>442</v>
      </c>
      <c r="B443">
        <v>40</v>
      </c>
      <c r="C443">
        <v>4</v>
      </c>
      <c r="D443">
        <v>404</v>
      </c>
      <c r="E443" t="s">
        <v>651</v>
      </c>
      <c r="F443">
        <v>5.9</v>
      </c>
      <c r="G443" t="s">
        <v>623</v>
      </c>
      <c r="H443" s="1">
        <v>45993.674189814818</v>
      </c>
      <c r="I443" t="s">
        <v>633</v>
      </c>
      <c r="J443">
        <v>5.9</v>
      </c>
      <c r="K443">
        <v>0</v>
      </c>
    </row>
    <row r="444" spans="1:11" x14ac:dyDescent="0.3">
      <c r="A444">
        <v>443</v>
      </c>
      <c r="B444">
        <v>92</v>
      </c>
      <c r="C444">
        <v>4</v>
      </c>
      <c r="D444">
        <v>405</v>
      </c>
      <c r="E444" t="s">
        <v>651</v>
      </c>
      <c r="F444">
        <v>2.15</v>
      </c>
      <c r="G444" t="s">
        <v>623</v>
      </c>
      <c r="H444" s="1">
        <v>45994.44017361111</v>
      </c>
      <c r="I444" t="s">
        <v>633</v>
      </c>
      <c r="J444">
        <v>2.15</v>
      </c>
      <c r="K444">
        <v>0</v>
      </c>
    </row>
    <row r="445" spans="1:11" x14ac:dyDescent="0.3">
      <c r="A445">
        <v>444</v>
      </c>
      <c r="B445">
        <v>38</v>
      </c>
      <c r="C445">
        <v>5</v>
      </c>
      <c r="D445">
        <v>406</v>
      </c>
      <c r="E445" t="s">
        <v>651</v>
      </c>
      <c r="F445">
        <v>3.31</v>
      </c>
      <c r="G445" t="s">
        <v>623</v>
      </c>
      <c r="H445" s="1">
        <v>45994.468553240738</v>
      </c>
      <c r="I445" t="s">
        <v>633</v>
      </c>
      <c r="J445">
        <v>3.31</v>
      </c>
      <c r="K445">
        <v>0</v>
      </c>
    </row>
    <row r="446" spans="1:11" x14ac:dyDescent="0.3">
      <c r="A446">
        <v>445</v>
      </c>
      <c r="B446">
        <v>112</v>
      </c>
      <c r="C446">
        <v>5</v>
      </c>
      <c r="D446">
        <v>407</v>
      </c>
      <c r="E446" t="s">
        <v>651</v>
      </c>
      <c r="F446">
        <v>3.09</v>
      </c>
      <c r="G446" t="s">
        <v>623</v>
      </c>
      <c r="H446" s="1">
        <v>45994.494375000002</v>
      </c>
      <c r="I446" t="s">
        <v>633</v>
      </c>
      <c r="J446">
        <v>3.09</v>
      </c>
      <c r="K446">
        <v>0</v>
      </c>
    </row>
    <row r="447" spans="1:11" x14ac:dyDescent="0.3">
      <c r="A447">
        <v>446</v>
      </c>
      <c r="B447">
        <v>244</v>
      </c>
      <c r="C447">
        <v>4</v>
      </c>
      <c r="D447">
        <v>408</v>
      </c>
      <c r="E447" t="s">
        <v>651</v>
      </c>
      <c r="F447">
        <v>6.4</v>
      </c>
      <c r="G447" t="s">
        <v>623</v>
      </c>
      <c r="H447" s="1">
        <v>45994.510393518518</v>
      </c>
      <c r="I447" t="s">
        <v>633</v>
      </c>
      <c r="J447">
        <v>6.4</v>
      </c>
      <c r="K447">
        <v>0</v>
      </c>
    </row>
    <row r="448" spans="1:11" x14ac:dyDescent="0.3">
      <c r="A448">
        <v>447</v>
      </c>
      <c r="B448">
        <v>55</v>
      </c>
      <c r="C448">
        <v>3</v>
      </c>
      <c r="D448">
        <v>409</v>
      </c>
      <c r="E448" t="s">
        <v>651</v>
      </c>
      <c r="F448">
        <v>3.76</v>
      </c>
      <c r="G448" t="s">
        <v>623</v>
      </c>
      <c r="H448" s="1">
        <v>45994.545428240737</v>
      </c>
      <c r="I448" t="s">
        <v>633</v>
      </c>
      <c r="J448">
        <v>3.76</v>
      </c>
      <c r="K448">
        <v>0</v>
      </c>
    </row>
    <row r="449" spans="1:11" x14ac:dyDescent="0.3">
      <c r="A449">
        <v>448</v>
      </c>
      <c r="B449">
        <v>29</v>
      </c>
      <c r="C449">
        <v>4</v>
      </c>
      <c r="D449">
        <v>410</v>
      </c>
      <c r="E449" t="s">
        <v>651</v>
      </c>
      <c r="F449">
        <v>2.66</v>
      </c>
      <c r="G449" t="s">
        <v>623</v>
      </c>
      <c r="H449" s="1">
        <v>45994.581666666665</v>
      </c>
      <c r="I449" t="s">
        <v>633</v>
      </c>
      <c r="J449">
        <v>2.66</v>
      </c>
      <c r="K449">
        <v>0</v>
      </c>
    </row>
    <row r="450" spans="1:11" x14ac:dyDescent="0.3">
      <c r="A450">
        <v>449</v>
      </c>
      <c r="B450">
        <v>106</v>
      </c>
      <c r="C450">
        <v>4</v>
      </c>
      <c r="D450">
        <v>411</v>
      </c>
      <c r="E450" t="s">
        <v>651</v>
      </c>
      <c r="F450">
        <v>7.74</v>
      </c>
      <c r="G450" t="s">
        <v>623</v>
      </c>
      <c r="H450" s="1">
        <v>45994.637048611112</v>
      </c>
      <c r="I450" t="s">
        <v>633</v>
      </c>
      <c r="J450">
        <v>7.74</v>
      </c>
      <c r="K450">
        <v>0</v>
      </c>
    </row>
    <row r="451" spans="1:11" x14ac:dyDescent="0.3">
      <c r="A451">
        <v>450</v>
      </c>
      <c r="B451">
        <v>21</v>
      </c>
      <c r="C451">
        <v>2</v>
      </c>
      <c r="D451">
        <v>412</v>
      </c>
      <c r="E451" t="s">
        <v>651</v>
      </c>
      <c r="F451">
        <v>2.27</v>
      </c>
      <c r="G451" t="s">
        <v>623</v>
      </c>
      <c r="H451" s="1">
        <v>45994.647083333337</v>
      </c>
      <c r="I451" t="s">
        <v>633</v>
      </c>
      <c r="J451">
        <v>2.27</v>
      </c>
      <c r="K451">
        <v>0</v>
      </c>
    </row>
    <row r="452" spans="1:11" x14ac:dyDescent="0.3">
      <c r="A452">
        <v>451</v>
      </c>
      <c r="B452">
        <v>137</v>
      </c>
      <c r="C452">
        <v>5</v>
      </c>
      <c r="D452">
        <v>413</v>
      </c>
      <c r="E452" t="s">
        <v>651</v>
      </c>
      <c r="F452">
        <v>2.4300000000000002</v>
      </c>
      <c r="G452" t="s">
        <v>623</v>
      </c>
      <c r="H452" s="1">
        <v>45994.648414351854</v>
      </c>
      <c r="I452" t="s">
        <v>633</v>
      </c>
      <c r="J452">
        <v>2.4300000000000002</v>
      </c>
      <c r="K452">
        <v>0</v>
      </c>
    </row>
    <row r="453" spans="1:11" x14ac:dyDescent="0.3">
      <c r="A453">
        <v>452</v>
      </c>
      <c r="B453">
        <v>21</v>
      </c>
      <c r="C453">
        <v>2</v>
      </c>
      <c r="D453">
        <v>414</v>
      </c>
      <c r="E453" t="s">
        <v>651</v>
      </c>
      <c r="F453">
        <v>3.76</v>
      </c>
      <c r="G453" t="s">
        <v>623</v>
      </c>
      <c r="H453" s="1">
        <v>45994.670937499999</v>
      </c>
      <c r="I453" t="s">
        <v>633</v>
      </c>
      <c r="J453">
        <v>3.76</v>
      </c>
      <c r="K453">
        <v>0</v>
      </c>
    </row>
    <row r="454" spans="1:11" x14ac:dyDescent="0.3">
      <c r="A454">
        <v>453</v>
      </c>
      <c r="B454">
        <v>186</v>
      </c>
      <c r="C454">
        <v>3</v>
      </c>
      <c r="D454">
        <v>415</v>
      </c>
      <c r="E454" t="s">
        <v>651</v>
      </c>
      <c r="F454">
        <v>11.99</v>
      </c>
      <c r="G454" t="s">
        <v>623</v>
      </c>
      <c r="H454" s="1">
        <v>45994.681122685186</v>
      </c>
      <c r="I454" t="s">
        <v>633</v>
      </c>
      <c r="J454">
        <v>11.99</v>
      </c>
      <c r="K454">
        <v>0</v>
      </c>
    </row>
    <row r="455" spans="1:11" x14ac:dyDescent="0.3">
      <c r="A455">
        <v>454</v>
      </c>
      <c r="B455">
        <v>16</v>
      </c>
      <c r="C455">
        <v>2</v>
      </c>
      <c r="D455">
        <v>416</v>
      </c>
      <c r="E455" t="s">
        <v>651</v>
      </c>
      <c r="F455">
        <v>20.3</v>
      </c>
      <c r="G455" t="s">
        <v>623</v>
      </c>
      <c r="H455" s="1">
        <v>45994.685393518521</v>
      </c>
      <c r="I455" t="s">
        <v>633</v>
      </c>
      <c r="J455">
        <v>20.3</v>
      </c>
      <c r="K455">
        <v>0</v>
      </c>
    </row>
    <row r="456" spans="1:11" x14ac:dyDescent="0.3">
      <c r="A456">
        <v>455</v>
      </c>
      <c r="B456">
        <v>65</v>
      </c>
      <c r="C456">
        <v>2</v>
      </c>
      <c r="D456">
        <v>417</v>
      </c>
      <c r="E456" t="s">
        <v>651</v>
      </c>
      <c r="F456">
        <v>4.24</v>
      </c>
      <c r="G456" t="s">
        <v>623</v>
      </c>
      <c r="H456" s="1">
        <v>45994.730381944442</v>
      </c>
      <c r="I456" t="s">
        <v>633</v>
      </c>
      <c r="J456">
        <v>4.24</v>
      </c>
      <c r="K456">
        <v>0</v>
      </c>
    </row>
    <row r="457" spans="1:11" x14ac:dyDescent="0.3">
      <c r="A457">
        <v>456</v>
      </c>
      <c r="B457">
        <v>211</v>
      </c>
      <c r="C457">
        <v>3</v>
      </c>
      <c r="D457">
        <v>418</v>
      </c>
      <c r="E457" t="s">
        <v>651</v>
      </c>
      <c r="F457">
        <v>5.87</v>
      </c>
      <c r="G457" t="s">
        <v>623</v>
      </c>
      <c r="H457" s="1">
        <v>45994.788541666669</v>
      </c>
      <c r="I457" t="s">
        <v>633</v>
      </c>
      <c r="J457">
        <v>5.87</v>
      </c>
      <c r="K457">
        <v>0</v>
      </c>
    </row>
    <row r="458" spans="1:11" x14ac:dyDescent="0.3">
      <c r="A458">
        <v>457</v>
      </c>
      <c r="B458">
        <v>137</v>
      </c>
      <c r="C458">
        <v>2</v>
      </c>
      <c r="D458">
        <v>419</v>
      </c>
      <c r="E458" t="s">
        <v>651</v>
      </c>
      <c r="F458">
        <v>2</v>
      </c>
      <c r="G458" t="s">
        <v>623</v>
      </c>
      <c r="H458" s="1">
        <v>45994.825798611113</v>
      </c>
      <c r="I458" t="s">
        <v>633</v>
      </c>
      <c r="J458">
        <v>2</v>
      </c>
      <c r="K458">
        <v>0</v>
      </c>
    </row>
    <row r="459" spans="1:11" x14ac:dyDescent="0.3">
      <c r="A459">
        <v>458</v>
      </c>
      <c r="B459">
        <v>39</v>
      </c>
      <c r="C459">
        <v>5</v>
      </c>
      <c r="D459">
        <v>420</v>
      </c>
      <c r="E459" t="s">
        <v>651</v>
      </c>
      <c r="F459">
        <v>8.0399999999999991</v>
      </c>
      <c r="G459" t="s">
        <v>623</v>
      </c>
      <c r="H459" s="1">
        <v>45995.340798611112</v>
      </c>
      <c r="I459" t="s">
        <v>633</v>
      </c>
      <c r="J459">
        <v>8.0399999999999991</v>
      </c>
      <c r="K459">
        <v>0</v>
      </c>
    </row>
    <row r="460" spans="1:11" x14ac:dyDescent="0.3">
      <c r="A460">
        <v>459</v>
      </c>
      <c r="B460">
        <v>262</v>
      </c>
      <c r="C460">
        <v>5</v>
      </c>
      <c r="D460">
        <v>421</v>
      </c>
      <c r="E460" t="s">
        <v>651</v>
      </c>
      <c r="F460">
        <v>6.81</v>
      </c>
      <c r="G460" t="s">
        <v>623</v>
      </c>
      <c r="H460" s="1">
        <v>45995.366342592592</v>
      </c>
      <c r="I460" t="s">
        <v>633</v>
      </c>
      <c r="J460">
        <v>6.81</v>
      </c>
      <c r="K460">
        <v>0</v>
      </c>
    </row>
    <row r="461" spans="1:11" x14ac:dyDescent="0.3">
      <c r="A461">
        <v>460</v>
      </c>
      <c r="B461">
        <v>25</v>
      </c>
      <c r="C461">
        <v>5</v>
      </c>
      <c r="D461">
        <v>422</v>
      </c>
      <c r="E461" t="s">
        <v>651</v>
      </c>
      <c r="F461">
        <v>7.27</v>
      </c>
      <c r="G461" t="s">
        <v>623</v>
      </c>
      <c r="H461" s="1">
        <v>45995.4</v>
      </c>
      <c r="I461" t="s">
        <v>633</v>
      </c>
      <c r="J461">
        <v>7.27</v>
      </c>
      <c r="K461">
        <v>0</v>
      </c>
    </row>
    <row r="462" spans="1:11" x14ac:dyDescent="0.3">
      <c r="A462">
        <v>461</v>
      </c>
      <c r="B462">
        <v>117</v>
      </c>
      <c r="C462">
        <v>5</v>
      </c>
      <c r="D462">
        <v>423</v>
      </c>
      <c r="E462" t="s">
        <v>651</v>
      </c>
      <c r="F462">
        <v>22</v>
      </c>
      <c r="G462" t="s">
        <v>623</v>
      </c>
      <c r="H462" s="1">
        <v>45995.420312499999</v>
      </c>
      <c r="I462" t="s">
        <v>633</v>
      </c>
      <c r="J462">
        <v>22</v>
      </c>
      <c r="K462">
        <v>0</v>
      </c>
    </row>
    <row r="463" spans="1:11" x14ac:dyDescent="0.3">
      <c r="A463">
        <v>462</v>
      </c>
      <c r="B463">
        <v>290</v>
      </c>
      <c r="C463">
        <v>3</v>
      </c>
      <c r="D463">
        <v>424</v>
      </c>
      <c r="E463" t="s">
        <v>651</v>
      </c>
      <c r="F463">
        <v>2.88</v>
      </c>
      <c r="G463" t="s">
        <v>623</v>
      </c>
      <c r="H463" s="1">
        <v>45995.498368055552</v>
      </c>
      <c r="I463" t="s">
        <v>633</v>
      </c>
      <c r="J463">
        <v>2.88</v>
      </c>
      <c r="K463">
        <v>0</v>
      </c>
    </row>
    <row r="464" spans="1:11" x14ac:dyDescent="0.3">
      <c r="A464">
        <v>463</v>
      </c>
      <c r="B464">
        <v>245</v>
      </c>
      <c r="C464">
        <v>5</v>
      </c>
      <c r="D464">
        <v>425</v>
      </c>
      <c r="E464" t="s">
        <v>651</v>
      </c>
      <c r="F464">
        <v>3.91</v>
      </c>
      <c r="G464" t="s">
        <v>623</v>
      </c>
      <c r="H464" s="1">
        <v>45995.542523148149</v>
      </c>
      <c r="I464" t="s">
        <v>633</v>
      </c>
      <c r="J464">
        <v>3.91</v>
      </c>
      <c r="K464">
        <v>0</v>
      </c>
    </row>
    <row r="465" spans="1:11" x14ac:dyDescent="0.3">
      <c r="A465">
        <v>464</v>
      </c>
      <c r="B465">
        <v>55</v>
      </c>
      <c r="C465">
        <v>2</v>
      </c>
      <c r="D465">
        <v>426</v>
      </c>
      <c r="E465" t="s">
        <v>651</v>
      </c>
      <c r="F465">
        <v>3.76</v>
      </c>
      <c r="G465" t="s">
        <v>623</v>
      </c>
      <c r="H465" s="1">
        <v>45995.579155092593</v>
      </c>
      <c r="I465" t="s">
        <v>633</v>
      </c>
      <c r="J465">
        <v>3.76</v>
      </c>
      <c r="K465">
        <v>0</v>
      </c>
    </row>
    <row r="466" spans="1:11" x14ac:dyDescent="0.3">
      <c r="A466">
        <v>465</v>
      </c>
      <c r="B466">
        <v>244</v>
      </c>
      <c r="C466">
        <v>2</v>
      </c>
      <c r="D466">
        <v>427</v>
      </c>
      <c r="E466" t="s">
        <v>651</v>
      </c>
      <c r="F466">
        <v>10.66</v>
      </c>
      <c r="G466" t="s">
        <v>623</v>
      </c>
      <c r="H466" s="1">
        <v>45995.633217592593</v>
      </c>
      <c r="I466" t="s">
        <v>633</v>
      </c>
      <c r="J466">
        <v>10.66</v>
      </c>
      <c r="K466">
        <v>0</v>
      </c>
    </row>
    <row r="467" spans="1:11" x14ac:dyDescent="0.3">
      <c r="A467">
        <v>466</v>
      </c>
      <c r="B467">
        <v>293</v>
      </c>
      <c r="C467">
        <v>2</v>
      </c>
      <c r="D467">
        <v>428</v>
      </c>
      <c r="E467" t="s">
        <v>651</v>
      </c>
      <c r="F467">
        <v>2.52</v>
      </c>
      <c r="G467" t="s">
        <v>623</v>
      </c>
      <c r="H467" s="1">
        <v>45995.647604166668</v>
      </c>
      <c r="I467" t="s">
        <v>633</v>
      </c>
      <c r="J467">
        <v>2.52</v>
      </c>
      <c r="K467">
        <v>0</v>
      </c>
    </row>
    <row r="468" spans="1:11" x14ac:dyDescent="0.3">
      <c r="A468">
        <v>467</v>
      </c>
      <c r="B468">
        <v>34</v>
      </c>
      <c r="C468">
        <v>4</v>
      </c>
      <c r="D468">
        <v>429</v>
      </c>
      <c r="E468" t="s">
        <v>651</v>
      </c>
      <c r="F468">
        <v>14.39</v>
      </c>
      <c r="G468" t="s">
        <v>623</v>
      </c>
      <c r="H468" s="1">
        <v>45995.703587962962</v>
      </c>
      <c r="I468" t="s">
        <v>633</v>
      </c>
      <c r="J468">
        <v>14.39</v>
      </c>
      <c r="K468">
        <v>0</v>
      </c>
    </row>
    <row r="469" spans="1:11" x14ac:dyDescent="0.3">
      <c r="A469">
        <v>468</v>
      </c>
      <c r="B469">
        <v>154</v>
      </c>
      <c r="C469">
        <v>5</v>
      </c>
      <c r="D469">
        <v>430</v>
      </c>
      <c r="E469" t="s">
        <v>651</v>
      </c>
      <c r="F469">
        <v>3.72</v>
      </c>
      <c r="G469" t="s">
        <v>623</v>
      </c>
      <c r="H469" s="1">
        <v>45995.705439814818</v>
      </c>
      <c r="I469" t="s">
        <v>633</v>
      </c>
      <c r="J469">
        <v>3.72</v>
      </c>
      <c r="K469">
        <v>0</v>
      </c>
    </row>
    <row r="470" spans="1:11" x14ac:dyDescent="0.3">
      <c r="A470">
        <v>469</v>
      </c>
      <c r="B470">
        <v>117</v>
      </c>
      <c r="C470">
        <v>2</v>
      </c>
      <c r="D470">
        <v>431</v>
      </c>
      <c r="E470" t="s">
        <v>651</v>
      </c>
      <c r="F470">
        <v>15.98</v>
      </c>
      <c r="G470" t="s">
        <v>623</v>
      </c>
      <c r="H470" s="1">
        <v>45995.784895833334</v>
      </c>
      <c r="I470" t="s">
        <v>633</v>
      </c>
      <c r="J470">
        <v>15.98</v>
      </c>
      <c r="K470">
        <v>0</v>
      </c>
    </row>
    <row r="471" spans="1:11" x14ac:dyDescent="0.3">
      <c r="A471">
        <v>470</v>
      </c>
      <c r="B471">
        <v>58</v>
      </c>
      <c r="C471">
        <v>5</v>
      </c>
      <c r="D471">
        <v>432</v>
      </c>
      <c r="E471" t="s">
        <v>651</v>
      </c>
      <c r="F471">
        <v>10.199999999999999</v>
      </c>
      <c r="G471" t="s">
        <v>623</v>
      </c>
      <c r="H471" s="1">
        <v>45995.790451388886</v>
      </c>
      <c r="I471" t="s">
        <v>633</v>
      </c>
      <c r="J471">
        <v>10.199999999999999</v>
      </c>
      <c r="K471">
        <v>0</v>
      </c>
    </row>
    <row r="472" spans="1:11" x14ac:dyDescent="0.3">
      <c r="A472">
        <v>471</v>
      </c>
      <c r="B472">
        <v>175</v>
      </c>
      <c r="C472">
        <v>5</v>
      </c>
      <c r="D472">
        <v>433</v>
      </c>
      <c r="E472" t="s">
        <v>651</v>
      </c>
      <c r="F472">
        <v>3.24</v>
      </c>
      <c r="G472" t="s">
        <v>623</v>
      </c>
      <c r="H472" s="1">
        <v>45995.830370370371</v>
      </c>
      <c r="I472" t="s">
        <v>633</v>
      </c>
      <c r="J472">
        <v>3.24</v>
      </c>
      <c r="K472">
        <v>0</v>
      </c>
    </row>
    <row r="473" spans="1:11" x14ac:dyDescent="0.3">
      <c r="A473">
        <v>472</v>
      </c>
      <c r="B473">
        <v>245</v>
      </c>
      <c r="C473">
        <v>5</v>
      </c>
      <c r="D473">
        <v>425</v>
      </c>
      <c r="E473" t="s">
        <v>649</v>
      </c>
      <c r="F473">
        <v>-3.91</v>
      </c>
      <c r="G473" t="s">
        <v>672</v>
      </c>
      <c r="H473" s="1">
        <v>45996.084189814814</v>
      </c>
      <c r="I473" t="s">
        <v>633</v>
      </c>
      <c r="J473">
        <v>0</v>
      </c>
      <c r="K473">
        <v>0</v>
      </c>
    </row>
    <row r="474" spans="1:11" x14ac:dyDescent="0.3">
      <c r="A474">
        <v>473</v>
      </c>
      <c r="B474">
        <v>202</v>
      </c>
      <c r="C474">
        <v>3</v>
      </c>
      <c r="D474">
        <v>434</v>
      </c>
      <c r="E474" t="s">
        <v>651</v>
      </c>
      <c r="F474">
        <v>3.86</v>
      </c>
      <c r="G474" t="s">
        <v>623</v>
      </c>
      <c r="H474" s="1">
        <v>45996.346701388888</v>
      </c>
      <c r="I474" t="s">
        <v>633</v>
      </c>
      <c r="J474">
        <v>3.86</v>
      </c>
      <c r="K474">
        <v>0</v>
      </c>
    </row>
    <row r="475" spans="1:11" x14ac:dyDescent="0.3">
      <c r="A475">
        <v>474</v>
      </c>
      <c r="B475">
        <v>47</v>
      </c>
      <c r="C475">
        <v>2</v>
      </c>
      <c r="D475">
        <v>435</v>
      </c>
      <c r="E475" t="s">
        <v>651</v>
      </c>
      <c r="F475">
        <v>1.37</v>
      </c>
      <c r="G475" t="s">
        <v>623</v>
      </c>
      <c r="H475" s="1">
        <v>45996.378576388888</v>
      </c>
      <c r="I475" t="s">
        <v>633</v>
      </c>
      <c r="J475">
        <v>1.37</v>
      </c>
      <c r="K475">
        <v>0</v>
      </c>
    </row>
    <row r="476" spans="1:11" x14ac:dyDescent="0.3">
      <c r="A476">
        <v>475</v>
      </c>
      <c r="B476">
        <v>25</v>
      </c>
      <c r="C476">
        <v>3</v>
      </c>
      <c r="D476">
        <v>436</v>
      </c>
      <c r="E476" t="s">
        <v>651</v>
      </c>
      <c r="F476">
        <v>15.34</v>
      </c>
      <c r="G476" t="s">
        <v>623</v>
      </c>
      <c r="H476" s="1">
        <v>45996.380706018521</v>
      </c>
      <c r="I476" t="s">
        <v>633</v>
      </c>
      <c r="J476">
        <v>15.34</v>
      </c>
      <c r="K476">
        <v>0</v>
      </c>
    </row>
    <row r="477" spans="1:11" x14ac:dyDescent="0.3">
      <c r="A477">
        <v>476</v>
      </c>
      <c r="B477">
        <v>40</v>
      </c>
      <c r="C477">
        <v>3</v>
      </c>
      <c r="D477">
        <v>437</v>
      </c>
      <c r="E477" t="s">
        <v>651</v>
      </c>
      <c r="F477">
        <v>13.36</v>
      </c>
      <c r="G477" t="s">
        <v>623</v>
      </c>
      <c r="H477" s="1">
        <v>45996.39135416667</v>
      </c>
      <c r="I477" t="s">
        <v>633</v>
      </c>
      <c r="J477">
        <v>13.36</v>
      </c>
      <c r="K477">
        <v>0</v>
      </c>
    </row>
    <row r="478" spans="1:11" x14ac:dyDescent="0.3">
      <c r="A478">
        <v>477</v>
      </c>
      <c r="B478">
        <v>245</v>
      </c>
      <c r="C478">
        <v>2</v>
      </c>
      <c r="D478">
        <v>438</v>
      </c>
      <c r="E478" t="s">
        <v>651</v>
      </c>
      <c r="F478">
        <v>5.74</v>
      </c>
      <c r="G478" t="s">
        <v>623</v>
      </c>
      <c r="H478" s="1">
        <v>45996.420358796298</v>
      </c>
      <c r="I478" t="s">
        <v>633</v>
      </c>
      <c r="J478">
        <v>5.74</v>
      </c>
      <c r="K478">
        <v>0</v>
      </c>
    </row>
    <row r="479" spans="1:11" x14ac:dyDescent="0.3">
      <c r="A479">
        <v>478</v>
      </c>
      <c r="B479">
        <v>137</v>
      </c>
      <c r="C479">
        <v>3</v>
      </c>
      <c r="D479">
        <v>439</v>
      </c>
      <c r="E479" t="s">
        <v>651</v>
      </c>
      <c r="F479">
        <v>5.12</v>
      </c>
      <c r="G479" t="s">
        <v>623</v>
      </c>
      <c r="H479" s="1">
        <v>45996.430555555555</v>
      </c>
      <c r="I479" t="s">
        <v>633</v>
      </c>
      <c r="J479">
        <v>5.12</v>
      </c>
      <c r="K479">
        <v>0</v>
      </c>
    </row>
    <row r="480" spans="1:11" x14ac:dyDescent="0.3">
      <c r="A480">
        <v>479</v>
      </c>
      <c r="B480">
        <v>47</v>
      </c>
      <c r="C480">
        <v>2</v>
      </c>
      <c r="D480">
        <v>440</v>
      </c>
      <c r="E480" t="s">
        <v>651</v>
      </c>
      <c r="F480">
        <v>1.88</v>
      </c>
      <c r="G480" t="s">
        <v>623</v>
      </c>
      <c r="H480" s="1">
        <v>45996.516574074078</v>
      </c>
      <c r="I480" t="s">
        <v>633</v>
      </c>
      <c r="J480">
        <v>1.88</v>
      </c>
      <c r="K480">
        <v>0</v>
      </c>
    </row>
    <row r="481" spans="1:11" x14ac:dyDescent="0.3">
      <c r="A481">
        <v>480</v>
      </c>
      <c r="B481">
        <v>290</v>
      </c>
      <c r="C481">
        <v>3</v>
      </c>
      <c r="D481">
        <v>441</v>
      </c>
      <c r="E481" t="s">
        <v>651</v>
      </c>
      <c r="F481">
        <v>3.89</v>
      </c>
      <c r="G481" t="s">
        <v>623</v>
      </c>
      <c r="H481" s="1">
        <v>45996.541620370372</v>
      </c>
      <c r="I481" t="s">
        <v>633</v>
      </c>
      <c r="J481">
        <v>3.89</v>
      </c>
      <c r="K481">
        <v>0</v>
      </c>
    </row>
    <row r="482" spans="1:11" x14ac:dyDescent="0.3">
      <c r="A482">
        <v>481</v>
      </c>
      <c r="B482">
        <v>39</v>
      </c>
      <c r="C482">
        <v>2</v>
      </c>
      <c r="D482">
        <v>442</v>
      </c>
      <c r="E482" t="s">
        <v>657</v>
      </c>
      <c r="F482">
        <v>104.33</v>
      </c>
      <c r="G482" t="s">
        <v>623</v>
      </c>
      <c r="H482" s="1">
        <v>45996.563784722224</v>
      </c>
      <c r="I482" t="s">
        <v>633</v>
      </c>
      <c r="J482">
        <v>0</v>
      </c>
      <c r="K482">
        <v>104.33</v>
      </c>
    </row>
    <row r="483" spans="1:11" x14ac:dyDescent="0.3">
      <c r="A483">
        <v>482</v>
      </c>
      <c r="B483">
        <v>137</v>
      </c>
      <c r="C483">
        <v>3</v>
      </c>
      <c r="D483">
        <v>443</v>
      </c>
      <c r="E483" t="s">
        <v>651</v>
      </c>
      <c r="F483">
        <v>3.01</v>
      </c>
      <c r="G483" t="s">
        <v>623</v>
      </c>
      <c r="H483" s="1">
        <v>45996.675057870372</v>
      </c>
      <c r="I483" t="s">
        <v>633</v>
      </c>
      <c r="J483">
        <v>3.01</v>
      </c>
      <c r="K483">
        <v>0</v>
      </c>
    </row>
    <row r="484" spans="1:11" x14ac:dyDescent="0.3">
      <c r="A484">
        <v>483</v>
      </c>
      <c r="B484">
        <v>106</v>
      </c>
      <c r="C484">
        <v>5</v>
      </c>
      <c r="D484">
        <v>444</v>
      </c>
      <c r="E484" t="s">
        <v>651</v>
      </c>
      <c r="F484">
        <v>4.68</v>
      </c>
      <c r="G484" t="s">
        <v>623</v>
      </c>
      <c r="H484" s="1">
        <v>45996.677199074074</v>
      </c>
      <c r="I484" t="s">
        <v>633</v>
      </c>
      <c r="J484">
        <v>4.68</v>
      </c>
      <c r="K484">
        <v>0</v>
      </c>
    </row>
    <row r="485" spans="1:11" x14ac:dyDescent="0.3">
      <c r="A485">
        <v>484</v>
      </c>
      <c r="B485">
        <v>257</v>
      </c>
      <c r="C485">
        <v>3</v>
      </c>
      <c r="D485">
        <v>445</v>
      </c>
      <c r="E485" t="s">
        <v>651</v>
      </c>
      <c r="F485">
        <v>15.34</v>
      </c>
      <c r="G485" t="s">
        <v>623</v>
      </c>
      <c r="H485" s="1">
        <v>45996.685844907406</v>
      </c>
      <c r="I485" t="s">
        <v>633</v>
      </c>
      <c r="J485">
        <v>15.34</v>
      </c>
      <c r="K485">
        <v>0</v>
      </c>
    </row>
    <row r="486" spans="1:11" x14ac:dyDescent="0.3">
      <c r="A486">
        <v>485</v>
      </c>
      <c r="B486">
        <v>30</v>
      </c>
      <c r="C486">
        <v>1</v>
      </c>
      <c r="E486" t="s">
        <v>649</v>
      </c>
      <c r="F486">
        <v>12.85</v>
      </c>
      <c r="G486" t="s">
        <v>660</v>
      </c>
      <c r="H486" s="1">
        <v>45996.77857638889</v>
      </c>
      <c r="I486" t="s">
        <v>633</v>
      </c>
      <c r="J486">
        <v>0</v>
      </c>
      <c r="K486">
        <v>0</v>
      </c>
    </row>
    <row r="487" spans="1:11" x14ac:dyDescent="0.3">
      <c r="A487">
        <v>486</v>
      </c>
      <c r="B487">
        <v>47</v>
      </c>
      <c r="C487">
        <v>3</v>
      </c>
      <c r="D487">
        <v>435</v>
      </c>
      <c r="E487" t="s">
        <v>649</v>
      </c>
      <c r="F487">
        <v>-1.37</v>
      </c>
      <c r="G487" t="s">
        <v>673</v>
      </c>
      <c r="H487" s="1">
        <v>45996.878576388888</v>
      </c>
      <c r="I487" t="s">
        <v>633</v>
      </c>
      <c r="J487">
        <v>0</v>
      </c>
      <c r="K487">
        <v>0</v>
      </c>
    </row>
    <row r="488" spans="1:11" x14ac:dyDescent="0.3">
      <c r="A488">
        <v>487</v>
      </c>
      <c r="B488">
        <v>11</v>
      </c>
      <c r="C488">
        <v>1</v>
      </c>
      <c r="E488" t="s">
        <v>649</v>
      </c>
      <c r="F488">
        <v>39.67</v>
      </c>
      <c r="G488" t="s">
        <v>660</v>
      </c>
      <c r="H488" s="1">
        <v>45997.129224537035</v>
      </c>
      <c r="I488" t="s">
        <v>633</v>
      </c>
      <c r="J488">
        <v>0</v>
      </c>
      <c r="K488">
        <v>0</v>
      </c>
    </row>
    <row r="489" spans="1:11" x14ac:dyDescent="0.3">
      <c r="A489">
        <v>488</v>
      </c>
      <c r="B489">
        <v>244</v>
      </c>
      <c r="C489">
        <v>5</v>
      </c>
      <c r="D489">
        <v>446</v>
      </c>
      <c r="E489" t="s">
        <v>651</v>
      </c>
      <c r="F489">
        <v>17.59</v>
      </c>
      <c r="G489" t="s">
        <v>623</v>
      </c>
      <c r="H489" s="1">
        <v>45997.352280092593</v>
      </c>
      <c r="I489" t="s">
        <v>633</v>
      </c>
      <c r="J489">
        <v>17.59</v>
      </c>
      <c r="K489">
        <v>0</v>
      </c>
    </row>
    <row r="490" spans="1:11" x14ac:dyDescent="0.3">
      <c r="A490">
        <v>489</v>
      </c>
      <c r="B490">
        <v>137</v>
      </c>
      <c r="C490">
        <v>4</v>
      </c>
      <c r="D490">
        <v>447</v>
      </c>
      <c r="E490" t="s">
        <v>651</v>
      </c>
      <c r="F490">
        <v>2.4900000000000002</v>
      </c>
      <c r="G490" t="s">
        <v>623</v>
      </c>
      <c r="H490" s="1">
        <v>45997.354826388888</v>
      </c>
      <c r="I490" t="s">
        <v>633</v>
      </c>
      <c r="J490">
        <v>2.4900000000000002</v>
      </c>
      <c r="K490">
        <v>0</v>
      </c>
    </row>
    <row r="491" spans="1:11" x14ac:dyDescent="0.3">
      <c r="A491">
        <v>490</v>
      </c>
      <c r="B491">
        <v>244</v>
      </c>
      <c r="C491">
        <v>3</v>
      </c>
      <c r="D491">
        <v>448</v>
      </c>
      <c r="E491" t="s">
        <v>651</v>
      </c>
      <c r="F491">
        <v>3.22</v>
      </c>
      <c r="G491" t="s">
        <v>623</v>
      </c>
      <c r="H491" s="1">
        <v>45997.35565972222</v>
      </c>
      <c r="I491" t="s">
        <v>633</v>
      </c>
      <c r="J491">
        <v>3.22</v>
      </c>
      <c r="K491">
        <v>0</v>
      </c>
    </row>
    <row r="492" spans="1:11" x14ac:dyDescent="0.3">
      <c r="A492">
        <v>491</v>
      </c>
      <c r="B492">
        <v>46</v>
      </c>
      <c r="C492">
        <v>2</v>
      </c>
      <c r="D492">
        <v>449</v>
      </c>
      <c r="E492" t="s">
        <v>651</v>
      </c>
      <c r="F492">
        <v>3.38</v>
      </c>
      <c r="G492" t="s">
        <v>623</v>
      </c>
      <c r="H492" s="1">
        <v>45997.363749999997</v>
      </c>
      <c r="I492" t="s">
        <v>633</v>
      </c>
      <c r="J492">
        <v>3.38</v>
      </c>
      <c r="K492">
        <v>0</v>
      </c>
    </row>
    <row r="493" spans="1:11" x14ac:dyDescent="0.3">
      <c r="A493">
        <v>492</v>
      </c>
      <c r="B493">
        <v>46</v>
      </c>
      <c r="C493">
        <v>3</v>
      </c>
      <c r="D493">
        <v>450</v>
      </c>
      <c r="E493" t="s">
        <v>651</v>
      </c>
      <c r="F493">
        <v>4.7300000000000004</v>
      </c>
      <c r="G493" t="s">
        <v>623</v>
      </c>
      <c r="H493" s="1">
        <v>45997.387106481481</v>
      </c>
      <c r="I493" t="s">
        <v>633</v>
      </c>
      <c r="J493">
        <v>4.7300000000000004</v>
      </c>
      <c r="K493">
        <v>0</v>
      </c>
    </row>
    <row r="494" spans="1:11" x14ac:dyDescent="0.3">
      <c r="A494">
        <v>493</v>
      </c>
      <c r="B494">
        <v>293</v>
      </c>
      <c r="C494">
        <v>5</v>
      </c>
      <c r="D494">
        <v>451</v>
      </c>
      <c r="E494" t="s">
        <v>651</v>
      </c>
      <c r="F494">
        <v>3.17</v>
      </c>
      <c r="G494" t="s">
        <v>623</v>
      </c>
      <c r="H494" s="1">
        <v>45997.400023148148</v>
      </c>
      <c r="I494" t="s">
        <v>633</v>
      </c>
      <c r="J494">
        <v>3.17</v>
      </c>
      <c r="K494">
        <v>0</v>
      </c>
    </row>
    <row r="495" spans="1:11" x14ac:dyDescent="0.3">
      <c r="A495">
        <v>494</v>
      </c>
      <c r="B495">
        <v>44</v>
      </c>
      <c r="C495">
        <v>5</v>
      </c>
      <c r="D495">
        <v>452</v>
      </c>
      <c r="E495" t="s">
        <v>651</v>
      </c>
      <c r="F495">
        <v>2.73</v>
      </c>
      <c r="G495" t="s">
        <v>623</v>
      </c>
      <c r="H495" s="1">
        <v>45997.403356481482</v>
      </c>
      <c r="I495" t="s">
        <v>633</v>
      </c>
      <c r="J495">
        <v>2.73</v>
      </c>
      <c r="K495">
        <v>0</v>
      </c>
    </row>
    <row r="496" spans="1:11" x14ac:dyDescent="0.3">
      <c r="A496">
        <v>495</v>
      </c>
      <c r="B496">
        <v>60</v>
      </c>
      <c r="C496">
        <v>5</v>
      </c>
      <c r="D496">
        <v>453</v>
      </c>
      <c r="E496" t="s">
        <v>651</v>
      </c>
      <c r="F496">
        <v>18.22</v>
      </c>
      <c r="G496" t="s">
        <v>623</v>
      </c>
      <c r="H496" s="1">
        <v>45997.421944444446</v>
      </c>
      <c r="I496" t="s">
        <v>633</v>
      </c>
      <c r="J496">
        <v>18.22</v>
      </c>
      <c r="K496">
        <v>0</v>
      </c>
    </row>
    <row r="497" spans="1:11" x14ac:dyDescent="0.3">
      <c r="A497">
        <v>496</v>
      </c>
      <c r="B497">
        <v>240</v>
      </c>
      <c r="C497">
        <v>4</v>
      </c>
      <c r="D497">
        <v>454</v>
      </c>
      <c r="E497" t="s">
        <v>651</v>
      </c>
      <c r="F497">
        <v>30</v>
      </c>
      <c r="G497" t="s">
        <v>623</v>
      </c>
      <c r="H497" s="1">
        <v>45997.42763888889</v>
      </c>
      <c r="I497" t="s">
        <v>633</v>
      </c>
      <c r="J497">
        <v>30</v>
      </c>
      <c r="K497">
        <v>0</v>
      </c>
    </row>
    <row r="498" spans="1:11" x14ac:dyDescent="0.3">
      <c r="A498">
        <v>497</v>
      </c>
      <c r="B498">
        <v>197</v>
      </c>
      <c r="C498">
        <v>5</v>
      </c>
      <c r="D498">
        <v>455</v>
      </c>
      <c r="E498" t="s">
        <v>651</v>
      </c>
      <c r="F498">
        <v>8.1999999999999993</v>
      </c>
      <c r="G498" t="s">
        <v>623</v>
      </c>
      <c r="H498" s="1">
        <v>45997.437916666669</v>
      </c>
      <c r="I498" t="s">
        <v>633</v>
      </c>
      <c r="J498">
        <v>8.1999999999999993</v>
      </c>
      <c r="K498">
        <v>0</v>
      </c>
    </row>
    <row r="499" spans="1:11" x14ac:dyDescent="0.3">
      <c r="A499">
        <v>498</v>
      </c>
      <c r="B499">
        <v>252</v>
      </c>
      <c r="C499">
        <v>3</v>
      </c>
      <c r="D499">
        <v>456</v>
      </c>
      <c r="E499" t="s">
        <v>651</v>
      </c>
      <c r="F499">
        <v>3.19</v>
      </c>
      <c r="G499" t="s">
        <v>623</v>
      </c>
      <c r="H499" s="1">
        <v>45997.463310185187</v>
      </c>
      <c r="I499" t="s">
        <v>633</v>
      </c>
      <c r="J499">
        <v>3.19</v>
      </c>
      <c r="K499">
        <v>0</v>
      </c>
    </row>
    <row r="500" spans="1:11" x14ac:dyDescent="0.3">
      <c r="A500">
        <v>499</v>
      </c>
      <c r="B500">
        <v>47</v>
      </c>
      <c r="C500">
        <v>3</v>
      </c>
      <c r="D500">
        <v>457</v>
      </c>
      <c r="E500" t="s">
        <v>651</v>
      </c>
      <c r="F500">
        <v>2.91</v>
      </c>
      <c r="G500" t="s">
        <v>623</v>
      </c>
      <c r="H500" s="1">
        <v>45997.507337962961</v>
      </c>
      <c r="I500" t="s">
        <v>633</v>
      </c>
      <c r="J500">
        <v>2.91</v>
      </c>
      <c r="K500">
        <v>0</v>
      </c>
    </row>
    <row r="501" spans="1:11" x14ac:dyDescent="0.3">
      <c r="A501">
        <v>500</v>
      </c>
      <c r="B501">
        <v>23</v>
      </c>
      <c r="C501">
        <v>2</v>
      </c>
      <c r="D501">
        <v>458</v>
      </c>
      <c r="E501" t="s">
        <v>651</v>
      </c>
      <c r="F501">
        <v>9.08</v>
      </c>
      <c r="G501" t="s">
        <v>623</v>
      </c>
      <c r="H501" s="1">
        <v>45997.585578703707</v>
      </c>
      <c r="I501" t="s">
        <v>633</v>
      </c>
      <c r="J501">
        <v>9.08</v>
      </c>
      <c r="K501">
        <v>0</v>
      </c>
    </row>
    <row r="502" spans="1:11" x14ac:dyDescent="0.3">
      <c r="A502">
        <v>501</v>
      </c>
      <c r="B502">
        <v>240</v>
      </c>
      <c r="C502">
        <v>4</v>
      </c>
      <c r="D502">
        <v>459</v>
      </c>
      <c r="E502" t="s">
        <v>651</v>
      </c>
      <c r="F502">
        <v>30</v>
      </c>
      <c r="G502" t="s">
        <v>623</v>
      </c>
      <c r="H502" s="1">
        <v>45997.626493055555</v>
      </c>
      <c r="I502" t="s">
        <v>633</v>
      </c>
      <c r="J502">
        <v>30</v>
      </c>
      <c r="K502">
        <v>0</v>
      </c>
    </row>
    <row r="503" spans="1:11" x14ac:dyDescent="0.3">
      <c r="A503">
        <v>502</v>
      </c>
      <c r="B503">
        <v>44</v>
      </c>
      <c r="C503">
        <v>2</v>
      </c>
      <c r="D503">
        <v>460</v>
      </c>
      <c r="E503" t="s">
        <v>651</v>
      </c>
      <c r="F503">
        <v>6.15</v>
      </c>
      <c r="G503" t="s">
        <v>623</v>
      </c>
      <c r="H503" s="1">
        <v>45997.628310185188</v>
      </c>
      <c r="I503" t="s">
        <v>633</v>
      </c>
      <c r="J503">
        <v>6.15</v>
      </c>
      <c r="K503">
        <v>0</v>
      </c>
    </row>
    <row r="504" spans="1:11" x14ac:dyDescent="0.3">
      <c r="A504">
        <v>503</v>
      </c>
      <c r="B504">
        <v>221</v>
      </c>
      <c r="C504">
        <v>5</v>
      </c>
      <c r="D504">
        <v>461</v>
      </c>
      <c r="E504" t="s">
        <v>651</v>
      </c>
      <c r="F504">
        <v>30</v>
      </c>
      <c r="G504" t="s">
        <v>623</v>
      </c>
      <c r="H504" s="1">
        <v>45997.706284722219</v>
      </c>
      <c r="I504" t="s">
        <v>633</v>
      </c>
      <c r="J504">
        <v>30</v>
      </c>
      <c r="K504">
        <v>0</v>
      </c>
    </row>
    <row r="505" spans="1:11" x14ac:dyDescent="0.3">
      <c r="A505">
        <v>504</v>
      </c>
      <c r="B505">
        <v>16</v>
      </c>
      <c r="C505">
        <v>5</v>
      </c>
      <c r="D505">
        <v>462</v>
      </c>
      <c r="E505" t="s">
        <v>651</v>
      </c>
      <c r="F505">
        <v>13.62</v>
      </c>
      <c r="G505" t="s">
        <v>623</v>
      </c>
      <c r="H505" s="1">
        <v>45997.706701388888</v>
      </c>
      <c r="I505" t="s">
        <v>633</v>
      </c>
      <c r="J505">
        <v>13.62</v>
      </c>
      <c r="K505">
        <v>0</v>
      </c>
    </row>
    <row r="506" spans="1:11" x14ac:dyDescent="0.3">
      <c r="A506">
        <v>505</v>
      </c>
      <c r="B506">
        <v>27</v>
      </c>
      <c r="C506">
        <v>1</v>
      </c>
      <c r="E506" t="s">
        <v>649</v>
      </c>
      <c r="F506">
        <v>24.98</v>
      </c>
      <c r="G506" t="s">
        <v>653</v>
      </c>
      <c r="H506" s="1">
        <v>45997.711122685185</v>
      </c>
      <c r="I506" t="s">
        <v>633</v>
      </c>
      <c r="J506">
        <v>0</v>
      </c>
      <c r="K506">
        <v>0</v>
      </c>
    </row>
    <row r="507" spans="1:11" x14ac:dyDescent="0.3">
      <c r="A507">
        <v>506</v>
      </c>
      <c r="B507">
        <v>103</v>
      </c>
      <c r="C507">
        <v>4</v>
      </c>
      <c r="D507">
        <v>463</v>
      </c>
      <c r="E507" t="s">
        <v>651</v>
      </c>
      <c r="F507">
        <v>2.0499999999999998</v>
      </c>
      <c r="G507" t="s">
        <v>623</v>
      </c>
      <c r="H507" s="1">
        <v>45997.74895833333</v>
      </c>
      <c r="I507" t="s">
        <v>633</v>
      </c>
      <c r="J507">
        <v>2.0499999999999998</v>
      </c>
      <c r="K507">
        <v>0</v>
      </c>
    </row>
    <row r="508" spans="1:11" x14ac:dyDescent="0.3">
      <c r="A508">
        <v>507</v>
      </c>
      <c r="B508">
        <v>16</v>
      </c>
      <c r="C508">
        <v>4</v>
      </c>
      <c r="D508">
        <v>464</v>
      </c>
      <c r="E508" t="s">
        <v>657</v>
      </c>
      <c r="F508">
        <v>133.80000000000001</v>
      </c>
      <c r="G508" t="s">
        <v>623</v>
      </c>
      <c r="H508" s="1">
        <v>45997.768807870372</v>
      </c>
      <c r="I508" t="s">
        <v>633</v>
      </c>
      <c r="J508">
        <v>0</v>
      </c>
      <c r="K508">
        <v>133.80000000000001</v>
      </c>
    </row>
    <row r="509" spans="1:11" x14ac:dyDescent="0.3">
      <c r="A509">
        <v>508</v>
      </c>
      <c r="B509">
        <v>11</v>
      </c>
      <c r="C509">
        <v>3</v>
      </c>
      <c r="D509">
        <v>465</v>
      </c>
      <c r="E509" t="s">
        <v>651</v>
      </c>
      <c r="F509">
        <v>20.36</v>
      </c>
      <c r="G509" t="s">
        <v>623</v>
      </c>
      <c r="H509" s="1">
        <v>45998.380682870367</v>
      </c>
      <c r="I509" t="s">
        <v>633</v>
      </c>
      <c r="J509">
        <v>20.36</v>
      </c>
      <c r="K509">
        <v>0</v>
      </c>
    </row>
    <row r="510" spans="1:11" x14ac:dyDescent="0.3">
      <c r="A510">
        <v>509</v>
      </c>
      <c r="B510">
        <v>227</v>
      </c>
      <c r="C510">
        <v>5</v>
      </c>
      <c r="D510">
        <v>466</v>
      </c>
      <c r="E510" t="s">
        <v>651</v>
      </c>
      <c r="F510">
        <v>2.74</v>
      </c>
      <c r="G510" t="s">
        <v>623</v>
      </c>
      <c r="H510" s="1">
        <v>45998.401909722219</v>
      </c>
      <c r="I510" t="s">
        <v>633</v>
      </c>
      <c r="J510">
        <v>2.74</v>
      </c>
      <c r="K510">
        <v>0</v>
      </c>
    </row>
    <row r="511" spans="1:11" x14ac:dyDescent="0.3">
      <c r="A511">
        <v>510</v>
      </c>
      <c r="B511">
        <v>92</v>
      </c>
      <c r="C511">
        <v>5</v>
      </c>
      <c r="D511">
        <v>467</v>
      </c>
      <c r="E511" t="s">
        <v>651</v>
      </c>
      <c r="F511">
        <v>3.95</v>
      </c>
      <c r="G511" t="s">
        <v>623</v>
      </c>
      <c r="H511" s="1">
        <v>45998.447129629632</v>
      </c>
      <c r="I511" t="s">
        <v>633</v>
      </c>
      <c r="J511">
        <v>3.95</v>
      </c>
      <c r="K511">
        <v>0</v>
      </c>
    </row>
    <row r="512" spans="1:11" x14ac:dyDescent="0.3">
      <c r="A512">
        <v>511</v>
      </c>
      <c r="B512">
        <v>135</v>
      </c>
      <c r="C512">
        <v>5</v>
      </c>
      <c r="D512">
        <v>468</v>
      </c>
      <c r="E512" t="s">
        <v>651</v>
      </c>
      <c r="F512">
        <v>14.95</v>
      </c>
      <c r="G512" t="s">
        <v>623</v>
      </c>
      <c r="H512" s="1">
        <v>45998.45815972222</v>
      </c>
      <c r="I512" t="s">
        <v>633</v>
      </c>
      <c r="J512">
        <v>14.95</v>
      </c>
      <c r="K512">
        <v>0</v>
      </c>
    </row>
    <row r="513" spans="1:11" x14ac:dyDescent="0.3">
      <c r="A513">
        <v>512</v>
      </c>
      <c r="B513">
        <v>42</v>
      </c>
      <c r="C513">
        <v>4</v>
      </c>
      <c r="D513">
        <v>469</v>
      </c>
      <c r="E513" t="s">
        <v>651</v>
      </c>
      <c r="F513">
        <v>4.37</v>
      </c>
      <c r="G513" t="s">
        <v>623</v>
      </c>
      <c r="H513" s="1">
        <v>45998.535543981481</v>
      </c>
      <c r="I513" t="s">
        <v>633</v>
      </c>
      <c r="J513">
        <v>4.37</v>
      </c>
      <c r="K513">
        <v>0</v>
      </c>
    </row>
    <row r="514" spans="1:11" x14ac:dyDescent="0.3">
      <c r="A514">
        <v>513</v>
      </c>
      <c r="B514">
        <v>38</v>
      </c>
      <c r="C514">
        <v>5</v>
      </c>
      <c r="D514">
        <v>470</v>
      </c>
      <c r="E514" t="s">
        <v>651</v>
      </c>
      <c r="F514">
        <v>2.59</v>
      </c>
      <c r="G514" t="s">
        <v>623</v>
      </c>
      <c r="H514" s="1">
        <v>45998.701678240737</v>
      </c>
      <c r="I514" t="s">
        <v>633</v>
      </c>
      <c r="J514">
        <v>2.59</v>
      </c>
      <c r="K514">
        <v>0</v>
      </c>
    </row>
    <row r="515" spans="1:11" x14ac:dyDescent="0.3">
      <c r="A515">
        <v>514</v>
      </c>
      <c r="B515">
        <v>244</v>
      </c>
      <c r="C515">
        <v>5</v>
      </c>
      <c r="D515">
        <v>471</v>
      </c>
      <c r="E515" t="s">
        <v>651</v>
      </c>
      <c r="F515">
        <v>6.82</v>
      </c>
      <c r="G515" t="s">
        <v>623</v>
      </c>
      <c r="H515" s="1">
        <v>45998.777395833335</v>
      </c>
      <c r="I515" t="s">
        <v>633</v>
      </c>
      <c r="J515">
        <v>6.82</v>
      </c>
      <c r="K515">
        <v>0</v>
      </c>
    </row>
    <row r="516" spans="1:11" x14ac:dyDescent="0.3">
      <c r="A516">
        <v>515</v>
      </c>
      <c r="B516">
        <v>138</v>
      </c>
      <c r="C516">
        <v>4</v>
      </c>
      <c r="D516">
        <v>472</v>
      </c>
      <c r="E516" t="s">
        <v>651</v>
      </c>
      <c r="F516">
        <v>1.93</v>
      </c>
      <c r="G516" t="s">
        <v>623</v>
      </c>
      <c r="H516" s="1">
        <v>45998.819155092591</v>
      </c>
      <c r="I516" t="s">
        <v>633</v>
      </c>
      <c r="J516">
        <v>1.93</v>
      </c>
      <c r="K516">
        <v>0</v>
      </c>
    </row>
    <row r="517" spans="1:11" x14ac:dyDescent="0.3">
      <c r="A517">
        <v>516</v>
      </c>
      <c r="B517">
        <v>137</v>
      </c>
      <c r="C517">
        <v>4</v>
      </c>
      <c r="D517">
        <v>473</v>
      </c>
      <c r="E517" t="s">
        <v>651</v>
      </c>
      <c r="F517">
        <v>3.08</v>
      </c>
      <c r="G517" t="s">
        <v>623</v>
      </c>
      <c r="H517" s="1">
        <v>45999.319988425923</v>
      </c>
      <c r="I517" t="s">
        <v>633</v>
      </c>
      <c r="J517">
        <v>3.08</v>
      </c>
      <c r="K517">
        <v>0</v>
      </c>
    </row>
    <row r="518" spans="1:11" x14ac:dyDescent="0.3">
      <c r="A518">
        <v>517</v>
      </c>
      <c r="B518">
        <v>122</v>
      </c>
      <c r="C518">
        <v>3</v>
      </c>
      <c r="D518">
        <v>474</v>
      </c>
      <c r="E518" t="s">
        <v>651</v>
      </c>
      <c r="F518">
        <v>19.41</v>
      </c>
      <c r="G518" t="s">
        <v>623</v>
      </c>
      <c r="H518" s="1">
        <v>45999.350115740737</v>
      </c>
      <c r="I518" t="s">
        <v>633</v>
      </c>
      <c r="J518">
        <v>19.41</v>
      </c>
      <c r="K518">
        <v>0</v>
      </c>
    </row>
    <row r="519" spans="1:11" x14ac:dyDescent="0.3">
      <c r="A519">
        <v>518</v>
      </c>
      <c r="B519">
        <v>192</v>
      </c>
      <c r="C519">
        <v>3</v>
      </c>
      <c r="D519">
        <v>475</v>
      </c>
      <c r="E519" t="s">
        <v>651</v>
      </c>
      <c r="F519">
        <v>2.5099999999999998</v>
      </c>
      <c r="G519" t="s">
        <v>623</v>
      </c>
      <c r="H519" s="1">
        <v>45999.350416666668</v>
      </c>
      <c r="I519" t="s">
        <v>633</v>
      </c>
      <c r="J519">
        <v>2.5099999999999998</v>
      </c>
      <c r="K519">
        <v>0</v>
      </c>
    </row>
    <row r="520" spans="1:11" x14ac:dyDescent="0.3">
      <c r="A520">
        <v>519</v>
      </c>
      <c r="B520">
        <v>252</v>
      </c>
      <c r="C520">
        <v>2</v>
      </c>
      <c r="D520">
        <v>476</v>
      </c>
      <c r="E520" t="s">
        <v>651</v>
      </c>
      <c r="F520">
        <v>2.39</v>
      </c>
      <c r="G520" t="s">
        <v>623</v>
      </c>
      <c r="H520" s="1">
        <v>45999.383912037039</v>
      </c>
      <c r="I520" t="s">
        <v>633</v>
      </c>
      <c r="J520">
        <v>2.39</v>
      </c>
      <c r="K520">
        <v>0</v>
      </c>
    </row>
    <row r="521" spans="1:11" x14ac:dyDescent="0.3">
      <c r="A521">
        <v>520</v>
      </c>
      <c r="B521">
        <v>13</v>
      </c>
      <c r="C521">
        <v>4</v>
      </c>
      <c r="D521">
        <v>477</v>
      </c>
      <c r="E521" t="s">
        <v>651</v>
      </c>
      <c r="F521">
        <v>3.73</v>
      </c>
      <c r="G521" t="s">
        <v>623</v>
      </c>
      <c r="H521" s="1">
        <v>45999.426215277781</v>
      </c>
      <c r="I521" t="s">
        <v>633</v>
      </c>
      <c r="J521">
        <v>3.73</v>
      </c>
      <c r="K521">
        <v>0</v>
      </c>
    </row>
    <row r="522" spans="1:11" x14ac:dyDescent="0.3">
      <c r="A522">
        <v>521</v>
      </c>
      <c r="B522">
        <v>69</v>
      </c>
      <c r="C522">
        <v>5</v>
      </c>
      <c r="D522">
        <v>478</v>
      </c>
      <c r="E522" t="s">
        <v>651</v>
      </c>
      <c r="F522">
        <v>3.94</v>
      </c>
      <c r="G522" t="s">
        <v>623</v>
      </c>
      <c r="H522" s="1">
        <v>45999.466631944444</v>
      </c>
      <c r="I522" t="s">
        <v>633</v>
      </c>
      <c r="J522">
        <v>3.94</v>
      </c>
      <c r="K522">
        <v>0</v>
      </c>
    </row>
    <row r="523" spans="1:11" x14ac:dyDescent="0.3">
      <c r="A523">
        <v>522</v>
      </c>
      <c r="B523">
        <v>60</v>
      </c>
      <c r="C523">
        <v>2</v>
      </c>
      <c r="D523">
        <v>479</v>
      </c>
      <c r="E523" t="s">
        <v>651</v>
      </c>
      <c r="F523">
        <v>17.149999999999999</v>
      </c>
      <c r="G523" t="s">
        <v>623</v>
      </c>
      <c r="H523" s="1">
        <v>45999.518622685187</v>
      </c>
      <c r="I523" t="s">
        <v>633</v>
      </c>
      <c r="J523">
        <v>17.149999999999999</v>
      </c>
      <c r="K523">
        <v>0</v>
      </c>
    </row>
    <row r="524" spans="1:11" x14ac:dyDescent="0.3">
      <c r="A524">
        <v>523</v>
      </c>
      <c r="B524">
        <v>39</v>
      </c>
      <c r="C524">
        <v>2</v>
      </c>
      <c r="D524">
        <v>480</v>
      </c>
      <c r="E524" t="s">
        <v>651</v>
      </c>
      <c r="F524">
        <v>20.45</v>
      </c>
      <c r="G524" t="s">
        <v>623</v>
      </c>
      <c r="H524" s="1">
        <v>45999.576192129629</v>
      </c>
      <c r="I524" t="s">
        <v>633</v>
      </c>
      <c r="J524">
        <v>20.45</v>
      </c>
      <c r="K524">
        <v>0</v>
      </c>
    </row>
    <row r="525" spans="1:11" x14ac:dyDescent="0.3">
      <c r="A525">
        <v>524</v>
      </c>
      <c r="B525">
        <v>279</v>
      </c>
      <c r="C525">
        <v>3</v>
      </c>
      <c r="D525">
        <v>481</v>
      </c>
      <c r="E525" t="s">
        <v>651</v>
      </c>
      <c r="F525">
        <v>14.1</v>
      </c>
      <c r="G525" t="s">
        <v>623</v>
      </c>
      <c r="H525" s="1">
        <v>45999.618981481479</v>
      </c>
      <c r="I525" t="s">
        <v>633</v>
      </c>
      <c r="J525">
        <v>14.1</v>
      </c>
      <c r="K525">
        <v>0</v>
      </c>
    </row>
    <row r="526" spans="1:11" x14ac:dyDescent="0.3">
      <c r="A526">
        <v>525</v>
      </c>
      <c r="B526">
        <v>201</v>
      </c>
      <c r="C526">
        <v>2</v>
      </c>
      <c r="D526">
        <v>482</v>
      </c>
      <c r="E526" t="s">
        <v>651</v>
      </c>
      <c r="F526">
        <v>5.27</v>
      </c>
      <c r="G526" t="s">
        <v>623</v>
      </c>
      <c r="H526" s="1">
        <v>45999.642685185187</v>
      </c>
      <c r="I526" t="s">
        <v>633</v>
      </c>
      <c r="J526">
        <v>5.27</v>
      </c>
      <c r="K526">
        <v>0</v>
      </c>
    </row>
    <row r="527" spans="1:11" x14ac:dyDescent="0.3">
      <c r="A527">
        <v>526</v>
      </c>
      <c r="B527">
        <v>16</v>
      </c>
      <c r="C527">
        <v>4</v>
      </c>
      <c r="D527">
        <v>483</v>
      </c>
      <c r="E527" t="s">
        <v>651</v>
      </c>
      <c r="F527">
        <v>21.43</v>
      </c>
      <c r="G527" t="s">
        <v>623</v>
      </c>
      <c r="H527" s="1">
        <v>45999.658356481479</v>
      </c>
      <c r="I527" t="s">
        <v>633</v>
      </c>
      <c r="J527">
        <v>21.43</v>
      </c>
      <c r="K527">
        <v>0</v>
      </c>
    </row>
    <row r="528" spans="1:11" x14ac:dyDescent="0.3">
      <c r="A528">
        <v>527</v>
      </c>
      <c r="B528">
        <v>268</v>
      </c>
      <c r="C528">
        <v>5</v>
      </c>
      <c r="D528">
        <v>484</v>
      </c>
      <c r="E528" t="s">
        <v>651</v>
      </c>
      <c r="F528">
        <v>1.19</v>
      </c>
      <c r="G528" t="s">
        <v>623</v>
      </c>
      <c r="H528" s="1">
        <v>45999.683634259258</v>
      </c>
      <c r="I528" t="s">
        <v>633</v>
      </c>
      <c r="J528">
        <v>1.19</v>
      </c>
      <c r="K528">
        <v>0</v>
      </c>
    </row>
    <row r="529" spans="1:11" x14ac:dyDescent="0.3">
      <c r="A529">
        <v>528</v>
      </c>
      <c r="B529">
        <v>201</v>
      </c>
      <c r="C529">
        <v>2</v>
      </c>
      <c r="D529">
        <v>485</v>
      </c>
      <c r="E529" t="s">
        <v>651</v>
      </c>
      <c r="F529">
        <v>2.25</v>
      </c>
      <c r="G529" t="s">
        <v>623</v>
      </c>
      <c r="H529" s="1">
        <v>45999.710162037038</v>
      </c>
      <c r="I529" t="s">
        <v>633</v>
      </c>
      <c r="J529">
        <v>2.25</v>
      </c>
      <c r="K529">
        <v>0</v>
      </c>
    </row>
    <row r="530" spans="1:11" x14ac:dyDescent="0.3">
      <c r="A530">
        <v>529</v>
      </c>
      <c r="B530">
        <v>101</v>
      </c>
      <c r="C530">
        <v>2</v>
      </c>
      <c r="D530">
        <v>486</v>
      </c>
      <c r="E530" t="s">
        <v>651</v>
      </c>
      <c r="F530">
        <v>3.65</v>
      </c>
      <c r="G530" t="s">
        <v>623</v>
      </c>
      <c r="H530" s="1">
        <v>45999.717013888891</v>
      </c>
      <c r="I530" t="s">
        <v>633</v>
      </c>
      <c r="J530">
        <v>3.65</v>
      </c>
      <c r="K530">
        <v>0</v>
      </c>
    </row>
    <row r="531" spans="1:11" x14ac:dyDescent="0.3">
      <c r="A531">
        <v>530</v>
      </c>
      <c r="B531">
        <v>202</v>
      </c>
      <c r="C531">
        <v>3</v>
      </c>
      <c r="D531">
        <v>487</v>
      </c>
      <c r="E531" t="s">
        <v>651</v>
      </c>
      <c r="F531">
        <v>2.2200000000000002</v>
      </c>
      <c r="G531" t="s">
        <v>623</v>
      </c>
      <c r="H531" s="1">
        <v>45999.770844907405</v>
      </c>
      <c r="I531" t="s">
        <v>633</v>
      </c>
      <c r="J531">
        <v>2.2200000000000002</v>
      </c>
      <c r="K531">
        <v>0</v>
      </c>
    </row>
    <row r="532" spans="1:11" x14ac:dyDescent="0.3">
      <c r="A532">
        <v>531</v>
      </c>
      <c r="B532">
        <v>16</v>
      </c>
      <c r="C532">
        <v>5</v>
      </c>
      <c r="D532">
        <v>488</v>
      </c>
      <c r="E532" t="s">
        <v>651</v>
      </c>
      <c r="F532">
        <v>21.64</v>
      </c>
      <c r="G532" t="s">
        <v>623</v>
      </c>
      <c r="H532" s="1">
        <v>46000.313969907409</v>
      </c>
      <c r="I532" t="s">
        <v>633</v>
      </c>
      <c r="J532">
        <v>21.64</v>
      </c>
      <c r="K532">
        <v>0</v>
      </c>
    </row>
    <row r="533" spans="1:11" x14ac:dyDescent="0.3">
      <c r="A533">
        <v>532</v>
      </c>
      <c r="B533">
        <v>215</v>
      </c>
      <c r="C533">
        <v>4</v>
      </c>
      <c r="D533">
        <v>489</v>
      </c>
      <c r="E533" t="s">
        <v>651</v>
      </c>
      <c r="F533">
        <v>4.5</v>
      </c>
      <c r="G533" t="s">
        <v>623</v>
      </c>
      <c r="H533" s="1">
        <v>46000.345023148147</v>
      </c>
      <c r="I533" t="s">
        <v>633</v>
      </c>
      <c r="J533">
        <v>4.5</v>
      </c>
      <c r="K533">
        <v>0</v>
      </c>
    </row>
    <row r="534" spans="1:11" x14ac:dyDescent="0.3">
      <c r="A534">
        <v>533</v>
      </c>
      <c r="B534">
        <v>92</v>
      </c>
      <c r="C534">
        <v>2</v>
      </c>
      <c r="D534">
        <v>490</v>
      </c>
      <c r="E534" t="s">
        <v>651</v>
      </c>
      <c r="F534">
        <v>2.91</v>
      </c>
      <c r="G534" t="s">
        <v>623</v>
      </c>
      <c r="H534" s="1">
        <v>46000.357245370367</v>
      </c>
      <c r="I534" t="s">
        <v>633</v>
      </c>
      <c r="J534">
        <v>2.91</v>
      </c>
      <c r="K534">
        <v>0</v>
      </c>
    </row>
    <row r="535" spans="1:11" x14ac:dyDescent="0.3">
      <c r="A535">
        <v>534</v>
      </c>
      <c r="B535">
        <v>262</v>
      </c>
      <c r="C535">
        <v>3</v>
      </c>
      <c r="D535">
        <v>491</v>
      </c>
      <c r="E535" t="s">
        <v>651</v>
      </c>
      <c r="F535">
        <v>6.24</v>
      </c>
      <c r="G535" t="s">
        <v>623</v>
      </c>
      <c r="H535" s="1">
        <v>46000.360659722224</v>
      </c>
      <c r="I535" t="s">
        <v>633</v>
      </c>
      <c r="J535">
        <v>6.24</v>
      </c>
      <c r="K535">
        <v>0</v>
      </c>
    </row>
    <row r="536" spans="1:11" x14ac:dyDescent="0.3">
      <c r="A536">
        <v>535</v>
      </c>
      <c r="B536">
        <v>106</v>
      </c>
      <c r="C536">
        <v>2</v>
      </c>
      <c r="D536">
        <v>492</v>
      </c>
      <c r="E536" t="s">
        <v>651</v>
      </c>
      <c r="F536">
        <v>9.8699999999999992</v>
      </c>
      <c r="G536" t="s">
        <v>623</v>
      </c>
      <c r="H536" s="1">
        <v>46000.360821759263</v>
      </c>
      <c r="I536" t="s">
        <v>633</v>
      </c>
      <c r="J536">
        <v>9.8699999999999992</v>
      </c>
      <c r="K536">
        <v>0</v>
      </c>
    </row>
    <row r="537" spans="1:11" x14ac:dyDescent="0.3">
      <c r="A537">
        <v>536</v>
      </c>
      <c r="B537">
        <v>40</v>
      </c>
      <c r="C537">
        <v>3</v>
      </c>
      <c r="D537">
        <v>493</v>
      </c>
      <c r="E537" t="s">
        <v>651</v>
      </c>
      <c r="F537">
        <v>13.21</v>
      </c>
      <c r="G537" t="s">
        <v>623</v>
      </c>
      <c r="H537" s="1">
        <v>46000.414317129631</v>
      </c>
      <c r="I537" t="s">
        <v>633</v>
      </c>
      <c r="J537">
        <v>13.21</v>
      </c>
      <c r="K537">
        <v>0</v>
      </c>
    </row>
    <row r="538" spans="1:11" x14ac:dyDescent="0.3">
      <c r="A538">
        <v>537</v>
      </c>
      <c r="B538">
        <v>202</v>
      </c>
      <c r="C538">
        <v>3</v>
      </c>
      <c r="D538">
        <v>494</v>
      </c>
      <c r="E538" t="s">
        <v>651</v>
      </c>
      <c r="F538">
        <v>4.07</v>
      </c>
      <c r="G538" t="s">
        <v>623</v>
      </c>
      <c r="H538" s="1">
        <v>46000.426851851851</v>
      </c>
      <c r="I538" t="s">
        <v>633</v>
      </c>
      <c r="J538">
        <v>4.07</v>
      </c>
      <c r="K538">
        <v>0</v>
      </c>
    </row>
    <row r="539" spans="1:11" x14ac:dyDescent="0.3">
      <c r="A539">
        <v>538</v>
      </c>
      <c r="B539">
        <v>262</v>
      </c>
      <c r="C539">
        <v>4</v>
      </c>
      <c r="D539">
        <v>495</v>
      </c>
      <c r="E539" t="s">
        <v>651</v>
      </c>
      <c r="F539">
        <v>12.12</v>
      </c>
      <c r="G539" t="s">
        <v>623</v>
      </c>
      <c r="H539" s="1">
        <v>46000.513958333337</v>
      </c>
      <c r="I539" t="s">
        <v>633</v>
      </c>
      <c r="J539">
        <v>12.12</v>
      </c>
      <c r="K539">
        <v>0</v>
      </c>
    </row>
    <row r="540" spans="1:11" x14ac:dyDescent="0.3">
      <c r="A540">
        <v>539</v>
      </c>
      <c r="B540">
        <v>39</v>
      </c>
      <c r="C540">
        <v>2</v>
      </c>
      <c r="D540">
        <v>496</v>
      </c>
      <c r="E540" t="s">
        <v>651</v>
      </c>
      <c r="F540">
        <v>19.39</v>
      </c>
      <c r="G540" t="s">
        <v>623</v>
      </c>
      <c r="H540" s="1">
        <v>46000.580381944441</v>
      </c>
      <c r="I540" t="s">
        <v>633</v>
      </c>
      <c r="J540">
        <v>19.39</v>
      </c>
      <c r="K540">
        <v>0</v>
      </c>
    </row>
    <row r="541" spans="1:11" x14ac:dyDescent="0.3">
      <c r="A541">
        <v>540</v>
      </c>
      <c r="B541">
        <v>117</v>
      </c>
      <c r="C541">
        <v>3</v>
      </c>
      <c r="D541">
        <v>497</v>
      </c>
      <c r="E541" t="s">
        <v>651</v>
      </c>
      <c r="F541">
        <v>6.15</v>
      </c>
      <c r="G541" t="s">
        <v>623</v>
      </c>
      <c r="H541" s="1">
        <v>46000.658321759256</v>
      </c>
      <c r="I541" t="s">
        <v>633</v>
      </c>
      <c r="J541">
        <v>6.15</v>
      </c>
      <c r="K541">
        <v>0</v>
      </c>
    </row>
    <row r="542" spans="1:11" x14ac:dyDescent="0.3">
      <c r="A542">
        <v>541</v>
      </c>
      <c r="B542">
        <v>117</v>
      </c>
      <c r="C542">
        <v>3</v>
      </c>
      <c r="D542">
        <v>498</v>
      </c>
      <c r="E542" t="s">
        <v>651</v>
      </c>
      <c r="F542">
        <v>4.12</v>
      </c>
      <c r="G542" t="s">
        <v>623</v>
      </c>
      <c r="H542" s="1">
        <v>46000.699594907404</v>
      </c>
      <c r="I542" t="s">
        <v>633</v>
      </c>
      <c r="J542">
        <v>4.12</v>
      </c>
      <c r="K542">
        <v>0</v>
      </c>
    </row>
    <row r="543" spans="1:11" x14ac:dyDescent="0.3">
      <c r="A543">
        <v>542</v>
      </c>
      <c r="B543">
        <v>141</v>
      </c>
      <c r="C543">
        <v>3</v>
      </c>
      <c r="D543">
        <v>499</v>
      </c>
      <c r="E543" t="s">
        <v>651</v>
      </c>
      <c r="F543">
        <v>17.78</v>
      </c>
      <c r="G543" t="s">
        <v>623</v>
      </c>
      <c r="H543" s="1">
        <v>46000.732152777775</v>
      </c>
      <c r="I543" t="s">
        <v>633</v>
      </c>
      <c r="J543">
        <v>17.78</v>
      </c>
      <c r="K543">
        <v>0</v>
      </c>
    </row>
    <row r="544" spans="1:11" x14ac:dyDescent="0.3">
      <c r="A544">
        <v>543</v>
      </c>
      <c r="B544">
        <v>57</v>
      </c>
      <c r="C544">
        <v>5</v>
      </c>
      <c r="D544">
        <v>500</v>
      </c>
      <c r="E544" t="s">
        <v>651</v>
      </c>
      <c r="F544">
        <v>19.32</v>
      </c>
      <c r="G544" t="s">
        <v>623</v>
      </c>
      <c r="H544" s="1">
        <v>46000.752557870372</v>
      </c>
      <c r="I544" t="s">
        <v>633</v>
      </c>
      <c r="J544">
        <v>19.32</v>
      </c>
      <c r="K544">
        <v>0</v>
      </c>
    </row>
    <row r="545" spans="1:11" x14ac:dyDescent="0.3">
      <c r="A545">
        <v>544</v>
      </c>
      <c r="B545">
        <v>16</v>
      </c>
      <c r="C545">
        <v>2</v>
      </c>
      <c r="D545">
        <v>488</v>
      </c>
      <c r="E545" t="s">
        <v>649</v>
      </c>
      <c r="F545">
        <v>-21.64</v>
      </c>
      <c r="G545" t="s">
        <v>674</v>
      </c>
      <c r="H545" s="1">
        <v>46001.063969907409</v>
      </c>
      <c r="I545" t="s">
        <v>633</v>
      </c>
      <c r="J545">
        <v>0</v>
      </c>
      <c r="K545">
        <v>0</v>
      </c>
    </row>
    <row r="546" spans="1:11" x14ac:dyDescent="0.3">
      <c r="A546">
        <v>545</v>
      </c>
      <c r="B546">
        <v>144</v>
      </c>
      <c r="C546">
        <v>4</v>
      </c>
      <c r="D546">
        <v>501</v>
      </c>
      <c r="E546" t="s">
        <v>651</v>
      </c>
      <c r="F546">
        <v>7.05</v>
      </c>
      <c r="G546" t="s">
        <v>623</v>
      </c>
      <c r="H546" s="1">
        <v>46001.355833333335</v>
      </c>
      <c r="I546" t="s">
        <v>633</v>
      </c>
      <c r="J546">
        <v>7.05</v>
      </c>
      <c r="K546">
        <v>0</v>
      </c>
    </row>
    <row r="547" spans="1:11" x14ac:dyDescent="0.3">
      <c r="A547">
        <v>546</v>
      </c>
      <c r="B547">
        <v>55</v>
      </c>
      <c r="C547">
        <v>2</v>
      </c>
      <c r="D547">
        <v>502</v>
      </c>
      <c r="E547" t="s">
        <v>651</v>
      </c>
      <c r="F547">
        <v>2.94</v>
      </c>
      <c r="G547" t="s">
        <v>623</v>
      </c>
      <c r="H547" s="1">
        <v>46001.372974537036</v>
      </c>
      <c r="I547" t="s">
        <v>633</v>
      </c>
      <c r="J547">
        <v>2.94</v>
      </c>
      <c r="K547">
        <v>0</v>
      </c>
    </row>
    <row r="548" spans="1:11" x14ac:dyDescent="0.3">
      <c r="A548">
        <v>547</v>
      </c>
      <c r="B548">
        <v>65</v>
      </c>
      <c r="C548">
        <v>2</v>
      </c>
      <c r="D548">
        <v>503</v>
      </c>
      <c r="E548" t="s">
        <v>651</v>
      </c>
      <c r="F548">
        <v>3.03</v>
      </c>
      <c r="G548" t="s">
        <v>623</v>
      </c>
      <c r="H548" s="1">
        <v>46001.374062499999</v>
      </c>
      <c r="I548" t="s">
        <v>633</v>
      </c>
      <c r="J548">
        <v>3.03</v>
      </c>
      <c r="K548">
        <v>0</v>
      </c>
    </row>
    <row r="549" spans="1:11" x14ac:dyDescent="0.3">
      <c r="A549">
        <v>548</v>
      </c>
      <c r="B549">
        <v>23</v>
      </c>
      <c r="C549">
        <v>3</v>
      </c>
      <c r="D549">
        <v>504</v>
      </c>
      <c r="E549" t="s">
        <v>651</v>
      </c>
      <c r="F549">
        <v>23.05</v>
      </c>
      <c r="G549" t="s">
        <v>623</v>
      </c>
      <c r="H549" s="1">
        <v>46001.431562500002</v>
      </c>
      <c r="I549" t="s">
        <v>633</v>
      </c>
      <c r="J549">
        <v>23.05</v>
      </c>
      <c r="K549">
        <v>0</v>
      </c>
    </row>
    <row r="550" spans="1:11" x14ac:dyDescent="0.3">
      <c r="A550">
        <v>549</v>
      </c>
      <c r="B550">
        <v>72</v>
      </c>
      <c r="C550">
        <v>2</v>
      </c>
      <c r="D550">
        <v>505</v>
      </c>
      <c r="E550" t="s">
        <v>651</v>
      </c>
      <c r="F550">
        <v>1.7</v>
      </c>
      <c r="G550" t="s">
        <v>623</v>
      </c>
      <c r="H550" s="1">
        <v>46001.575011574074</v>
      </c>
      <c r="I550" t="s">
        <v>633</v>
      </c>
      <c r="J550">
        <v>1.7</v>
      </c>
      <c r="K550">
        <v>0</v>
      </c>
    </row>
    <row r="551" spans="1:11" x14ac:dyDescent="0.3">
      <c r="A551">
        <v>550</v>
      </c>
      <c r="B551">
        <v>150</v>
      </c>
      <c r="C551">
        <v>3</v>
      </c>
      <c r="D551">
        <v>506</v>
      </c>
      <c r="E551" t="s">
        <v>651</v>
      </c>
      <c r="F551">
        <v>8.7899999999999991</v>
      </c>
      <c r="G551" t="s">
        <v>623</v>
      </c>
      <c r="H551" s="1">
        <v>46001.582094907404</v>
      </c>
      <c r="I551" t="s">
        <v>633</v>
      </c>
      <c r="J551">
        <v>8.7899999999999991</v>
      </c>
      <c r="K551">
        <v>0</v>
      </c>
    </row>
    <row r="552" spans="1:11" x14ac:dyDescent="0.3">
      <c r="A552">
        <v>551</v>
      </c>
      <c r="B552">
        <v>290</v>
      </c>
      <c r="C552">
        <v>4</v>
      </c>
      <c r="D552">
        <v>507</v>
      </c>
      <c r="E552" t="s">
        <v>651</v>
      </c>
      <c r="F552">
        <v>3.08</v>
      </c>
      <c r="G552" t="s">
        <v>623</v>
      </c>
      <c r="H552" s="1">
        <v>46001.584768518522</v>
      </c>
      <c r="I552" t="s">
        <v>633</v>
      </c>
      <c r="J552">
        <v>3.08</v>
      </c>
      <c r="K552">
        <v>0</v>
      </c>
    </row>
    <row r="553" spans="1:11" x14ac:dyDescent="0.3">
      <c r="A553">
        <v>552</v>
      </c>
      <c r="B553">
        <v>211</v>
      </c>
      <c r="C553">
        <v>5</v>
      </c>
      <c r="D553">
        <v>508</v>
      </c>
      <c r="E553" t="s">
        <v>651</v>
      </c>
      <c r="F553">
        <v>11</v>
      </c>
      <c r="G553" t="s">
        <v>623</v>
      </c>
      <c r="H553" s="1">
        <v>46001.603634259256</v>
      </c>
      <c r="I553" t="s">
        <v>633</v>
      </c>
      <c r="J553">
        <v>11</v>
      </c>
      <c r="K553">
        <v>0</v>
      </c>
    </row>
    <row r="554" spans="1:11" x14ac:dyDescent="0.3">
      <c r="A554">
        <v>553</v>
      </c>
      <c r="B554">
        <v>79</v>
      </c>
      <c r="C554">
        <v>3</v>
      </c>
      <c r="D554">
        <v>509</v>
      </c>
      <c r="E554" t="s">
        <v>651</v>
      </c>
      <c r="F554">
        <v>2.3199999999999998</v>
      </c>
      <c r="G554" t="s">
        <v>623</v>
      </c>
      <c r="H554" s="1">
        <v>46001.612638888888</v>
      </c>
      <c r="I554" t="s">
        <v>633</v>
      </c>
      <c r="J554">
        <v>2.3199999999999998</v>
      </c>
      <c r="K554">
        <v>0</v>
      </c>
    </row>
    <row r="555" spans="1:11" x14ac:dyDescent="0.3">
      <c r="A555">
        <v>554</v>
      </c>
      <c r="B555">
        <v>137</v>
      </c>
      <c r="C555">
        <v>3</v>
      </c>
      <c r="D555">
        <v>510</v>
      </c>
      <c r="E555" t="s">
        <v>651</v>
      </c>
      <c r="F555">
        <v>4.92</v>
      </c>
      <c r="G555" t="s">
        <v>623</v>
      </c>
      <c r="H555" s="1">
        <v>46001.629120370373</v>
      </c>
      <c r="I555" t="s">
        <v>633</v>
      </c>
      <c r="J555">
        <v>4.92</v>
      </c>
      <c r="K555">
        <v>0</v>
      </c>
    </row>
    <row r="556" spans="1:11" x14ac:dyDescent="0.3">
      <c r="A556">
        <v>555</v>
      </c>
      <c r="B556">
        <v>136</v>
      </c>
      <c r="C556">
        <v>3</v>
      </c>
      <c r="D556">
        <v>511</v>
      </c>
      <c r="E556" t="s">
        <v>651</v>
      </c>
      <c r="F556">
        <v>8.11</v>
      </c>
      <c r="G556" t="s">
        <v>623</v>
      </c>
      <c r="H556" s="1">
        <v>46001.650902777779</v>
      </c>
      <c r="I556" t="s">
        <v>633</v>
      </c>
      <c r="J556">
        <v>8.11</v>
      </c>
      <c r="K556">
        <v>0</v>
      </c>
    </row>
    <row r="557" spans="1:11" x14ac:dyDescent="0.3">
      <c r="A557">
        <v>556</v>
      </c>
      <c r="B557">
        <v>61</v>
      </c>
      <c r="C557">
        <v>4</v>
      </c>
      <c r="D557">
        <v>512</v>
      </c>
      <c r="E557" t="s">
        <v>651</v>
      </c>
      <c r="F557">
        <v>5.0599999999999996</v>
      </c>
      <c r="G557" t="s">
        <v>623</v>
      </c>
      <c r="H557" s="1">
        <v>46001.683946759258</v>
      </c>
      <c r="I557" t="s">
        <v>633</v>
      </c>
      <c r="J557">
        <v>5.0599999999999996</v>
      </c>
      <c r="K557">
        <v>0</v>
      </c>
    </row>
    <row r="558" spans="1:11" x14ac:dyDescent="0.3">
      <c r="A558">
        <v>557</v>
      </c>
      <c r="B558">
        <v>104</v>
      </c>
      <c r="C558">
        <v>5</v>
      </c>
      <c r="D558">
        <v>513</v>
      </c>
      <c r="E558" t="s">
        <v>651</v>
      </c>
      <c r="F558">
        <v>24.05</v>
      </c>
      <c r="G558" t="s">
        <v>623</v>
      </c>
      <c r="H558" s="1">
        <v>46001.690416666665</v>
      </c>
      <c r="I558" t="s">
        <v>633</v>
      </c>
      <c r="J558">
        <v>24.05</v>
      </c>
      <c r="K558">
        <v>0</v>
      </c>
    </row>
    <row r="559" spans="1:11" x14ac:dyDescent="0.3">
      <c r="A559">
        <v>558</v>
      </c>
      <c r="B559">
        <v>150</v>
      </c>
      <c r="C559">
        <v>2</v>
      </c>
      <c r="D559">
        <v>514</v>
      </c>
      <c r="E559" t="s">
        <v>651</v>
      </c>
      <c r="F559">
        <v>5.48</v>
      </c>
      <c r="G559" t="s">
        <v>623</v>
      </c>
      <c r="H559" s="1">
        <v>46001.741585648146</v>
      </c>
      <c r="I559" t="s">
        <v>633</v>
      </c>
      <c r="J559">
        <v>5.48</v>
      </c>
      <c r="K559">
        <v>0</v>
      </c>
    </row>
    <row r="560" spans="1:11" x14ac:dyDescent="0.3">
      <c r="A560">
        <v>559</v>
      </c>
      <c r="B560">
        <v>23</v>
      </c>
      <c r="C560">
        <v>3</v>
      </c>
      <c r="D560">
        <v>504</v>
      </c>
      <c r="E560" t="s">
        <v>649</v>
      </c>
      <c r="F560">
        <v>-23.05</v>
      </c>
      <c r="G560" t="s">
        <v>675</v>
      </c>
      <c r="H560" s="1">
        <v>46001.76489583333</v>
      </c>
      <c r="I560" t="s">
        <v>633</v>
      </c>
      <c r="J560">
        <v>0</v>
      </c>
      <c r="K560">
        <v>0</v>
      </c>
    </row>
    <row r="561" spans="1:11" x14ac:dyDescent="0.3">
      <c r="A561">
        <v>560</v>
      </c>
      <c r="B561">
        <v>20</v>
      </c>
      <c r="C561">
        <v>3</v>
      </c>
      <c r="D561">
        <v>515</v>
      </c>
      <c r="E561" t="s">
        <v>651</v>
      </c>
      <c r="F561">
        <v>2.08</v>
      </c>
      <c r="G561" t="s">
        <v>623</v>
      </c>
      <c r="H561" s="1">
        <v>46001.792256944442</v>
      </c>
      <c r="I561" t="s">
        <v>633</v>
      </c>
      <c r="J561">
        <v>2.08</v>
      </c>
      <c r="K561">
        <v>0</v>
      </c>
    </row>
    <row r="562" spans="1:11" x14ac:dyDescent="0.3">
      <c r="A562">
        <v>561</v>
      </c>
      <c r="B562">
        <v>207</v>
      </c>
      <c r="C562">
        <v>4</v>
      </c>
      <c r="D562">
        <v>516</v>
      </c>
      <c r="E562" t="s">
        <v>651</v>
      </c>
      <c r="F562">
        <v>1.69</v>
      </c>
      <c r="G562" t="s">
        <v>623</v>
      </c>
      <c r="H562" s="1">
        <v>46001.802372685182</v>
      </c>
      <c r="I562" t="s">
        <v>633</v>
      </c>
      <c r="J562">
        <v>1.69</v>
      </c>
      <c r="K562">
        <v>0</v>
      </c>
    </row>
    <row r="563" spans="1:11" x14ac:dyDescent="0.3">
      <c r="A563">
        <v>562</v>
      </c>
      <c r="B563">
        <v>79</v>
      </c>
      <c r="C563">
        <v>4</v>
      </c>
      <c r="D563">
        <v>509</v>
      </c>
      <c r="E563" t="s">
        <v>649</v>
      </c>
      <c r="F563">
        <v>-2.3199999999999998</v>
      </c>
      <c r="G563" t="s">
        <v>676</v>
      </c>
      <c r="H563" s="1">
        <v>46001.904305555552</v>
      </c>
      <c r="I563" t="s">
        <v>633</v>
      </c>
      <c r="J563">
        <v>0</v>
      </c>
      <c r="K563">
        <v>0</v>
      </c>
    </row>
    <row r="564" spans="1:11" x14ac:dyDescent="0.3">
      <c r="A564">
        <v>563</v>
      </c>
      <c r="B564">
        <v>59</v>
      </c>
      <c r="C564">
        <v>5</v>
      </c>
      <c r="D564">
        <v>517</v>
      </c>
      <c r="E564" t="s">
        <v>651</v>
      </c>
      <c r="F564">
        <v>2.93</v>
      </c>
      <c r="G564" t="s">
        <v>623</v>
      </c>
      <c r="H564" s="1">
        <v>46002.343032407407</v>
      </c>
      <c r="I564" t="s">
        <v>633</v>
      </c>
      <c r="J564">
        <v>2.93</v>
      </c>
      <c r="K564">
        <v>0</v>
      </c>
    </row>
    <row r="565" spans="1:11" x14ac:dyDescent="0.3">
      <c r="A565">
        <v>564</v>
      </c>
      <c r="B565">
        <v>137</v>
      </c>
      <c r="C565">
        <v>5</v>
      </c>
      <c r="D565">
        <v>518</v>
      </c>
      <c r="E565" t="s">
        <v>651</v>
      </c>
      <c r="F565">
        <v>2.0099999999999998</v>
      </c>
      <c r="G565" t="s">
        <v>623</v>
      </c>
      <c r="H565" s="1">
        <v>46002.366689814815</v>
      </c>
      <c r="I565" t="s">
        <v>633</v>
      </c>
      <c r="J565">
        <v>2.0099999999999998</v>
      </c>
      <c r="K565">
        <v>0</v>
      </c>
    </row>
    <row r="566" spans="1:11" x14ac:dyDescent="0.3">
      <c r="A566">
        <v>565</v>
      </c>
      <c r="B566">
        <v>22</v>
      </c>
      <c r="C566">
        <v>2</v>
      </c>
      <c r="D566">
        <v>519</v>
      </c>
      <c r="E566" t="s">
        <v>651</v>
      </c>
      <c r="F566">
        <v>7.68</v>
      </c>
      <c r="G566" t="s">
        <v>623</v>
      </c>
      <c r="H566" s="1">
        <v>46002.384918981479</v>
      </c>
      <c r="I566" t="s">
        <v>633</v>
      </c>
      <c r="J566">
        <v>7.68</v>
      </c>
      <c r="K566">
        <v>0</v>
      </c>
    </row>
    <row r="567" spans="1:11" x14ac:dyDescent="0.3">
      <c r="A567">
        <v>566</v>
      </c>
      <c r="B567">
        <v>61</v>
      </c>
      <c r="C567">
        <v>4</v>
      </c>
      <c r="D567">
        <v>520</v>
      </c>
      <c r="E567" t="s">
        <v>651</v>
      </c>
      <c r="F567">
        <v>7.67</v>
      </c>
      <c r="G567" t="s">
        <v>623</v>
      </c>
      <c r="H567" s="1">
        <v>46002.389317129629</v>
      </c>
      <c r="I567" t="s">
        <v>633</v>
      </c>
      <c r="J567">
        <v>7.67</v>
      </c>
      <c r="K567">
        <v>0</v>
      </c>
    </row>
    <row r="568" spans="1:11" x14ac:dyDescent="0.3">
      <c r="A568">
        <v>567</v>
      </c>
      <c r="B568">
        <v>280</v>
      </c>
      <c r="C568">
        <v>5</v>
      </c>
      <c r="D568">
        <v>521</v>
      </c>
      <c r="E568" t="s">
        <v>651</v>
      </c>
      <c r="F568">
        <v>3.22</v>
      </c>
      <c r="G568" t="s">
        <v>623</v>
      </c>
      <c r="H568" s="1">
        <v>46002.393611111111</v>
      </c>
      <c r="I568" t="s">
        <v>633</v>
      </c>
      <c r="J568">
        <v>3.22</v>
      </c>
      <c r="K568">
        <v>0</v>
      </c>
    </row>
    <row r="569" spans="1:11" x14ac:dyDescent="0.3">
      <c r="A569">
        <v>568</v>
      </c>
      <c r="B569">
        <v>28</v>
      </c>
      <c r="C569">
        <v>4</v>
      </c>
      <c r="D569">
        <v>522</v>
      </c>
      <c r="E569" t="s">
        <v>651</v>
      </c>
      <c r="F569">
        <v>2.99</v>
      </c>
      <c r="G569" t="s">
        <v>623</v>
      </c>
      <c r="H569" s="1">
        <v>46002.400717592594</v>
      </c>
      <c r="I569" t="s">
        <v>633</v>
      </c>
      <c r="J569">
        <v>2.99</v>
      </c>
      <c r="K569">
        <v>0</v>
      </c>
    </row>
    <row r="570" spans="1:11" x14ac:dyDescent="0.3">
      <c r="A570">
        <v>569</v>
      </c>
      <c r="B570">
        <v>54</v>
      </c>
      <c r="C570">
        <v>2</v>
      </c>
      <c r="D570">
        <v>523</v>
      </c>
      <c r="E570" t="s">
        <v>651</v>
      </c>
      <c r="F570">
        <v>5.56</v>
      </c>
      <c r="G570" t="s">
        <v>623</v>
      </c>
      <c r="H570" s="1">
        <v>46002.406828703701</v>
      </c>
      <c r="I570" t="s">
        <v>633</v>
      </c>
      <c r="J570">
        <v>5.56</v>
      </c>
      <c r="K570">
        <v>0</v>
      </c>
    </row>
    <row r="571" spans="1:11" x14ac:dyDescent="0.3">
      <c r="A571">
        <v>570</v>
      </c>
      <c r="B571">
        <v>296</v>
      </c>
      <c r="C571">
        <v>5</v>
      </c>
      <c r="D571">
        <v>524</v>
      </c>
      <c r="E571" t="s">
        <v>651</v>
      </c>
      <c r="F571">
        <v>8.49</v>
      </c>
      <c r="G571" t="s">
        <v>623</v>
      </c>
      <c r="H571" s="1">
        <v>46002.420856481483</v>
      </c>
      <c r="I571" t="s">
        <v>633</v>
      </c>
      <c r="J571">
        <v>8.49</v>
      </c>
      <c r="K571">
        <v>0</v>
      </c>
    </row>
    <row r="572" spans="1:11" x14ac:dyDescent="0.3">
      <c r="A572">
        <v>571</v>
      </c>
      <c r="B572">
        <v>21</v>
      </c>
      <c r="C572">
        <v>5</v>
      </c>
      <c r="D572">
        <v>525</v>
      </c>
      <c r="E572" t="s">
        <v>651</v>
      </c>
      <c r="F572">
        <v>2.4500000000000002</v>
      </c>
      <c r="G572" t="s">
        <v>623</v>
      </c>
      <c r="H572" s="1">
        <v>46002.444907407407</v>
      </c>
      <c r="I572" t="s">
        <v>633</v>
      </c>
      <c r="J572">
        <v>2.4500000000000002</v>
      </c>
      <c r="K572">
        <v>0</v>
      </c>
    </row>
    <row r="573" spans="1:11" x14ac:dyDescent="0.3">
      <c r="A573">
        <v>572</v>
      </c>
      <c r="B573">
        <v>52</v>
      </c>
      <c r="C573">
        <v>2</v>
      </c>
      <c r="D573">
        <v>526</v>
      </c>
      <c r="E573" t="s">
        <v>651</v>
      </c>
      <c r="F573">
        <v>2.14</v>
      </c>
      <c r="G573" t="s">
        <v>623</v>
      </c>
      <c r="H573" s="1">
        <v>46002.463101851848</v>
      </c>
      <c r="I573" t="s">
        <v>633</v>
      </c>
      <c r="J573">
        <v>2.14</v>
      </c>
      <c r="K573">
        <v>0</v>
      </c>
    </row>
    <row r="574" spans="1:11" x14ac:dyDescent="0.3">
      <c r="A574">
        <v>573</v>
      </c>
      <c r="B574">
        <v>240</v>
      </c>
      <c r="C574">
        <v>1</v>
      </c>
      <c r="E574" t="s">
        <v>649</v>
      </c>
      <c r="F574">
        <v>-18.91</v>
      </c>
      <c r="G574" t="s">
        <v>652</v>
      </c>
      <c r="H574" s="1">
        <v>46002.507662037038</v>
      </c>
      <c r="I574" t="s">
        <v>633</v>
      </c>
      <c r="J574">
        <v>0</v>
      </c>
      <c r="K574">
        <v>0</v>
      </c>
    </row>
    <row r="575" spans="1:11" x14ac:dyDescent="0.3">
      <c r="A575">
        <v>574</v>
      </c>
      <c r="B575">
        <v>141</v>
      </c>
      <c r="C575">
        <v>5</v>
      </c>
      <c r="D575">
        <v>527</v>
      </c>
      <c r="E575" t="s">
        <v>651</v>
      </c>
      <c r="F575">
        <v>10.73</v>
      </c>
      <c r="G575" t="s">
        <v>623</v>
      </c>
      <c r="H575" s="1">
        <v>46002.608807870369</v>
      </c>
      <c r="I575" t="s">
        <v>633</v>
      </c>
      <c r="J575">
        <v>10.73</v>
      </c>
      <c r="K575">
        <v>0</v>
      </c>
    </row>
    <row r="576" spans="1:11" x14ac:dyDescent="0.3">
      <c r="A576">
        <v>575</v>
      </c>
      <c r="B576">
        <v>137</v>
      </c>
      <c r="C576">
        <v>3</v>
      </c>
      <c r="D576">
        <v>528</v>
      </c>
      <c r="E576" t="s">
        <v>657</v>
      </c>
      <c r="F576">
        <v>26.35</v>
      </c>
      <c r="G576" t="s">
        <v>623</v>
      </c>
      <c r="H576" s="1">
        <v>46002.629918981482</v>
      </c>
      <c r="I576" t="s">
        <v>633</v>
      </c>
      <c r="J576">
        <v>0</v>
      </c>
      <c r="K576">
        <v>26.35</v>
      </c>
    </row>
    <row r="577" spans="1:11" x14ac:dyDescent="0.3">
      <c r="A577">
        <v>576</v>
      </c>
      <c r="B577">
        <v>175</v>
      </c>
      <c r="C577">
        <v>4</v>
      </c>
      <c r="D577">
        <v>529</v>
      </c>
      <c r="E577" t="s">
        <v>651</v>
      </c>
      <c r="F577">
        <v>2.67</v>
      </c>
      <c r="G577" t="s">
        <v>623</v>
      </c>
      <c r="H577" s="1">
        <v>46002.664895833332</v>
      </c>
      <c r="I577" t="s">
        <v>633</v>
      </c>
      <c r="J577">
        <v>2.67</v>
      </c>
      <c r="K577">
        <v>0</v>
      </c>
    </row>
    <row r="578" spans="1:11" x14ac:dyDescent="0.3">
      <c r="A578">
        <v>577</v>
      </c>
      <c r="B578">
        <v>252</v>
      </c>
      <c r="C578">
        <v>4</v>
      </c>
      <c r="D578">
        <v>530</v>
      </c>
      <c r="E578" t="s">
        <v>651</v>
      </c>
      <c r="F578">
        <v>2.41</v>
      </c>
      <c r="G578" t="s">
        <v>623</v>
      </c>
      <c r="H578" s="1">
        <v>46002.722268518519</v>
      </c>
      <c r="I578" t="s">
        <v>633</v>
      </c>
      <c r="J578">
        <v>2.41</v>
      </c>
      <c r="K578">
        <v>0</v>
      </c>
    </row>
    <row r="579" spans="1:11" x14ac:dyDescent="0.3">
      <c r="A579">
        <v>578</v>
      </c>
      <c r="B579">
        <v>136</v>
      </c>
      <c r="C579">
        <v>2</v>
      </c>
      <c r="D579">
        <v>531</v>
      </c>
      <c r="E579" t="s">
        <v>651</v>
      </c>
      <c r="F579">
        <v>8.11</v>
      </c>
      <c r="G579" t="s">
        <v>623</v>
      </c>
      <c r="H579" s="1">
        <v>46002.773206018515</v>
      </c>
      <c r="I579" t="s">
        <v>633</v>
      </c>
      <c r="J579">
        <v>8.11</v>
      </c>
      <c r="K579">
        <v>0</v>
      </c>
    </row>
    <row r="580" spans="1:11" x14ac:dyDescent="0.3">
      <c r="A580">
        <v>579</v>
      </c>
      <c r="B580">
        <v>37</v>
      </c>
      <c r="C580">
        <v>4</v>
      </c>
      <c r="D580">
        <v>532</v>
      </c>
      <c r="E580" t="s">
        <v>651</v>
      </c>
      <c r="F580">
        <v>6.13</v>
      </c>
      <c r="G580" t="s">
        <v>623</v>
      </c>
      <c r="H580" s="1">
        <v>46002.802465277775</v>
      </c>
      <c r="I580" t="s">
        <v>633</v>
      </c>
      <c r="J580">
        <v>6.13</v>
      </c>
      <c r="K580">
        <v>0</v>
      </c>
    </row>
    <row r="581" spans="1:11" x14ac:dyDescent="0.3">
      <c r="A581">
        <v>580</v>
      </c>
      <c r="B581">
        <v>6</v>
      </c>
      <c r="C581">
        <v>1</v>
      </c>
      <c r="E581" t="s">
        <v>649</v>
      </c>
      <c r="F581">
        <v>38.89</v>
      </c>
      <c r="G581" t="s">
        <v>653</v>
      </c>
      <c r="H581" s="1">
        <v>46003.240451388891</v>
      </c>
      <c r="I581" t="s">
        <v>633</v>
      </c>
      <c r="J581">
        <v>0</v>
      </c>
      <c r="K581">
        <v>0</v>
      </c>
    </row>
    <row r="582" spans="1:11" x14ac:dyDescent="0.3">
      <c r="A582">
        <v>581</v>
      </c>
      <c r="B582">
        <v>138</v>
      </c>
      <c r="C582">
        <v>5</v>
      </c>
      <c r="D582">
        <v>533</v>
      </c>
      <c r="E582" t="s">
        <v>651</v>
      </c>
      <c r="F582">
        <v>2.3199999999999998</v>
      </c>
      <c r="G582" t="s">
        <v>623</v>
      </c>
      <c r="H582" s="1">
        <v>46003.408055555556</v>
      </c>
      <c r="I582" t="s">
        <v>633</v>
      </c>
      <c r="J582">
        <v>2.3199999999999998</v>
      </c>
      <c r="K582">
        <v>0</v>
      </c>
    </row>
    <row r="583" spans="1:11" x14ac:dyDescent="0.3">
      <c r="A583">
        <v>582</v>
      </c>
      <c r="B583">
        <v>240</v>
      </c>
      <c r="C583">
        <v>4</v>
      </c>
      <c r="D583">
        <v>534</v>
      </c>
      <c r="E583" t="s">
        <v>651</v>
      </c>
      <c r="F583">
        <v>20.03</v>
      </c>
      <c r="G583" t="s">
        <v>623</v>
      </c>
      <c r="H583" s="1">
        <v>46003.423344907409</v>
      </c>
      <c r="I583" t="s">
        <v>633</v>
      </c>
      <c r="J583">
        <v>20.03</v>
      </c>
      <c r="K583">
        <v>0</v>
      </c>
    </row>
    <row r="584" spans="1:11" x14ac:dyDescent="0.3">
      <c r="A584">
        <v>583</v>
      </c>
      <c r="B584">
        <v>34</v>
      </c>
      <c r="C584">
        <v>2</v>
      </c>
      <c r="D584">
        <v>535</v>
      </c>
      <c r="E584" t="s">
        <v>651</v>
      </c>
      <c r="F584">
        <v>16.95</v>
      </c>
      <c r="G584" t="s">
        <v>623</v>
      </c>
      <c r="H584" s="1">
        <v>46003.428078703706</v>
      </c>
      <c r="I584" t="s">
        <v>633</v>
      </c>
      <c r="J584">
        <v>16.95</v>
      </c>
      <c r="K584">
        <v>0</v>
      </c>
    </row>
    <row r="585" spans="1:11" x14ac:dyDescent="0.3">
      <c r="A585">
        <v>584</v>
      </c>
      <c r="B585">
        <v>136</v>
      </c>
      <c r="C585">
        <v>2</v>
      </c>
      <c r="D585">
        <v>536</v>
      </c>
      <c r="E585" t="s">
        <v>651</v>
      </c>
      <c r="F585">
        <v>7.02</v>
      </c>
      <c r="G585" t="s">
        <v>623</v>
      </c>
      <c r="H585" s="1">
        <v>46003.433506944442</v>
      </c>
      <c r="I585" t="s">
        <v>633</v>
      </c>
      <c r="J585">
        <v>7.02</v>
      </c>
      <c r="K585">
        <v>0</v>
      </c>
    </row>
    <row r="586" spans="1:11" x14ac:dyDescent="0.3">
      <c r="A586">
        <v>585</v>
      </c>
      <c r="B586">
        <v>44</v>
      </c>
      <c r="C586">
        <v>4</v>
      </c>
      <c r="D586">
        <v>537</v>
      </c>
      <c r="E586" t="s">
        <v>657</v>
      </c>
      <c r="F586">
        <v>37.590000000000003</v>
      </c>
      <c r="G586" t="s">
        <v>623</v>
      </c>
      <c r="H586" s="1">
        <v>46003.436562499999</v>
      </c>
      <c r="I586" t="s">
        <v>633</v>
      </c>
      <c r="J586">
        <v>0</v>
      </c>
      <c r="K586">
        <v>37.590000000000003</v>
      </c>
    </row>
    <row r="587" spans="1:11" x14ac:dyDescent="0.3">
      <c r="A587">
        <v>586</v>
      </c>
      <c r="B587">
        <v>155</v>
      </c>
      <c r="C587">
        <v>4</v>
      </c>
      <c r="D587">
        <v>538</v>
      </c>
      <c r="E587" t="s">
        <v>651</v>
      </c>
      <c r="F587">
        <v>3.32</v>
      </c>
      <c r="G587" t="s">
        <v>623</v>
      </c>
      <c r="H587" s="1">
        <v>46003.451550925929</v>
      </c>
      <c r="I587" t="s">
        <v>633</v>
      </c>
      <c r="J587">
        <v>3.32</v>
      </c>
      <c r="K587">
        <v>0</v>
      </c>
    </row>
    <row r="588" spans="1:11" x14ac:dyDescent="0.3">
      <c r="A588">
        <v>587</v>
      </c>
      <c r="B588">
        <v>137</v>
      </c>
      <c r="C588">
        <v>2</v>
      </c>
      <c r="D588">
        <v>539</v>
      </c>
      <c r="E588" t="s">
        <v>651</v>
      </c>
      <c r="F588">
        <v>5.09</v>
      </c>
      <c r="G588" t="s">
        <v>623</v>
      </c>
      <c r="H588" s="1">
        <v>46003.451898148145</v>
      </c>
      <c r="I588" t="s">
        <v>633</v>
      </c>
      <c r="J588">
        <v>5.09</v>
      </c>
      <c r="K588">
        <v>0</v>
      </c>
    </row>
    <row r="589" spans="1:11" x14ac:dyDescent="0.3">
      <c r="A589">
        <v>588</v>
      </c>
      <c r="B589">
        <v>44</v>
      </c>
      <c r="C589">
        <v>5</v>
      </c>
      <c r="D589">
        <v>540</v>
      </c>
      <c r="E589" t="s">
        <v>651</v>
      </c>
      <c r="F589">
        <v>2.4300000000000002</v>
      </c>
      <c r="G589" t="s">
        <v>623</v>
      </c>
      <c r="H589" s="1">
        <v>46003.477523148147</v>
      </c>
      <c r="I589" t="s">
        <v>633</v>
      </c>
      <c r="J589">
        <v>2.4300000000000002</v>
      </c>
      <c r="K589">
        <v>0</v>
      </c>
    </row>
    <row r="590" spans="1:11" x14ac:dyDescent="0.3">
      <c r="A590">
        <v>589</v>
      </c>
      <c r="B590">
        <v>196</v>
      </c>
      <c r="C590">
        <v>2</v>
      </c>
      <c r="D590">
        <v>541</v>
      </c>
      <c r="E590" t="s">
        <v>651</v>
      </c>
      <c r="F590">
        <v>2.23</v>
      </c>
      <c r="G590" t="s">
        <v>623</v>
      </c>
      <c r="H590" s="1">
        <v>46003.497696759259</v>
      </c>
      <c r="I590" t="s">
        <v>633</v>
      </c>
      <c r="J590">
        <v>2.23</v>
      </c>
      <c r="K590">
        <v>0</v>
      </c>
    </row>
    <row r="591" spans="1:11" x14ac:dyDescent="0.3">
      <c r="A591">
        <v>590</v>
      </c>
      <c r="B591">
        <v>252</v>
      </c>
      <c r="C591">
        <v>5</v>
      </c>
      <c r="D591">
        <v>542</v>
      </c>
      <c r="E591" t="s">
        <v>651</v>
      </c>
      <c r="F591">
        <v>3.6</v>
      </c>
      <c r="G591" t="s">
        <v>623</v>
      </c>
      <c r="H591" s="1">
        <v>46003.54965277778</v>
      </c>
      <c r="I591" t="s">
        <v>633</v>
      </c>
      <c r="J591">
        <v>3.6</v>
      </c>
      <c r="K591">
        <v>0</v>
      </c>
    </row>
    <row r="592" spans="1:11" x14ac:dyDescent="0.3">
      <c r="A592">
        <v>591</v>
      </c>
      <c r="B592">
        <v>194</v>
      </c>
      <c r="C592">
        <v>4</v>
      </c>
      <c r="D592">
        <v>543</v>
      </c>
      <c r="E592" t="s">
        <v>651</v>
      </c>
      <c r="F592">
        <v>22</v>
      </c>
      <c r="G592" t="s">
        <v>623</v>
      </c>
      <c r="H592" s="1">
        <v>46003.688287037039</v>
      </c>
      <c r="I592" t="s">
        <v>633</v>
      </c>
      <c r="J592">
        <v>22</v>
      </c>
      <c r="K592">
        <v>0</v>
      </c>
    </row>
    <row r="593" spans="1:11" x14ac:dyDescent="0.3">
      <c r="A593">
        <v>592</v>
      </c>
      <c r="B593">
        <v>137</v>
      </c>
      <c r="C593">
        <v>1</v>
      </c>
      <c r="E593" t="s">
        <v>649</v>
      </c>
      <c r="F593">
        <v>17.2</v>
      </c>
      <c r="G593" t="s">
        <v>656</v>
      </c>
      <c r="H593" s="1">
        <v>46003.70890046296</v>
      </c>
      <c r="I593" t="s">
        <v>633</v>
      </c>
      <c r="J593">
        <v>0</v>
      </c>
      <c r="K593">
        <v>0</v>
      </c>
    </row>
    <row r="594" spans="1:11" x14ac:dyDescent="0.3">
      <c r="A594">
        <v>593</v>
      </c>
      <c r="B594">
        <v>44</v>
      </c>
      <c r="C594">
        <v>5</v>
      </c>
      <c r="D594">
        <v>544</v>
      </c>
      <c r="E594" t="s">
        <v>651</v>
      </c>
      <c r="F594">
        <v>3.4</v>
      </c>
      <c r="G594" t="s">
        <v>623</v>
      </c>
      <c r="H594" s="1">
        <v>46003.717037037037</v>
      </c>
      <c r="I594" t="s">
        <v>633</v>
      </c>
      <c r="J594">
        <v>3.4</v>
      </c>
      <c r="K594">
        <v>0</v>
      </c>
    </row>
    <row r="595" spans="1:11" x14ac:dyDescent="0.3">
      <c r="A595">
        <v>594</v>
      </c>
      <c r="B595">
        <v>136</v>
      </c>
      <c r="C595">
        <v>4</v>
      </c>
      <c r="D595">
        <v>545</v>
      </c>
      <c r="E595" t="s">
        <v>651</v>
      </c>
      <c r="F595">
        <v>11.48</v>
      </c>
      <c r="G595" t="s">
        <v>623</v>
      </c>
      <c r="H595" s="1">
        <v>46003.737187500003</v>
      </c>
      <c r="I595" t="s">
        <v>633</v>
      </c>
      <c r="J595">
        <v>11.48</v>
      </c>
      <c r="K595">
        <v>0</v>
      </c>
    </row>
    <row r="596" spans="1:11" x14ac:dyDescent="0.3">
      <c r="A596">
        <v>595</v>
      </c>
      <c r="B596">
        <v>113</v>
      </c>
      <c r="C596">
        <v>1</v>
      </c>
      <c r="E596" t="s">
        <v>649</v>
      </c>
      <c r="F596">
        <v>18.84</v>
      </c>
      <c r="G596" t="s">
        <v>652</v>
      </c>
      <c r="H596" s="1">
        <v>46004.203865740739</v>
      </c>
      <c r="I596" t="s">
        <v>633</v>
      </c>
      <c r="J596">
        <v>0</v>
      </c>
      <c r="K596">
        <v>0</v>
      </c>
    </row>
    <row r="597" spans="1:11" x14ac:dyDescent="0.3">
      <c r="A597">
        <v>596</v>
      </c>
      <c r="B597">
        <v>7</v>
      </c>
      <c r="C597">
        <v>3</v>
      </c>
      <c r="D597">
        <v>546</v>
      </c>
      <c r="E597" t="s">
        <v>651</v>
      </c>
      <c r="F597">
        <v>11.32</v>
      </c>
      <c r="G597" t="s">
        <v>623</v>
      </c>
      <c r="H597" s="1">
        <v>46004.297731481478</v>
      </c>
      <c r="I597" t="s">
        <v>633</v>
      </c>
      <c r="J597">
        <v>11.32</v>
      </c>
      <c r="K597">
        <v>0</v>
      </c>
    </row>
    <row r="598" spans="1:11" x14ac:dyDescent="0.3">
      <c r="A598">
        <v>597</v>
      </c>
      <c r="B598">
        <v>137</v>
      </c>
      <c r="C598">
        <v>4</v>
      </c>
      <c r="D598">
        <v>547</v>
      </c>
      <c r="E598" t="s">
        <v>651</v>
      </c>
      <c r="F598">
        <v>3.2</v>
      </c>
      <c r="G598" t="s">
        <v>623</v>
      </c>
      <c r="H598" s="1">
        <v>46004.331273148149</v>
      </c>
      <c r="I598" t="s">
        <v>633</v>
      </c>
      <c r="J598">
        <v>3.2</v>
      </c>
      <c r="K598">
        <v>0</v>
      </c>
    </row>
    <row r="599" spans="1:11" x14ac:dyDescent="0.3">
      <c r="A599">
        <v>598</v>
      </c>
      <c r="B599">
        <v>12</v>
      </c>
      <c r="C599">
        <v>5</v>
      </c>
      <c r="D599">
        <v>548</v>
      </c>
      <c r="E599" t="s">
        <v>651</v>
      </c>
      <c r="F599">
        <v>2.2200000000000002</v>
      </c>
      <c r="G599" t="s">
        <v>623</v>
      </c>
      <c r="H599" s="1">
        <v>46004.41914351852</v>
      </c>
      <c r="I599" t="s">
        <v>633</v>
      </c>
      <c r="J599">
        <v>2.2200000000000002</v>
      </c>
      <c r="K599">
        <v>0</v>
      </c>
    </row>
    <row r="600" spans="1:11" x14ac:dyDescent="0.3">
      <c r="A600">
        <v>599</v>
      </c>
      <c r="B600">
        <v>64</v>
      </c>
      <c r="C600">
        <v>3</v>
      </c>
      <c r="D600">
        <v>549</v>
      </c>
      <c r="E600" t="s">
        <v>651</v>
      </c>
      <c r="F600">
        <v>2.5099999999999998</v>
      </c>
      <c r="G600" t="s">
        <v>623</v>
      </c>
      <c r="H600" s="1">
        <v>46004.472222222219</v>
      </c>
      <c r="I600" t="s">
        <v>633</v>
      </c>
      <c r="J600">
        <v>2.5099999999999998</v>
      </c>
      <c r="K600">
        <v>0</v>
      </c>
    </row>
    <row r="601" spans="1:11" x14ac:dyDescent="0.3">
      <c r="A601">
        <v>600</v>
      </c>
      <c r="B601">
        <v>144</v>
      </c>
      <c r="C601">
        <v>3</v>
      </c>
      <c r="D601">
        <v>550</v>
      </c>
      <c r="E601" t="s">
        <v>651</v>
      </c>
      <c r="F601">
        <v>9.94</v>
      </c>
      <c r="G601" t="s">
        <v>623</v>
      </c>
      <c r="H601" s="1">
        <v>46004.485856481479</v>
      </c>
      <c r="I601" t="s">
        <v>633</v>
      </c>
      <c r="J601">
        <v>9.94</v>
      </c>
      <c r="K601">
        <v>0</v>
      </c>
    </row>
    <row r="602" spans="1:11" x14ac:dyDescent="0.3">
      <c r="A602">
        <v>601</v>
      </c>
      <c r="B602">
        <v>244</v>
      </c>
      <c r="C602">
        <v>4</v>
      </c>
      <c r="D602">
        <v>551</v>
      </c>
      <c r="E602" t="s">
        <v>651</v>
      </c>
      <c r="F602">
        <v>6.5</v>
      </c>
      <c r="G602" t="s">
        <v>623</v>
      </c>
      <c r="H602" s="1">
        <v>46004.530844907407</v>
      </c>
      <c r="I602" t="s">
        <v>633</v>
      </c>
      <c r="J602">
        <v>6.5</v>
      </c>
      <c r="K602">
        <v>0</v>
      </c>
    </row>
    <row r="603" spans="1:11" x14ac:dyDescent="0.3">
      <c r="A603">
        <v>602</v>
      </c>
      <c r="B603">
        <v>70</v>
      </c>
      <c r="C603">
        <v>5</v>
      </c>
      <c r="D603">
        <v>552</v>
      </c>
      <c r="E603" t="s">
        <v>651</v>
      </c>
      <c r="F603">
        <v>8.75</v>
      </c>
      <c r="G603" t="s">
        <v>623</v>
      </c>
      <c r="H603" s="1">
        <v>46004.558356481481</v>
      </c>
      <c r="I603" t="s">
        <v>633</v>
      </c>
      <c r="J603">
        <v>8.75</v>
      </c>
      <c r="K603">
        <v>0</v>
      </c>
    </row>
    <row r="604" spans="1:11" x14ac:dyDescent="0.3">
      <c r="A604">
        <v>603</v>
      </c>
      <c r="B604">
        <v>39</v>
      </c>
      <c r="C604">
        <v>2</v>
      </c>
      <c r="D604">
        <v>553</v>
      </c>
      <c r="E604" t="s">
        <v>651</v>
      </c>
      <c r="F604">
        <v>17.68</v>
      </c>
      <c r="G604" t="s">
        <v>623</v>
      </c>
      <c r="H604" s="1">
        <v>46004.57707175926</v>
      </c>
      <c r="I604" t="s">
        <v>633</v>
      </c>
      <c r="J604">
        <v>17.68</v>
      </c>
      <c r="K604">
        <v>0</v>
      </c>
    </row>
    <row r="605" spans="1:11" x14ac:dyDescent="0.3">
      <c r="A605">
        <v>604</v>
      </c>
      <c r="B605">
        <v>21</v>
      </c>
      <c r="C605">
        <v>4</v>
      </c>
      <c r="D605">
        <v>554</v>
      </c>
      <c r="E605" t="s">
        <v>651</v>
      </c>
      <c r="F605">
        <v>4.3099999999999996</v>
      </c>
      <c r="G605" t="s">
        <v>623</v>
      </c>
      <c r="H605" s="1">
        <v>46004.591122685182</v>
      </c>
      <c r="I605" t="s">
        <v>633</v>
      </c>
      <c r="J605">
        <v>4.3099999999999996</v>
      </c>
      <c r="K605">
        <v>0</v>
      </c>
    </row>
    <row r="606" spans="1:11" x14ac:dyDescent="0.3">
      <c r="A606">
        <v>605</v>
      </c>
      <c r="B606">
        <v>137</v>
      </c>
      <c r="C606">
        <v>3</v>
      </c>
      <c r="D606">
        <v>555</v>
      </c>
      <c r="E606" t="s">
        <v>651</v>
      </c>
      <c r="F606">
        <v>3.84</v>
      </c>
      <c r="G606" t="s">
        <v>623</v>
      </c>
      <c r="H606" s="1">
        <v>46004.615405092591</v>
      </c>
      <c r="I606" t="s">
        <v>633</v>
      </c>
      <c r="J606">
        <v>3.84</v>
      </c>
      <c r="K606">
        <v>0</v>
      </c>
    </row>
    <row r="607" spans="1:11" x14ac:dyDescent="0.3">
      <c r="A607">
        <v>606</v>
      </c>
      <c r="B607">
        <v>223</v>
      </c>
      <c r="C607">
        <v>4</v>
      </c>
      <c r="D607">
        <v>556</v>
      </c>
      <c r="E607" t="s">
        <v>651</v>
      </c>
      <c r="F607">
        <v>3.91</v>
      </c>
      <c r="G607" t="s">
        <v>623</v>
      </c>
      <c r="H607" s="1">
        <v>46004.638622685183</v>
      </c>
      <c r="I607" t="s">
        <v>633</v>
      </c>
      <c r="J607">
        <v>3.91</v>
      </c>
      <c r="K607">
        <v>0</v>
      </c>
    </row>
    <row r="608" spans="1:11" x14ac:dyDescent="0.3">
      <c r="A608">
        <v>607</v>
      </c>
      <c r="B608">
        <v>255</v>
      </c>
      <c r="C608">
        <v>3</v>
      </c>
      <c r="D608">
        <v>557</v>
      </c>
      <c r="E608" t="s">
        <v>651</v>
      </c>
      <c r="F608">
        <v>3.76</v>
      </c>
      <c r="G608" t="s">
        <v>623</v>
      </c>
      <c r="H608" s="1">
        <v>46004.660636574074</v>
      </c>
      <c r="I608" t="s">
        <v>633</v>
      </c>
      <c r="J608">
        <v>3.76</v>
      </c>
      <c r="K608">
        <v>0</v>
      </c>
    </row>
    <row r="609" spans="1:11" x14ac:dyDescent="0.3">
      <c r="A609">
        <v>608</v>
      </c>
      <c r="B609">
        <v>45</v>
      </c>
      <c r="C609">
        <v>4</v>
      </c>
      <c r="D609">
        <v>558</v>
      </c>
      <c r="E609" t="s">
        <v>651</v>
      </c>
      <c r="F609">
        <v>7.45</v>
      </c>
      <c r="G609" t="s">
        <v>623</v>
      </c>
      <c r="H609" s="1">
        <v>46004.664409722223</v>
      </c>
      <c r="I609" t="s">
        <v>633</v>
      </c>
      <c r="J609">
        <v>7.45</v>
      </c>
      <c r="K609">
        <v>0</v>
      </c>
    </row>
    <row r="610" spans="1:11" x14ac:dyDescent="0.3">
      <c r="A610">
        <v>609</v>
      </c>
      <c r="B610">
        <v>137</v>
      </c>
      <c r="C610">
        <v>5</v>
      </c>
      <c r="D610">
        <v>559</v>
      </c>
      <c r="E610" t="s">
        <v>651</v>
      </c>
      <c r="F610">
        <v>1.92</v>
      </c>
      <c r="G610" t="s">
        <v>623</v>
      </c>
      <c r="H610" s="1">
        <v>46004.671111111114</v>
      </c>
      <c r="I610" t="s">
        <v>633</v>
      </c>
      <c r="J610">
        <v>1.92</v>
      </c>
      <c r="K610">
        <v>0</v>
      </c>
    </row>
    <row r="611" spans="1:11" x14ac:dyDescent="0.3">
      <c r="A611">
        <v>610</v>
      </c>
      <c r="B611">
        <v>138</v>
      </c>
      <c r="C611">
        <v>2</v>
      </c>
      <c r="D611">
        <v>560</v>
      </c>
      <c r="E611" t="s">
        <v>651</v>
      </c>
      <c r="F611">
        <v>3.18</v>
      </c>
      <c r="G611" t="s">
        <v>623</v>
      </c>
      <c r="H611" s="1">
        <v>46004.682175925926</v>
      </c>
      <c r="I611" t="s">
        <v>633</v>
      </c>
      <c r="J611">
        <v>3.18</v>
      </c>
      <c r="K611">
        <v>0</v>
      </c>
    </row>
    <row r="612" spans="1:11" x14ac:dyDescent="0.3">
      <c r="A612">
        <v>611</v>
      </c>
      <c r="B612">
        <v>52</v>
      </c>
      <c r="C612">
        <v>3</v>
      </c>
      <c r="D612">
        <v>561</v>
      </c>
      <c r="E612" t="s">
        <v>651</v>
      </c>
      <c r="F612">
        <v>4.3099999999999996</v>
      </c>
      <c r="G612" t="s">
        <v>623</v>
      </c>
      <c r="H612" s="1">
        <v>46004.790416666663</v>
      </c>
      <c r="I612" t="s">
        <v>633</v>
      </c>
      <c r="J612">
        <v>4.3099999999999996</v>
      </c>
      <c r="K612">
        <v>0</v>
      </c>
    </row>
    <row r="613" spans="1:11" x14ac:dyDescent="0.3">
      <c r="A613">
        <v>612</v>
      </c>
      <c r="B613">
        <v>253</v>
      </c>
      <c r="C613">
        <v>4</v>
      </c>
      <c r="D613">
        <v>562</v>
      </c>
      <c r="E613" t="s">
        <v>651</v>
      </c>
      <c r="F613">
        <v>3.65</v>
      </c>
      <c r="G613" t="s">
        <v>623</v>
      </c>
      <c r="H613" s="1">
        <v>46005.488912037035</v>
      </c>
      <c r="I613" t="s">
        <v>633</v>
      </c>
      <c r="J613">
        <v>3.65</v>
      </c>
      <c r="K613">
        <v>0</v>
      </c>
    </row>
    <row r="614" spans="1:11" x14ac:dyDescent="0.3">
      <c r="A614">
        <v>613</v>
      </c>
      <c r="B614">
        <v>262</v>
      </c>
      <c r="C614">
        <v>4</v>
      </c>
      <c r="D614">
        <v>563</v>
      </c>
      <c r="E614" t="s">
        <v>651</v>
      </c>
      <c r="F614">
        <v>12.53</v>
      </c>
      <c r="G614" t="s">
        <v>623</v>
      </c>
      <c r="H614" s="1">
        <v>46005.525960648149</v>
      </c>
      <c r="I614" t="s">
        <v>633</v>
      </c>
      <c r="J614">
        <v>12.53</v>
      </c>
      <c r="K614">
        <v>0</v>
      </c>
    </row>
    <row r="615" spans="1:11" x14ac:dyDescent="0.3">
      <c r="A615">
        <v>614</v>
      </c>
      <c r="B615">
        <v>155</v>
      </c>
      <c r="C615">
        <v>3</v>
      </c>
      <c r="D615">
        <v>564</v>
      </c>
      <c r="E615" t="s">
        <v>651</v>
      </c>
      <c r="F615">
        <v>2.0699999999999998</v>
      </c>
      <c r="G615" t="s">
        <v>623</v>
      </c>
      <c r="H615" s="1">
        <v>46005.569675925923</v>
      </c>
      <c r="I615" t="s">
        <v>633</v>
      </c>
      <c r="J615">
        <v>2.0699999999999998</v>
      </c>
      <c r="K615">
        <v>0</v>
      </c>
    </row>
    <row r="616" spans="1:11" x14ac:dyDescent="0.3">
      <c r="A616">
        <v>615</v>
      </c>
      <c r="B616">
        <v>44</v>
      </c>
      <c r="C616">
        <v>4</v>
      </c>
      <c r="D616">
        <v>565</v>
      </c>
      <c r="E616" t="s">
        <v>657</v>
      </c>
      <c r="F616">
        <v>25.49</v>
      </c>
      <c r="G616" t="s">
        <v>623</v>
      </c>
      <c r="H616" s="1">
        <v>46005.583657407406</v>
      </c>
      <c r="I616" t="s">
        <v>633</v>
      </c>
      <c r="J616">
        <v>0</v>
      </c>
      <c r="K616">
        <v>25.49</v>
      </c>
    </row>
    <row r="617" spans="1:11" x14ac:dyDescent="0.3">
      <c r="A617">
        <v>616</v>
      </c>
      <c r="B617">
        <v>137</v>
      </c>
      <c r="C617">
        <v>5</v>
      </c>
      <c r="D617">
        <v>566</v>
      </c>
      <c r="E617" t="s">
        <v>651</v>
      </c>
      <c r="F617">
        <v>3.74</v>
      </c>
      <c r="G617" t="s">
        <v>623</v>
      </c>
      <c r="H617" s="1">
        <v>46005.616689814815</v>
      </c>
      <c r="I617" t="s">
        <v>633</v>
      </c>
      <c r="J617">
        <v>3.74</v>
      </c>
      <c r="K617">
        <v>0</v>
      </c>
    </row>
    <row r="618" spans="1:11" x14ac:dyDescent="0.3">
      <c r="A618">
        <v>617</v>
      </c>
      <c r="B618">
        <v>26</v>
      </c>
      <c r="C618">
        <v>5</v>
      </c>
      <c r="D618">
        <v>567</v>
      </c>
      <c r="E618" t="s">
        <v>651</v>
      </c>
      <c r="F618">
        <v>4.33</v>
      </c>
      <c r="G618" t="s">
        <v>623</v>
      </c>
      <c r="H618" s="1">
        <v>46005.697222222225</v>
      </c>
      <c r="I618" t="s">
        <v>633</v>
      </c>
      <c r="J618">
        <v>4.33</v>
      </c>
      <c r="K618">
        <v>0</v>
      </c>
    </row>
    <row r="619" spans="1:11" x14ac:dyDescent="0.3">
      <c r="A619">
        <v>618</v>
      </c>
      <c r="B619">
        <v>57</v>
      </c>
      <c r="C619">
        <v>4</v>
      </c>
      <c r="D619">
        <v>568</v>
      </c>
      <c r="E619" t="s">
        <v>651</v>
      </c>
      <c r="F619">
        <v>9.61</v>
      </c>
      <c r="G619" t="s">
        <v>623</v>
      </c>
      <c r="H619" s="1">
        <v>46005.734432870369</v>
      </c>
      <c r="I619" t="s">
        <v>633</v>
      </c>
      <c r="J619">
        <v>9.61</v>
      </c>
      <c r="K619">
        <v>0</v>
      </c>
    </row>
    <row r="620" spans="1:11" x14ac:dyDescent="0.3">
      <c r="A620">
        <v>619</v>
      </c>
      <c r="B620">
        <v>136</v>
      </c>
      <c r="C620">
        <v>3</v>
      </c>
      <c r="D620">
        <v>569</v>
      </c>
      <c r="E620" t="s">
        <v>651</v>
      </c>
      <c r="F620">
        <v>19.350000000000001</v>
      </c>
      <c r="G620" t="s">
        <v>623</v>
      </c>
      <c r="H620" s="1">
        <v>46006.299791666665</v>
      </c>
      <c r="I620" t="s">
        <v>633</v>
      </c>
      <c r="J620">
        <v>19.350000000000001</v>
      </c>
      <c r="K620">
        <v>0</v>
      </c>
    </row>
    <row r="621" spans="1:11" x14ac:dyDescent="0.3">
      <c r="A621">
        <v>620</v>
      </c>
      <c r="B621">
        <v>253</v>
      </c>
      <c r="C621">
        <v>5</v>
      </c>
      <c r="D621">
        <v>570</v>
      </c>
      <c r="E621" t="s">
        <v>651</v>
      </c>
      <c r="F621">
        <v>1.42</v>
      </c>
      <c r="G621" t="s">
        <v>623</v>
      </c>
      <c r="H621" s="1">
        <v>46006.328657407408</v>
      </c>
      <c r="I621" t="s">
        <v>633</v>
      </c>
      <c r="J621">
        <v>1.42</v>
      </c>
      <c r="K621">
        <v>0</v>
      </c>
    </row>
    <row r="622" spans="1:11" x14ac:dyDescent="0.3">
      <c r="A622">
        <v>621</v>
      </c>
      <c r="B622">
        <v>39</v>
      </c>
      <c r="C622">
        <v>4</v>
      </c>
      <c r="D622">
        <v>571</v>
      </c>
      <c r="E622" t="s">
        <v>651</v>
      </c>
      <c r="F622">
        <v>29.22</v>
      </c>
      <c r="G622" t="s">
        <v>623</v>
      </c>
      <c r="H622" s="1">
        <v>46006.416967592595</v>
      </c>
      <c r="I622" t="s">
        <v>633</v>
      </c>
      <c r="J622">
        <v>29.22</v>
      </c>
      <c r="K622">
        <v>0</v>
      </c>
    </row>
    <row r="623" spans="1:11" x14ac:dyDescent="0.3">
      <c r="A623">
        <v>622</v>
      </c>
      <c r="B623">
        <v>52</v>
      </c>
      <c r="C623">
        <v>3</v>
      </c>
      <c r="D623">
        <v>572</v>
      </c>
      <c r="E623" t="s">
        <v>651</v>
      </c>
      <c r="F623">
        <v>2.86</v>
      </c>
      <c r="G623" t="s">
        <v>623</v>
      </c>
      <c r="H623" s="1">
        <v>46006.417685185188</v>
      </c>
      <c r="I623" t="s">
        <v>633</v>
      </c>
      <c r="J623">
        <v>2.86</v>
      </c>
      <c r="K623">
        <v>0</v>
      </c>
    </row>
    <row r="624" spans="1:11" x14ac:dyDescent="0.3">
      <c r="A624">
        <v>623</v>
      </c>
      <c r="B624">
        <v>58</v>
      </c>
      <c r="C624">
        <v>3</v>
      </c>
      <c r="D624">
        <v>573</v>
      </c>
      <c r="E624" t="s">
        <v>651</v>
      </c>
      <c r="F624">
        <v>7.09</v>
      </c>
      <c r="G624" t="s">
        <v>623</v>
      </c>
      <c r="H624" s="1">
        <v>46006.451516203706</v>
      </c>
      <c r="I624" t="s">
        <v>633</v>
      </c>
      <c r="J624">
        <v>7.09</v>
      </c>
      <c r="K624">
        <v>0</v>
      </c>
    </row>
    <row r="625" spans="1:11" x14ac:dyDescent="0.3">
      <c r="A625">
        <v>624</v>
      </c>
      <c r="B625">
        <v>150</v>
      </c>
      <c r="C625">
        <v>3</v>
      </c>
      <c r="D625">
        <v>574</v>
      </c>
      <c r="E625" t="s">
        <v>651</v>
      </c>
      <c r="F625">
        <v>6.85</v>
      </c>
      <c r="G625" t="s">
        <v>623</v>
      </c>
      <c r="H625" s="1">
        <v>46006.498402777775</v>
      </c>
      <c r="I625" t="s">
        <v>633</v>
      </c>
      <c r="J625">
        <v>6.85</v>
      </c>
      <c r="K625">
        <v>0</v>
      </c>
    </row>
    <row r="626" spans="1:11" x14ac:dyDescent="0.3">
      <c r="A626">
        <v>625</v>
      </c>
      <c r="B626">
        <v>97</v>
      </c>
      <c r="C626">
        <v>2</v>
      </c>
      <c r="D626">
        <v>575</v>
      </c>
      <c r="E626" t="s">
        <v>651</v>
      </c>
      <c r="F626">
        <v>7.1</v>
      </c>
      <c r="G626" t="s">
        <v>623</v>
      </c>
      <c r="H626" s="1">
        <v>46006.519444444442</v>
      </c>
      <c r="I626" t="s">
        <v>633</v>
      </c>
      <c r="J626">
        <v>7.1</v>
      </c>
      <c r="K626">
        <v>0</v>
      </c>
    </row>
    <row r="627" spans="1:11" x14ac:dyDescent="0.3">
      <c r="A627">
        <v>626</v>
      </c>
      <c r="B627">
        <v>47</v>
      </c>
      <c r="C627">
        <v>2</v>
      </c>
      <c r="D627">
        <v>576</v>
      </c>
      <c r="E627" t="s">
        <v>651</v>
      </c>
      <c r="F627">
        <v>3.52</v>
      </c>
      <c r="G627" t="s">
        <v>623</v>
      </c>
      <c r="H627" s="1">
        <v>46006.597986111112</v>
      </c>
      <c r="I627" t="s">
        <v>633</v>
      </c>
      <c r="J627">
        <v>3.52</v>
      </c>
      <c r="K627">
        <v>0</v>
      </c>
    </row>
    <row r="628" spans="1:11" x14ac:dyDescent="0.3">
      <c r="A628">
        <v>627</v>
      </c>
      <c r="B628">
        <v>70</v>
      </c>
      <c r="C628">
        <v>4</v>
      </c>
      <c r="D628">
        <v>577</v>
      </c>
      <c r="E628" t="s">
        <v>651</v>
      </c>
      <c r="F628">
        <v>23.09</v>
      </c>
      <c r="G628" t="s">
        <v>623</v>
      </c>
      <c r="H628" s="1">
        <v>46007.331909722219</v>
      </c>
      <c r="I628" t="s">
        <v>633</v>
      </c>
      <c r="J628">
        <v>23.09</v>
      </c>
      <c r="K628">
        <v>0</v>
      </c>
    </row>
    <row r="629" spans="1:11" x14ac:dyDescent="0.3">
      <c r="A629">
        <v>628</v>
      </c>
      <c r="B629">
        <v>27</v>
      </c>
      <c r="C629">
        <v>4</v>
      </c>
      <c r="D629">
        <v>578</v>
      </c>
      <c r="E629" t="s">
        <v>651</v>
      </c>
      <c r="F629">
        <v>4.54</v>
      </c>
      <c r="G629" t="s">
        <v>623</v>
      </c>
      <c r="H629" s="1">
        <v>46007.334756944445</v>
      </c>
      <c r="I629" t="s">
        <v>633</v>
      </c>
      <c r="J629">
        <v>4.54</v>
      </c>
      <c r="K629">
        <v>0</v>
      </c>
    </row>
    <row r="630" spans="1:11" x14ac:dyDescent="0.3">
      <c r="A630">
        <v>629</v>
      </c>
      <c r="B630">
        <v>117</v>
      </c>
      <c r="C630">
        <v>3</v>
      </c>
      <c r="D630">
        <v>579</v>
      </c>
      <c r="E630" t="s">
        <v>651</v>
      </c>
      <c r="F630">
        <v>6.72</v>
      </c>
      <c r="G630" t="s">
        <v>623</v>
      </c>
      <c r="H630" s="1">
        <v>46007.366782407407</v>
      </c>
      <c r="I630" t="s">
        <v>633</v>
      </c>
      <c r="J630">
        <v>6.72</v>
      </c>
      <c r="K630">
        <v>0</v>
      </c>
    </row>
    <row r="631" spans="1:11" x14ac:dyDescent="0.3">
      <c r="A631">
        <v>630</v>
      </c>
      <c r="B631">
        <v>76</v>
      </c>
      <c r="C631">
        <v>5</v>
      </c>
      <c r="D631">
        <v>580</v>
      </c>
      <c r="E631" t="s">
        <v>651</v>
      </c>
      <c r="F631">
        <v>9.4700000000000006</v>
      </c>
      <c r="G631" t="s">
        <v>623</v>
      </c>
      <c r="H631" s="1">
        <v>46007.404699074075</v>
      </c>
      <c r="I631" t="s">
        <v>633</v>
      </c>
      <c r="J631">
        <v>9.4700000000000006</v>
      </c>
      <c r="K631">
        <v>0</v>
      </c>
    </row>
    <row r="632" spans="1:11" x14ac:dyDescent="0.3">
      <c r="A632">
        <v>631</v>
      </c>
      <c r="B632">
        <v>240</v>
      </c>
      <c r="C632">
        <v>2</v>
      </c>
      <c r="D632">
        <v>581</v>
      </c>
      <c r="E632" t="s">
        <v>651</v>
      </c>
      <c r="F632">
        <v>15.72</v>
      </c>
      <c r="G632" t="s">
        <v>623</v>
      </c>
      <c r="H632" s="1">
        <v>46007.420243055552</v>
      </c>
      <c r="I632" t="s">
        <v>633</v>
      </c>
      <c r="J632">
        <v>15.72</v>
      </c>
      <c r="K632">
        <v>0</v>
      </c>
    </row>
    <row r="633" spans="1:11" x14ac:dyDescent="0.3">
      <c r="A633">
        <v>632</v>
      </c>
      <c r="B633">
        <v>137</v>
      </c>
      <c r="C633">
        <v>4</v>
      </c>
      <c r="D633">
        <v>582</v>
      </c>
      <c r="E633" t="s">
        <v>651</v>
      </c>
      <c r="F633">
        <v>3.71</v>
      </c>
      <c r="G633" t="s">
        <v>623</v>
      </c>
      <c r="H633" s="1">
        <v>46007.444780092592</v>
      </c>
      <c r="I633" t="s">
        <v>633</v>
      </c>
      <c r="J633">
        <v>3.71</v>
      </c>
      <c r="K633">
        <v>0</v>
      </c>
    </row>
    <row r="634" spans="1:11" x14ac:dyDescent="0.3">
      <c r="A634">
        <v>633</v>
      </c>
      <c r="B634">
        <v>17</v>
      </c>
      <c r="C634">
        <v>5</v>
      </c>
      <c r="D634">
        <v>583</v>
      </c>
      <c r="E634" t="s">
        <v>651</v>
      </c>
      <c r="F634">
        <v>12.34</v>
      </c>
      <c r="G634" t="s">
        <v>623</v>
      </c>
      <c r="H634" s="1">
        <v>46007.446516203701</v>
      </c>
      <c r="I634" t="s">
        <v>633</v>
      </c>
      <c r="J634">
        <v>12.34</v>
      </c>
      <c r="K634">
        <v>0</v>
      </c>
    </row>
    <row r="635" spans="1:11" x14ac:dyDescent="0.3">
      <c r="A635">
        <v>634</v>
      </c>
      <c r="B635">
        <v>16</v>
      </c>
      <c r="C635">
        <v>2</v>
      </c>
      <c r="D635">
        <v>584</v>
      </c>
      <c r="E635" t="s">
        <v>651</v>
      </c>
      <c r="F635">
        <v>27.9</v>
      </c>
      <c r="G635" t="s">
        <v>623</v>
      </c>
      <c r="H635" s="1">
        <v>46007.46565972222</v>
      </c>
      <c r="I635" t="s">
        <v>633</v>
      </c>
      <c r="J635">
        <v>27.9</v>
      </c>
      <c r="K635">
        <v>0</v>
      </c>
    </row>
    <row r="636" spans="1:11" x14ac:dyDescent="0.3">
      <c r="A636">
        <v>635</v>
      </c>
      <c r="B636">
        <v>65</v>
      </c>
      <c r="C636">
        <v>4</v>
      </c>
      <c r="D636">
        <v>585</v>
      </c>
      <c r="E636" t="s">
        <v>651</v>
      </c>
      <c r="F636">
        <v>1.97</v>
      </c>
      <c r="G636" t="s">
        <v>623</v>
      </c>
      <c r="H636" s="1">
        <v>46007.543495370373</v>
      </c>
      <c r="I636" t="s">
        <v>633</v>
      </c>
      <c r="J636">
        <v>1.97</v>
      </c>
      <c r="K636">
        <v>0</v>
      </c>
    </row>
    <row r="637" spans="1:11" x14ac:dyDescent="0.3">
      <c r="A637">
        <v>636</v>
      </c>
      <c r="B637">
        <v>36</v>
      </c>
      <c r="C637">
        <v>5</v>
      </c>
      <c r="D637">
        <v>586</v>
      </c>
      <c r="E637" t="s">
        <v>651</v>
      </c>
      <c r="F637">
        <v>9.4499999999999993</v>
      </c>
      <c r="G637" t="s">
        <v>623</v>
      </c>
      <c r="H637" s="1">
        <v>46007.584594907406</v>
      </c>
      <c r="I637" t="s">
        <v>633</v>
      </c>
      <c r="J637">
        <v>9.4499999999999993</v>
      </c>
      <c r="K637">
        <v>0</v>
      </c>
    </row>
    <row r="638" spans="1:11" x14ac:dyDescent="0.3">
      <c r="A638">
        <v>637</v>
      </c>
      <c r="B638">
        <v>106</v>
      </c>
      <c r="C638">
        <v>2</v>
      </c>
      <c r="D638">
        <v>587</v>
      </c>
      <c r="E638" t="s">
        <v>651</v>
      </c>
      <c r="F638">
        <v>6.53</v>
      </c>
      <c r="G638" t="s">
        <v>623</v>
      </c>
      <c r="H638" s="1">
        <v>46007.586747685185</v>
      </c>
      <c r="I638" t="s">
        <v>633</v>
      </c>
      <c r="J638">
        <v>6.53</v>
      </c>
      <c r="K638">
        <v>0</v>
      </c>
    </row>
    <row r="639" spans="1:11" x14ac:dyDescent="0.3">
      <c r="A639">
        <v>638</v>
      </c>
      <c r="B639">
        <v>65</v>
      </c>
      <c r="C639">
        <v>4</v>
      </c>
      <c r="D639">
        <v>588</v>
      </c>
      <c r="E639" t="s">
        <v>651</v>
      </c>
      <c r="F639">
        <v>2.2599999999999998</v>
      </c>
      <c r="G639" t="s">
        <v>623</v>
      </c>
      <c r="H639" s="1">
        <v>46007.689085648148</v>
      </c>
      <c r="I639" t="s">
        <v>633</v>
      </c>
      <c r="J639">
        <v>2.2599999999999998</v>
      </c>
      <c r="K639">
        <v>0</v>
      </c>
    </row>
    <row r="640" spans="1:11" x14ac:dyDescent="0.3">
      <c r="A640">
        <v>639</v>
      </c>
      <c r="B640">
        <v>48</v>
      </c>
      <c r="C640">
        <v>3</v>
      </c>
      <c r="D640">
        <v>589</v>
      </c>
      <c r="E640" t="s">
        <v>651</v>
      </c>
      <c r="F640">
        <v>16.34</v>
      </c>
      <c r="G640" t="s">
        <v>623</v>
      </c>
      <c r="H640" s="1">
        <v>46007.766215277778</v>
      </c>
      <c r="I640" t="s">
        <v>633</v>
      </c>
      <c r="J640">
        <v>16.34</v>
      </c>
      <c r="K640">
        <v>0</v>
      </c>
    </row>
    <row r="641" spans="1:11" x14ac:dyDescent="0.3">
      <c r="A641">
        <v>640</v>
      </c>
      <c r="B641">
        <v>296</v>
      </c>
      <c r="C641">
        <v>2</v>
      </c>
      <c r="D641">
        <v>590</v>
      </c>
      <c r="E641" t="s">
        <v>651</v>
      </c>
      <c r="F641">
        <v>11.26</v>
      </c>
      <c r="G641" t="s">
        <v>623</v>
      </c>
      <c r="H641" s="1">
        <v>46008.292893518519</v>
      </c>
      <c r="I641" t="s">
        <v>633</v>
      </c>
      <c r="J641">
        <v>11.26</v>
      </c>
      <c r="K641">
        <v>0</v>
      </c>
    </row>
    <row r="642" spans="1:11" x14ac:dyDescent="0.3">
      <c r="A642">
        <v>641</v>
      </c>
      <c r="B642">
        <v>44</v>
      </c>
      <c r="C642">
        <v>2</v>
      </c>
      <c r="D642">
        <v>591</v>
      </c>
      <c r="E642" t="s">
        <v>651</v>
      </c>
      <c r="F642">
        <v>5.18</v>
      </c>
      <c r="G642" t="s">
        <v>623</v>
      </c>
      <c r="H642" s="1">
        <v>46008.31144675926</v>
      </c>
      <c r="I642" t="s">
        <v>633</v>
      </c>
      <c r="J642">
        <v>5.18</v>
      </c>
      <c r="K642">
        <v>0</v>
      </c>
    </row>
    <row r="643" spans="1:11" x14ac:dyDescent="0.3">
      <c r="A643">
        <v>642</v>
      </c>
      <c r="B643">
        <v>137</v>
      </c>
      <c r="C643">
        <v>5</v>
      </c>
      <c r="D643">
        <v>592</v>
      </c>
      <c r="E643" t="s">
        <v>651</v>
      </c>
      <c r="F643">
        <v>6.15</v>
      </c>
      <c r="G643" t="s">
        <v>623</v>
      </c>
      <c r="H643" s="1">
        <v>46008.387187499997</v>
      </c>
      <c r="I643" t="s">
        <v>633</v>
      </c>
      <c r="J643">
        <v>6.15</v>
      </c>
      <c r="K643">
        <v>0</v>
      </c>
    </row>
    <row r="644" spans="1:11" x14ac:dyDescent="0.3">
      <c r="A644">
        <v>643</v>
      </c>
      <c r="B644">
        <v>209</v>
      </c>
      <c r="C644">
        <v>2</v>
      </c>
      <c r="D644">
        <v>593</v>
      </c>
      <c r="E644" t="s">
        <v>651</v>
      </c>
      <c r="F644">
        <v>17.489999999999998</v>
      </c>
      <c r="G644" t="s">
        <v>623</v>
      </c>
      <c r="H644" s="1">
        <v>46008.486840277779</v>
      </c>
      <c r="I644" t="s">
        <v>633</v>
      </c>
      <c r="J644">
        <v>17.489999999999998</v>
      </c>
      <c r="K644">
        <v>0</v>
      </c>
    </row>
    <row r="645" spans="1:11" x14ac:dyDescent="0.3">
      <c r="A645">
        <v>644</v>
      </c>
      <c r="B645">
        <v>207</v>
      </c>
      <c r="C645">
        <v>2</v>
      </c>
      <c r="D645">
        <v>594</v>
      </c>
      <c r="E645" t="s">
        <v>651</v>
      </c>
      <c r="F645">
        <v>3.29</v>
      </c>
      <c r="G645" t="s">
        <v>623</v>
      </c>
      <c r="H645" s="1">
        <v>46008.497442129628</v>
      </c>
      <c r="I645" t="s">
        <v>633</v>
      </c>
      <c r="J645">
        <v>3.29</v>
      </c>
      <c r="K645">
        <v>0</v>
      </c>
    </row>
    <row r="646" spans="1:11" x14ac:dyDescent="0.3">
      <c r="A646">
        <v>645</v>
      </c>
      <c r="B646">
        <v>21</v>
      </c>
      <c r="C646">
        <v>4</v>
      </c>
      <c r="D646">
        <v>595</v>
      </c>
      <c r="E646" t="s">
        <v>651</v>
      </c>
      <c r="F646">
        <v>3.46</v>
      </c>
      <c r="G646" t="s">
        <v>623</v>
      </c>
      <c r="H646" s="1">
        <v>46008.520983796298</v>
      </c>
      <c r="I646" t="s">
        <v>633</v>
      </c>
      <c r="J646">
        <v>3.46</v>
      </c>
      <c r="K646">
        <v>0</v>
      </c>
    </row>
    <row r="647" spans="1:11" x14ac:dyDescent="0.3">
      <c r="A647">
        <v>646</v>
      </c>
      <c r="B647">
        <v>262</v>
      </c>
      <c r="C647">
        <v>2</v>
      </c>
      <c r="D647">
        <v>596</v>
      </c>
      <c r="E647" t="s">
        <v>651</v>
      </c>
      <c r="F647">
        <v>8.9600000000000009</v>
      </c>
      <c r="G647" t="s">
        <v>623</v>
      </c>
      <c r="H647" s="1">
        <v>46008.584513888891</v>
      </c>
      <c r="I647" t="s">
        <v>633</v>
      </c>
      <c r="J647">
        <v>8.9600000000000009</v>
      </c>
      <c r="K647">
        <v>0</v>
      </c>
    </row>
    <row r="648" spans="1:11" x14ac:dyDescent="0.3">
      <c r="A648">
        <v>647</v>
      </c>
      <c r="B648">
        <v>296</v>
      </c>
      <c r="C648">
        <v>5</v>
      </c>
      <c r="D648">
        <v>597</v>
      </c>
      <c r="E648" t="s">
        <v>651</v>
      </c>
      <c r="F648">
        <v>11.3</v>
      </c>
      <c r="G648" t="s">
        <v>623</v>
      </c>
      <c r="H648" s="1">
        <v>46008.660416666666</v>
      </c>
      <c r="I648" t="s">
        <v>633</v>
      </c>
      <c r="J648">
        <v>11.3</v>
      </c>
      <c r="K648">
        <v>0</v>
      </c>
    </row>
    <row r="649" spans="1:11" x14ac:dyDescent="0.3">
      <c r="A649">
        <v>648</v>
      </c>
      <c r="B649">
        <v>37</v>
      </c>
      <c r="C649">
        <v>2</v>
      </c>
      <c r="D649">
        <v>598</v>
      </c>
      <c r="E649" t="s">
        <v>651</v>
      </c>
      <c r="F649">
        <v>7.87</v>
      </c>
      <c r="G649" t="s">
        <v>623</v>
      </c>
      <c r="H649" s="1">
        <v>46008.681180555555</v>
      </c>
      <c r="I649" t="s">
        <v>633</v>
      </c>
      <c r="J649">
        <v>7.87</v>
      </c>
      <c r="K649">
        <v>0</v>
      </c>
    </row>
    <row r="650" spans="1:11" x14ac:dyDescent="0.3">
      <c r="A650">
        <v>649</v>
      </c>
      <c r="B650">
        <v>39</v>
      </c>
      <c r="C650">
        <v>5</v>
      </c>
      <c r="D650">
        <v>599</v>
      </c>
      <c r="E650" t="s">
        <v>651</v>
      </c>
      <c r="F650">
        <v>25.33</v>
      </c>
      <c r="G650" t="s">
        <v>623</v>
      </c>
      <c r="H650" s="1">
        <v>46009.304247685184</v>
      </c>
      <c r="I650" t="s">
        <v>633</v>
      </c>
      <c r="J650">
        <v>25.33</v>
      </c>
      <c r="K650">
        <v>0</v>
      </c>
    </row>
    <row r="651" spans="1:11" x14ac:dyDescent="0.3">
      <c r="A651">
        <v>650</v>
      </c>
      <c r="B651">
        <v>240</v>
      </c>
      <c r="C651">
        <v>5</v>
      </c>
      <c r="D651">
        <v>600</v>
      </c>
      <c r="E651" t="s">
        <v>651</v>
      </c>
      <c r="F651">
        <v>23.35</v>
      </c>
      <c r="G651" t="s">
        <v>623</v>
      </c>
      <c r="H651" s="1">
        <v>46009.335335648146</v>
      </c>
      <c r="I651" t="s">
        <v>633</v>
      </c>
      <c r="J651">
        <v>23.35</v>
      </c>
      <c r="K651">
        <v>0</v>
      </c>
    </row>
    <row r="652" spans="1:11" x14ac:dyDescent="0.3">
      <c r="A652">
        <v>651</v>
      </c>
      <c r="B652">
        <v>101</v>
      </c>
      <c r="C652">
        <v>3</v>
      </c>
      <c r="D652">
        <v>601</v>
      </c>
      <c r="E652" t="s">
        <v>651</v>
      </c>
      <c r="F652">
        <v>2.33</v>
      </c>
      <c r="G652" t="s">
        <v>623</v>
      </c>
      <c r="H652" s="1">
        <v>46009.41133101852</v>
      </c>
      <c r="I652" t="s">
        <v>633</v>
      </c>
      <c r="J652">
        <v>2.33</v>
      </c>
      <c r="K652">
        <v>0</v>
      </c>
    </row>
    <row r="653" spans="1:11" x14ac:dyDescent="0.3">
      <c r="A653">
        <v>652</v>
      </c>
      <c r="B653">
        <v>117</v>
      </c>
      <c r="C653">
        <v>2</v>
      </c>
      <c r="D653">
        <v>602</v>
      </c>
      <c r="E653" t="s">
        <v>651</v>
      </c>
      <c r="F653">
        <v>3.88</v>
      </c>
      <c r="G653" t="s">
        <v>623</v>
      </c>
      <c r="H653" s="1">
        <v>46009.456805555557</v>
      </c>
      <c r="I653" t="s">
        <v>633</v>
      </c>
      <c r="J653">
        <v>3.88</v>
      </c>
      <c r="K653">
        <v>0</v>
      </c>
    </row>
    <row r="654" spans="1:11" x14ac:dyDescent="0.3">
      <c r="A654">
        <v>653</v>
      </c>
      <c r="B654">
        <v>227</v>
      </c>
      <c r="C654">
        <v>4</v>
      </c>
      <c r="D654">
        <v>603</v>
      </c>
      <c r="E654" t="s">
        <v>651</v>
      </c>
      <c r="F654">
        <v>1.74</v>
      </c>
      <c r="G654" t="s">
        <v>623</v>
      </c>
      <c r="H654" s="1">
        <v>46009.487974537034</v>
      </c>
      <c r="I654" t="s">
        <v>633</v>
      </c>
      <c r="J654">
        <v>1.74</v>
      </c>
      <c r="K654">
        <v>0</v>
      </c>
    </row>
    <row r="655" spans="1:11" x14ac:dyDescent="0.3">
      <c r="A655">
        <v>654</v>
      </c>
      <c r="B655">
        <v>79</v>
      </c>
      <c r="C655">
        <v>2</v>
      </c>
      <c r="D655">
        <v>604</v>
      </c>
      <c r="E655" t="s">
        <v>651</v>
      </c>
      <c r="F655">
        <v>5.14</v>
      </c>
      <c r="G655" t="s">
        <v>623</v>
      </c>
      <c r="H655" s="1">
        <v>46009.605173611111</v>
      </c>
      <c r="I655" t="s">
        <v>633</v>
      </c>
      <c r="J655">
        <v>5.14</v>
      </c>
      <c r="K655">
        <v>0</v>
      </c>
    </row>
    <row r="656" spans="1:11" x14ac:dyDescent="0.3">
      <c r="A656">
        <v>655</v>
      </c>
      <c r="B656">
        <v>21</v>
      </c>
      <c r="C656">
        <v>5</v>
      </c>
      <c r="D656">
        <v>605</v>
      </c>
      <c r="E656" t="s">
        <v>651</v>
      </c>
      <c r="F656">
        <v>1.84</v>
      </c>
      <c r="G656" t="s">
        <v>623</v>
      </c>
      <c r="H656" s="1">
        <v>46009.611597222225</v>
      </c>
      <c r="I656" t="s">
        <v>633</v>
      </c>
      <c r="J656">
        <v>1.84</v>
      </c>
      <c r="K656">
        <v>0</v>
      </c>
    </row>
    <row r="657" spans="1:11" x14ac:dyDescent="0.3">
      <c r="A657">
        <v>656</v>
      </c>
      <c r="B657">
        <v>17</v>
      </c>
      <c r="C657">
        <v>3</v>
      </c>
      <c r="D657">
        <v>606</v>
      </c>
      <c r="E657" t="s">
        <v>651</v>
      </c>
      <c r="F657">
        <v>11.94</v>
      </c>
      <c r="G657" t="s">
        <v>623</v>
      </c>
      <c r="H657" s="1">
        <v>46009.666041666664</v>
      </c>
      <c r="I657" t="s">
        <v>633</v>
      </c>
      <c r="J657">
        <v>11.94</v>
      </c>
      <c r="K657">
        <v>0</v>
      </c>
    </row>
    <row r="658" spans="1:11" x14ac:dyDescent="0.3">
      <c r="A658">
        <v>657</v>
      </c>
      <c r="B658">
        <v>42</v>
      </c>
      <c r="C658">
        <v>5</v>
      </c>
      <c r="D658">
        <v>607</v>
      </c>
      <c r="E658" t="s">
        <v>651</v>
      </c>
      <c r="F658">
        <v>2.78</v>
      </c>
      <c r="G658" t="s">
        <v>623</v>
      </c>
      <c r="H658" s="1">
        <v>46009.677627314813</v>
      </c>
      <c r="I658" t="s">
        <v>633</v>
      </c>
      <c r="J658">
        <v>2.78</v>
      </c>
      <c r="K658">
        <v>0</v>
      </c>
    </row>
    <row r="659" spans="1:11" x14ac:dyDescent="0.3">
      <c r="A659">
        <v>658</v>
      </c>
      <c r="B659">
        <v>70</v>
      </c>
      <c r="C659">
        <v>3</v>
      </c>
      <c r="D659">
        <v>608</v>
      </c>
      <c r="E659" t="s">
        <v>651</v>
      </c>
      <c r="F659">
        <v>15.77</v>
      </c>
      <c r="G659" t="s">
        <v>623</v>
      </c>
      <c r="H659" s="1">
        <v>46009.708854166667</v>
      </c>
      <c r="I659" t="s">
        <v>633</v>
      </c>
      <c r="J659">
        <v>15.77</v>
      </c>
      <c r="K659">
        <v>0</v>
      </c>
    </row>
    <row r="660" spans="1:11" x14ac:dyDescent="0.3">
      <c r="A660">
        <v>659</v>
      </c>
      <c r="B660">
        <v>137</v>
      </c>
      <c r="C660">
        <v>2</v>
      </c>
      <c r="D660">
        <v>609</v>
      </c>
      <c r="E660" t="s">
        <v>651</v>
      </c>
      <c r="F660">
        <v>3.73</v>
      </c>
      <c r="G660" t="s">
        <v>623</v>
      </c>
      <c r="H660" s="1">
        <v>46010.347800925927</v>
      </c>
      <c r="I660" t="s">
        <v>633</v>
      </c>
      <c r="J660">
        <v>3.73</v>
      </c>
      <c r="K660">
        <v>0</v>
      </c>
    </row>
    <row r="661" spans="1:11" x14ac:dyDescent="0.3">
      <c r="A661">
        <v>660</v>
      </c>
      <c r="B661">
        <v>240</v>
      </c>
      <c r="C661">
        <v>4</v>
      </c>
      <c r="D661">
        <v>610</v>
      </c>
      <c r="E661" t="s">
        <v>651</v>
      </c>
      <c r="F661">
        <v>12.82</v>
      </c>
      <c r="G661" t="s">
        <v>623</v>
      </c>
      <c r="H661" s="1">
        <v>46010.410833333335</v>
      </c>
      <c r="I661" t="s">
        <v>633</v>
      </c>
      <c r="J661">
        <v>12.82</v>
      </c>
      <c r="K661">
        <v>0</v>
      </c>
    </row>
    <row r="662" spans="1:11" x14ac:dyDescent="0.3">
      <c r="A662">
        <v>661</v>
      </c>
      <c r="B662">
        <v>253</v>
      </c>
      <c r="C662">
        <v>5</v>
      </c>
      <c r="D662">
        <v>611</v>
      </c>
      <c r="E662" t="s">
        <v>651</v>
      </c>
      <c r="F662">
        <v>2.46</v>
      </c>
      <c r="G662" t="s">
        <v>623</v>
      </c>
      <c r="H662" s="1">
        <v>46010.470011574071</v>
      </c>
      <c r="I662" t="s">
        <v>633</v>
      </c>
      <c r="J662">
        <v>2.46</v>
      </c>
      <c r="K662">
        <v>0</v>
      </c>
    </row>
    <row r="663" spans="1:11" x14ac:dyDescent="0.3">
      <c r="A663">
        <v>662</v>
      </c>
      <c r="B663">
        <v>49</v>
      </c>
      <c r="C663">
        <v>5</v>
      </c>
      <c r="D663">
        <v>612</v>
      </c>
      <c r="E663" t="s">
        <v>651</v>
      </c>
      <c r="F663">
        <v>7.06</v>
      </c>
      <c r="G663" t="s">
        <v>623</v>
      </c>
      <c r="H663" s="1">
        <v>46010.484895833331</v>
      </c>
      <c r="I663" t="s">
        <v>633</v>
      </c>
      <c r="J663">
        <v>7.06</v>
      </c>
      <c r="K663">
        <v>0</v>
      </c>
    </row>
    <row r="664" spans="1:11" x14ac:dyDescent="0.3">
      <c r="A664">
        <v>663</v>
      </c>
      <c r="B664">
        <v>227</v>
      </c>
      <c r="C664">
        <v>5</v>
      </c>
      <c r="D664">
        <v>603</v>
      </c>
      <c r="E664" t="s">
        <v>649</v>
      </c>
      <c r="F664">
        <v>-1.74</v>
      </c>
      <c r="G664" t="s">
        <v>677</v>
      </c>
      <c r="H664" s="1">
        <v>46010.487974537034</v>
      </c>
      <c r="I664" t="s">
        <v>633</v>
      </c>
      <c r="J664">
        <v>0</v>
      </c>
      <c r="K664">
        <v>0</v>
      </c>
    </row>
    <row r="665" spans="1:11" x14ac:dyDescent="0.3">
      <c r="A665">
        <v>664</v>
      </c>
      <c r="B665">
        <v>106</v>
      </c>
      <c r="C665">
        <v>5</v>
      </c>
      <c r="D665">
        <v>613</v>
      </c>
      <c r="E665" t="s">
        <v>651</v>
      </c>
      <c r="F665">
        <v>4.96</v>
      </c>
      <c r="G665" t="s">
        <v>623</v>
      </c>
      <c r="H665" s="1">
        <v>46010.551134259258</v>
      </c>
      <c r="I665" t="s">
        <v>633</v>
      </c>
      <c r="J665">
        <v>4.96</v>
      </c>
      <c r="K665">
        <v>0</v>
      </c>
    </row>
    <row r="666" spans="1:11" x14ac:dyDescent="0.3">
      <c r="A666">
        <v>665</v>
      </c>
      <c r="B666">
        <v>241</v>
      </c>
      <c r="C666">
        <v>3</v>
      </c>
      <c r="D666">
        <v>614</v>
      </c>
      <c r="E666" t="s">
        <v>651</v>
      </c>
      <c r="F666">
        <v>1.93</v>
      </c>
      <c r="G666" t="s">
        <v>623</v>
      </c>
      <c r="H666" s="1">
        <v>46010.641504629632</v>
      </c>
      <c r="I666" t="s">
        <v>633</v>
      </c>
      <c r="J666">
        <v>1.93</v>
      </c>
      <c r="K666">
        <v>0</v>
      </c>
    </row>
    <row r="667" spans="1:11" x14ac:dyDescent="0.3">
      <c r="A667">
        <v>666</v>
      </c>
      <c r="B667">
        <v>97</v>
      </c>
      <c r="C667">
        <v>2</v>
      </c>
      <c r="D667">
        <v>615</v>
      </c>
      <c r="E667" t="s">
        <v>651</v>
      </c>
      <c r="F667">
        <v>11.26</v>
      </c>
      <c r="G667" t="s">
        <v>623</v>
      </c>
      <c r="H667" s="1">
        <v>46010.699247685188</v>
      </c>
      <c r="I667" t="s">
        <v>633</v>
      </c>
      <c r="J667">
        <v>11.26</v>
      </c>
      <c r="K667">
        <v>0</v>
      </c>
    </row>
    <row r="668" spans="1:11" x14ac:dyDescent="0.3">
      <c r="A668">
        <v>667</v>
      </c>
      <c r="B668">
        <v>137</v>
      </c>
      <c r="C668">
        <v>2</v>
      </c>
      <c r="D668">
        <v>616</v>
      </c>
      <c r="E668" t="s">
        <v>651</v>
      </c>
      <c r="F668">
        <v>2.09</v>
      </c>
      <c r="G668" t="s">
        <v>623</v>
      </c>
      <c r="H668" s="1">
        <v>46010.738078703704</v>
      </c>
      <c r="I668" t="s">
        <v>633</v>
      </c>
      <c r="J668">
        <v>2.09</v>
      </c>
      <c r="K668">
        <v>0</v>
      </c>
    </row>
    <row r="669" spans="1:11" x14ac:dyDescent="0.3">
      <c r="A669">
        <v>668</v>
      </c>
      <c r="B669">
        <v>290</v>
      </c>
      <c r="C669">
        <v>1</v>
      </c>
      <c r="E669" t="s">
        <v>649</v>
      </c>
      <c r="F669">
        <v>34.78</v>
      </c>
      <c r="G669" t="s">
        <v>650</v>
      </c>
      <c r="H669" s="1">
        <v>46010.780277777776</v>
      </c>
      <c r="I669" t="s">
        <v>633</v>
      </c>
      <c r="J669">
        <v>0</v>
      </c>
      <c r="K669">
        <v>0</v>
      </c>
    </row>
    <row r="670" spans="1:11" x14ac:dyDescent="0.3">
      <c r="A670">
        <v>669</v>
      </c>
      <c r="B670">
        <v>293</v>
      </c>
      <c r="C670">
        <v>2</v>
      </c>
      <c r="D670">
        <v>617</v>
      </c>
      <c r="E670" t="s">
        <v>651</v>
      </c>
      <c r="F670">
        <v>2.69</v>
      </c>
      <c r="G670" t="s">
        <v>623</v>
      </c>
      <c r="H670" s="1">
        <v>46010.826249999998</v>
      </c>
      <c r="I670" t="s">
        <v>633</v>
      </c>
      <c r="J670">
        <v>2.69</v>
      </c>
      <c r="K670">
        <v>0</v>
      </c>
    </row>
    <row r="671" spans="1:11" x14ac:dyDescent="0.3">
      <c r="A671">
        <v>670</v>
      </c>
      <c r="B671">
        <v>106</v>
      </c>
      <c r="C671">
        <v>4</v>
      </c>
      <c r="D671">
        <v>618</v>
      </c>
      <c r="E671" t="s">
        <v>651</v>
      </c>
      <c r="F671">
        <v>11.01</v>
      </c>
      <c r="G671" t="s">
        <v>623</v>
      </c>
      <c r="H671" s="1">
        <v>46011.342152777775</v>
      </c>
      <c r="I671" t="s">
        <v>633</v>
      </c>
      <c r="J671">
        <v>11.01</v>
      </c>
      <c r="K671">
        <v>0</v>
      </c>
    </row>
    <row r="672" spans="1:11" x14ac:dyDescent="0.3">
      <c r="A672">
        <v>671</v>
      </c>
      <c r="B672">
        <v>21</v>
      </c>
      <c r="C672">
        <v>5</v>
      </c>
      <c r="D672">
        <v>619</v>
      </c>
      <c r="E672" t="s">
        <v>651</v>
      </c>
      <c r="F672">
        <v>3.58</v>
      </c>
      <c r="G672" t="s">
        <v>623</v>
      </c>
      <c r="H672" s="1">
        <v>46011.353715277779</v>
      </c>
      <c r="I672" t="s">
        <v>633</v>
      </c>
      <c r="J672">
        <v>3.58</v>
      </c>
      <c r="K672">
        <v>0</v>
      </c>
    </row>
    <row r="673" spans="1:11" x14ac:dyDescent="0.3">
      <c r="A673">
        <v>672</v>
      </c>
      <c r="B673">
        <v>49</v>
      </c>
      <c r="C673">
        <v>2</v>
      </c>
      <c r="D673">
        <v>620</v>
      </c>
      <c r="E673" t="s">
        <v>651</v>
      </c>
      <c r="F673">
        <v>22</v>
      </c>
      <c r="G673" t="s">
        <v>623</v>
      </c>
      <c r="H673" s="1">
        <v>46011.357777777775</v>
      </c>
      <c r="I673" t="s">
        <v>633</v>
      </c>
      <c r="J673">
        <v>22</v>
      </c>
      <c r="K673">
        <v>0</v>
      </c>
    </row>
    <row r="674" spans="1:11" x14ac:dyDescent="0.3">
      <c r="A674">
        <v>673</v>
      </c>
      <c r="B674">
        <v>244</v>
      </c>
      <c r="C674">
        <v>5</v>
      </c>
      <c r="D674">
        <v>621</v>
      </c>
      <c r="E674" t="s">
        <v>651</v>
      </c>
      <c r="F674">
        <v>15.88</v>
      </c>
      <c r="G674" t="s">
        <v>623</v>
      </c>
      <c r="H674" s="1">
        <v>46011.360393518517</v>
      </c>
      <c r="I674" t="s">
        <v>633</v>
      </c>
      <c r="J674">
        <v>15.88</v>
      </c>
      <c r="K674">
        <v>0</v>
      </c>
    </row>
    <row r="675" spans="1:11" x14ac:dyDescent="0.3">
      <c r="A675">
        <v>674</v>
      </c>
      <c r="B675">
        <v>50</v>
      </c>
      <c r="C675">
        <v>4</v>
      </c>
      <c r="D675">
        <v>622</v>
      </c>
      <c r="E675" t="s">
        <v>651</v>
      </c>
      <c r="F675">
        <v>9.59</v>
      </c>
      <c r="G675" t="s">
        <v>623</v>
      </c>
      <c r="H675" s="1">
        <v>46011.389768518522</v>
      </c>
      <c r="I675" t="s">
        <v>633</v>
      </c>
      <c r="J675">
        <v>9.59</v>
      </c>
      <c r="K675">
        <v>0</v>
      </c>
    </row>
    <row r="676" spans="1:11" x14ac:dyDescent="0.3">
      <c r="A676">
        <v>675</v>
      </c>
      <c r="B676">
        <v>48</v>
      </c>
      <c r="C676">
        <v>4</v>
      </c>
      <c r="D676">
        <v>623</v>
      </c>
      <c r="E676" t="s">
        <v>651</v>
      </c>
      <c r="F676">
        <v>14.98</v>
      </c>
      <c r="G676" t="s">
        <v>623</v>
      </c>
      <c r="H676" s="1">
        <v>46011.394942129627</v>
      </c>
      <c r="I676" t="s">
        <v>633</v>
      </c>
      <c r="J676">
        <v>14.98</v>
      </c>
      <c r="K676">
        <v>0</v>
      </c>
    </row>
    <row r="677" spans="1:11" x14ac:dyDescent="0.3">
      <c r="A677">
        <v>676</v>
      </c>
      <c r="B677">
        <v>223</v>
      </c>
      <c r="C677">
        <v>5</v>
      </c>
      <c r="D677">
        <v>624</v>
      </c>
      <c r="E677" t="s">
        <v>651</v>
      </c>
      <c r="F677">
        <v>3.56</v>
      </c>
      <c r="G677" t="s">
        <v>623</v>
      </c>
      <c r="H677" s="1">
        <v>46011.411493055559</v>
      </c>
      <c r="I677" t="s">
        <v>633</v>
      </c>
      <c r="J677">
        <v>3.56</v>
      </c>
      <c r="K677">
        <v>0</v>
      </c>
    </row>
    <row r="678" spans="1:11" x14ac:dyDescent="0.3">
      <c r="A678">
        <v>677</v>
      </c>
      <c r="B678">
        <v>48</v>
      </c>
      <c r="C678">
        <v>3</v>
      </c>
      <c r="D678">
        <v>625</v>
      </c>
      <c r="E678" t="s">
        <v>651</v>
      </c>
      <c r="F678">
        <v>11.69</v>
      </c>
      <c r="G678" t="s">
        <v>623</v>
      </c>
      <c r="H678" s="1">
        <v>46011.434259259258</v>
      </c>
      <c r="I678" t="s">
        <v>633</v>
      </c>
      <c r="J678">
        <v>11.69</v>
      </c>
      <c r="K678">
        <v>0</v>
      </c>
    </row>
    <row r="679" spans="1:11" x14ac:dyDescent="0.3">
      <c r="A679">
        <v>678</v>
      </c>
      <c r="B679">
        <v>18</v>
      </c>
      <c r="C679">
        <v>3</v>
      </c>
      <c r="D679">
        <v>626</v>
      </c>
      <c r="E679" t="s">
        <v>651</v>
      </c>
      <c r="F679">
        <v>7.25</v>
      </c>
      <c r="G679" t="s">
        <v>623</v>
      </c>
      <c r="H679" s="1">
        <v>46011.445601851854</v>
      </c>
      <c r="I679" t="s">
        <v>633</v>
      </c>
      <c r="J679">
        <v>7.25</v>
      </c>
      <c r="K679">
        <v>0</v>
      </c>
    </row>
    <row r="680" spans="1:11" x14ac:dyDescent="0.3">
      <c r="A680">
        <v>679</v>
      </c>
      <c r="B680">
        <v>53</v>
      </c>
      <c r="C680">
        <v>5</v>
      </c>
      <c r="D680">
        <v>627</v>
      </c>
      <c r="E680" t="s">
        <v>651</v>
      </c>
      <c r="F680">
        <v>4.04</v>
      </c>
      <c r="G680" t="s">
        <v>623</v>
      </c>
      <c r="H680" s="1">
        <v>46011.458993055552</v>
      </c>
      <c r="I680" t="s">
        <v>633</v>
      </c>
      <c r="J680">
        <v>4.04</v>
      </c>
      <c r="K680">
        <v>0</v>
      </c>
    </row>
    <row r="681" spans="1:11" x14ac:dyDescent="0.3">
      <c r="A681">
        <v>680</v>
      </c>
      <c r="B681">
        <v>155</v>
      </c>
      <c r="C681">
        <v>5</v>
      </c>
      <c r="D681">
        <v>628</v>
      </c>
      <c r="E681" t="s">
        <v>651</v>
      </c>
      <c r="F681">
        <v>3.42</v>
      </c>
      <c r="G681" t="s">
        <v>623</v>
      </c>
      <c r="H681" s="1">
        <v>46011.516689814816</v>
      </c>
      <c r="I681" t="s">
        <v>633</v>
      </c>
      <c r="J681">
        <v>3.42</v>
      </c>
      <c r="K681">
        <v>0</v>
      </c>
    </row>
    <row r="682" spans="1:11" x14ac:dyDescent="0.3">
      <c r="A682">
        <v>681</v>
      </c>
      <c r="B682">
        <v>106</v>
      </c>
      <c r="C682">
        <v>2</v>
      </c>
      <c r="D682">
        <v>629</v>
      </c>
      <c r="E682" t="s">
        <v>651</v>
      </c>
      <c r="F682">
        <v>11.15</v>
      </c>
      <c r="G682" t="s">
        <v>623</v>
      </c>
      <c r="H682" s="1">
        <v>46011.543402777781</v>
      </c>
      <c r="I682" t="s">
        <v>633</v>
      </c>
      <c r="J682">
        <v>11.15</v>
      </c>
      <c r="K682">
        <v>0</v>
      </c>
    </row>
    <row r="683" spans="1:11" x14ac:dyDescent="0.3">
      <c r="A683">
        <v>682</v>
      </c>
      <c r="B683">
        <v>197</v>
      </c>
      <c r="C683">
        <v>2</v>
      </c>
      <c r="D683">
        <v>630</v>
      </c>
      <c r="E683" t="s">
        <v>651</v>
      </c>
      <c r="F683">
        <v>8.52</v>
      </c>
      <c r="G683" t="s">
        <v>623</v>
      </c>
      <c r="H683" s="1">
        <v>46011.549768518518</v>
      </c>
      <c r="I683" t="s">
        <v>633</v>
      </c>
      <c r="J683">
        <v>8.52</v>
      </c>
      <c r="K683">
        <v>0</v>
      </c>
    </row>
    <row r="684" spans="1:11" x14ac:dyDescent="0.3">
      <c r="A684">
        <v>683</v>
      </c>
      <c r="B684">
        <v>39</v>
      </c>
      <c r="C684">
        <v>2</v>
      </c>
      <c r="D684">
        <v>631</v>
      </c>
      <c r="E684" t="s">
        <v>651</v>
      </c>
      <c r="F684">
        <v>12.03</v>
      </c>
      <c r="G684" t="s">
        <v>623</v>
      </c>
      <c r="H684" s="1">
        <v>46011.626481481479</v>
      </c>
      <c r="I684" t="s">
        <v>633</v>
      </c>
      <c r="J684">
        <v>12.03</v>
      </c>
      <c r="K684">
        <v>0</v>
      </c>
    </row>
    <row r="685" spans="1:11" x14ac:dyDescent="0.3">
      <c r="A685">
        <v>684</v>
      </c>
      <c r="B685">
        <v>70</v>
      </c>
      <c r="C685">
        <v>4</v>
      </c>
      <c r="D685">
        <v>632</v>
      </c>
      <c r="E685" t="s">
        <v>651</v>
      </c>
      <c r="F685">
        <v>13.27</v>
      </c>
      <c r="G685" t="s">
        <v>623</v>
      </c>
      <c r="H685" s="1">
        <v>46011.731053240743</v>
      </c>
      <c r="I685" t="s">
        <v>633</v>
      </c>
      <c r="J685">
        <v>13.27</v>
      </c>
      <c r="K685">
        <v>0</v>
      </c>
    </row>
    <row r="686" spans="1:11" x14ac:dyDescent="0.3">
      <c r="A686">
        <v>685</v>
      </c>
      <c r="B686">
        <v>51</v>
      </c>
      <c r="C686">
        <v>1</v>
      </c>
      <c r="E686" t="s">
        <v>649</v>
      </c>
      <c r="F686">
        <v>36.020000000000003</v>
      </c>
      <c r="G686" t="s">
        <v>650</v>
      </c>
      <c r="H686" s="1">
        <v>46011.954942129632</v>
      </c>
      <c r="I686" t="s">
        <v>633</v>
      </c>
      <c r="J686">
        <v>0</v>
      </c>
      <c r="K686">
        <v>0</v>
      </c>
    </row>
    <row r="687" spans="1:11" x14ac:dyDescent="0.3">
      <c r="A687">
        <v>686</v>
      </c>
      <c r="B687">
        <v>51</v>
      </c>
      <c r="C687">
        <v>3</v>
      </c>
      <c r="D687">
        <v>633</v>
      </c>
      <c r="E687" t="s">
        <v>651</v>
      </c>
      <c r="F687">
        <v>22.09</v>
      </c>
      <c r="G687" t="s">
        <v>623</v>
      </c>
      <c r="H687" s="1">
        <v>46012.356412037036</v>
      </c>
      <c r="I687" t="s">
        <v>633</v>
      </c>
      <c r="J687">
        <v>22.09</v>
      </c>
      <c r="K687">
        <v>0</v>
      </c>
    </row>
    <row r="688" spans="1:11" x14ac:dyDescent="0.3">
      <c r="A688">
        <v>687</v>
      </c>
      <c r="B688">
        <v>277</v>
      </c>
      <c r="C688">
        <v>2</v>
      </c>
      <c r="D688">
        <v>634</v>
      </c>
      <c r="E688" t="s">
        <v>651</v>
      </c>
      <c r="F688">
        <v>8.3800000000000008</v>
      </c>
      <c r="G688" t="s">
        <v>623</v>
      </c>
      <c r="H688" s="1">
        <v>46012.383321759262</v>
      </c>
      <c r="I688" t="s">
        <v>633</v>
      </c>
      <c r="J688">
        <v>8.3800000000000008</v>
      </c>
      <c r="K688">
        <v>0</v>
      </c>
    </row>
    <row r="689" spans="1:11" x14ac:dyDescent="0.3">
      <c r="A689">
        <v>688</v>
      </c>
      <c r="B689">
        <v>279</v>
      </c>
      <c r="C689">
        <v>5</v>
      </c>
      <c r="D689">
        <v>635</v>
      </c>
      <c r="E689" t="s">
        <v>651</v>
      </c>
      <c r="F689">
        <v>11.64</v>
      </c>
      <c r="G689" t="s">
        <v>623</v>
      </c>
      <c r="H689" s="1">
        <v>46012.404363425929</v>
      </c>
      <c r="I689" t="s">
        <v>633</v>
      </c>
      <c r="J689">
        <v>11.64</v>
      </c>
      <c r="K689">
        <v>0</v>
      </c>
    </row>
    <row r="690" spans="1:11" x14ac:dyDescent="0.3">
      <c r="A690">
        <v>689</v>
      </c>
      <c r="B690">
        <v>197</v>
      </c>
      <c r="C690">
        <v>5</v>
      </c>
      <c r="D690">
        <v>636</v>
      </c>
      <c r="E690" t="s">
        <v>651</v>
      </c>
      <c r="F690">
        <v>22</v>
      </c>
      <c r="G690" t="s">
        <v>623</v>
      </c>
      <c r="H690" s="1">
        <v>46012.453587962962</v>
      </c>
      <c r="I690" t="s">
        <v>633</v>
      </c>
      <c r="J690">
        <v>22</v>
      </c>
      <c r="K690">
        <v>0</v>
      </c>
    </row>
    <row r="691" spans="1:11" x14ac:dyDescent="0.3">
      <c r="A691">
        <v>690</v>
      </c>
      <c r="B691">
        <v>138</v>
      </c>
      <c r="C691">
        <v>5</v>
      </c>
      <c r="D691">
        <v>637</v>
      </c>
      <c r="E691" t="s">
        <v>651</v>
      </c>
      <c r="F691">
        <v>2.69</v>
      </c>
      <c r="G691" t="s">
        <v>623</v>
      </c>
      <c r="H691" s="1">
        <v>46012.494652777779</v>
      </c>
      <c r="I691" t="s">
        <v>633</v>
      </c>
      <c r="J691">
        <v>2.69</v>
      </c>
      <c r="K691">
        <v>0</v>
      </c>
    </row>
    <row r="692" spans="1:11" x14ac:dyDescent="0.3">
      <c r="A692">
        <v>691</v>
      </c>
      <c r="B692">
        <v>104</v>
      </c>
      <c r="C692">
        <v>5</v>
      </c>
      <c r="D692">
        <v>638</v>
      </c>
      <c r="E692" t="s">
        <v>651</v>
      </c>
      <c r="F692">
        <v>12.61</v>
      </c>
      <c r="G692" t="s">
        <v>623</v>
      </c>
      <c r="H692" s="1">
        <v>46012.594444444447</v>
      </c>
      <c r="I692" t="s">
        <v>633</v>
      </c>
      <c r="J692">
        <v>12.61</v>
      </c>
      <c r="K692">
        <v>0</v>
      </c>
    </row>
    <row r="693" spans="1:11" x14ac:dyDescent="0.3">
      <c r="A693">
        <v>692</v>
      </c>
      <c r="B693">
        <v>164</v>
      </c>
      <c r="C693">
        <v>2</v>
      </c>
      <c r="D693">
        <v>639</v>
      </c>
      <c r="E693" t="s">
        <v>651</v>
      </c>
      <c r="F693">
        <v>1.97</v>
      </c>
      <c r="G693" t="s">
        <v>623</v>
      </c>
      <c r="H693" s="1">
        <v>46012.595601851855</v>
      </c>
      <c r="I693" t="s">
        <v>633</v>
      </c>
      <c r="J693">
        <v>1.97</v>
      </c>
      <c r="K693">
        <v>0</v>
      </c>
    </row>
    <row r="694" spans="1:11" x14ac:dyDescent="0.3">
      <c r="A694">
        <v>693</v>
      </c>
      <c r="B694">
        <v>65</v>
      </c>
      <c r="C694">
        <v>3</v>
      </c>
      <c r="D694">
        <v>640</v>
      </c>
      <c r="E694" t="s">
        <v>651</v>
      </c>
      <c r="F694">
        <v>1.78</v>
      </c>
      <c r="G694" t="s">
        <v>623</v>
      </c>
      <c r="H694" s="1">
        <v>46012.621388888889</v>
      </c>
      <c r="I694" t="s">
        <v>633</v>
      </c>
      <c r="J694">
        <v>1.78</v>
      </c>
      <c r="K694">
        <v>0</v>
      </c>
    </row>
    <row r="695" spans="1:11" x14ac:dyDescent="0.3">
      <c r="A695">
        <v>694</v>
      </c>
      <c r="B695">
        <v>48</v>
      </c>
      <c r="C695">
        <v>4</v>
      </c>
      <c r="D695">
        <v>641</v>
      </c>
      <c r="E695" t="s">
        <v>651</v>
      </c>
      <c r="F695">
        <v>14.93</v>
      </c>
      <c r="G695" t="s">
        <v>623</v>
      </c>
      <c r="H695" s="1">
        <v>46012.656689814816</v>
      </c>
      <c r="I695" t="s">
        <v>633</v>
      </c>
      <c r="J695">
        <v>14.93</v>
      </c>
      <c r="K695">
        <v>0</v>
      </c>
    </row>
    <row r="696" spans="1:11" x14ac:dyDescent="0.3">
      <c r="A696">
        <v>695</v>
      </c>
      <c r="B696">
        <v>109</v>
      </c>
      <c r="C696">
        <v>5</v>
      </c>
      <c r="D696">
        <v>642</v>
      </c>
      <c r="E696" t="s">
        <v>651</v>
      </c>
      <c r="F696">
        <v>28.9</v>
      </c>
      <c r="G696" t="s">
        <v>623</v>
      </c>
      <c r="H696" s="1">
        <v>46012.69253472222</v>
      </c>
      <c r="I696" t="s">
        <v>633</v>
      </c>
      <c r="J696">
        <v>28.9</v>
      </c>
      <c r="K696">
        <v>0</v>
      </c>
    </row>
    <row r="697" spans="1:11" x14ac:dyDescent="0.3">
      <c r="A697">
        <v>696</v>
      </c>
      <c r="B697">
        <v>244</v>
      </c>
      <c r="C697">
        <v>1</v>
      </c>
      <c r="E697" t="s">
        <v>649</v>
      </c>
      <c r="F697">
        <v>27.77</v>
      </c>
      <c r="G697" t="s">
        <v>653</v>
      </c>
      <c r="H697" s="1">
        <v>46012.77621527778</v>
      </c>
      <c r="I697" t="s">
        <v>633</v>
      </c>
      <c r="J697">
        <v>0</v>
      </c>
      <c r="K697">
        <v>0</v>
      </c>
    </row>
    <row r="698" spans="1:11" x14ac:dyDescent="0.3">
      <c r="A698">
        <v>697</v>
      </c>
      <c r="B698">
        <v>290</v>
      </c>
      <c r="C698">
        <v>4</v>
      </c>
      <c r="D698">
        <v>643</v>
      </c>
      <c r="E698" t="s">
        <v>651</v>
      </c>
      <c r="F698">
        <v>3.79</v>
      </c>
      <c r="G698" t="s">
        <v>623</v>
      </c>
      <c r="H698" s="1">
        <v>46012.808032407411</v>
      </c>
      <c r="I698" t="s">
        <v>633</v>
      </c>
      <c r="J698">
        <v>3.79</v>
      </c>
      <c r="K698">
        <v>0</v>
      </c>
    </row>
    <row r="699" spans="1:11" x14ac:dyDescent="0.3">
      <c r="A699">
        <v>698</v>
      </c>
      <c r="B699">
        <v>244</v>
      </c>
      <c r="C699">
        <v>2</v>
      </c>
      <c r="D699">
        <v>644</v>
      </c>
      <c r="E699" t="s">
        <v>657</v>
      </c>
      <c r="F699">
        <v>74.62</v>
      </c>
      <c r="G699" t="s">
        <v>623</v>
      </c>
      <c r="H699" s="1">
        <v>46013.308854166666</v>
      </c>
      <c r="I699" t="s">
        <v>633</v>
      </c>
      <c r="J699">
        <v>0</v>
      </c>
      <c r="K699">
        <v>74.62</v>
      </c>
    </row>
    <row r="700" spans="1:11" x14ac:dyDescent="0.3">
      <c r="A700">
        <v>699</v>
      </c>
      <c r="B700">
        <v>137</v>
      </c>
      <c r="C700">
        <v>5</v>
      </c>
      <c r="D700">
        <v>645</v>
      </c>
      <c r="E700" t="s">
        <v>651</v>
      </c>
      <c r="F700">
        <v>3.59</v>
      </c>
      <c r="G700" t="s">
        <v>623</v>
      </c>
      <c r="H700" s="1">
        <v>46013.316817129627</v>
      </c>
      <c r="I700" t="s">
        <v>633</v>
      </c>
      <c r="J700">
        <v>3.59</v>
      </c>
      <c r="K700">
        <v>0</v>
      </c>
    </row>
    <row r="701" spans="1:11" x14ac:dyDescent="0.3">
      <c r="A701">
        <v>700</v>
      </c>
      <c r="B701">
        <v>217</v>
      </c>
      <c r="C701">
        <v>3</v>
      </c>
      <c r="D701">
        <v>646</v>
      </c>
      <c r="E701" t="s">
        <v>651</v>
      </c>
      <c r="F701">
        <v>3.11</v>
      </c>
      <c r="G701" t="s">
        <v>623</v>
      </c>
      <c r="H701" s="1">
        <v>46013.357442129629</v>
      </c>
      <c r="I701" t="s">
        <v>633</v>
      </c>
      <c r="J701">
        <v>3.11</v>
      </c>
      <c r="K701">
        <v>0</v>
      </c>
    </row>
    <row r="702" spans="1:11" x14ac:dyDescent="0.3">
      <c r="A702">
        <v>701</v>
      </c>
      <c r="B702">
        <v>32</v>
      </c>
      <c r="C702">
        <v>2</v>
      </c>
      <c r="D702">
        <v>647</v>
      </c>
      <c r="E702" t="s">
        <v>651</v>
      </c>
      <c r="F702">
        <v>2.13</v>
      </c>
      <c r="G702" t="s">
        <v>623</v>
      </c>
      <c r="H702" s="1">
        <v>46013.430752314816</v>
      </c>
      <c r="I702" t="s">
        <v>633</v>
      </c>
      <c r="J702">
        <v>2.13</v>
      </c>
      <c r="K702">
        <v>0</v>
      </c>
    </row>
    <row r="703" spans="1:11" x14ac:dyDescent="0.3">
      <c r="A703">
        <v>702</v>
      </c>
      <c r="B703">
        <v>70</v>
      </c>
      <c r="C703">
        <v>2</v>
      </c>
      <c r="D703">
        <v>632</v>
      </c>
      <c r="E703" t="s">
        <v>649</v>
      </c>
      <c r="F703">
        <v>-13.27</v>
      </c>
      <c r="G703" t="s">
        <v>678</v>
      </c>
      <c r="H703" s="1">
        <v>46013.439386574071</v>
      </c>
      <c r="I703" t="s">
        <v>633</v>
      </c>
      <c r="J703">
        <v>0</v>
      </c>
      <c r="K703">
        <v>0</v>
      </c>
    </row>
    <row r="704" spans="1:11" x14ac:dyDescent="0.3">
      <c r="A704">
        <v>703</v>
      </c>
      <c r="B704">
        <v>241</v>
      </c>
      <c r="C704">
        <v>5</v>
      </c>
      <c r="D704">
        <v>648</v>
      </c>
      <c r="E704" t="s">
        <v>651</v>
      </c>
      <c r="F704">
        <v>3.27</v>
      </c>
      <c r="G704" t="s">
        <v>623</v>
      </c>
      <c r="H704" s="1">
        <v>46013.455347222225</v>
      </c>
      <c r="I704" t="s">
        <v>633</v>
      </c>
      <c r="J704">
        <v>3.27</v>
      </c>
      <c r="K704">
        <v>0</v>
      </c>
    </row>
    <row r="705" spans="1:11" x14ac:dyDescent="0.3">
      <c r="A705">
        <v>704</v>
      </c>
      <c r="B705">
        <v>138</v>
      </c>
      <c r="C705">
        <v>2</v>
      </c>
      <c r="D705">
        <v>649</v>
      </c>
      <c r="E705" t="s">
        <v>651</v>
      </c>
      <c r="F705">
        <v>2.02</v>
      </c>
      <c r="G705" t="s">
        <v>623</v>
      </c>
      <c r="H705" s="1">
        <v>46013.475902777776</v>
      </c>
      <c r="I705" t="s">
        <v>633</v>
      </c>
      <c r="J705">
        <v>2.02</v>
      </c>
      <c r="K705">
        <v>0</v>
      </c>
    </row>
    <row r="706" spans="1:11" x14ac:dyDescent="0.3">
      <c r="A706">
        <v>705</v>
      </c>
      <c r="B706">
        <v>106</v>
      </c>
      <c r="C706">
        <v>3</v>
      </c>
      <c r="D706">
        <v>650</v>
      </c>
      <c r="E706" t="s">
        <v>651</v>
      </c>
      <c r="F706">
        <v>7.84</v>
      </c>
      <c r="G706" t="s">
        <v>623</v>
      </c>
      <c r="H706" s="1">
        <v>46013.490069444444</v>
      </c>
      <c r="I706" t="s">
        <v>633</v>
      </c>
      <c r="J706">
        <v>7.84</v>
      </c>
      <c r="K706">
        <v>0</v>
      </c>
    </row>
    <row r="707" spans="1:11" x14ac:dyDescent="0.3">
      <c r="A707">
        <v>706</v>
      </c>
      <c r="B707">
        <v>85</v>
      </c>
      <c r="C707">
        <v>2</v>
      </c>
      <c r="D707">
        <v>651</v>
      </c>
      <c r="E707" t="s">
        <v>651</v>
      </c>
      <c r="F707">
        <v>17.98</v>
      </c>
      <c r="G707" t="s">
        <v>623</v>
      </c>
      <c r="H707" s="1">
        <v>46013.520902777775</v>
      </c>
      <c r="I707" t="s">
        <v>633</v>
      </c>
      <c r="J707">
        <v>17.98</v>
      </c>
      <c r="K707">
        <v>0</v>
      </c>
    </row>
    <row r="708" spans="1:11" x14ac:dyDescent="0.3">
      <c r="A708">
        <v>707</v>
      </c>
      <c r="B708">
        <v>57</v>
      </c>
      <c r="C708">
        <v>2</v>
      </c>
      <c r="D708">
        <v>652</v>
      </c>
      <c r="E708" t="s">
        <v>651</v>
      </c>
      <c r="F708">
        <v>8.1300000000000008</v>
      </c>
      <c r="G708" t="s">
        <v>623</v>
      </c>
      <c r="H708" s="1">
        <v>46013.652731481481</v>
      </c>
      <c r="I708" t="s">
        <v>633</v>
      </c>
      <c r="J708">
        <v>8.1300000000000008</v>
      </c>
      <c r="K708">
        <v>0</v>
      </c>
    </row>
    <row r="709" spans="1:11" x14ac:dyDescent="0.3">
      <c r="A709">
        <v>708</v>
      </c>
      <c r="B709">
        <v>287</v>
      </c>
      <c r="C709">
        <v>5</v>
      </c>
      <c r="D709">
        <v>653</v>
      </c>
      <c r="E709" t="s">
        <v>651</v>
      </c>
      <c r="F709">
        <v>1.88</v>
      </c>
      <c r="G709" t="s">
        <v>623</v>
      </c>
      <c r="H709" s="1">
        <v>46013.654398148145</v>
      </c>
      <c r="I709" t="s">
        <v>633</v>
      </c>
      <c r="J709">
        <v>1.88</v>
      </c>
      <c r="K709">
        <v>0</v>
      </c>
    </row>
    <row r="710" spans="1:11" x14ac:dyDescent="0.3">
      <c r="A710">
        <v>709</v>
      </c>
      <c r="B710">
        <v>50</v>
      </c>
      <c r="C710">
        <v>2</v>
      </c>
      <c r="D710">
        <v>654</v>
      </c>
      <c r="E710" t="s">
        <v>651</v>
      </c>
      <c r="F710">
        <v>9.85</v>
      </c>
      <c r="G710" t="s">
        <v>623</v>
      </c>
      <c r="H710" s="1">
        <v>46013.699849537035</v>
      </c>
      <c r="I710" t="s">
        <v>633</v>
      </c>
      <c r="J710">
        <v>9.85</v>
      </c>
      <c r="K710">
        <v>0</v>
      </c>
    </row>
    <row r="711" spans="1:11" x14ac:dyDescent="0.3">
      <c r="A711">
        <v>710</v>
      </c>
      <c r="B711">
        <v>215</v>
      </c>
      <c r="C711">
        <v>4</v>
      </c>
      <c r="D711">
        <v>655</v>
      </c>
      <c r="E711" t="s">
        <v>651</v>
      </c>
      <c r="F711">
        <v>3.36</v>
      </c>
      <c r="G711" t="s">
        <v>623</v>
      </c>
      <c r="H711" s="1">
        <v>46013.721944444442</v>
      </c>
      <c r="I711" t="s">
        <v>633</v>
      </c>
      <c r="J711">
        <v>3.36</v>
      </c>
      <c r="K711">
        <v>0</v>
      </c>
    </row>
    <row r="712" spans="1:11" x14ac:dyDescent="0.3">
      <c r="A712">
        <v>711</v>
      </c>
      <c r="B712">
        <v>61</v>
      </c>
      <c r="C712">
        <v>4</v>
      </c>
      <c r="D712">
        <v>656</v>
      </c>
      <c r="E712" t="s">
        <v>651</v>
      </c>
      <c r="F712">
        <v>4.97</v>
      </c>
      <c r="G712" t="s">
        <v>623</v>
      </c>
      <c r="H712" s="1">
        <v>46013.730810185189</v>
      </c>
      <c r="I712" t="s">
        <v>633</v>
      </c>
      <c r="J712">
        <v>4.97</v>
      </c>
      <c r="K712">
        <v>0</v>
      </c>
    </row>
    <row r="713" spans="1:11" x14ac:dyDescent="0.3">
      <c r="A713">
        <v>712</v>
      </c>
      <c r="B713">
        <v>207</v>
      </c>
      <c r="C713">
        <v>4</v>
      </c>
      <c r="D713">
        <v>657</v>
      </c>
      <c r="E713" t="s">
        <v>651</v>
      </c>
      <c r="F713">
        <v>1.95</v>
      </c>
      <c r="G713" t="s">
        <v>623</v>
      </c>
      <c r="H713" s="1">
        <v>46013.747766203705</v>
      </c>
      <c r="I713" t="s">
        <v>633</v>
      </c>
      <c r="J713">
        <v>1.95</v>
      </c>
      <c r="K713">
        <v>0</v>
      </c>
    </row>
    <row r="714" spans="1:11" x14ac:dyDescent="0.3">
      <c r="A714">
        <v>713</v>
      </c>
      <c r="B714">
        <v>245</v>
      </c>
      <c r="C714">
        <v>4</v>
      </c>
      <c r="D714">
        <v>658</v>
      </c>
      <c r="E714" t="s">
        <v>651</v>
      </c>
      <c r="F714">
        <v>1.55</v>
      </c>
      <c r="G714" t="s">
        <v>623</v>
      </c>
      <c r="H714" s="1">
        <v>46014.292615740742</v>
      </c>
      <c r="I714" t="s">
        <v>633</v>
      </c>
      <c r="J714">
        <v>1.55</v>
      </c>
      <c r="K714">
        <v>0</v>
      </c>
    </row>
    <row r="715" spans="1:11" x14ac:dyDescent="0.3">
      <c r="A715">
        <v>714</v>
      </c>
      <c r="B715">
        <v>244</v>
      </c>
      <c r="C715">
        <v>5</v>
      </c>
      <c r="D715">
        <v>659</v>
      </c>
      <c r="E715" t="s">
        <v>651</v>
      </c>
      <c r="F715">
        <v>6.4</v>
      </c>
      <c r="G715" t="s">
        <v>623</v>
      </c>
      <c r="H715" s="1">
        <v>46014.359907407408</v>
      </c>
      <c r="I715" t="s">
        <v>633</v>
      </c>
      <c r="J715">
        <v>6.4</v>
      </c>
      <c r="K715">
        <v>0</v>
      </c>
    </row>
    <row r="716" spans="1:11" x14ac:dyDescent="0.3">
      <c r="A716">
        <v>715</v>
      </c>
      <c r="B716">
        <v>137</v>
      </c>
      <c r="C716">
        <v>2</v>
      </c>
      <c r="D716">
        <v>660</v>
      </c>
      <c r="E716" t="s">
        <v>651</v>
      </c>
      <c r="F716">
        <v>3.7</v>
      </c>
      <c r="G716" t="s">
        <v>623</v>
      </c>
      <c r="H716" s="1">
        <v>46014.362060185187</v>
      </c>
      <c r="I716" t="s">
        <v>633</v>
      </c>
      <c r="J716">
        <v>3.7</v>
      </c>
      <c r="K716">
        <v>0</v>
      </c>
    </row>
    <row r="717" spans="1:11" x14ac:dyDescent="0.3">
      <c r="A717">
        <v>716</v>
      </c>
      <c r="B717">
        <v>70</v>
      </c>
      <c r="C717">
        <v>2</v>
      </c>
      <c r="D717">
        <v>661</v>
      </c>
      <c r="E717" t="s">
        <v>651</v>
      </c>
      <c r="F717">
        <v>15.88</v>
      </c>
      <c r="G717" t="s">
        <v>623</v>
      </c>
      <c r="H717" s="1">
        <v>46014.363888888889</v>
      </c>
      <c r="I717" t="s">
        <v>633</v>
      </c>
      <c r="J717">
        <v>15.88</v>
      </c>
      <c r="K717">
        <v>0</v>
      </c>
    </row>
    <row r="718" spans="1:11" x14ac:dyDescent="0.3">
      <c r="A718">
        <v>717</v>
      </c>
      <c r="B718">
        <v>44</v>
      </c>
      <c r="C718">
        <v>3</v>
      </c>
      <c r="D718">
        <v>662</v>
      </c>
      <c r="E718" t="s">
        <v>651</v>
      </c>
      <c r="F718">
        <v>1.89</v>
      </c>
      <c r="G718" t="s">
        <v>623</v>
      </c>
      <c r="H718" s="1">
        <v>46014.393564814818</v>
      </c>
      <c r="I718" t="s">
        <v>633</v>
      </c>
      <c r="J718">
        <v>1.89</v>
      </c>
      <c r="K718">
        <v>0</v>
      </c>
    </row>
    <row r="719" spans="1:11" x14ac:dyDescent="0.3">
      <c r="A719">
        <v>718</v>
      </c>
      <c r="B719">
        <v>251</v>
      </c>
      <c r="C719">
        <v>2</v>
      </c>
      <c r="D719">
        <v>663</v>
      </c>
      <c r="E719" t="s">
        <v>651</v>
      </c>
      <c r="F719">
        <v>11.96</v>
      </c>
      <c r="G719" t="s">
        <v>623</v>
      </c>
      <c r="H719" s="1">
        <v>46014.402673611112</v>
      </c>
      <c r="I719" t="s">
        <v>633</v>
      </c>
      <c r="J719">
        <v>11.96</v>
      </c>
      <c r="K719">
        <v>0</v>
      </c>
    </row>
    <row r="720" spans="1:11" x14ac:dyDescent="0.3">
      <c r="A720">
        <v>719</v>
      </c>
      <c r="B720">
        <v>41</v>
      </c>
      <c r="C720">
        <v>2</v>
      </c>
      <c r="D720">
        <v>664</v>
      </c>
      <c r="E720" t="s">
        <v>651</v>
      </c>
      <c r="F720">
        <v>30</v>
      </c>
      <c r="G720" t="s">
        <v>623</v>
      </c>
      <c r="H720" s="1">
        <v>46014.435613425929</v>
      </c>
      <c r="I720" t="s">
        <v>633</v>
      </c>
      <c r="J720">
        <v>30</v>
      </c>
      <c r="K720">
        <v>0</v>
      </c>
    </row>
    <row r="721" spans="1:11" x14ac:dyDescent="0.3">
      <c r="A721">
        <v>720</v>
      </c>
      <c r="B721">
        <v>196</v>
      </c>
      <c r="C721">
        <v>2</v>
      </c>
      <c r="D721">
        <v>665</v>
      </c>
      <c r="E721" t="s">
        <v>651</v>
      </c>
      <c r="F721">
        <v>2.59</v>
      </c>
      <c r="G721" t="s">
        <v>623</v>
      </c>
      <c r="H721" s="1">
        <v>46014.448483796295</v>
      </c>
      <c r="I721" t="s">
        <v>633</v>
      </c>
      <c r="J721">
        <v>2.59</v>
      </c>
      <c r="K721">
        <v>0</v>
      </c>
    </row>
    <row r="722" spans="1:11" x14ac:dyDescent="0.3">
      <c r="A722">
        <v>721</v>
      </c>
      <c r="B722">
        <v>35</v>
      </c>
      <c r="C722">
        <v>5</v>
      </c>
      <c r="D722">
        <v>666</v>
      </c>
      <c r="E722" t="s">
        <v>651</v>
      </c>
      <c r="F722">
        <v>2.06</v>
      </c>
      <c r="G722" t="s">
        <v>623</v>
      </c>
      <c r="H722" s="1">
        <v>46014.501655092594</v>
      </c>
      <c r="I722" t="s">
        <v>633</v>
      </c>
      <c r="J722">
        <v>2.06</v>
      </c>
      <c r="K722">
        <v>0</v>
      </c>
    </row>
    <row r="723" spans="1:11" x14ac:dyDescent="0.3">
      <c r="A723">
        <v>722</v>
      </c>
      <c r="B723">
        <v>18</v>
      </c>
      <c r="C723">
        <v>5</v>
      </c>
      <c r="D723">
        <v>667</v>
      </c>
      <c r="E723" t="s">
        <v>651</v>
      </c>
      <c r="F723">
        <v>13.98</v>
      </c>
      <c r="G723" t="s">
        <v>623</v>
      </c>
      <c r="H723" s="1">
        <v>46014.539502314816</v>
      </c>
      <c r="I723" t="s">
        <v>633</v>
      </c>
      <c r="J723">
        <v>13.98</v>
      </c>
      <c r="K723">
        <v>0</v>
      </c>
    </row>
    <row r="724" spans="1:11" x14ac:dyDescent="0.3">
      <c r="A724">
        <v>723</v>
      </c>
      <c r="B724">
        <v>22</v>
      </c>
      <c r="C724">
        <v>4</v>
      </c>
      <c r="D724">
        <v>668</v>
      </c>
      <c r="E724" t="s">
        <v>651</v>
      </c>
      <c r="F724">
        <v>9.9600000000000009</v>
      </c>
      <c r="G724" t="s">
        <v>623</v>
      </c>
      <c r="H724" s="1">
        <v>46014.540717592594</v>
      </c>
      <c r="I724" t="s">
        <v>633</v>
      </c>
      <c r="J724">
        <v>9.9600000000000009</v>
      </c>
      <c r="K724">
        <v>0</v>
      </c>
    </row>
    <row r="725" spans="1:11" x14ac:dyDescent="0.3">
      <c r="A725">
        <v>724</v>
      </c>
      <c r="B725">
        <v>39</v>
      </c>
      <c r="C725">
        <v>4</v>
      </c>
      <c r="D725">
        <v>669</v>
      </c>
      <c r="E725" t="s">
        <v>651</v>
      </c>
      <c r="F725">
        <v>12.97</v>
      </c>
      <c r="G725" t="s">
        <v>623</v>
      </c>
      <c r="H725" s="1">
        <v>46014.639004629629</v>
      </c>
      <c r="I725" t="s">
        <v>633</v>
      </c>
      <c r="J725">
        <v>12.97</v>
      </c>
      <c r="K725">
        <v>0</v>
      </c>
    </row>
    <row r="726" spans="1:11" x14ac:dyDescent="0.3">
      <c r="A726">
        <v>725</v>
      </c>
      <c r="B726">
        <v>241</v>
      </c>
      <c r="C726">
        <v>4</v>
      </c>
      <c r="D726">
        <v>670</v>
      </c>
      <c r="E726" t="s">
        <v>651</v>
      </c>
      <c r="F726">
        <v>2.73</v>
      </c>
      <c r="G726" t="s">
        <v>623</v>
      </c>
      <c r="H726" s="1">
        <v>46014.697476851848</v>
      </c>
      <c r="I726" t="s">
        <v>633</v>
      </c>
      <c r="J726">
        <v>2.73</v>
      </c>
      <c r="K726">
        <v>0</v>
      </c>
    </row>
    <row r="727" spans="1:11" x14ac:dyDescent="0.3">
      <c r="A727">
        <v>726</v>
      </c>
      <c r="B727">
        <v>137</v>
      </c>
      <c r="C727">
        <v>2</v>
      </c>
      <c r="D727">
        <v>671</v>
      </c>
      <c r="E727" t="s">
        <v>651</v>
      </c>
      <c r="F727">
        <v>3.65</v>
      </c>
      <c r="G727" t="s">
        <v>623</v>
      </c>
      <c r="H727" s="1">
        <v>46014.748935185184</v>
      </c>
      <c r="I727" t="s">
        <v>633</v>
      </c>
      <c r="J727">
        <v>3.65</v>
      </c>
      <c r="K727">
        <v>0</v>
      </c>
    </row>
    <row r="728" spans="1:11" x14ac:dyDescent="0.3">
      <c r="A728">
        <v>727</v>
      </c>
      <c r="B728">
        <v>14</v>
      </c>
      <c r="C728">
        <v>2</v>
      </c>
      <c r="D728">
        <v>672</v>
      </c>
      <c r="E728" t="s">
        <v>651</v>
      </c>
      <c r="F728">
        <v>2.2599999999999998</v>
      </c>
      <c r="G728" t="s">
        <v>623</v>
      </c>
      <c r="H728" s="1">
        <v>46014.79923611111</v>
      </c>
      <c r="I728" t="s">
        <v>633</v>
      </c>
      <c r="J728">
        <v>2.2599999999999998</v>
      </c>
      <c r="K728">
        <v>0</v>
      </c>
    </row>
    <row r="729" spans="1:11" x14ac:dyDescent="0.3">
      <c r="A729">
        <v>728</v>
      </c>
      <c r="B729">
        <v>85</v>
      </c>
      <c r="C729">
        <v>1</v>
      </c>
      <c r="E729" t="s">
        <v>649</v>
      </c>
      <c r="F729">
        <v>-11.06</v>
      </c>
      <c r="G729" t="s">
        <v>656</v>
      </c>
      <c r="H729" s="1">
        <v>46014.805590277778</v>
      </c>
      <c r="I729" t="s">
        <v>633</v>
      </c>
      <c r="J729">
        <v>0</v>
      </c>
      <c r="K729">
        <v>0</v>
      </c>
    </row>
    <row r="730" spans="1:11" x14ac:dyDescent="0.3">
      <c r="A730">
        <v>729</v>
      </c>
      <c r="B730">
        <v>16</v>
      </c>
      <c r="C730">
        <v>3</v>
      </c>
      <c r="D730">
        <v>673</v>
      </c>
      <c r="E730" t="s">
        <v>651</v>
      </c>
      <c r="F730">
        <v>30</v>
      </c>
      <c r="G730" t="s">
        <v>623</v>
      </c>
      <c r="H730" s="1">
        <v>46015.29954861111</v>
      </c>
      <c r="I730" t="s">
        <v>633</v>
      </c>
      <c r="J730">
        <v>30</v>
      </c>
      <c r="K730">
        <v>0</v>
      </c>
    </row>
    <row r="731" spans="1:11" x14ac:dyDescent="0.3">
      <c r="A731">
        <v>730</v>
      </c>
      <c r="B731">
        <v>244</v>
      </c>
      <c r="C731">
        <v>4</v>
      </c>
      <c r="D731">
        <v>674</v>
      </c>
      <c r="E731" t="s">
        <v>651</v>
      </c>
      <c r="F731">
        <v>18.25</v>
      </c>
      <c r="G731" t="s">
        <v>623</v>
      </c>
      <c r="H731" s="1">
        <v>46015.434907407405</v>
      </c>
      <c r="I731" t="s">
        <v>633</v>
      </c>
      <c r="J731">
        <v>18.25</v>
      </c>
      <c r="K731">
        <v>0</v>
      </c>
    </row>
    <row r="732" spans="1:11" x14ac:dyDescent="0.3">
      <c r="A732">
        <v>731</v>
      </c>
      <c r="B732">
        <v>57</v>
      </c>
      <c r="C732">
        <v>4</v>
      </c>
      <c r="D732">
        <v>675</v>
      </c>
      <c r="E732" t="s">
        <v>657</v>
      </c>
      <c r="F732">
        <v>60.67</v>
      </c>
      <c r="G732" t="s">
        <v>623</v>
      </c>
      <c r="H732" s="1">
        <v>46015.534629629627</v>
      </c>
      <c r="I732" t="s">
        <v>633</v>
      </c>
      <c r="J732">
        <v>0</v>
      </c>
      <c r="K732">
        <v>60.67</v>
      </c>
    </row>
    <row r="733" spans="1:11" x14ac:dyDescent="0.3">
      <c r="A733">
        <v>732</v>
      </c>
      <c r="B733">
        <v>137</v>
      </c>
      <c r="C733">
        <v>4</v>
      </c>
      <c r="D733">
        <v>676</v>
      </c>
      <c r="E733" t="s">
        <v>651</v>
      </c>
      <c r="F733">
        <v>3.38</v>
      </c>
      <c r="G733" t="s">
        <v>623</v>
      </c>
      <c r="H733" s="1">
        <v>46015.707245370373</v>
      </c>
      <c r="I733" t="s">
        <v>633</v>
      </c>
      <c r="J733">
        <v>3.38</v>
      </c>
      <c r="K733">
        <v>0</v>
      </c>
    </row>
    <row r="734" spans="1:11" x14ac:dyDescent="0.3">
      <c r="A734">
        <v>733</v>
      </c>
      <c r="B734">
        <v>36</v>
      </c>
      <c r="C734">
        <v>5</v>
      </c>
      <c r="D734">
        <v>677</v>
      </c>
      <c r="E734" t="s">
        <v>651</v>
      </c>
      <c r="F734">
        <v>21.93</v>
      </c>
      <c r="G734" t="s">
        <v>623</v>
      </c>
      <c r="H734" s="1">
        <v>46015.720856481479</v>
      </c>
      <c r="I734" t="s">
        <v>633</v>
      </c>
      <c r="J734">
        <v>21.93</v>
      </c>
      <c r="K734">
        <v>0</v>
      </c>
    </row>
    <row r="735" spans="1:11" x14ac:dyDescent="0.3">
      <c r="A735">
        <v>734</v>
      </c>
      <c r="B735">
        <v>160</v>
      </c>
      <c r="C735">
        <v>2</v>
      </c>
      <c r="D735">
        <v>678</v>
      </c>
      <c r="E735" t="s">
        <v>651</v>
      </c>
      <c r="F735">
        <v>2.64</v>
      </c>
      <c r="G735" t="s">
        <v>623</v>
      </c>
      <c r="H735" s="1">
        <v>46015.762349537035</v>
      </c>
      <c r="I735" t="s">
        <v>633</v>
      </c>
      <c r="J735">
        <v>2.64</v>
      </c>
      <c r="K735">
        <v>0</v>
      </c>
    </row>
    <row r="736" spans="1:11" x14ac:dyDescent="0.3">
      <c r="A736">
        <v>735</v>
      </c>
      <c r="B736">
        <v>203</v>
      </c>
      <c r="C736">
        <v>1</v>
      </c>
      <c r="E736" t="s">
        <v>649</v>
      </c>
      <c r="F736">
        <v>-10.17</v>
      </c>
      <c r="G736" t="s">
        <v>656</v>
      </c>
      <c r="H736" s="1">
        <v>46015.871018518519</v>
      </c>
      <c r="I736" t="s">
        <v>633</v>
      </c>
      <c r="J736">
        <v>0</v>
      </c>
      <c r="K736">
        <v>0</v>
      </c>
    </row>
    <row r="737" spans="1:11" x14ac:dyDescent="0.3">
      <c r="A737">
        <v>736</v>
      </c>
      <c r="B737">
        <v>106</v>
      </c>
      <c r="C737">
        <v>5</v>
      </c>
      <c r="D737">
        <v>679</v>
      </c>
      <c r="E737" t="s">
        <v>651</v>
      </c>
      <c r="F737">
        <v>13.36</v>
      </c>
      <c r="G737" t="s">
        <v>623</v>
      </c>
      <c r="H737" s="1">
        <v>46016.347800925927</v>
      </c>
      <c r="I737" t="s">
        <v>633</v>
      </c>
      <c r="J737">
        <v>13.36</v>
      </c>
      <c r="K737">
        <v>0</v>
      </c>
    </row>
    <row r="738" spans="1:11" x14ac:dyDescent="0.3">
      <c r="A738">
        <v>737</v>
      </c>
      <c r="B738">
        <v>31</v>
      </c>
      <c r="C738">
        <v>4</v>
      </c>
      <c r="D738">
        <v>680</v>
      </c>
      <c r="E738" t="s">
        <v>651</v>
      </c>
      <c r="F738">
        <v>3.47</v>
      </c>
      <c r="G738" t="s">
        <v>623</v>
      </c>
      <c r="H738" s="1">
        <v>46016.381886574076</v>
      </c>
      <c r="I738" t="s">
        <v>633</v>
      </c>
      <c r="J738">
        <v>3.47</v>
      </c>
      <c r="K738">
        <v>0</v>
      </c>
    </row>
    <row r="739" spans="1:11" x14ac:dyDescent="0.3">
      <c r="A739">
        <v>738</v>
      </c>
      <c r="B739">
        <v>29</v>
      </c>
      <c r="C739">
        <v>3</v>
      </c>
      <c r="D739">
        <v>681</v>
      </c>
      <c r="E739" t="s">
        <v>651</v>
      </c>
      <c r="F739">
        <v>3.09</v>
      </c>
      <c r="G739" t="s">
        <v>623</v>
      </c>
      <c r="H739" s="1">
        <v>46016.400069444448</v>
      </c>
      <c r="I739" t="s">
        <v>633</v>
      </c>
      <c r="J739">
        <v>3.09</v>
      </c>
      <c r="K739">
        <v>0</v>
      </c>
    </row>
    <row r="740" spans="1:11" x14ac:dyDescent="0.3">
      <c r="A740">
        <v>739</v>
      </c>
      <c r="B740">
        <v>155</v>
      </c>
      <c r="C740">
        <v>3</v>
      </c>
      <c r="D740">
        <v>682</v>
      </c>
      <c r="E740" t="s">
        <v>651</v>
      </c>
      <c r="F740">
        <v>1.87</v>
      </c>
      <c r="G740" t="s">
        <v>623</v>
      </c>
      <c r="H740" s="1">
        <v>46016.406458333331</v>
      </c>
      <c r="I740" t="s">
        <v>633</v>
      </c>
      <c r="J740">
        <v>1.87</v>
      </c>
      <c r="K740">
        <v>0</v>
      </c>
    </row>
    <row r="741" spans="1:11" x14ac:dyDescent="0.3">
      <c r="A741">
        <v>740</v>
      </c>
      <c r="B741">
        <v>66</v>
      </c>
      <c r="C741">
        <v>2</v>
      </c>
      <c r="D741">
        <v>683</v>
      </c>
      <c r="E741" t="s">
        <v>651</v>
      </c>
      <c r="F741">
        <v>6.58</v>
      </c>
      <c r="G741" t="s">
        <v>623</v>
      </c>
      <c r="H741" s="1">
        <v>46016.413368055553</v>
      </c>
      <c r="I741" t="s">
        <v>633</v>
      </c>
      <c r="J741">
        <v>6.58</v>
      </c>
      <c r="K741">
        <v>0</v>
      </c>
    </row>
    <row r="742" spans="1:11" x14ac:dyDescent="0.3">
      <c r="A742">
        <v>741</v>
      </c>
      <c r="B742">
        <v>186</v>
      </c>
      <c r="C742">
        <v>5</v>
      </c>
      <c r="D742">
        <v>684</v>
      </c>
      <c r="E742" t="s">
        <v>651</v>
      </c>
      <c r="F742">
        <v>3.98</v>
      </c>
      <c r="G742" t="s">
        <v>623</v>
      </c>
      <c r="H742" s="1">
        <v>46016.426446759258</v>
      </c>
      <c r="I742" t="s">
        <v>633</v>
      </c>
      <c r="J742">
        <v>3.98</v>
      </c>
      <c r="K742">
        <v>0</v>
      </c>
    </row>
    <row r="743" spans="1:11" x14ac:dyDescent="0.3">
      <c r="A743">
        <v>742</v>
      </c>
      <c r="B743">
        <v>117</v>
      </c>
      <c r="C743">
        <v>5</v>
      </c>
      <c r="D743">
        <v>685</v>
      </c>
      <c r="E743" t="s">
        <v>651</v>
      </c>
      <c r="F743">
        <v>9.5</v>
      </c>
      <c r="G743" t="s">
        <v>623</v>
      </c>
      <c r="H743" s="1">
        <v>46016.458113425928</v>
      </c>
      <c r="I743" t="s">
        <v>633</v>
      </c>
      <c r="J743">
        <v>9.5</v>
      </c>
      <c r="K743">
        <v>0</v>
      </c>
    </row>
    <row r="744" spans="1:11" x14ac:dyDescent="0.3">
      <c r="A744">
        <v>743</v>
      </c>
      <c r="B744">
        <v>29</v>
      </c>
      <c r="C744">
        <v>4</v>
      </c>
      <c r="D744">
        <v>686</v>
      </c>
      <c r="E744" t="s">
        <v>651</v>
      </c>
      <c r="F744">
        <v>3.62</v>
      </c>
      <c r="G744" t="s">
        <v>623</v>
      </c>
      <c r="H744" s="1">
        <v>46016.458831018521</v>
      </c>
      <c r="I744" t="s">
        <v>633</v>
      </c>
      <c r="J744">
        <v>3.62</v>
      </c>
      <c r="K744">
        <v>0</v>
      </c>
    </row>
    <row r="745" spans="1:11" x14ac:dyDescent="0.3">
      <c r="A745">
        <v>744</v>
      </c>
      <c r="B745">
        <v>277</v>
      </c>
      <c r="C745">
        <v>4</v>
      </c>
      <c r="D745">
        <v>687</v>
      </c>
      <c r="E745" t="s">
        <v>651</v>
      </c>
      <c r="F745">
        <v>9.0299999999999994</v>
      </c>
      <c r="G745" t="s">
        <v>623</v>
      </c>
      <c r="H745" s="1">
        <v>46016.58871527778</v>
      </c>
      <c r="I745" t="s">
        <v>633</v>
      </c>
      <c r="J745">
        <v>9.0299999999999994</v>
      </c>
      <c r="K745">
        <v>0</v>
      </c>
    </row>
    <row r="746" spans="1:11" x14ac:dyDescent="0.3">
      <c r="A746">
        <v>745</v>
      </c>
      <c r="B746">
        <v>35</v>
      </c>
      <c r="C746">
        <v>2</v>
      </c>
      <c r="D746">
        <v>688</v>
      </c>
      <c r="E746" t="s">
        <v>651</v>
      </c>
      <c r="F746">
        <v>2.7</v>
      </c>
      <c r="G746" t="s">
        <v>623</v>
      </c>
      <c r="H746" s="1">
        <v>46016.770798611113</v>
      </c>
      <c r="I746" t="s">
        <v>633</v>
      </c>
      <c r="J746">
        <v>2.7</v>
      </c>
      <c r="K746">
        <v>0</v>
      </c>
    </row>
    <row r="747" spans="1:11" x14ac:dyDescent="0.3">
      <c r="A747">
        <v>746</v>
      </c>
      <c r="B747">
        <v>39</v>
      </c>
      <c r="C747">
        <v>4</v>
      </c>
      <c r="D747">
        <v>689</v>
      </c>
      <c r="E747" t="s">
        <v>651</v>
      </c>
      <c r="F747">
        <v>19.510000000000002</v>
      </c>
      <c r="G747" t="s">
        <v>623</v>
      </c>
      <c r="H747" s="1">
        <v>46016.816874999997</v>
      </c>
      <c r="I747" t="s">
        <v>633</v>
      </c>
      <c r="J747">
        <v>19.510000000000002</v>
      </c>
      <c r="K747">
        <v>0</v>
      </c>
    </row>
    <row r="748" spans="1:11" x14ac:dyDescent="0.3">
      <c r="A748">
        <v>747</v>
      </c>
      <c r="B748">
        <v>61</v>
      </c>
      <c r="C748">
        <v>3</v>
      </c>
      <c r="D748">
        <v>690</v>
      </c>
      <c r="E748" t="s">
        <v>651</v>
      </c>
      <c r="F748">
        <v>14.88</v>
      </c>
      <c r="G748" t="s">
        <v>623</v>
      </c>
      <c r="H748" s="1">
        <v>46017.324155092596</v>
      </c>
      <c r="I748" t="s">
        <v>633</v>
      </c>
      <c r="J748">
        <v>14.88</v>
      </c>
      <c r="K748">
        <v>0</v>
      </c>
    </row>
    <row r="749" spans="1:11" x14ac:dyDescent="0.3">
      <c r="A749">
        <v>748</v>
      </c>
      <c r="B749">
        <v>65</v>
      </c>
      <c r="C749">
        <v>5</v>
      </c>
      <c r="D749">
        <v>691</v>
      </c>
      <c r="E749" t="s">
        <v>651</v>
      </c>
      <c r="F749">
        <v>4.05</v>
      </c>
      <c r="G749" t="s">
        <v>623</v>
      </c>
      <c r="H749" s="1">
        <v>46017.33525462963</v>
      </c>
      <c r="I749" t="s">
        <v>633</v>
      </c>
      <c r="J749">
        <v>4.05</v>
      </c>
      <c r="K749">
        <v>0</v>
      </c>
    </row>
    <row r="750" spans="1:11" x14ac:dyDescent="0.3">
      <c r="A750">
        <v>749</v>
      </c>
      <c r="B750">
        <v>240</v>
      </c>
      <c r="C750">
        <v>2</v>
      </c>
      <c r="D750">
        <v>692</v>
      </c>
      <c r="E750" t="s">
        <v>651</v>
      </c>
      <c r="F750">
        <v>15.91</v>
      </c>
      <c r="G750" t="s">
        <v>623</v>
      </c>
      <c r="H750" s="1">
        <v>46017.41505787037</v>
      </c>
      <c r="I750" t="s">
        <v>633</v>
      </c>
      <c r="J750">
        <v>15.91</v>
      </c>
      <c r="K750">
        <v>0</v>
      </c>
    </row>
    <row r="751" spans="1:11" x14ac:dyDescent="0.3">
      <c r="A751">
        <v>750</v>
      </c>
      <c r="B751">
        <v>61</v>
      </c>
      <c r="C751">
        <v>3</v>
      </c>
      <c r="D751">
        <v>693</v>
      </c>
      <c r="E751" t="s">
        <v>651</v>
      </c>
      <c r="F751">
        <v>3.06</v>
      </c>
      <c r="G751" t="s">
        <v>623</v>
      </c>
      <c r="H751" s="1">
        <v>46017.495081018518</v>
      </c>
      <c r="I751" t="s">
        <v>633</v>
      </c>
      <c r="J751">
        <v>3.06</v>
      </c>
      <c r="K751">
        <v>0</v>
      </c>
    </row>
    <row r="752" spans="1:11" x14ac:dyDescent="0.3">
      <c r="A752">
        <v>751</v>
      </c>
      <c r="B752">
        <v>137</v>
      </c>
      <c r="C752">
        <v>3</v>
      </c>
      <c r="D752">
        <v>694</v>
      </c>
      <c r="E752" t="s">
        <v>651</v>
      </c>
      <c r="F752">
        <v>2.96</v>
      </c>
      <c r="G752" t="s">
        <v>623</v>
      </c>
      <c r="H752" s="1">
        <v>46017.524872685186</v>
      </c>
      <c r="I752" t="s">
        <v>633</v>
      </c>
      <c r="J752">
        <v>2.96</v>
      </c>
      <c r="K752">
        <v>0</v>
      </c>
    </row>
    <row r="753" spans="1:11" x14ac:dyDescent="0.3">
      <c r="A753">
        <v>752</v>
      </c>
      <c r="B753">
        <v>61</v>
      </c>
      <c r="C753">
        <v>1</v>
      </c>
      <c r="E753" t="s">
        <v>649</v>
      </c>
      <c r="F753">
        <v>35.58</v>
      </c>
      <c r="G753" t="s">
        <v>660</v>
      </c>
      <c r="H753" s="1">
        <v>46017.555497685185</v>
      </c>
      <c r="I753" t="s">
        <v>633</v>
      </c>
      <c r="J753">
        <v>0</v>
      </c>
      <c r="K753">
        <v>0</v>
      </c>
    </row>
    <row r="754" spans="1:11" x14ac:dyDescent="0.3">
      <c r="A754">
        <v>753</v>
      </c>
      <c r="B754">
        <v>32</v>
      </c>
      <c r="C754">
        <v>3</v>
      </c>
      <c r="D754">
        <v>695</v>
      </c>
      <c r="E754" t="s">
        <v>651</v>
      </c>
      <c r="F754">
        <v>1.93</v>
      </c>
      <c r="G754" t="s">
        <v>623</v>
      </c>
      <c r="H754" s="1">
        <v>46017.624664351853</v>
      </c>
      <c r="I754" t="s">
        <v>633</v>
      </c>
      <c r="J754">
        <v>1.93</v>
      </c>
      <c r="K754">
        <v>0</v>
      </c>
    </row>
    <row r="755" spans="1:11" x14ac:dyDescent="0.3">
      <c r="A755">
        <v>754</v>
      </c>
      <c r="B755">
        <v>253</v>
      </c>
      <c r="C755">
        <v>5</v>
      </c>
      <c r="D755">
        <v>696</v>
      </c>
      <c r="E755" t="s">
        <v>651</v>
      </c>
      <c r="F755">
        <v>5.14</v>
      </c>
      <c r="G755" t="s">
        <v>623</v>
      </c>
      <c r="H755" s="1">
        <v>46017.735601851855</v>
      </c>
      <c r="I755" t="s">
        <v>633</v>
      </c>
      <c r="J755">
        <v>5.14</v>
      </c>
      <c r="K755">
        <v>0</v>
      </c>
    </row>
    <row r="756" spans="1:11" x14ac:dyDescent="0.3">
      <c r="A756">
        <v>755</v>
      </c>
      <c r="B756">
        <v>43</v>
      </c>
      <c r="C756">
        <v>2</v>
      </c>
      <c r="D756">
        <v>697</v>
      </c>
      <c r="E756" t="s">
        <v>651</v>
      </c>
      <c r="F756">
        <v>7.96</v>
      </c>
      <c r="G756" t="s">
        <v>623</v>
      </c>
      <c r="H756" s="1">
        <v>46017.751261574071</v>
      </c>
      <c r="I756" t="s">
        <v>633</v>
      </c>
      <c r="J756">
        <v>7.96</v>
      </c>
      <c r="K756">
        <v>0</v>
      </c>
    </row>
    <row r="757" spans="1:11" x14ac:dyDescent="0.3">
      <c r="A757">
        <v>756</v>
      </c>
      <c r="B757">
        <v>11</v>
      </c>
      <c r="C757">
        <v>4</v>
      </c>
      <c r="D757">
        <v>698</v>
      </c>
      <c r="E757" t="s">
        <v>651</v>
      </c>
      <c r="F757">
        <v>25.48</v>
      </c>
      <c r="G757" t="s">
        <v>623</v>
      </c>
      <c r="H757" s="1">
        <v>46017.761944444443</v>
      </c>
      <c r="I757" t="s">
        <v>633</v>
      </c>
      <c r="J757">
        <v>25.48</v>
      </c>
      <c r="K757">
        <v>0</v>
      </c>
    </row>
    <row r="758" spans="1:11" x14ac:dyDescent="0.3">
      <c r="A758">
        <v>757</v>
      </c>
      <c r="B758">
        <v>52</v>
      </c>
      <c r="C758">
        <v>1</v>
      </c>
      <c r="E758" t="s">
        <v>649</v>
      </c>
      <c r="F758">
        <v>29.2</v>
      </c>
      <c r="G758" t="s">
        <v>653</v>
      </c>
      <c r="H758" s="1">
        <v>46017.824664351851</v>
      </c>
      <c r="I758" t="s">
        <v>633</v>
      </c>
      <c r="J758">
        <v>0</v>
      </c>
      <c r="K758">
        <v>0</v>
      </c>
    </row>
    <row r="759" spans="1:11" x14ac:dyDescent="0.3">
      <c r="A759">
        <v>758</v>
      </c>
      <c r="B759">
        <v>221</v>
      </c>
      <c r="C759">
        <v>4</v>
      </c>
      <c r="D759">
        <v>699</v>
      </c>
      <c r="E759" t="s">
        <v>651</v>
      </c>
      <c r="F759">
        <v>23.18</v>
      </c>
      <c r="G759" t="s">
        <v>623</v>
      </c>
      <c r="H759" s="1">
        <v>46018.365937499999</v>
      </c>
      <c r="I759" t="s">
        <v>633</v>
      </c>
      <c r="J759">
        <v>23.18</v>
      </c>
      <c r="K759">
        <v>0</v>
      </c>
    </row>
    <row r="760" spans="1:11" x14ac:dyDescent="0.3">
      <c r="A760">
        <v>759</v>
      </c>
      <c r="B760">
        <v>39</v>
      </c>
      <c r="C760">
        <v>2</v>
      </c>
      <c r="D760">
        <v>700</v>
      </c>
      <c r="E760" t="s">
        <v>657</v>
      </c>
      <c r="F760">
        <v>103.91</v>
      </c>
      <c r="G760" t="s">
        <v>623</v>
      </c>
      <c r="H760" s="1">
        <v>46018.393692129626</v>
      </c>
      <c r="I760" t="s">
        <v>633</v>
      </c>
      <c r="J760">
        <v>0</v>
      </c>
      <c r="K760">
        <v>103.91</v>
      </c>
    </row>
    <row r="761" spans="1:11" x14ac:dyDescent="0.3">
      <c r="A761">
        <v>760</v>
      </c>
      <c r="B761">
        <v>57</v>
      </c>
      <c r="C761">
        <v>5</v>
      </c>
      <c r="D761">
        <v>701</v>
      </c>
      <c r="E761" t="s">
        <v>651</v>
      </c>
      <c r="F761">
        <v>6.69</v>
      </c>
      <c r="G761" t="s">
        <v>623</v>
      </c>
      <c r="H761" s="1">
        <v>46018.415810185186</v>
      </c>
      <c r="I761" t="s">
        <v>633</v>
      </c>
      <c r="J761">
        <v>6.69</v>
      </c>
      <c r="K761">
        <v>0</v>
      </c>
    </row>
    <row r="762" spans="1:11" x14ac:dyDescent="0.3">
      <c r="A762">
        <v>761</v>
      </c>
      <c r="B762">
        <v>209</v>
      </c>
      <c r="C762">
        <v>5</v>
      </c>
      <c r="D762">
        <v>702</v>
      </c>
      <c r="E762" t="s">
        <v>651</v>
      </c>
      <c r="F762">
        <v>17.03</v>
      </c>
      <c r="G762" t="s">
        <v>623</v>
      </c>
      <c r="H762" s="1">
        <v>46018.451226851852</v>
      </c>
      <c r="I762" t="s">
        <v>633</v>
      </c>
      <c r="J762">
        <v>17.03</v>
      </c>
      <c r="K762">
        <v>0</v>
      </c>
    </row>
    <row r="763" spans="1:11" x14ac:dyDescent="0.3">
      <c r="A763">
        <v>762</v>
      </c>
      <c r="B763">
        <v>203</v>
      </c>
      <c r="C763">
        <v>2</v>
      </c>
      <c r="D763">
        <v>703</v>
      </c>
      <c r="E763" t="s">
        <v>651</v>
      </c>
      <c r="F763">
        <v>22.39</v>
      </c>
      <c r="G763" t="s">
        <v>623</v>
      </c>
      <c r="H763" s="1">
        <v>46018.489490740743</v>
      </c>
      <c r="I763" t="s">
        <v>633</v>
      </c>
      <c r="J763">
        <v>22.39</v>
      </c>
      <c r="K763">
        <v>0</v>
      </c>
    </row>
    <row r="764" spans="1:11" x14ac:dyDescent="0.3">
      <c r="A764">
        <v>763</v>
      </c>
      <c r="B764">
        <v>49</v>
      </c>
      <c r="C764">
        <v>5</v>
      </c>
      <c r="D764">
        <v>704</v>
      </c>
      <c r="E764" t="s">
        <v>651</v>
      </c>
      <c r="F764">
        <v>10.51</v>
      </c>
      <c r="G764" t="s">
        <v>623</v>
      </c>
      <c r="H764" s="1">
        <v>46018.492002314815</v>
      </c>
      <c r="I764" t="s">
        <v>633</v>
      </c>
      <c r="J764">
        <v>10.51</v>
      </c>
      <c r="K764">
        <v>0</v>
      </c>
    </row>
    <row r="765" spans="1:11" x14ac:dyDescent="0.3">
      <c r="A765">
        <v>764</v>
      </c>
      <c r="B765">
        <v>44</v>
      </c>
      <c r="C765">
        <v>2</v>
      </c>
      <c r="D765">
        <v>705</v>
      </c>
      <c r="E765" t="s">
        <v>651</v>
      </c>
      <c r="F765">
        <v>3.41</v>
      </c>
      <c r="G765" t="s">
        <v>623</v>
      </c>
      <c r="H765" s="1">
        <v>46018.628449074073</v>
      </c>
      <c r="I765" t="s">
        <v>633</v>
      </c>
      <c r="J765">
        <v>3.41</v>
      </c>
      <c r="K765">
        <v>0</v>
      </c>
    </row>
    <row r="766" spans="1:11" x14ac:dyDescent="0.3">
      <c r="A766">
        <v>765</v>
      </c>
      <c r="B766">
        <v>137</v>
      </c>
      <c r="C766">
        <v>5</v>
      </c>
      <c r="D766">
        <v>706</v>
      </c>
      <c r="E766" t="s">
        <v>657</v>
      </c>
      <c r="F766">
        <v>35.46</v>
      </c>
      <c r="G766" t="s">
        <v>623</v>
      </c>
      <c r="H766" s="1">
        <v>46018.632002314815</v>
      </c>
      <c r="I766" t="s">
        <v>633</v>
      </c>
      <c r="J766">
        <v>0</v>
      </c>
      <c r="K766">
        <v>35.46</v>
      </c>
    </row>
    <row r="767" spans="1:11" x14ac:dyDescent="0.3">
      <c r="A767">
        <v>766</v>
      </c>
      <c r="B767">
        <v>80</v>
      </c>
      <c r="C767">
        <v>5</v>
      </c>
      <c r="D767">
        <v>707</v>
      </c>
      <c r="E767" t="s">
        <v>651</v>
      </c>
      <c r="F767">
        <v>3.45</v>
      </c>
      <c r="G767" t="s">
        <v>623</v>
      </c>
      <c r="H767" s="1">
        <v>46018.685393518521</v>
      </c>
      <c r="I767" t="s">
        <v>633</v>
      </c>
      <c r="J767">
        <v>3.45</v>
      </c>
      <c r="K767">
        <v>0</v>
      </c>
    </row>
    <row r="768" spans="1:11" x14ac:dyDescent="0.3">
      <c r="A768">
        <v>767</v>
      </c>
      <c r="B768">
        <v>152</v>
      </c>
      <c r="C768">
        <v>1</v>
      </c>
      <c r="E768" t="s">
        <v>649</v>
      </c>
      <c r="F768">
        <v>37.83</v>
      </c>
      <c r="G768" t="s">
        <v>652</v>
      </c>
      <c r="H768" s="1">
        <v>46019.000439814816</v>
      </c>
      <c r="I768" t="s">
        <v>633</v>
      </c>
      <c r="J768">
        <v>0</v>
      </c>
      <c r="K768">
        <v>0</v>
      </c>
    </row>
    <row r="769" spans="1:11" x14ac:dyDescent="0.3">
      <c r="A769">
        <v>768</v>
      </c>
      <c r="B769">
        <v>117</v>
      </c>
      <c r="C769">
        <v>4</v>
      </c>
      <c r="D769">
        <v>708</v>
      </c>
      <c r="E769" t="s">
        <v>651</v>
      </c>
      <c r="F769">
        <v>16.48</v>
      </c>
      <c r="G769" t="s">
        <v>623</v>
      </c>
      <c r="H769" s="1">
        <v>46019.364884259259</v>
      </c>
      <c r="I769" t="s">
        <v>633</v>
      </c>
      <c r="J769">
        <v>16.48</v>
      </c>
      <c r="K769">
        <v>0</v>
      </c>
    </row>
    <row r="770" spans="1:11" x14ac:dyDescent="0.3">
      <c r="A770">
        <v>769</v>
      </c>
      <c r="B770">
        <v>24</v>
      </c>
      <c r="C770">
        <v>3</v>
      </c>
      <c r="D770">
        <v>709</v>
      </c>
      <c r="E770" t="s">
        <v>651</v>
      </c>
      <c r="F770">
        <v>24.24</v>
      </c>
      <c r="G770" t="s">
        <v>623</v>
      </c>
      <c r="H770" s="1">
        <v>46019.368819444448</v>
      </c>
      <c r="I770" t="s">
        <v>633</v>
      </c>
      <c r="J770">
        <v>24.24</v>
      </c>
      <c r="K770">
        <v>0</v>
      </c>
    </row>
    <row r="771" spans="1:11" x14ac:dyDescent="0.3">
      <c r="A771">
        <v>770</v>
      </c>
      <c r="B771">
        <v>19</v>
      </c>
      <c r="C771">
        <v>4</v>
      </c>
      <c r="D771">
        <v>710</v>
      </c>
      <c r="E771" t="s">
        <v>651</v>
      </c>
      <c r="F771">
        <v>3.63</v>
      </c>
      <c r="G771" t="s">
        <v>623</v>
      </c>
      <c r="H771" s="1">
        <v>46019.515787037039</v>
      </c>
      <c r="I771" t="s">
        <v>633</v>
      </c>
      <c r="J771">
        <v>3.63</v>
      </c>
      <c r="K771">
        <v>0</v>
      </c>
    </row>
    <row r="772" spans="1:11" x14ac:dyDescent="0.3">
      <c r="A772">
        <v>771</v>
      </c>
      <c r="B772">
        <v>152</v>
      </c>
      <c r="C772">
        <v>2</v>
      </c>
      <c r="D772">
        <v>711</v>
      </c>
      <c r="E772" t="s">
        <v>651</v>
      </c>
      <c r="F772">
        <v>12.27</v>
      </c>
      <c r="G772" t="s">
        <v>623</v>
      </c>
      <c r="H772" s="1">
        <v>46019.604178240741</v>
      </c>
      <c r="I772" t="s">
        <v>633</v>
      </c>
      <c r="J772">
        <v>12.27</v>
      </c>
      <c r="K772">
        <v>0</v>
      </c>
    </row>
    <row r="773" spans="1:11" x14ac:dyDescent="0.3">
      <c r="A773">
        <v>772</v>
      </c>
      <c r="B773">
        <v>27</v>
      </c>
      <c r="C773">
        <v>2</v>
      </c>
      <c r="D773">
        <v>712</v>
      </c>
      <c r="E773" t="s">
        <v>651</v>
      </c>
      <c r="F773">
        <v>12.31</v>
      </c>
      <c r="G773" t="s">
        <v>623</v>
      </c>
      <c r="H773" s="1">
        <v>46019.630925925929</v>
      </c>
      <c r="I773" t="s">
        <v>633</v>
      </c>
      <c r="J773">
        <v>12.31</v>
      </c>
      <c r="K773">
        <v>0</v>
      </c>
    </row>
    <row r="774" spans="1:11" x14ac:dyDescent="0.3">
      <c r="A774">
        <v>773</v>
      </c>
      <c r="B774">
        <v>163</v>
      </c>
      <c r="C774">
        <v>5</v>
      </c>
      <c r="D774">
        <v>713</v>
      </c>
      <c r="E774" t="s">
        <v>651</v>
      </c>
      <c r="F774">
        <v>4.68</v>
      </c>
      <c r="G774" t="s">
        <v>623</v>
      </c>
      <c r="H774" s="1">
        <v>46020.339432870373</v>
      </c>
      <c r="I774" t="s">
        <v>633</v>
      </c>
      <c r="J774">
        <v>4.68</v>
      </c>
      <c r="K774">
        <v>0</v>
      </c>
    </row>
    <row r="775" spans="1:11" x14ac:dyDescent="0.3">
      <c r="A775">
        <v>774</v>
      </c>
      <c r="B775">
        <v>106</v>
      </c>
      <c r="C775">
        <v>4</v>
      </c>
      <c r="D775">
        <v>714</v>
      </c>
      <c r="E775" t="s">
        <v>651</v>
      </c>
      <c r="F775">
        <v>13.25</v>
      </c>
      <c r="G775" t="s">
        <v>623</v>
      </c>
      <c r="H775" s="1">
        <v>46020.366076388891</v>
      </c>
      <c r="I775" t="s">
        <v>633</v>
      </c>
      <c r="J775">
        <v>13.25</v>
      </c>
      <c r="K775">
        <v>0</v>
      </c>
    </row>
    <row r="776" spans="1:11" x14ac:dyDescent="0.3">
      <c r="A776">
        <v>775</v>
      </c>
      <c r="B776">
        <v>44</v>
      </c>
      <c r="C776">
        <v>4</v>
      </c>
      <c r="D776">
        <v>715</v>
      </c>
      <c r="E776" t="s">
        <v>651</v>
      </c>
      <c r="F776">
        <v>3.75</v>
      </c>
      <c r="G776" t="s">
        <v>623</v>
      </c>
      <c r="H776" s="1">
        <v>46020.376655092594</v>
      </c>
      <c r="I776" t="s">
        <v>633</v>
      </c>
      <c r="J776">
        <v>3.75</v>
      </c>
      <c r="K776">
        <v>0</v>
      </c>
    </row>
    <row r="777" spans="1:11" x14ac:dyDescent="0.3">
      <c r="A777">
        <v>776</v>
      </c>
      <c r="B777">
        <v>25</v>
      </c>
      <c r="C777">
        <v>5</v>
      </c>
      <c r="D777">
        <v>716</v>
      </c>
      <c r="E777" t="s">
        <v>657</v>
      </c>
      <c r="F777">
        <v>68.11</v>
      </c>
      <c r="G777" t="s">
        <v>623</v>
      </c>
      <c r="H777" s="1">
        <v>46020.387557870374</v>
      </c>
      <c r="I777" t="s">
        <v>633</v>
      </c>
      <c r="J777">
        <v>0</v>
      </c>
      <c r="K777">
        <v>68.11</v>
      </c>
    </row>
    <row r="778" spans="1:11" x14ac:dyDescent="0.3">
      <c r="A778">
        <v>777</v>
      </c>
      <c r="B778">
        <v>39</v>
      </c>
      <c r="C778">
        <v>4</v>
      </c>
      <c r="D778">
        <v>717</v>
      </c>
      <c r="E778" t="s">
        <v>651</v>
      </c>
      <c r="F778">
        <v>17.809999999999999</v>
      </c>
      <c r="G778" t="s">
        <v>623</v>
      </c>
      <c r="H778" s="1">
        <v>46020.420104166667</v>
      </c>
      <c r="I778" t="s">
        <v>633</v>
      </c>
      <c r="J778">
        <v>17.809999999999999</v>
      </c>
      <c r="K778">
        <v>0</v>
      </c>
    </row>
    <row r="779" spans="1:11" x14ac:dyDescent="0.3">
      <c r="A779">
        <v>778</v>
      </c>
      <c r="B779">
        <v>135</v>
      </c>
      <c r="C779">
        <v>2</v>
      </c>
      <c r="D779">
        <v>718</v>
      </c>
      <c r="E779" t="s">
        <v>651</v>
      </c>
      <c r="F779">
        <v>30</v>
      </c>
      <c r="G779" t="s">
        <v>623</v>
      </c>
      <c r="H779" s="1">
        <v>46020.420983796299</v>
      </c>
      <c r="I779" t="s">
        <v>633</v>
      </c>
      <c r="J779">
        <v>30</v>
      </c>
      <c r="K779">
        <v>0</v>
      </c>
    </row>
    <row r="780" spans="1:11" x14ac:dyDescent="0.3">
      <c r="A780">
        <v>779</v>
      </c>
      <c r="B780">
        <v>135</v>
      </c>
      <c r="C780">
        <v>3</v>
      </c>
      <c r="D780">
        <v>719</v>
      </c>
      <c r="E780" t="s">
        <v>651</v>
      </c>
      <c r="F780">
        <v>25.82</v>
      </c>
      <c r="G780" t="s">
        <v>623</v>
      </c>
      <c r="H780" s="1">
        <v>46020.454027777778</v>
      </c>
      <c r="I780" t="s">
        <v>633</v>
      </c>
      <c r="J780">
        <v>25.82</v>
      </c>
      <c r="K780">
        <v>0</v>
      </c>
    </row>
    <row r="781" spans="1:11" x14ac:dyDescent="0.3">
      <c r="A781">
        <v>780</v>
      </c>
      <c r="B781">
        <v>126</v>
      </c>
      <c r="C781">
        <v>3</v>
      </c>
      <c r="D781">
        <v>720</v>
      </c>
      <c r="E781" t="s">
        <v>651</v>
      </c>
      <c r="F781">
        <v>9.67</v>
      </c>
      <c r="G781" t="s">
        <v>623</v>
      </c>
      <c r="H781" s="1">
        <v>46020.494525462964</v>
      </c>
      <c r="I781" t="s">
        <v>633</v>
      </c>
      <c r="J781">
        <v>9.67</v>
      </c>
      <c r="K781">
        <v>0</v>
      </c>
    </row>
    <row r="782" spans="1:11" x14ac:dyDescent="0.3">
      <c r="A782">
        <v>781</v>
      </c>
      <c r="B782">
        <v>201</v>
      </c>
      <c r="C782">
        <v>4</v>
      </c>
      <c r="D782">
        <v>721</v>
      </c>
      <c r="E782" t="s">
        <v>651</v>
      </c>
      <c r="F782">
        <v>2.39</v>
      </c>
      <c r="G782" t="s">
        <v>623</v>
      </c>
      <c r="H782" s="1">
        <v>46020.593356481484</v>
      </c>
      <c r="I782" t="s">
        <v>633</v>
      </c>
      <c r="J782">
        <v>2.39</v>
      </c>
      <c r="K782">
        <v>0</v>
      </c>
    </row>
    <row r="783" spans="1:11" x14ac:dyDescent="0.3">
      <c r="A783">
        <v>782</v>
      </c>
      <c r="B783">
        <v>106</v>
      </c>
      <c r="C783">
        <v>5</v>
      </c>
      <c r="D783">
        <v>722</v>
      </c>
      <c r="E783" t="s">
        <v>657</v>
      </c>
      <c r="F783">
        <v>126.25</v>
      </c>
      <c r="G783" t="s">
        <v>623</v>
      </c>
      <c r="H783" s="1">
        <v>46020.608194444445</v>
      </c>
      <c r="I783" t="s">
        <v>633</v>
      </c>
      <c r="J783">
        <v>0</v>
      </c>
      <c r="K783">
        <v>126.25</v>
      </c>
    </row>
    <row r="784" spans="1:11" x14ac:dyDescent="0.3">
      <c r="A784">
        <v>783</v>
      </c>
      <c r="B784">
        <v>56</v>
      </c>
      <c r="C784">
        <v>2</v>
      </c>
      <c r="D784">
        <v>723</v>
      </c>
      <c r="E784" t="s">
        <v>651</v>
      </c>
      <c r="F784">
        <v>6.39</v>
      </c>
      <c r="G784" t="s">
        <v>623</v>
      </c>
      <c r="H784" s="1">
        <v>46020.622997685183</v>
      </c>
      <c r="I784" t="s">
        <v>633</v>
      </c>
      <c r="J784">
        <v>6.39</v>
      </c>
      <c r="K784">
        <v>0</v>
      </c>
    </row>
    <row r="785" spans="1:11" x14ac:dyDescent="0.3">
      <c r="A785">
        <v>784</v>
      </c>
      <c r="B785">
        <v>16</v>
      </c>
      <c r="C785">
        <v>4</v>
      </c>
      <c r="D785">
        <v>724</v>
      </c>
      <c r="E785" t="s">
        <v>651</v>
      </c>
      <c r="F785">
        <v>15.97</v>
      </c>
      <c r="G785" t="s">
        <v>623</v>
      </c>
      <c r="H785" s="1">
        <v>46020.628113425926</v>
      </c>
      <c r="I785" t="s">
        <v>633</v>
      </c>
      <c r="J785">
        <v>15.97</v>
      </c>
      <c r="K785">
        <v>0</v>
      </c>
    </row>
    <row r="786" spans="1:11" x14ac:dyDescent="0.3">
      <c r="A786">
        <v>785</v>
      </c>
      <c r="B786">
        <v>189</v>
      </c>
      <c r="C786">
        <v>4</v>
      </c>
      <c r="D786">
        <v>725</v>
      </c>
      <c r="E786" t="s">
        <v>651</v>
      </c>
      <c r="F786">
        <v>6.38</v>
      </c>
      <c r="G786" t="s">
        <v>623</v>
      </c>
      <c r="H786" s="1">
        <v>46020.631805555553</v>
      </c>
      <c r="I786" t="s">
        <v>633</v>
      </c>
      <c r="J786">
        <v>6.38</v>
      </c>
      <c r="K786">
        <v>0</v>
      </c>
    </row>
    <row r="787" spans="1:11" x14ac:dyDescent="0.3">
      <c r="A787">
        <v>786</v>
      </c>
      <c r="B787">
        <v>20</v>
      </c>
      <c r="C787">
        <v>3</v>
      </c>
      <c r="D787">
        <v>726</v>
      </c>
      <c r="E787" t="s">
        <v>651</v>
      </c>
      <c r="F787">
        <v>1.97</v>
      </c>
      <c r="G787" t="s">
        <v>623</v>
      </c>
      <c r="H787" s="1">
        <v>46020.6409375</v>
      </c>
      <c r="I787" t="s">
        <v>633</v>
      </c>
      <c r="J787">
        <v>1.97</v>
      </c>
      <c r="K787">
        <v>0</v>
      </c>
    </row>
    <row r="788" spans="1:11" x14ac:dyDescent="0.3">
      <c r="A788">
        <v>787</v>
      </c>
      <c r="B788">
        <v>154</v>
      </c>
      <c r="C788">
        <v>4</v>
      </c>
      <c r="D788">
        <v>727</v>
      </c>
      <c r="E788" t="s">
        <v>651</v>
      </c>
      <c r="F788">
        <v>3.07</v>
      </c>
      <c r="G788" t="s">
        <v>623</v>
      </c>
      <c r="H788" s="1">
        <v>46020.647210648145</v>
      </c>
      <c r="I788" t="s">
        <v>633</v>
      </c>
      <c r="J788">
        <v>3.07</v>
      </c>
      <c r="K788">
        <v>0</v>
      </c>
    </row>
    <row r="789" spans="1:11" x14ac:dyDescent="0.3">
      <c r="A789">
        <v>788</v>
      </c>
      <c r="B789">
        <v>192</v>
      </c>
      <c r="C789">
        <v>1</v>
      </c>
      <c r="E789" t="s">
        <v>649</v>
      </c>
      <c r="F789">
        <v>29.16</v>
      </c>
      <c r="G789" t="s">
        <v>652</v>
      </c>
      <c r="H789" s="1">
        <v>46020.668773148151</v>
      </c>
      <c r="I789" t="s">
        <v>633</v>
      </c>
      <c r="J789">
        <v>0</v>
      </c>
      <c r="K789">
        <v>0</v>
      </c>
    </row>
    <row r="790" spans="1:11" x14ac:dyDescent="0.3">
      <c r="A790">
        <v>789</v>
      </c>
      <c r="B790">
        <v>283</v>
      </c>
      <c r="C790">
        <v>5</v>
      </c>
      <c r="D790">
        <v>728</v>
      </c>
      <c r="E790" t="s">
        <v>651</v>
      </c>
      <c r="F790">
        <v>3.16</v>
      </c>
      <c r="G790" t="s">
        <v>623</v>
      </c>
      <c r="H790" s="1">
        <v>46020.720543981479</v>
      </c>
      <c r="I790" t="s">
        <v>633</v>
      </c>
      <c r="J790">
        <v>3.16</v>
      </c>
      <c r="K790">
        <v>0</v>
      </c>
    </row>
    <row r="791" spans="1:11" x14ac:dyDescent="0.3">
      <c r="A791">
        <v>790</v>
      </c>
      <c r="B791">
        <v>84</v>
      </c>
      <c r="C791">
        <v>2</v>
      </c>
      <c r="D791">
        <v>729</v>
      </c>
      <c r="E791" t="s">
        <v>651</v>
      </c>
      <c r="F791">
        <v>10.89</v>
      </c>
      <c r="G791" t="s">
        <v>623</v>
      </c>
      <c r="H791" s="1">
        <v>46020.778715277775</v>
      </c>
      <c r="I791" t="s">
        <v>633</v>
      </c>
      <c r="J791">
        <v>10.89</v>
      </c>
      <c r="K791">
        <v>0</v>
      </c>
    </row>
    <row r="792" spans="1:11" x14ac:dyDescent="0.3">
      <c r="A792">
        <v>791</v>
      </c>
      <c r="B792">
        <v>297</v>
      </c>
      <c r="C792">
        <v>5</v>
      </c>
      <c r="D792">
        <v>730</v>
      </c>
      <c r="E792" t="s">
        <v>651</v>
      </c>
      <c r="F792">
        <v>4.1900000000000004</v>
      </c>
      <c r="G792" t="s">
        <v>623</v>
      </c>
      <c r="H792" s="1">
        <v>46021.351400462961</v>
      </c>
      <c r="I792" t="s">
        <v>633</v>
      </c>
      <c r="J792">
        <v>4.1900000000000004</v>
      </c>
      <c r="K792">
        <v>0</v>
      </c>
    </row>
    <row r="793" spans="1:11" x14ac:dyDescent="0.3">
      <c r="A793">
        <v>792</v>
      </c>
      <c r="B793">
        <v>137</v>
      </c>
      <c r="C793">
        <v>2</v>
      </c>
      <c r="D793">
        <v>731</v>
      </c>
      <c r="E793" t="s">
        <v>651</v>
      </c>
      <c r="F793">
        <v>5.75</v>
      </c>
      <c r="G793" t="s">
        <v>623</v>
      </c>
      <c r="H793" s="1">
        <v>46021.356319444443</v>
      </c>
      <c r="I793" t="s">
        <v>633</v>
      </c>
      <c r="J793">
        <v>5.75</v>
      </c>
      <c r="K793">
        <v>0</v>
      </c>
    </row>
    <row r="794" spans="1:11" x14ac:dyDescent="0.3">
      <c r="A794">
        <v>793</v>
      </c>
      <c r="B794">
        <v>137</v>
      </c>
      <c r="C794">
        <v>5</v>
      </c>
      <c r="D794">
        <v>732</v>
      </c>
      <c r="E794" t="s">
        <v>651</v>
      </c>
      <c r="F794">
        <v>3.2</v>
      </c>
      <c r="G794" t="s">
        <v>623</v>
      </c>
      <c r="H794" s="1">
        <v>46021.358993055554</v>
      </c>
      <c r="I794" t="s">
        <v>633</v>
      </c>
      <c r="J794">
        <v>3.2</v>
      </c>
      <c r="K794">
        <v>0</v>
      </c>
    </row>
    <row r="795" spans="1:11" x14ac:dyDescent="0.3">
      <c r="A795">
        <v>794</v>
      </c>
      <c r="B795">
        <v>27</v>
      </c>
      <c r="C795">
        <v>5</v>
      </c>
      <c r="D795">
        <v>733</v>
      </c>
      <c r="E795" t="s">
        <v>651</v>
      </c>
      <c r="F795">
        <v>7.1</v>
      </c>
      <c r="G795" t="s">
        <v>623</v>
      </c>
      <c r="H795" s="1">
        <v>46021.416284722225</v>
      </c>
      <c r="I795" t="s">
        <v>633</v>
      </c>
      <c r="J795">
        <v>7.1</v>
      </c>
      <c r="K795">
        <v>0</v>
      </c>
    </row>
    <row r="796" spans="1:11" x14ac:dyDescent="0.3">
      <c r="A796">
        <v>795</v>
      </c>
      <c r="B796">
        <v>106</v>
      </c>
      <c r="C796">
        <v>3</v>
      </c>
      <c r="D796">
        <v>734</v>
      </c>
      <c r="E796" t="s">
        <v>651</v>
      </c>
      <c r="F796">
        <v>8.7899999999999991</v>
      </c>
      <c r="G796" t="s">
        <v>623</v>
      </c>
      <c r="H796" s="1">
        <v>46021.458749999998</v>
      </c>
      <c r="I796" t="s">
        <v>633</v>
      </c>
      <c r="J796">
        <v>8.7899999999999991</v>
      </c>
      <c r="K796">
        <v>0</v>
      </c>
    </row>
    <row r="797" spans="1:11" x14ac:dyDescent="0.3">
      <c r="A797">
        <v>796</v>
      </c>
      <c r="B797">
        <v>35</v>
      </c>
      <c r="C797">
        <v>5</v>
      </c>
      <c r="D797">
        <v>735</v>
      </c>
      <c r="E797" t="s">
        <v>651</v>
      </c>
      <c r="F797">
        <v>2.76</v>
      </c>
      <c r="G797" t="s">
        <v>623</v>
      </c>
      <c r="H797" s="1">
        <v>46021.475138888891</v>
      </c>
      <c r="I797" t="s">
        <v>633</v>
      </c>
      <c r="J797">
        <v>2.76</v>
      </c>
      <c r="K797">
        <v>0</v>
      </c>
    </row>
    <row r="798" spans="1:11" x14ac:dyDescent="0.3">
      <c r="A798">
        <v>797</v>
      </c>
      <c r="B798">
        <v>70</v>
      </c>
      <c r="C798">
        <v>2</v>
      </c>
      <c r="D798">
        <v>736</v>
      </c>
      <c r="E798" t="s">
        <v>651</v>
      </c>
      <c r="F798">
        <v>16.309999999999999</v>
      </c>
      <c r="G798" t="s">
        <v>623</v>
      </c>
      <c r="H798" s="1">
        <v>46021.485902777778</v>
      </c>
      <c r="I798" t="s">
        <v>633</v>
      </c>
      <c r="J798">
        <v>16.309999999999999</v>
      </c>
      <c r="K798">
        <v>0</v>
      </c>
    </row>
    <row r="799" spans="1:11" x14ac:dyDescent="0.3">
      <c r="A799">
        <v>798</v>
      </c>
      <c r="B799">
        <v>245</v>
      </c>
      <c r="C799">
        <v>5</v>
      </c>
      <c r="D799">
        <v>737</v>
      </c>
      <c r="E799" t="s">
        <v>651</v>
      </c>
      <c r="F799">
        <v>3.83</v>
      </c>
      <c r="G799" t="s">
        <v>623</v>
      </c>
      <c r="H799" s="1">
        <v>46021.488576388889</v>
      </c>
      <c r="I799" t="s">
        <v>633</v>
      </c>
      <c r="J799">
        <v>3.83</v>
      </c>
      <c r="K799">
        <v>0</v>
      </c>
    </row>
    <row r="800" spans="1:11" x14ac:dyDescent="0.3">
      <c r="A800">
        <v>799</v>
      </c>
      <c r="B800">
        <v>138</v>
      </c>
      <c r="C800">
        <v>3</v>
      </c>
      <c r="D800">
        <v>738</v>
      </c>
      <c r="E800" t="s">
        <v>651</v>
      </c>
      <c r="F800">
        <v>1.38</v>
      </c>
      <c r="G800" t="s">
        <v>623</v>
      </c>
      <c r="H800" s="1">
        <v>46021.493449074071</v>
      </c>
      <c r="I800" t="s">
        <v>633</v>
      </c>
      <c r="J800">
        <v>1.38</v>
      </c>
      <c r="K800">
        <v>0</v>
      </c>
    </row>
    <row r="801" spans="1:11" x14ac:dyDescent="0.3">
      <c r="A801">
        <v>800</v>
      </c>
      <c r="B801">
        <v>178</v>
      </c>
      <c r="C801">
        <v>4</v>
      </c>
      <c r="D801">
        <v>739</v>
      </c>
      <c r="E801" t="s">
        <v>651</v>
      </c>
      <c r="F801">
        <v>11.62</v>
      </c>
      <c r="G801" t="s">
        <v>623</v>
      </c>
      <c r="H801" s="1">
        <v>46021.502187500002</v>
      </c>
      <c r="I801" t="s">
        <v>633</v>
      </c>
      <c r="J801">
        <v>11.62</v>
      </c>
      <c r="K801">
        <v>0</v>
      </c>
    </row>
    <row r="802" spans="1:11" x14ac:dyDescent="0.3">
      <c r="A802">
        <v>801</v>
      </c>
      <c r="B802">
        <v>87</v>
      </c>
      <c r="C802">
        <v>2</v>
      </c>
      <c r="D802">
        <v>740</v>
      </c>
      <c r="E802" t="s">
        <v>651</v>
      </c>
      <c r="F802">
        <v>8.18</v>
      </c>
      <c r="G802" t="s">
        <v>623</v>
      </c>
      <c r="H802" s="1">
        <v>46021.525925925926</v>
      </c>
      <c r="I802" t="s">
        <v>633</v>
      </c>
      <c r="J802">
        <v>8.18</v>
      </c>
      <c r="K802">
        <v>0</v>
      </c>
    </row>
    <row r="803" spans="1:11" x14ac:dyDescent="0.3">
      <c r="A803">
        <v>802</v>
      </c>
      <c r="B803">
        <v>84</v>
      </c>
      <c r="C803">
        <v>2</v>
      </c>
      <c r="D803">
        <v>741</v>
      </c>
      <c r="E803" t="s">
        <v>651</v>
      </c>
      <c r="F803">
        <v>7.23</v>
      </c>
      <c r="G803" t="s">
        <v>623</v>
      </c>
      <c r="H803" s="1">
        <v>46021.604502314818</v>
      </c>
      <c r="I803" t="s">
        <v>633</v>
      </c>
      <c r="J803">
        <v>7.23</v>
      </c>
      <c r="K803">
        <v>0</v>
      </c>
    </row>
    <row r="804" spans="1:11" x14ac:dyDescent="0.3">
      <c r="A804">
        <v>803</v>
      </c>
      <c r="B804">
        <v>56</v>
      </c>
      <c r="C804">
        <v>3</v>
      </c>
      <c r="D804">
        <v>723</v>
      </c>
      <c r="E804" t="s">
        <v>649</v>
      </c>
      <c r="F804">
        <v>-6.39</v>
      </c>
      <c r="G804" t="s">
        <v>679</v>
      </c>
      <c r="H804" s="1">
        <v>46022.081331018519</v>
      </c>
      <c r="I804" t="s">
        <v>633</v>
      </c>
      <c r="J804">
        <v>0</v>
      </c>
      <c r="K804">
        <v>0</v>
      </c>
    </row>
    <row r="805" spans="1:11" x14ac:dyDescent="0.3">
      <c r="A805">
        <v>804</v>
      </c>
      <c r="B805">
        <v>137</v>
      </c>
      <c r="C805">
        <v>3</v>
      </c>
      <c r="D805">
        <v>742</v>
      </c>
      <c r="E805" t="s">
        <v>651</v>
      </c>
      <c r="F805">
        <v>3.92</v>
      </c>
      <c r="G805" t="s">
        <v>623</v>
      </c>
      <c r="H805" s="1">
        <v>46022.328043981484</v>
      </c>
      <c r="I805" t="s">
        <v>633</v>
      </c>
      <c r="J805">
        <v>3.92</v>
      </c>
      <c r="K805">
        <v>0</v>
      </c>
    </row>
    <row r="806" spans="1:11" x14ac:dyDescent="0.3">
      <c r="A806">
        <v>805</v>
      </c>
      <c r="B806">
        <v>202</v>
      </c>
      <c r="C806">
        <v>2</v>
      </c>
      <c r="D806">
        <v>743</v>
      </c>
      <c r="E806" t="s">
        <v>651</v>
      </c>
      <c r="F806">
        <v>2.76</v>
      </c>
      <c r="G806" t="s">
        <v>623</v>
      </c>
      <c r="H806" s="1">
        <v>46022.401805555557</v>
      </c>
      <c r="I806" t="s">
        <v>633</v>
      </c>
      <c r="J806">
        <v>2.76</v>
      </c>
      <c r="K806">
        <v>0</v>
      </c>
    </row>
    <row r="807" spans="1:11" x14ac:dyDescent="0.3">
      <c r="A807">
        <v>806</v>
      </c>
      <c r="B807">
        <v>137</v>
      </c>
      <c r="C807">
        <v>2</v>
      </c>
      <c r="D807">
        <v>744</v>
      </c>
      <c r="E807" t="s">
        <v>651</v>
      </c>
      <c r="F807">
        <v>3.16</v>
      </c>
      <c r="G807" t="s">
        <v>623</v>
      </c>
      <c r="H807" s="1">
        <v>46022.442997685182</v>
      </c>
      <c r="I807" t="s">
        <v>633</v>
      </c>
      <c r="J807">
        <v>3.16</v>
      </c>
      <c r="K807">
        <v>0</v>
      </c>
    </row>
    <row r="808" spans="1:11" x14ac:dyDescent="0.3">
      <c r="A808">
        <v>807</v>
      </c>
      <c r="B808">
        <v>249</v>
      </c>
      <c r="C808">
        <v>5</v>
      </c>
      <c r="D808">
        <v>745</v>
      </c>
      <c r="E808" t="s">
        <v>651</v>
      </c>
      <c r="F808">
        <v>11.78</v>
      </c>
      <c r="G808" t="s">
        <v>623</v>
      </c>
      <c r="H808" s="1">
        <v>46022.55363425926</v>
      </c>
      <c r="I808" t="s">
        <v>633</v>
      </c>
      <c r="J808">
        <v>11.78</v>
      </c>
      <c r="K808">
        <v>0</v>
      </c>
    </row>
    <row r="809" spans="1:11" x14ac:dyDescent="0.3">
      <c r="A809">
        <v>808</v>
      </c>
      <c r="B809">
        <v>197</v>
      </c>
      <c r="C809">
        <v>4</v>
      </c>
      <c r="D809">
        <v>746</v>
      </c>
      <c r="E809" t="s">
        <v>651</v>
      </c>
      <c r="F809">
        <v>11.45</v>
      </c>
      <c r="G809" t="s">
        <v>623</v>
      </c>
      <c r="H809" s="1">
        <v>46022.577060185184</v>
      </c>
      <c r="I809" t="s">
        <v>633</v>
      </c>
      <c r="J809">
        <v>11.45</v>
      </c>
      <c r="K809">
        <v>0</v>
      </c>
    </row>
    <row r="810" spans="1:11" x14ac:dyDescent="0.3">
      <c r="A810">
        <v>809</v>
      </c>
      <c r="B810">
        <v>194</v>
      </c>
      <c r="C810">
        <v>5</v>
      </c>
      <c r="D810">
        <v>747</v>
      </c>
      <c r="E810" t="s">
        <v>651</v>
      </c>
      <c r="F810">
        <v>7.37</v>
      </c>
      <c r="G810" t="s">
        <v>623</v>
      </c>
      <c r="H810" s="1">
        <v>46022.58384259259</v>
      </c>
      <c r="I810" t="s">
        <v>633</v>
      </c>
      <c r="J810">
        <v>7.37</v>
      </c>
      <c r="K810">
        <v>0</v>
      </c>
    </row>
    <row r="811" spans="1:11" x14ac:dyDescent="0.3">
      <c r="A811">
        <v>810</v>
      </c>
      <c r="B811">
        <v>215</v>
      </c>
      <c r="C811">
        <v>2</v>
      </c>
      <c r="D811">
        <v>748</v>
      </c>
      <c r="E811" t="s">
        <v>651</v>
      </c>
      <c r="F811">
        <v>6.14</v>
      </c>
      <c r="G811" t="s">
        <v>623</v>
      </c>
      <c r="H811" s="1">
        <v>46022.599722222221</v>
      </c>
      <c r="I811" t="s">
        <v>633</v>
      </c>
      <c r="J811">
        <v>6.14</v>
      </c>
      <c r="K811">
        <v>0</v>
      </c>
    </row>
    <row r="812" spans="1:11" x14ac:dyDescent="0.3">
      <c r="A812">
        <v>811</v>
      </c>
      <c r="B812">
        <v>168</v>
      </c>
      <c r="C812">
        <v>2</v>
      </c>
      <c r="D812">
        <v>749</v>
      </c>
      <c r="E812" t="s">
        <v>651</v>
      </c>
      <c r="F812">
        <v>3.76</v>
      </c>
      <c r="G812" t="s">
        <v>623</v>
      </c>
      <c r="H812" s="1">
        <v>46022.66265046296</v>
      </c>
      <c r="I812" t="s">
        <v>633</v>
      </c>
      <c r="J812">
        <v>3.76</v>
      </c>
      <c r="K812">
        <v>0</v>
      </c>
    </row>
    <row r="813" spans="1:11" x14ac:dyDescent="0.3">
      <c r="A813">
        <v>812</v>
      </c>
      <c r="B813">
        <v>11</v>
      </c>
      <c r="C813">
        <v>3</v>
      </c>
      <c r="D813">
        <v>750</v>
      </c>
      <c r="E813" t="s">
        <v>651</v>
      </c>
      <c r="F813">
        <v>18.96</v>
      </c>
      <c r="G813" t="s">
        <v>623</v>
      </c>
      <c r="H813" s="1">
        <v>46022.68408564815</v>
      </c>
      <c r="I813" t="s">
        <v>633</v>
      </c>
      <c r="J813">
        <v>18.96</v>
      </c>
      <c r="K813">
        <v>0</v>
      </c>
    </row>
    <row r="814" spans="1:11" x14ac:dyDescent="0.3">
      <c r="A814">
        <v>813</v>
      </c>
      <c r="B814">
        <v>70</v>
      </c>
      <c r="C814">
        <v>3</v>
      </c>
      <c r="D814">
        <v>751</v>
      </c>
      <c r="E814" t="s">
        <v>651</v>
      </c>
      <c r="F814">
        <v>21.5</v>
      </c>
      <c r="G814" t="s">
        <v>623</v>
      </c>
      <c r="H814" s="1">
        <v>46023.330787037034</v>
      </c>
      <c r="I814" t="s">
        <v>634</v>
      </c>
      <c r="J814">
        <v>21.5</v>
      </c>
      <c r="K814">
        <v>0</v>
      </c>
    </row>
    <row r="815" spans="1:11" x14ac:dyDescent="0.3">
      <c r="A815">
        <v>814</v>
      </c>
      <c r="B815">
        <v>55</v>
      </c>
      <c r="C815">
        <v>2</v>
      </c>
      <c r="D815">
        <v>752</v>
      </c>
      <c r="E815" t="s">
        <v>651</v>
      </c>
      <c r="F815">
        <v>3.73</v>
      </c>
      <c r="G815" t="s">
        <v>623</v>
      </c>
      <c r="H815" s="1">
        <v>46023.351053240738</v>
      </c>
      <c r="I815" t="s">
        <v>634</v>
      </c>
      <c r="J815">
        <v>3.73</v>
      </c>
      <c r="K815">
        <v>0</v>
      </c>
    </row>
    <row r="816" spans="1:11" x14ac:dyDescent="0.3">
      <c r="A816">
        <v>815</v>
      </c>
      <c r="B816">
        <v>21</v>
      </c>
      <c r="C816">
        <v>2</v>
      </c>
      <c r="D816">
        <v>753</v>
      </c>
      <c r="E816" t="s">
        <v>651</v>
      </c>
      <c r="F816">
        <v>4.51</v>
      </c>
      <c r="G816" t="s">
        <v>623</v>
      </c>
      <c r="H816" s="1">
        <v>46023.404675925929</v>
      </c>
      <c r="I816" t="s">
        <v>634</v>
      </c>
      <c r="J816">
        <v>4.51</v>
      </c>
      <c r="K816">
        <v>0</v>
      </c>
    </row>
    <row r="817" spans="1:11" x14ac:dyDescent="0.3">
      <c r="A817">
        <v>816</v>
      </c>
      <c r="B817">
        <v>136</v>
      </c>
      <c r="C817">
        <v>5</v>
      </c>
      <c r="D817">
        <v>754</v>
      </c>
      <c r="E817" t="s">
        <v>651</v>
      </c>
      <c r="F817">
        <v>6.7</v>
      </c>
      <c r="G817" t="s">
        <v>623</v>
      </c>
      <c r="H817" s="1">
        <v>46023.435370370367</v>
      </c>
      <c r="I817" t="s">
        <v>634</v>
      </c>
      <c r="J817">
        <v>6.7</v>
      </c>
      <c r="K817">
        <v>0</v>
      </c>
    </row>
    <row r="818" spans="1:11" x14ac:dyDescent="0.3">
      <c r="A818">
        <v>817</v>
      </c>
      <c r="B818">
        <v>61</v>
      </c>
      <c r="C818">
        <v>2</v>
      </c>
      <c r="D818">
        <v>755</v>
      </c>
      <c r="E818" t="s">
        <v>657</v>
      </c>
      <c r="F818">
        <v>73.650000000000006</v>
      </c>
      <c r="G818" t="s">
        <v>623</v>
      </c>
      <c r="H818" s="1">
        <v>46023.511180555557</v>
      </c>
      <c r="I818" t="s">
        <v>634</v>
      </c>
      <c r="J818">
        <v>0</v>
      </c>
      <c r="K818">
        <v>73.650000000000006</v>
      </c>
    </row>
    <row r="819" spans="1:11" x14ac:dyDescent="0.3">
      <c r="A819">
        <v>818</v>
      </c>
      <c r="B819">
        <v>39</v>
      </c>
      <c r="C819">
        <v>5</v>
      </c>
      <c r="D819">
        <v>756</v>
      </c>
      <c r="E819" t="s">
        <v>651</v>
      </c>
      <c r="F819">
        <v>17.59</v>
      </c>
      <c r="G819" t="s">
        <v>623</v>
      </c>
      <c r="H819" s="1">
        <v>46023.594328703701</v>
      </c>
      <c r="I819" t="s">
        <v>634</v>
      </c>
      <c r="J819">
        <v>17.59</v>
      </c>
      <c r="K819">
        <v>0</v>
      </c>
    </row>
    <row r="820" spans="1:11" x14ac:dyDescent="0.3">
      <c r="A820">
        <v>819</v>
      </c>
      <c r="B820">
        <v>16</v>
      </c>
      <c r="C820">
        <v>2</v>
      </c>
      <c r="D820">
        <v>757</v>
      </c>
      <c r="E820" t="s">
        <v>651</v>
      </c>
      <c r="F820">
        <v>23.03</v>
      </c>
      <c r="G820" t="s">
        <v>623</v>
      </c>
      <c r="H820" s="1">
        <v>46023.645266203705</v>
      </c>
      <c r="I820" t="s">
        <v>634</v>
      </c>
      <c r="J820">
        <v>23.03</v>
      </c>
      <c r="K820">
        <v>0</v>
      </c>
    </row>
    <row r="821" spans="1:11" x14ac:dyDescent="0.3">
      <c r="A821">
        <v>820</v>
      </c>
      <c r="B821">
        <v>69</v>
      </c>
      <c r="C821">
        <v>2</v>
      </c>
      <c r="D821">
        <v>758</v>
      </c>
      <c r="E821" t="s">
        <v>651</v>
      </c>
      <c r="F821">
        <v>3.14</v>
      </c>
      <c r="G821" t="s">
        <v>623</v>
      </c>
      <c r="H821" s="1">
        <v>46023.66306712963</v>
      </c>
      <c r="I821" t="s">
        <v>634</v>
      </c>
      <c r="J821">
        <v>3.14</v>
      </c>
      <c r="K821">
        <v>0</v>
      </c>
    </row>
    <row r="822" spans="1:11" x14ac:dyDescent="0.3">
      <c r="A822">
        <v>821</v>
      </c>
      <c r="B822">
        <v>117</v>
      </c>
      <c r="C822">
        <v>2</v>
      </c>
      <c r="D822">
        <v>759</v>
      </c>
      <c r="E822" t="s">
        <v>651</v>
      </c>
      <c r="F822">
        <v>5.0199999999999996</v>
      </c>
      <c r="G822" t="s">
        <v>623</v>
      </c>
      <c r="H822" s="1">
        <v>46023.681458333333</v>
      </c>
      <c r="I822" t="s">
        <v>634</v>
      </c>
      <c r="J822">
        <v>5.0199999999999996</v>
      </c>
      <c r="K822">
        <v>0</v>
      </c>
    </row>
    <row r="823" spans="1:11" x14ac:dyDescent="0.3">
      <c r="A823">
        <v>822</v>
      </c>
      <c r="B823">
        <v>107</v>
      </c>
      <c r="C823">
        <v>3</v>
      </c>
      <c r="D823">
        <v>760</v>
      </c>
      <c r="E823" t="s">
        <v>651</v>
      </c>
      <c r="F823">
        <v>2.23</v>
      </c>
      <c r="G823" t="s">
        <v>623</v>
      </c>
      <c r="H823" s="1">
        <v>46023.700682870367</v>
      </c>
      <c r="I823" t="s">
        <v>634</v>
      </c>
      <c r="J823">
        <v>2.23</v>
      </c>
      <c r="K823">
        <v>0</v>
      </c>
    </row>
    <row r="824" spans="1:11" x14ac:dyDescent="0.3">
      <c r="A824">
        <v>823</v>
      </c>
      <c r="B824">
        <v>33</v>
      </c>
      <c r="C824">
        <v>5</v>
      </c>
      <c r="D824">
        <v>761</v>
      </c>
      <c r="E824" t="s">
        <v>651</v>
      </c>
      <c r="F824">
        <v>3.17</v>
      </c>
      <c r="G824" t="s">
        <v>623</v>
      </c>
      <c r="H824" s="1">
        <v>46023.710960648146</v>
      </c>
      <c r="I824" t="s">
        <v>634</v>
      </c>
      <c r="J824">
        <v>3.17</v>
      </c>
      <c r="K824">
        <v>0</v>
      </c>
    </row>
    <row r="825" spans="1:11" x14ac:dyDescent="0.3">
      <c r="A825">
        <v>824</v>
      </c>
      <c r="B825">
        <v>104</v>
      </c>
      <c r="C825">
        <v>5</v>
      </c>
      <c r="D825">
        <v>762</v>
      </c>
      <c r="E825" t="s">
        <v>651</v>
      </c>
      <c r="F825">
        <v>30</v>
      </c>
      <c r="G825" t="s">
        <v>623</v>
      </c>
      <c r="H825" s="1">
        <v>46023.806400462963</v>
      </c>
      <c r="I825" t="s">
        <v>634</v>
      </c>
      <c r="J825">
        <v>30</v>
      </c>
      <c r="K825">
        <v>0</v>
      </c>
    </row>
    <row r="826" spans="1:11" x14ac:dyDescent="0.3">
      <c r="A826">
        <v>825</v>
      </c>
      <c r="B826">
        <v>80</v>
      </c>
      <c r="C826">
        <v>2</v>
      </c>
      <c r="D826">
        <v>763</v>
      </c>
      <c r="E826" t="s">
        <v>651</v>
      </c>
      <c r="F826">
        <v>2.65</v>
      </c>
      <c r="G826" t="s">
        <v>623</v>
      </c>
      <c r="H826" s="1">
        <v>46024.294942129629</v>
      </c>
      <c r="I826" t="s">
        <v>634</v>
      </c>
      <c r="J826">
        <v>2.65</v>
      </c>
      <c r="K826">
        <v>0</v>
      </c>
    </row>
    <row r="827" spans="1:11" x14ac:dyDescent="0.3">
      <c r="A827">
        <v>826</v>
      </c>
      <c r="B827">
        <v>240</v>
      </c>
      <c r="C827">
        <v>5</v>
      </c>
      <c r="D827">
        <v>764</v>
      </c>
      <c r="E827" t="s">
        <v>657</v>
      </c>
      <c r="F827">
        <v>164.71</v>
      </c>
      <c r="G827" t="s">
        <v>623</v>
      </c>
      <c r="H827" s="1">
        <v>46024.363738425927</v>
      </c>
      <c r="I827" t="s">
        <v>634</v>
      </c>
      <c r="J827">
        <v>0</v>
      </c>
      <c r="K827">
        <v>164.71</v>
      </c>
    </row>
    <row r="828" spans="1:11" x14ac:dyDescent="0.3">
      <c r="A828">
        <v>827</v>
      </c>
      <c r="B828">
        <v>55</v>
      </c>
      <c r="C828">
        <v>2</v>
      </c>
      <c r="D828">
        <v>765</v>
      </c>
      <c r="E828" t="s">
        <v>651</v>
      </c>
      <c r="F828">
        <v>1.97</v>
      </c>
      <c r="G828" t="s">
        <v>623</v>
      </c>
      <c r="H828" s="1">
        <v>46024.407430555555</v>
      </c>
      <c r="I828" t="s">
        <v>634</v>
      </c>
      <c r="J828">
        <v>1.97</v>
      </c>
      <c r="K828">
        <v>0</v>
      </c>
    </row>
    <row r="829" spans="1:11" x14ac:dyDescent="0.3">
      <c r="A829">
        <v>828</v>
      </c>
      <c r="B829">
        <v>217</v>
      </c>
      <c r="C829">
        <v>5</v>
      </c>
      <c r="D829">
        <v>766</v>
      </c>
      <c r="E829" t="s">
        <v>651</v>
      </c>
      <c r="F829">
        <v>3.46</v>
      </c>
      <c r="G829" t="s">
        <v>623</v>
      </c>
      <c r="H829" s="1">
        <v>46024.422129629631</v>
      </c>
      <c r="I829" t="s">
        <v>634</v>
      </c>
      <c r="J829">
        <v>3.46</v>
      </c>
      <c r="K829">
        <v>0</v>
      </c>
    </row>
    <row r="830" spans="1:11" x14ac:dyDescent="0.3">
      <c r="A830">
        <v>829</v>
      </c>
      <c r="B830">
        <v>57</v>
      </c>
      <c r="C830">
        <v>2</v>
      </c>
      <c r="D830">
        <v>767</v>
      </c>
      <c r="E830" t="s">
        <v>651</v>
      </c>
      <c r="F830">
        <v>4.8</v>
      </c>
      <c r="G830" t="s">
        <v>623</v>
      </c>
      <c r="H830" s="1">
        <v>46024.441342592596</v>
      </c>
      <c r="I830" t="s">
        <v>634</v>
      </c>
      <c r="J830">
        <v>4.8</v>
      </c>
      <c r="K830">
        <v>0</v>
      </c>
    </row>
    <row r="831" spans="1:11" x14ac:dyDescent="0.3">
      <c r="A831">
        <v>830</v>
      </c>
      <c r="B831">
        <v>240</v>
      </c>
      <c r="C831">
        <v>3</v>
      </c>
      <c r="D831">
        <v>768</v>
      </c>
      <c r="E831" t="s">
        <v>651</v>
      </c>
      <c r="F831">
        <v>10.98</v>
      </c>
      <c r="G831" t="s">
        <v>623</v>
      </c>
      <c r="H831" s="1">
        <v>46024.442499999997</v>
      </c>
      <c r="I831" t="s">
        <v>634</v>
      </c>
      <c r="J831">
        <v>10.98</v>
      </c>
      <c r="K831">
        <v>0</v>
      </c>
    </row>
    <row r="832" spans="1:11" x14ac:dyDescent="0.3">
      <c r="A832">
        <v>831</v>
      </c>
      <c r="B832">
        <v>178</v>
      </c>
      <c r="C832">
        <v>2</v>
      </c>
      <c r="D832">
        <v>769</v>
      </c>
      <c r="E832" t="s">
        <v>651</v>
      </c>
      <c r="F832">
        <v>8</v>
      </c>
      <c r="G832" t="s">
        <v>623</v>
      </c>
      <c r="H832" s="1">
        <v>46024.540543981479</v>
      </c>
      <c r="I832" t="s">
        <v>634</v>
      </c>
      <c r="J832">
        <v>8</v>
      </c>
      <c r="K832">
        <v>0</v>
      </c>
    </row>
    <row r="833" spans="1:11" x14ac:dyDescent="0.3">
      <c r="A833">
        <v>832</v>
      </c>
      <c r="B833">
        <v>62</v>
      </c>
      <c r="C833">
        <v>2</v>
      </c>
      <c r="D833">
        <v>770</v>
      </c>
      <c r="E833" t="s">
        <v>651</v>
      </c>
      <c r="F833">
        <v>1.8</v>
      </c>
      <c r="G833" t="s">
        <v>623</v>
      </c>
      <c r="H833" s="1">
        <v>46024.611724537041</v>
      </c>
      <c r="I833" t="s">
        <v>634</v>
      </c>
      <c r="J833">
        <v>1.8</v>
      </c>
      <c r="K833">
        <v>0</v>
      </c>
    </row>
    <row r="834" spans="1:11" x14ac:dyDescent="0.3">
      <c r="A834">
        <v>833</v>
      </c>
      <c r="B834">
        <v>31</v>
      </c>
      <c r="C834">
        <v>5</v>
      </c>
      <c r="D834">
        <v>771</v>
      </c>
      <c r="E834" t="s">
        <v>651</v>
      </c>
      <c r="F834">
        <v>5.86</v>
      </c>
      <c r="G834" t="s">
        <v>623</v>
      </c>
      <c r="H834" s="1">
        <v>46024.640497685185</v>
      </c>
      <c r="I834" t="s">
        <v>634</v>
      </c>
      <c r="J834">
        <v>5.86</v>
      </c>
      <c r="K834">
        <v>0</v>
      </c>
    </row>
    <row r="835" spans="1:11" x14ac:dyDescent="0.3">
      <c r="A835">
        <v>834</v>
      </c>
      <c r="B835">
        <v>57</v>
      </c>
      <c r="C835">
        <v>5</v>
      </c>
      <c r="D835">
        <v>767</v>
      </c>
      <c r="E835" t="s">
        <v>649</v>
      </c>
      <c r="F835">
        <v>-4.8</v>
      </c>
      <c r="G835" t="s">
        <v>680</v>
      </c>
      <c r="H835" s="1">
        <v>46024.73300925926</v>
      </c>
      <c r="I835" t="s">
        <v>634</v>
      </c>
      <c r="J835">
        <v>0</v>
      </c>
      <c r="K835">
        <v>0</v>
      </c>
    </row>
    <row r="836" spans="1:11" x14ac:dyDescent="0.3">
      <c r="A836">
        <v>835</v>
      </c>
      <c r="B836">
        <v>106</v>
      </c>
      <c r="C836">
        <v>2</v>
      </c>
      <c r="D836">
        <v>772</v>
      </c>
      <c r="E836" t="s">
        <v>651</v>
      </c>
      <c r="F836">
        <v>11.91</v>
      </c>
      <c r="G836" t="s">
        <v>623</v>
      </c>
      <c r="H836" s="1">
        <v>46024.819780092592</v>
      </c>
      <c r="I836" t="s">
        <v>634</v>
      </c>
      <c r="J836">
        <v>11.91</v>
      </c>
      <c r="K836">
        <v>0</v>
      </c>
    </row>
    <row r="837" spans="1:11" x14ac:dyDescent="0.3">
      <c r="A837">
        <v>836</v>
      </c>
      <c r="B837">
        <v>96</v>
      </c>
      <c r="C837">
        <v>4</v>
      </c>
      <c r="D837">
        <v>773</v>
      </c>
      <c r="E837" t="s">
        <v>651</v>
      </c>
      <c r="F837">
        <v>30</v>
      </c>
      <c r="G837" t="s">
        <v>623</v>
      </c>
      <c r="H837" s="1">
        <v>46025.32435185185</v>
      </c>
      <c r="I837" t="s">
        <v>634</v>
      </c>
      <c r="J837">
        <v>30</v>
      </c>
      <c r="K837">
        <v>0</v>
      </c>
    </row>
    <row r="838" spans="1:11" x14ac:dyDescent="0.3">
      <c r="A838">
        <v>837</v>
      </c>
      <c r="B838">
        <v>227</v>
      </c>
      <c r="C838">
        <v>3</v>
      </c>
      <c r="D838">
        <v>774</v>
      </c>
      <c r="E838" t="s">
        <v>651</v>
      </c>
      <c r="F838">
        <v>2.89</v>
      </c>
      <c r="G838" t="s">
        <v>623</v>
      </c>
      <c r="H838" s="1">
        <v>46025.332395833335</v>
      </c>
      <c r="I838" t="s">
        <v>634</v>
      </c>
      <c r="J838">
        <v>2.89</v>
      </c>
      <c r="K838">
        <v>0</v>
      </c>
    </row>
    <row r="839" spans="1:11" x14ac:dyDescent="0.3">
      <c r="A839">
        <v>838</v>
      </c>
      <c r="B839">
        <v>202</v>
      </c>
      <c r="C839">
        <v>3</v>
      </c>
      <c r="D839">
        <v>775</v>
      </c>
      <c r="E839" t="s">
        <v>651</v>
      </c>
      <c r="F839">
        <v>6.76</v>
      </c>
      <c r="G839" t="s">
        <v>623</v>
      </c>
      <c r="H839" s="1">
        <v>46025.362500000003</v>
      </c>
      <c r="I839" t="s">
        <v>634</v>
      </c>
      <c r="J839">
        <v>6.76</v>
      </c>
      <c r="K839">
        <v>0</v>
      </c>
    </row>
    <row r="840" spans="1:11" x14ac:dyDescent="0.3">
      <c r="A840">
        <v>839</v>
      </c>
      <c r="B840">
        <v>69</v>
      </c>
      <c r="C840">
        <v>3</v>
      </c>
      <c r="D840">
        <v>776</v>
      </c>
      <c r="E840" t="s">
        <v>651</v>
      </c>
      <c r="F840">
        <v>2.4</v>
      </c>
      <c r="G840" t="s">
        <v>623</v>
      </c>
      <c r="H840" s="1">
        <v>46025.394328703704</v>
      </c>
      <c r="I840" t="s">
        <v>634</v>
      </c>
      <c r="J840">
        <v>2.4</v>
      </c>
      <c r="K840">
        <v>0</v>
      </c>
    </row>
    <row r="841" spans="1:11" x14ac:dyDescent="0.3">
      <c r="A841">
        <v>840</v>
      </c>
      <c r="B841">
        <v>254</v>
      </c>
      <c r="C841">
        <v>4</v>
      </c>
      <c r="D841">
        <v>777</v>
      </c>
      <c r="E841" t="s">
        <v>651</v>
      </c>
      <c r="F841">
        <v>21.52</v>
      </c>
      <c r="G841" t="s">
        <v>623</v>
      </c>
      <c r="H841" s="1">
        <v>46025.395277777781</v>
      </c>
      <c r="I841" t="s">
        <v>634</v>
      </c>
      <c r="J841">
        <v>21.52</v>
      </c>
      <c r="K841">
        <v>0</v>
      </c>
    </row>
    <row r="842" spans="1:11" x14ac:dyDescent="0.3">
      <c r="A842">
        <v>841</v>
      </c>
      <c r="B842">
        <v>150</v>
      </c>
      <c r="C842">
        <v>2</v>
      </c>
      <c r="D842">
        <v>778</v>
      </c>
      <c r="E842" t="s">
        <v>651</v>
      </c>
      <c r="F842">
        <v>9.77</v>
      </c>
      <c r="G842" t="s">
        <v>623</v>
      </c>
      <c r="H842" s="1">
        <v>46025.396863425929</v>
      </c>
      <c r="I842" t="s">
        <v>634</v>
      </c>
      <c r="J842">
        <v>9.77</v>
      </c>
      <c r="K842">
        <v>0</v>
      </c>
    </row>
    <row r="843" spans="1:11" x14ac:dyDescent="0.3">
      <c r="A843">
        <v>842</v>
      </c>
      <c r="B843">
        <v>244</v>
      </c>
      <c r="C843">
        <v>5</v>
      </c>
      <c r="D843">
        <v>779</v>
      </c>
      <c r="E843" t="s">
        <v>651</v>
      </c>
      <c r="F843">
        <v>13.72</v>
      </c>
      <c r="G843" t="s">
        <v>623</v>
      </c>
      <c r="H843" s="1">
        <v>46025.429745370369</v>
      </c>
      <c r="I843" t="s">
        <v>634</v>
      </c>
      <c r="J843">
        <v>13.72</v>
      </c>
      <c r="K843">
        <v>0</v>
      </c>
    </row>
    <row r="844" spans="1:11" x14ac:dyDescent="0.3">
      <c r="A844">
        <v>843</v>
      </c>
      <c r="B844">
        <v>293</v>
      </c>
      <c r="C844">
        <v>5</v>
      </c>
      <c r="D844">
        <v>780</v>
      </c>
      <c r="E844" t="s">
        <v>651</v>
      </c>
      <c r="F844">
        <v>3.42</v>
      </c>
      <c r="G844" t="s">
        <v>623</v>
      </c>
      <c r="H844" s="1">
        <v>46025.458414351851</v>
      </c>
      <c r="I844" t="s">
        <v>634</v>
      </c>
      <c r="J844">
        <v>3.42</v>
      </c>
      <c r="K844">
        <v>0</v>
      </c>
    </row>
    <row r="845" spans="1:11" x14ac:dyDescent="0.3">
      <c r="A845">
        <v>844</v>
      </c>
      <c r="B845">
        <v>65</v>
      </c>
      <c r="C845">
        <v>5</v>
      </c>
      <c r="D845">
        <v>781</v>
      </c>
      <c r="E845" t="s">
        <v>651</v>
      </c>
      <c r="F845">
        <v>2.57</v>
      </c>
      <c r="G845" t="s">
        <v>623</v>
      </c>
      <c r="H845" s="1">
        <v>46025.486620370371</v>
      </c>
      <c r="I845" t="s">
        <v>634</v>
      </c>
      <c r="J845">
        <v>2.57</v>
      </c>
      <c r="K845">
        <v>0</v>
      </c>
    </row>
    <row r="846" spans="1:11" x14ac:dyDescent="0.3">
      <c r="A846">
        <v>845</v>
      </c>
      <c r="B846">
        <v>18</v>
      </c>
      <c r="C846">
        <v>2</v>
      </c>
      <c r="D846">
        <v>782</v>
      </c>
      <c r="E846" t="s">
        <v>651</v>
      </c>
      <c r="F846">
        <v>7.08</v>
      </c>
      <c r="G846" t="s">
        <v>623</v>
      </c>
      <c r="H846" s="1">
        <v>46025.56181712963</v>
      </c>
      <c r="I846" t="s">
        <v>634</v>
      </c>
      <c r="J846">
        <v>7.08</v>
      </c>
      <c r="K846">
        <v>0</v>
      </c>
    </row>
    <row r="847" spans="1:11" x14ac:dyDescent="0.3">
      <c r="A847">
        <v>846</v>
      </c>
      <c r="B847">
        <v>247</v>
      </c>
      <c r="C847">
        <v>4</v>
      </c>
      <c r="D847">
        <v>783</v>
      </c>
      <c r="E847" t="s">
        <v>651</v>
      </c>
      <c r="F847">
        <v>1.72</v>
      </c>
      <c r="G847" t="s">
        <v>623</v>
      </c>
      <c r="H847" s="1">
        <v>46025.62841435185</v>
      </c>
      <c r="I847" t="s">
        <v>634</v>
      </c>
      <c r="J847">
        <v>1.72</v>
      </c>
      <c r="K847">
        <v>0</v>
      </c>
    </row>
    <row r="848" spans="1:11" x14ac:dyDescent="0.3">
      <c r="A848">
        <v>847</v>
      </c>
      <c r="B848">
        <v>107</v>
      </c>
      <c r="C848">
        <v>5</v>
      </c>
      <c r="D848">
        <v>760</v>
      </c>
      <c r="E848" t="s">
        <v>649</v>
      </c>
      <c r="F848">
        <v>-2.23</v>
      </c>
      <c r="G848" t="s">
        <v>681</v>
      </c>
      <c r="H848" s="1">
        <v>46025.659016203703</v>
      </c>
      <c r="I848" t="s">
        <v>634</v>
      </c>
      <c r="J848">
        <v>0</v>
      </c>
      <c r="K848">
        <v>0</v>
      </c>
    </row>
    <row r="849" spans="1:11" x14ac:dyDescent="0.3">
      <c r="A849">
        <v>848</v>
      </c>
      <c r="B849">
        <v>16</v>
      </c>
      <c r="C849">
        <v>2</v>
      </c>
      <c r="D849">
        <v>784</v>
      </c>
      <c r="E849" t="s">
        <v>651</v>
      </c>
      <c r="F849">
        <v>12.73</v>
      </c>
      <c r="G849" t="s">
        <v>623</v>
      </c>
      <c r="H849" s="1">
        <v>46025.669479166667</v>
      </c>
      <c r="I849" t="s">
        <v>634</v>
      </c>
      <c r="J849">
        <v>12.73</v>
      </c>
      <c r="K849">
        <v>0</v>
      </c>
    </row>
    <row r="850" spans="1:11" x14ac:dyDescent="0.3">
      <c r="A850">
        <v>849</v>
      </c>
      <c r="B850">
        <v>240</v>
      </c>
      <c r="C850">
        <v>3</v>
      </c>
      <c r="D850">
        <v>768</v>
      </c>
      <c r="E850" t="s">
        <v>649</v>
      </c>
      <c r="F850">
        <v>-10.98</v>
      </c>
      <c r="G850" t="s">
        <v>682</v>
      </c>
      <c r="H850" s="1">
        <v>46025.692499999997</v>
      </c>
      <c r="I850" t="s">
        <v>634</v>
      </c>
      <c r="J850">
        <v>0</v>
      </c>
      <c r="K850">
        <v>0</v>
      </c>
    </row>
    <row r="851" spans="1:11" x14ac:dyDescent="0.3">
      <c r="A851">
        <v>850</v>
      </c>
      <c r="B851">
        <v>137</v>
      </c>
      <c r="C851">
        <v>4</v>
      </c>
      <c r="D851">
        <v>785</v>
      </c>
      <c r="E851" t="s">
        <v>651</v>
      </c>
      <c r="F851">
        <v>6.08</v>
      </c>
      <c r="G851" t="s">
        <v>623</v>
      </c>
      <c r="H851" s="1">
        <v>46025.709548611114</v>
      </c>
      <c r="I851" t="s">
        <v>634</v>
      </c>
      <c r="J851">
        <v>6.08</v>
      </c>
      <c r="K851">
        <v>0</v>
      </c>
    </row>
    <row r="852" spans="1:11" x14ac:dyDescent="0.3">
      <c r="A852">
        <v>851</v>
      </c>
      <c r="B852">
        <v>253</v>
      </c>
      <c r="C852">
        <v>1</v>
      </c>
      <c r="E852" t="s">
        <v>649</v>
      </c>
      <c r="F852">
        <v>35.76</v>
      </c>
      <c r="G852" t="s">
        <v>652</v>
      </c>
      <c r="H852" s="1">
        <v>46025.776909722219</v>
      </c>
      <c r="I852" t="s">
        <v>634</v>
      </c>
      <c r="J852">
        <v>0</v>
      </c>
      <c r="K852">
        <v>0</v>
      </c>
    </row>
    <row r="853" spans="1:11" x14ac:dyDescent="0.3">
      <c r="A853">
        <v>852</v>
      </c>
      <c r="B853">
        <v>69</v>
      </c>
      <c r="C853">
        <v>3</v>
      </c>
      <c r="D853">
        <v>776</v>
      </c>
      <c r="E853" t="s">
        <v>649</v>
      </c>
      <c r="F853">
        <v>-2.4</v>
      </c>
      <c r="G853" t="s">
        <v>683</v>
      </c>
      <c r="H853" s="1">
        <v>46026.310995370368</v>
      </c>
      <c r="I853" t="s">
        <v>634</v>
      </c>
      <c r="J853">
        <v>0</v>
      </c>
      <c r="K853">
        <v>0</v>
      </c>
    </row>
    <row r="854" spans="1:11" x14ac:dyDescent="0.3">
      <c r="A854">
        <v>853</v>
      </c>
      <c r="B854">
        <v>235</v>
      </c>
      <c r="C854">
        <v>5</v>
      </c>
      <c r="D854">
        <v>786</v>
      </c>
      <c r="E854" t="s">
        <v>651</v>
      </c>
      <c r="F854">
        <v>1.98</v>
      </c>
      <c r="G854" t="s">
        <v>623</v>
      </c>
      <c r="H854" s="1">
        <v>46026.338472222225</v>
      </c>
      <c r="I854" t="s">
        <v>634</v>
      </c>
      <c r="J854">
        <v>1.98</v>
      </c>
      <c r="K854">
        <v>0</v>
      </c>
    </row>
    <row r="855" spans="1:11" x14ac:dyDescent="0.3">
      <c r="A855">
        <v>854</v>
      </c>
      <c r="B855">
        <v>44</v>
      </c>
      <c r="C855">
        <v>4</v>
      </c>
      <c r="D855">
        <v>787</v>
      </c>
      <c r="E855" t="s">
        <v>651</v>
      </c>
      <c r="F855">
        <v>2.58</v>
      </c>
      <c r="G855" t="s">
        <v>623</v>
      </c>
      <c r="H855" s="1">
        <v>46026.37</v>
      </c>
      <c r="I855" t="s">
        <v>634</v>
      </c>
      <c r="J855">
        <v>2.58</v>
      </c>
      <c r="K855">
        <v>0</v>
      </c>
    </row>
    <row r="856" spans="1:11" x14ac:dyDescent="0.3">
      <c r="A856">
        <v>855</v>
      </c>
      <c r="B856">
        <v>136</v>
      </c>
      <c r="C856">
        <v>2</v>
      </c>
      <c r="D856">
        <v>788</v>
      </c>
      <c r="E856" t="s">
        <v>651</v>
      </c>
      <c r="F856">
        <v>5.72</v>
      </c>
      <c r="G856" t="s">
        <v>623</v>
      </c>
      <c r="H856" s="1">
        <v>46026.44195601852</v>
      </c>
      <c r="I856" t="s">
        <v>634</v>
      </c>
      <c r="J856">
        <v>5.72</v>
      </c>
      <c r="K856">
        <v>0</v>
      </c>
    </row>
    <row r="857" spans="1:11" x14ac:dyDescent="0.3">
      <c r="A857">
        <v>856</v>
      </c>
      <c r="B857">
        <v>83</v>
      </c>
      <c r="C857">
        <v>5</v>
      </c>
      <c r="D857">
        <v>789</v>
      </c>
      <c r="E857" t="s">
        <v>651</v>
      </c>
      <c r="F857">
        <v>2.65</v>
      </c>
      <c r="G857" t="s">
        <v>623</v>
      </c>
      <c r="H857" s="1">
        <v>46026.498032407406</v>
      </c>
      <c r="I857" t="s">
        <v>634</v>
      </c>
      <c r="J857">
        <v>2.65</v>
      </c>
      <c r="K857">
        <v>0</v>
      </c>
    </row>
    <row r="858" spans="1:11" x14ac:dyDescent="0.3">
      <c r="A858">
        <v>857</v>
      </c>
      <c r="B858">
        <v>202</v>
      </c>
      <c r="C858">
        <v>3</v>
      </c>
      <c r="D858">
        <v>790</v>
      </c>
      <c r="E858" t="s">
        <v>651</v>
      </c>
      <c r="F858">
        <v>4.72</v>
      </c>
      <c r="G858" t="s">
        <v>623</v>
      </c>
      <c r="H858" s="1">
        <v>46026.535694444443</v>
      </c>
      <c r="I858" t="s">
        <v>634</v>
      </c>
      <c r="J858">
        <v>4.72</v>
      </c>
      <c r="K858">
        <v>0</v>
      </c>
    </row>
    <row r="859" spans="1:11" x14ac:dyDescent="0.3">
      <c r="A859">
        <v>858</v>
      </c>
      <c r="B859">
        <v>27</v>
      </c>
      <c r="C859">
        <v>4</v>
      </c>
      <c r="D859">
        <v>791</v>
      </c>
      <c r="E859" t="s">
        <v>651</v>
      </c>
      <c r="F859">
        <v>9.52</v>
      </c>
      <c r="G859" t="s">
        <v>623</v>
      </c>
      <c r="H859" s="1">
        <v>46026.600868055553</v>
      </c>
      <c r="I859" t="s">
        <v>634</v>
      </c>
      <c r="J859">
        <v>9.52</v>
      </c>
      <c r="K859">
        <v>0</v>
      </c>
    </row>
    <row r="860" spans="1:11" x14ac:dyDescent="0.3">
      <c r="A860">
        <v>859</v>
      </c>
      <c r="B860">
        <v>39</v>
      </c>
      <c r="C860">
        <v>2</v>
      </c>
      <c r="D860">
        <v>792</v>
      </c>
      <c r="E860" t="s">
        <v>651</v>
      </c>
      <c r="F860">
        <v>18.05</v>
      </c>
      <c r="G860" t="s">
        <v>623</v>
      </c>
      <c r="H860" s="1">
        <v>46026.602511574078</v>
      </c>
      <c r="I860" t="s">
        <v>634</v>
      </c>
      <c r="J860">
        <v>18.05</v>
      </c>
      <c r="K860">
        <v>0</v>
      </c>
    </row>
    <row r="861" spans="1:11" x14ac:dyDescent="0.3">
      <c r="A861">
        <v>860</v>
      </c>
      <c r="B861">
        <v>148</v>
      </c>
      <c r="C861">
        <v>4</v>
      </c>
      <c r="D861">
        <v>793</v>
      </c>
      <c r="E861" t="s">
        <v>651</v>
      </c>
      <c r="F861">
        <v>2.54</v>
      </c>
      <c r="G861" t="s">
        <v>623</v>
      </c>
      <c r="H861" s="1">
        <v>46026.697905092595</v>
      </c>
      <c r="I861" t="s">
        <v>634</v>
      </c>
      <c r="J861">
        <v>2.54</v>
      </c>
      <c r="K861">
        <v>0</v>
      </c>
    </row>
    <row r="862" spans="1:11" x14ac:dyDescent="0.3">
      <c r="A862">
        <v>861</v>
      </c>
      <c r="B862">
        <v>148</v>
      </c>
      <c r="C862">
        <v>3</v>
      </c>
      <c r="D862">
        <v>793</v>
      </c>
      <c r="E862" t="s">
        <v>649</v>
      </c>
      <c r="F862">
        <v>-2.54</v>
      </c>
      <c r="G862" t="s">
        <v>684</v>
      </c>
      <c r="H862" s="1">
        <v>46026.906238425923</v>
      </c>
      <c r="I862" t="s">
        <v>634</v>
      </c>
      <c r="J862">
        <v>0</v>
      </c>
      <c r="K862">
        <v>0</v>
      </c>
    </row>
    <row r="863" spans="1:11" x14ac:dyDescent="0.3">
      <c r="A863">
        <v>862</v>
      </c>
      <c r="B863">
        <v>212</v>
      </c>
      <c r="C863">
        <v>1</v>
      </c>
      <c r="E863" t="s">
        <v>649</v>
      </c>
      <c r="F863">
        <v>30.99</v>
      </c>
      <c r="G863" t="s">
        <v>660</v>
      </c>
      <c r="H863" s="1">
        <v>46027.062939814816</v>
      </c>
      <c r="I863" t="s">
        <v>634</v>
      </c>
      <c r="J863">
        <v>0</v>
      </c>
      <c r="K863">
        <v>0</v>
      </c>
    </row>
    <row r="864" spans="1:11" x14ac:dyDescent="0.3">
      <c r="A864">
        <v>863</v>
      </c>
      <c r="B864">
        <v>245</v>
      </c>
      <c r="C864">
        <v>4</v>
      </c>
      <c r="D864">
        <v>794</v>
      </c>
      <c r="E864" t="s">
        <v>651</v>
      </c>
      <c r="F864">
        <v>2.4</v>
      </c>
      <c r="G864" t="s">
        <v>623</v>
      </c>
      <c r="H864" s="1">
        <v>46027.296782407408</v>
      </c>
      <c r="I864" t="s">
        <v>634</v>
      </c>
      <c r="J864">
        <v>2.4</v>
      </c>
      <c r="K864">
        <v>0</v>
      </c>
    </row>
    <row r="865" spans="1:11" x14ac:dyDescent="0.3">
      <c r="A865">
        <v>864</v>
      </c>
      <c r="B865">
        <v>39</v>
      </c>
      <c r="C865">
        <v>4</v>
      </c>
      <c r="D865">
        <v>795</v>
      </c>
      <c r="E865" t="s">
        <v>651</v>
      </c>
      <c r="F865">
        <v>16.8</v>
      </c>
      <c r="G865" t="s">
        <v>623</v>
      </c>
      <c r="H865" s="1">
        <v>46027.337893518517</v>
      </c>
      <c r="I865" t="s">
        <v>634</v>
      </c>
      <c r="J865">
        <v>16.8</v>
      </c>
      <c r="K865">
        <v>0</v>
      </c>
    </row>
    <row r="866" spans="1:11" x14ac:dyDescent="0.3">
      <c r="A866">
        <v>865</v>
      </c>
      <c r="B866">
        <v>61</v>
      </c>
      <c r="C866">
        <v>4</v>
      </c>
      <c r="D866">
        <v>796</v>
      </c>
      <c r="E866" t="s">
        <v>651</v>
      </c>
      <c r="F866">
        <v>13.3</v>
      </c>
      <c r="G866" t="s">
        <v>623</v>
      </c>
      <c r="H866" s="1">
        <v>46027.405428240738</v>
      </c>
      <c r="I866" t="s">
        <v>634</v>
      </c>
      <c r="J866">
        <v>13.3</v>
      </c>
      <c r="K866">
        <v>0</v>
      </c>
    </row>
    <row r="867" spans="1:11" x14ac:dyDescent="0.3">
      <c r="A867">
        <v>866</v>
      </c>
      <c r="B867">
        <v>235</v>
      </c>
      <c r="C867">
        <v>3</v>
      </c>
      <c r="D867">
        <v>797</v>
      </c>
      <c r="E867" t="s">
        <v>651</v>
      </c>
      <c r="F867">
        <v>1.95</v>
      </c>
      <c r="G867" t="s">
        <v>623</v>
      </c>
      <c r="H867" s="1">
        <v>46027.417048611111</v>
      </c>
      <c r="I867" t="s">
        <v>634</v>
      </c>
      <c r="J867">
        <v>1.95</v>
      </c>
      <c r="K867">
        <v>0</v>
      </c>
    </row>
    <row r="868" spans="1:11" x14ac:dyDescent="0.3">
      <c r="A868">
        <v>867</v>
      </c>
      <c r="B868">
        <v>95</v>
      </c>
      <c r="C868">
        <v>5</v>
      </c>
      <c r="D868">
        <v>798</v>
      </c>
      <c r="E868" t="s">
        <v>651</v>
      </c>
      <c r="F868">
        <v>26.24</v>
      </c>
      <c r="G868" t="s">
        <v>623</v>
      </c>
      <c r="H868" s="1">
        <v>46027.486400462964</v>
      </c>
      <c r="I868" t="s">
        <v>634</v>
      </c>
      <c r="J868">
        <v>26.24</v>
      </c>
      <c r="K868">
        <v>0</v>
      </c>
    </row>
    <row r="869" spans="1:11" x14ac:dyDescent="0.3">
      <c r="A869">
        <v>868</v>
      </c>
      <c r="B869">
        <v>247</v>
      </c>
      <c r="C869">
        <v>4</v>
      </c>
      <c r="D869">
        <v>799</v>
      </c>
      <c r="E869" t="s">
        <v>651</v>
      </c>
      <c r="F869">
        <v>4.88</v>
      </c>
      <c r="G869" t="s">
        <v>623</v>
      </c>
      <c r="H869" s="1">
        <v>46027.491539351853</v>
      </c>
      <c r="I869" t="s">
        <v>634</v>
      </c>
      <c r="J869">
        <v>4.88</v>
      </c>
      <c r="K869">
        <v>0</v>
      </c>
    </row>
    <row r="870" spans="1:11" x14ac:dyDescent="0.3">
      <c r="A870">
        <v>869</v>
      </c>
      <c r="B870">
        <v>18</v>
      </c>
      <c r="C870">
        <v>3</v>
      </c>
      <c r="D870">
        <v>800</v>
      </c>
      <c r="E870" t="s">
        <v>651</v>
      </c>
      <c r="F870">
        <v>13.67</v>
      </c>
      <c r="G870" t="s">
        <v>623</v>
      </c>
      <c r="H870" s="1">
        <v>46027.674629629626</v>
      </c>
      <c r="I870" t="s">
        <v>634</v>
      </c>
      <c r="J870">
        <v>13.67</v>
      </c>
      <c r="K870">
        <v>0</v>
      </c>
    </row>
    <row r="871" spans="1:11" x14ac:dyDescent="0.3">
      <c r="A871">
        <v>870</v>
      </c>
      <c r="B871">
        <v>241</v>
      </c>
      <c r="C871">
        <v>3</v>
      </c>
      <c r="D871">
        <v>801</v>
      </c>
      <c r="E871" t="s">
        <v>651</v>
      </c>
      <c r="F871">
        <v>2.5299999999999998</v>
      </c>
      <c r="G871" t="s">
        <v>623</v>
      </c>
      <c r="H871" s="1">
        <v>46027.691134259258</v>
      </c>
      <c r="I871" t="s">
        <v>634</v>
      </c>
      <c r="J871">
        <v>2.5299999999999998</v>
      </c>
      <c r="K871">
        <v>0</v>
      </c>
    </row>
    <row r="872" spans="1:11" x14ac:dyDescent="0.3">
      <c r="A872">
        <v>871</v>
      </c>
      <c r="B872">
        <v>189</v>
      </c>
      <c r="C872">
        <v>1</v>
      </c>
      <c r="E872" t="s">
        <v>649</v>
      </c>
      <c r="F872">
        <v>8.36</v>
      </c>
      <c r="G872" t="s">
        <v>660</v>
      </c>
      <c r="H872" s="1">
        <v>46027.757569444446</v>
      </c>
      <c r="I872" t="s">
        <v>634</v>
      </c>
      <c r="J872">
        <v>0</v>
      </c>
      <c r="K872">
        <v>0</v>
      </c>
    </row>
    <row r="873" spans="1:11" x14ac:dyDescent="0.3">
      <c r="A873">
        <v>872</v>
      </c>
      <c r="B873">
        <v>48</v>
      </c>
      <c r="C873">
        <v>4</v>
      </c>
      <c r="D873">
        <v>802</v>
      </c>
      <c r="E873" t="s">
        <v>651</v>
      </c>
      <c r="F873">
        <v>4.4400000000000004</v>
      </c>
      <c r="G873" t="s">
        <v>623</v>
      </c>
      <c r="H873" s="1">
        <v>46028.306550925925</v>
      </c>
      <c r="I873" t="s">
        <v>634</v>
      </c>
      <c r="J873">
        <v>4.4400000000000004</v>
      </c>
      <c r="K873">
        <v>0</v>
      </c>
    </row>
    <row r="874" spans="1:11" x14ac:dyDescent="0.3">
      <c r="A874">
        <v>873</v>
      </c>
      <c r="B874">
        <v>252</v>
      </c>
      <c r="C874">
        <v>4</v>
      </c>
      <c r="D874">
        <v>803</v>
      </c>
      <c r="E874" t="s">
        <v>651</v>
      </c>
      <c r="F874">
        <v>3.01</v>
      </c>
      <c r="G874" t="s">
        <v>623</v>
      </c>
      <c r="H874" s="1">
        <v>46028.348032407404</v>
      </c>
      <c r="I874" t="s">
        <v>634</v>
      </c>
      <c r="J874">
        <v>3.01</v>
      </c>
      <c r="K874">
        <v>0</v>
      </c>
    </row>
    <row r="875" spans="1:11" x14ac:dyDescent="0.3">
      <c r="A875">
        <v>874</v>
      </c>
      <c r="B875">
        <v>136</v>
      </c>
      <c r="C875">
        <v>2</v>
      </c>
      <c r="D875">
        <v>804</v>
      </c>
      <c r="E875" t="s">
        <v>651</v>
      </c>
      <c r="F875">
        <v>6.75</v>
      </c>
      <c r="G875" t="s">
        <v>623</v>
      </c>
      <c r="H875" s="1">
        <v>46028.403969907406</v>
      </c>
      <c r="I875" t="s">
        <v>634</v>
      </c>
      <c r="J875">
        <v>6.75</v>
      </c>
      <c r="K875">
        <v>0</v>
      </c>
    </row>
    <row r="876" spans="1:11" x14ac:dyDescent="0.3">
      <c r="A876">
        <v>875</v>
      </c>
      <c r="B876">
        <v>136</v>
      </c>
      <c r="C876">
        <v>3</v>
      </c>
      <c r="D876">
        <v>805</v>
      </c>
      <c r="E876" t="s">
        <v>651</v>
      </c>
      <c r="F876">
        <v>6.95</v>
      </c>
      <c r="G876" t="s">
        <v>623</v>
      </c>
      <c r="H876" s="1">
        <v>46028.429988425924</v>
      </c>
      <c r="I876" t="s">
        <v>634</v>
      </c>
      <c r="J876">
        <v>6.95</v>
      </c>
      <c r="K876">
        <v>0</v>
      </c>
    </row>
    <row r="877" spans="1:11" x14ac:dyDescent="0.3">
      <c r="A877">
        <v>876</v>
      </c>
      <c r="B877">
        <v>97</v>
      </c>
      <c r="C877">
        <v>4</v>
      </c>
      <c r="D877">
        <v>806</v>
      </c>
      <c r="E877" t="s">
        <v>651</v>
      </c>
      <c r="F877">
        <v>6.93</v>
      </c>
      <c r="G877" t="s">
        <v>623</v>
      </c>
      <c r="H877" s="1">
        <v>46028.434618055559</v>
      </c>
      <c r="I877" t="s">
        <v>634</v>
      </c>
      <c r="J877">
        <v>6.93</v>
      </c>
      <c r="K877">
        <v>0</v>
      </c>
    </row>
    <row r="878" spans="1:11" x14ac:dyDescent="0.3">
      <c r="A878">
        <v>877</v>
      </c>
      <c r="B878">
        <v>65</v>
      </c>
      <c r="C878">
        <v>2</v>
      </c>
      <c r="D878">
        <v>807</v>
      </c>
      <c r="E878" t="s">
        <v>651</v>
      </c>
      <c r="F878">
        <v>5.66</v>
      </c>
      <c r="G878" t="s">
        <v>623</v>
      </c>
      <c r="H878" s="1">
        <v>46028.443993055553</v>
      </c>
      <c r="I878" t="s">
        <v>634</v>
      </c>
      <c r="J878">
        <v>5.66</v>
      </c>
      <c r="K878">
        <v>0</v>
      </c>
    </row>
    <row r="879" spans="1:11" x14ac:dyDescent="0.3">
      <c r="A879">
        <v>878</v>
      </c>
      <c r="B879">
        <v>18</v>
      </c>
      <c r="C879">
        <v>3</v>
      </c>
      <c r="D879">
        <v>808</v>
      </c>
      <c r="E879" t="s">
        <v>651</v>
      </c>
      <c r="F879">
        <v>9.2100000000000009</v>
      </c>
      <c r="G879" t="s">
        <v>623</v>
      </c>
      <c r="H879" s="1">
        <v>46028.462905092594</v>
      </c>
      <c r="I879" t="s">
        <v>634</v>
      </c>
      <c r="J879">
        <v>9.2100000000000009</v>
      </c>
      <c r="K879">
        <v>0</v>
      </c>
    </row>
    <row r="880" spans="1:11" x14ac:dyDescent="0.3">
      <c r="A880">
        <v>879</v>
      </c>
      <c r="B880">
        <v>207</v>
      </c>
      <c r="C880">
        <v>3</v>
      </c>
      <c r="D880">
        <v>809</v>
      </c>
      <c r="E880" t="s">
        <v>651</v>
      </c>
      <c r="F880">
        <v>4.7300000000000004</v>
      </c>
      <c r="G880" t="s">
        <v>623</v>
      </c>
      <c r="H880" s="1">
        <v>46028.469131944446</v>
      </c>
      <c r="I880" t="s">
        <v>634</v>
      </c>
      <c r="J880">
        <v>4.7300000000000004</v>
      </c>
      <c r="K880">
        <v>0</v>
      </c>
    </row>
    <row r="881" spans="1:11" x14ac:dyDescent="0.3">
      <c r="A881">
        <v>880</v>
      </c>
      <c r="B881">
        <v>202</v>
      </c>
      <c r="C881">
        <v>2</v>
      </c>
      <c r="D881">
        <v>810</v>
      </c>
      <c r="E881" t="s">
        <v>651</v>
      </c>
      <c r="F881">
        <v>2.98</v>
      </c>
      <c r="G881" t="s">
        <v>623</v>
      </c>
      <c r="H881" s="1">
        <v>46028.582986111112</v>
      </c>
      <c r="I881" t="s">
        <v>634</v>
      </c>
      <c r="J881">
        <v>2.98</v>
      </c>
      <c r="K881">
        <v>0</v>
      </c>
    </row>
    <row r="882" spans="1:11" x14ac:dyDescent="0.3">
      <c r="A882">
        <v>881</v>
      </c>
      <c r="B882">
        <v>117</v>
      </c>
      <c r="C882">
        <v>4</v>
      </c>
      <c r="D882">
        <v>811</v>
      </c>
      <c r="E882" t="s">
        <v>651</v>
      </c>
      <c r="F882">
        <v>10.11</v>
      </c>
      <c r="G882" t="s">
        <v>623</v>
      </c>
      <c r="H882" s="1">
        <v>46028.650439814817</v>
      </c>
      <c r="I882" t="s">
        <v>634</v>
      </c>
      <c r="J882">
        <v>10.11</v>
      </c>
      <c r="K882">
        <v>0</v>
      </c>
    </row>
    <row r="883" spans="1:11" x14ac:dyDescent="0.3">
      <c r="A883">
        <v>882</v>
      </c>
      <c r="B883">
        <v>58</v>
      </c>
      <c r="C883">
        <v>3</v>
      </c>
      <c r="D883">
        <v>812</v>
      </c>
      <c r="E883" t="s">
        <v>651</v>
      </c>
      <c r="F883">
        <v>7.4</v>
      </c>
      <c r="G883" t="s">
        <v>623</v>
      </c>
      <c r="H883" s="1">
        <v>46028.66505787037</v>
      </c>
      <c r="I883" t="s">
        <v>634</v>
      </c>
      <c r="J883">
        <v>7.4</v>
      </c>
      <c r="K883">
        <v>0</v>
      </c>
    </row>
    <row r="884" spans="1:11" x14ac:dyDescent="0.3">
      <c r="A884">
        <v>883</v>
      </c>
      <c r="B884">
        <v>245</v>
      </c>
      <c r="C884">
        <v>5</v>
      </c>
      <c r="D884">
        <v>794</v>
      </c>
      <c r="E884" t="s">
        <v>649</v>
      </c>
      <c r="F884">
        <v>-2.4</v>
      </c>
      <c r="G884" t="s">
        <v>685</v>
      </c>
      <c r="H884" s="1">
        <v>46028.713449074072</v>
      </c>
      <c r="I884" t="s">
        <v>634</v>
      </c>
      <c r="J884">
        <v>0</v>
      </c>
      <c r="K884">
        <v>0</v>
      </c>
    </row>
    <row r="885" spans="1:11" x14ac:dyDescent="0.3">
      <c r="A885">
        <v>884</v>
      </c>
      <c r="B885">
        <v>39</v>
      </c>
      <c r="C885">
        <v>2</v>
      </c>
      <c r="D885">
        <v>795</v>
      </c>
      <c r="E885" t="s">
        <v>649</v>
      </c>
      <c r="F885">
        <v>-16.8</v>
      </c>
      <c r="G885" t="s">
        <v>686</v>
      </c>
      <c r="H885" s="1">
        <v>46028.754560185182</v>
      </c>
      <c r="I885" t="s">
        <v>634</v>
      </c>
      <c r="J885">
        <v>0</v>
      </c>
      <c r="K885">
        <v>0</v>
      </c>
    </row>
    <row r="886" spans="1:11" x14ac:dyDescent="0.3">
      <c r="A886">
        <v>885</v>
      </c>
      <c r="B886">
        <v>87</v>
      </c>
      <c r="C886">
        <v>2</v>
      </c>
      <c r="D886">
        <v>813</v>
      </c>
      <c r="E886" t="s">
        <v>651</v>
      </c>
      <c r="F886">
        <v>3.93</v>
      </c>
      <c r="G886" t="s">
        <v>623</v>
      </c>
      <c r="H886" s="1">
        <v>46028.757754629631</v>
      </c>
      <c r="I886" t="s">
        <v>634</v>
      </c>
      <c r="J886">
        <v>3.93</v>
      </c>
      <c r="K886">
        <v>0</v>
      </c>
    </row>
    <row r="887" spans="1:11" x14ac:dyDescent="0.3">
      <c r="A887">
        <v>886</v>
      </c>
      <c r="B887">
        <v>87</v>
      </c>
      <c r="C887">
        <v>5</v>
      </c>
      <c r="D887">
        <v>814</v>
      </c>
      <c r="E887" t="s">
        <v>651</v>
      </c>
      <c r="F887">
        <v>22</v>
      </c>
      <c r="G887" t="s">
        <v>623</v>
      </c>
      <c r="H887" s="1">
        <v>46028.765625</v>
      </c>
      <c r="I887" t="s">
        <v>634</v>
      </c>
      <c r="J887">
        <v>22</v>
      </c>
      <c r="K887">
        <v>0</v>
      </c>
    </row>
    <row r="888" spans="1:11" x14ac:dyDescent="0.3">
      <c r="A888">
        <v>887</v>
      </c>
      <c r="B888">
        <v>151</v>
      </c>
      <c r="C888">
        <v>2</v>
      </c>
      <c r="D888">
        <v>815</v>
      </c>
      <c r="E888" t="s">
        <v>651</v>
      </c>
      <c r="F888">
        <v>14.17</v>
      </c>
      <c r="G888" t="s">
        <v>623</v>
      </c>
      <c r="H888" s="1">
        <v>46028.773402777777</v>
      </c>
      <c r="I888" t="s">
        <v>634</v>
      </c>
      <c r="J888">
        <v>14.17</v>
      </c>
      <c r="K888">
        <v>0</v>
      </c>
    </row>
    <row r="889" spans="1:11" x14ac:dyDescent="0.3">
      <c r="A889">
        <v>888</v>
      </c>
      <c r="B889">
        <v>59</v>
      </c>
      <c r="C889">
        <v>3</v>
      </c>
      <c r="D889">
        <v>816</v>
      </c>
      <c r="E889" t="s">
        <v>651</v>
      </c>
      <c r="F889">
        <v>3.08</v>
      </c>
      <c r="G889" t="s">
        <v>623</v>
      </c>
      <c r="H889" s="1">
        <v>46029.295057870368</v>
      </c>
      <c r="I889" t="s">
        <v>634</v>
      </c>
      <c r="J889">
        <v>3.08</v>
      </c>
      <c r="K889">
        <v>0</v>
      </c>
    </row>
    <row r="890" spans="1:11" x14ac:dyDescent="0.3">
      <c r="A890">
        <v>889</v>
      </c>
      <c r="B890">
        <v>136</v>
      </c>
      <c r="C890">
        <v>3</v>
      </c>
      <c r="D890">
        <v>804</v>
      </c>
      <c r="E890" t="s">
        <v>649</v>
      </c>
      <c r="F890">
        <v>-6.75</v>
      </c>
      <c r="G890" t="s">
        <v>687</v>
      </c>
      <c r="H890" s="1">
        <v>46029.403969907406</v>
      </c>
      <c r="I890" t="s">
        <v>634</v>
      </c>
      <c r="J890">
        <v>0</v>
      </c>
      <c r="K890">
        <v>0</v>
      </c>
    </row>
    <row r="891" spans="1:11" x14ac:dyDescent="0.3">
      <c r="A891">
        <v>890</v>
      </c>
      <c r="B891">
        <v>136</v>
      </c>
      <c r="C891">
        <v>3</v>
      </c>
      <c r="D891">
        <v>817</v>
      </c>
      <c r="E891" t="s">
        <v>651</v>
      </c>
      <c r="F891">
        <v>9.8800000000000008</v>
      </c>
      <c r="G891" t="s">
        <v>623</v>
      </c>
      <c r="H891" s="1">
        <v>46029.404317129629</v>
      </c>
      <c r="I891" t="s">
        <v>634</v>
      </c>
      <c r="J891">
        <v>9.8800000000000008</v>
      </c>
      <c r="K891">
        <v>0</v>
      </c>
    </row>
    <row r="892" spans="1:11" x14ac:dyDescent="0.3">
      <c r="A892">
        <v>891</v>
      </c>
      <c r="B892">
        <v>240</v>
      </c>
      <c r="C892">
        <v>5</v>
      </c>
      <c r="D892">
        <v>818</v>
      </c>
      <c r="E892" t="s">
        <v>651</v>
      </c>
      <c r="F892">
        <v>23.12</v>
      </c>
      <c r="G892" t="s">
        <v>623</v>
      </c>
      <c r="H892" s="1">
        <v>46029.411979166667</v>
      </c>
      <c r="I892" t="s">
        <v>634</v>
      </c>
      <c r="J892">
        <v>23.12</v>
      </c>
      <c r="K892">
        <v>0</v>
      </c>
    </row>
    <row r="893" spans="1:11" x14ac:dyDescent="0.3">
      <c r="A893">
        <v>892</v>
      </c>
      <c r="B893">
        <v>240</v>
      </c>
      <c r="C893">
        <v>4</v>
      </c>
      <c r="D893">
        <v>819</v>
      </c>
      <c r="E893" t="s">
        <v>651</v>
      </c>
      <c r="F893">
        <v>11.93</v>
      </c>
      <c r="G893" t="s">
        <v>623</v>
      </c>
      <c r="H893" s="1">
        <v>46029.475115740737</v>
      </c>
      <c r="I893" t="s">
        <v>634</v>
      </c>
      <c r="J893">
        <v>11.93</v>
      </c>
      <c r="K893">
        <v>0</v>
      </c>
    </row>
    <row r="894" spans="1:11" x14ac:dyDescent="0.3">
      <c r="A894">
        <v>893</v>
      </c>
      <c r="B894">
        <v>217</v>
      </c>
      <c r="C894">
        <v>3</v>
      </c>
      <c r="D894">
        <v>820</v>
      </c>
      <c r="E894" t="s">
        <v>651</v>
      </c>
      <c r="F894">
        <v>2.82</v>
      </c>
      <c r="G894" t="s">
        <v>623</v>
      </c>
      <c r="H894" s="1">
        <v>46029.608298611114</v>
      </c>
      <c r="I894" t="s">
        <v>634</v>
      </c>
      <c r="J894">
        <v>2.82</v>
      </c>
      <c r="K894">
        <v>0</v>
      </c>
    </row>
    <row r="895" spans="1:11" x14ac:dyDescent="0.3">
      <c r="A895">
        <v>894</v>
      </c>
      <c r="B895">
        <v>106</v>
      </c>
      <c r="C895">
        <v>2</v>
      </c>
      <c r="D895">
        <v>821</v>
      </c>
      <c r="E895" t="s">
        <v>651</v>
      </c>
      <c r="F895">
        <v>6.77</v>
      </c>
      <c r="G895" t="s">
        <v>623</v>
      </c>
      <c r="H895" s="1">
        <v>46029.640266203707</v>
      </c>
      <c r="I895" t="s">
        <v>634</v>
      </c>
      <c r="J895">
        <v>6.77</v>
      </c>
      <c r="K895">
        <v>0</v>
      </c>
    </row>
    <row r="896" spans="1:11" x14ac:dyDescent="0.3">
      <c r="A896">
        <v>895</v>
      </c>
      <c r="B896">
        <v>16</v>
      </c>
      <c r="C896">
        <v>3</v>
      </c>
      <c r="D896">
        <v>822</v>
      </c>
      <c r="E896" t="s">
        <v>651</v>
      </c>
      <c r="F896">
        <v>26.94</v>
      </c>
      <c r="G896" t="s">
        <v>623</v>
      </c>
      <c r="H896" s="1">
        <v>46029.647291666668</v>
      </c>
      <c r="I896" t="s">
        <v>634</v>
      </c>
      <c r="J896">
        <v>26.94</v>
      </c>
      <c r="K896">
        <v>0</v>
      </c>
    </row>
    <row r="897" spans="1:11" x14ac:dyDescent="0.3">
      <c r="A897">
        <v>896</v>
      </c>
      <c r="B897">
        <v>297</v>
      </c>
      <c r="C897">
        <v>4</v>
      </c>
      <c r="D897">
        <v>823</v>
      </c>
      <c r="E897" t="s">
        <v>651</v>
      </c>
      <c r="F897">
        <v>9.65</v>
      </c>
      <c r="G897" t="s">
        <v>623</v>
      </c>
      <c r="H897" s="1">
        <v>46029.650706018518</v>
      </c>
      <c r="I897" t="s">
        <v>634</v>
      </c>
      <c r="J897">
        <v>9.65</v>
      </c>
      <c r="K897">
        <v>0</v>
      </c>
    </row>
    <row r="898" spans="1:11" x14ac:dyDescent="0.3">
      <c r="A898">
        <v>897</v>
      </c>
      <c r="B898">
        <v>87</v>
      </c>
      <c r="C898">
        <v>3</v>
      </c>
      <c r="D898">
        <v>824</v>
      </c>
      <c r="E898" t="s">
        <v>651</v>
      </c>
      <c r="F898">
        <v>6.41</v>
      </c>
      <c r="G898" t="s">
        <v>623</v>
      </c>
      <c r="H898" s="1">
        <v>46029.664131944446</v>
      </c>
      <c r="I898" t="s">
        <v>634</v>
      </c>
      <c r="J898">
        <v>6.41</v>
      </c>
      <c r="K898">
        <v>0</v>
      </c>
    </row>
    <row r="899" spans="1:11" x14ac:dyDescent="0.3">
      <c r="A899">
        <v>898</v>
      </c>
      <c r="B899">
        <v>230</v>
      </c>
      <c r="C899">
        <v>5</v>
      </c>
      <c r="D899">
        <v>825</v>
      </c>
      <c r="E899" t="s">
        <v>651</v>
      </c>
      <c r="F899">
        <v>20.37</v>
      </c>
      <c r="G899" t="s">
        <v>623</v>
      </c>
      <c r="H899" s="1">
        <v>46029.748414351852</v>
      </c>
      <c r="I899" t="s">
        <v>634</v>
      </c>
      <c r="J899">
        <v>20.37</v>
      </c>
      <c r="K899">
        <v>0</v>
      </c>
    </row>
    <row r="900" spans="1:11" x14ac:dyDescent="0.3">
      <c r="A900">
        <v>899</v>
      </c>
      <c r="B900">
        <v>87</v>
      </c>
      <c r="C900">
        <v>3</v>
      </c>
      <c r="D900">
        <v>814</v>
      </c>
      <c r="E900" t="s">
        <v>649</v>
      </c>
      <c r="F900">
        <v>-22</v>
      </c>
      <c r="G900" t="s">
        <v>688</v>
      </c>
      <c r="H900" s="1">
        <v>46030.015625</v>
      </c>
      <c r="I900" t="s">
        <v>634</v>
      </c>
      <c r="J900">
        <v>0</v>
      </c>
      <c r="K900">
        <v>0</v>
      </c>
    </row>
    <row r="901" spans="1:11" x14ac:dyDescent="0.3">
      <c r="A901">
        <v>900</v>
      </c>
      <c r="B901">
        <v>136</v>
      </c>
      <c r="C901">
        <v>4</v>
      </c>
      <c r="D901">
        <v>817</v>
      </c>
      <c r="E901" t="s">
        <v>649</v>
      </c>
      <c r="F901">
        <v>-9.8800000000000008</v>
      </c>
      <c r="G901" t="s">
        <v>689</v>
      </c>
      <c r="H901" s="1">
        <v>46030.112650462965</v>
      </c>
      <c r="I901" t="s">
        <v>634</v>
      </c>
      <c r="J901">
        <v>0</v>
      </c>
      <c r="K901">
        <v>0</v>
      </c>
    </row>
    <row r="902" spans="1:11" x14ac:dyDescent="0.3">
      <c r="A902">
        <v>901</v>
      </c>
      <c r="B902">
        <v>13</v>
      </c>
      <c r="C902">
        <v>3</v>
      </c>
      <c r="D902">
        <v>826</v>
      </c>
      <c r="E902" t="s">
        <v>651</v>
      </c>
      <c r="F902">
        <v>4.03</v>
      </c>
      <c r="G902" t="s">
        <v>623</v>
      </c>
      <c r="H902" s="1">
        <v>46030.31821759259</v>
      </c>
      <c r="I902" t="s">
        <v>634</v>
      </c>
      <c r="J902">
        <v>4.03</v>
      </c>
      <c r="K902">
        <v>0</v>
      </c>
    </row>
    <row r="903" spans="1:11" x14ac:dyDescent="0.3">
      <c r="A903">
        <v>902</v>
      </c>
      <c r="B903">
        <v>136</v>
      </c>
      <c r="C903">
        <v>5</v>
      </c>
      <c r="D903">
        <v>827</v>
      </c>
      <c r="E903" t="s">
        <v>651</v>
      </c>
      <c r="F903">
        <v>14.05</v>
      </c>
      <c r="G903" t="s">
        <v>623</v>
      </c>
      <c r="H903" s="1">
        <v>46030.343078703707</v>
      </c>
      <c r="I903" t="s">
        <v>634</v>
      </c>
      <c r="J903">
        <v>14.05</v>
      </c>
      <c r="K903">
        <v>0</v>
      </c>
    </row>
    <row r="904" spans="1:11" x14ac:dyDescent="0.3">
      <c r="A904">
        <v>903</v>
      </c>
      <c r="B904">
        <v>65</v>
      </c>
      <c r="C904">
        <v>4</v>
      </c>
      <c r="D904">
        <v>828</v>
      </c>
      <c r="E904" t="s">
        <v>651</v>
      </c>
      <c r="F904">
        <v>3.84</v>
      </c>
      <c r="G904" t="s">
        <v>623</v>
      </c>
      <c r="H904" s="1">
        <v>46030.40865740741</v>
      </c>
      <c r="I904" t="s">
        <v>634</v>
      </c>
      <c r="J904">
        <v>3.84</v>
      </c>
      <c r="K904">
        <v>0</v>
      </c>
    </row>
    <row r="905" spans="1:11" x14ac:dyDescent="0.3">
      <c r="A905">
        <v>904</v>
      </c>
      <c r="B905">
        <v>137</v>
      </c>
      <c r="C905">
        <v>3</v>
      </c>
      <c r="D905">
        <v>829</v>
      </c>
      <c r="E905" t="s">
        <v>651</v>
      </c>
      <c r="F905">
        <v>3.42</v>
      </c>
      <c r="G905" t="s">
        <v>623</v>
      </c>
      <c r="H905" s="1">
        <v>46030.418564814812</v>
      </c>
      <c r="I905" t="s">
        <v>634</v>
      </c>
      <c r="J905">
        <v>3.42</v>
      </c>
      <c r="K905">
        <v>0</v>
      </c>
    </row>
    <row r="906" spans="1:11" x14ac:dyDescent="0.3">
      <c r="A906">
        <v>905</v>
      </c>
      <c r="B906">
        <v>209</v>
      </c>
      <c r="C906">
        <v>2</v>
      </c>
      <c r="D906">
        <v>830</v>
      </c>
      <c r="E906" t="s">
        <v>651</v>
      </c>
      <c r="F906">
        <v>23.44</v>
      </c>
      <c r="G906" t="s">
        <v>623</v>
      </c>
      <c r="H906" s="1">
        <v>46030.459664351853</v>
      </c>
      <c r="I906" t="s">
        <v>634</v>
      </c>
      <c r="J906">
        <v>23.44</v>
      </c>
      <c r="K906">
        <v>0</v>
      </c>
    </row>
    <row r="907" spans="1:11" x14ac:dyDescent="0.3">
      <c r="A907">
        <v>906</v>
      </c>
      <c r="B907">
        <v>135</v>
      </c>
      <c r="C907">
        <v>3</v>
      </c>
      <c r="D907">
        <v>831</v>
      </c>
      <c r="E907" t="s">
        <v>651</v>
      </c>
      <c r="F907">
        <v>12.98</v>
      </c>
      <c r="G907" t="s">
        <v>623</v>
      </c>
      <c r="H907" s="1">
        <v>46030.474895833337</v>
      </c>
      <c r="I907" t="s">
        <v>634</v>
      </c>
      <c r="J907">
        <v>12.98</v>
      </c>
      <c r="K907">
        <v>0</v>
      </c>
    </row>
    <row r="908" spans="1:11" x14ac:dyDescent="0.3">
      <c r="A908">
        <v>907</v>
      </c>
      <c r="B908">
        <v>144</v>
      </c>
      <c r="C908">
        <v>2</v>
      </c>
      <c r="D908">
        <v>832</v>
      </c>
      <c r="E908" t="s">
        <v>651</v>
      </c>
      <c r="F908">
        <v>7.17</v>
      </c>
      <c r="G908" t="s">
        <v>623</v>
      </c>
      <c r="H908" s="1">
        <v>46030.51054398148</v>
      </c>
      <c r="I908" t="s">
        <v>634</v>
      </c>
      <c r="J908">
        <v>7.17</v>
      </c>
      <c r="K908">
        <v>0</v>
      </c>
    </row>
    <row r="909" spans="1:11" x14ac:dyDescent="0.3">
      <c r="A909">
        <v>908</v>
      </c>
      <c r="B909">
        <v>197</v>
      </c>
      <c r="C909">
        <v>3</v>
      </c>
      <c r="D909">
        <v>833</v>
      </c>
      <c r="E909" t="s">
        <v>651</v>
      </c>
      <c r="F909">
        <v>6.6</v>
      </c>
      <c r="G909" t="s">
        <v>623</v>
      </c>
      <c r="H909" s="1">
        <v>46030.538460648146</v>
      </c>
      <c r="I909" t="s">
        <v>634</v>
      </c>
      <c r="J909">
        <v>6.6</v>
      </c>
      <c r="K909">
        <v>0</v>
      </c>
    </row>
    <row r="910" spans="1:11" x14ac:dyDescent="0.3">
      <c r="A910">
        <v>909</v>
      </c>
      <c r="B910">
        <v>44</v>
      </c>
      <c r="C910">
        <v>4</v>
      </c>
      <c r="D910">
        <v>834</v>
      </c>
      <c r="E910" t="s">
        <v>651</v>
      </c>
      <c r="F910">
        <v>2.29</v>
      </c>
      <c r="G910" t="s">
        <v>623</v>
      </c>
      <c r="H910" s="1">
        <v>46030.550879629627</v>
      </c>
      <c r="I910" t="s">
        <v>634</v>
      </c>
      <c r="J910">
        <v>2.29</v>
      </c>
      <c r="K910">
        <v>0</v>
      </c>
    </row>
    <row r="911" spans="1:11" x14ac:dyDescent="0.3">
      <c r="A911">
        <v>910</v>
      </c>
      <c r="B911">
        <v>290</v>
      </c>
      <c r="C911">
        <v>1</v>
      </c>
      <c r="E911" t="s">
        <v>649</v>
      </c>
      <c r="F911">
        <v>-20.329999999999998</v>
      </c>
      <c r="G911" t="s">
        <v>660</v>
      </c>
      <c r="H911" s="1">
        <v>46030.598310185182</v>
      </c>
      <c r="I911" t="s">
        <v>634</v>
      </c>
      <c r="J911">
        <v>0</v>
      </c>
      <c r="K911">
        <v>0</v>
      </c>
    </row>
    <row r="912" spans="1:11" x14ac:dyDescent="0.3">
      <c r="A912">
        <v>911</v>
      </c>
      <c r="B912">
        <v>209</v>
      </c>
      <c r="C912">
        <v>5</v>
      </c>
      <c r="D912">
        <v>835</v>
      </c>
      <c r="E912" t="s">
        <v>651</v>
      </c>
      <c r="F912">
        <v>25.88</v>
      </c>
      <c r="G912" t="s">
        <v>623</v>
      </c>
      <c r="H912" s="1">
        <v>46030.690358796295</v>
      </c>
      <c r="I912" t="s">
        <v>634</v>
      </c>
      <c r="J912">
        <v>25.88</v>
      </c>
      <c r="K912">
        <v>0</v>
      </c>
    </row>
    <row r="913" spans="1:11" x14ac:dyDescent="0.3">
      <c r="A913">
        <v>912</v>
      </c>
      <c r="B913">
        <v>297</v>
      </c>
      <c r="C913">
        <v>3</v>
      </c>
      <c r="D913">
        <v>836</v>
      </c>
      <c r="E913" t="s">
        <v>651</v>
      </c>
      <c r="F913">
        <v>7.11</v>
      </c>
      <c r="G913" t="s">
        <v>623</v>
      </c>
      <c r="H913" s="1">
        <v>46030.6953125</v>
      </c>
      <c r="I913" t="s">
        <v>634</v>
      </c>
      <c r="J913">
        <v>7.11</v>
      </c>
      <c r="K913">
        <v>0</v>
      </c>
    </row>
    <row r="914" spans="1:11" x14ac:dyDescent="0.3">
      <c r="A914">
        <v>913</v>
      </c>
      <c r="B914">
        <v>244</v>
      </c>
      <c r="C914">
        <v>3</v>
      </c>
      <c r="D914">
        <v>837</v>
      </c>
      <c r="E914" t="s">
        <v>651</v>
      </c>
      <c r="F914">
        <v>12.47</v>
      </c>
      <c r="G914" t="s">
        <v>623</v>
      </c>
      <c r="H914" s="1">
        <v>46030.737766203703</v>
      </c>
      <c r="I914" t="s">
        <v>634</v>
      </c>
      <c r="J914">
        <v>12.47</v>
      </c>
      <c r="K914">
        <v>0</v>
      </c>
    </row>
    <row r="915" spans="1:11" x14ac:dyDescent="0.3">
      <c r="A915">
        <v>914</v>
      </c>
      <c r="B915">
        <v>14</v>
      </c>
      <c r="C915">
        <v>2</v>
      </c>
      <c r="D915">
        <v>838</v>
      </c>
      <c r="E915" t="s">
        <v>651</v>
      </c>
      <c r="F915">
        <v>4.9400000000000004</v>
      </c>
      <c r="G915" t="s">
        <v>623</v>
      </c>
      <c r="H915" s="1">
        <v>46030.775266203702</v>
      </c>
      <c r="I915" t="s">
        <v>634</v>
      </c>
      <c r="J915">
        <v>4.9400000000000004</v>
      </c>
      <c r="K915">
        <v>0</v>
      </c>
    </row>
    <row r="916" spans="1:11" x14ac:dyDescent="0.3">
      <c r="A916">
        <v>915</v>
      </c>
      <c r="B916">
        <v>230</v>
      </c>
      <c r="C916">
        <v>5</v>
      </c>
      <c r="D916">
        <v>825</v>
      </c>
      <c r="E916" t="s">
        <v>649</v>
      </c>
      <c r="F916">
        <v>-20.37</v>
      </c>
      <c r="G916" t="s">
        <v>690</v>
      </c>
      <c r="H916" s="1">
        <v>46030.831747685188</v>
      </c>
      <c r="I916" t="s">
        <v>634</v>
      </c>
      <c r="J916">
        <v>0</v>
      </c>
      <c r="K916">
        <v>0</v>
      </c>
    </row>
    <row r="917" spans="1:11" x14ac:dyDescent="0.3">
      <c r="A917">
        <v>916</v>
      </c>
      <c r="B917">
        <v>14</v>
      </c>
      <c r="C917">
        <v>2</v>
      </c>
      <c r="D917">
        <v>838</v>
      </c>
      <c r="E917" t="s">
        <v>649</v>
      </c>
      <c r="F917">
        <v>-4.9400000000000004</v>
      </c>
      <c r="G917" t="s">
        <v>691</v>
      </c>
      <c r="H917" s="1">
        <v>46031.066932870373</v>
      </c>
      <c r="I917" t="s">
        <v>634</v>
      </c>
      <c r="J917">
        <v>0</v>
      </c>
      <c r="K917">
        <v>0</v>
      </c>
    </row>
    <row r="918" spans="1:11" x14ac:dyDescent="0.3">
      <c r="A918">
        <v>917</v>
      </c>
      <c r="B918">
        <v>186</v>
      </c>
      <c r="C918">
        <v>3</v>
      </c>
      <c r="D918">
        <v>839</v>
      </c>
      <c r="E918" t="s">
        <v>651</v>
      </c>
      <c r="F918">
        <v>8.06</v>
      </c>
      <c r="G918" t="s">
        <v>623</v>
      </c>
      <c r="H918" s="1">
        <v>46031.311388888891</v>
      </c>
      <c r="I918" t="s">
        <v>634</v>
      </c>
      <c r="J918">
        <v>8.06</v>
      </c>
      <c r="K918">
        <v>0</v>
      </c>
    </row>
    <row r="919" spans="1:11" x14ac:dyDescent="0.3">
      <c r="A919">
        <v>918</v>
      </c>
      <c r="B919">
        <v>49</v>
      </c>
      <c r="C919">
        <v>3</v>
      </c>
      <c r="D919">
        <v>840</v>
      </c>
      <c r="E919" t="s">
        <v>651</v>
      </c>
      <c r="F919">
        <v>10.46</v>
      </c>
      <c r="G919" t="s">
        <v>623</v>
      </c>
      <c r="H919" s="1">
        <v>46031.452152777776</v>
      </c>
      <c r="I919" t="s">
        <v>634</v>
      </c>
      <c r="J919">
        <v>10.46</v>
      </c>
      <c r="K919">
        <v>0</v>
      </c>
    </row>
    <row r="920" spans="1:11" x14ac:dyDescent="0.3">
      <c r="A920">
        <v>919</v>
      </c>
      <c r="B920">
        <v>106</v>
      </c>
      <c r="C920">
        <v>5</v>
      </c>
      <c r="D920">
        <v>841</v>
      </c>
      <c r="E920" t="s">
        <v>651</v>
      </c>
      <c r="F920">
        <v>8.98</v>
      </c>
      <c r="G920" t="s">
        <v>623</v>
      </c>
      <c r="H920" s="1">
        <v>46031.549178240741</v>
      </c>
      <c r="I920" t="s">
        <v>634</v>
      </c>
      <c r="J920">
        <v>8.98</v>
      </c>
      <c r="K920">
        <v>0</v>
      </c>
    </row>
    <row r="921" spans="1:11" x14ac:dyDescent="0.3">
      <c r="A921">
        <v>920</v>
      </c>
      <c r="B921">
        <v>11</v>
      </c>
      <c r="C921">
        <v>5</v>
      </c>
      <c r="D921">
        <v>842</v>
      </c>
      <c r="E921" t="s">
        <v>651</v>
      </c>
      <c r="F921">
        <v>11.57</v>
      </c>
      <c r="G921" t="s">
        <v>623</v>
      </c>
      <c r="H921" s="1">
        <v>46031.591898148145</v>
      </c>
      <c r="I921" t="s">
        <v>634</v>
      </c>
      <c r="J921">
        <v>11.57</v>
      </c>
      <c r="K921">
        <v>0</v>
      </c>
    </row>
    <row r="922" spans="1:11" x14ac:dyDescent="0.3">
      <c r="A922">
        <v>921</v>
      </c>
      <c r="B922">
        <v>44</v>
      </c>
      <c r="C922">
        <v>4</v>
      </c>
      <c r="D922">
        <v>834</v>
      </c>
      <c r="E922" t="s">
        <v>649</v>
      </c>
      <c r="F922">
        <v>-2.29</v>
      </c>
      <c r="G922" t="s">
        <v>692</v>
      </c>
      <c r="H922" s="1">
        <v>46031.634212962963</v>
      </c>
      <c r="I922" t="s">
        <v>634</v>
      </c>
      <c r="J922">
        <v>0</v>
      </c>
      <c r="K922">
        <v>0</v>
      </c>
    </row>
    <row r="923" spans="1:11" x14ac:dyDescent="0.3">
      <c r="A923">
        <v>922</v>
      </c>
      <c r="B923">
        <v>80</v>
      </c>
      <c r="C923">
        <v>2</v>
      </c>
      <c r="D923">
        <v>843</v>
      </c>
      <c r="E923" t="s">
        <v>651</v>
      </c>
      <c r="F923">
        <v>3.84</v>
      </c>
      <c r="G923" t="s">
        <v>623</v>
      </c>
      <c r="H923" s="1">
        <v>46031.674120370371</v>
      </c>
      <c r="I923" t="s">
        <v>634</v>
      </c>
      <c r="J923">
        <v>3.84</v>
      </c>
      <c r="K923">
        <v>0</v>
      </c>
    </row>
    <row r="924" spans="1:11" x14ac:dyDescent="0.3">
      <c r="A924">
        <v>923</v>
      </c>
      <c r="B924">
        <v>152</v>
      </c>
      <c r="C924">
        <v>2</v>
      </c>
      <c r="D924">
        <v>844</v>
      </c>
      <c r="E924" t="s">
        <v>651</v>
      </c>
      <c r="F924">
        <v>19.91</v>
      </c>
      <c r="G924" t="s">
        <v>623</v>
      </c>
      <c r="H924" s="1">
        <v>46031.68917824074</v>
      </c>
      <c r="I924" t="s">
        <v>634</v>
      </c>
      <c r="J924">
        <v>19.91</v>
      </c>
      <c r="K924">
        <v>0</v>
      </c>
    </row>
    <row r="925" spans="1:11" x14ac:dyDescent="0.3">
      <c r="A925">
        <v>924</v>
      </c>
      <c r="B925">
        <v>252</v>
      </c>
      <c r="C925">
        <v>2</v>
      </c>
      <c r="D925">
        <v>845</v>
      </c>
      <c r="E925" t="s">
        <v>651</v>
      </c>
      <c r="F925">
        <v>3.94</v>
      </c>
      <c r="G925" t="s">
        <v>623</v>
      </c>
      <c r="H925" s="1">
        <v>46031.689259259256</v>
      </c>
      <c r="I925" t="s">
        <v>634</v>
      </c>
      <c r="J925">
        <v>3.94</v>
      </c>
      <c r="K925">
        <v>0</v>
      </c>
    </row>
    <row r="926" spans="1:11" x14ac:dyDescent="0.3">
      <c r="A926">
        <v>925</v>
      </c>
      <c r="B926">
        <v>215</v>
      </c>
      <c r="C926">
        <v>1</v>
      </c>
      <c r="E926" t="s">
        <v>649</v>
      </c>
      <c r="F926">
        <v>25.36</v>
      </c>
      <c r="G926" t="s">
        <v>656</v>
      </c>
      <c r="H926" s="1">
        <v>46032.200335648151</v>
      </c>
      <c r="I926" t="s">
        <v>634</v>
      </c>
      <c r="J926">
        <v>0</v>
      </c>
      <c r="K926">
        <v>0</v>
      </c>
    </row>
    <row r="927" spans="1:11" x14ac:dyDescent="0.3">
      <c r="A927">
        <v>926</v>
      </c>
      <c r="B927">
        <v>12</v>
      </c>
      <c r="C927">
        <v>5</v>
      </c>
      <c r="D927">
        <v>846</v>
      </c>
      <c r="E927" t="s">
        <v>651</v>
      </c>
      <c r="F927">
        <v>4</v>
      </c>
      <c r="G927" t="s">
        <v>623</v>
      </c>
      <c r="H927" s="1">
        <v>46032.340798611112</v>
      </c>
      <c r="I927" t="s">
        <v>634</v>
      </c>
      <c r="J927">
        <v>4</v>
      </c>
      <c r="K927">
        <v>0</v>
      </c>
    </row>
    <row r="928" spans="1:11" x14ac:dyDescent="0.3">
      <c r="A928">
        <v>927</v>
      </c>
      <c r="B928">
        <v>244</v>
      </c>
      <c r="C928">
        <v>5</v>
      </c>
      <c r="D928">
        <v>847</v>
      </c>
      <c r="E928" t="s">
        <v>651</v>
      </c>
      <c r="F928">
        <v>7.63</v>
      </c>
      <c r="G928" t="s">
        <v>623</v>
      </c>
      <c r="H928" s="1">
        <v>46032.345335648148</v>
      </c>
      <c r="I928" t="s">
        <v>634</v>
      </c>
      <c r="J928">
        <v>7.63</v>
      </c>
      <c r="K928">
        <v>0</v>
      </c>
    </row>
    <row r="929" spans="1:11" x14ac:dyDescent="0.3">
      <c r="A929">
        <v>928</v>
      </c>
      <c r="B929">
        <v>304</v>
      </c>
      <c r="C929">
        <v>5</v>
      </c>
      <c r="D929">
        <v>848</v>
      </c>
      <c r="E929" t="s">
        <v>651</v>
      </c>
      <c r="F929">
        <v>5.33</v>
      </c>
      <c r="G929" t="s">
        <v>623</v>
      </c>
      <c r="H929" s="1">
        <v>46032.350243055553</v>
      </c>
      <c r="I929" t="s">
        <v>634</v>
      </c>
      <c r="J929">
        <v>5.33</v>
      </c>
      <c r="K929">
        <v>0</v>
      </c>
    </row>
    <row r="930" spans="1:11" x14ac:dyDescent="0.3">
      <c r="A930">
        <v>929</v>
      </c>
      <c r="B930">
        <v>8</v>
      </c>
      <c r="C930">
        <v>2</v>
      </c>
      <c r="D930">
        <v>849</v>
      </c>
      <c r="E930" t="s">
        <v>651</v>
      </c>
      <c r="F930">
        <v>2.78</v>
      </c>
      <c r="G930" t="s">
        <v>623</v>
      </c>
      <c r="H930" s="1">
        <v>46032.376608796294</v>
      </c>
      <c r="I930" t="s">
        <v>634</v>
      </c>
      <c r="J930">
        <v>2.78</v>
      </c>
      <c r="K930">
        <v>0</v>
      </c>
    </row>
    <row r="931" spans="1:11" x14ac:dyDescent="0.3">
      <c r="A931">
        <v>930</v>
      </c>
      <c r="B931">
        <v>117</v>
      </c>
      <c r="C931">
        <v>3</v>
      </c>
      <c r="D931">
        <v>850</v>
      </c>
      <c r="E931" t="s">
        <v>657</v>
      </c>
      <c r="F931">
        <v>60.12</v>
      </c>
      <c r="G931" t="s">
        <v>623</v>
      </c>
      <c r="H931" s="1">
        <v>46032.44253472222</v>
      </c>
      <c r="I931" t="s">
        <v>634</v>
      </c>
      <c r="J931">
        <v>0</v>
      </c>
      <c r="K931">
        <v>60.12</v>
      </c>
    </row>
    <row r="932" spans="1:11" x14ac:dyDescent="0.3">
      <c r="A932">
        <v>931</v>
      </c>
      <c r="B932">
        <v>29</v>
      </c>
      <c r="C932">
        <v>3</v>
      </c>
      <c r="D932">
        <v>851</v>
      </c>
      <c r="E932" t="s">
        <v>651</v>
      </c>
      <c r="F932">
        <v>2.27</v>
      </c>
      <c r="G932" t="s">
        <v>623</v>
      </c>
      <c r="H932" s="1">
        <v>46032.499513888892</v>
      </c>
      <c r="I932" t="s">
        <v>634</v>
      </c>
      <c r="J932">
        <v>2.27</v>
      </c>
      <c r="K932">
        <v>0</v>
      </c>
    </row>
    <row r="933" spans="1:11" x14ac:dyDescent="0.3">
      <c r="A933">
        <v>932</v>
      </c>
      <c r="B933">
        <v>39</v>
      </c>
      <c r="C933">
        <v>5</v>
      </c>
      <c r="D933">
        <v>852</v>
      </c>
      <c r="E933" t="s">
        <v>657</v>
      </c>
      <c r="F933">
        <v>134.28</v>
      </c>
      <c r="G933" t="s">
        <v>623</v>
      </c>
      <c r="H933" s="1">
        <v>46032.516863425924</v>
      </c>
      <c r="I933" t="s">
        <v>634</v>
      </c>
      <c r="J933">
        <v>0</v>
      </c>
      <c r="K933">
        <v>134.28</v>
      </c>
    </row>
    <row r="934" spans="1:11" x14ac:dyDescent="0.3">
      <c r="A934">
        <v>933</v>
      </c>
      <c r="B934">
        <v>18</v>
      </c>
      <c r="C934">
        <v>4</v>
      </c>
      <c r="D934">
        <v>853</v>
      </c>
      <c r="E934" t="s">
        <v>651</v>
      </c>
      <c r="F934">
        <v>16.23</v>
      </c>
      <c r="G934" t="s">
        <v>623</v>
      </c>
      <c r="H934" s="1">
        <v>46032.56046296296</v>
      </c>
      <c r="I934" t="s">
        <v>634</v>
      </c>
      <c r="J934">
        <v>16.23</v>
      </c>
      <c r="K934">
        <v>0</v>
      </c>
    </row>
    <row r="935" spans="1:11" x14ac:dyDescent="0.3">
      <c r="A935">
        <v>934</v>
      </c>
      <c r="B935">
        <v>244</v>
      </c>
      <c r="C935">
        <v>3</v>
      </c>
      <c r="D935">
        <v>854</v>
      </c>
      <c r="E935" t="s">
        <v>651</v>
      </c>
      <c r="F935">
        <v>14.14</v>
      </c>
      <c r="G935" t="s">
        <v>623</v>
      </c>
      <c r="H935" s="1">
        <v>46032.622812499998</v>
      </c>
      <c r="I935" t="s">
        <v>634</v>
      </c>
      <c r="J935">
        <v>14.14</v>
      </c>
      <c r="K935">
        <v>0</v>
      </c>
    </row>
    <row r="936" spans="1:11" x14ac:dyDescent="0.3">
      <c r="A936">
        <v>935</v>
      </c>
      <c r="B936">
        <v>247</v>
      </c>
      <c r="C936">
        <v>4</v>
      </c>
      <c r="D936">
        <v>855</v>
      </c>
      <c r="E936" t="s">
        <v>651</v>
      </c>
      <c r="F936">
        <v>4.13</v>
      </c>
      <c r="G936" t="s">
        <v>623</v>
      </c>
      <c r="H936" s="1">
        <v>46032.646631944444</v>
      </c>
      <c r="I936" t="s">
        <v>634</v>
      </c>
      <c r="J936">
        <v>4.13</v>
      </c>
      <c r="K936">
        <v>0</v>
      </c>
    </row>
    <row r="937" spans="1:11" x14ac:dyDescent="0.3">
      <c r="A937">
        <v>936</v>
      </c>
      <c r="B937">
        <v>34</v>
      </c>
      <c r="C937">
        <v>3</v>
      </c>
      <c r="D937">
        <v>856</v>
      </c>
      <c r="E937" t="s">
        <v>651</v>
      </c>
      <c r="F937">
        <v>22.14</v>
      </c>
      <c r="G937" t="s">
        <v>623</v>
      </c>
      <c r="H937" s="1">
        <v>46032.656192129631</v>
      </c>
      <c r="I937" t="s">
        <v>634</v>
      </c>
      <c r="J937">
        <v>22.14</v>
      </c>
      <c r="K937">
        <v>0</v>
      </c>
    </row>
    <row r="938" spans="1:11" x14ac:dyDescent="0.3">
      <c r="A938">
        <v>937</v>
      </c>
      <c r="B938">
        <v>12</v>
      </c>
      <c r="C938">
        <v>2</v>
      </c>
      <c r="D938">
        <v>846</v>
      </c>
      <c r="E938" t="s">
        <v>649</v>
      </c>
      <c r="F938">
        <v>-4</v>
      </c>
      <c r="G938" t="s">
        <v>693</v>
      </c>
      <c r="H938" s="1">
        <v>46032.674131944441</v>
      </c>
      <c r="I938" t="s">
        <v>634</v>
      </c>
      <c r="J938">
        <v>0</v>
      </c>
      <c r="K938">
        <v>0</v>
      </c>
    </row>
    <row r="939" spans="1:11" x14ac:dyDescent="0.3">
      <c r="A939">
        <v>938</v>
      </c>
      <c r="B939">
        <v>148</v>
      </c>
      <c r="C939">
        <v>3</v>
      </c>
      <c r="D939">
        <v>857</v>
      </c>
      <c r="E939" t="s">
        <v>651</v>
      </c>
      <c r="F939">
        <v>3.82</v>
      </c>
      <c r="G939" t="s">
        <v>623</v>
      </c>
      <c r="H939" s="1">
        <v>46032.710173611114</v>
      </c>
      <c r="I939" t="s">
        <v>634</v>
      </c>
      <c r="J939">
        <v>3.82</v>
      </c>
      <c r="K939">
        <v>0</v>
      </c>
    </row>
    <row r="940" spans="1:11" x14ac:dyDescent="0.3">
      <c r="A940">
        <v>939</v>
      </c>
      <c r="B940">
        <v>152</v>
      </c>
      <c r="C940">
        <v>5</v>
      </c>
      <c r="D940">
        <v>858</v>
      </c>
      <c r="E940" t="s">
        <v>651</v>
      </c>
      <c r="F940">
        <v>22.03</v>
      </c>
      <c r="G940" t="s">
        <v>623</v>
      </c>
      <c r="H940" s="1">
        <v>46032.714050925926</v>
      </c>
      <c r="I940" t="s">
        <v>634</v>
      </c>
      <c r="J940">
        <v>22.03</v>
      </c>
      <c r="K940">
        <v>0</v>
      </c>
    </row>
    <row r="941" spans="1:11" x14ac:dyDescent="0.3">
      <c r="A941">
        <v>940</v>
      </c>
      <c r="B941">
        <v>87</v>
      </c>
      <c r="C941">
        <v>2</v>
      </c>
      <c r="D941">
        <v>859</v>
      </c>
      <c r="E941" t="s">
        <v>651</v>
      </c>
      <c r="F941">
        <v>7.85</v>
      </c>
      <c r="G941" t="s">
        <v>623</v>
      </c>
      <c r="H941" s="1">
        <v>46032.767569444448</v>
      </c>
      <c r="I941" t="s">
        <v>634</v>
      </c>
      <c r="J941">
        <v>7.85</v>
      </c>
      <c r="K941">
        <v>0</v>
      </c>
    </row>
    <row r="942" spans="1:11" x14ac:dyDescent="0.3">
      <c r="A942">
        <v>941</v>
      </c>
      <c r="B942">
        <v>247</v>
      </c>
      <c r="C942">
        <v>4</v>
      </c>
      <c r="D942">
        <v>855</v>
      </c>
      <c r="E942" t="s">
        <v>649</v>
      </c>
      <c r="F942">
        <v>-4.13</v>
      </c>
      <c r="G942" t="s">
        <v>694</v>
      </c>
      <c r="H942" s="1">
        <v>46033.10496527778</v>
      </c>
      <c r="I942" t="s">
        <v>634</v>
      </c>
      <c r="J942">
        <v>0</v>
      </c>
      <c r="K942">
        <v>0</v>
      </c>
    </row>
    <row r="943" spans="1:11" x14ac:dyDescent="0.3">
      <c r="A943">
        <v>942</v>
      </c>
      <c r="B943">
        <v>270</v>
      </c>
      <c r="C943">
        <v>1</v>
      </c>
      <c r="E943" t="s">
        <v>649</v>
      </c>
      <c r="F943">
        <v>13.61</v>
      </c>
      <c r="G943" t="s">
        <v>656</v>
      </c>
      <c r="H943" s="1">
        <v>46033.249201388891</v>
      </c>
      <c r="I943" t="s">
        <v>634</v>
      </c>
      <c r="J943">
        <v>0</v>
      </c>
      <c r="K943">
        <v>0</v>
      </c>
    </row>
    <row r="944" spans="1:11" x14ac:dyDescent="0.3">
      <c r="A944">
        <v>943</v>
      </c>
      <c r="B944">
        <v>96</v>
      </c>
      <c r="C944">
        <v>3</v>
      </c>
      <c r="D944">
        <v>860</v>
      </c>
      <c r="E944" t="s">
        <v>651</v>
      </c>
      <c r="F944">
        <v>12.2</v>
      </c>
      <c r="G944" t="s">
        <v>623</v>
      </c>
      <c r="H944" s="1">
        <v>46033.353807870371</v>
      </c>
      <c r="I944" t="s">
        <v>634</v>
      </c>
      <c r="J944">
        <v>12.2</v>
      </c>
      <c r="K944">
        <v>0</v>
      </c>
    </row>
    <row r="945" spans="1:11" x14ac:dyDescent="0.3">
      <c r="A945">
        <v>944</v>
      </c>
      <c r="B945">
        <v>39</v>
      </c>
      <c r="C945">
        <v>2</v>
      </c>
      <c r="D945">
        <v>861</v>
      </c>
      <c r="E945" t="s">
        <v>651</v>
      </c>
      <c r="F945">
        <v>13.79</v>
      </c>
      <c r="G945" t="s">
        <v>623</v>
      </c>
      <c r="H945" s="1">
        <v>46033.420185185183</v>
      </c>
      <c r="I945" t="s">
        <v>634</v>
      </c>
      <c r="J945">
        <v>13.79</v>
      </c>
      <c r="K945">
        <v>0</v>
      </c>
    </row>
    <row r="946" spans="1:11" x14ac:dyDescent="0.3">
      <c r="A946">
        <v>945</v>
      </c>
      <c r="B946">
        <v>64</v>
      </c>
      <c r="C946">
        <v>4</v>
      </c>
      <c r="D946">
        <v>862</v>
      </c>
      <c r="E946" t="s">
        <v>651</v>
      </c>
      <c r="F946">
        <v>3.97</v>
      </c>
      <c r="G946" t="s">
        <v>623</v>
      </c>
      <c r="H946" s="1">
        <v>46033.434895833336</v>
      </c>
      <c r="I946" t="s">
        <v>634</v>
      </c>
      <c r="J946">
        <v>3.97</v>
      </c>
      <c r="K946">
        <v>0</v>
      </c>
    </row>
    <row r="947" spans="1:11" x14ac:dyDescent="0.3">
      <c r="A947">
        <v>946</v>
      </c>
      <c r="B947">
        <v>24</v>
      </c>
      <c r="C947">
        <v>2</v>
      </c>
      <c r="D947">
        <v>863</v>
      </c>
      <c r="E947" t="s">
        <v>651</v>
      </c>
      <c r="F947">
        <v>30</v>
      </c>
      <c r="G947" t="s">
        <v>623</v>
      </c>
      <c r="H947" s="1">
        <v>46033.687662037039</v>
      </c>
      <c r="I947" t="s">
        <v>634</v>
      </c>
      <c r="J947">
        <v>30</v>
      </c>
      <c r="K947">
        <v>0</v>
      </c>
    </row>
    <row r="948" spans="1:11" x14ac:dyDescent="0.3">
      <c r="A948">
        <v>947</v>
      </c>
      <c r="B948">
        <v>40</v>
      </c>
      <c r="C948">
        <v>4</v>
      </c>
      <c r="D948">
        <v>864</v>
      </c>
      <c r="E948" t="s">
        <v>651</v>
      </c>
      <c r="F948">
        <v>9.0299999999999994</v>
      </c>
      <c r="G948" t="s">
        <v>623</v>
      </c>
      <c r="H948" s="1">
        <v>46033.706643518519</v>
      </c>
      <c r="I948" t="s">
        <v>634</v>
      </c>
      <c r="J948">
        <v>9.0299999999999994</v>
      </c>
      <c r="K948">
        <v>0</v>
      </c>
    </row>
    <row r="949" spans="1:11" x14ac:dyDescent="0.3">
      <c r="A949">
        <v>948</v>
      </c>
      <c r="B949">
        <v>163</v>
      </c>
      <c r="C949">
        <v>1</v>
      </c>
      <c r="E949" t="s">
        <v>649</v>
      </c>
      <c r="F949">
        <v>33.33</v>
      </c>
      <c r="G949" t="s">
        <v>660</v>
      </c>
      <c r="H949" s="1">
        <v>46034.316631944443</v>
      </c>
      <c r="I949" t="s">
        <v>634</v>
      </c>
      <c r="J949">
        <v>0</v>
      </c>
      <c r="K949">
        <v>0</v>
      </c>
    </row>
    <row r="950" spans="1:11" x14ac:dyDescent="0.3">
      <c r="A950">
        <v>949</v>
      </c>
      <c r="B950">
        <v>117</v>
      </c>
      <c r="C950">
        <v>2</v>
      </c>
      <c r="D950">
        <v>850</v>
      </c>
      <c r="E950" t="s">
        <v>649</v>
      </c>
      <c r="F950">
        <v>60.12</v>
      </c>
      <c r="G950" t="s">
        <v>695</v>
      </c>
      <c r="H950" s="1">
        <v>46034.31753472222</v>
      </c>
      <c r="I950" t="s">
        <v>634</v>
      </c>
      <c r="J950">
        <v>0</v>
      </c>
      <c r="K950">
        <v>0</v>
      </c>
    </row>
    <row r="951" spans="1:11" x14ac:dyDescent="0.3">
      <c r="A951">
        <v>950</v>
      </c>
      <c r="B951">
        <v>287</v>
      </c>
      <c r="C951">
        <v>4</v>
      </c>
      <c r="D951">
        <v>865</v>
      </c>
      <c r="E951" t="s">
        <v>651</v>
      </c>
      <c r="F951">
        <v>2.31</v>
      </c>
      <c r="G951" t="s">
        <v>623</v>
      </c>
      <c r="H951" s="1">
        <v>46034.317824074074</v>
      </c>
      <c r="I951" t="s">
        <v>634</v>
      </c>
      <c r="J951">
        <v>2.31</v>
      </c>
      <c r="K951">
        <v>0</v>
      </c>
    </row>
    <row r="952" spans="1:11" x14ac:dyDescent="0.3">
      <c r="A952">
        <v>951</v>
      </c>
      <c r="B952">
        <v>300</v>
      </c>
      <c r="C952">
        <v>5</v>
      </c>
      <c r="D952">
        <v>866</v>
      </c>
      <c r="E952" t="s">
        <v>651</v>
      </c>
      <c r="F952">
        <v>11.31</v>
      </c>
      <c r="G952" t="s">
        <v>623</v>
      </c>
      <c r="H952" s="1">
        <v>46034.353217592594</v>
      </c>
      <c r="I952" t="s">
        <v>634</v>
      </c>
      <c r="J952">
        <v>11.31</v>
      </c>
      <c r="K952">
        <v>0</v>
      </c>
    </row>
    <row r="953" spans="1:11" x14ac:dyDescent="0.3">
      <c r="A953">
        <v>952</v>
      </c>
      <c r="B953">
        <v>51</v>
      </c>
      <c r="C953">
        <v>4</v>
      </c>
      <c r="D953">
        <v>867</v>
      </c>
      <c r="E953" t="s">
        <v>651</v>
      </c>
      <c r="F953">
        <v>12.6</v>
      </c>
      <c r="G953" t="s">
        <v>623</v>
      </c>
      <c r="H953" s="1">
        <v>46034.360347222224</v>
      </c>
      <c r="I953" t="s">
        <v>634</v>
      </c>
      <c r="J953">
        <v>12.6</v>
      </c>
      <c r="K953">
        <v>0</v>
      </c>
    </row>
    <row r="954" spans="1:11" x14ac:dyDescent="0.3">
      <c r="A954">
        <v>953</v>
      </c>
      <c r="B954">
        <v>137</v>
      </c>
      <c r="C954">
        <v>2</v>
      </c>
      <c r="D954">
        <v>868</v>
      </c>
      <c r="E954" t="s">
        <v>651</v>
      </c>
      <c r="F954">
        <v>4.1100000000000003</v>
      </c>
      <c r="G954" t="s">
        <v>623</v>
      </c>
      <c r="H954" s="1">
        <v>46034.465902777774</v>
      </c>
      <c r="I954" t="s">
        <v>634</v>
      </c>
      <c r="J954">
        <v>4.1100000000000003</v>
      </c>
      <c r="K954">
        <v>0</v>
      </c>
    </row>
    <row r="955" spans="1:11" x14ac:dyDescent="0.3">
      <c r="A955">
        <v>954</v>
      </c>
      <c r="B955">
        <v>138</v>
      </c>
      <c r="C955">
        <v>3</v>
      </c>
      <c r="D955">
        <v>869</v>
      </c>
      <c r="E955" t="s">
        <v>651</v>
      </c>
      <c r="F955">
        <v>2.91</v>
      </c>
      <c r="G955" t="s">
        <v>623</v>
      </c>
      <c r="H955" s="1">
        <v>46034.544594907406</v>
      </c>
      <c r="I955" t="s">
        <v>634</v>
      </c>
      <c r="J955">
        <v>2.91</v>
      </c>
      <c r="K955">
        <v>0</v>
      </c>
    </row>
    <row r="956" spans="1:11" x14ac:dyDescent="0.3">
      <c r="A956">
        <v>955</v>
      </c>
      <c r="B956">
        <v>31</v>
      </c>
      <c r="C956">
        <v>2</v>
      </c>
      <c r="D956">
        <v>870</v>
      </c>
      <c r="E956" t="s">
        <v>651</v>
      </c>
      <c r="F956">
        <v>2.6</v>
      </c>
      <c r="G956" t="s">
        <v>623</v>
      </c>
      <c r="H956" s="1">
        <v>46034.588055555556</v>
      </c>
      <c r="I956" t="s">
        <v>634</v>
      </c>
      <c r="J956">
        <v>2.6</v>
      </c>
      <c r="K956">
        <v>0</v>
      </c>
    </row>
    <row r="957" spans="1:11" x14ac:dyDescent="0.3">
      <c r="A957">
        <v>956</v>
      </c>
      <c r="B957">
        <v>240</v>
      </c>
      <c r="C957">
        <v>2</v>
      </c>
      <c r="D957">
        <v>871</v>
      </c>
      <c r="E957" t="s">
        <v>651</v>
      </c>
      <c r="F957">
        <v>16.07</v>
      </c>
      <c r="G957" t="s">
        <v>623</v>
      </c>
      <c r="H957" s="1">
        <v>46034.589270833334</v>
      </c>
      <c r="I957" t="s">
        <v>634</v>
      </c>
      <c r="J957">
        <v>16.07</v>
      </c>
      <c r="K957">
        <v>0</v>
      </c>
    </row>
    <row r="958" spans="1:11" x14ac:dyDescent="0.3">
      <c r="A958">
        <v>957</v>
      </c>
      <c r="B958">
        <v>293</v>
      </c>
      <c r="C958">
        <v>5</v>
      </c>
      <c r="D958">
        <v>872</v>
      </c>
      <c r="E958" t="s">
        <v>651</v>
      </c>
      <c r="F958">
        <v>3.02</v>
      </c>
      <c r="G958" t="s">
        <v>623</v>
      </c>
      <c r="H958" s="1">
        <v>46034.597025462965</v>
      </c>
      <c r="I958" t="s">
        <v>634</v>
      </c>
      <c r="J958">
        <v>3.02</v>
      </c>
      <c r="K958">
        <v>0</v>
      </c>
    </row>
    <row r="959" spans="1:11" x14ac:dyDescent="0.3">
      <c r="A959">
        <v>958</v>
      </c>
      <c r="B959">
        <v>155</v>
      </c>
      <c r="C959">
        <v>2</v>
      </c>
      <c r="D959">
        <v>873</v>
      </c>
      <c r="E959" t="s">
        <v>651</v>
      </c>
      <c r="F959">
        <v>6.94</v>
      </c>
      <c r="G959" t="s">
        <v>623</v>
      </c>
      <c r="H959" s="1">
        <v>46034.655173611114</v>
      </c>
      <c r="I959" t="s">
        <v>634</v>
      </c>
      <c r="J959">
        <v>6.94</v>
      </c>
      <c r="K959">
        <v>0</v>
      </c>
    </row>
    <row r="960" spans="1:11" x14ac:dyDescent="0.3">
      <c r="A960">
        <v>959</v>
      </c>
      <c r="B960">
        <v>297</v>
      </c>
      <c r="C960">
        <v>5</v>
      </c>
      <c r="D960">
        <v>874</v>
      </c>
      <c r="E960" t="s">
        <v>651</v>
      </c>
      <c r="F960">
        <v>5.63</v>
      </c>
      <c r="G960" t="s">
        <v>623</v>
      </c>
      <c r="H960" s="1">
        <v>46034.662916666668</v>
      </c>
      <c r="I960" t="s">
        <v>634</v>
      </c>
      <c r="J960">
        <v>5.63</v>
      </c>
      <c r="K960">
        <v>0</v>
      </c>
    </row>
    <row r="961" spans="1:11" x14ac:dyDescent="0.3">
      <c r="A961">
        <v>960</v>
      </c>
      <c r="B961">
        <v>265</v>
      </c>
      <c r="C961">
        <v>4</v>
      </c>
      <c r="D961">
        <v>875</v>
      </c>
      <c r="E961" t="s">
        <v>651</v>
      </c>
      <c r="F961">
        <v>12.43</v>
      </c>
      <c r="G961" t="s">
        <v>623</v>
      </c>
      <c r="H961" s="1">
        <v>46034.700486111113</v>
      </c>
      <c r="I961" t="s">
        <v>634</v>
      </c>
      <c r="J961">
        <v>12.43</v>
      </c>
      <c r="K961">
        <v>0</v>
      </c>
    </row>
    <row r="962" spans="1:11" x14ac:dyDescent="0.3">
      <c r="A962">
        <v>961</v>
      </c>
      <c r="B962">
        <v>39</v>
      </c>
      <c r="C962">
        <v>4</v>
      </c>
      <c r="D962">
        <v>876</v>
      </c>
      <c r="E962" t="s">
        <v>651</v>
      </c>
      <c r="F962">
        <v>17.55</v>
      </c>
      <c r="G962" t="s">
        <v>623</v>
      </c>
      <c r="H962" s="1">
        <v>46034.726574074077</v>
      </c>
      <c r="I962" t="s">
        <v>634</v>
      </c>
      <c r="J962">
        <v>17.55</v>
      </c>
      <c r="K962">
        <v>0</v>
      </c>
    </row>
    <row r="963" spans="1:11" x14ac:dyDescent="0.3">
      <c r="A963">
        <v>962</v>
      </c>
      <c r="B963">
        <v>192</v>
      </c>
      <c r="C963">
        <v>5</v>
      </c>
      <c r="D963">
        <v>877</v>
      </c>
      <c r="E963" t="s">
        <v>651</v>
      </c>
      <c r="F963">
        <v>6.34</v>
      </c>
      <c r="G963" t="s">
        <v>623</v>
      </c>
      <c r="H963" s="1">
        <v>46034.769178240742</v>
      </c>
      <c r="I963" t="s">
        <v>634</v>
      </c>
      <c r="J963">
        <v>6.34</v>
      </c>
      <c r="K963">
        <v>0</v>
      </c>
    </row>
    <row r="964" spans="1:11" x14ac:dyDescent="0.3">
      <c r="A964">
        <v>963</v>
      </c>
      <c r="B964">
        <v>64</v>
      </c>
      <c r="C964">
        <v>1</v>
      </c>
      <c r="E964" t="s">
        <v>649</v>
      </c>
      <c r="F964">
        <v>30.29</v>
      </c>
      <c r="G964" t="s">
        <v>650</v>
      </c>
      <c r="H964" s="1">
        <v>46035.025324074071</v>
      </c>
      <c r="I964" t="s">
        <v>634</v>
      </c>
      <c r="J964">
        <v>0</v>
      </c>
      <c r="K964">
        <v>0</v>
      </c>
    </row>
    <row r="965" spans="1:11" x14ac:dyDescent="0.3">
      <c r="A965">
        <v>964</v>
      </c>
      <c r="B965">
        <v>136</v>
      </c>
      <c r="C965">
        <v>2</v>
      </c>
      <c r="D965">
        <v>878</v>
      </c>
      <c r="E965" t="s">
        <v>651</v>
      </c>
      <c r="F965">
        <v>8.8800000000000008</v>
      </c>
      <c r="G965" t="s">
        <v>623</v>
      </c>
      <c r="H965" s="1">
        <v>46035.318425925929</v>
      </c>
      <c r="I965" t="s">
        <v>634</v>
      </c>
      <c r="J965">
        <v>8.8800000000000008</v>
      </c>
      <c r="K965">
        <v>0</v>
      </c>
    </row>
    <row r="966" spans="1:11" x14ac:dyDescent="0.3">
      <c r="A966">
        <v>965</v>
      </c>
      <c r="B966">
        <v>234</v>
      </c>
      <c r="C966">
        <v>2</v>
      </c>
      <c r="D966">
        <v>879</v>
      </c>
      <c r="E966" t="s">
        <v>651</v>
      </c>
      <c r="F966">
        <v>27.17</v>
      </c>
      <c r="G966" t="s">
        <v>623</v>
      </c>
      <c r="H966" s="1">
        <v>46035.349641203706</v>
      </c>
      <c r="I966" t="s">
        <v>634</v>
      </c>
      <c r="J966">
        <v>27.17</v>
      </c>
      <c r="K966">
        <v>0</v>
      </c>
    </row>
    <row r="967" spans="1:11" x14ac:dyDescent="0.3">
      <c r="A967">
        <v>966</v>
      </c>
      <c r="B967">
        <v>241</v>
      </c>
      <c r="C967">
        <v>3</v>
      </c>
      <c r="D967">
        <v>880</v>
      </c>
      <c r="E967" t="s">
        <v>651</v>
      </c>
      <c r="F967">
        <v>2.76</v>
      </c>
      <c r="G967" t="s">
        <v>623</v>
      </c>
      <c r="H967" s="1">
        <v>46035.35560185185</v>
      </c>
      <c r="I967" t="s">
        <v>634</v>
      </c>
      <c r="J967">
        <v>2.76</v>
      </c>
      <c r="K967">
        <v>0</v>
      </c>
    </row>
    <row r="968" spans="1:11" x14ac:dyDescent="0.3">
      <c r="A968">
        <v>967</v>
      </c>
      <c r="B968">
        <v>262</v>
      </c>
      <c r="C968">
        <v>5</v>
      </c>
      <c r="D968">
        <v>881</v>
      </c>
      <c r="E968" t="s">
        <v>651</v>
      </c>
      <c r="F968">
        <v>11.14</v>
      </c>
      <c r="G968" t="s">
        <v>623</v>
      </c>
      <c r="H968" s="1">
        <v>46035.38795138889</v>
      </c>
      <c r="I968" t="s">
        <v>634</v>
      </c>
      <c r="J968">
        <v>11.14</v>
      </c>
      <c r="K968">
        <v>0</v>
      </c>
    </row>
    <row r="969" spans="1:11" x14ac:dyDescent="0.3">
      <c r="A969">
        <v>968</v>
      </c>
      <c r="B969">
        <v>101</v>
      </c>
      <c r="C969">
        <v>4</v>
      </c>
      <c r="D969">
        <v>882</v>
      </c>
      <c r="E969" t="s">
        <v>651</v>
      </c>
      <c r="F969">
        <v>2.86</v>
      </c>
      <c r="G969" t="s">
        <v>623</v>
      </c>
      <c r="H969" s="1">
        <v>46035.420439814814</v>
      </c>
      <c r="I969" t="s">
        <v>634</v>
      </c>
      <c r="J969">
        <v>2.86</v>
      </c>
      <c r="K969">
        <v>0</v>
      </c>
    </row>
    <row r="970" spans="1:11" x14ac:dyDescent="0.3">
      <c r="A970">
        <v>969</v>
      </c>
      <c r="B970">
        <v>39</v>
      </c>
      <c r="C970">
        <v>3</v>
      </c>
      <c r="D970">
        <v>883</v>
      </c>
      <c r="E970" t="s">
        <v>651</v>
      </c>
      <c r="F970">
        <v>30</v>
      </c>
      <c r="G970" t="s">
        <v>623</v>
      </c>
      <c r="H970" s="1">
        <v>46035.510370370372</v>
      </c>
      <c r="I970" t="s">
        <v>634</v>
      </c>
      <c r="J970">
        <v>30</v>
      </c>
      <c r="K970">
        <v>0</v>
      </c>
    </row>
    <row r="971" spans="1:11" x14ac:dyDescent="0.3">
      <c r="A971">
        <v>970</v>
      </c>
      <c r="B971">
        <v>255</v>
      </c>
      <c r="C971">
        <v>5</v>
      </c>
      <c r="D971">
        <v>884</v>
      </c>
      <c r="E971" t="s">
        <v>651</v>
      </c>
      <c r="F971">
        <v>2.86</v>
      </c>
      <c r="G971" t="s">
        <v>623</v>
      </c>
      <c r="H971" s="1">
        <v>46035.556238425925</v>
      </c>
      <c r="I971" t="s">
        <v>634</v>
      </c>
      <c r="J971">
        <v>2.86</v>
      </c>
      <c r="K971">
        <v>0</v>
      </c>
    </row>
    <row r="972" spans="1:11" x14ac:dyDescent="0.3">
      <c r="A972">
        <v>971</v>
      </c>
      <c r="B972">
        <v>39</v>
      </c>
      <c r="C972">
        <v>5</v>
      </c>
      <c r="D972">
        <v>885</v>
      </c>
      <c r="E972" t="s">
        <v>651</v>
      </c>
      <c r="F972">
        <v>30</v>
      </c>
      <c r="G972" t="s">
        <v>623</v>
      </c>
      <c r="H972" s="1">
        <v>46035.590219907404</v>
      </c>
      <c r="I972" t="s">
        <v>634</v>
      </c>
      <c r="J972">
        <v>30</v>
      </c>
      <c r="K972">
        <v>0</v>
      </c>
    </row>
    <row r="973" spans="1:11" x14ac:dyDescent="0.3">
      <c r="A973">
        <v>972</v>
      </c>
      <c r="B973">
        <v>249</v>
      </c>
      <c r="C973">
        <v>2</v>
      </c>
      <c r="D973">
        <v>886</v>
      </c>
      <c r="E973" t="s">
        <v>651</v>
      </c>
      <c r="F973">
        <v>13.73</v>
      </c>
      <c r="G973" t="s">
        <v>623</v>
      </c>
      <c r="H973" s="1">
        <v>46035.683518518519</v>
      </c>
      <c r="I973" t="s">
        <v>634</v>
      </c>
      <c r="J973">
        <v>13.73</v>
      </c>
      <c r="K973">
        <v>0</v>
      </c>
    </row>
    <row r="974" spans="1:11" x14ac:dyDescent="0.3">
      <c r="A974">
        <v>973</v>
      </c>
      <c r="B974">
        <v>64</v>
      </c>
      <c r="C974">
        <v>3</v>
      </c>
      <c r="D974">
        <v>887</v>
      </c>
      <c r="E974" t="s">
        <v>651</v>
      </c>
      <c r="F974">
        <v>1.59</v>
      </c>
      <c r="G974" t="s">
        <v>623</v>
      </c>
      <c r="H974" s="1">
        <v>46035.683831018519</v>
      </c>
      <c r="I974" t="s">
        <v>634</v>
      </c>
      <c r="J974">
        <v>1.59</v>
      </c>
      <c r="K974">
        <v>0</v>
      </c>
    </row>
    <row r="975" spans="1:11" x14ac:dyDescent="0.3">
      <c r="A975">
        <v>974</v>
      </c>
      <c r="B975">
        <v>14</v>
      </c>
      <c r="C975">
        <v>4</v>
      </c>
      <c r="D975">
        <v>888</v>
      </c>
      <c r="E975" t="s">
        <v>651</v>
      </c>
      <c r="F975">
        <v>3.23</v>
      </c>
      <c r="G975" t="s">
        <v>623</v>
      </c>
      <c r="H975" s="1">
        <v>46035.685856481483</v>
      </c>
      <c r="I975" t="s">
        <v>634</v>
      </c>
      <c r="J975">
        <v>3.23</v>
      </c>
      <c r="K975">
        <v>0</v>
      </c>
    </row>
    <row r="976" spans="1:11" x14ac:dyDescent="0.3">
      <c r="A976">
        <v>975</v>
      </c>
      <c r="B976">
        <v>136</v>
      </c>
      <c r="C976">
        <v>5</v>
      </c>
      <c r="D976">
        <v>878</v>
      </c>
      <c r="E976" t="s">
        <v>649</v>
      </c>
      <c r="F976">
        <v>-8.8800000000000008</v>
      </c>
      <c r="G976" t="s">
        <v>696</v>
      </c>
      <c r="H976" s="1">
        <v>46035.818425925929</v>
      </c>
      <c r="I976" t="s">
        <v>634</v>
      </c>
      <c r="J976">
        <v>0</v>
      </c>
      <c r="K976">
        <v>0</v>
      </c>
    </row>
    <row r="977" spans="1:11" x14ac:dyDescent="0.3">
      <c r="A977">
        <v>976</v>
      </c>
      <c r="B977">
        <v>156</v>
      </c>
      <c r="C977">
        <v>2</v>
      </c>
      <c r="D977">
        <v>889</v>
      </c>
      <c r="E977" t="s">
        <v>651</v>
      </c>
      <c r="F977">
        <v>4.51</v>
      </c>
      <c r="G977" t="s">
        <v>623</v>
      </c>
      <c r="H977" s="1">
        <v>46035.822627314818</v>
      </c>
      <c r="I977" t="s">
        <v>634</v>
      </c>
      <c r="J977">
        <v>4.51</v>
      </c>
      <c r="K977">
        <v>0</v>
      </c>
    </row>
    <row r="978" spans="1:11" x14ac:dyDescent="0.3">
      <c r="A978">
        <v>977</v>
      </c>
      <c r="B978">
        <v>48</v>
      </c>
      <c r="C978">
        <v>4</v>
      </c>
      <c r="D978">
        <v>890</v>
      </c>
      <c r="E978" t="s">
        <v>651</v>
      </c>
      <c r="F978">
        <v>8.44</v>
      </c>
      <c r="G978" t="s">
        <v>623</v>
      </c>
      <c r="H978" s="1">
        <v>46036.33289351852</v>
      </c>
      <c r="I978" t="s">
        <v>634</v>
      </c>
      <c r="J978">
        <v>8.44</v>
      </c>
      <c r="K978">
        <v>0</v>
      </c>
    </row>
    <row r="979" spans="1:11" x14ac:dyDescent="0.3">
      <c r="A979">
        <v>978</v>
      </c>
      <c r="B979">
        <v>28</v>
      </c>
      <c r="C979">
        <v>5</v>
      </c>
      <c r="D979">
        <v>891</v>
      </c>
      <c r="E979" t="s">
        <v>651</v>
      </c>
      <c r="F979">
        <v>3</v>
      </c>
      <c r="G979" t="s">
        <v>623</v>
      </c>
      <c r="H979" s="1">
        <v>46036.359039351853</v>
      </c>
      <c r="I979" t="s">
        <v>634</v>
      </c>
      <c r="J979">
        <v>3</v>
      </c>
      <c r="K979">
        <v>0</v>
      </c>
    </row>
    <row r="980" spans="1:11" x14ac:dyDescent="0.3">
      <c r="A980">
        <v>979</v>
      </c>
      <c r="B980">
        <v>288</v>
      </c>
      <c r="C980">
        <v>2</v>
      </c>
      <c r="D980">
        <v>892</v>
      </c>
      <c r="E980" t="s">
        <v>651</v>
      </c>
      <c r="F980">
        <v>4.38</v>
      </c>
      <c r="G980" t="s">
        <v>623</v>
      </c>
      <c r="H980" s="1">
        <v>46036.399328703701</v>
      </c>
      <c r="I980" t="s">
        <v>634</v>
      </c>
      <c r="J980">
        <v>4.38</v>
      </c>
      <c r="K980">
        <v>0</v>
      </c>
    </row>
    <row r="981" spans="1:11" x14ac:dyDescent="0.3">
      <c r="A981">
        <v>980</v>
      </c>
      <c r="B981">
        <v>202</v>
      </c>
      <c r="C981">
        <v>4</v>
      </c>
      <c r="D981">
        <v>893</v>
      </c>
      <c r="E981" t="s">
        <v>651</v>
      </c>
      <c r="F981">
        <v>2.3199999999999998</v>
      </c>
      <c r="G981" t="s">
        <v>623</v>
      </c>
      <c r="H981" s="1">
        <v>46036.401365740741</v>
      </c>
      <c r="I981" t="s">
        <v>634</v>
      </c>
      <c r="J981">
        <v>2.3199999999999998</v>
      </c>
      <c r="K981">
        <v>0</v>
      </c>
    </row>
    <row r="982" spans="1:11" x14ac:dyDescent="0.3">
      <c r="A982">
        <v>981</v>
      </c>
      <c r="B982">
        <v>255</v>
      </c>
      <c r="C982">
        <v>3</v>
      </c>
      <c r="D982">
        <v>894</v>
      </c>
      <c r="E982" t="s">
        <v>651</v>
      </c>
      <c r="F982">
        <v>2.9</v>
      </c>
      <c r="G982" t="s">
        <v>623</v>
      </c>
      <c r="H982" s="1">
        <v>46036.402407407404</v>
      </c>
      <c r="I982" t="s">
        <v>634</v>
      </c>
      <c r="J982">
        <v>2.9</v>
      </c>
      <c r="K982">
        <v>0</v>
      </c>
    </row>
    <row r="983" spans="1:11" x14ac:dyDescent="0.3">
      <c r="A983">
        <v>982</v>
      </c>
      <c r="B983">
        <v>89</v>
      </c>
      <c r="C983">
        <v>3</v>
      </c>
      <c r="D983">
        <v>895</v>
      </c>
      <c r="E983" t="s">
        <v>651</v>
      </c>
      <c r="F983">
        <v>17.79</v>
      </c>
      <c r="G983" t="s">
        <v>623</v>
      </c>
      <c r="H983" s="1">
        <v>46036.535185185188</v>
      </c>
      <c r="I983" t="s">
        <v>634</v>
      </c>
      <c r="J983">
        <v>17.79</v>
      </c>
      <c r="K983">
        <v>0</v>
      </c>
    </row>
    <row r="984" spans="1:11" x14ac:dyDescent="0.3">
      <c r="A984">
        <v>983</v>
      </c>
      <c r="B984">
        <v>87</v>
      </c>
      <c r="C984">
        <v>4</v>
      </c>
      <c r="D984">
        <v>896</v>
      </c>
      <c r="E984" t="s">
        <v>651</v>
      </c>
      <c r="F984">
        <v>11.03</v>
      </c>
      <c r="G984" t="s">
        <v>623</v>
      </c>
      <c r="H984" s="1">
        <v>46036.601006944446</v>
      </c>
      <c r="I984" t="s">
        <v>634</v>
      </c>
      <c r="J984">
        <v>11.03</v>
      </c>
      <c r="K984">
        <v>0</v>
      </c>
    </row>
    <row r="985" spans="1:11" x14ac:dyDescent="0.3">
      <c r="A985">
        <v>984</v>
      </c>
      <c r="B985">
        <v>264</v>
      </c>
      <c r="C985">
        <v>2</v>
      </c>
      <c r="D985">
        <v>897</v>
      </c>
      <c r="E985" t="s">
        <v>651</v>
      </c>
      <c r="F985">
        <v>17.14</v>
      </c>
      <c r="G985" t="s">
        <v>623</v>
      </c>
      <c r="H985" s="1">
        <v>46036.664085648146</v>
      </c>
      <c r="I985" t="s">
        <v>634</v>
      </c>
      <c r="J985">
        <v>17.14</v>
      </c>
      <c r="K985">
        <v>0</v>
      </c>
    </row>
    <row r="986" spans="1:11" x14ac:dyDescent="0.3">
      <c r="A986">
        <v>985</v>
      </c>
      <c r="B986">
        <v>113</v>
      </c>
      <c r="C986">
        <v>4</v>
      </c>
      <c r="D986">
        <v>898</v>
      </c>
      <c r="E986" t="s">
        <v>651</v>
      </c>
      <c r="F986">
        <v>2.19</v>
      </c>
      <c r="G986" t="s">
        <v>623</v>
      </c>
      <c r="H986" s="1">
        <v>46036.717777777776</v>
      </c>
      <c r="I986" t="s">
        <v>634</v>
      </c>
      <c r="J986">
        <v>2.19</v>
      </c>
      <c r="K986">
        <v>0</v>
      </c>
    </row>
    <row r="987" spans="1:11" x14ac:dyDescent="0.3">
      <c r="A987">
        <v>986</v>
      </c>
      <c r="B987">
        <v>65</v>
      </c>
      <c r="C987">
        <v>1</v>
      </c>
      <c r="E987" t="s">
        <v>649</v>
      </c>
      <c r="F987">
        <v>11.15</v>
      </c>
      <c r="G987" t="s">
        <v>660</v>
      </c>
      <c r="H987" s="1">
        <v>46036.723865740743</v>
      </c>
      <c r="I987" t="s">
        <v>634</v>
      </c>
      <c r="J987">
        <v>0</v>
      </c>
      <c r="K987">
        <v>0</v>
      </c>
    </row>
    <row r="988" spans="1:11" x14ac:dyDescent="0.3">
      <c r="A988">
        <v>987</v>
      </c>
      <c r="B988">
        <v>136</v>
      </c>
      <c r="C988">
        <v>5</v>
      </c>
      <c r="D988">
        <v>899</v>
      </c>
      <c r="E988" t="s">
        <v>651</v>
      </c>
      <c r="F988">
        <v>12.15</v>
      </c>
      <c r="G988" t="s">
        <v>623</v>
      </c>
      <c r="H988" s="1">
        <v>46037.372361111113</v>
      </c>
      <c r="I988" t="s">
        <v>634</v>
      </c>
      <c r="J988">
        <v>12.15</v>
      </c>
      <c r="K988">
        <v>0</v>
      </c>
    </row>
    <row r="989" spans="1:11" x14ac:dyDescent="0.3">
      <c r="A989">
        <v>988</v>
      </c>
      <c r="B989">
        <v>6</v>
      </c>
      <c r="C989">
        <v>5</v>
      </c>
      <c r="D989">
        <v>900</v>
      </c>
      <c r="E989" t="s">
        <v>651</v>
      </c>
      <c r="F989">
        <v>2.19</v>
      </c>
      <c r="G989" t="s">
        <v>623</v>
      </c>
      <c r="H989" s="1">
        <v>46037.39130787037</v>
      </c>
      <c r="I989" t="s">
        <v>634</v>
      </c>
      <c r="J989">
        <v>2.19</v>
      </c>
      <c r="K989">
        <v>0</v>
      </c>
    </row>
    <row r="990" spans="1:11" x14ac:dyDescent="0.3">
      <c r="A990">
        <v>989</v>
      </c>
      <c r="B990">
        <v>39</v>
      </c>
      <c r="C990">
        <v>5</v>
      </c>
      <c r="D990">
        <v>901</v>
      </c>
      <c r="E990" t="s">
        <v>651</v>
      </c>
      <c r="F990">
        <v>22.24</v>
      </c>
      <c r="G990" t="s">
        <v>623</v>
      </c>
      <c r="H990" s="1">
        <v>46037.404907407406</v>
      </c>
      <c r="I990" t="s">
        <v>634</v>
      </c>
      <c r="J990">
        <v>22.24</v>
      </c>
      <c r="K990">
        <v>0</v>
      </c>
    </row>
    <row r="991" spans="1:11" x14ac:dyDescent="0.3">
      <c r="A991">
        <v>990</v>
      </c>
      <c r="B991">
        <v>137</v>
      </c>
      <c r="C991">
        <v>2</v>
      </c>
      <c r="D991">
        <v>902</v>
      </c>
      <c r="E991" t="s">
        <v>651</v>
      </c>
      <c r="F991">
        <v>2.59</v>
      </c>
      <c r="G991" t="s">
        <v>623</v>
      </c>
      <c r="H991" s="1">
        <v>46037.408101851855</v>
      </c>
      <c r="I991" t="s">
        <v>634</v>
      </c>
      <c r="J991">
        <v>2.59</v>
      </c>
      <c r="K991">
        <v>0</v>
      </c>
    </row>
    <row r="992" spans="1:11" x14ac:dyDescent="0.3">
      <c r="A992">
        <v>991</v>
      </c>
      <c r="B992">
        <v>137</v>
      </c>
      <c r="C992">
        <v>2</v>
      </c>
      <c r="D992">
        <v>903</v>
      </c>
      <c r="E992" t="s">
        <v>651</v>
      </c>
      <c r="F992">
        <v>2.57</v>
      </c>
      <c r="G992" t="s">
        <v>623</v>
      </c>
      <c r="H992" s="1">
        <v>46037.522407407407</v>
      </c>
      <c r="I992" t="s">
        <v>634</v>
      </c>
      <c r="J992">
        <v>2.57</v>
      </c>
      <c r="K992">
        <v>0</v>
      </c>
    </row>
    <row r="993" spans="1:11" x14ac:dyDescent="0.3">
      <c r="A993">
        <v>992</v>
      </c>
      <c r="B993">
        <v>37</v>
      </c>
      <c r="C993">
        <v>3</v>
      </c>
      <c r="D993">
        <v>904</v>
      </c>
      <c r="E993" t="s">
        <v>651</v>
      </c>
      <c r="F993">
        <v>7.12</v>
      </c>
      <c r="G993" t="s">
        <v>623</v>
      </c>
      <c r="H993" s="1">
        <v>46037.578773148147</v>
      </c>
      <c r="I993" t="s">
        <v>634</v>
      </c>
      <c r="J993">
        <v>7.12</v>
      </c>
      <c r="K993">
        <v>0</v>
      </c>
    </row>
    <row r="994" spans="1:11" x14ac:dyDescent="0.3">
      <c r="A994">
        <v>993</v>
      </c>
      <c r="B994">
        <v>39</v>
      </c>
      <c r="C994">
        <v>5</v>
      </c>
      <c r="D994">
        <v>905</v>
      </c>
      <c r="E994" t="s">
        <v>651</v>
      </c>
      <c r="F994">
        <v>13.56</v>
      </c>
      <c r="G994" t="s">
        <v>623</v>
      </c>
      <c r="H994" s="1">
        <v>46037.633750000001</v>
      </c>
      <c r="I994" t="s">
        <v>634</v>
      </c>
      <c r="J994">
        <v>13.56</v>
      </c>
      <c r="K994">
        <v>0</v>
      </c>
    </row>
    <row r="995" spans="1:11" x14ac:dyDescent="0.3">
      <c r="A995">
        <v>994</v>
      </c>
      <c r="B995">
        <v>117</v>
      </c>
      <c r="C995">
        <v>2</v>
      </c>
      <c r="D995">
        <v>906</v>
      </c>
      <c r="E995" t="s">
        <v>657</v>
      </c>
      <c r="F995">
        <v>172.55</v>
      </c>
      <c r="G995" t="s">
        <v>623</v>
      </c>
      <c r="H995" s="1">
        <v>46037.777465277781</v>
      </c>
      <c r="I995" t="s">
        <v>634</v>
      </c>
      <c r="J995">
        <v>0</v>
      </c>
      <c r="K995">
        <v>172.55</v>
      </c>
    </row>
    <row r="996" spans="1:11" x14ac:dyDescent="0.3">
      <c r="A996">
        <v>995</v>
      </c>
      <c r="B996">
        <v>136</v>
      </c>
      <c r="C996">
        <v>4</v>
      </c>
      <c r="D996">
        <v>907</v>
      </c>
      <c r="E996" t="s">
        <v>651</v>
      </c>
      <c r="F996">
        <v>7.41</v>
      </c>
      <c r="G996" t="s">
        <v>623</v>
      </c>
      <c r="H996" s="1">
        <v>46037.780057870368</v>
      </c>
      <c r="I996" t="s">
        <v>634</v>
      </c>
      <c r="J996">
        <v>7.41</v>
      </c>
      <c r="K996">
        <v>0</v>
      </c>
    </row>
    <row r="997" spans="1:11" x14ac:dyDescent="0.3">
      <c r="A997">
        <v>996</v>
      </c>
      <c r="B997">
        <v>279</v>
      </c>
      <c r="C997">
        <v>4</v>
      </c>
      <c r="D997">
        <v>908</v>
      </c>
      <c r="E997" t="s">
        <v>651</v>
      </c>
      <c r="F997">
        <v>9.9499999999999993</v>
      </c>
      <c r="G997" t="s">
        <v>623</v>
      </c>
      <c r="H997" s="1">
        <v>46037.785787037035</v>
      </c>
      <c r="I997" t="s">
        <v>634</v>
      </c>
      <c r="J997">
        <v>9.9499999999999993</v>
      </c>
      <c r="K997">
        <v>0</v>
      </c>
    </row>
    <row r="998" spans="1:11" x14ac:dyDescent="0.3">
      <c r="A998">
        <v>997</v>
      </c>
      <c r="B998">
        <v>39</v>
      </c>
      <c r="C998">
        <v>5</v>
      </c>
      <c r="D998">
        <v>909</v>
      </c>
      <c r="E998" t="s">
        <v>651</v>
      </c>
      <c r="F998">
        <v>17.84</v>
      </c>
      <c r="G998" t="s">
        <v>623</v>
      </c>
      <c r="H998" s="1">
        <v>46038.304398148146</v>
      </c>
      <c r="I998" t="s">
        <v>634</v>
      </c>
      <c r="J998">
        <v>17.84</v>
      </c>
      <c r="K998">
        <v>0</v>
      </c>
    </row>
    <row r="999" spans="1:11" x14ac:dyDescent="0.3">
      <c r="A999">
        <v>998</v>
      </c>
      <c r="B999">
        <v>138</v>
      </c>
      <c r="C999">
        <v>2</v>
      </c>
      <c r="D999">
        <v>910</v>
      </c>
      <c r="E999" t="s">
        <v>651</v>
      </c>
      <c r="F999">
        <v>3.85</v>
      </c>
      <c r="G999" t="s">
        <v>623</v>
      </c>
      <c r="H999" s="1">
        <v>46038.448993055557</v>
      </c>
      <c r="I999" t="s">
        <v>634</v>
      </c>
      <c r="J999">
        <v>3.85</v>
      </c>
      <c r="K999">
        <v>0</v>
      </c>
    </row>
    <row r="1000" spans="1:11" x14ac:dyDescent="0.3">
      <c r="A1000">
        <v>999</v>
      </c>
      <c r="B1000">
        <v>47</v>
      </c>
      <c r="C1000">
        <v>5</v>
      </c>
      <c r="D1000">
        <v>911</v>
      </c>
      <c r="E1000" t="s">
        <v>651</v>
      </c>
      <c r="F1000">
        <v>3.81</v>
      </c>
      <c r="G1000" t="s">
        <v>623</v>
      </c>
      <c r="H1000" s="1">
        <v>46038.508240740739</v>
      </c>
      <c r="I1000" t="s">
        <v>634</v>
      </c>
      <c r="J1000">
        <v>3.81</v>
      </c>
      <c r="K1000">
        <v>0</v>
      </c>
    </row>
    <row r="1001" spans="1:11" x14ac:dyDescent="0.3">
      <c r="A1001">
        <v>1000</v>
      </c>
      <c r="B1001">
        <v>279</v>
      </c>
      <c r="C1001">
        <v>4</v>
      </c>
      <c r="D1001">
        <v>912</v>
      </c>
      <c r="E1001" t="s">
        <v>651</v>
      </c>
      <c r="F1001">
        <v>16.14</v>
      </c>
      <c r="G1001" t="s">
        <v>623</v>
      </c>
      <c r="H1001" s="1">
        <v>46038.674317129633</v>
      </c>
      <c r="I1001" t="s">
        <v>634</v>
      </c>
      <c r="J1001">
        <v>16.14</v>
      </c>
      <c r="K1001">
        <v>0</v>
      </c>
    </row>
    <row r="1002" spans="1:11" x14ac:dyDescent="0.3">
      <c r="A1002">
        <v>1001</v>
      </c>
      <c r="B1002">
        <v>16</v>
      </c>
      <c r="C1002">
        <v>4</v>
      </c>
      <c r="D1002">
        <v>913</v>
      </c>
      <c r="E1002" t="s">
        <v>651</v>
      </c>
      <c r="F1002">
        <v>18.14</v>
      </c>
      <c r="G1002" t="s">
        <v>623</v>
      </c>
      <c r="H1002" s="1">
        <v>46038.742349537039</v>
      </c>
      <c r="I1002" t="s">
        <v>634</v>
      </c>
      <c r="J1002">
        <v>18.14</v>
      </c>
      <c r="K1002">
        <v>0</v>
      </c>
    </row>
    <row r="1003" spans="1:11" x14ac:dyDescent="0.3">
      <c r="A1003">
        <v>1002</v>
      </c>
      <c r="B1003">
        <v>52</v>
      </c>
      <c r="C1003">
        <v>5</v>
      </c>
      <c r="D1003">
        <v>914</v>
      </c>
      <c r="E1003" t="s">
        <v>651</v>
      </c>
      <c r="F1003">
        <v>3.46</v>
      </c>
      <c r="G1003" t="s">
        <v>623</v>
      </c>
      <c r="H1003" s="1">
        <v>46038.797731481478</v>
      </c>
      <c r="I1003" t="s">
        <v>634</v>
      </c>
      <c r="J1003">
        <v>3.46</v>
      </c>
      <c r="K1003">
        <v>0</v>
      </c>
    </row>
    <row r="1004" spans="1:11" x14ac:dyDescent="0.3">
      <c r="A1004">
        <v>1003</v>
      </c>
      <c r="B1004">
        <v>186</v>
      </c>
      <c r="C1004">
        <v>2</v>
      </c>
      <c r="D1004">
        <v>915</v>
      </c>
      <c r="E1004" t="s">
        <v>651</v>
      </c>
      <c r="F1004">
        <v>6.11</v>
      </c>
      <c r="G1004" t="s">
        <v>623</v>
      </c>
      <c r="H1004" s="1">
        <v>46039.306527777779</v>
      </c>
      <c r="I1004" t="s">
        <v>634</v>
      </c>
      <c r="J1004">
        <v>6.11</v>
      </c>
      <c r="K1004">
        <v>0</v>
      </c>
    </row>
    <row r="1005" spans="1:11" x14ac:dyDescent="0.3">
      <c r="A1005">
        <v>1004</v>
      </c>
      <c r="B1005">
        <v>39</v>
      </c>
      <c r="C1005">
        <v>3</v>
      </c>
      <c r="D1005">
        <v>916</v>
      </c>
      <c r="E1005" t="s">
        <v>651</v>
      </c>
      <c r="F1005">
        <v>16.079999999999998</v>
      </c>
      <c r="G1005" t="s">
        <v>623</v>
      </c>
      <c r="H1005" s="1">
        <v>46039.350474537037</v>
      </c>
      <c r="I1005" t="s">
        <v>634</v>
      </c>
      <c r="J1005">
        <v>16.079999999999998</v>
      </c>
      <c r="K1005">
        <v>0</v>
      </c>
    </row>
    <row r="1006" spans="1:11" x14ac:dyDescent="0.3">
      <c r="A1006">
        <v>1005</v>
      </c>
      <c r="B1006">
        <v>106</v>
      </c>
      <c r="C1006">
        <v>2</v>
      </c>
      <c r="D1006">
        <v>917</v>
      </c>
      <c r="E1006" t="s">
        <v>651</v>
      </c>
      <c r="F1006">
        <v>6.78</v>
      </c>
      <c r="G1006" t="s">
        <v>623</v>
      </c>
      <c r="H1006" s="1">
        <v>46039.367349537039</v>
      </c>
      <c r="I1006" t="s">
        <v>634</v>
      </c>
      <c r="J1006">
        <v>6.78</v>
      </c>
      <c r="K1006">
        <v>0</v>
      </c>
    </row>
    <row r="1007" spans="1:11" x14ac:dyDescent="0.3">
      <c r="A1007">
        <v>1006</v>
      </c>
      <c r="B1007">
        <v>14</v>
      </c>
      <c r="C1007">
        <v>1</v>
      </c>
      <c r="E1007" t="s">
        <v>649</v>
      </c>
      <c r="F1007">
        <v>19.170000000000002</v>
      </c>
      <c r="G1007" t="s">
        <v>652</v>
      </c>
      <c r="H1007" s="1">
        <v>46039.382395833331</v>
      </c>
      <c r="I1007" t="s">
        <v>634</v>
      </c>
      <c r="J1007">
        <v>0</v>
      </c>
      <c r="K1007">
        <v>0</v>
      </c>
    </row>
    <row r="1008" spans="1:11" x14ac:dyDescent="0.3">
      <c r="A1008">
        <v>1007</v>
      </c>
      <c r="B1008">
        <v>279</v>
      </c>
      <c r="C1008">
        <v>4</v>
      </c>
      <c r="D1008">
        <v>918</v>
      </c>
      <c r="E1008" t="s">
        <v>651</v>
      </c>
      <c r="F1008">
        <v>20.87</v>
      </c>
      <c r="G1008" t="s">
        <v>623</v>
      </c>
      <c r="H1008" s="1">
        <v>46039.40284722222</v>
      </c>
      <c r="I1008" t="s">
        <v>634</v>
      </c>
      <c r="J1008">
        <v>20.87</v>
      </c>
      <c r="K1008">
        <v>0</v>
      </c>
    </row>
    <row r="1009" spans="1:11" x14ac:dyDescent="0.3">
      <c r="A1009">
        <v>1008</v>
      </c>
      <c r="B1009">
        <v>215</v>
      </c>
      <c r="C1009">
        <v>3</v>
      </c>
      <c r="D1009">
        <v>919</v>
      </c>
      <c r="E1009" t="s">
        <v>651</v>
      </c>
      <c r="F1009">
        <v>4.13</v>
      </c>
      <c r="G1009" t="s">
        <v>623</v>
      </c>
      <c r="H1009" s="1">
        <v>46039.406006944446</v>
      </c>
      <c r="I1009" t="s">
        <v>634</v>
      </c>
      <c r="J1009">
        <v>4.13</v>
      </c>
      <c r="K1009">
        <v>0</v>
      </c>
    </row>
    <row r="1010" spans="1:11" x14ac:dyDescent="0.3">
      <c r="A1010">
        <v>1009</v>
      </c>
      <c r="B1010">
        <v>65</v>
      </c>
      <c r="C1010">
        <v>5</v>
      </c>
      <c r="D1010">
        <v>920</v>
      </c>
      <c r="E1010" t="s">
        <v>651</v>
      </c>
      <c r="F1010">
        <v>2.4900000000000002</v>
      </c>
      <c r="G1010" t="s">
        <v>623</v>
      </c>
      <c r="H1010" s="1">
        <v>46039.417754629627</v>
      </c>
      <c r="I1010" t="s">
        <v>634</v>
      </c>
      <c r="J1010">
        <v>2.4900000000000002</v>
      </c>
      <c r="K1010">
        <v>0</v>
      </c>
    </row>
    <row r="1011" spans="1:11" x14ac:dyDescent="0.3">
      <c r="A1011">
        <v>1010</v>
      </c>
      <c r="B1011">
        <v>10</v>
      </c>
      <c r="C1011">
        <v>4</v>
      </c>
      <c r="D1011">
        <v>921</v>
      </c>
      <c r="E1011" t="s">
        <v>651</v>
      </c>
      <c r="F1011">
        <v>11.96</v>
      </c>
      <c r="G1011" t="s">
        <v>623</v>
      </c>
      <c r="H1011" s="1">
        <v>46039.452291666668</v>
      </c>
      <c r="I1011" t="s">
        <v>634</v>
      </c>
      <c r="J1011">
        <v>11.96</v>
      </c>
      <c r="K1011">
        <v>0</v>
      </c>
    </row>
    <row r="1012" spans="1:11" x14ac:dyDescent="0.3">
      <c r="A1012">
        <v>1011</v>
      </c>
      <c r="B1012">
        <v>227</v>
      </c>
      <c r="C1012">
        <v>3</v>
      </c>
      <c r="D1012">
        <v>922</v>
      </c>
      <c r="E1012" t="s">
        <v>651</v>
      </c>
      <c r="F1012">
        <v>2.21</v>
      </c>
      <c r="G1012" t="s">
        <v>623</v>
      </c>
      <c r="H1012" s="1">
        <v>46039.457638888889</v>
      </c>
      <c r="I1012" t="s">
        <v>634</v>
      </c>
      <c r="J1012">
        <v>2.21</v>
      </c>
      <c r="K1012">
        <v>0</v>
      </c>
    </row>
    <row r="1013" spans="1:11" x14ac:dyDescent="0.3">
      <c r="A1013">
        <v>1012</v>
      </c>
      <c r="B1013">
        <v>156</v>
      </c>
      <c r="C1013">
        <v>4</v>
      </c>
      <c r="D1013">
        <v>923</v>
      </c>
      <c r="E1013" t="s">
        <v>651</v>
      </c>
      <c r="F1013">
        <v>3.23</v>
      </c>
      <c r="G1013" t="s">
        <v>623</v>
      </c>
      <c r="H1013" s="1">
        <v>46039.462430555555</v>
      </c>
      <c r="I1013" t="s">
        <v>634</v>
      </c>
      <c r="J1013">
        <v>3.23</v>
      </c>
      <c r="K1013">
        <v>0</v>
      </c>
    </row>
    <row r="1014" spans="1:11" x14ac:dyDescent="0.3">
      <c r="A1014">
        <v>1013</v>
      </c>
      <c r="B1014">
        <v>288</v>
      </c>
      <c r="C1014">
        <v>3</v>
      </c>
      <c r="D1014">
        <v>924</v>
      </c>
      <c r="E1014" t="s">
        <v>651</v>
      </c>
      <c r="F1014">
        <v>4.33</v>
      </c>
      <c r="G1014" t="s">
        <v>623</v>
      </c>
      <c r="H1014" s="1">
        <v>46039.474398148152</v>
      </c>
      <c r="I1014" t="s">
        <v>634</v>
      </c>
      <c r="J1014">
        <v>4.33</v>
      </c>
      <c r="K1014">
        <v>0</v>
      </c>
    </row>
    <row r="1015" spans="1:11" x14ac:dyDescent="0.3">
      <c r="A1015">
        <v>1014</v>
      </c>
      <c r="B1015">
        <v>87</v>
      </c>
      <c r="C1015">
        <v>3</v>
      </c>
      <c r="D1015">
        <v>925</v>
      </c>
      <c r="E1015" t="s">
        <v>651</v>
      </c>
      <c r="F1015">
        <v>6.06</v>
      </c>
      <c r="G1015" t="s">
        <v>623</v>
      </c>
      <c r="H1015" s="1">
        <v>46039.549386574072</v>
      </c>
      <c r="I1015" t="s">
        <v>634</v>
      </c>
      <c r="J1015">
        <v>6.06</v>
      </c>
      <c r="K1015">
        <v>0</v>
      </c>
    </row>
    <row r="1016" spans="1:11" x14ac:dyDescent="0.3">
      <c r="A1016">
        <v>1015</v>
      </c>
      <c r="B1016">
        <v>178</v>
      </c>
      <c r="C1016">
        <v>4</v>
      </c>
      <c r="D1016">
        <v>926</v>
      </c>
      <c r="E1016" t="s">
        <v>651</v>
      </c>
      <c r="F1016">
        <v>13.76</v>
      </c>
      <c r="G1016" t="s">
        <v>623</v>
      </c>
      <c r="H1016" s="1">
        <v>46039.594710648147</v>
      </c>
      <c r="I1016" t="s">
        <v>634</v>
      </c>
      <c r="J1016">
        <v>13.76</v>
      </c>
      <c r="K1016">
        <v>0</v>
      </c>
    </row>
    <row r="1017" spans="1:11" x14ac:dyDescent="0.3">
      <c r="A1017">
        <v>1016</v>
      </c>
      <c r="B1017">
        <v>13</v>
      </c>
      <c r="C1017">
        <v>4</v>
      </c>
      <c r="D1017">
        <v>927</v>
      </c>
      <c r="E1017" t="s">
        <v>651</v>
      </c>
      <c r="F1017">
        <v>2.94</v>
      </c>
      <c r="G1017" t="s">
        <v>623</v>
      </c>
      <c r="H1017" s="1">
        <v>46039.603634259256</v>
      </c>
      <c r="I1017" t="s">
        <v>634</v>
      </c>
      <c r="J1017">
        <v>2.94</v>
      </c>
      <c r="K1017">
        <v>0</v>
      </c>
    </row>
    <row r="1018" spans="1:11" x14ac:dyDescent="0.3">
      <c r="A1018">
        <v>1017</v>
      </c>
      <c r="B1018">
        <v>106</v>
      </c>
      <c r="C1018">
        <v>5</v>
      </c>
      <c r="D1018">
        <v>928</v>
      </c>
      <c r="E1018" t="s">
        <v>651</v>
      </c>
      <c r="F1018">
        <v>7.44</v>
      </c>
      <c r="G1018" t="s">
        <v>623</v>
      </c>
      <c r="H1018" s="1">
        <v>46039.650092592594</v>
      </c>
      <c r="I1018" t="s">
        <v>634</v>
      </c>
      <c r="J1018">
        <v>7.44</v>
      </c>
      <c r="K1018">
        <v>0</v>
      </c>
    </row>
    <row r="1019" spans="1:11" x14ac:dyDescent="0.3">
      <c r="A1019">
        <v>1018</v>
      </c>
      <c r="B1019">
        <v>247</v>
      </c>
      <c r="C1019">
        <v>5</v>
      </c>
      <c r="D1019">
        <v>929</v>
      </c>
      <c r="E1019" t="s">
        <v>651</v>
      </c>
      <c r="F1019">
        <v>3.54</v>
      </c>
      <c r="G1019" t="s">
        <v>623</v>
      </c>
      <c r="H1019" s="1">
        <v>46039.674270833333</v>
      </c>
      <c r="I1019" t="s">
        <v>634</v>
      </c>
      <c r="J1019">
        <v>3.54</v>
      </c>
      <c r="K1019">
        <v>0</v>
      </c>
    </row>
    <row r="1020" spans="1:11" x14ac:dyDescent="0.3">
      <c r="A1020">
        <v>1019</v>
      </c>
      <c r="B1020">
        <v>39</v>
      </c>
      <c r="C1020">
        <v>3</v>
      </c>
      <c r="D1020">
        <v>916</v>
      </c>
      <c r="E1020" t="s">
        <v>649</v>
      </c>
      <c r="F1020">
        <v>-16.079999999999998</v>
      </c>
      <c r="G1020" t="s">
        <v>697</v>
      </c>
      <c r="H1020" s="1">
        <v>46039.808807870373</v>
      </c>
      <c r="I1020" t="s">
        <v>634</v>
      </c>
      <c r="J1020">
        <v>0</v>
      </c>
      <c r="K1020">
        <v>0</v>
      </c>
    </row>
    <row r="1021" spans="1:11" x14ac:dyDescent="0.3">
      <c r="A1021">
        <v>1020</v>
      </c>
      <c r="B1021">
        <v>18</v>
      </c>
      <c r="C1021">
        <v>4</v>
      </c>
      <c r="D1021">
        <v>930</v>
      </c>
      <c r="E1021" t="s">
        <v>651</v>
      </c>
      <c r="F1021">
        <v>12.8</v>
      </c>
      <c r="G1021" t="s">
        <v>623</v>
      </c>
      <c r="H1021" s="1">
        <v>46039.814826388887</v>
      </c>
      <c r="I1021" t="s">
        <v>634</v>
      </c>
      <c r="J1021">
        <v>12.8</v>
      </c>
      <c r="K1021">
        <v>0</v>
      </c>
    </row>
    <row r="1022" spans="1:11" x14ac:dyDescent="0.3">
      <c r="A1022">
        <v>1021</v>
      </c>
      <c r="B1022">
        <v>156</v>
      </c>
      <c r="C1022">
        <v>4</v>
      </c>
      <c r="D1022">
        <v>923</v>
      </c>
      <c r="E1022" t="s">
        <v>649</v>
      </c>
      <c r="F1022">
        <v>-3.23</v>
      </c>
      <c r="G1022" t="s">
        <v>698</v>
      </c>
      <c r="H1022" s="1">
        <v>46039.962430555555</v>
      </c>
      <c r="I1022" t="s">
        <v>634</v>
      </c>
      <c r="J1022">
        <v>0</v>
      </c>
      <c r="K1022">
        <v>0</v>
      </c>
    </row>
    <row r="1023" spans="1:11" x14ac:dyDescent="0.3">
      <c r="A1023">
        <v>1022</v>
      </c>
      <c r="B1023">
        <v>22</v>
      </c>
      <c r="C1023">
        <v>1</v>
      </c>
      <c r="E1023" t="s">
        <v>649</v>
      </c>
      <c r="F1023">
        <v>13.06</v>
      </c>
      <c r="G1023" t="s">
        <v>656</v>
      </c>
      <c r="H1023" s="1">
        <v>46040.062627314815</v>
      </c>
      <c r="I1023" t="s">
        <v>634</v>
      </c>
      <c r="J1023">
        <v>0</v>
      </c>
      <c r="K1023">
        <v>0</v>
      </c>
    </row>
    <row r="1024" spans="1:11" x14ac:dyDescent="0.3">
      <c r="A1024">
        <v>1023</v>
      </c>
      <c r="B1024">
        <v>117</v>
      </c>
      <c r="C1024">
        <v>4</v>
      </c>
      <c r="D1024">
        <v>931</v>
      </c>
      <c r="E1024" t="s">
        <v>651</v>
      </c>
      <c r="F1024">
        <v>3.76</v>
      </c>
      <c r="G1024" t="s">
        <v>623</v>
      </c>
      <c r="H1024" s="1">
        <v>46040.441412037035</v>
      </c>
      <c r="I1024" t="s">
        <v>634</v>
      </c>
      <c r="J1024">
        <v>3.76</v>
      </c>
      <c r="K1024">
        <v>0</v>
      </c>
    </row>
    <row r="1025" spans="1:11" x14ac:dyDescent="0.3">
      <c r="A1025">
        <v>1024</v>
      </c>
      <c r="B1025">
        <v>192</v>
      </c>
      <c r="C1025">
        <v>4</v>
      </c>
      <c r="D1025">
        <v>932</v>
      </c>
      <c r="E1025" t="s">
        <v>651</v>
      </c>
      <c r="F1025">
        <v>3.06</v>
      </c>
      <c r="G1025" t="s">
        <v>623</v>
      </c>
      <c r="H1025" s="1">
        <v>46040.448206018518</v>
      </c>
      <c r="I1025" t="s">
        <v>634</v>
      </c>
      <c r="J1025">
        <v>3.06</v>
      </c>
      <c r="K1025">
        <v>0</v>
      </c>
    </row>
    <row r="1026" spans="1:11" x14ac:dyDescent="0.3">
      <c r="A1026">
        <v>1025</v>
      </c>
      <c r="B1026">
        <v>6</v>
      </c>
      <c r="C1026">
        <v>3</v>
      </c>
      <c r="D1026">
        <v>933</v>
      </c>
      <c r="E1026" t="s">
        <v>657</v>
      </c>
      <c r="F1026">
        <v>20.85</v>
      </c>
      <c r="G1026" t="s">
        <v>623</v>
      </c>
      <c r="H1026" s="1">
        <v>46040.488113425927</v>
      </c>
      <c r="I1026" t="s">
        <v>634</v>
      </c>
      <c r="J1026">
        <v>0</v>
      </c>
      <c r="K1026">
        <v>20.85</v>
      </c>
    </row>
    <row r="1027" spans="1:11" x14ac:dyDescent="0.3">
      <c r="A1027">
        <v>1026</v>
      </c>
      <c r="B1027">
        <v>50</v>
      </c>
      <c r="C1027">
        <v>4</v>
      </c>
      <c r="D1027">
        <v>934</v>
      </c>
      <c r="E1027" t="s">
        <v>651</v>
      </c>
      <c r="F1027">
        <v>12.05</v>
      </c>
      <c r="G1027" t="s">
        <v>623</v>
      </c>
      <c r="H1027" s="1">
        <v>46040.588310185187</v>
      </c>
      <c r="I1027" t="s">
        <v>634</v>
      </c>
      <c r="J1027">
        <v>12.05</v>
      </c>
      <c r="K1027">
        <v>0</v>
      </c>
    </row>
    <row r="1028" spans="1:11" x14ac:dyDescent="0.3">
      <c r="A1028">
        <v>1027</v>
      </c>
      <c r="B1028">
        <v>53</v>
      </c>
      <c r="C1028">
        <v>4</v>
      </c>
      <c r="D1028">
        <v>935</v>
      </c>
      <c r="E1028" t="s">
        <v>651</v>
      </c>
      <c r="F1028">
        <v>3.8</v>
      </c>
      <c r="G1028" t="s">
        <v>623</v>
      </c>
      <c r="H1028" s="1">
        <v>46040.624224537038</v>
      </c>
      <c r="I1028" t="s">
        <v>634</v>
      </c>
      <c r="J1028">
        <v>3.8</v>
      </c>
      <c r="K1028">
        <v>0</v>
      </c>
    </row>
    <row r="1029" spans="1:11" x14ac:dyDescent="0.3">
      <c r="A1029">
        <v>1028</v>
      </c>
      <c r="B1029">
        <v>156</v>
      </c>
      <c r="C1029">
        <v>2</v>
      </c>
      <c r="D1029">
        <v>936</v>
      </c>
      <c r="E1029" t="s">
        <v>651</v>
      </c>
      <c r="F1029">
        <v>3.69</v>
      </c>
      <c r="G1029" t="s">
        <v>623</v>
      </c>
      <c r="H1029" s="1">
        <v>46040.688784722224</v>
      </c>
      <c r="I1029" t="s">
        <v>634</v>
      </c>
      <c r="J1029">
        <v>3.69</v>
      </c>
      <c r="K1029">
        <v>0</v>
      </c>
    </row>
    <row r="1030" spans="1:11" x14ac:dyDescent="0.3">
      <c r="A1030">
        <v>1029</v>
      </c>
      <c r="B1030">
        <v>87</v>
      </c>
      <c r="C1030">
        <v>5</v>
      </c>
      <c r="D1030">
        <v>937</v>
      </c>
      <c r="E1030" t="s">
        <v>651</v>
      </c>
      <c r="F1030">
        <v>8.92</v>
      </c>
      <c r="G1030" t="s">
        <v>623</v>
      </c>
      <c r="H1030" s="1">
        <v>46040.692083333335</v>
      </c>
      <c r="I1030" t="s">
        <v>634</v>
      </c>
      <c r="J1030">
        <v>8.92</v>
      </c>
      <c r="K1030">
        <v>0</v>
      </c>
    </row>
    <row r="1031" spans="1:11" x14ac:dyDescent="0.3">
      <c r="A1031">
        <v>1030</v>
      </c>
      <c r="B1031">
        <v>268</v>
      </c>
      <c r="C1031">
        <v>3</v>
      </c>
      <c r="D1031">
        <v>938</v>
      </c>
      <c r="E1031" t="s">
        <v>651</v>
      </c>
      <c r="F1031">
        <v>4.37</v>
      </c>
      <c r="G1031" t="s">
        <v>623</v>
      </c>
      <c r="H1031" s="1">
        <v>46040.733449074076</v>
      </c>
      <c r="I1031" t="s">
        <v>634</v>
      </c>
      <c r="J1031">
        <v>4.37</v>
      </c>
      <c r="K1031">
        <v>0</v>
      </c>
    </row>
    <row r="1032" spans="1:11" x14ac:dyDescent="0.3">
      <c r="A1032">
        <v>1031</v>
      </c>
      <c r="B1032">
        <v>16</v>
      </c>
      <c r="C1032">
        <v>5</v>
      </c>
      <c r="D1032">
        <v>913</v>
      </c>
      <c r="E1032" t="s">
        <v>649</v>
      </c>
      <c r="F1032">
        <v>-18.14</v>
      </c>
      <c r="G1032" t="s">
        <v>699</v>
      </c>
      <c r="H1032" s="1">
        <v>46040.742349537039</v>
      </c>
      <c r="I1032" t="s">
        <v>634</v>
      </c>
      <c r="J1032">
        <v>0</v>
      </c>
      <c r="K1032">
        <v>0</v>
      </c>
    </row>
    <row r="1033" spans="1:11" x14ac:dyDescent="0.3">
      <c r="A1033">
        <v>1032</v>
      </c>
      <c r="B1033">
        <v>156</v>
      </c>
      <c r="C1033">
        <v>2</v>
      </c>
      <c r="D1033">
        <v>939</v>
      </c>
      <c r="E1033" t="s">
        <v>651</v>
      </c>
      <c r="F1033">
        <v>2.4</v>
      </c>
      <c r="G1033" t="s">
        <v>623</v>
      </c>
      <c r="H1033" s="1">
        <v>46040.748912037037</v>
      </c>
      <c r="I1033" t="s">
        <v>634</v>
      </c>
      <c r="J1033">
        <v>2.4</v>
      </c>
      <c r="K1033">
        <v>0</v>
      </c>
    </row>
    <row r="1034" spans="1:11" x14ac:dyDescent="0.3">
      <c r="A1034">
        <v>1033</v>
      </c>
      <c r="B1034">
        <v>105</v>
      </c>
      <c r="C1034">
        <v>4</v>
      </c>
      <c r="D1034">
        <v>940</v>
      </c>
      <c r="E1034" t="s">
        <v>651</v>
      </c>
      <c r="F1034">
        <v>13.91</v>
      </c>
      <c r="G1034" t="s">
        <v>623</v>
      </c>
      <c r="H1034" s="1">
        <v>46040.820335648146</v>
      </c>
      <c r="I1034" t="s">
        <v>634</v>
      </c>
      <c r="J1034">
        <v>13.91</v>
      </c>
      <c r="K1034">
        <v>0</v>
      </c>
    </row>
    <row r="1035" spans="1:11" x14ac:dyDescent="0.3">
      <c r="A1035">
        <v>1034</v>
      </c>
      <c r="B1035">
        <v>51</v>
      </c>
      <c r="C1035">
        <v>3</v>
      </c>
      <c r="D1035">
        <v>941</v>
      </c>
      <c r="E1035" t="s">
        <v>651</v>
      </c>
      <c r="F1035">
        <v>27.71</v>
      </c>
      <c r="G1035" t="s">
        <v>623</v>
      </c>
      <c r="H1035" s="1">
        <v>46041.349976851852</v>
      </c>
      <c r="I1035" t="s">
        <v>634</v>
      </c>
      <c r="J1035">
        <v>27.71</v>
      </c>
      <c r="K1035">
        <v>0</v>
      </c>
    </row>
    <row r="1036" spans="1:11" x14ac:dyDescent="0.3">
      <c r="A1036">
        <v>1035</v>
      </c>
      <c r="B1036">
        <v>65</v>
      </c>
      <c r="C1036">
        <v>5</v>
      </c>
      <c r="D1036">
        <v>942</v>
      </c>
      <c r="E1036" t="s">
        <v>651</v>
      </c>
      <c r="F1036">
        <v>3.82</v>
      </c>
      <c r="G1036" t="s">
        <v>623</v>
      </c>
      <c r="H1036" s="1">
        <v>46041.361087962963</v>
      </c>
      <c r="I1036" t="s">
        <v>634</v>
      </c>
      <c r="J1036">
        <v>3.82</v>
      </c>
      <c r="K1036">
        <v>0</v>
      </c>
    </row>
    <row r="1037" spans="1:11" x14ac:dyDescent="0.3">
      <c r="A1037">
        <v>1036</v>
      </c>
      <c r="B1037">
        <v>163</v>
      </c>
      <c r="C1037">
        <v>4</v>
      </c>
      <c r="D1037">
        <v>943</v>
      </c>
      <c r="E1037" t="s">
        <v>651</v>
      </c>
      <c r="F1037">
        <v>2.8</v>
      </c>
      <c r="G1037" t="s">
        <v>623</v>
      </c>
      <c r="H1037" s="1">
        <v>46041.484791666669</v>
      </c>
      <c r="I1037" t="s">
        <v>634</v>
      </c>
      <c r="J1037">
        <v>2.8</v>
      </c>
      <c r="K1037">
        <v>0</v>
      </c>
    </row>
    <row r="1038" spans="1:11" x14ac:dyDescent="0.3">
      <c r="A1038">
        <v>1037</v>
      </c>
      <c r="B1038">
        <v>106</v>
      </c>
      <c r="C1038">
        <v>4</v>
      </c>
      <c r="D1038">
        <v>944</v>
      </c>
      <c r="E1038" t="s">
        <v>651</v>
      </c>
      <c r="F1038">
        <v>10.34</v>
      </c>
      <c r="G1038" t="s">
        <v>623</v>
      </c>
      <c r="H1038" s="1">
        <v>46041.495300925926</v>
      </c>
      <c r="I1038" t="s">
        <v>634</v>
      </c>
      <c r="J1038">
        <v>10.34</v>
      </c>
      <c r="K1038">
        <v>0</v>
      </c>
    </row>
    <row r="1039" spans="1:11" x14ac:dyDescent="0.3">
      <c r="A1039">
        <v>1038</v>
      </c>
      <c r="B1039">
        <v>44</v>
      </c>
      <c r="C1039">
        <v>5</v>
      </c>
      <c r="D1039">
        <v>945</v>
      </c>
      <c r="E1039" t="s">
        <v>651</v>
      </c>
      <c r="F1039">
        <v>2.37</v>
      </c>
      <c r="G1039" t="s">
        <v>623</v>
      </c>
      <c r="H1039" s="1">
        <v>46041.524363425924</v>
      </c>
      <c r="I1039" t="s">
        <v>634</v>
      </c>
      <c r="J1039">
        <v>2.37</v>
      </c>
      <c r="K1039">
        <v>0</v>
      </c>
    </row>
    <row r="1040" spans="1:11" x14ac:dyDescent="0.3">
      <c r="A1040">
        <v>1039</v>
      </c>
      <c r="B1040">
        <v>39</v>
      </c>
      <c r="C1040">
        <v>2</v>
      </c>
      <c r="D1040">
        <v>946</v>
      </c>
      <c r="E1040" t="s">
        <v>651</v>
      </c>
      <c r="F1040">
        <v>18.559999999999999</v>
      </c>
      <c r="G1040" t="s">
        <v>623</v>
      </c>
      <c r="H1040" s="1">
        <v>46041.55128472222</v>
      </c>
      <c r="I1040" t="s">
        <v>634</v>
      </c>
      <c r="J1040">
        <v>18.559999999999999</v>
      </c>
      <c r="K1040">
        <v>0</v>
      </c>
    </row>
    <row r="1041" spans="1:11" x14ac:dyDescent="0.3">
      <c r="A1041">
        <v>1040</v>
      </c>
      <c r="B1041">
        <v>7</v>
      </c>
      <c r="C1041">
        <v>5</v>
      </c>
      <c r="D1041">
        <v>947</v>
      </c>
      <c r="E1041" t="s">
        <v>651</v>
      </c>
      <c r="F1041">
        <v>7.62</v>
      </c>
      <c r="G1041" t="s">
        <v>623</v>
      </c>
      <c r="H1041" s="1">
        <v>46041.556122685186</v>
      </c>
      <c r="I1041" t="s">
        <v>634</v>
      </c>
      <c r="J1041">
        <v>7.62</v>
      </c>
      <c r="K1041">
        <v>0</v>
      </c>
    </row>
    <row r="1042" spans="1:11" x14ac:dyDescent="0.3">
      <c r="A1042">
        <v>1041</v>
      </c>
      <c r="B1042">
        <v>141</v>
      </c>
      <c r="C1042">
        <v>4</v>
      </c>
      <c r="D1042">
        <v>948</v>
      </c>
      <c r="E1042" t="s">
        <v>651</v>
      </c>
      <c r="F1042">
        <v>18.829999999999998</v>
      </c>
      <c r="G1042" t="s">
        <v>623</v>
      </c>
      <c r="H1042" s="1">
        <v>46041.610497685186</v>
      </c>
      <c r="I1042" t="s">
        <v>634</v>
      </c>
      <c r="J1042">
        <v>18.829999999999998</v>
      </c>
      <c r="K1042">
        <v>0</v>
      </c>
    </row>
    <row r="1043" spans="1:11" x14ac:dyDescent="0.3">
      <c r="A1043">
        <v>1042</v>
      </c>
      <c r="B1043">
        <v>55</v>
      </c>
      <c r="C1043">
        <v>3</v>
      </c>
      <c r="D1043">
        <v>949</v>
      </c>
      <c r="E1043" t="s">
        <v>651</v>
      </c>
      <c r="F1043">
        <v>2.4300000000000002</v>
      </c>
      <c r="G1043" t="s">
        <v>623</v>
      </c>
      <c r="H1043" s="1">
        <v>46041.739606481482</v>
      </c>
      <c r="I1043" t="s">
        <v>634</v>
      </c>
      <c r="J1043">
        <v>2.4300000000000002</v>
      </c>
      <c r="K1043">
        <v>0</v>
      </c>
    </row>
    <row r="1044" spans="1:11" x14ac:dyDescent="0.3">
      <c r="A1044">
        <v>1043</v>
      </c>
      <c r="B1044">
        <v>280</v>
      </c>
      <c r="C1044">
        <v>2</v>
      </c>
      <c r="D1044">
        <v>950</v>
      </c>
      <c r="E1044" t="s">
        <v>651</v>
      </c>
      <c r="F1044">
        <v>4.6500000000000004</v>
      </c>
      <c r="G1044" t="s">
        <v>623</v>
      </c>
      <c r="H1044" s="1">
        <v>46041.825208333335</v>
      </c>
      <c r="I1044" t="s">
        <v>634</v>
      </c>
      <c r="J1044">
        <v>4.6500000000000004</v>
      </c>
      <c r="K1044">
        <v>0</v>
      </c>
    </row>
    <row r="1045" spans="1:11" x14ac:dyDescent="0.3">
      <c r="A1045">
        <v>1044</v>
      </c>
      <c r="B1045">
        <v>296</v>
      </c>
      <c r="C1045">
        <v>1</v>
      </c>
      <c r="E1045" t="s">
        <v>649</v>
      </c>
      <c r="F1045">
        <v>9.6999999999999993</v>
      </c>
      <c r="G1045" t="s">
        <v>653</v>
      </c>
      <c r="H1045" s="1">
        <v>46041.961851851855</v>
      </c>
      <c r="I1045" t="s">
        <v>634</v>
      </c>
      <c r="J1045">
        <v>0</v>
      </c>
      <c r="K1045">
        <v>0</v>
      </c>
    </row>
    <row r="1046" spans="1:11" x14ac:dyDescent="0.3">
      <c r="A1046">
        <v>1045</v>
      </c>
      <c r="B1046">
        <v>156</v>
      </c>
      <c r="C1046">
        <v>2</v>
      </c>
      <c r="D1046">
        <v>951</v>
      </c>
      <c r="E1046" t="s">
        <v>651</v>
      </c>
      <c r="F1046">
        <v>1.29</v>
      </c>
      <c r="G1046" t="s">
        <v>623</v>
      </c>
      <c r="H1046" s="1">
        <v>46042.316817129627</v>
      </c>
      <c r="I1046" t="s">
        <v>634</v>
      </c>
      <c r="J1046">
        <v>1.29</v>
      </c>
      <c r="K1046">
        <v>0</v>
      </c>
    </row>
    <row r="1047" spans="1:11" x14ac:dyDescent="0.3">
      <c r="A1047">
        <v>1046</v>
      </c>
      <c r="B1047">
        <v>202</v>
      </c>
      <c r="C1047">
        <v>4</v>
      </c>
      <c r="D1047">
        <v>952</v>
      </c>
      <c r="E1047" t="s">
        <v>651</v>
      </c>
      <c r="F1047">
        <v>2.85</v>
      </c>
      <c r="G1047" t="s">
        <v>623</v>
      </c>
      <c r="H1047" s="1">
        <v>46042.338460648149</v>
      </c>
      <c r="I1047" t="s">
        <v>634</v>
      </c>
      <c r="J1047">
        <v>2.85</v>
      </c>
      <c r="K1047">
        <v>0</v>
      </c>
    </row>
    <row r="1048" spans="1:11" x14ac:dyDescent="0.3">
      <c r="A1048">
        <v>1047</v>
      </c>
      <c r="B1048">
        <v>202</v>
      </c>
      <c r="C1048">
        <v>2</v>
      </c>
      <c r="D1048">
        <v>953</v>
      </c>
      <c r="E1048" t="s">
        <v>651</v>
      </c>
      <c r="F1048">
        <v>2.1800000000000002</v>
      </c>
      <c r="G1048" t="s">
        <v>623</v>
      </c>
      <c r="H1048" s="1">
        <v>46042.341157407405</v>
      </c>
      <c r="I1048" t="s">
        <v>634</v>
      </c>
      <c r="J1048">
        <v>2.1800000000000002</v>
      </c>
      <c r="K1048">
        <v>0</v>
      </c>
    </row>
    <row r="1049" spans="1:11" x14ac:dyDescent="0.3">
      <c r="A1049">
        <v>1048</v>
      </c>
      <c r="B1049">
        <v>109</v>
      </c>
      <c r="C1049">
        <v>3</v>
      </c>
      <c r="D1049">
        <v>954</v>
      </c>
      <c r="E1049" t="s">
        <v>651</v>
      </c>
      <c r="F1049">
        <v>13.17</v>
      </c>
      <c r="G1049" t="s">
        <v>623</v>
      </c>
      <c r="H1049" s="1">
        <v>46042.351759259262</v>
      </c>
      <c r="I1049" t="s">
        <v>634</v>
      </c>
      <c r="J1049">
        <v>13.17</v>
      </c>
      <c r="K1049">
        <v>0</v>
      </c>
    </row>
    <row r="1050" spans="1:11" x14ac:dyDescent="0.3">
      <c r="A1050">
        <v>1049</v>
      </c>
      <c r="B1050">
        <v>106</v>
      </c>
      <c r="C1050">
        <v>3</v>
      </c>
      <c r="D1050">
        <v>955</v>
      </c>
      <c r="E1050" t="s">
        <v>651</v>
      </c>
      <c r="F1050">
        <v>8.91</v>
      </c>
      <c r="G1050" t="s">
        <v>623</v>
      </c>
      <c r="H1050" s="1">
        <v>46042.375844907408</v>
      </c>
      <c r="I1050" t="s">
        <v>634</v>
      </c>
      <c r="J1050">
        <v>8.91</v>
      </c>
      <c r="K1050">
        <v>0</v>
      </c>
    </row>
    <row r="1051" spans="1:11" x14ac:dyDescent="0.3">
      <c r="A1051">
        <v>1050</v>
      </c>
      <c r="B1051">
        <v>252</v>
      </c>
      <c r="C1051">
        <v>5</v>
      </c>
      <c r="D1051">
        <v>956</v>
      </c>
      <c r="E1051" t="s">
        <v>651</v>
      </c>
      <c r="F1051">
        <v>2.76</v>
      </c>
      <c r="G1051" t="s">
        <v>623</v>
      </c>
      <c r="H1051" s="1">
        <v>46042.453101851854</v>
      </c>
      <c r="I1051" t="s">
        <v>634</v>
      </c>
      <c r="J1051">
        <v>2.76</v>
      </c>
      <c r="K1051">
        <v>0</v>
      </c>
    </row>
    <row r="1052" spans="1:11" x14ac:dyDescent="0.3">
      <c r="A1052">
        <v>1051</v>
      </c>
      <c r="B1052">
        <v>59</v>
      </c>
      <c r="C1052">
        <v>2</v>
      </c>
      <c r="D1052">
        <v>957</v>
      </c>
      <c r="E1052" t="s">
        <v>651</v>
      </c>
      <c r="F1052">
        <v>1.95</v>
      </c>
      <c r="G1052" t="s">
        <v>623</v>
      </c>
      <c r="H1052" s="1">
        <v>46042.469270833331</v>
      </c>
      <c r="I1052" t="s">
        <v>634</v>
      </c>
      <c r="J1052">
        <v>1.95</v>
      </c>
      <c r="K1052">
        <v>0</v>
      </c>
    </row>
    <row r="1053" spans="1:11" x14ac:dyDescent="0.3">
      <c r="A1053">
        <v>1052</v>
      </c>
      <c r="B1053">
        <v>118</v>
      </c>
      <c r="C1053">
        <v>5</v>
      </c>
      <c r="D1053">
        <v>958</v>
      </c>
      <c r="E1053" t="s">
        <v>651</v>
      </c>
      <c r="F1053">
        <v>5.86</v>
      </c>
      <c r="G1053" t="s">
        <v>623</v>
      </c>
      <c r="H1053" s="1">
        <v>46042.497210648151</v>
      </c>
      <c r="I1053" t="s">
        <v>634</v>
      </c>
      <c r="J1053">
        <v>5.86</v>
      </c>
      <c r="K1053">
        <v>0</v>
      </c>
    </row>
    <row r="1054" spans="1:11" x14ac:dyDescent="0.3">
      <c r="A1054">
        <v>1053</v>
      </c>
      <c r="B1054">
        <v>50</v>
      </c>
      <c r="C1054">
        <v>3</v>
      </c>
      <c r="D1054">
        <v>959</v>
      </c>
      <c r="E1054" t="s">
        <v>651</v>
      </c>
      <c r="F1054">
        <v>11.24</v>
      </c>
      <c r="G1054" t="s">
        <v>623</v>
      </c>
      <c r="H1054" s="1">
        <v>46042.542210648149</v>
      </c>
      <c r="I1054" t="s">
        <v>634</v>
      </c>
      <c r="J1054">
        <v>11.24</v>
      </c>
      <c r="K1054">
        <v>0</v>
      </c>
    </row>
    <row r="1055" spans="1:11" x14ac:dyDescent="0.3">
      <c r="A1055">
        <v>1054</v>
      </c>
      <c r="B1055">
        <v>109</v>
      </c>
      <c r="C1055">
        <v>4</v>
      </c>
      <c r="D1055">
        <v>960</v>
      </c>
      <c r="E1055" t="s">
        <v>651</v>
      </c>
      <c r="F1055">
        <v>15.59</v>
      </c>
      <c r="G1055" t="s">
        <v>623</v>
      </c>
      <c r="H1055" s="1">
        <v>46042.658819444441</v>
      </c>
      <c r="I1055" t="s">
        <v>634</v>
      </c>
      <c r="J1055">
        <v>15.59</v>
      </c>
      <c r="K1055">
        <v>0</v>
      </c>
    </row>
    <row r="1056" spans="1:11" x14ac:dyDescent="0.3">
      <c r="A1056">
        <v>1055</v>
      </c>
      <c r="B1056">
        <v>39</v>
      </c>
      <c r="C1056">
        <v>3</v>
      </c>
      <c r="D1056">
        <v>961</v>
      </c>
      <c r="E1056" t="s">
        <v>651</v>
      </c>
      <c r="F1056">
        <v>22.24</v>
      </c>
      <c r="G1056" t="s">
        <v>623</v>
      </c>
      <c r="H1056" s="1">
        <v>46042.66138888889</v>
      </c>
      <c r="I1056" t="s">
        <v>634</v>
      </c>
      <c r="J1056">
        <v>22.24</v>
      </c>
      <c r="K1056">
        <v>0</v>
      </c>
    </row>
    <row r="1057" spans="1:11" x14ac:dyDescent="0.3">
      <c r="A1057">
        <v>1056</v>
      </c>
      <c r="B1057">
        <v>178</v>
      </c>
      <c r="C1057">
        <v>2</v>
      </c>
      <c r="D1057">
        <v>962</v>
      </c>
      <c r="E1057" t="s">
        <v>651</v>
      </c>
      <c r="F1057">
        <v>24.55</v>
      </c>
      <c r="G1057" t="s">
        <v>623</v>
      </c>
      <c r="H1057" s="1">
        <v>46042.69321759259</v>
      </c>
      <c r="I1057" t="s">
        <v>634</v>
      </c>
      <c r="J1057">
        <v>24.55</v>
      </c>
      <c r="K1057">
        <v>0</v>
      </c>
    </row>
    <row r="1058" spans="1:11" x14ac:dyDescent="0.3">
      <c r="A1058">
        <v>1057</v>
      </c>
      <c r="B1058">
        <v>227</v>
      </c>
      <c r="C1058">
        <v>5</v>
      </c>
      <c r="D1058">
        <v>963</v>
      </c>
      <c r="E1058" t="s">
        <v>651</v>
      </c>
      <c r="F1058">
        <v>3.08</v>
      </c>
      <c r="G1058" t="s">
        <v>623</v>
      </c>
      <c r="H1058" s="1">
        <v>46042.741249999999</v>
      </c>
      <c r="I1058" t="s">
        <v>634</v>
      </c>
      <c r="J1058">
        <v>3.08</v>
      </c>
      <c r="K1058">
        <v>0</v>
      </c>
    </row>
    <row r="1059" spans="1:11" x14ac:dyDescent="0.3">
      <c r="A1059">
        <v>1058</v>
      </c>
      <c r="B1059">
        <v>265</v>
      </c>
      <c r="C1059">
        <v>2</v>
      </c>
      <c r="D1059">
        <v>964</v>
      </c>
      <c r="E1059" t="s">
        <v>651</v>
      </c>
      <c r="F1059">
        <v>7.56</v>
      </c>
      <c r="G1059" t="s">
        <v>623</v>
      </c>
      <c r="H1059" s="1">
        <v>46042.768819444442</v>
      </c>
      <c r="I1059" t="s">
        <v>634</v>
      </c>
      <c r="J1059">
        <v>7.56</v>
      </c>
      <c r="K1059">
        <v>0</v>
      </c>
    </row>
    <row r="1060" spans="1:11" x14ac:dyDescent="0.3">
      <c r="A1060">
        <v>1059</v>
      </c>
      <c r="B1060">
        <v>52</v>
      </c>
      <c r="C1060">
        <v>1</v>
      </c>
      <c r="E1060" t="s">
        <v>649</v>
      </c>
      <c r="F1060">
        <v>6.58</v>
      </c>
      <c r="G1060" t="s">
        <v>656</v>
      </c>
      <c r="H1060" s="1">
        <v>46042.928854166668</v>
      </c>
      <c r="I1060" t="s">
        <v>634</v>
      </c>
      <c r="J1060">
        <v>0</v>
      </c>
      <c r="K1060">
        <v>0</v>
      </c>
    </row>
    <row r="1061" spans="1:11" x14ac:dyDescent="0.3">
      <c r="A1061">
        <v>1060</v>
      </c>
      <c r="B1061">
        <v>87</v>
      </c>
      <c r="C1061">
        <v>5</v>
      </c>
      <c r="D1061">
        <v>965</v>
      </c>
      <c r="E1061" t="s">
        <v>651</v>
      </c>
      <c r="F1061">
        <v>13.46</v>
      </c>
      <c r="G1061" t="s">
        <v>623</v>
      </c>
      <c r="H1061" s="1">
        <v>46043.32167824074</v>
      </c>
      <c r="I1061" t="s">
        <v>634</v>
      </c>
      <c r="J1061">
        <v>13.46</v>
      </c>
      <c r="K1061">
        <v>0</v>
      </c>
    </row>
    <row r="1062" spans="1:11" x14ac:dyDescent="0.3">
      <c r="A1062">
        <v>1061</v>
      </c>
      <c r="B1062">
        <v>48</v>
      </c>
      <c r="C1062">
        <v>5</v>
      </c>
      <c r="D1062">
        <v>966</v>
      </c>
      <c r="E1062" t="s">
        <v>651</v>
      </c>
      <c r="F1062">
        <v>16.809999999999999</v>
      </c>
      <c r="G1062" t="s">
        <v>623</v>
      </c>
      <c r="H1062" s="1">
        <v>46043.400312500002</v>
      </c>
      <c r="I1062" t="s">
        <v>634</v>
      </c>
      <c r="J1062">
        <v>16.809999999999999</v>
      </c>
      <c r="K1062">
        <v>0</v>
      </c>
    </row>
    <row r="1063" spans="1:11" x14ac:dyDescent="0.3">
      <c r="A1063">
        <v>1062</v>
      </c>
      <c r="B1063">
        <v>207</v>
      </c>
      <c r="C1063">
        <v>3</v>
      </c>
      <c r="D1063">
        <v>967</v>
      </c>
      <c r="E1063" t="s">
        <v>651</v>
      </c>
      <c r="F1063">
        <v>3.2</v>
      </c>
      <c r="G1063" t="s">
        <v>623</v>
      </c>
      <c r="H1063" s="1">
        <v>46043.420543981483</v>
      </c>
      <c r="I1063" t="s">
        <v>634</v>
      </c>
      <c r="J1063">
        <v>3.2</v>
      </c>
      <c r="K1063">
        <v>0</v>
      </c>
    </row>
    <row r="1064" spans="1:11" x14ac:dyDescent="0.3">
      <c r="A1064">
        <v>1063</v>
      </c>
      <c r="B1064">
        <v>223</v>
      </c>
      <c r="C1064">
        <v>5</v>
      </c>
      <c r="D1064">
        <v>968</v>
      </c>
      <c r="E1064" t="s">
        <v>651</v>
      </c>
      <c r="F1064">
        <v>2.29</v>
      </c>
      <c r="G1064" t="s">
        <v>623</v>
      </c>
      <c r="H1064" s="1">
        <v>46043.425034722219</v>
      </c>
      <c r="I1064" t="s">
        <v>634</v>
      </c>
      <c r="J1064">
        <v>2.29</v>
      </c>
      <c r="K1064">
        <v>0</v>
      </c>
    </row>
    <row r="1065" spans="1:11" x14ac:dyDescent="0.3">
      <c r="A1065">
        <v>1064</v>
      </c>
      <c r="B1065">
        <v>156</v>
      </c>
      <c r="C1065">
        <v>3</v>
      </c>
      <c r="D1065">
        <v>969</v>
      </c>
      <c r="E1065" t="s">
        <v>651</v>
      </c>
      <c r="F1065">
        <v>3</v>
      </c>
      <c r="G1065" t="s">
        <v>623</v>
      </c>
      <c r="H1065" s="1">
        <v>46043.428912037038</v>
      </c>
      <c r="I1065" t="s">
        <v>634</v>
      </c>
      <c r="J1065">
        <v>3</v>
      </c>
      <c r="K1065">
        <v>0</v>
      </c>
    </row>
    <row r="1066" spans="1:11" x14ac:dyDescent="0.3">
      <c r="A1066">
        <v>1065</v>
      </c>
      <c r="B1066">
        <v>137</v>
      </c>
      <c r="C1066">
        <v>2</v>
      </c>
      <c r="D1066">
        <v>970</v>
      </c>
      <c r="E1066" t="s">
        <v>651</v>
      </c>
      <c r="F1066">
        <v>3.89</v>
      </c>
      <c r="G1066" t="s">
        <v>623</v>
      </c>
      <c r="H1066" s="1">
        <v>46043.825104166666</v>
      </c>
      <c r="I1066" t="s">
        <v>634</v>
      </c>
      <c r="J1066">
        <v>3.89</v>
      </c>
      <c r="K1066">
        <v>0</v>
      </c>
    </row>
    <row r="1067" spans="1:11" x14ac:dyDescent="0.3">
      <c r="A1067">
        <v>1066</v>
      </c>
      <c r="B1067">
        <v>290</v>
      </c>
      <c r="C1067">
        <v>3</v>
      </c>
      <c r="D1067">
        <v>971</v>
      </c>
      <c r="E1067" t="s">
        <v>651</v>
      </c>
      <c r="F1067">
        <v>2.68</v>
      </c>
      <c r="G1067" t="s">
        <v>623</v>
      </c>
      <c r="H1067" s="1">
        <v>46044.33761574074</v>
      </c>
      <c r="I1067" t="s">
        <v>634</v>
      </c>
      <c r="J1067">
        <v>2.68</v>
      </c>
      <c r="K1067">
        <v>0</v>
      </c>
    </row>
    <row r="1068" spans="1:11" x14ac:dyDescent="0.3">
      <c r="A1068">
        <v>1067</v>
      </c>
      <c r="B1068">
        <v>175</v>
      </c>
      <c r="C1068">
        <v>3</v>
      </c>
      <c r="D1068">
        <v>972</v>
      </c>
      <c r="E1068" t="s">
        <v>651</v>
      </c>
      <c r="F1068">
        <v>3.11</v>
      </c>
      <c r="G1068" t="s">
        <v>623</v>
      </c>
      <c r="H1068" s="1">
        <v>46044.364178240743</v>
      </c>
      <c r="I1068" t="s">
        <v>634</v>
      </c>
      <c r="J1068">
        <v>3.11</v>
      </c>
      <c r="K1068">
        <v>0</v>
      </c>
    </row>
    <row r="1069" spans="1:11" x14ac:dyDescent="0.3">
      <c r="A1069">
        <v>1068</v>
      </c>
      <c r="B1069">
        <v>186</v>
      </c>
      <c r="C1069">
        <v>2</v>
      </c>
      <c r="D1069">
        <v>973</v>
      </c>
      <c r="E1069" t="s">
        <v>651</v>
      </c>
      <c r="F1069">
        <v>9.8000000000000007</v>
      </c>
      <c r="G1069" t="s">
        <v>623</v>
      </c>
      <c r="H1069" s="1">
        <v>46044.467152777775</v>
      </c>
      <c r="I1069" t="s">
        <v>634</v>
      </c>
      <c r="J1069">
        <v>9.8000000000000007</v>
      </c>
      <c r="K1069">
        <v>0</v>
      </c>
    </row>
    <row r="1070" spans="1:11" x14ac:dyDescent="0.3">
      <c r="A1070">
        <v>1069</v>
      </c>
      <c r="B1070">
        <v>230</v>
      </c>
      <c r="C1070">
        <v>4</v>
      </c>
      <c r="D1070">
        <v>974</v>
      </c>
      <c r="E1070" t="s">
        <v>651</v>
      </c>
      <c r="F1070">
        <v>14.82</v>
      </c>
      <c r="G1070" t="s">
        <v>623</v>
      </c>
      <c r="H1070" s="1">
        <v>46044.474178240744</v>
      </c>
      <c r="I1070" t="s">
        <v>634</v>
      </c>
      <c r="J1070">
        <v>14.82</v>
      </c>
      <c r="K1070">
        <v>0</v>
      </c>
    </row>
    <row r="1071" spans="1:11" x14ac:dyDescent="0.3">
      <c r="A1071">
        <v>1070</v>
      </c>
      <c r="B1071">
        <v>92</v>
      </c>
      <c r="C1071">
        <v>4</v>
      </c>
      <c r="D1071">
        <v>975</v>
      </c>
      <c r="E1071" t="s">
        <v>651</v>
      </c>
      <c r="F1071">
        <v>1.45</v>
      </c>
      <c r="G1071" t="s">
        <v>623</v>
      </c>
      <c r="H1071" s="1">
        <v>46044.486597222225</v>
      </c>
      <c r="I1071" t="s">
        <v>634</v>
      </c>
      <c r="J1071">
        <v>1.45</v>
      </c>
      <c r="K1071">
        <v>0</v>
      </c>
    </row>
    <row r="1072" spans="1:11" x14ac:dyDescent="0.3">
      <c r="A1072">
        <v>1071</v>
      </c>
      <c r="B1072">
        <v>240</v>
      </c>
      <c r="C1072">
        <v>2</v>
      </c>
      <c r="D1072">
        <v>976</v>
      </c>
      <c r="E1072" t="s">
        <v>651</v>
      </c>
      <c r="F1072">
        <v>19.170000000000002</v>
      </c>
      <c r="G1072" t="s">
        <v>623</v>
      </c>
      <c r="H1072" s="1">
        <v>46044.527361111112</v>
      </c>
      <c r="I1072" t="s">
        <v>634</v>
      </c>
      <c r="J1072">
        <v>19.170000000000002</v>
      </c>
      <c r="K1072">
        <v>0</v>
      </c>
    </row>
    <row r="1073" spans="1:11" x14ac:dyDescent="0.3">
      <c r="A1073">
        <v>1072</v>
      </c>
      <c r="B1073">
        <v>41</v>
      </c>
      <c r="C1073">
        <v>5</v>
      </c>
      <c r="D1073">
        <v>977</v>
      </c>
      <c r="E1073" t="s">
        <v>651</v>
      </c>
      <c r="F1073">
        <v>10.61</v>
      </c>
      <c r="G1073" t="s">
        <v>623</v>
      </c>
      <c r="H1073" s="1">
        <v>46044.563101851854</v>
      </c>
      <c r="I1073" t="s">
        <v>634</v>
      </c>
      <c r="J1073">
        <v>10.61</v>
      </c>
      <c r="K1073">
        <v>0</v>
      </c>
    </row>
    <row r="1074" spans="1:11" x14ac:dyDescent="0.3">
      <c r="A1074">
        <v>1073</v>
      </c>
      <c r="B1074">
        <v>171</v>
      </c>
      <c r="C1074">
        <v>2</v>
      </c>
      <c r="D1074">
        <v>978</v>
      </c>
      <c r="E1074" t="s">
        <v>651</v>
      </c>
      <c r="F1074">
        <v>6.94</v>
      </c>
      <c r="G1074" t="s">
        <v>623</v>
      </c>
      <c r="H1074" s="1">
        <v>46044.597592592596</v>
      </c>
      <c r="I1074" t="s">
        <v>634</v>
      </c>
      <c r="J1074">
        <v>6.94</v>
      </c>
      <c r="K1074">
        <v>0</v>
      </c>
    </row>
    <row r="1075" spans="1:11" x14ac:dyDescent="0.3">
      <c r="A1075">
        <v>1074</v>
      </c>
      <c r="B1075">
        <v>85</v>
      </c>
      <c r="C1075">
        <v>1</v>
      </c>
      <c r="E1075" t="s">
        <v>649</v>
      </c>
      <c r="F1075">
        <v>6.79</v>
      </c>
      <c r="G1075" t="s">
        <v>653</v>
      </c>
      <c r="H1075" s="1">
        <v>46044.66002314815</v>
      </c>
      <c r="I1075" t="s">
        <v>634</v>
      </c>
      <c r="J1075">
        <v>0</v>
      </c>
      <c r="K1075">
        <v>0</v>
      </c>
    </row>
    <row r="1076" spans="1:11" x14ac:dyDescent="0.3">
      <c r="A1076">
        <v>1075</v>
      </c>
      <c r="B1076">
        <v>241</v>
      </c>
      <c r="C1076">
        <v>2</v>
      </c>
      <c r="D1076">
        <v>979</v>
      </c>
      <c r="E1076" t="s">
        <v>651</v>
      </c>
      <c r="F1076">
        <v>3.14</v>
      </c>
      <c r="G1076" t="s">
        <v>623</v>
      </c>
      <c r="H1076" s="1">
        <v>46044.673252314817</v>
      </c>
      <c r="I1076" t="s">
        <v>634</v>
      </c>
      <c r="J1076">
        <v>3.14</v>
      </c>
      <c r="K1076">
        <v>0</v>
      </c>
    </row>
    <row r="1077" spans="1:11" x14ac:dyDescent="0.3">
      <c r="A1077">
        <v>1076</v>
      </c>
      <c r="B1077">
        <v>152</v>
      </c>
      <c r="C1077">
        <v>1</v>
      </c>
      <c r="E1077" t="s">
        <v>649</v>
      </c>
      <c r="F1077">
        <v>19.489999999999998</v>
      </c>
      <c r="G1077" t="s">
        <v>653</v>
      </c>
      <c r="H1077" s="1">
        <v>46044.676666666666</v>
      </c>
      <c r="I1077" t="s">
        <v>634</v>
      </c>
      <c r="J1077">
        <v>0</v>
      </c>
      <c r="K1077">
        <v>0</v>
      </c>
    </row>
    <row r="1078" spans="1:11" x14ac:dyDescent="0.3">
      <c r="A1078">
        <v>1077</v>
      </c>
      <c r="B1078">
        <v>251</v>
      </c>
      <c r="C1078">
        <v>3</v>
      </c>
      <c r="D1078">
        <v>980</v>
      </c>
      <c r="E1078" t="s">
        <v>651</v>
      </c>
      <c r="F1078">
        <v>11.01</v>
      </c>
      <c r="G1078" t="s">
        <v>623</v>
      </c>
      <c r="H1078" s="1">
        <v>46044.681261574071</v>
      </c>
      <c r="I1078" t="s">
        <v>634</v>
      </c>
      <c r="J1078">
        <v>11.01</v>
      </c>
      <c r="K1078">
        <v>0</v>
      </c>
    </row>
    <row r="1079" spans="1:11" x14ac:dyDescent="0.3">
      <c r="A1079">
        <v>1078</v>
      </c>
      <c r="B1079">
        <v>136</v>
      </c>
      <c r="C1079">
        <v>2</v>
      </c>
      <c r="D1079">
        <v>981</v>
      </c>
      <c r="E1079" t="s">
        <v>651</v>
      </c>
      <c r="F1079">
        <v>7.91</v>
      </c>
      <c r="G1079" t="s">
        <v>623</v>
      </c>
      <c r="H1079" s="1">
        <v>46044.818703703706</v>
      </c>
      <c r="I1079" t="s">
        <v>634</v>
      </c>
      <c r="J1079">
        <v>7.91</v>
      </c>
      <c r="K1079">
        <v>0</v>
      </c>
    </row>
    <row r="1080" spans="1:11" x14ac:dyDescent="0.3">
      <c r="A1080">
        <v>1079</v>
      </c>
      <c r="B1080">
        <v>150</v>
      </c>
      <c r="C1080">
        <v>2</v>
      </c>
      <c r="D1080">
        <v>982</v>
      </c>
      <c r="E1080" t="s">
        <v>651</v>
      </c>
      <c r="F1080">
        <v>8.51</v>
      </c>
      <c r="G1080" t="s">
        <v>623</v>
      </c>
      <c r="H1080" s="1">
        <v>46045.333101851851</v>
      </c>
      <c r="I1080" t="s">
        <v>634</v>
      </c>
      <c r="J1080">
        <v>8.51</v>
      </c>
      <c r="K1080">
        <v>0</v>
      </c>
    </row>
    <row r="1081" spans="1:11" x14ac:dyDescent="0.3">
      <c r="A1081">
        <v>1080</v>
      </c>
      <c r="B1081">
        <v>32</v>
      </c>
      <c r="C1081">
        <v>4</v>
      </c>
      <c r="D1081">
        <v>983</v>
      </c>
      <c r="E1081" t="s">
        <v>651</v>
      </c>
      <c r="F1081">
        <v>2.16</v>
      </c>
      <c r="G1081" t="s">
        <v>623</v>
      </c>
      <c r="H1081" s="1">
        <v>46045.387233796297</v>
      </c>
      <c r="I1081" t="s">
        <v>634</v>
      </c>
      <c r="J1081">
        <v>2.16</v>
      </c>
      <c r="K1081">
        <v>0</v>
      </c>
    </row>
    <row r="1082" spans="1:11" x14ac:dyDescent="0.3">
      <c r="A1082">
        <v>1081</v>
      </c>
      <c r="B1082">
        <v>261</v>
      </c>
      <c r="C1082">
        <v>5</v>
      </c>
      <c r="D1082">
        <v>984</v>
      </c>
      <c r="E1082" t="s">
        <v>651</v>
      </c>
      <c r="F1082">
        <v>6.16</v>
      </c>
      <c r="G1082" t="s">
        <v>623</v>
      </c>
      <c r="H1082" s="1">
        <v>46045.409618055557</v>
      </c>
      <c r="I1082" t="s">
        <v>634</v>
      </c>
      <c r="J1082">
        <v>6.16</v>
      </c>
      <c r="K1082">
        <v>0</v>
      </c>
    </row>
    <row r="1083" spans="1:11" x14ac:dyDescent="0.3">
      <c r="A1083">
        <v>1082</v>
      </c>
      <c r="B1083">
        <v>106</v>
      </c>
      <c r="C1083">
        <v>2</v>
      </c>
      <c r="D1083">
        <v>985</v>
      </c>
      <c r="E1083" t="s">
        <v>651</v>
      </c>
      <c r="F1083">
        <v>7.02</v>
      </c>
      <c r="G1083" t="s">
        <v>623</v>
      </c>
      <c r="H1083" s="1">
        <v>46045.492129629631</v>
      </c>
      <c r="I1083" t="s">
        <v>634</v>
      </c>
      <c r="J1083">
        <v>7.02</v>
      </c>
      <c r="K1083">
        <v>0</v>
      </c>
    </row>
    <row r="1084" spans="1:11" x14ac:dyDescent="0.3">
      <c r="A1084">
        <v>1083</v>
      </c>
      <c r="B1084">
        <v>16</v>
      </c>
      <c r="C1084">
        <v>3</v>
      </c>
      <c r="D1084">
        <v>986</v>
      </c>
      <c r="E1084" t="s">
        <v>651</v>
      </c>
      <c r="F1084">
        <v>13.51</v>
      </c>
      <c r="G1084" t="s">
        <v>623</v>
      </c>
      <c r="H1084" s="1">
        <v>46045.497939814813</v>
      </c>
      <c r="I1084" t="s">
        <v>634</v>
      </c>
      <c r="J1084">
        <v>13.51</v>
      </c>
      <c r="K1084">
        <v>0</v>
      </c>
    </row>
    <row r="1085" spans="1:11" x14ac:dyDescent="0.3">
      <c r="A1085">
        <v>1084</v>
      </c>
      <c r="B1085">
        <v>138</v>
      </c>
      <c r="C1085">
        <v>2</v>
      </c>
      <c r="D1085">
        <v>987</v>
      </c>
      <c r="E1085" t="s">
        <v>651</v>
      </c>
      <c r="F1085">
        <v>4.3</v>
      </c>
      <c r="G1085" t="s">
        <v>623</v>
      </c>
      <c r="H1085" s="1">
        <v>46045.562974537039</v>
      </c>
      <c r="I1085" t="s">
        <v>634</v>
      </c>
      <c r="J1085">
        <v>4.3</v>
      </c>
      <c r="K1085">
        <v>0</v>
      </c>
    </row>
    <row r="1086" spans="1:11" x14ac:dyDescent="0.3">
      <c r="A1086">
        <v>1085</v>
      </c>
      <c r="B1086">
        <v>117</v>
      </c>
      <c r="C1086">
        <v>3</v>
      </c>
      <c r="D1086">
        <v>988</v>
      </c>
      <c r="E1086" t="s">
        <v>651</v>
      </c>
      <c r="F1086">
        <v>6.9</v>
      </c>
      <c r="G1086" t="s">
        <v>623</v>
      </c>
      <c r="H1086" s="1">
        <v>46045.629988425928</v>
      </c>
      <c r="I1086" t="s">
        <v>634</v>
      </c>
      <c r="J1086">
        <v>6.9</v>
      </c>
      <c r="K1086">
        <v>0</v>
      </c>
    </row>
    <row r="1087" spans="1:11" x14ac:dyDescent="0.3">
      <c r="A1087">
        <v>1086</v>
      </c>
      <c r="B1087">
        <v>136</v>
      </c>
      <c r="C1087">
        <v>4</v>
      </c>
      <c r="D1087">
        <v>989</v>
      </c>
      <c r="E1087" t="s">
        <v>651</v>
      </c>
      <c r="F1087">
        <v>14.71</v>
      </c>
      <c r="G1087" t="s">
        <v>623</v>
      </c>
      <c r="H1087" s="1">
        <v>46045.668703703705</v>
      </c>
      <c r="I1087" t="s">
        <v>634</v>
      </c>
      <c r="J1087">
        <v>14.71</v>
      </c>
      <c r="K1087">
        <v>0</v>
      </c>
    </row>
    <row r="1088" spans="1:11" x14ac:dyDescent="0.3">
      <c r="A1088">
        <v>1087</v>
      </c>
      <c r="B1088">
        <v>122</v>
      </c>
      <c r="C1088">
        <v>5</v>
      </c>
      <c r="D1088">
        <v>990</v>
      </c>
      <c r="E1088" t="s">
        <v>651</v>
      </c>
      <c r="F1088">
        <v>14.65</v>
      </c>
      <c r="G1088" t="s">
        <v>623</v>
      </c>
      <c r="H1088" s="1">
        <v>46046.43787037037</v>
      </c>
      <c r="I1088" t="s">
        <v>634</v>
      </c>
      <c r="J1088">
        <v>14.65</v>
      </c>
      <c r="K1088">
        <v>0</v>
      </c>
    </row>
    <row r="1089" spans="1:11" x14ac:dyDescent="0.3">
      <c r="A1089">
        <v>1088</v>
      </c>
      <c r="B1089">
        <v>202</v>
      </c>
      <c r="C1089">
        <v>2</v>
      </c>
      <c r="D1089">
        <v>991</v>
      </c>
      <c r="E1089" t="s">
        <v>651</v>
      </c>
      <c r="F1089">
        <v>2.29</v>
      </c>
      <c r="G1089" t="s">
        <v>623</v>
      </c>
      <c r="H1089" s="1">
        <v>46046.443819444445</v>
      </c>
      <c r="I1089" t="s">
        <v>634</v>
      </c>
      <c r="J1089">
        <v>2.29</v>
      </c>
      <c r="K1089">
        <v>0</v>
      </c>
    </row>
    <row r="1090" spans="1:11" x14ac:dyDescent="0.3">
      <c r="A1090">
        <v>1089</v>
      </c>
      <c r="B1090">
        <v>202</v>
      </c>
      <c r="C1090">
        <v>3</v>
      </c>
      <c r="D1090">
        <v>992</v>
      </c>
      <c r="E1090" t="s">
        <v>651</v>
      </c>
      <c r="F1090">
        <v>4.41</v>
      </c>
      <c r="G1090" t="s">
        <v>623</v>
      </c>
      <c r="H1090" s="1">
        <v>46046.445717592593</v>
      </c>
      <c r="I1090" t="s">
        <v>634</v>
      </c>
      <c r="J1090">
        <v>4.41</v>
      </c>
      <c r="K1090">
        <v>0</v>
      </c>
    </row>
    <row r="1091" spans="1:11" x14ac:dyDescent="0.3">
      <c r="A1091">
        <v>1090</v>
      </c>
      <c r="B1091">
        <v>91</v>
      </c>
      <c r="C1091">
        <v>5</v>
      </c>
      <c r="D1091">
        <v>993</v>
      </c>
      <c r="E1091" t="s">
        <v>651</v>
      </c>
      <c r="F1091">
        <v>5.17</v>
      </c>
      <c r="G1091" t="s">
        <v>623</v>
      </c>
      <c r="H1091" s="1">
        <v>46046.446608796294</v>
      </c>
      <c r="I1091" t="s">
        <v>634</v>
      </c>
      <c r="J1091">
        <v>5.17</v>
      </c>
      <c r="K1091">
        <v>0</v>
      </c>
    </row>
    <row r="1092" spans="1:11" x14ac:dyDescent="0.3">
      <c r="A1092">
        <v>1091</v>
      </c>
      <c r="B1092">
        <v>244</v>
      </c>
      <c r="C1092">
        <v>3</v>
      </c>
      <c r="D1092">
        <v>994</v>
      </c>
      <c r="E1092" t="s">
        <v>651</v>
      </c>
      <c r="F1092">
        <v>6.8</v>
      </c>
      <c r="G1092" t="s">
        <v>623</v>
      </c>
      <c r="H1092" s="1">
        <v>46046.453379629631</v>
      </c>
      <c r="I1092" t="s">
        <v>634</v>
      </c>
      <c r="J1092">
        <v>6.8</v>
      </c>
      <c r="K1092">
        <v>0</v>
      </c>
    </row>
    <row r="1093" spans="1:11" x14ac:dyDescent="0.3">
      <c r="A1093">
        <v>1092</v>
      </c>
      <c r="B1093">
        <v>240</v>
      </c>
      <c r="C1093">
        <v>5</v>
      </c>
      <c r="D1093">
        <v>995</v>
      </c>
      <c r="E1093" t="s">
        <v>651</v>
      </c>
      <c r="F1093">
        <v>30</v>
      </c>
      <c r="G1093" t="s">
        <v>623</v>
      </c>
      <c r="H1093" s="1">
        <v>46046.506481481483</v>
      </c>
      <c r="I1093" t="s">
        <v>634</v>
      </c>
      <c r="J1093">
        <v>30</v>
      </c>
      <c r="K1093">
        <v>0</v>
      </c>
    </row>
    <row r="1094" spans="1:11" x14ac:dyDescent="0.3">
      <c r="A1094">
        <v>1093</v>
      </c>
      <c r="B1094">
        <v>276</v>
      </c>
      <c r="C1094">
        <v>5</v>
      </c>
      <c r="D1094">
        <v>996</v>
      </c>
      <c r="E1094" t="s">
        <v>651</v>
      </c>
      <c r="F1094">
        <v>1.89</v>
      </c>
      <c r="G1094" t="s">
        <v>623</v>
      </c>
      <c r="H1094" s="1">
        <v>46046.509768518517</v>
      </c>
      <c r="I1094" t="s">
        <v>634</v>
      </c>
      <c r="J1094">
        <v>1.89</v>
      </c>
      <c r="K1094">
        <v>0</v>
      </c>
    </row>
    <row r="1095" spans="1:11" x14ac:dyDescent="0.3">
      <c r="A1095">
        <v>1094</v>
      </c>
      <c r="B1095">
        <v>43</v>
      </c>
      <c r="C1095">
        <v>2</v>
      </c>
      <c r="D1095">
        <v>997</v>
      </c>
      <c r="E1095" t="s">
        <v>651</v>
      </c>
      <c r="F1095">
        <v>8.31</v>
      </c>
      <c r="G1095" t="s">
        <v>623</v>
      </c>
      <c r="H1095" s="1">
        <v>46046.541932870372</v>
      </c>
      <c r="I1095" t="s">
        <v>634</v>
      </c>
      <c r="J1095">
        <v>8.31</v>
      </c>
      <c r="K1095">
        <v>0</v>
      </c>
    </row>
    <row r="1096" spans="1:11" x14ac:dyDescent="0.3">
      <c r="A1096">
        <v>1095</v>
      </c>
      <c r="B1096">
        <v>137</v>
      </c>
      <c r="C1096">
        <v>2</v>
      </c>
      <c r="D1096">
        <v>998</v>
      </c>
      <c r="E1096" t="s">
        <v>651</v>
      </c>
      <c r="F1096">
        <v>2.29</v>
      </c>
      <c r="G1096" t="s">
        <v>623</v>
      </c>
      <c r="H1096" s="1">
        <v>46046.546701388892</v>
      </c>
      <c r="I1096" t="s">
        <v>634</v>
      </c>
      <c r="J1096">
        <v>2.29</v>
      </c>
      <c r="K1096">
        <v>0</v>
      </c>
    </row>
    <row r="1097" spans="1:11" x14ac:dyDescent="0.3">
      <c r="A1097">
        <v>1096</v>
      </c>
      <c r="B1097">
        <v>156</v>
      </c>
      <c r="C1097">
        <v>2</v>
      </c>
      <c r="D1097">
        <v>999</v>
      </c>
      <c r="E1097" t="s">
        <v>651</v>
      </c>
      <c r="F1097">
        <v>3.81</v>
      </c>
      <c r="G1097" t="s">
        <v>623</v>
      </c>
      <c r="H1097" s="1">
        <v>46046.617280092592</v>
      </c>
      <c r="I1097" t="s">
        <v>634</v>
      </c>
      <c r="J1097">
        <v>3.81</v>
      </c>
      <c r="K1097">
        <v>0</v>
      </c>
    </row>
    <row r="1098" spans="1:11" x14ac:dyDescent="0.3">
      <c r="A1098">
        <v>1097</v>
      </c>
      <c r="B1098">
        <v>39</v>
      </c>
      <c r="C1098">
        <v>2</v>
      </c>
      <c r="D1098">
        <v>1000</v>
      </c>
      <c r="E1098" t="s">
        <v>651</v>
      </c>
      <c r="F1098">
        <v>19.190000000000001</v>
      </c>
      <c r="G1098" t="s">
        <v>623</v>
      </c>
      <c r="H1098" s="1">
        <v>46046.631273148145</v>
      </c>
      <c r="I1098" t="s">
        <v>634</v>
      </c>
      <c r="J1098">
        <v>19.190000000000001</v>
      </c>
      <c r="K1098">
        <v>0</v>
      </c>
    </row>
    <row r="1099" spans="1:11" x14ac:dyDescent="0.3">
      <c r="A1099">
        <v>1098</v>
      </c>
      <c r="B1099">
        <v>137</v>
      </c>
      <c r="C1099">
        <v>3</v>
      </c>
      <c r="D1099">
        <v>1001</v>
      </c>
      <c r="E1099" t="s">
        <v>657</v>
      </c>
      <c r="F1099">
        <v>37.14</v>
      </c>
      <c r="G1099" t="s">
        <v>623</v>
      </c>
      <c r="H1099" s="1">
        <v>46046.649606481478</v>
      </c>
      <c r="I1099" t="s">
        <v>634</v>
      </c>
      <c r="J1099">
        <v>0</v>
      </c>
      <c r="K1099">
        <v>37.14</v>
      </c>
    </row>
    <row r="1100" spans="1:11" x14ac:dyDescent="0.3">
      <c r="A1100">
        <v>1099</v>
      </c>
      <c r="B1100">
        <v>156</v>
      </c>
      <c r="C1100">
        <v>2</v>
      </c>
      <c r="D1100">
        <v>1002</v>
      </c>
      <c r="E1100" t="s">
        <v>651</v>
      </c>
      <c r="F1100">
        <v>3.36</v>
      </c>
      <c r="G1100" t="s">
        <v>623</v>
      </c>
      <c r="H1100" s="1">
        <v>46046.657476851855</v>
      </c>
      <c r="I1100" t="s">
        <v>634</v>
      </c>
      <c r="J1100">
        <v>3.36</v>
      </c>
      <c r="K1100">
        <v>0</v>
      </c>
    </row>
    <row r="1101" spans="1:11" x14ac:dyDescent="0.3">
      <c r="A1101">
        <v>1100</v>
      </c>
      <c r="B1101">
        <v>65</v>
      </c>
      <c r="C1101">
        <v>5</v>
      </c>
      <c r="D1101">
        <v>1003</v>
      </c>
      <c r="E1101" t="s">
        <v>651</v>
      </c>
      <c r="F1101">
        <v>3.19</v>
      </c>
      <c r="G1101" t="s">
        <v>623</v>
      </c>
      <c r="H1101" s="1">
        <v>46046.810902777775</v>
      </c>
      <c r="I1101" t="s">
        <v>634</v>
      </c>
      <c r="J1101">
        <v>3.19</v>
      </c>
      <c r="K1101">
        <v>0</v>
      </c>
    </row>
    <row r="1102" spans="1:11" x14ac:dyDescent="0.3">
      <c r="A1102">
        <v>1101</v>
      </c>
      <c r="B1102">
        <v>39</v>
      </c>
      <c r="C1102">
        <v>3</v>
      </c>
      <c r="D1102">
        <v>1004</v>
      </c>
      <c r="E1102" t="s">
        <v>651</v>
      </c>
      <c r="F1102">
        <v>19.149999999999999</v>
      </c>
      <c r="G1102" t="s">
        <v>623</v>
      </c>
      <c r="H1102" s="1">
        <v>46047.311840277776</v>
      </c>
      <c r="I1102" t="s">
        <v>634</v>
      </c>
      <c r="J1102">
        <v>19.149999999999999</v>
      </c>
      <c r="K1102">
        <v>0</v>
      </c>
    </row>
    <row r="1103" spans="1:11" x14ac:dyDescent="0.3">
      <c r="A1103">
        <v>1102</v>
      </c>
      <c r="B1103">
        <v>277</v>
      </c>
      <c r="C1103">
        <v>5</v>
      </c>
      <c r="D1103">
        <v>1005</v>
      </c>
      <c r="E1103" t="s">
        <v>651</v>
      </c>
      <c r="F1103">
        <v>9.68</v>
      </c>
      <c r="G1103" t="s">
        <v>623</v>
      </c>
      <c r="H1103" s="1">
        <v>46047.320972222224</v>
      </c>
      <c r="I1103" t="s">
        <v>634</v>
      </c>
      <c r="J1103">
        <v>9.68</v>
      </c>
      <c r="K1103">
        <v>0</v>
      </c>
    </row>
    <row r="1104" spans="1:11" x14ac:dyDescent="0.3">
      <c r="A1104">
        <v>1103</v>
      </c>
      <c r="B1104">
        <v>173</v>
      </c>
      <c r="C1104">
        <v>3</v>
      </c>
      <c r="D1104">
        <v>1006</v>
      </c>
      <c r="E1104" t="s">
        <v>651</v>
      </c>
      <c r="F1104">
        <v>19.440000000000001</v>
      </c>
      <c r="G1104" t="s">
        <v>623</v>
      </c>
      <c r="H1104" s="1">
        <v>46047.351111111115</v>
      </c>
      <c r="I1104" t="s">
        <v>634</v>
      </c>
      <c r="J1104">
        <v>19.440000000000001</v>
      </c>
      <c r="K1104">
        <v>0</v>
      </c>
    </row>
    <row r="1105" spans="1:11" x14ac:dyDescent="0.3">
      <c r="A1105">
        <v>1104</v>
      </c>
      <c r="B1105">
        <v>166</v>
      </c>
      <c r="C1105">
        <v>4</v>
      </c>
      <c r="D1105">
        <v>1007</v>
      </c>
      <c r="E1105" t="s">
        <v>651</v>
      </c>
      <c r="F1105">
        <v>10.4</v>
      </c>
      <c r="G1105" t="s">
        <v>623</v>
      </c>
      <c r="H1105" s="1">
        <v>46047.377476851849</v>
      </c>
      <c r="I1105" t="s">
        <v>634</v>
      </c>
      <c r="J1105">
        <v>10.4</v>
      </c>
      <c r="K1105">
        <v>0</v>
      </c>
    </row>
    <row r="1106" spans="1:11" x14ac:dyDescent="0.3">
      <c r="A1106">
        <v>1105</v>
      </c>
      <c r="B1106">
        <v>59</v>
      </c>
      <c r="C1106">
        <v>2</v>
      </c>
      <c r="D1106">
        <v>1008</v>
      </c>
      <c r="E1106" t="s">
        <v>651</v>
      </c>
      <c r="F1106">
        <v>2.87</v>
      </c>
      <c r="G1106" t="s">
        <v>623</v>
      </c>
      <c r="H1106" s="1">
        <v>46047.452291666668</v>
      </c>
      <c r="I1106" t="s">
        <v>634</v>
      </c>
      <c r="J1106">
        <v>2.87</v>
      </c>
      <c r="K1106">
        <v>0</v>
      </c>
    </row>
    <row r="1107" spans="1:11" x14ac:dyDescent="0.3">
      <c r="A1107">
        <v>1106</v>
      </c>
      <c r="B1107">
        <v>207</v>
      </c>
      <c r="C1107">
        <v>2</v>
      </c>
      <c r="D1107">
        <v>1009</v>
      </c>
      <c r="E1107" t="s">
        <v>651</v>
      </c>
      <c r="F1107">
        <v>2.69</v>
      </c>
      <c r="G1107" t="s">
        <v>623</v>
      </c>
      <c r="H1107" s="1">
        <v>46047.519699074073</v>
      </c>
      <c r="I1107" t="s">
        <v>634</v>
      </c>
      <c r="J1107">
        <v>2.69</v>
      </c>
      <c r="K1107">
        <v>0</v>
      </c>
    </row>
    <row r="1108" spans="1:11" x14ac:dyDescent="0.3">
      <c r="A1108">
        <v>1107</v>
      </c>
      <c r="B1108">
        <v>207</v>
      </c>
      <c r="C1108">
        <v>2</v>
      </c>
      <c r="D1108">
        <v>1010</v>
      </c>
      <c r="E1108" t="s">
        <v>651</v>
      </c>
      <c r="F1108">
        <v>2.2999999999999998</v>
      </c>
      <c r="G1108" t="s">
        <v>623</v>
      </c>
      <c r="H1108" s="1">
        <v>46047.683182870373</v>
      </c>
      <c r="I1108" t="s">
        <v>634</v>
      </c>
      <c r="J1108">
        <v>2.2999999999999998</v>
      </c>
      <c r="K1108">
        <v>0</v>
      </c>
    </row>
    <row r="1109" spans="1:11" x14ac:dyDescent="0.3">
      <c r="A1109">
        <v>1108</v>
      </c>
      <c r="B1109">
        <v>137</v>
      </c>
      <c r="C1109">
        <v>2</v>
      </c>
      <c r="D1109">
        <v>1011</v>
      </c>
      <c r="E1109" t="s">
        <v>651</v>
      </c>
      <c r="F1109">
        <v>1.52</v>
      </c>
      <c r="G1109" t="s">
        <v>623</v>
      </c>
      <c r="H1109" s="1">
        <v>46047.810231481482</v>
      </c>
      <c r="I1109" t="s">
        <v>634</v>
      </c>
      <c r="J1109">
        <v>1.52</v>
      </c>
      <c r="K1109">
        <v>0</v>
      </c>
    </row>
    <row r="1110" spans="1:11" x14ac:dyDescent="0.3">
      <c r="A1110">
        <v>1109</v>
      </c>
      <c r="B1110">
        <v>276</v>
      </c>
      <c r="C1110">
        <v>1</v>
      </c>
      <c r="E1110" t="s">
        <v>649</v>
      </c>
      <c r="F1110">
        <v>34.75</v>
      </c>
      <c r="G1110" t="s">
        <v>652</v>
      </c>
      <c r="H1110" s="1">
        <v>46048.21334490741</v>
      </c>
      <c r="I1110" t="s">
        <v>634</v>
      </c>
      <c r="J1110">
        <v>0</v>
      </c>
      <c r="K1110">
        <v>0</v>
      </c>
    </row>
    <row r="1111" spans="1:11" x14ac:dyDescent="0.3">
      <c r="A1111">
        <v>1110</v>
      </c>
      <c r="B1111">
        <v>166</v>
      </c>
      <c r="C1111">
        <v>2</v>
      </c>
      <c r="D1111">
        <v>1012</v>
      </c>
      <c r="E1111" t="s">
        <v>651</v>
      </c>
      <c r="F1111">
        <v>7.77</v>
      </c>
      <c r="G1111" t="s">
        <v>623</v>
      </c>
      <c r="H1111" s="1">
        <v>46048.300868055558</v>
      </c>
      <c r="I1111" t="s">
        <v>634</v>
      </c>
      <c r="J1111">
        <v>7.77</v>
      </c>
      <c r="K1111">
        <v>0</v>
      </c>
    </row>
    <row r="1112" spans="1:11" x14ac:dyDescent="0.3">
      <c r="A1112">
        <v>1111</v>
      </c>
      <c r="B1112">
        <v>48</v>
      </c>
      <c r="C1112">
        <v>5</v>
      </c>
      <c r="D1112">
        <v>1013</v>
      </c>
      <c r="E1112" t="s">
        <v>651</v>
      </c>
      <c r="F1112">
        <v>4.2</v>
      </c>
      <c r="G1112" t="s">
        <v>623</v>
      </c>
      <c r="H1112" s="1">
        <v>46048.379513888889</v>
      </c>
      <c r="I1112" t="s">
        <v>634</v>
      </c>
      <c r="J1112">
        <v>4.2</v>
      </c>
      <c r="K1112">
        <v>0</v>
      </c>
    </row>
    <row r="1113" spans="1:11" x14ac:dyDescent="0.3">
      <c r="A1113">
        <v>1112</v>
      </c>
      <c r="B1113">
        <v>197</v>
      </c>
      <c r="C1113">
        <v>2</v>
      </c>
      <c r="D1113">
        <v>1014</v>
      </c>
      <c r="E1113" t="s">
        <v>651</v>
      </c>
      <c r="F1113">
        <v>8.66</v>
      </c>
      <c r="G1113" t="s">
        <v>623</v>
      </c>
      <c r="H1113" s="1">
        <v>46048.43712962963</v>
      </c>
      <c r="I1113" t="s">
        <v>634</v>
      </c>
      <c r="J1113">
        <v>8.66</v>
      </c>
      <c r="K1113">
        <v>0</v>
      </c>
    </row>
    <row r="1114" spans="1:11" x14ac:dyDescent="0.3">
      <c r="A1114">
        <v>1113</v>
      </c>
      <c r="B1114">
        <v>265</v>
      </c>
      <c r="C1114">
        <v>2</v>
      </c>
      <c r="D1114">
        <v>1015</v>
      </c>
      <c r="E1114" t="s">
        <v>651</v>
      </c>
      <c r="F1114">
        <v>10.130000000000001</v>
      </c>
      <c r="G1114" t="s">
        <v>623</v>
      </c>
      <c r="H1114" s="1">
        <v>46048.441377314812</v>
      </c>
      <c r="I1114" t="s">
        <v>634</v>
      </c>
      <c r="J1114">
        <v>10.130000000000001</v>
      </c>
      <c r="K1114">
        <v>0</v>
      </c>
    </row>
    <row r="1115" spans="1:11" x14ac:dyDescent="0.3">
      <c r="A1115">
        <v>1114</v>
      </c>
      <c r="B1115">
        <v>22</v>
      </c>
      <c r="C1115">
        <v>3</v>
      </c>
      <c r="D1115">
        <v>1016</v>
      </c>
      <c r="E1115" t="s">
        <v>651</v>
      </c>
      <c r="F1115">
        <v>7.81</v>
      </c>
      <c r="G1115" t="s">
        <v>623</v>
      </c>
      <c r="H1115" s="1">
        <v>46048.458310185182</v>
      </c>
      <c r="I1115" t="s">
        <v>634</v>
      </c>
      <c r="J1115">
        <v>7.81</v>
      </c>
      <c r="K1115">
        <v>0</v>
      </c>
    </row>
    <row r="1116" spans="1:11" x14ac:dyDescent="0.3">
      <c r="A1116">
        <v>1115</v>
      </c>
      <c r="B1116">
        <v>52</v>
      </c>
      <c r="C1116">
        <v>3</v>
      </c>
      <c r="D1116">
        <v>1017</v>
      </c>
      <c r="E1116" t="s">
        <v>651</v>
      </c>
      <c r="F1116">
        <v>4.46</v>
      </c>
      <c r="G1116" t="s">
        <v>623</v>
      </c>
      <c r="H1116" s="1">
        <v>46048.5156712963</v>
      </c>
      <c r="I1116" t="s">
        <v>634</v>
      </c>
      <c r="J1116">
        <v>4.46</v>
      </c>
      <c r="K1116">
        <v>0</v>
      </c>
    </row>
    <row r="1117" spans="1:11" x14ac:dyDescent="0.3">
      <c r="A1117">
        <v>1116</v>
      </c>
      <c r="B1117">
        <v>87</v>
      </c>
      <c r="C1117">
        <v>4</v>
      </c>
      <c r="D1117">
        <v>1018</v>
      </c>
      <c r="E1117" t="s">
        <v>651</v>
      </c>
      <c r="F1117">
        <v>14.03</v>
      </c>
      <c r="G1117" t="s">
        <v>623</v>
      </c>
      <c r="H1117" s="1">
        <v>46048.609351851854</v>
      </c>
      <c r="I1117" t="s">
        <v>634</v>
      </c>
      <c r="J1117">
        <v>14.03</v>
      </c>
      <c r="K1117">
        <v>0</v>
      </c>
    </row>
    <row r="1118" spans="1:11" x14ac:dyDescent="0.3">
      <c r="A1118">
        <v>1117</v>
      </c>
      <c r="B1118">
        <v>261</v>
      </c>
      <c r="C1118">
        <v>4</v>
      </c>
      <c r="D1118">
        <v>1019</v>
      </c>
      <c r="E1118" t="s">
        <v>651</v>
      </c>
      <c r="F1118">
        <v>11.83</v>
      </c>
      <c r="G1118" t="s">
        <v>623</v>
      </c>
      <c r="H1118" s="1">
        <v>46048.633437500001</v>
      </c>
      <c r="I1118" t="s">
        <v>634</v>
      </c>
      <c r="J1118">
        <v>11.83</v>
      </c>
      <c r="K1118">
        <v>0</v>
      </c>
    </row>
    <row r="1119" spans="1:11" x14ac:dyDescent="0.3">
      <c r="A1119">
        <v>1118</v>
      </c>
      <c r="B1119">
        <v>141</v>
      </c>
      <c r="C1119">
        <v>2</v>
      </c>
      <c r="D1119">
        <v>1020</v>
      </c>
      <c r="E1119" t="s">
        <v>651</v>
      </c>
      <c r="F1119">
        <v>7.91</v>
      </c>
      <c r="G1119" t="s">
        <v>623</v>
      </c>
      <c r="H1119" s="1">
        <v>46048.636990740742</v>
      </c>
      <c r="I1119" t="s">
        <v>634</v>
      </c>
      <c r="J1119">
        <v>7.91</v>
      </c>
      <c r="K1119">
        <v>0</v>
      </c>
    </row>
    <row r="1120" spans="1:11" x14ac:dyDescent="0.3">
      <c r="A1120">
        <v>1119</v>
      </c>
      <c r="B1120">
        <v>137</v>
      </c>
      <c r="C1120">
        <v>5</v>
      </c>
      <c r="D1120">
        <v>1021</v>
      </c>
      <c r="E1120" t="s">
        <v>651</v>
      </c>
      <c r="F1120">
        <v>3.89</v>
      </c>
      <c r="G1120" t="s">
        <v>623</v>
      </c>
      <c r="H1120" s="1">
        <v>46048.672372685185</v>
      </c>
      <c r="I1120" t="s">
        <v>634</v>
      </c>
      <c r="J1120">
        <v>3.89</v>
      </c>
      <c r="K1120">
        <v>0</v>
      </c>
    </row>
    <row r="1121" spans="1:11" x14ac:dyDescent="0.3">
      <c r="A1121">
        <v>1120</v>
      </c>
      <c r="B1121">
        <v>195</v>
      </c>
      <c r="C1121">
        <v>2</v>
      </c>
      <c r="D1121">
        <v>1022</v>
      </c>
      <c r="E1121" t="s">
        <v>651</v>
      </c>
      <c r="F1121">
        <v>19.37</v>
      </c>
      <c r="G1121" t="s">
        <v>623</v>
      </c>
      <c r="H1121" s="1">
        <v>46048.68540509259</v>
      </c>
      <c r="I1121" t="s">
        <v>634</v>
      </c>
      <c r="J1121">
        <v>19.37</v>
      </c>
      <c r="K1121">
        <v>0</v>
      </c>
    </row>
    <row r="1122" spans="1:11" x14ac:dyDescent="0.3">
      <c r="A1122">
        <v>1121</v>
      </c>
      <c r="B1122">
        <v>297</v>
      </c>
      <c r="C1122">
        <v>2</v>
      </c>
      <c r="D1122">
        <v>1023</v>
      </c>
      <c r="E1122" t="s">
        <v>651</v>
      </c>
      <c r="F1122">
        <v>8.2899999999999991</v>
      </c>
      <c r="G1122" t="s">
        <v>623</v>
      </c>
      <c r="H1122" s="1">
        <v>46048.743761574071</v>
      </c>
      <c r="I1122" t="s">
        <v>634</v>
      </c>
      <c r="J1122">
        <v>8.2899999999999991</v>
      </c>
      <c r="K1122">
        <v>0</v>
      </c>
    </row>
    <row r="1123" spans="1:11" x14ac:dyDescent="0.3">
      <c r="A1123">
        <v>1122</v>
      </c>
      <c r="B1123">
        <v>106</v>
      </c>
      <c r="C1123">
        <v>5</v>
      </c>
      <c r="D1123">
        <v>1024</v>
      </c>
      <c r="E1123" t="s">
        <v>651</v>
      </c>
      <c r="F1123">
        <v>7.22</v>
      </c>
      <c r="G1123" t="s">
        <v>623</v>
      </c>
      <c r="H1123" s="1">
        <v>46049.321481481478</v>
      </c>
      <c r="I1123" t="s">
        <v>634</v>
      </c>
      <c r="J1123">
        <v>7.22</v>
      </c>
      <c r="K1123">
        <v>0</v>
      </c>
    </row>
    <row r="1124" spans="1:11" x14ac:dyDescent="0.3">
      <c r="A1124">
        <v>1123</v>
      </c>
      <c r="B1124">
        <v>39</v>
      </c>
      <c r="C1124">
        <v>3</v>
      </c>
      <c r="D1124">
        <v>1025</v>
      </c>
      <c r="E1124" t="s">
        <v>651</v>
      </c>
      <c r="F1124">
        <v>20.46</v>
      </c>
      <c r="G1124" t="s">
        <v>623</v>
      </c>
      <c r="H1124" s="1">
        <v>46049.349351851852</v>
      </c>
      <c r="I1124" t="s">
        <v>634</v>
      </c>
      <c r="J1124">
        <v>20.46</v>
      </c>
      <c r="K1124">
        <v>0</v>
      </c>
    </row>
    <row r="1125" spans="1:11" x14ac:dyDescent="0.3">
      <c r="A1125">
        <v>1124</v>
      </c>
      <c r="B1125">
        <v>44</v>
      </c>
      <c r="C1125">
        <v>5</v>
      </c>
      <c r="D1125">
        <v>1026</v>
      </c>
      <c r="E1125" t="s">
        <v>651</v>
      </c>
      <c r="F1125">
        <v>2.3199999999999998</v>
      </c>
      <c r="G1125" t="s">
        <v>623</v>
      </c>
      <c r="H1125" s="1">
        <v>46049.40421296296</v>
      </c>
      <c r="I1125" t="s">
        <v>634</v>
      </c>
      <c r="J1125">
        <v>2.3199999999999998</v>
      </c>
      <c r="K1125">
        <v>0</v>
      </c>
    </row>
    <row r="1126" spans="1:11" x14ac:dyDescent="0.3">
      <c r="A1126">
        <v>1125</v>
      </c>
      <c r="B1126">
        <v>137</v>
      </c>
      <c r="C1126">
        <v>2</v>
      </c>
      <c r="D1126">
        <v>1027</v>
      </c>
      <c r="E1126" t="s">
        <v>651</v>
      </c>
      <c r="F1126">
        <v>6.94</v>
      </c>
      <c r="G1126" t="s">
        <v>623</v>
      </c>
      <c r="H1126" s="1">
        <v>46049.452789351853</v>
      </c>
      <c r="I1126" t="s">
        <v>634</v>
      </c>
      <c r="J1126">
        <v>6.94</v>
      </c>
      <c r="K1126">
        <v>0</v>
      </c>
    </row>
    <row r="1127" spans="1:11" x14ac:dyDescent="0.3">
      <c r="A1127">
        <v>1126</v>
      </c>
      <c r="B1127">
        <v>39</v>
      </c>
      <c r="C1127">
        <v>4</v>
      </c>
      <c r="D1127">
        <v>1028</v>
      </c>
      <c r="E1127" t="s">
        <v>651</v>
      </c>
      <c r="F1127">
        <v>14.97</v>
      </c>
      <c r="G1127" t="s">
        <v>623</v>
      </c>
      <c r="H1127" s="1">
        <v>46049.482557870368</v>
      </c>
      <c r="I1127" t="s">
        <v>634</v>
      </c>
      <c r="J1127">
        <v>14.97</v>
      </c>
      <c r="K1127">
        <v>0</v>
      </c>
    </row>
    <row r="1128" spans="1:11" x14ac:dyDescent="0.3">
      <c r="A1128">
        <v>1127</v>
      </c>
      <c r="B1128">
        <v>83</v>
      </c>
      <c r="C1128">
        <v>5</v>
      </c>
      <c r="D1128">
        <v>1029</v>
      </c>
      <c r="E1128" t="s">
        <v>651</v>
      </c>
      <c r="F1128">
        <v>3.53</v>
      </c>
      <c r="G1128" t="s">
        <v>623</v>
      </c>
      <c r="H1128" s="1">
        <v>46049.485613425924</v>
      </c>
      <c r="I1128" t="s">
        <v>634</v>
      </c>
      <c r="J1128">
        <v>3.53</v>
      </c>
      <c r="K1128">
        <v>0</v>
      </c>
    </row>
    <row r="1129" spans="1:11" x14ac:dyDescent="0.3">
      <c r="A1129">
        <v>1128</v>
      </c>
      <c r="B1129">
        <v>240</v>
      </c>
      <c r="C1129">
        <v>3</v>
      </c>
      <c r="D1129">
        <v>1030</v>
      </c>
      <c r="E1129" t="s">
        <v>651</v>
      </c>
      <c r="F1129">
        <v>16.510000000000002</v>
      </c>
      <c r="G1129" t="s">
        <v>623</v>
      </c>
      <c r="H1129" s="1">
        <v>46049.495671296296</v>
      </c>
      <c r="I1129" t="s">
        <v>634</v>
      </c>
      <c r="J1129">
        <v>16.510000000000002</v>
      </c>
      <c r="K1129">
        <v>0</v>
      </c>
    </row>
    <row r="1130" spans="1:11" x14ac:dyDescent="0.3">
      <c r="A1130">
        <v>1129</v>
      </c>
      <c r="B1130">
        <v>176</v>
      </c>
      <c r="C1130">
        <v>2</v>
      </c>
      <c r="D1130">
        <v>1031</v>
      </c>
      <c r="E1130" t="s">
        <v>651</v>
      </c>
      <c r="F1130">
        <v>16.059999999999999</v>
      </c>
      <c r="G1130" t="s">
        <v>623</v>
      </c>
      <c r="H1130" s="1">
        <v>46049.57271990741</v>
      </c>
      <c r="I1130" t="s">
        <v>634</v>
      </c>
      <c r="J1130">
        <v>16.059999999999999</v>
      </c>
      <c r="K1130">
        <v>0</v>
      </c>
    </row>
    <row r="1131" spans="1:11" x14ac:dyDescent="0.3">
      <c r="A1131">
        <v>1130</v>
      </c>
      <c r="B1131">
        <v>235</v>
      </c>
      <c r="C1131">
        <v>2</v>
      </c>
      <c r="D1131">
        <v>1032</v>
      </c>
      <c r="E1131" t="s">
        <v>651</v>
      </c>
      <c r="F1131">
        <v>5.74</v>
      </c>
      <c r="G1131" t="s">
        <v>623</v>
      </c>
      <c r="H1131" s="1">
        <v>46049.572766203702</v>
      </c>
      <c r="I1131" t="s">
        <v>634</v>
      </c>
      <c r="J1131">
        <v>5.74</v>
      </c>
      <c r="K1131">
        <v>0</v>
      </c>
    </row>
    <row r="1132" spans="1:11" x14ac:dyDescent="0.3">
      <c r="A1132">
        <v>1131</v>
      </c>
      <c r="B1132">
        <v>125</v>
      </c>
      <c r="C1132">
        <v>4</v>
      </c>
      <c r="D1132">
        <v>1033</v>
      </c>
      <c r="E1132" t="s">
        <v>651</v>
      </c>
      <c r="F1132">
        <v>3.02</v>
      </c>
      <c r="G1132" t="s">
        <v>623</v>
      </c>
      <c r="H1132" s="1">
        <v>46049.608958333331</v>
      </c>
      <c r="I1132" t="s">
        <v>634</v>
      </c>
      <c r="J1132">
        <v>3.02</v>
      </c>
      <c r="K1132">
        <v>0</v>
      </c>
    </row>
    <row r="1133" spans="1:11" x14ac:dyDescent="0.3">
      <c r="A1133">
        <v>1132</v>
      </c>
      <c r="B1133">
        <v>156</v>
      </c>
      <c r="C1133">
        <v>5</v>
      </c>
      <c r="D1133">
        <v>1034</v>
      </c>
      <c r="E1133" t="s">
        <v>651</v>
      </c>
      <c r="F1133">
        <v>2.8</v>
      </c>
      <c r="G1133" t="s">
        <v>623</v>
      </c>
      <c r="H1133" s="1">
        <v>46049.620659722219</v>
      </c>
      <c r="I1133" t="s">
        <v>634</v>
      </c>
      <c r="J1133">
        <v>2.8</v>
      </c>
      <c r="K1133">
        <v>0</v>
      </c>
    </row>
    <row r="1134" spans="1:11" x14ac:dyDescent="0.3">
      <c r="A1134">
        <v>1133</v>
      </c>
      <c r="B1134">
        <v>136</v>
      </c>
      <c r="C1134">
        <v>5</v>
      </c>
      <c r="D1134">
        <v>1035</v>
      </c>
      <c r="E1134" t="s">
        <v>651</v>
      </c>
      <c r="F1134">
        <v>5.29</v>
      </c>
      <c r="G1134" t="s">
        <v>623</v>
      </c>
      <c r="H1134" s="1">
        <v>46049.639976851853</v>
      </c>
      <c r="I1134" t="s">
        <v>634</v>
      </c>
      <c r="J1134">
        <v>5.29</v>
      </c>
      <c r="K1134">
        <v>0</v>
      </c>
    </row>
    <row r="1135" spans="1:11" x14ac:dyDescent="0.3">
      <c r="A1135">
        <v>1134</v>
      </c>
      <c r="B1135">
        <v>91</v>
      </c>
      <c r="C1135">
        <v>5</v>
      </c>
      <c r="D1135">
        <v>1036</v>
      </c>
      <c r="E1135" t="s">
        <v>651</v>
      </c>
      <c r="F1135">
        <v>2.61</v>
      </c>
      <c r="G1135" t="s">
        <v>623</v>
      </c>
      <c r="H1135" s="1">
        <v>46049.640833333331</v>
      </c>
      <c r="I1135" t="s">
        <v>634</v>
      </c>
      <c r="J1135">
        <v>2.61</v>
      </c>
      <c r="K1135">
        <v>0</v>
      </c>
    </row>
    <row r="1136" spans="1:11" x14ac:dyDescent="0.3">
      <c r="A1136">
        <v>1135</v>
      </c>
      <c r="B1136">
        <v>240</v>
      </c>
      <c r="C1136">
        <v>5</v>
      </c>
      <c r="D1136">
        <v>1037</v>
      </c>
      <c r="E1136" t="s">
        <v>651</v>
      </c>
      <c r="F1136">
        <v>20.32</v>
      </c>
      <c r="G1136" t="s">
        <v>623</v>
      </c>
      <c r="H1136" s="1">
        <v>46049.68005787037</v>
      </c>
      <c r="I1136" t="s">
        <v>634</v>
      </c>
      <c r="J1136">
        <v>20.32</v>
      </c>
      <c r="K1136">
        <v>0</v>
      </c>
    </row>
    <row r="1137" spans="1:11" x14ac:dyDescent="0.3">
      <c r="A1137">
        <v>1136</v>
      </c>
      <c r="B1137">
        <v>101</v>
      </c>
      <c r="C1137">
        <v>3</v>
      </c>
      <c r="D1137">
        <v>1038</v>
      </c>
      <c r="E1137" t="s">
        <v>651</v>
      </c>
      <c r="F1137">
        <v>3.32</v>
      </c>
      <c r="G1137" t="s">
        <v>623</v>
      </c>
      <c r="H1137" s="1">
        <v>46049.680185185185</v>
      </c>
      <c r="I1137" t="s">
        <v>634</v>
      </c>
      <c r="J1137">
        <v>3.32</v>
      </c>
      <c r="K1137">
        <v>0</v>
      </c>
    </row>
    <row r="1138" spans="1:11" x14ac:dyDescent="0.3">
      <c r="A1138">
        <v>1137</v>
      </c>
      <c r="B1138">
        <v>59</v>
      </c>
      <c r="C1138">
        <v>3</v>
      </c>
      <c r="D1138">
        <v>1039</v>
      </c>
      <c r="E1138" t="s">
        <v>657</v>
      </c>
      <c r="F1138">
        <v>18.13</v>
      </c>
      <c r="G1138" t="s">
        <v>623</v>
      </c>
      <c r="H1138" s="1">
        <v>46049.697222222225</v>
      </c>
      <c r="I1138" t="s">
        <v>634</v>
      </c>
      <c r="J1138">
        <v>0</v>
      </c>
      <c r="K1138">
        <v>18.13</v>
      </c>
    </row>
    <row r="1139" spans="1:11" x14ac:dyDescent="0.3">
      <c r="A1139">
        <v>1138</v>
      </c>
      <c r="B1139">
        <v>304</v>
      </c>
      <c r="C1139">
        <v>5</v>
      </c>
      <c r="D1139">
        <v>1040</v>
      </c>
      <c r="E1139" t="s">
        <v>651</v>
      </c>
      <c r="F1139">
        <v>3.35</v>
      </c>
      <c r="G1139" t="s">
        <v>623</v>
      </c>
      <c r="H1139" s="1">
        <v>46049.714131944442</v>
      </c>
      <c r="I1139" t="s">
        <v>634</v>
      </c>
      <c r="J1139">
        <v>3.35</v>
      </c>
      <c r="K1139">
        <v>0</v>
      </c>
    </row>
    <row r="1140" spans="1:11" x14ac:dyDescent="0.3">
      <c r="A1140">
        <v>1139</v>
      </c>
      <c r="B1140">
        <v>81</v>
      </c>
      <c r="C1140">
        <v>3</v>
      </c>
      <c r="D1140">
        <v>1041</v>
      </c>
      <c r="E1140" t="s">
        <v>651</v>
      </c>
      <c r="F1140">
        <v>1.51</v>
      </c>
      <c r="G1140" t="s">
        <v>623</v>
      </c>
      <c r="H1140" s="1">
        <v>46049.716643518521</v>
      </c>
      <c r="I1140" t="s">
        <v>634</v>
      </c>
      <c r="J1140">
        <v>1.51</v>
      </c>
      <c r="K1140">
        <v>0</v>
      </c>
    </row>
    <row r="1141" spans="1:11" x14ac:dyDescent="0.3">
      <c r="A1141">
        <v>1140</v>
      </c>
      <c r="B1141">
        <v>70</v>
      </c>
      <c r="C1141">
        <v>5</v>
      </c>
      <c r="D1141">
        <v>1042</v>
      </c>
      <c r="E1141" t="s">
        <v>651</v>
      </c>
      <c r="F1141">
        <v>19.170000000000002</v>
      </c>
      <c r="G1141" t="s">
        <v>623</v>
      </c>
      <c r="H1141" s="1">
        <v>46049.799490740741</v>
      </c>
      <c r="I1141" t="s">
        <v>634</v>
      </c>
      <c r="J1141">
        <v>19.170000000000002</v>
      </c>
      <c r="K1141">
        <v>0</v>
      </c>
    </row>
    <row r="1142" spans="1:11" x14ac:dyDescent="0.3">
      <c r="A1142">
        <v>1141</v>
      </c>
      <c r="B1142">
        <v>221</v>
      </c>
      <c r="C1142">
        <v>4</v>
      </c>
      <c r="D1142">
        <v>1043</v>
      </c>
      <c r="E1142" t="s">
        <v>651</v>
      </c>
      <c r="F1142">
        <v>27.99</v>
      </c>
      <c r="G1142" t="s">
        <v>623</v>
      </c>
      <c r="H1142" s="1">
        <v>46050.306631944448</v>
      </c>
      <c r="I1142" t="s">
        <v>634</v>
      </c>
      <c r="J1142">
        <v>27.99</v>
      </c>
      <c r="K1142">
        <v>0</v>
      </c>
    </row>
    <row r="1143" spans="1:11" x14ac:dyDescent="0.3">
      <c r="A1143">
        <v>1142</v>
      </c>
      <c r="B1143">
        <v>270</v>
      </c>
      <c r="C1143">
        <v>3</v>
      </c>
      <c r="D1143">
        <v>1044</v>
      </c>
      <c r="E1143" t="s">
        <v>651</v>
      </c>
      <c r="F1143">
        <v>3.69</v>
      </c>
      <c r="G1143" t="s">
        <v>623</v>
      </c>
      <c r="H1143" s="1">
        <v>46050.34002314815</v>
      </c>
      <c r="I1143" t="s">
        <v>634</v>
      </c>
      <c r="J1143">
        <v>3.69</v>
      </c>
      <c r="K1143">
        <v>0</v>
      </c>
    </row>
    <row r="1144" spans="1:11" x14ac:dyDescent="0.3">
      <c r="A1144">
        <v>1143</v>
      </c>
      <c r="B1144">
        <v>115</v>
      </c>
      <c r="C1144">
        <v>3</v>
      </c>
      <c r="D1144">
        <v>1045</v>
      </c>
      <c r="E1144" t="s">
        <v>651</v>
      </c>
      <c r="F1144">
        <v>2.37</v>
      </c>
      <c r="G1144" t="s">
        <v>623</v>
      </c>
      <c r="H1144" s="1">
        <v>46050.408854166664</v>
      </c>
      <c r="I1144" t="s">
        <v>634</v>
      </c>
      <c r="J1144">
        <v>2.37</v>
      </c>
      <c r="K1144">
        <v>0</v>
      </c>
    </row>
    <row r="1145" spans="1:11" x14ac:dyDescent="0.3">
      <c r="A1145">
        <v>1144</v>
      </c>
      <c r="B1145">
        <v>240</v>
      </c>
      <c r="C1145">
        <v>2</v>
      </c>
      <c r="D1145">
        <v>1046</v>
      </c>
      <c r="E1145" t="s">
        <v>651</v>
      </c>
      <c r="F1145">
        <v>23.53</v>
      </c>
      <c r="G1145" t="s">
        <v>623</v>
      </c>
      <c r="H1145" s="1">
        <v>46050.418333333335</v>
      </c>
      <c r="I1145" t="s">
        <v>634</v>
      </c>
      <c r="J1145">
        <v>23.53</v>
      </c>
      <c r="K1145">
        <v>0</v>
      </c>
    </row>
    <row r="1146" spans="1:11" x14ac:dyDescent="0.3">
      <c r="A1146">
        <v>1145</v>
      </c>
      <c r="B1146">
        <v>37</v>
      </c>
      <c r="C1146">
        <v>2</v>
      </c>
      <c r="D1146">
        <v>1047</v>
      </c>
      <c r="E1146" t="s">
        <v>651</v>
      </c>
      <c r="F1146">
        <v>14.13</v>
      </c>
      <c r="G1146" t="s">
        <v>623</v>
      </c>
      <c r="H1146" s="1">
        <v>46050.452175925922</v>
      </c>
      <c r="I1146" t="s">
        <v>634</v>
      </c>
      <c r="J1146">
        <v>14.13</v>
      </c>
      <c r="K1146">
        <v>0</v>
      </c>
    </row>
    <row r="1147" spans="1:11" x14ac:dyDescent="0.3">
      <c r="A1147">
        <v>1146</v>
      </c>
      <c r="B1147">
        <v>156</v>
      </c>
      <c r="C1147">
        <v>2</v>
      </c>
      <c r="D1147">
        <v>1048</v>
      </c>
      <c r="E1147" t="s">
        <v>651</v>
      </c>
      <c r="F1147">
        <v>3.15</v>
      </c>
      <c r="G1147" t="s">
        <v>623</v>
      </c>
      <c r="H1147" s="1">
        <v>46050.506782407407</v>
      </c>
      <c r="I1147" t="s">
        <v>634</v>
      </c>
      <c r="J1147">
        <v>3.15</v>
      </c>
      <c r="K1147">
        <v>0</v>
      </c>
    </row>
    <row r="1148" spans="1:11" x14ac:dyDescent="0.3">
      <c r="A1148">
        <v>1147</v>
      </c>
      <c r="B1148">
        <v>274</v>
      </c>
      <c r="C1148">
        <v>5</v>
      </c>
      <c r="D1148">
        <v>1049</v>
      </c>
      <c r="E1148" t="s">
        <v>651</v>
      </c>
      <c r="F1148">
        <v>4.43</v>
      </c>
      <c r="G1148" t="s">
        <v>623</v>
      </c>
      <c r="H1148" s="1">
        <v>46050.592210648145</v>
      </c>
      <c r="I1148" t="s">
        <v>634</v>
      </c>
      <c r="J1148">
        <v>4.43</v>
      </c>
      <c r="K1148">
        <v>0</v>
      </c>
    </row>
    <row r="1149" spans="1:11" x14ac:dyDescent="0.3">
      <c r="A1149">
        <v>1148</v>
      </c>
      <c r="B1149">
        <v>197</v>
      </c>
      <c r="C1149">
        <v>5</v>
      </c>
      <c r="D1149">
        <v>1050</v>
      </c>
      <c r="E1149" t="s">
        <v>651</v>
      </c>
      <c r="F1149">
        <v>16.28</v>
      </c>
      <c r="G1149" t="s">
        <v>623</v>
      </c>
      <c r="H1149" s="1">
        <v>46050.592870370368</v>
      </c>
      <c r="I1149" t="s">
        <v>634</v>
      </c>
      <c r="J1149">
        <v>16.28</v>
      </c>
      <c r="K1149">
        <v>0</v>
      </c>
    </row>
    <row r="1150" spans="1:11" x14ac:dyDescent="0.3">
      <c r="A1150">
        <v>1149</v>
      </c>
      <c r="B1150">
        <v>270</v>
      </c>
      <c r="C1150">
        <v>1</v>
      </c>
      <c r="E1150" t="s">
        <v>649</v>
      </c>
      <c r="F1150">
        <v>-7.71</v>
      </c>
      <c r="G1150" t="s">
        <v>660</v>
      </c>
      <c r="H1150" s="1">
        <v>46050.59783564815</v>
      </c>
      <c r="I1150" t="s">
        <v>634</v>
      </c>
      <c r="J1150">
        <v>0</v>
      </c>
      <c r="K1150">
        <v>0</v>
      </c>
    </row>
    <row r="1151" spans="1:11" x14ac:dyDescent="0.3">
      <c r="A1151">
        <v>1150</v>
      </c>
      <c r="B1151">
        <v>137</v>
      </c>
      <c r="C1151">
        <v>4</v>
      </c>
      <c r="D1151">
        <v>1051</v>
      </c>
      <c r="E1151" t="s">
        <v>651</v>
      </c>
      <c r="F1151">
        <v>3.85</v>
      </c>
      <c r="G1151" t="s">
        <v>623</v>
      </c>
      <c r="H1151" s="1">
        <v>46050.613946759258</v>
      </c>
      <c r="I1151" t="s">
        <v>634</v>
      </c>
      <c r="J1151">
        <v>3.85</v>
      </c>
      <c r="K1151">
        <v>0</v>
      </c>
    </row>
    <row r="1152" spans="1:11" x14ac:dyDescent="0.3">
      <c r="A1152">
        <v>1151</v>
      </c>
      <c r="B1152">
        <v>115</v>
      </c>
      <c r="C1152">
        <v>4</v>
      </c>
      <c r="D1152">
        <v>1045</v>
      </c>
      <c r="E1152" t="s">
        <v>649</v>
      </c>
      <c r="F1152">
        <v>-2.37</v>
      </c>
      <c r="G1152" t="s">
        <v>700</v>
      </c>
      <c r="H1152" s="1">
        <v>46050.6171875</v>
      </c>
      <c r="I1152" t="s">
        <v>634</v>
      </c>
      <c r="J1152">
        <v>0</v>
      </c>
      <c r="K1152">
        <v>0</v>
      </c>
    </row>
    <row r="1153" spans="1:11" x14ac:dyDescent="0.3">
      <c r="A1153">
        <v>1152</v>
      </c>
      <c r="B1153">
        <v>27</v>
      </c>
      <c r="C1153">
        <v>3</v>
      </c>
      <c r="D1153">
        <v>1052</v>
      </c>
      <c r="E1153" t="s">
        <v>651</v>
      </c>
      <c r="F1153">
        <v>7.78</v>
      </c>
      <c r="G1153" t="s">
        <v>623</v>
      </c>
      <c r="H1153" s="1">
        <v>46050.627106481479</v>
      </c>
      <c r="I1153" t="s">
        <v>634</v>
      </c>
      <c r="J1153">
        <v>7.78</v>
      </c>
      <c r="K1153">
        <v>0</v>
      </c>
    </row>
    <row r="1154" spans="1:11" x14ac:dyDescent="0.3">
      <c r="A1154">
        <v>1153</v>
      </c>
      <c r="B1154">
        <v>157</v>
      </c>
      <c r="C1154">
        <v>5</v>
      </c>
      <c r="D1154">
        <v>1053</v>
      </c>
      <c r="E1154" t="s">
        <v>651</v>
      </c>
      <c r="F1154">
        <v>3.82</v>
      </c>
      <c r="G1154" t="s">
        <v>623</v>
      </c>
      <c r="H1154" s="1">
        <v>46050.633125</v>
      </c>
      <c r="I1154" t="s">
        <v>634</v>
      </c>
      <c r="J1154">
        <v>3.82</v>
      </c>
      <c r="K1154">
        <v>0</v>
      </c>
    </row>
    <row r="1155" spans="1:11" x14ac:dyDescent="0.3">
      <c r="A1155">
        <v>1154</v>
      </c>
      <c r="B1155">
        <v>144</v>
      </c>
      <c r="C1155">
        <v>5</v>
      </c>
      <c r="D1155">
        <v>1054</v>
      </c>
      <c r="E1155" t="s">
        <v>651</v>
      </c>
      <c r="F1155">
        <v>22</v>
      </c>
      <c r="G1155" t="s">
        <v>623</v>
      </c>
      <c r="H1155" s="1">
        <v>46050.639247685183</v>
      </c>
      <c r="I1155" t="s">
        <v>634</v>
      </c>
      <c r="J1155">
        <v>22</v>
      </c>
      <c r="K1155">
        <v>0</v>
      </c>
    </row>
    <row r="1156" spans="1:11" x14ac:dyDescent="0.3">
      <c r="A1156">
        <v>1155</v>
      </c>
      <c r="B1156">
        <v>42</v>
      </c>
      <c r="C1156">
        <v>4</v>
      </c>
      <c r="D1156">
        <v>1055</v>
      </c>
      <c r="E1156" t="s">
        <v>651</v>
      </c>
      <c r="F1156">
        <v>2.8</v>
      </c>
      <c r="G1156" t="s">
        <v>623</v>
      </c>
      <c r="H1156" s="1">
        <v>46050.661238425928</v>
      </c>
      <c r="I1156" t="s">
        <v>634</v>
      </c>
      <c r="J1156">
        <v>2.8</v>
      </c>
      <c r="K1156">
        <v>0</v>
      </c>
    </row>
    <row r="1157" spans="1:11" x14ac:dyDescent="0.3">
      <c r="A1157">
        <v>1156</v>
      </c>
      <c r="B1157">
        <v>106</v>
      </c>
      <c r="C1157">
        <v>4</v>
      </c>
      <c r="D1157">
        <v>1056</v>
      </c>
      <c r="E1157" t="s">
        <v>657</v>
      </c>
      <c r="F1157">
        <v>84.79</v>
      </c>
      <c r="G1157" t="s">
        <v>623</v>
      </c>
      <c r="H1157" s="1">
        <v>46050.727719907409</v>
      </c>
      <c r="I1157" t="s">
        <v>634</v>
      </c>
      <c r="J1157">
        <v>0</v>
      </c>
      <c r="K1157">
        <v>84.79</v>
      </c>
    </row>
    <row r="1158" spans="1:11" x14ac:dyDescent="0.3">
      <c r="A1158">
        <v>1157</v>
      </c>
      <c r="B1158">
        <v>197</v>
      </c>
      <c r="C1158">
        <v>4</v>
      </c>
      <c r="D1158">
        <v>1057</v>
      </c>
      <c r="E1158" t="s">
        <v>651</v>
      </c>
      <c r="F1158">
        <v>13.78</v>
      </c>
      <c r="G1158" t="s">
        <v>623</v>
      </c>
      <c r="H1158" s="1">
        <v>46050.81658564815</v>
      </c>
      <c r="I1158" t="s">
        <v>634</v>
      </c>
      <c r="J1158">
        <v>13.78</v>
      </c>
      <c r="K1158">
        <v>0</v>
      </c>
    </row>
    <row r="1159" spans="1:11" x14ac:dyDescent="0.3">
      <c r="A1159">
        <v>1158</v>
      </c>
      <c r="B1159">
        <v>59</v>
      </c>
      <c r="C1159">
        <v>4</v>
      </c>
      <c r="D1159">
        <v>1058</v>
      </c>
      <c r="E1159" t="s">
        <v>651</v>
      </c>
      <c r="F1159">
        <v>2.29</v>
      </c>
      <c r="G1159" t="s">
        <v>623</v>
      </c>
      <c r="H1159" s="1">
        <v>46051.383692129632</v>
      </c>
      <c r="I1159" t="s">
        <v>634</v>
      </c>
      <c r="J1159">
        <v>2.29</v>
      </c>
      <c r="K1159">
        <v>0</v>
      </c>
    </row>
    <row r="1160" spans="1:11" x14ac:dyDescent="0.3">
      <c r="A1160">
        <v>1159</v>
      </c>
      <c r="B1160">
        <v>261</v>
      </c>
      <c r="C1160">
        <v>3</v>
      </c>
      <c r="D1160">
        <v>1059</v>
      </c>
      <c r="E1160" t="s">
        <v>651</v>
      </c>
      <c r="F1160">
        <v>8.7200000000000006</v>
      </c>
      <c r="G1160" t="s">
        <v>623</v>
      </c>
      <c r="H1160" s="1">
        <v>46051.385150462964</v>
      </c>
      <c r="I1160" t="s">
        <v>634</v>
      </c>
      <c r="J1160">
        <v>8.7200000000000006</v>
      </c>
      <c r="K1160">
        <v>0</v>
      </c>
    </row>
    <row r="1161" spans="1:11" x14ac:dyDescent="0.3">
      <c r="A1161">
        <v>1160</v>
      </c>
      <c r="B1161">
        <v>262</v>
      </c>
      <c r="C1161">
        <v>2</v>
      </c>
      <c r="D1161">
        <v>1060</v>
      </c>
      <c r="E1161" t="s">
        <v>651</v>
      </c>
      <c r="F1161">
        <v>8.9499999999999993</v>
      </c>
      <c r="G1161" t="s">
        <v>623</v>
      </c>
      <c r="H1161" s="1">
        <v>46051.403923611113</v>
      </c>
      <c r="I1161" t="s">
        <v>634</v>
      </c>
      <c r="J1161">
        <v>8.9499999999999993</v>
      </c>
      <c r="K1161">
        <v>0</v>
      </c>
    </row>
    <row r="1162" spans="1:11" x14ac:dyDescent="0.3">
      <c r="A1162">
        <v>1161</v>
      </c>
      <c r="B1162">
        <v>227</v>
      </c>
      <c r="C1162">
        <v>4</v>
      </c>
      <c r="D1162">
        <v>1061</v>
      </c>
      <c r="E1162" t="s">
        <v>651</v>
      </c>
      <c r="F1162">
        <v>1.91</v>
      </c>
      <c r="G1162" t="s">
        <v>623</v>
      </c>
      <c r="H1162" s="1">
        <v>46051.432673611111</v>
      </c>
      <c r="I1162" t="s">
        <v>634</v>
      </c>
      <c r="J1162">
        <v>1.91</v>
      </c>
      <c r="K1162">
        <v>0</v>
      </c>
    </row>
    <row r="1163" spans="1:11" x14ac:dyDescent="0.3">
      <c r="A1163">
        <v>1162</v>
      </c>
      <c r="B1163">
        <v>48</v>
      </c>
      <c r="C1163">
        <v>3</v>
      </c>
      <c r="D1163">
        <v>1062</v>
      </c>
      <c r="E1163" t="s">
        <v>651</v>
      </c>
      <c r="F1163">
        <v>6.65</v>
      </c>
      <c r="G1163" t="s">
        <v>623</v>
      </c>
      <c r="H1163" s="1">
        <v>46051.444664351853</v>
      </c>
      <c r="I1163" t="s">
        <v>634</v>
      </c>
      <c r="J1163">
        <v>6.65</v>
      </c>
      <c r="K1163">
        <v>0</v>
      </c>
    </row>
    <row r="1164" spans="1:11" x14ac:dyDescent="0.3">
      <c r="A1164">
        <v>1163</v>
      </c>
      <c r="B1164">
        <v>197</v>
      </c>
      <c r="C1164">
        <v>4</v>
      </c>
      <c r="D1164">
        <v>1057</v>
      </c>
      <c r="E1164" t="s">
        <v>649</v>
      </c>
      <c r="F1164">
        <v>-13.78</v>
      </c>
      <c r="G1164" t="s">
        <v>701</v>
      </c>
      <c r="H1164" s="1">
        <v>46051.483252314814</v>
      </c>
      <c r="I1164" t="s">
        <v>634</v>
      </c>
      <c r="J1164">
        <v>0</v>
      </c>
      <c r="K1164">
        <v>0</v>
      </c>
    </row>
    <row r="1165" spans="1:11" x14ac:dyDescent="0.3">
      <c r="A1165">
        <v>1164</v>
      </c>
      <c r="B1165">
        <v>233</v>
      </c>
      <c r="C1165">
        <v>2</v>
      </c>
      <c r="D1165">
        <v>1063</v>
      </c>
      <c r="E1165" t="s">
        <v>651</v>
      </c>
      <c r="F1165">
        <v>10.24</v>
      </c>
      <c r="G1165" t="s">
        <v>623</v>
      </c>
      <c r="H1165" s="1">
        <v>46051.694305555553</v>
      </c>
      <c r="I1165" t="s">
        <v>634</v>
      </c>
      <c r="J1165">
        <v>10.24</v>
      </c>
      <c r="K1165">
        <v>0</v>
      </c>
    </row>
    <row r="1166" spans="1:11" x14ac:dyDescent="0.3">
      <c r="A1166">
        <v>1165</v>
      </c>
      <c r="B1166">
        <v>124</v>
      </c>
      <c r="C1166">
        <v>3</v>
      </c>
      <c r="D1166">
        <v>1064</v>
      </c>
      <c r="E1166" t="s">
        <v>651</v>
      </c>
      <c r="F1166">
        <v>2.59</v>
      </c>
      <c r="G1166" t="s">
        <v>623</v>
      </c>
      <c r="H1166" s="1">
        <v>46052.415462962963</v>
      </c>
      <c r="I1166" t="s">
        <v>634</v>
      </c>
      <c r="J1166">
        <v>2.59</v>
      </c>
      <c r="K1166">
        <v>0</v>
      </c>
    </row>
    <row r="1167" spans="1:11" x14ac:dyDescent="0.3">
      <c r="A1167">
        <v>1166</v>
      </c>
      <c r="B1167">
        <v>233</v>
      </c>
      <c r="C1167">
        <v>4</v>
      </c>
      <c r="D1167">
        <v>1065</v>
      </c>
      <c r="E1167" t="s">
        <v>651</v>
      </c>
      <c r="F1167">
        <v>12.56</v>
      </c>
      <c r="G1167" t="s">
        <v>623</v>
      </c>
      <c r="H1167" s="1">
        <v>46052.524270833332</v>
      </c>
      <c r="I1167" t="s">
        <v>634</v>
      </c>
      <c r="J1167">
        <v>12.56</v>
      </c>
      <c r="K1167">
        <v>0</v>
      </c>
    </row>
    <row r="1168" spans="1:11" x14ac:dyDescent="0.3">
      <c r="A1168">
        <v>1167</v>
      </c>
      <c r="B1168">
        <v>197</v>
      </c>
      <c r="C1168">
        <v>5</v>
      </c>
      <c r="D1168">
        <v>1066</v>
      </c>
      <c r="E1168" t="s">
        <v>651</v>
      </c>
      <c r="F1168">
        <v>8.27</v>
      </c>
      <c r="G1168" t="s">
        <v>623</v>
      </c>
      <c r="H1168" s="1">
        <v>46052.554502314815</v>
      </c>
      <c r="I1168" t="s">
        <v>634</v>
      </c>
      <c r="J1168">
        <v>8.27</v>
      </c>
      <c r="K1168">
        <v>0</v>
      </c>
    </row>
    <row r="1169" spans="1:11" x14ac:dyDescent="0.3">
      <c r="A1169">
        <v>1168</v>
      </c>
      <c r="B1169">
        <v>172</v>
      </c>
      <c r="C1169">
        <v>3</v>
      </c>
      <c r="D1169">
        <v>1067</v>
      </c>
      <c r="E1169" t="s">
        <v>651</v>
      </c>
      <c r="F1169">
        <v>3.82</v>
      </c>
      <c r="G1169" t="s">
        <v>623</v>
      </c>
      <c r="H1169" s="1">
        <v>46052.644583333335</v>
      </c>
      <c r="I1169" t="s">
        <v>634</v>
      </c>
      <c r="J1169">
        <v>3.82</v>
      </c>
      <c r="K1169">
        <v>0</v>
      </c>
    </row>
    <row r="1170" spans="1:11" x14ac:dyDescent="0.3">
      <c r="A1170">
        <v>1169</v>
      </c>
      <c r="B1170">
        <v>240</v>
      </c>
      <c r="C1170">
        <v>2</v>
      </c>
      <c r="D1170">
        <v>1068</v>
      </c>
      <c r="E1170" t="s">
        <v>651</v>
      </c>
      <c r="F1170">
        <v>22.37</v>
      </c>
      <c r="G1170" t="s">
        <v>623</v>
      </c>
      <c r="H1170" s="1">
        <v>46052.679108796299</v>
      </c>
      <c r="I1170" t="s">
        <v>634</v>
      </c>
      <c r="J1170">
        <v>22.37</v>
      </c>
      <c r="K1170">
        <v>0</v>
      </c>
    </row>
    <row r="1171" spans="1:11" x14ac:dyDescent="0.3">
      <c r="A1171">
        <v>1170</v>
      </c>
      <c r="B1171">
        <v>257</v>
      </c>
      <c r="C1171">
        <v>2</v>
      </c>
      <c r="D1171">
        <v>1069</v>
      </c>
      <c r="E1171" t="s">
        <v>651</v>
      </c>
      <c r="F1171">
        <v>15.31</v>
      </c>
      <c r="G1171" t="s">
        <v>623</v>
      </c>
      <c r="H1171" s="1">
        <v>46052.687106481484</v>
      </c>
      <c r="I1171" t="s">
        <v>634</v>
      </c>
      <c r="J1171">
        <v>15.31</v>
      </c>
      <c r="K1171">
        <v>0</v>
      </c>
    </row>
    <row r="1172" spans="1:11" x14ac:dyDescent="0.3">
      <c r="A1172">
        <v>1171</v>
      </c>
      <c r="B1172">
        <v>16</v>
      </c>
      <c r="C1172">
        <v>4</v>
      </c>
      <c r="D1172">
        <v>1070</v>
      </c>
      <c r="E1172" t="s">
        <v>651</v>
      </c>
      <c r="F1172">
        <v>18.64</v>
      </c>
      <c r="G1172" t="s">
        <v>623</v>
      </c>
      <c r="H1172" s="1">
        <v>46052.698611111111</v>
      </c>
      <c r="I1172" t="s">
        <v>634</v>
      </c>
      <c r="J1172">
        <v>18.64</v>
      </c>
      <c r="K1172">
        <v>0</v>
      </c>
    </row>
    <row r="1173" spans="1:11" x14ac:dyDescent="0.3">
      <c r="A1173">
        <v>1172</v>
      </c>
      <c r="B1173">
        <v>69</v>
      </c>
      <c r="C1173">
        <v>4</v>
      </c>
      <c r="D1173">
        <v>1071</v>
      </c>
      <c r="E1173" t="s">
        <v>651</v>
      </c>
      <c r="F1173">
        <v>3.17</v>
      </c>
      <c r="G1173" t="s">
        <v>623</v>
      </c>
      <c r="H1173" s="1">
        <v>46052.737743055557</v>
      </c>
      <c r="I1173" t="s">
        <v>634</v>
      </c>
      <c r="J1173">
        <v>3.17</v>
      </c>
      <c r="K1173">
        <v>0</v>
      </c>
    </row>
    <row r="1174" spans="1:11" x14ac:dyDescent="0.3">
      <c r="A1174">
        <v>1173</v>
      </c>
      <c r="B1174">
        <v>279</v>
      </c>
      <c r="C1174">
        <v>2</v>
      </c>
      <c r="D1174">
        <v>1072</v>
      </c>
      <c r="E1174" t="s">
        <v>651</v>
      </c>
      <c r="F1174">
        <v>30</v>
      </c>
      <c r="G1174" t="s">
        <v>623</v>
      </c>
      <c r="H1174" s="1">
        <v>46052.780277777776</v>
      </c>
      <c r="I1174" t="s">
        <v>634</v>
      </c>
      <c r="J1174">
        <v>30</v>
      </c>
      <c r="K1174">
        <v>0</v>
      </c>
    </row>
    <row r="1175" spans="1:11" x14ac:dyDescent="0.3">
      <c r="A1175">
        <v>1174</v>
      </c>
      <c r="B1175">
        <v>202</v>
      </c>
      <c r="C1175">
        <v>4</v>
      </c>
      <c r="D1175">
        <v>1073</v>
      </c>
      <c r="E1175" t="s">
        <v>651</v>
      </c>
      <c r="F1175">
        <v>1.51</v>
      </c>
      <c r="G1175" t="s">
        <v>623</v>
      </c>
      <c r="H1175" s="1">
        <v>46053.394247685188</v>
      </c>
      <c r="I1175" t="s">
        <v>634</v>
      </c>
      <c r="J1175">
        <v>1.51</v>
      </c>
      <c r="K1175">
        <v>0</v>
      </c>
    </row>
    <row r="1176" spans="1:11" x14ac:dyDescent="0.3">
      <c r="A1176">
        <v>1175</v>
      </c>
      <c r="B1176">
        <v>59</v>
      </c>
      <c r="C1176">
        <v>2</v>
      </c>
      <c r="D1176">
        <v>1074</v>
      </c>
      <c r="E1176" t="s">
        <v>651</v>
      </c>
      <c r="F1176">
        <v>2.97</v>
      </c>
      <c r="G1176" t="s">
        <v>623</v>
      </c>
      <c r="H1176" s="1">
        <v>46053.415023148147</v>
      </c>
      <c r="I1176" t="s">
        <v>634</v>
      </c>
      <c r="J1176">
        <v>2.97</v>
      </c>
      <c r="K1176">
        <v>0</v>
      </c>
    </row>
    <row r="1177" spans="1:11" x14ac:dyDescent="0.3">
      <c r="A1177">
        <v>1176</v>
      </c>
      <c r="B1177">
        <v>136</v>
      </c>
      <c r="C1177">
        <v>4</v>
      </c>
      <c r="D1177">
        <v>1075</v>
      </c>
      <c r="E1177" t="s">
        <v>651</v>
      </c>
      <c r="F1177">
        <v>14.15</v>
      </c>
      <c r="G1177" t="s">
        <v>623</v>
      </c>
      <c r="H1177" s="1">
        <v>46053.451168981483</v>
      </c>
      <c r="I1177" t="s">
        <v>634</v>
      </c>
      <c r="J1177">
        <v>14.15</v>
      </c>
      <c r="K1177">
        <v>0</v>
      </c>
    </row>
    <row r="1178" spans="1:11" x14ac:dyDescent="0.3">
      <c r="A1178">
        <v>1177</v>
      </c>
      <c r="B1178">
        <v>296</v>
      </c>
      <c r="C1178">
        <v>3</v>
      </c>
      <c r="D1178">
        <v>1076</v>
      </c>
      <c r="E1178" t="s">
        <v>651</v>
      </c>
      <c r="F1178">
        <v>4.82</v>
      </c>
      <c r="G1178" t="s">
        <v>623</v>
      </c>
      <c r="H1178" s="1">
        <v>46053.502164351848</v>
      </c>
      <c r="I1178" t="s">
        <v>634</v>
      </c>
      <c r="J1178">
        <v>4.82</v>
      </c>
      <c r="K1178">
        <v>0</v>
      </c>
    </row>
    <row r="1179" spans="1:11" x14ac:dyDescent="0.3">
      <c r="A1179">
        <v>1178</v>
      </c>
      <c r="B1179">
        <v>207</v>
      </c>
      <c r="C1179">
        <v>5</v>
      </c>
      <c r="D1179">
        <v>1077</v>
      </c>
      <c r="E1179" t="s">
        <v>651</v>
      </c>
      <c r="F1179">
        <v>6</v>
      </c>
      <c r="G1179" t="s">
        <v>623</v>
      </c>
      <c r="H1179" s="1">
        <v>46053.507152777776</v>
      </c>
      <c r="I1179" t="s">
        <v>634</v>
      </c>
      <c r="J1179">
        <v>6</v>
      </c>
      <c r="K1179">
        <v>0</v>
      </c>
    </row>
    <row r="1180" spans="1:11" x14ac:dyDescent="0.3">
      <c r="A1180">
        <v>1179</v>
      </c>
      <c r="B1180">
        <v>265</v>
      </c>
      <c r="C1180">
        <v>4</v>
      </c>
      <c r="D1180">
        <v>1078</v>
      </c>
      <c r="E1180" t="s">
        <v>651</v>
      </c>
      <c r="F1180">
        <v>16.809999999999999</v>
      </c>
      <c r="G1180" t="s">
        <v>623</v>
      </c>
      <c r="H1180" s="1">
        <v>46053.507395833331</v>
      </c>
      <c r="I1180" t="s">
        <v>634</v>
      </c>
      <c r="J1180">
        <v>16.809999999999999</v>
      </c>
      <c r="K1180">
        <v>0</v>
      </c>
    </row>
    <row r="1181" spans="1:11" x14ac:dyDescent="0.3">
      <c r="A1181">
        <v>1180</v>
      </c>
      <c r="B1181">
        <v>279</v>
      </c>
      <c r="C1181">
        <v>2</v>
      </c>
      <c r="D1181">
        <v>1079</v>
      </c>
      <c r="E1181" t="s">
        <v>651</v>
      </c>
      <c r="F1181">
        <v>22.13</v>
      </c>
      <c r="G1181" t="s">
        <v>623</v>
      </c>
      <c r="H1181" s="1">
        <v>46053.512696759259</v>
      </c>
      <c r="I1181" t="s">
        <v>634</v>
      </c>
      <c r="J1181">
        <v>22.13</v>
      </c>
      <c r="K1181">
        <v>0</v>
      </c>
    </row>
    <row r="1182" spans="1:11" x14ac:dyDescent="0.3">
      <c r="A1182">
        <v>1181</v>
      </c>
      <c r="B1182">
        <v>27</v>
      </c>
      <c r="C1182">
        <v>3</v>
      </c>
      <c r="D1182">
        <v>1080</v>
      </c>
      <c r="E1182" t="s">
        <v>651</v>
      </c>
      <c r="F1182">
        <v>10.07</v>
      </c>
      <c r="G1182" t="s">
        <v>623</v>
      </c>
      <c r="H1182" s="1">
        <v>46053.551203703704</v>
      </c>
      <c r="I1182" t="s">
        <v>634</v>
      </c>
      <c r="J1182">
        <v>10.07</v>
      </c>
      <c r="K1182">
        <v>0</v>
      </c>
    </row>
    <row r="1183" spans="1:11" x14ac:dyDescent="0.3">
      <c r="A1183">
        <v>1182</v>
      </c>
      <c r="B1183">
        <v>156</v>
      </c>
      <c r="C1183">
        <v>5</v>
      </c>
      <c r="D1183">
        <v>1081</v>
      </c>
      <c r="E1183" t="s">
        <v>651</v>
      </c>
      <c r="F1183">
        <v>3.52</v>
      </c>
      <c r="G1183" t="s">
        <v>623</v>
      </c>
      <c r="H1183" s="1">
        <v>46053.58221064815</v>
      </c>
      <c r="I1183" t="s">
        <v>634</v>
      </c>
      <c r="J1183">
        <v>3.52</v>
      </c>
      <c r="K1183">
        <v>0</v>
      </c>
    </row>
    <row r="1184" spans="1:11" x14ac:dyDescent="0.3">
      <c r="A1184">
        <v>1183</v>
      </c>
      <c r="B1184">
        <v>15</v>
      </c>
      <c r="C1184">
        <v>5</v>
      </c>
      <c r="D1184">
        <v>1082</v>
      </c>
      <c r="E1184" t="s">
        <v>651</v>
      </c>
      <c r="F1184">
        <v>3.6</v>
      </c>
      <c r="G1184" t="s">
        <v>623</v>
      </c>
      <c r="H1184" s="1">
        <v>46053.636250000003</v>
      </c>
      <c r="I1184" t="s">
        <v>634</v>
      </c>
      <c r="J1184">
        <v>3.6</v>
      </c>
      <c r="K1184">
        <v>0</v>
      </c>
    </row>
    <row r="1185" spans="1:11" x14ac:dyDescent="0.3">
      <c r="A1185">
        <v>1184</v>
      </c>
      <c r="B1185">
        <v>84</v>
      </c>
      <c r="C1185">
        <v>2</v>
      </c>
      <c r="D1185">
        <v>1083</v>
      </c>
      <c r="E1185" t="s">
        <v>651</v>
      </c>
      <c r="F1185">
        <v>8.84</v>
      </c>
      <c r="G1185" t="s">
        <v>623</v>
      </c>
      <c r="H1185" s="1">
        <v>46053.703217592592</v>
      </c>
      <c r="I1185" t="s">
        <v>634</v>
      </c>
      <c r="J1185">
        <v>8.84</v>
      </c>
      <c r="K1185">
        <v>0</v>
      </c>
    </row>
    <row r="1186" spans="1:11" x14ac:dyDescent="0.3">
      <c r="A1186">
        <v>1185</v>
      </c>
      <c r="B1186">
        <v>156</v>
      </c>
      <c r="C1186">
        <v>2</v>
      </c>
      <c r="D1186">
        <v>1084</v>
      </c>
      <c r="E1186" t="s">
        <v>651</v>
      </c>
      <c r="F1186">
        <v>3.19</v>
      </c>
      <c r="G1186" t="s">
        <v>623</v>
      </c>
      <c r="H1186" s="1">
        <v>46053.736087962963</v>
      </c>
      <c r="I1186" t="s">
        <v>634</v>
      </c>
      <c r="J1186">
        <v>3.19</v>
      </c>
      <c r="K1186">
        <v>0</v>
      </c>
    </row>
    <row r="1187" spans="1:11" x14ac:dyDescent="0.3">
      <c r="A1187">
        <v>1186</v>
      </c>
      <c r="B1187">
        <v>39</v>
      </c>
      <c r="C1187">
        <v>2</v>
      </c>
      <c r="D1187">
        <v>1085</v>
      </c>
      <c r="E1187" t="s">
        <v>651</v>
      </c>
      <c r="F1187">
        <v>19.670000000000002</v>
      </c>
      <c r="G1187" t="s">
        <v>623</v>
      </c>
      <c r="H1187" s="1">
        <v>46053.746944444443</v>
      </c>
      <c r="I1187" t="s">
        <v>634</v>
      </c>
      <c r="J1187">
        <v>19.670000000000002</v>
      </c>
      <c r="K1187">
        <v>0</v>
      </c>
    </row>
    <row r="1188" spans="1:11" x14ac:dyDescent="0.3">
      <c r="A1188">
        <v>1187</v>
      </c>
      <c r="B1188">
        <v>59</v>
      </c>
      <c r="C1188">
        <v>2</v>
      </c>
      <c r="D1188">
        <v>1074</v>
      </c>
      <c r="E1188" t="s">
        <v>649</v>
      </c>
      <c r="F1188">
        <v>-2.97</v>
      </c>
      <c r="G1188" t="s">
        <v>702</v>
      </c>
      <c r="H1188" s="1">
        <v>46054.081689814811</v>
      </c>
      <c r="I1188" t="s">
        <v>635</v>
      </c>
      <c r="J1188">
        <v>0</v>
      </c>
      <c r="K1188">
        <v>0</v>
      </c>
    </row>
    <row r="1189" spans="1:11" x14ac:dyDescent="0.3">
      <c r="A1189">
        <v>1188</v>
      </c>
      <c r="B1189">
        <v>126</v>
      </c>
      <c r="C1189">
        <v>4</v>
      </c>
      <c r="D1189">
        <v>1086</v>
      </c>
      <c r="E1189" t="s">
        <v>651</v>
      </c>
      <c r="F1189">
        <v>6.04</v>
      </c>
      <c r="G1189" t="s">
        <v>623</v>
      </c>
      <c r="H1189" s="1">
        <v>46054.323506944442</v>
      </c>
      <c r="I1189" t="s">
        <v>635</v>
      </c>
      <c r="J1189">
        <v>6.04</v>
      </c>
      <c r="K1189">
        <v>0</v>
      </c>
    </row>
    <row r="1190" spans="1:11" x14ac:dyDescent="0.3">
      <c r="A1190">
        <v>1189</v>
      </c>
      <c r="B1190">
        <v>253</v>
      </c>
      <c r="C1190">
        <v>4</v>
      </c>
      <c r="D1190">
        <v>1087</v>
      </c>
      <c r="E1190" t="s">
        <v>651</v>
      </c>
      <c r="F1190">
        <v>3.23</v>
      </c>
      <c r="G1190" t="s">
        <v>623</v>
      </c>
      <c r="H1190" s="1">
        <v>46054.411747685182</v>
      </c>
      <c r="I1190" t="s">
        <v>635</v>
      </c>
      <c r="J1190">
        <v>3.23</v>
      </c>
      <c r="K1190">
        <v>0</v>
      </c>
    </row>
    <row r="1191" spans="1:11" x14ac:dyDescent="0.3">
      <c r="A1191">
        <v>1190</v>
      </c>
      <c r="B1191">
        <v>52</v>
      </c>
      <c r="C1191">
        <v>3</v>
      </c>
      <c r="D1191">
        <v>1088</v>
      </c>
      <c r="E1191" t="s">
        <v>651</v>
      </c>
      <c r="F1191">
        <v>2.42</v>
      </c>
      <c r="G1191" t="s">
        <v>623</v>
      </c>
      <c r="H1191" s="1">
        <v>46054.446006944447</v>
      </c>
      <c r="I1191" t="s">
        <v>635</v>
      </c>
      <c r="J1191">
        <v>2.42</v>
      </c>
      <c r="K1191">
        <v>0</v>
      </c>
    </row>
    <row r="1192" spans="1:11" x14ac:dyDescent="0.3">
      <c r="A1192">
        <v>1191</v>
      </c>
      <c r="B1192">
        <v>31</v>
      </c>
      <c r="C1192">
        <v>4</v>
      </c>
      <c r="D1192">
        <v>1089</v>
      </c>
      <c r="E1192" t="s">
        <v>651</v>
      </c>
      <c r="F1192">
        <v>3.39</v>
      </c>
      <c r="G1192" t="s">
        <v>623</v>
      </c>
      <c r="H1192" s="1">
        <v>46054.504328703704</v>
      </c>
      <c r="I1192" t="s">
        <v>635</v>
      </c>
      <c r="J1192">
        <v>3.39</v>
      </c>
      <c r="K1192">
        <v>0</v>
      </c>
    </row>
    <row r="1193" spans="1:11" x14ac:dyDescent="0.3">
      <c r="A1193">
        <v>1192</v>
      </c>
      <c r="B1193">
        <v>91</v>
      </c>
      <c r="C1193">
        <v>5</v>
      </c>
      <c r="D1193">
        <v>1090</v>
      </c>
      <c r="E1193" t="s">
        <v>651</v>
      </c>
      <c r="F1193">
        <v>3.68</v>
      </c>
      <c r="G1193" t="s">
        <v>623</v>
      </c>
      <c r="H1193" s="1">
        <v>46054.661238425928</v>
      </c>
      <c r="I1193" t="s">
        <v>635</v>
      </c>
      <c r="J1193">
        <v>3.68</v>
      </c>
      <c r="K1193">
        <v>0</v>
      </c>
    </row>
    <row r="1194" spans="1:11" x14ac:dyDescent="0.3">
      <c r="A1194">
        <v>1193</v>
      </c>
      <c r="B1194">
        <v>21</v>
      </c>
      <c r="C1194">
        <v>4</v>
      </c>
      <c r="D1194">
        <v>1091</v>
      </c>
      <c r="E1194" t="s">
        <v>651</v>
      </c>
      <c r="F1194">
        <v>1.92</v>
      </c>
      <c r="G1194" t="s">
        <v>623</v>
      </c>
      <c r="H1194" s="1">
        <v>46054.672199074077</v>
      </c>
      <c r="I1194" t="s">
        <v>635</v>
      </c>
      <c r="J1194">
        <v>1.92</v>
      </c>
      <c r="K1194">
        <v>0</v>
      </c>
    </row>
    <row r="1195" spans="1:11" x14ac:dyDescent="0.3">
      <c r="A1195">
        <v>1194</v>
      </c>
      <c r="B1195">
        <v>44</v>
      </c>
      <c r="C1195">
        <v>3</v>
      </c>
      <c r="D1195">
        <v>1092</v>
      </c>
      <c r="E1195" t="s">
        <v>651</v>
      </c>
      <c r="F1195">
        <v>1.82</v>
      </c>
      <c r="G1195" t="s">
        <v>623</v>
      </c>
      <c r="H1195" s="1">
        <v>46055.349675925929</v>
      </c>
      <c r="I1195" t="s">
        <v>635</v>
      </c>
      <c r="J1195">
        <v>1.82</v>
      </c>
      <c r="K1195">
        <v>0</v>
      </c>
    </row>
    <row r="1196" spans="1:11" x14ac:dyDescent="0.3">
      <c r="A1196">
        <v>1195</v>
      </c>
      <c r="B1196">
        <v>45</v>
      </c>
      <c r="C1196">
        <v>3</v>
      </c>
      <c r="D1196">
        <v>1093</v>
      </c>
      <c r="E1196" t="s">
        <v>651</v>
      </c>
      <c r="F1196">
        <v>9.86</v>
      </c>
      <c r="G1196" t="s">
        <v>623</v>
      </c>
      <c r="H1196" s="1">
        <v>46055.357233796298</v>
      </c>
      <c r="I1196" t="s">
        <v>635</v>
      </c>
      <c r="J1196">
        <v>9.86</v>
      </c>
      <c r="K1196">
        <v>0</v>
      </c>
    </row>
    <row r="1197" spans="1:11" x14ac:dyDescent="0.3">
      <c r="A1197">
        <v>1196</v>
      </c>
      <c r="B1197">
        <v>21</v>
      </c>
      <c r="C1197">
        <v>5</v>
      </c>
      <c r="D1197">
        <v>1094</v>
      </c>
      <c r="E1197" t="s">
        <v>651</v>
      </c>
      <c r="F1197">
        <v>2.0699999999999998</v>
      </c>
      <c r="G1197" t="s">
        <v>623</v>
      </c>
      <c r="H1197" s="1">
        <v>46055.360729166663</v>
      </c>
      <c r="I1197" t="s">
        <v>635</v>
      </c>
      <c r="J1197">
        <v>2.0699999999999998</v>
      </c>
      <c r="K1197">
        <v>0</v>
      </c>
    </row>
    <row r="1198" spans="1:11" x14ac:dyDescent="0.3">
      <c r="A1198">
        <v>1197</v>
      </c>
      <c r="B1198">
        <v>240</v>
      </c>
      <c r="C1198">
        <v>5</v>
      </c>
      <c r="D1198">
        <v>1095</v>
      </c>
      <c r="E1198" t="s">
        <v>651</v>
      </c>
      <c r="F1198">
        <v>26.82</v>
      </c>
      <c r="G1198" t="s">
        <v>623</v>
      </c>
      <c r="H1198" s="1">
        <v>46055.364895833336</v>
      </c>
      <c r="I1198" t="s">
        <v>635</v>
      </c>
      <c r="J1198">
        <v>26.82</v>
      </c>
      <c r="K1198">
        <v>0</v>
      </c>
    </row>
    <row r="1199" spans="1:11" x14ac:dyDescent="0.3">
      <c r="A1199">
        <v>1198</v>
      </c>
      <c r="B1199">
        <v>63</v>
      </c>
      <c r="C1199">
        <v>5</v>
      </c>
      <c r="D1199">
        <v>1096</v>
      </c>
      <c r="E1199" t="s">
        <v>651</v>
      </c>
      <c r="F1199">
        <v>1.73</v>
      </c>
      <c r="G1199" t="s">
        <v>623</v>
      </c>
      <c r="H1199" s="1">
        <v>46055.41474537037</v>
      </c>
      <c r="I1199" t="s">
        <v>635</v>
      </c>
      <c r="J1199">
        <v>1.73</v>
      </c>
      <c r="K1199">
        <v>0</v>
      </c>
    </row>
    <row r="1200" spans="1:11" x14ac:dyDescent="0.3">
      <c r="A1200">
        <v>1199</v>
      </c>
      <c r="B1200">
        <v>252</v>
      </c>
      <c r="C1200">
        <v>5</v>
      </c>
      <c r="D1200">
        <v>1097</v>
      </c>
      <c r="E1200" t="s">
        <v>651</v>
      </c>
      <c r="F1200">
        <v>3.03</v>
      </c>
      <c r="G1200" t="s">
        <v>623</v>
      </c>
      <c r="H1200" s="1">
        <v>46055.484907407408</v>
      </c>
      <c r="I1200" t="s">
        <v>635</v>
      </c>
      <c r="J1200">
        <v>3.03</v>
      </c>
      <c r="K1200">
        <v>0</v>
      </c>
    </row>
    <row r="1201" spans="1:11" x14ac:dyDescent="0.3">
      <c r="A1201">
        <v>1200</v>
      </c>
      <c r="B1201">
        <v>293</v>
      </c>
      <c r="C1201">
        <v>3</v>
      </c>
      <c r="D1201">
        <v>1098</v>
      </c>
      <c r="E1201" t="s">
        <v>651</v>
      </c>
      <c r="F1201">
        <v>1.9</v>
      </c>
      <c r="G1201" t="s">
        <v>623</v>
      </c>
      <c r="H1201" s="1">
        <v>46055.485451388886</v>
      </c>
      <c r="I1201" t="s">
        <v>635</v>
      </c>
      <c r="J1201">
        <v>1.9</v>
      </c>
      <c r="K1201">
        <v>0</v>
      </c>
    </row>
    <row r="1202" spans="1:11" x14ac:dyDescent="0.3">
      <c r="A1202">
        <v>1201</v>
      </c>
      <c r="B1202">
        <v>163</v>
      </c>
      <c r="C1202">
        <v>5</v>
      </c>
      <c r="D1202">
        <v>1099</v>
      </c>
      <c r="E1202" t="s">
        <v>651</v>
      </c>
      <c r="F1202">
        <v>3.09</v>
      </c>
      <c r="G1202" t="s">
        <v>623</v>
      </c>
      <c r="H1202" s="1">
        <v>46055.527719907404</v>
      </c>
      <c r="I1202" t="s">
        <v>635</v>
      </c>
      <c r="J1202">
        <v>3.09</v>
      </c>
      <c r="K1202">
        <v>0</v>
      </c>
    </row>
    <row r="1203" spans="1:11" x14ac:dyDescent="0.3">
      <c r="A1203">
        <v>1202</v>
      </c>
      <c r="B1203">
        <v>293</v>
      </c>
      <c r="C1203">
        <v>3</v>
      </c>
      <c r="D1203">
        <v>1098</v>
      </c>
      <c r="E1203" t="s">
        <v>649</v>
      </c>
      <c r="F1203">
        <v>-1.9</v>
      </c>
      <c r="G1203" t="s">
        <v>703</v>
      </c>
      <c r="H1203" s="1">
        <v>46055.610451388886</v>
      </c>
      <c r="I1203" t="s">
        <v>635</v>
      </c>
      <c r="J1203">
        <v>0</v>
      </c>
      <c r="K1203">
        <v>0</v>
      </c>
    </row>
    <row r="1204" spans="1:11" x14ac:dyDescent="0.3">
      <c r="A1204">
        <v>1203</v>
      </c>
      <c r="B1204">
        <v>60</v>
      </c>
      <c r="C1204">
        <v>2</v>
      </c>
      <c r="D1204">
        <v>1100</v>
      </c>
      <c r="E1204" t="s">
        <v>651</v>
      </c>
      <c r="F1204">
        <v>26.87</v>
      </c>
      <c r="G1204" t="s">
        <v>623</v>
      </c>
      <c r="H1204" s="1">
        <v>46055.6403125</v>
      </c>
      <c r="I1204" t="s">
        <v>635</v>
      </c>
      <c r="J1204">
        <v>26.87</v>
      </c>
      <c r="K1204">
        <v>0</v>
      </c>
    </row>
    <row r="1205" spans="1:11" x14ac:dyDescent="0.3">
      <c r="A1205">
        <v>1204</v>
      </c>
      <c r="B1205">
        <v>57</v>
      </c>
      <c r="C1205">
        <v>4</v>
      </c>
      <c r="D1205">
        <v>1101</v>
      </c>
      <c r="E1205" t="s">
        <v>651</v>
      </c>
      <c r="F1205">
        <v>6.31</v>
      </c>
      <c r="G1205" t="s">
        <v>623</v>
      </c>
      <c r="H1205" s="1">
        <v>46055.640451388892</v>
      </c>
      <c r="I1205" t="s">
        <v>635</v>
      </c>
      <c r="J1205">
        <v>6.31</v>
      </c>
      <c r="K1205">
        <v>0</v>
      </c>
    </row>
    <row r="1206" spans="1:11" x14ac:dyDescent="0.3">
      <c r="A1206">
        <v>1205</v>
      </c>
      <c r="B1206">
        <v>117</v>
      </c>
      <c r="C1206">
        <v>4</v>
      </c>
      <c r="D1206">
        <v>1102</v>
      </c>
      <c r="E1206" t="s">
        <v>651</v>
      </c>
      <c r="F1206">
        <v>10.5</v>
      </c>
      <c r="G1206" t="s">
        <v>623</v>
      </c>
      <c r="H1206" s="1">
        <v>46055.715578703705</v>
      </c>
      <c r="I1206" t="s">
        <v>635</v>
      </c>
      <c r="J1206">
        <v>10.5</v>
      </c>
      <c r="K1206">
        <v>0</v>
      </c>
    </row>
    <row r="1207" spans="1:11" x14ac:dyDescent="0.3">
      <c r="A1207">
        <v>1206</v>
      </c>
      <c r="B1207">
        <v>37</v>
      </c>
      <c r="C1207">
        <v>3</v>
      </c>
      <c r="D1207">
        <v>1103</v>
      </c>
      <c r="E1207" t="s">
        <v>651</v>
      </c>
      <c r="F1207">
        <v>10.79</v>
      </c>
      <c r="G1207" t="s">
        <v>623</v>
      </c>
      <c r="H1207" s="1">
        <v>46055.742962962962</v>
      </c>
      <c r="I1207" t="s">
        <v>635</v>
      </c>
      <c r="J1207">
        <v>10.79</v>
      </c>
      <c r="K1207">
        <v>0</v>
      </c>
    </row>
    <row r="1208" spans="1:11" x14ac:dyDescent="0.3">
      <c r="A1208">
        <v>1207</v>
      </c>
      <c r="B1208">
        <v>44</v>
      </c>
      <c r="C1208">
        <v>5</v>
      </c>
      <c r="D1208">
        <v>1104</v>
      </c>
      <c r="E1208" t="s">
        <v>651</v>
      </c>
      <c r="F1208">
        <v>1.84</v>
      </c>
      <c r="G1208" t="s">
        <v>623</v>
      </c>
      <c r="H1208" s="1">
        <v>46055.809861111113</v>
      </c>
      <c r="I1208" t="s">
        <v>635</v>
      </c>
      <c r="J1208">
        <v>1.84</v>
      </c>
      <c r="K1208">
        <v>0</v>
      </c>
    </row>
    <row r="1209" spans="1:11" x14ac:dyDescent="0.3">
      <c r="A1209">
        <v>1208</v>
      </c>
      <c r="B1209">
        <v>87</v>
      </c>
      <c r="C1209">
        <v>4</v>
      </c>
      <c r="D1209">
        <v>1105</v>
      </c>
      <c r="E1209" t="s">
        <v>651</v>
      </c>
      <c r="F1209">
        <v>7.16</v>
      </c>
      <c r="G1209" t="s">
        <v>623</v>
      </c>
      <c r="H1209" s="1">
        <v>46055.831724537034</v>
      </c>
      <c r="I1209" t="s">
        <v>635</v>
      </c>
      <c r="J1209">
        <v>7.16</v>
      </c>
      <c r="K1209">
        <v>0</v>
      </c>
    </row>
    <row r="1210" spans="1:11" x14ac:dyDescent="0.3">
      <c r="A1210">
        <v>1209</v>
      </c>
      <c r="B1210">
        <v>31</v>
      </c>
      <c r="C1210">
        <v>2</v>
      </c>
      <c r="D1210">
        <v>1106</v>
      </c>
      <c r="E1210" t="s">
        <v>651</v>
      </c>
      <c r="F1210">
        <v>1.95</v>
      </c>
      <c r="G1210" t="s">
        <v>623</v>
      </c>
      <c r="H1210" s="1">
        <v>46056.334432870368</v>
      </c>
      <c r="I1210" t="s">
        <v>635</v>
      </c>
      <c r="J1210">
        <v>1.95</v>
      </c>
      <c r="K1210">
        <v>0</v>
      </c>
    </row>
    <row r="1211" spans="1:11" x14ac:dyDescent="0.3">
      <c r="A1211">
        <v>1210</v>
      </c>
      <c r="B1211">
        <v>52</v>
      </c>
      <c r="C1211">
        <v>4</v>
      </c>
      <c r="D1211">
        <v>1107</v>
      </c>
      <c r="E1211" t="s">
        <v>657</v>
      </c>
      <c r="F1211">
        <v>41.72</v>
      </c>
      <c r="G1211" t="s">
        <v>623</v>
      </c>
      <c r="H1211" s="1">
        <v>46056.403900462959</v>
      </c>
      <c r="I1211" t="s">
        <v>635</v>
      </c>
      <c r="J1211">
        <v>0</v>
      </c>
      <c r="K1211">
        <v>41.72</v>
      </c>
    </row>
    <row r="1212" spans="1:11" x14ac:dyDescent="0.3">
      <c r="A1212">
        <v>1211</v>
      </c>
      <c r="B1212">
        <v>52</v>
      </c>
      <c r="C1212">
        <v>2</v>
      </c>
      <c r="D1212">
        <v>1108</v>
      </c>
      <c r="E1212" t="s">
        <v>651</v>
      </c>
      <c r="F1212">
        <v>4.1500000000000004</v>
      </c>
      <c r="G1212" t="s">
        <v>623</v>
      </c>
      <c r="H1212" s="1">
        <v>46056.406435185185</v>
      </c>
      <c r="I1212" t="s">
        <v>635</v>
      </c>
      <c r="J1212">
        <v>4.1500000000000004</v>
      </c>
      <c r="K1212">
        <v>0</v>
      </c>
    </row>
    <row r="1213" spans="1:11" x14ac:dyDescent="0.3">
      <c r="A1213">
        <v>1212</v>
      </c>
      <c r="B1213">
        <v>84</v>
      </c>
      <c r="C1213">
        <v>3</v>
      </c>
      <c r="D1213">
        <v>1109</v>
      </c>
      <c r="E1213" t="s">
        <v>651</v>
      </c>
      <c r="F1213">
        <v>3.58</v>
      </c>
      <c r="G1213" t="s">
        <v>623</v>
      </c>
      <c r="H1213" s="1">
        <v>46056.412511574075</v>
      </c>
      <c r="I1213" t="s">
        <v>635</v>
      </c>
      <c r="J1213">
        <v>3.58</v>
      </c>
      <c r="K1213">
        <v>0</v>
      </c>
    </row>
    <row r="1214" spans="1:11" x14ac:dyDescent="0.3">
      <c r="A1214">
        <v>1213</v>
      </c>
      <c r="B1214">
        <v>151</v>
      </c>
      <c r="C1214">
        <v>5</v>
      </c>
      <c r="D1214">
        <v>1110</v>
      </c>
      <c r="E1214" t="s">
        <v>651</v>
      </c>
      <c r="F1214">
        <v>14.05</v>
      </c>
      <c r="G1214" t="s">
        <v>623</v>
      </c>
      <c r="H1214" s="1">
        <v>46056.435347222221</v>
      </c>
      <c r="I1214" t="s">
        <v>635</v>
      </c>
      <c r="J1214">
        <v>14.05</v>
      </c>
      <c r="K1214">
        <v>0</v>
      </c>
    </row>
    <row r="1215" spans="1:11" x14ac:dyDescent="0.3">
      <c r="A1215">
        <v>1214</v>
      </c>
      <c r="B1215">
        <v>112</v>
      </c>
      <c r="C1215">
        <v>2</v>
      </c>
      <c r="D1215">
        <v>1111</v>
      </c>
      <c r="E1215" t="s">
        <v>651</v>
      </c>
      <c r="F1215">
        <v>2.98</v>
      </c>
      <c r="G1215" t="s">
        <v>623</v>
      </c>
      <c r="H1215" s="1">
        <v>46056.483460648145</v>
      </c>
      <c r="I1215" t="s">
        <v>635</v>
      </c>
      <c r="J1215">
        <v>2.98</v>
      </c>
      <c r="K1215">
        <v>0</v>
      </c>
    </row>
    <row r="1216" spans="1:11" x14ac:dyDescent="0.3">
      <c r="A1216">
        <v>1215</v>
      </c>
      <c r="B1216">
        <v>137</v>
      </c>
      <c r="C1216">
        <v>2</v>
      </c>
      <c r="D1216">
        <v>1112</v>
      </c>
      <c r="E1216" t="s">
        <v>657</v>
      </c>
      <c r="F1216">
        <v>12.88</v>
      </c>
      <c r="G1216" t="s">
        <v>623</v>
      </c>
      <c r="H1216" s="1">
        <v>46056.654907407406</v>
      </c>
      <c r="I1216" t="s">
        <v>635</v>
      </c>
      <c r="J1216">
        <v>0</v>
      </c>
      <c r="K1216">
        <v>12.88</v>
      </c>
    </row>
    <row r="1217" spans="1:11" x14ac:dyDescent="0.3">
      <c r="A1217">
        <v>1216</v>
      </c>
      <c r="B1217">
        <v>56</v>
      </c>
      <c r="C1217">
        <v>3</v>
      </c>
      <c r="D1217">
        <v>1113</v>
      </c>
      <c r="E1217" t="s">
        <v>651</v>
      </c>
      <c r="F1217">
        <v>7.18</v>
      </c>
      <c r="G1217" t="s">
        <v>623</v>
      </c>
      <c r="H1217" s="1">
        <v>46056.732534722221</v>
      </c>
      <c r="I1217" t="s">
        <v>635</v>
      </c>
      <c r="J1217">
        <v>7.18</v>
      </c>
      <c r="K1217">
        <v>0</v>
      </c>
    </row>
    <row r="1218" spans="1:11" x14ac:dyDescent="0.3">
      <c r="A1218">
        <v>1217</v>
      </c>
      <c r="B1218">
        <v>280</v>
      </c>
      <c r="C1218">
        <v>3</v>
      </c>
      <c r="D1218">
        <v>1114</v>
      </c>
      <c r="E1218" t="s">
        <v>651</v>
      </c>
      <c r="F1218">
        <v>2.81</v>
      </c>
      <c r="G1218" t="s">
        <v>623</v>
      </c>
      <c r="H1218" s="1">
        <v>46056.758321759262</v>
      </c>
      <c r="I1218" t="s">
        <v>635</v>
      </c>
      <c r="J1218">
        <v>2.81</v>
      </c>
      <c r="K1218">
        <v>0</v>
      </c>
    </row>
    <row r="1219" spans="1:11" x14ac:dyDescent="0.3">
      <c r="A1219">
        <v>1218</v>
      </c>
      <c r="B1219">
        <v>156</v>
      </c>
      <c r="C1219">
        <v>4</v>
      </c>
      <c r="D1219">
        <v>1115</v>
      </c>
      <c r="E1219" t="s">
        <v>651</v>
      </c>
      <c r="F1219">
        <v>3.01</v>
      </c>
      <c r="G1219" t="s">
        <v>623</v>
      </c>
      <c r="H1219" s="1">
        <v>46057.321886574071</v>
      </c>
      <c r="I1219" t="s">
        <v>635</v>
      </c>
      <c r="J1219">
        <v>3.01</v>
      </c>
      <c r="K1219">
        <v>0</v>
      </c>
    </row>
    <row r="1220" spans="1:11" x14ac:dyDescent="0.3">
      <c r="A1220">
        <v>1219</v>
      </c>
      <c r="B1220">
        <v>38</v>
      </c>
      <c r="C1220">
        <v>2</v>
      </c>
      <c r="D1220">
        <v>1116</v>
      </c>
      <c r="E1220" t="s">
        <v>651</v>
      </c>
      <c r="F1220">
        <v>2.14</v>
      </c>
      <c r="G1220" t="s">
        <v>623</v>
      </c>
      <c r="H1220" s="1">
        <v>46057.327303240738</v>
      </c>
      <c r="I1220" t="s">
        <v>635</v>
      </c>
      <c r="J1220">
        <v>2.14</v>
      </c>
      <c r="K1220">
        <v>0</v>
      </c>
    </row>
    <row r="1221" spans="1:11" x14ac:dyDescent="0.3">
      <c r="A1221">
        <v>1220</v>
      </c>
      <c r="B1221">
        <v>137</v>
      </c>
      <c r="C1221">
        <v>5</v>
      </c>
      <c r="D1221">
        <v>1117</v>
      </c>
      <c r="E1221" t="s">
        <v>651</v>
      </c>
      <c r="F1221">
        <v>2.99</v>
      </c>
      <c r="G1221" t="s">
        <v>623</v>
      </c>
      <c r="H1221" s="1">
        <v>46057.336111111108</v>
      </c>
      <c r="I1221" t="s">
        <v>635</v>
      </c>
      <c r="J1221">
        <v>2.99</v>
      </c>
      <c r="K1221">
        <v>0</v>
      </c>
    </row>
    <row r="1222" spans="1:11" x14ac:dyDescent="0.3">
      <c r="A1222">
        <v>1221</v>
      </c>
      <c r="B1222">
        <v>94</v>
      </c>
      <c r="C1222">
        <v>5</v>
      </c>
      <c r="D1222">
        <v>1118</v>
      </c>
      <c r="E1222" t="s">
        <v>651</v>
      </c>
      <c r="F1222">
        <v>19.29</v>
      </c>
      <c r="G1222" t="s">
        <v>623</v>
      </c>
      <c r="H1222" s="1">
        <v>46057.365069444444</v>
      </c>
      <c r="I1222" t="s">
        <v>635</v>
      </c>
      <c r="J1222">
        <v>19.29</v>
      </c>
      <c r="K1222">
        <v>0</v>
      </c>
    </row>
    <row r="1223" spans="1:11" x14ac:dyDescent="0.3">
      <c r="A1223">
        <v>1222</v>
      </c>
      <c r="B1223">
        <v>156</v>
      </c>
      <c r="C1223">
        <v>3</v>
      </c>
      <c r="D1223">
        <v>1119</v>
      </c>
      <c r="E1223" t="s">
        <v>651</v>
      </c>
      <c r="F1223">
        <v>2.39</v>
      </c>
      <c r="G1223" t="s">
        <v>623</v>
      </c>
      <c r="H1223" s="1">
        <v>46057.380046296297</v>
      </c>
      <c r="I1223" t="s">
        <v>635</v>
      </c>
      <c r="J1223">
        <v>2.39</v>
      </c>
      <c r="K1223">
        <v>0</v>
      </c>
    </row>
    <row r="1224" spans="1:11" x14ac:dyDescent="0.3">
      <c r="A1224">
        <v>1223</v>
      </c>
      <c r="B1224">
        <v>156</v>
      </c>
      <c r="C1224">
        <v>5</v>
      </c>
      <c r="D1224">
        <v>1120</v>
      </c>
      <c r="E1224" t="s">
        <v>651</v>
      </c>
      <c r="F1224">
        <v>2.74</v>
      </c>
      <c r="G1224" t="s">
        <v>623</v>
      </c>
      <c r="H1224" s="1">
        <v>46057.390717592592</v>
      </c>
      <c r="I1224" t="s">
        <v>635</v>
      </c>
      <c r="J1224">
        <v>2.74</v>
      </c>
      <c r="K1224">
        <v>0</v>
      </c>
    </row>
    <row r="1225" spans="1:11" x14ac:dyDescent="0.3">
      <c r="A1225">
        <v>1224</v>
      </c>
      <c r="B1225">
        <v>17</v>
      </c>
      <c r="C1225">
        <v>5</v>
      </c>
      <c r="D1225">
        <v>1121</v>
      </c>
      <c r="E1225" t="s">
        <v>651</v>
      </c>
      <c r="F1225">
        <v>9.7899999999999991</v>
      </c>
      <c r="G1225" t="s">
        <v>623</v>
      </c>
      <c r="H1225" s="1">
        <v>46057.394421296296</v>
      </c>
      <c r="I1225" t="s">
        <v>635</v>
      </c>
      <c r="J1225">
        <v>9.7899999999999991</v>
      </c>
      <c r="K1225">
        <v>0</v>
      </c>
    </row>
    <row r="1226" spans="1:11" x14ac:dyDescent="0.3">
      <c r="A1226">
        <v>1225</v>
      </c>
      <c r="B1226">
        <v>40</v>
      </c>
      <c r="C1226">
        <v>2</v>
      </c>
      <c r="D1226">
        <v>1122</v>
      </c>
      <c r="E1226" t="s">
        <v>651</v>
      </c>
      <c r="F1226">
        <v>11</v>
      </c>
      <c r="G1226" t="s">
        <v>623</v>
      </c>
      <c r="H1226" s="1">
        <v>46057.411469907405</v>
      </c>
      <c r="I1226" t="s">
        <v>635</v>
      </c>
      <c r="J1226">
        <v>11</v>
      </c>
      <c r="K1226">
        <v>0</v>
      </c>
    </row>
    <row r="1227" spans="1:11" x14ac:dyDescent="0.3">
      <c r="A1227">
        <v>1226</v>
      </c>
      <c r="B1227">
        <v>227</v>
      </c>
      <c r="C1227">
        <v>4</v>
      </c>
      <c r="D1227">
        <v>1123</v>
      </c>
      <c r="E1227" t="s">
        <v>651</v>
      </c>
      <c r="F1227">
        <v>4.26</v>
      </c>
      <c r="G1227" t="s">
        <v>623</v>
      </c>
      <c r="H1227" s="1">
        <v>46057.433900462966</v>
      </c>
      <c r="I1227" t="s">
        <v>635</v>
      </c>
      <c r="J1227">
        <v>4.26</v>
      </c>
      <c r="K1227">
        <v>0</v>
      </c>
    </row>
    <row r="1228" spans="1:11" x14ac:dyDescent="0.3">
      <c r="A1228">
        <v>1227</v>
      </c>
      <c r="B1228">
        <v>270</v>
      </c>
      <c r="C1228">
        <v>2</v>
      </c>
      <c r="D1228">
        <v>1124</v>
      </c>
      <c r="E1228" t="s">
        <v>651</v>
      </c>
      <c r="F1228">
        <v>3.12</v>
      </c>
      <c r="G1228" t="s">
        <v>623</v>
      </c>
      <c r="H1228" s="1">
        <v>46057.586111111108</v>
      </c>
      <c r="I1228" t="s">
        <v>635</v>
      </c>
      <c r="J1228">
        <v>3.12</v>
      </c>
      <c r="K1228">
        <v>0</v>
      </c>
    </row>
    <row r="1229" spans="1:11" x14ac:dyDescent="0.3">
      <c r="A1229">
        <v>1228</v>
      </c>
      <c r="B1229">
        <v>136</v>
      </c>
      <c r="C1229">
        <v>4</v>
      </c>
      <c r="D1229">
        <v>1125</v>
      </c>
      <c r="E1229" t="s">
        <v>651</v>
      </c>
      <c r="F1229">
        <v>10.97</v>
      </c>
      <c r="G1229" t="s">
        <v>623</v>
      </c>
      <c r="H1229" s="1">
        <v>46057.626215277778</v>
      </c>
      <c r="I1229" t="s">
        <v>635</v>
      </c>
      <c r="J1229">
        <v>10.97</v>
      </c>
      <c r="K1229">
        <v>0</v>
      </c>
    </row>
    <row r="1230" spans="1:11" x14ac:dyDescent="0.3">
      <c r="A1230">
        <v>1229</v>
      </c>
      <c r="B1230">
        <v>137</v>
      </c>
      <c r="C1230">
        <v>4</v>
      </c>
      <c r="D1230">
        <v>1126</v>
      </c>
      <c r="E1230" t="s">
        <v>651</v>
      </c>
      <c r="F1230">
        <v>3.38</v>
      </c>
      <c r="G1230" t="s">
        <v>623</v>
      </c>
      <c r="H1230" s="1">
        <v>46057.6562962963</v>
      </c>
      <c r="I1230" t="s">
        <v>635</v>
      </c>
      <c r="J1230">
        <v>3.38</v>
      </c>
      <c r="K1230">
        <v>0</v>
      </c>
    </row>
    <row r="1231" spans="1:11" x14ac:dyDescent="0.3">
      <c r="A1231">
        <v>1230</v>
      </c>
      <c r="B1231">
        <v>279</v>
      </c>
      <c r="C1231">
        <v>5</v>
      </c>
      <c r="D1231">
        <v>1127</v>
      </c>
      <c r="E1231" t="s">
        <v>651</v>
      </c>
      <c r="F1231">
        <v>12.86</v>
      </c>
      <c r="G1231" t="s">
        <v>623</v>
      </c>
      <c r="H1231" s="1">
        <v>46057.658680555556</v>
      </c>
      <c r="I1231" t="s">
        <v>635</v>
      </c>
      <c r="J1231">
        <v>12.86</v>
      </c>
      <c r="K1231">
        <v>0</v>
      </c>
    </row>
    <row r="1232" spans="1:11" x14ac:dyDescent="0.3">
      <c r="A1232">
        <v>1231</v>
      </c>
      <c r="B1232">
        <v>137</v>
      </c>
      <c r="C1232">
        <v>2</v>
      </c>
      <c r="D1232">
        <v>1128</v>
      </c>
      <c r="E1232" t="s">
        <v>651</v>
      </c>
      <c r="F1232">
        <v>3.14</v>
      </c>
      <c r="G1232" t="s">
        <v>623</v>
      </c>
      <c r="H1232" s="1">
        <v>46057.707824074074</v>
      </c>
      <c r="I1232" t="s">
        <v>635</v>
      </c>
      <c r="J1232">
        <v>3.14</v>
      </c>
      <c r="K1232">
        <v>0</v>
      </c>
    </row>
    <row r="1233" spans="1:11" x14ac:dyDescent="0.3">
      <c r="A1233">
        <v>1232</v>
      </c>
      <c r="B1233">
        <v>52</v>
      </c>
      <c r="C1233">
        <v>3</v>
      </c>
      <c r="D1233">
        <v>1129</v>
      </c>
      <c r="E1233" t="s">
        <v>651</v>
      </c>
      <c r="F1233">
        <v>1.45</v>
      </c>
      <c r="G1233" t="s">
        <v>623</v>
      </c>
      <c r="H1233" s="1">
        <v>46057.73846064815</v>
      </c>
      <c r="I1233" t="s">
        <v>635</v>
      </c>
      <c r="J1233">
        <v>1.45</v>
      </c>
      <c r="K1233">
        <v>0</v>
      </c>
    </row>
    <row r="1234" spans="1:11" x14ac:dyDescent="0.3">
      <c r="A1234">
        <v>1233</v>
      </c>
      <c r="B1234">
        <v>273</v>
      </c>
      <c r="C1234">
        <v>1</v>
      </c>
      <c r="E1234" t="s">
        <v>649</v>
      </c>
      <c r="F1234">
        <v>24.79</v>
      </c>
      <c r="G1234" t="s">
        <v>653</v>
      </c>
      <c r="H1234" s="1">
        <v>46057.899571759262</v>
      </c>
      <c r="I1234" t="s">
        <v>635</v>
      </c>
      <c r="J1234">
        <v>0</v>
      </c>
      <c r="K1234">
        <v>0</v>
      </c>
    </row>
    <row r="1235" spans="1:11" x14ac:dyDescent="0.3">
      <c r="A1235">
        <v>1234</v>
      </c>
      <c r="B1235">
        <v>47</v>
      </c>
      <c r="C1235">
        <v>4</v>
      </c>
      <c r="D1235">
        <v>1130</v>
      </c>
      <c r="E1235" t="s">
        <v>651</v>
      </c>
      <c r="F1235">
        <v>2.5099999999999998</v>
      </c>
      <c r="G1235" t="s">
        <v>623</v>
      </c>
      <c r="H1235" s="1">
        <v>46058.314895833333</v>
      </c>
      <c r="I1235" t="s">
        <v>635</v>
      </c>
      <c r="J1235">
        <v>2.5099999999999998</v>
      </c>
      <c r="K1235">
        <v>0</v>
      </c>
    </row>
    <row r="1236" spans="1:11" x14ac:dyDescent="0.3">
      <c r="A1236">
        <v>1235</v>
      </c>
      <c r="B1236">
        <v>63</v>
      </c>
      <c r="C1236">
        <v>3</v>
      </c>
      <c r="D1236">
        <v>1131</v>
      </c>
      <c r="E1236" t="s">
        <v>651</v>
      </c>
      <c r="F1236">
        <v>7.06</v>
      </c>
      <c r="G1236" t="s">
        <v>623</v>
      </c>
      <c r="H1236" s="1">
        <v>46058.342662037037</v>
      </c>
      <c r="I1236" t="s">
        <v>635</v>
      </c>
      <c r="J1236">
        <v>7.06</v>
      </c>
      <c r="K1236">
        <v>0</v>
      </c>
    </row>
    <row r="1237" spans="1:11" x14ac:dyDescent="0.3">
      <c r="A1237">
        <v>1236</v>
      </c>
      <c r="B1237">
        <v>192</v>
      </c>
      <c r="C1237">
        <v>5</v>
      </c>
      <c r="D1237">
        <v>1132</v>
      </c>
      <c r="E1237" t="s">
        <v>651</v>
      </c>
      <c r="F1237">
        <v>1.77</v>
      </c>
      <c r="G1237" t="s">
        <v>623</v>
      </c>
      <c r="H1237" s="1">
        <v>46058.375162037039</v>
      </c>
      <c r="I1237" t="s">
        <v>635</v>
      </c>
      <c r="J1237">
        <v>1.77</v>
      </c>
      <c r="K1237">
        <v>0</v>
      </c>
    </row>
    <row r="1238" spans="1:11" x14ac:dyDescent="0.3">
      <c r="A1238">
        <v>1237</v>
      </c>
      <c r="B1238">
        <v>48</v>
      </c>
      <c r="C1238">
        <v>5</v>
      </c>
      <c r="D1238">
        <v>1133</v>
      </c>
      <c r="E1238" t="s">
        <v>651</v>
      </c>
      <c r="F1238">
        <v>8.7899999999999991</v>
      </c>
      <c r="G1238" t="s">
        <v>623</v>
      </c>
      <c r="H1238" s="1">
        <v>46058.389398148145</v>
      </c>
      <c r="I1238" t="s">
        <v>635</v>
      </c>
      <c r="J1238">
        <v>8.7899999999999991</v>
      </c>
      <c r="K1238">
        <v>0</v>
      </c>
    </row>
    <row r="1239" spans="1:11" x14ac:dyDescent="0.3">
      <c r="A1239">
        <v>1238</v>
      </c>
      <c r="B1239">
        <v>65</v>
      </c>
      <c r="C1239">
        <v>4</v>
      </c>
      <c r="D1239">
        <v>1134</v>
      </c>
      <c r="E1239" t="s">
        <v>651</v>
      </c>
      <c r="F1239">
        <v>3.3</v>
      </c>
      <c r="G1239" t="s">
        <v>623</v>
      </c>
      <c r="H1239" s="1">
        <v>46058.430520833332</v>
      </c>
      <c r="I1239" t="s">
        <v>635</v>
      </c>
      <c r="J1239">
        <v>3.3</v>
      </c>
      <c r="K1239">
        <v>0</v>
      </c>
    </row>
    <row r="1240" spans="1:11" x14ac:dyDescent="0.3">
      <c r="A1240">
        <v>1239</v>
      </c>
      <c r="B1240">
        <v>156</v>
      </c>
      <c r="C1240">
        <v>2</v>
      </c>
      <c r="D1240">
        <v>1135</v>
      </c>
      <c r="E1240" t="s">
        <v>651</v>
      </c>
      <c r="F1240">
        <v>1.52</v>
      </c>
      <c r="G1240" t="s">
        <v>623</v>
      </c>
      <c r="H1240" s="1">
        <v>46058.430879629632</v>
      </c>
      <c r="I1240" t="s">
        <v>635</v>
      </c>
      <c r="J1240">
        <v>1.52</v>
      </c>
      <c r="K1240">
        <v>0</v>
      </c>
    </row>
    <row r="1241" spans="1:11" x14ac:dyDescent="0.3">
      <c r="A1241">
        <v>1240</v>
      </c>
      <c r="B1241">
        <v>137</v>
      </c>
      <c r="C1241">
        <v>4</v>
      </c>
      <c r="D1241">
        <v>1136</v>
      </c>
      <c r="E1241" t="s">
        <v>651</v>
      </c>
      <c r="F1241">
        <v>2.56</v>
      </c>
      <c r="G1241" t="s">
        <v>623</v>
      </c>
      <c r="H1241" s="1">
        <v>46058.438425925924</v>
      </c>
      <c r="I1241" t="s">
        <v>635</v>
      </c>
      <c r="J1241">
        <v>2.56</v>
      </c>
      <c r="K1241">
        <v>0</v>
      </c>
    </row>
    <row r="1242" spans="1:11" x14ac:dyDescent="0.3">
      <c r="A1242">
        <v>1241</v>
      </c>
      <c r="B1242">
        <v>150</v>
      </c>
      <c r="C1242">
        <v>3</v>
      </c>
      <c r="D1242">
        <v>1137</v>
      </c>
      <c r="E1242" t="s">
        <v>651</v>
      </c>
      <c r="F1242">
        <v>10.75</v>
      </c>
      <c r="G1242" t="s">
        <v>623</v>
      </c>
      <c r="H1242" s="1">
        <v>46058.515173611115</v>
      </c>
      <c r="I1242" t="s">
        <v>635</v>
      </c>
      <c r="J1242">
        <v>10.75</v>
      </c>
      <c r="K1242">
        <v>0</v>
      </c>
    </row>
    <row r="1243" spans="1:11" x14ac:dyDescent="0.3">
      <c r="A1243">
        <v>1242</v>
      </c>
      <c r="B1243">
        <v>81</v>
      </c>
      <c r="C1243">
        <v>1</v>
      </c>
      <c r="E1243" t="s">
        <v>649</v>
      </c>
      <c r="F1243">
        <v>9.44</v>
      </c>
      <c r="G1243" t="s">
        <v>653</v>
      </c>
      <c r="H1243" s="1">
        <v>46058.607777777775</v>
      </c>
      <c r="I1243" t="s">
        <v>635</v>
      </c>
      <c r="J1243">
        <v>0</v>
      </c>
      <c r="K1243">
        <v>0</v>
      </c>
    </row>
    <row r="1244" spans="1:11" x14ac:dyDescent="0.3">
      <c r="A1244">
        <v>1243</v>
      </c>
      <c r="B1244">
        <v>117</v>
      </c>
      <c r="C1244">
        <v>2</v>
      </c>
      <c r="D1244">
        <v>1138</v>
      </c>
      <c r="E1244" t="s">
        <v>651</v>
      </c>
      <c r="F1244">
        <v>15</v>
      </c>
      <c r="G1244" t="s">
        <v>623</v>
      </c>
      <c r="H1244" s="1">
        <v>46058.613136574073</v>
      </c>
      <c r="I1244" t="s">
        <v>635</v>
      </c>
      <c r="J1244">
        <v>15</v>
      </c>
      <c r="K1244">
        <v>0</v>
      </c>
    </row>
    <row r="1245" spans="1:11" x14ac:dyDescent="0.3">
      <c r="A1245">
        <v>1244</v>
      </c>
      <c r="B1245">
        <v>8</v>
      </c>
      <c r="C1245">
        <v>2</v>
      </c>
      <c r="D1245">
        <v>1139</v>
      </c>
      <c r="E1245" t="s">
        <v>651</v>
      </c>
      <c r="F1245">
        <v>2.69</v>
      </c>
      <c r="G1245" t="s">
        <v>623</v>
      </c>
      <c r="H1245" s="1">
        <v>46058.645196759258</v>
      </c>
      <c r="I1245" t="s">
        <v>635</v>
      </c>
      <c r="J1245">
        <v>2.69</v>
      </c>
      <c r="K1245">
        <v>0</v>
      </c>
    </row>
    <row r="1246" spans="1:11" x14ac:dyDescent="0.3">
      <c r="A1246">
        <v>1245</v>
      </c>
      <c r="B1246">
        <v>178</v>
      </c>
      <c r="C1246">
        <v>1</v>
      </c>
      <c r="E1246" t="s">
        <v>649</v>
      </c>
      <c r="F1246">
        <v>21.34</v>
      </c>
      <c r="G1246" t="s">
        <v>650</v>
      </c>
      <c r="H1246" s="1">
        <v>46058.83630787037</v>
      </c>
      <c r="I1246" t="s">
        <v>635</v>
      </c>
      <c r="J1246">
        <v>0</v>
      </c>
      <c r="K1246">
        <v>0</v>
      </c>
    </row>
    <row r="1247" spans="1:11" x14ac:dyDescent="0.3">
      <c r="A1247">
        <v>1246</v>
      </c>
      <c r="B1247">
        <v>65</v>
      </c>
      <c r="C1247">
        <v>2</v>
      </c>
      <c r="D1247">
        <v>1140</v>
      </c>
      <c r="E1247" t="s">
        <v>651</v>
      </c>
      <c r="F1247">
        <v>2.4900000000000002</v>
      </c>
      <c r="G1247" t="s">
        <v>623</v>
      </c>
      <c r="H1247" s="1">
        <v>46059.310891203706</v>
      </c>
      <c r="I1247" t="s">
        <v>635</v>
      </c>
      <c r="J1247">
        <v>2.4900000000000002</v>
      </c>
      <c r="K1247">
        <v>0</v>
      </c>
    </row>
    <row r="1248" spans="1:11" x14ac:dyDescent="0.3">
      <c r="A1248">
        <v>1247</v>
      </c>
      <c r="B1248">
        <v>244</v>
      </c>
      <c r="C1248">
        <v>5</v>
      </c>
      <c r="D1248">
        <v>1141</v>
      </c>
      <c r="E1248" t="s">
        <v>657</v>
      </c>
      <c r="F1248">
        <v>54.9</v>
      </c>
      <c r="G1248" t="s">
        <v>623</v>
      </c>
      <c r="H1248" s="1">
        <v>46059.366655092592</v>
      </c>
      <c r="I1248" t="s">
        <v>635</v>
      </c>
      <c r="J1248">
        <v>0</v>
      </c>
      <c r="K1248">
        <v>54.9</v>
      </c>
    </row>
    <row r="1249" spans="1:11" x14ac:dyDescent="0.3">
      <c r="A1249">
        <v>1248</v>
      </c>
      <c r="B1249">
        <v>202</v>
      </c>
      <c r="C1249">
        <v>3</v>
      </c>
      <c r="D1249">
        <v>1142</v>
      </c>
      <c r="E1249" t="s">
        <v>657</v>
      </c>
      <c r="F1249">
        <v>43.21</v>
      </c>
      <c r="G1249" t="s">
        <v>623</v>
      </c>
      <c r="H1249" s="1">
        <v>46059.368703703702</v>
      </c>
      <c r="I1249" t="s">
        <v>635</v>
      </c>
      <c r="J1249">
        <v>0</v>
      </c>
      <c r="K1249">
        <v>43.21</v>
      </c>
    </row>
    <row r="1250" spans="1:11" x14ac:dyDescent="0.3">
      <c r="A1250">
        <v>1249</v>
      </c>
      <c r="B1250">
        <v>51</v>
      </c>
      <c r="C1250">
        <v>2</v>
      </c>
      <c r="D1250">
        <v>1143</v>
      </c>
      <c r="E1250" t="s">
        <v>651</v>
      </c>
      <c r="F1250">
        <v>26.94</v>
      </c>
      <c r="G1250" t="s">
        <v>623</v>
      </c>
      <c r="H1250" s="1">
        <v>46059.374108796299</v>
      </c>
      <c r="I1250" t="s">
        <v>635</v>
      </c>
      <c r="J1250">
        <v>26.94</v>
      </c>
      <c r="K1250">
        <v>0</v>
      </c>
    </row>
    <row r="1251" spans="1:11" x14ac:dyDescent="0.3">
      <c r="A1251">
        <v>1250</v>
      </c>
      <c r="B1251">
        <v>44</v>
      </c>
      <c r="C1251">
        <v>5</v>
      </c>
      <c r="D1251">
        <v>1144</v>
      </c>
      <c r="E1251" t="s">
        <v>651</v>
      </c>
      <c r="F1251">
        <v>1.96</v>
      </c>
      <c r="G1251" t="s">
        <v>623</v>
      </c>
      <c r="H1251" s="1">
        <v>46059.423194444447</v>
      </c>
      <c r="I1251" t="s">
        <v>635</v>
      </c>
      <c r="J1251">
        <v>1.96</v>
      </c>
      <c r="K1251">
        <v>0</v>
      </c>
    </row>
    <row r="1252" spans="1:11" x14ac:dyDescent="0.3">
      <c r="A1252">
        <v>1251</v>
      </c>
      <c r="B1252">
        <v>94</v>
      </c>
      <c r="C1252">
        <v>4</v>
      </c>
      <c r="D1252">
        <v>1145</v>
      </c>
      <c r="E1252" t="s">
        <v>651</v>
      </c>
      <c r="F1252">
        <v>18.12</v>
      </c>
      <c r="G1252" t="s">
        <v>623</v>
      </c>
      <c r="H1252" s="1">
        <v>46059.482951388891</v>
      </c>
      <c r="I1252" t="s">
        <v>635</v>
      </c>
      <c r="J1252">
        <v>18.12</v>
      </c>
      <c r="K1252">
        <v>0</v>
      </c>
    </row>
    <row r="1253" spans="1:11" x14ac:dyDescent="0.3">
      <c r="A1253">
        <v>1252</v>
      </c>
      <c r="B1253">
        <v>83</v>
      </c>
      <c r="C1253">
        <v>2</v>
      </c>
      <c r="D1253">
        <v>1146</v>
      </c>
      <c r="E1253" t="s">
        <v>651</v>
      </c>
      <c r="F1253">
        <v>4.3</v>
      </c>
      <c r="G1253" t="s">
        <v>623</v>
      </c>
      <c r="H1253" s="1">
        <v>46059.508796296293</v>
      </c>
      <c r="I1253" t="s">
        <v>635</v>
      </c>
      <c r="J1253">
        <v>4.3</v>
      </c>
      <c r="K1253">
        <v>0</v>
      </c>
    </row>
    <row r="1254" spans="1:11" x14ac:dyDescent="0.3">
      <c r="A1254">
        <v>1253</v>
      </c>
      <c r="B1254">
        <v>233</v>
      </c>
      <c r="C1254">
        <v>3</v>
      </c>
      <c r="D1254">
        <v>1147</v>
      </c>
      <c r="E1254" t="s">
        <v>651</v>
      </c>
      <c r="F1254">
        <v>10.72</v>
      </c>
      <c r="G1254" t="s">
        <v>623</v>
      </c>
      <c r="H1254" s="1">
        <v>46059.522604166668</v>
      </c>
      <c r="I1254" t="s">
        <v>635</v>
      </c>
      <c r="J1254">
        <v>10.72</v>
      </c>
      <c r="K1254">
        <v>0</v>
      </c>
    </row>
    <row r="1255" spans="1:11" x14ac:dyDescent="0.3">
      <c r="A1255">
        <v>1254</v>
      </c>
      <c r="B1255">
        <v>47</v>
      </c>
      <c r="C1255">
        <v>5</v>
      </c>
      <c r="D1255">
        <v>1148</v>
      </c>
      <c r="E1255" t="s">
        <v>651</v>
      </c>
      <c r="F1255">
        <v>2.37</v>
      </c>
      <c r="G1255" t="s">
        <v>623</v>
      </c>
      <c r="H1255" s="1">
        <v>46059.537442129629</v>
      </c>
      <c r="I1255" t="s">
        <v>635</v>
      </c>
      <c r="J1255">
        <v>2.37</v>
      </c>
      <c r="K1255">
        <v>0</v>
      </c>
    </row>
    <row r="1256" spans="1:11" x14ac:dyDescent="0.3">
      <c r="A1256">
        <v>1255</v>
      </c>
      <c r="B1256">
        <v>22</v>
      </c>
      <c r="C1256">
        <v>3</v>
      </c>
      <c r="D1256">
        <v>1149</v>
      </c>
      <c r="E1256" t="s">
        <v>651</v>
      </c>
      <c r="F1256">
        <v>9.89</v>
      </c>
      <c r="G1256" t="s">
        <v>623</v>
      </c>
      <c r="H1256" s="1">
        <v>46059.547777777778</v>
      </c>
      <c r="I1256" t="s">
        <v>635</v>
      </c>
      <c r="J1256">
        <v>9.89</v>
      </c>
      <c r="K1256">
        <v>0</v>
      </c>
    </row>
    <row r="1257" spans="1:11" x14ac:dyDescent="0.3">
      <c r="A1257">
        <v>1256</v>
      </c>
      <c r="B1257">
        <v>106</v>
      </c>
      <c r="C1257">
        <v>4</v>
      </c>
      <c r="D1257">
        <v>1150</v>
      </c>
      <c r="E1257" t="s">
        <v>651</v>
      </c>
      <c r="F1257">
        <v>16.14</v>
      </c>
      <c r="G1257" t="s">
        <v>623</v>
      </c>
      <c r="H1257" s="1">
        <v>46059.549004629633</v>
      </c>
      <c r="I1257" t="s">
        <v>635</v>
      </c>
      <c r="J1257">
        <v>16.14</v>
      </c>
      <c r="K1257">
        <v>0</v>
      </c>
    </row>
    <row r="1258" spans="1:11" x14ac:dyDescent="0.3">
      <c r="A1258">
        <v>1257</v>
      </c>
      <c r="B1258">
        <v>175</v>
      </c>
      <c r="C1258">
        <v>5</v>
      </c>
      <c r="D1258">
        <v>1151</v>
      </c>
      <c r="E1258" t="s">
        <v>651</v>
      </c>
      <c r="F1258">
        <v>4.3</v>
      </c>
      <c r="G1258" t="s">
        <v>623</v>
      </c>
      <c r="H1258" s="1">
        <v>46059.549537037034</v>
      </c>
      <c r="I1258" t="s">
        <v>635</v>
      </c>
      <c r="J1258">
        <v>4.3</v>
      </c>
      <c r="K1258">
        <v>0</v>
      </c>
    </row>
    <row r="1259" spans="1:11" x14ac:dyDescent="0.3">
      <c r="A1259">
        <v>1258</v>
      </c>
      <c r="B1259">
        <v>39</v>
      </c>
      <c r="C1259">
        <v>5</v>
      </c>
      <c r="D1259">
        <v>1152</v>
      </c>
      <c r="E1259" t="s">
        <v>651</v>
      </c>
      <c r="F1259">
        <v>15.65</v>
      </c>
      <c r="G1259" t="s">
        <v>623</v>
      </c>
      <c r="H1259" s="1">
        <v>46059.584710648145</v>
      </c>
      <c r="I1259" t="s">
        <v>635</v>
      </c>
      <c r="J1259">
        <v>15.65</v>
      </c>
      <c r="K1259">
        <v>0</v>
      </c>
    </row>
    <row r="1260" spans="1:11" x14ac:dyDescent="0.3">
      <c r="A1260">
        <v>1259</v>
      </c>
      <c r="B1260">
        <v>265</v>
      </c>
      <c r="C1260">
        <v>4</v>
      </c>
      <c r="D1260">
        <v>1153</v>
      </c>
      <c r="E1260" t="s">
        <v>651</v>
      </c>
      <c r="F1260">
        <v>22</v>
      </c>
      <c r="G1260" t="s">
        <v>623</v>
      </c>
      <c r="H1260" s="1">
        <v>46059.611284722225</v>
      </c>
      <c r="I1260" t="s">
        <v>635</v>
      </c>
      <c r="J1260">
        <v>22</v>
      </c>
      <c r="K1260">
        <v>0</v>
      </c>
    </row>
    <row r="1261" spans="1:11" x14ac:dyDescent="0.3">
      <c r="A1261">
        <v>1260</v>
      </c>
      <c r="B1261">
        <v>251</v>
      </c>
      <c r="C1261">
        <v>2</v>
      </c>
      <c r="D1261">
        <v>1154</v>
      </c>
      <c r="E1261" t="s">
        <v>651</v>
      </c>
      <c r="F1261">
        <v>7.64</v>
      </c>
      <c r="G1261" t="s">
        <v>623</v>
      </c>
      <c r="H1261" s="1">
        <v>46059.623333333337</v>
      </c>
      <c r="I1261" t="s">
        <v>635</v>
      </c>
      <c r="J1261">
        <v>7.64</v>
      </c>
      <c r="K1261">
        <v>0</v>
      </c>
    </row>
    <row r="1262" spans="1:11" x14ac:dyDescent="0.3">
      <c r="A1262">
        <v>1261</v>
      </c>
      <c r="B1262">
        <v>39</v>
      </c>
      <c r="C1262">
        <v>2</v>
      </c>
      <c r="D1262">
        <v>1155</v>
      </c>
      <c r="E1262" t="s">
        <v>651</v>
      </c>
      <c r="F1262">
        <v>21.93</v>
      </c>
      <c r="G1262" t="s">
        <v>623</v>
      </c>
      <c r="H1262" s="1">
        <v>46059.633692129632</v>
      </c>
      <c r="I1262" t="s">
        <v>635</v>
      </c>
      <c r="J1262">
        <v>21.93</v>
      </c>
      <c r="K1262">
        <v>0</v>
      </c>
    </row>
    <row r="1263" spans="1:11" x14ac:dyDescent="0.3">
      <c r="A1263">
        <v>1262</v>
      </c>
      <c r="B1263">
        <v>47</v>
      </c>
      <c r="C1263">
        <v>1</v>
      </c>
      <c r="E1263" t="s">
        <v>649</v>
      </c>
      <c r="F1263">
        <v>11.76</v>
      </c>
      <c r="G1263" t="s">
        <v>652</v>
      </c>
      <c r="H1263" s="1">
        <v>46059.900787037041</v>
      </c>
      <c r="I1263" t="s">
        <v>635</v>
      </c>
      <c r="J1263">
        <v>0</v>
      </c>
      <c r="K1263">
        <v>0</v>
      </c>
    </row>
    <row r="1264" spans="1:11" x14ac:dyDescent="0.3">
      <c r="A1264">
        <v>1263</v>
      </c>
      <c r="B1264">
        <v>117</v>
      </c>
      <c r="C1264">
        <v>4</v>
      </c>
      <c r="D1264">
        <v>1156</v>
      </c>
      <c r="E1264" t="s">
        <v>651</v>
      </c>
      <c r="F1264">
        <v>13.84</v>
      </c>
      <c r="G1264" t="s">
        <v>623</v>
      </c>
      <c r="H1264" s="1">
        <v>46060.311030092591</v>
      </c>
      <c r="I1264" t="s">
        <v>635</v>
      </c>
      <c r="J1264">
        <v>13.84</v>
      </c>
      <c r="K1264">
        <v>0</v>
      </c>
    </row>
    <row r="1265" spans="1:11" x14ac:dyDescent="0.3">
      <c r="A1265">
        <v>1264</v>
      </c>
      <c r="B1265">
        <v>65</v>
      </c>
      <c r="C1265">
        <v>5</v>
      </c>
      <c r="D1265">
        <v>1140</v>
      </c>
      <c r="E1265" t="s">
        <v>649</v>
      </c>
      <c r="F1265">
        <v>-2.4900000000000002</v>
      </c>
      <c r="G1265" t="s">
        <v>704</v>
      </c>
      <c r="H1265" s="1">
        <v>46060.394224537034</v>
      </c>
      <c r="I1265" t="s">
        <v>635</v>
      </c>
      <c r="J1265">
        <v>0</v>
      </c>
      <c r="K1265">
        <v>0</v>
      </c>
    </row>
    <row r="1266" spans="1:11" x14ac:dyDescent="0.3">
      <c r="A1266">
        <v>1265</v>
      </c>
      <c r="B1266">
        <v>117</v>
      </c>
      <c r="C1266">
        <v>3</v>
      </c>
      <c r="D1266">
        <v>1157</v>
      </c>
      <c r="E1266" t="s">
        <v>651</v>
      </c>
      <c r="F1266">
        <v>6.14</v>
      </c>
      <c r="G1266" t="s">
        <v>623</v>
      </c>
      <c r="H1266" s="1">
        <v>46060.427928240744</v>
      </c>
      <c r="I1266" t="s">
        <v>635</v>
      </c>
      <c r="J1266">
        <v>6.14</v>
      </c>
      <c r="K1266">
        <v>0</v>
      </c>
    </row>
    <row r="1267" spans="1:11" x14ac:dyDescent="0.3">
      <c r="A1267">
        <v>1266</v>
      </c>
      <c r="B1267">
        <v>137</v>
      </c>
      <c r="C1267">
        <v>2</v>
      </c>
      <c r="D1267">
        <v>1158</v>
      </c>
      <c r="E1267" t="s">
        <v>657</v>
      </c>
      <c r="F1267">
        <v>35.700000000000003</v>
      </c>
      <c r="G1267" t="s">
        <v>623</v>
      </c>
      <c r="H1267" s="1">
        <v>46060.428564814814</v>
      </c>
      <c r="I1267" t="s">
        <v>635</v>
      </c>
      <c r="J1267">
        <v>0</v>
      </c>
      <c r="K1267">
        <v>35.700000000000003</v>
      </c>
    </row>
    <row r="1268" spans="1:11" x14ac:dyDescent="0.3">
      <c r="A1268">
        <v>1267</v>
      </c>
      <c r="B1268">
        <v>223</v>
      </c>
      <c r="C1268">
        <v>5</v>
      </c>
      <c r="D1268">
        <v>1159</v>
      </c>
      <c r="E1268" t="s">
        <v>651</v>
      </c>
      <c r="F1268">
        <v>4.47</v>
      </c>
      <c r="G1268" t="s">
        <v>623</v>
      </c>
      <c r="H1268" s="1">
        <v>46060.457268518519</v>
      </c>
      <c r="I1268" t="s">
        <v>635</v>
      </c>
      <c r="J1268">
        <v>4.47</v>
      </c>
      <c r="K1268">
        <v>0</v>
      </c>
    </row>
    <row r="1269" spans="1:11" x14ac:dyDescent="0.3">
      <c r="A1269">
        <v>1268</v>
      </c>
      <c r="B1269">
        <v>65</v>
      </c>
      <c r="C1269">
        <v>2</v>
      </c>
      <c r="D1269">
        <v>1160</v>
      </c>
      <c r="E1269" t="s">
        <v>651</v>
      </c>
      <c r="F1269">
        <v>4.12</v>
      </c>
      <c r="G1269" t="s">
        <v>623</v>
      </c>
      <c r="H1269" s="1">
        <v>46060.479421296295</v>
      </c>
      <c r="I1269" t="s">
        <v>635</v>
      </c>
      <c r="J1269">
        <v>4.12</v>
      </c>
      <c r="K1269">
        <v>0</v>
      </c>
    </row>
    <row r="1270" spans="1:11" x14ac:dyDescent="0.3">
      <c r="A1270">
        <v>1269</v>
      </c>
      <c r="B1270">
        <v>223</v>
      </c>
      <c r="C1270">
        <v>4</v>
      </c>
      <c r="D1270">
        <v>1161</v>
      </c>
      <c r="E1270" t="s">
        <v>651</v>
      </c>
      <c r="F1270">
        <v>2.2999999999999998</v>
      </c>
      <c r="G1270" t="s">
        <v>623</v>
      </c>
      <c r="H1270" s="1">
        <v>46060.483402777776</v>
      </c>
      <c r="I1270" t="s">
        <v>635</v>
      </c>
      <c r="J1270">
        <v>2.2999999999999998</v>
      </c>
      <c r="K1270">
        <v>0</v>
      </c>
    </row>
    <row r="1271" spans="1:11" x14ac:dyDescent="0.3">
      <c r="A1271">
        <v>1270</v>
      </c>
      <c r="B1271">
        <v>137</v>
      </c>
      <c r="C1271">
        <v>5</v>
      </c>
      <c r="D1271">
        <v>1162</v>
      </c>
      <c r="E1271" t="s">
        <v>651</v>
      </c>
      <c r="F1271">
        <v>3.56</v>
      </c>
      <c r="G1271" t="s">
        <v>623</v>
      </c>
      <c r="H1271" s="1">
        <v>46060.501516203702</v>
      </c>
      <c r="I1271" t="s">
        <v>635</v>
      </c>
      <c r="J1271">
        <v>3.56</v>
      </c>
      <c r="K1271">
        <v>0</v>
      </c>
    </row>
    <row r="1272" spans="1:11" x14ac:dyDescent="0.3">
      <c r="A1272">
        <v>1271</v>
      </c>
      <c r="B1272">
        <v>39</v>
      </c>
      <c r="C1272">
        <v>3</v>
      </c>
      <c r="D1272">
        <v>1163</v>
      </c>
      <c r="E1272" t="s">
        <v>651</v>
      </c>
      <c r="F1272">
        <v>26.51</v>
      </c>
      <c r="G1272" t="s">
        <v>623</v>
      </c>
      <c r="H1272" s="1">
        <v>46060.606365740743</v>
      </c>
      <c r="I1272" t="s">
        <v>635</v>
      </c>
      <c r="J1272">
        <v>26.51</v>
      </c>
      <c r="K1272">
        <v>0</v>
      </c>
    </row>
    <row r="1273" spans="1:11" x14ac:dyDescent="0.3">
      <c r="A1273">
        <v>1272</v>
      </c>
      <c r="B1273">
        <v>31</v>
      </c>
      <c r="C1273">
        <v>2</v>
      </c>
      <c r="D1273">
        <v>1164</v>
      </c>
      <c r="E1273" t="s">
        <v>651</v>
      </c>
      <c r="F1273">
        <v>4.4400000000000004</v>
      </c>
      <c r="G1273" t="s">
        <v>623</v>
      </c>
      <c r="H1273" s="1">
        <v>46060.684293981481</v>
      </c>
      <c r="I1273" t="s">
        <v>635</v>
      </c>
      <c r="J1273">
        <v>4.4400000000000004</v>
      </c>
      <c r="K1273">
        <v>0</v>
      </c>
    </row>
    <row r="1274" spans="1:11" x14ac:dyDescent="0.3">
      <c r="A1274">
        <v>1273</v>
      </c>
      <c r="B1274">
        <v>37</v>
      </c>
      <c r="C1274">
        <v>2</v>
      </c>
      <c r="D1274">
        <v>1165</v>
      </c>
      <c r="E1274" t="s">
        <v>651</v>
      </c>
      <c r="F1274">
        <v>8.25</v>
      </c>
      <c r="G1274" t="s">
        <v>623</v>
      </c>
      <c r="H1274" s="1">
        <v>46060.727152777778</v>
      </c>
      <c r="I1274" t="s">
        <v>635</v>
      </c>
      <c r="J1274">
        <v>8.25</v>
      </c>
      <c r="K1274">
        <v>0</v>
      </c>
    </row>
    <row r="1275" spans="1:11" x14ac:dyDescent="0.3">
      <c r="A1275">
        <v>1274</v>
      </c>
      <c r="B1275">
        <v>207</v>
      </c>
      <c r="C1275">
        <v>5</v>
      </c>
      <c r="D1275">
        <v>1166</v>
      </c>
      <c r="E1275" t="s">
        <v>651</v>
      </c>
      <c r="F1275">
        <v>4.5</v>
      </c>
      <c r="G1275" t="s">
        <v>623</v>
      </c>
      <c r="H1275" s="1">
        <v>46060.738935185182</v>
      </c>
      <c r="I1275" t="s">
        <v>635</v>
      </c>
      <c r="J1275">
        <v>4.5</v>
      </c>
      <c r="K1275">
        <v>0</v>
      </c>
    </row>
    <row r="1276" spans="1:11" x14ac:dyDescent="0.3">
      <c r="A1276">
        <v>1275</v>
      </c>
      <c r="B1276">
        <v>55</v>
      </c>
      <c r="C1276">
        <v>5</v>
      </c>
      <c r="D1276">
        <v>1167</v>
      </c>
      <c r="E1276" t="s">
        <v>651</v>
      </c>
      <c r="F1276">
        <v>1.95</v>
      </c>
      <c r="G1276" t="s">
        <v>623</v>
      </c>
      <c r="H1276" s="1">
        <v>46061.293888888889</v>
      </c>
      <c r="I1276" t="s">
        <v>635</v>
      </c>
      <c r="J1276">
        <v>1.95</v>
      </c>
      <c r="K1276">
        <v>0</v>
      </c>
    </row>
    <row r="1277" spans="1:11" x14ac:dyDescent="0.3">
      <c r="A1277">
        <v>1276</v>
      </c>
      <c r="B1277">
        <v>103</v>
      </c>
      <c r="C1277">
        <v>2</v>
      </c>
      <c r="D1277">
        <v>1168</v>
      </c>
      <c r="E1277" t="s">
        <v>651</v>
      </c>
      <c r="F1277">
        <v>2.93</v>
      </c>
      <c r="G1277" t="s">
        <v>623</v>
      </c>
      <c r="H1277" s="1">
        <v>46061.348541666666</v>
      </c>
      <c r="I1277" t="s">
        <v>635</v>
      </c>
      <c r="J1277">
        <v>2.93</v>
      </c>
      <c r="K1277">
        <v>0</v>
      </c>
    </row>
    <row r="1278" spans="1:11" x14ac:dyDescent="0.3">
      <c r="A1278">
        <v>1277</v>
      </c>
      <c r="B1278">
        <v>124</v>
      </c>
      <c r="C1278">
        <v>5</v>
      </c>
      <c r="D1278">
        <v>1169</v>
      </c>
      <c r="E1278" t="s">
        <v>651</v>
      </c>
      <c r="F1278">
        <v>1.9</v>
      </c>
      <c r="G1278" t="s">
        <v>623</v>
      </c>
      <c r="H1278" s="1">
        <v>46061.61136574074</v>
      </c>
      <c r="I1278" t="s">
        <v>635</v>
      </c>
      <c r="J1278">
        <v>1.9</v>
      </c>
      <c r="K1278">
        <v>0</v>
      </c>
    </row>
    <row r="1279" spans="1:11" x14ac:dyDescent="0.3">
      <c r="A1279">
        <v>1278</v>
      </c>
      <c r="B1279">
        <v>137</v>
      </c>
      <c r="C1279">
        <v>3</v>
      </c>
      <c r="D1279">
        <v>1170</v>
      </c>
      <c r="E1279" t="s">
        <v>657</v>
      </c>
      <c r="F1279">
        <v>26.26</v>
      </c>
      <c r="G1279" t="s">
        <v>623</v>
      </c>
      <c r="H1279" s="1">
        <v>46061.666064814817</v>
      </c>
      <c r="I1279" t="s">
        <v>635</v>
      </c>
      <c r="J1279">
        <v>0</v>
      </c>
      <c r="K1279">
        <v>26.26</v>
      </c>
    </row>
    <row r="1280" spans="1:11" x14ac:dyDescent="0.3">
      <c r="A1280">
        <v>1279</v>
      </c>
      <c r="B1280">
        <v>137</v>
      </c>
      <c r="C1280">
        <v>4</v>
      </c>
      <c r="D1280">
        <v>1171</v>
      </c>
      <c r="E1280" t="s">
        <v>651</v>
      </c>
      <c r="F1280">
        <v>2.65</v>
      </c>
      <c r="G1280" t="s">
        <v>623</v>
      </c>
      <c r="H1280" s="1">
        <v>46061.707187499997</v>
      </c>
      <c r="I1280" t="s">
        <v>635</v>
      </c>
      <c r="J1280">
        <v>2.65</v>
      </c>
      <c r="K1280">
        <v>0</v>
      </c>
    </row>
    <row r="1281" spans="1:11" x14ac:dyDescent="0.3">
      <c r="A1281">
        <v>1280</v>
      </c>
      <c r="B1281">
        <v>65</v>
      </c>
      <c r="C1281">
        <v>4</v>
      </c>
      <c r="D1281">
        <v>1172</v>
      </c>
      <c r="E1281" t="s">
        <v>651</v>
      </c>
      <c r="F1281">
        <v>1.76</v>
      </c>
      <c r="G1281" t="s">
        <v>623</v>
      </c>
      <c r="H1281" s="1">
        <v>46061.796493055554</v>
      </c>
      <c r="I1281" t="s">
        <v>635</v>
      </c>
      <c r="J1281">
        <v>1.76</v>
      </c>
      <c r="K1281">
        <v>0</v>
      </c>
    </row>
    <row r="1282" spans="1:11" x14ac:dyDescent="0.3">
      <c r="A1282">
        <v>1281</v>
      </c>
      <c r="B1282">
        <v>25</v>
      </c>
      <c r="C1282">
        <v>2</v>
      </c>
      <c r="D1282">
        <v>1173</v>
      </c>
      <c r="E1282" t="s">
        <v>651</v>
      </c>
      <c r="F1282">
        <v>5.83</v>
      </c>
      <c r="G1282" t="s">
        <v>623</v>
      </c>
      <c r="H1282" s="1">
        <v>46062.54247685185</v>
      </c>
      <c r="I1282" t="s">
        <v>635</v>
      </c>
      <c r="J1282">
        <v>5.83</v>
      </c>
      <c r="K1282">
        <v>0</v>
      </c>
    </row>
    <row r="1283" spans="1:11" x14ac:dyDescent="0.3">
      <c r="A1283">
        <v>1282</v>
      </c>
      <c r="B1283">
        <v>232</v>
      </c>
      <c r="C1283">
        <v>2</v>
      </c>
      <c r="D1283">
        <v>1174</v>
      </c>
      <c r="E1283" t="s">
        <v>651</v>
      </c>
      <c r="F1283">
        <v>3.03</v>
      </c>
      <c r="G1283" t="s">
        <v>623</v>
      </c>
      <c r="H1283" s="1">
        <v>46062.590324074074</v>
      </c>
      <c r="I1283" t="s">
        <v>635</v>
      </c>
      <c r="J1283">
        <v>3.03</v>
      </c>
      <c r="K1283">
        <v>0</v>
      </c>
    </row>
    <row r="1284" spans="1:11" x14ac:dyDescent="0.3">
      <c r="A1284">
        <v>1283</v>
      </c>
      <c r="B1284">
        <v>44</v>
      </c>
      <c r="C1284">
        <v>2</v>
      </c>
      <c r="D1284">
        <v>1175</v>
      </c>
      <c r="E1284" t="s">
        <v>651</v>
      </c>
      <c r="F1284">
        <v>3.86</v>
      </c>
      <c r="G1284" t="s">
        <v>623</v>
      </c>
      <c r="H1284" s="1">
        <v>46062.626319444447</v>
      </c>
      <c r="I1284" t="s">
        <v>635</v>
      </c>
      <c r="J1284">
        <v>3.86</v>
      </c>
      <c r="K1284">
        <v>0</v>
      </c>
    </row>
    <row r="1285" spans="1:11" x14ac:dyDescent="0.3">
      <c r="A1285">
        <v>1284</v>
      </c>
      <c r="B1285">
        <v>106</v>
      </c>
      <c r="C1285">
        <v>2</v>
      </c>
      <c r="D1285">
        <v>1176</v>
      </c>
      <c r="E1285" t="s">
        <v>651</v>
      </c>
      <c r="F1285">
        <v>13.08</v>
      </c>
      <c r="G1285" t="s">
        <v>623</v>
      </c>
      <c r="H1285" s="1">
        <v>46062.649930555555</v>
      </c>
      <c r="I1285" t="s">
        <v>635</v>
      </c>
      <c r="J1285">
        <v>13.08</v>
      </c>
      <c r="K1285">
        <v>0</v>
      </c>
    </row>
    <row r="1286" spans="1:11" x14ac:dyDescent="0.3">
      <c r="A1286">
        <v>1285</v>
      </c>
      <c r="B1286">
        <v>69</v>
      </c>
      <c r="C1286">
        <v>3</v>
      </c>
      <c r="D1286">
        <v>1177</v>
      </c>
      <c r="E1286" t="s">
        <v>651</v>
      </c>
      <c r="F1286">
        <v>3.04</v>
      </c>
      <c r="G1286" t="s">
        <v>623</v>
      </c>
      <c r="H1286" s="1">
        <v>46062.707511574074</v>
      </c>
      <c r="I1286" t="s">
        <v>635</v>
      </c>
      <c r="J1286">
        <v>3.04</v>
      </c>
      <c r="K1286">
        <v>0</v>
      </c>
    </row>
    <row r="1287" spans="1:11" x14ac:dyDescent="0.3">
      <c r="A1287">
        <v>1286</v>
      </c>
      <c r="B1287">
        <v>192</v>
      </c>
      <c r="C1287">
        <v>4</v>
      </c>
      <c r="D1287">
        <v>1178</v>
      </c>
      <c r="E1287" t="s">
        <v>651</v>
      </c>
      <c r="F1287">
        <v>4.0599999999999996</v>
      </c>
      <c r="G1287" t="s">
        <v>623</v>
      </c>
      <c r="H1287" s="1">
        <v>46062.71435185185</v>
      </c>
      <c r="I1287" t="s">
        <v>635</v>
      </c>
      <c r="J1287">
        <v>4.0599999999999996</v>
      </c>
      <c r="K1287">
        <v>0</v>
      </c>
    </row>
    <row r="1288" spans="1:11" x14ac:dyDescent="0.3">
      <c r="A1288">
        <v>1287</v>
      </c>
      <c r="B1288">
        <v>62</v>
      </c>
      <c r="C1288">
        <v>4</v>
      </c>
      <c r="D1288">
        <v>1179</v>
      </c>
      <c r="E1288" t="s">
        <v>651</v>
      </c>
      <c r="F1288">
        <v>3.62</v>
      </c>
      <c r="G1288" t="s">
        <v>623</v>
      </c>
      <c r="H1288" s="1">
        <v>46062.822534722225</v>
      </c>
      <c r="I1288" t="s">
        <v>635</v>
      </c>
      <c r="J1288">
        <v>3.62</v>
      </c>
      <c r="K1288">
        <v>0</v>
      </c>
    </row>
    <row r="1289" spans="1:11" x14ac:dyDescent="0.3">
      <c r="A1289">
        <v>1288</v>
      </c>
      <c r="B1289">
        <v>18</v>
      </c>
      <c r="C1289">
        <v>5</v>
      </c>
      <c r="D1289">
        <v>1180</v>
      </c>
      <c r="E1289" t="s">
        <v>651</v>
      </c>
      <c r="F1289">
        <v>6.38</v>
      </c>
      <c r="G1289" t="s">
        <v>623</v>
      </c>
      <c r="H1289" s="1">
        <v>46062.832685185182</v>
      </c>
      <c r="I1289" t="s">
        <v>635</v>
      </c>
      <c r="J1289">
        <v>6.38</v>
      </c>
      <c r="K1289">
        <v>0</v>
      </c>
    </row>
    <row r="1290" spans="1:11" x14ac:dyDescent="0.3">
      <c r="A1290">
        <v>1289</v>
      </c>
      <c r="B1290">
        <v>21</v>
      </c>
      <c r="C1290">
        <v>2</v>
      </c>
      <c r="D1290">
        <v>1181</v>
      </c>
      <c r="E1290" t="s">
        <v>651</v>
      </c>
      <c r="F1290">
        <v>2.2599999999999998</v>
      </c>
      <c r="G1290" t="s">
        <v>623</v>
      </c>
      <c r="H1290" s="1">
        <v>46063.379791666666</v>
      </c>
      <c r="I1290" t="s">
        <v>635</v>
      </c>
      <c r="J1290">
        <v>2.2599999999999998</v>
      </c>
      <c r="K1290">
        <v>0</v>
      </c>
    </row>
    <row r="1291" spans="1:11" x14ac:dyDescent="0.3">
      <c r="A1291">
        <v>1290</v>
      </c>
      <c r="B1291">
        <v>28</v>
      </c>
      <c r="C1291">
        <v>3</v>
      </c>
      <c r="D1291">
        <v>1182</v>
      </c>
      <c r="E1291" t="s">
        <v>651</v>
      </c>
      <c r="F1291">
        <v>2.0499999999999998</v>
      </c>
      <c r="G1291" t="s">
        <v>623</v>
      </c>
      <c r="H1291" s="1">
        <v>46063.606400462966</v>
      </c>
      <c r="I1291" t="s">
        <v>635</v>
      </c>
      <c r="J1291">
        <v>2.0499999999999998</v>
      </c>
      <c r="K1291">
        <v>0</v>
      </c>
    </row>
    <row r="1292" spans="1:11" x14ac:dyDescent="0.3">
      <c r="A1292">
        <v>1291</v>
      </c>
      <c r="B1292">
        <v>221</v>
      </c>
      <c r="C1292">
        <v>2</v>
      </c>
      <c r="D1292">
        <v>1183</v>
      </c>
      <c r="E1292" t="s">
        <v>651</v>
      </c>
      <c r="F1292">
        <v>19.64</v>
      </c>
      <c r="G1292" t="s">
        <v>623</v>
      </c>
      <c r="H1292" s="1">
        <v>46063.607569444444</v>
      </c>
      <c r="I1292" t="s">
        <v>635</v>
      </c>
      <c r="J1292">
        <v>19.64</v>
      </c>
      <c r="K1292">
        <v>0</v>
      </c>
    </row>
    <row r="1293" spans="1:11" x14ac:dyDescent="0.3">
      <c r="A1293">
        <v>1292</v>
      </c>
      <c r="B1293">
        <v>201</v>
      </c>
      <c r="C1293">
        <v>4</v>
      </c>
      <c r="D1293">
        <v>1184</v>
      </c>
      <c r="E1293" t="s">
        <v>651</v>
      </c>
      <c r="F1293">
        <v>7.76</v>
      </c>
      <c r="G1293" t="s">
        <v>623</v>
      </c>
      <c r="H1293" s="1">
        <v>46063.620995370373</v>
      </c>
      <c r="I1293" t="s">
        <v>635</v>
      </c>
      <c r="J1293">
        <v>7.76</v>
      </c>
      <c r="K1293">
        <v>0</v>
      </c>
    </row>
    <row r="1294" spans="1:11" x14ac:dyDescent="0.3">
      <c r="A1294">
        <v>1293</v>
      </c>
      <c r="B1294">
        <v>62</v>
      </c>
      <c r="C1294">
        <v>2</v>
      </c>
      <c r="D1294">
        <v>1185</v>
      </c>
      <c r="E1294" t="s">
        <v>651</v>
      </c>
      <c r="F1294">
        <v>2.52</v>
      </c>
      <c r="G1294" t="s">
        <v>623</v>
      </c>
      <c r="H1294" s="1">
        <v>46063.647939814815</v>
      </c>
      <c r="I1294" t="s">
        <v>635</v>
      </c>
      <c r="J1294">
        <v>2.52</v>
      </c>
      <c r="K1294">
        <v>0</v>
      </c>
    </row>
    <row r="1295" spans="1:11" x14ac:dyDescent="0.3">
      <c r="A1295">
        <v>1294</v>
      </c>
      <c r="B1295">
        <v>244</v>
      </c>
      <c r="C1295">
        <v>3</v>
      </c>
      <c r="D1295">
        <v>1186</v>
      </c>
      <c r="E1295" t="s">
        <v>651</v>
      </c>
      <c r="F1295">
        <v>14.82</v>
      </c>
      <c r="G1295" t="s">
        <v>623</v>
      </c>
      <c r="H1295" s="1">
        <v>46063.655069444445</v>
      </c>
      <c r="I1295" t="s">
        <v>635</v>
      </c>
      <c r="J1295">
        <v>14.82</v>
      </c>
      <c r="K1295">
        <v>0</v>
      </c>
    </row>
    <row r="1296" spans="1:11" x14ac:dyDescent="0.3">
      <c r="A1296">
        <v>1295</v>
      </c>
      <c r="B1296">
        <v>227</v>
      </c>
      <c r="C1296">
        <v>3</v>
      </c>
      <c r="D1296">
        <v>1187</v>
      </c>
      <c r="E1296" t="s">
        <v>651</v>
      </c>
      <c r="F1296">
        <v>2.61</v>
      </c>
      <c r="G1296" t="s">
        <v>623</v>
      </c>
      <c r="H1296" s="1">
        <v>46063.687106481484</v>
      </c>
      <c r="I1296" t="s">
        <v>635</v>
      </c>
      <c r="J1296">
        <v>2.61</v>
      </c>
      <c r="K1296">
        <v>0</v>
      </c>
    </row>
    <row r="1297" spans="1:11" x14ac:dyDescent="0.3">
      <c r="A1297">
        <v>1296</v>
      </c>
      <c r="B1297">
        <v>126</v>
      </c>
      <c r="C1297">
        <v>2</v>
      </c>
      <c r="D1297">
        <v>1188</v>
      </c>
      <c r="E1297" t="s">
        <v>651</v>
      </c>
      <c r="F1297">
        <v>5.86</v>
      </c>
      <c r="G1297" t="s">
        <v>623</v>
      </c>
      <c r="H1297" s="1">
        <v>46063.760914351849</v>
      </c>
      <c r="I1297" t="s">
        <v>635</v>
      </c>
      <c r="J1297">
        <v>5.86</v>
      </c>
      <c r="K1297">
        <v>0</v>
      </c>
    </row>
    <row r="1298" spans="1:11" x14ac:dyDescent="0.3">
      <c r="A1298">
        <v>1297</v>
      </c>
      <c r="B1298">
        <v>62</v>
      </c>
      <c r="C1298">
        <v>2</v>
      </c>
      <c r="D1298">
        <v>1179</v>
      </c>
      <c r="E1298" t="s">
        <v>649</v>
      </c>
      <c r="F1298">
        <v>-3.62</v>
      </c>
      <c r="G1298" t="s">
        <v>705</v>
      </c>
      <c r="H1298" s="1">
        <v>46063.989201388889</v>
      </c>
      <c r="I1298" t="s">
        <v>635</v>
      </c>
      <c r="J1298">
        <v>0</v>
      </c>
      <c r="K1298">
        <v>0</v>
      </c>
    </row>
    <row r="1299" spans="1:11" x14ac:dyDescent="0.3">
      <c r="A1299">
        <v>1298</v>
      </c>
      <c r="B1299">
        <v>227</v>
      </c>
      <c r="C1299">
        <v>4</v>
      </c>
      <c r="D1299">
        <v>1187</v>
      </c>
      <c r="E1299" t="s">
        <v>649</v>
      </c>
      <c r="F1299">
        <v>-2.61</v>
      </c>
      <c r="G1299" t="s">
        <v>706</v>
      </c>
      <c r="H1299" s="1">
        <v>46064.228773148148</v>
      </c>
      <c r="I1299" t="s">
        <v>635</v>
      </c>
      <c r="J1299">
        <v>0</v>
      </c>
      <c r="K1299">
        <v>0</v>
      </c>
    </row>
    <row r="1300" spans="1:11" x14ac:dyDescent="0.3">
      <c r="A1300">
        <v>1299</v>
      </c>
      <c r="B1300">
        <v>21</v>
      </c>
      <c r="C1300">
        <v>2</v>
      </c>
      <c r="D1300">
        <v>1181</v>
      </c>
      <c r="E1300" t="s">
        <v>649</v>
      </c>
      <c r="F1300">
        <v>-2.2599999999999998</v>
      </c>
      <c r="G1300" t="s">
        <v>707</v>
      </c>
      <c r="H1300" s="1">
        <v>46064.254791666666</v>
      </c>
      <c r="I1300" t="s">
        <v>635</v>
      </c>
      <c r="J1300">
        <v>0</v>
      </c>
      <c r="K1300">
        <v>0</v>
      </c>
    </row>
    <row r="1301" spans="1:11" x14ac:dyDescent="0.3">
      <c r="A1301">
        <v>1300</v>
      </c>
      <c r="B1301">
        <v>12</v>
      </c>
      <c r="C1301">
        <v>4</v>
      </c>
      <c r="D1301">
        <v>1189</v>
      </c>
      <c r="E1301" t="s">
        <v>651</v>
      </c>
      <c r="F1301">
        <v>3.11</v>
      </c>
      <c r="G1301" t="s">
        <v>623</v>
      </c>
      <c r="H1301" s="1">
        <v>46064.348055555558</v>
      </c>
      <c r="I1301" t="s">
        <v>635</v>
      </c>
      <c r="J1301">
        <v>3.11</v>
      </c>
      <c r="K1301">
        <v>0</v>
      </c>
    </row>
    <row r="1302" spans="1:11" x14ac:dyDescent="0.3">
      <c r="A1302">
        <v>1301</v>
      </c>
      <c r="B1302">
        <v>94</v>
      </c>
      <c r="C1302">
        <v>2</v>
      </c>
      <c r="D1302">
        <v>1190</v>
      </c>
      <c r="E1302" t="s">
        <v>651</v>
      </c>
      <c r="F1302">
        <v>19.899999999999999</v>
      </c>
      <c r="G1302" t="s">
        <v>623</v>
      </c>
      <c r="H1302" s="1">
        <v>46064.348576388889</v>
      </c>
      <c r="I1302" t="s">
        <v>635</v>
      </c>
      <c r="J1302">
        <v>19.899999999999999</v>
      </c>
      <c r="K1302">
        <v>0</v>
      </c>
    </row>
    <row r="1303" spans="1:11" x14ac:dyDescent="0.3">
      <c r="A1303">
        <v>1302</v>
      </c>
      <c r="B1303">
        <v>157</v>
      </c>
      <c r="C1303">
        <v>3</v>
      </c>
      <c r="D1303">
        <v>1191</v>
      </c>
      <c r="E1303" t="s">
        <v>651</v>
      </c>
      <c r="F1303">
        <v>5.97</v>
      </c>
      <c r="G1303" t="s">
        <v>623</v>
      </c>
      <c r="H1303" s="1">
        <v>46064.366666666669</v>
      </c>
      <c r="I1303" t="s">
        <v>635</v>
      </c>
      <c r="J1303">
        <v>5.97</v>
      </c>
      <c r="K1303">
        <v>0</v>
      </c>
    </row>
    <row r="1304" spans="1:11" x14ac:dyDescent="0.3">
      <c r="A1304">
        <v>1303</v>
      </c>
      <c r="B1304">
        <v>106</v>
      </c>
      <c r="C1304">
        <v>4</v>
      </c>
      <c r="D1304">
        <v>1192</v>
      </c>
      <c r="E1304" t="s">
        <v>651</v>
      </c>
      <c r="F1304">
        <v>13.56</v>
      </c>
      <c r="G1304" t="s">
        <v>623</v>
      </c>
      <c r="H1304" s="1">
        <v>46064.398553240739</v>
      </c>
      <c r="I1304" t="s">
        <v>635</v>
      </c>
      <c r="J1304">
        <v>13.56</v>
      </c>
      <c r="K1304">
        <v>0</v>
      </c>
    </row>
    <row r="1305" spans="1:11" x14ac:dyDescent="0.3">
      <c r="A1305">
        <v>1304</v>
      </c>
      <c r="B1305">
        <v>7</v>
      </c>
      <c r="C1305">
        <v>4</v>
      </c>
      <c r="D1305">
        <v>1193</v>
      </c>
      <c r="E1305" t="s">
        <v>651</v>
      </c>
      <c r="F1305">
        <v>5.65</v>
      </c>
      <c r="G1305" t="s">
        <v>623</v>
      </c>
      <c r="H1305" s="1">
        <v>46064.419189814813</v>
      </c>
      <c r="I1305" t="s">
        <v>635</v>
      </c>
      <c r="J1305">
        <v>5.65</v>
      </c>
      <c r="K1305">
        <v>0</v>
      </c>
    </row>
    <row r="1306" spans="1:11" x14ac:dyDescent="0.3">
      <c r="A1306">
        <v>1305</v>
      </c>
      <c r="B1306">
        <v>96</v>
      </c>
      <c r="C1306">
        <v>3</v>
      </c>
      <c r="D1306">
        <v>1194</v>
      </c>
      <c r="E1306" t="s">
        <v>651</v>
      </c>
      <c r="F1306">
        <v>29.55</v>
      </c>
      <c r="G1306" t="s">
        <v>623</v>
      </c>
      <c r="H1306" s="1">
        <v>46064.431041666663</v>
      </c>
      <c r="I1306" t="s">
        <v>635</v>
      </c>
      <c r="J1306">
        <v>29.55</v>
      </c>
      <c r="K1306">
        <v>0</v>
      </c>
    </row>
    <row r="1307" spans="1:11" x14ac:dyDescent="0.3">
      <c r="A1307">
        <v>1306</v>
      </c>
      <c r="B1307">
        <v>196</v>
      </c>
      <c r="C1307">
        <v>5</v>
      </c>
      <c r="D1307">
        <v>1195</v>
      </c>
      <c r="E1307" t="s">
        <v>651</v>
      </c>
      <c r="F1307">
        <v>5.12</v>
      </c>
      <c r="G1307" t="s">
        <v>623</v>
      </c>
      <c r="H1307" s="1">
        <v>46064.434467592589</v>
      </c>
      <c r="I1307" t="s">
        <v>635</v>
      </c>
      <c r="J1307">
        <v>5.12</v>
      </c>
      <c r="K1307">
        <v>0</v>
      </c>
    </row>
    <row r="1308" spans="1:11" x14ac:dyDescent="0.3">
      <c r="A1308">
        <v>1307</v>
      </c>
      <c r="B1308">
        <v>60</v>
      </c>
      <c r="C1308">
        <v>5</v>
      </c>
      <c r="D1308">
        <v>1196</v>
      </c>
      <c r="E1308" t="s">
        <v>651</v>
      </c>
      <c r="F1308">
        <v>13.91</v>
      </c>
      <c r="G1308" t="s">
        <v>623</v>
      </c>
      <c r="H1308" s="1">
        <v>46064.53528935185</v>
      </c>
      <c r="I1308" t="s">
        <v>635</v>
      </c>
      <c r="J1308">
        <v>13.91</v>
      </c>
      <c r="K1308">
        <v>0</v>
      </c>
    </row>
    <row r="1309" spans="1:11" x14ac:dyDescent="0.3">
      <c r="A1309">
        <v>1308</v>
      </c>
      <c r="B1309">
        <v>156</v>
      </c>
      <c r="C1309">
        <v>3</v>
      </c>
      <c r="D1309">
        <v>1197</v>
      </c>
      <c r="E1309" t="s">
        <v>651</v>
      </c>
      <c r="F1309">
        <v>3.65</v>
      </c>
      <c r="G1309" t="s">
        <v>623</v>
      </c>
      <c r="H1309" s="1">
        <v>46064.633032407408</v>
      </c>
      <c r="I1309" t="s">
        <v>635</v>
      </c>
      <c r="J1309">
        <v>3.65</v>
      </c>
      <c r="K1309">
        <v>0</v>
      </c>
    </row>
    <row r="1310" spans="1:11" x14ac:dyDescent="0.3">
      <c r="A1310">
        <v>1309</v>
      </c>
      <c r="B1310">
        <v>293</v>
      </c>
      <c r="C1310">
        <v>2</v>
      </c>
      <c r="D1310">
        <v>1198</v>
      </c>
      <c r="E1310" t="s">
        <v>651</v>
      </c>
      <c r="F1310">
        <v>3.55</v>
      </c>
      <c r="G1310" t="s">
        <v>623</v>
      </c>
      <c r="H1310" s="1">
        <v>46064.768043981479</v>
      </c>
      <c r="I1310" t="s">
        <v>635</v>
      </c>
      <c r="J1310">
        <v>3.55</v>
      </c>
      <c r="K1310">
        <v>0</v>
      </c>
    </row>
    <row r="1311" spans="1:11" x14ac:dyDescent="0.3">
      <c r="A1311">
        <v>1310</v>
      </c>
      <c r="B1311">
        <v>39</v>
      </c>
      <c r="C1311">
        <v>3</v>
      </c>
      <c r="D1311">
        <v>1199</v>
      </c>
      <c r="E1311" t="s">
        <v>651</v>
      </c>
      <c r="F1311">
        <v>15.58</v>
      </c>
      <c r="G1311" t="s">
        <v>623</v>
      </c>
      <c r="H1311" s="1">
        <v>46064.787627314814</v>
      </c>
      <c r="I1311" t="s">
        <v>635</v>
      </c>
      <c r="J1311">
        <v>15.58</v>
      </c>
      <c r="K1311">
        <v>0</v>
      </c>
    </row>
    <row r="1312" spans="1:11" x14ac:dyDescent="0.3">
      <c r="A1312">
        <v>1311</v>
      </c>
      <c r="B1312">
        <v>117</v>
      </c>
      <c r="C1312">
        <v>4</v>
      </c>
      <c r="D1312">
        <v>1200</v>
      </c>
      <c r="E1312" t="s">
        <v>651</v>
      </c>
      <c r="F1312">
        <v>9.69</v>
      </c>
      <c r="G1312" t="s">
        <v>623</v>
      </c>
      <c r="H1312" s="1">
        <v>46065.349236111113</v>
      </c>
      <c r="I1312" t="s">
        <v>635</v>
      </c>
      <c r="J1312">
        <v>9.69</v>
      </c>
      <c r="K1312">
        <v>0</v>
      </c>
    </row>
    <row r="1313" spans="1:11" x14ac:dyDescent="0.3">
      <c r="A1313">
        <v>1312</v>
      </c>
      <c r="B1313">
        <v>154</v>
      </c>
      <c r="C1313">
        <v>5</v>
      </c>
      <c r="D1313">
        <v>1201</v>
      </c>
      <c r="E1313" t="s">
        <v>651</v>
      </c>
      <c r="F1313">
        <v>4.2</v>
      </c>
      <c r="G1313" t="s">
        <v>623</v>
      </c>
      <c r="H1313" s="1">
        <v>46065.361307870371</v>
      </c>
      <c r="I1313" t="s">
        <v>635</v>
      </c>
      <c r="J1313">
        <v>4.2</v>
      </c>
      <c r="K1313">
        <v>0</v>
      </c>
    </row>
    <row r="1314" spans="1:11" x14ac:dyDescent="0.3">
      <c r="A1314">
        <v>1313</v>
      </c>
      <c r="B1314">
        <v>241</v>
      </c>
      <c r="C1314">
        <v>5</v>
      </c>
      <c r="D1314">
        <v>1202</v>
      </c>
      <c r="E1314" t="s">
        <v>651</v>
      </c>
      <c r="F1314">
        <v>1.63</v>
      </c>
      <c r="G1314" t="s">
        <v>623</v>
      </c>
      <c r="H1314" s="1">
        <v>46065.395937499998</v>
      </c>
      <c r="I1314" t="s">
        <v>635</v>
      </c>
      <c r="J1314">
        <v>1.63</v>
      </c>
      <c r="K1314">
        <v>0</v>
      </c>
    </row>
    <row r="1315" spans="1:11" x14ac:dyDescent="0.3">
      <c r="A1315">
        <v>1314</v>
      </c>
      <c r="B1315">
        <v>241</v>
      </c>
      <c r="C1315">
        <v>5</v>
      </c>
      <c r="D1315">
        <v>1203</v>
      </c>
      <c r="E1315" t="s">
        <v>651</v>
      </c>
      <c r="F1315">
        <v>3.86</v>
      </c>
      <c r="G1315" t="s">
        <v>623</v>
      </c>
      <c r="H1315" s="1">
        <v>46065.421296296299</v>
      </c>
      <c r="I1315" t="s">
        <v>635</v>
      </c>
      <c r="J1315">
        <v>3.86</v>
      </c>
      <c r="K1315">
        <v>0</v>
      </c>
    </row>
    <row r="1316" spans="1:11" x14ac:dyDescent="0.3">
      <c r="A1316">
        <v>1315</v>
      </c>
      <c r="B1316">
        <v>57</v>
      </c>
      <c r="C1316">
        <v>5</v>
      </c>
      <c r="D1316">
        <v>1204</v>
      </c>
      <c r="E1316" t="s">
        <v>651</v>
      </c>
      <c r="F1316">
        <v>7.57</v>
      </c>
      <c r="G1316" t="s">
        <v>623</v>
      </c>
      <c r="H1316" s="1">
        <v>46065.454571759263</v>
      </c>
      <c r="I1316" t="s">
        <v>635</v>
      </c>
      <c r="J1316">
        <v>7.57</v>
      </c>
      <c r="K1316">
        <v>0</v>
      </c>
    </row>
    <row r="1317" spans="1:11" x14ac:dyDescent="0.3">
      <c r="A1317">
        <v>1316</v>
      </c>
      <c r="B1317">
        <v>135</v>
      </c>
      <c r="C1317">
        <v>5</v>
      </c>
      <c r="D1317">
        <v>1205</v>
      </c>
      <c r="E1317" t="s">
        <v>651</v>
      </c>
      <c r="F1317">
        <v>14.06</v>
      </c>
      <c r="G1317" t="s">
        <v>623</v>
      </c>
      <c r="H1317" s="1">
        <v>46065.526828703703</v>
      </c>
      <c r="I1317" t="s">
        <v>635</v>
      </c>
      <c r="J1317">
        <v>14.06</v>
      </c>
      <c r="K1317">
        <v>0</v>
      </c>
    </row>
    <row r="1318" spans="1:11" x14ac:dyDescent="0.3">
      <c r="A1318">
        <v>1317</v>
      </c>
      <c r="B1318">
        <v>254</v>
      </c>
      <c r="C1318">
        <v>4</v>
      </c>
      <c r="D1318">
        <v>1206</v>
      </c>
      <c r="E1318" t="s">
        <v>651</v>
      </c>
      <c r="F1318">
        <v>16.79</v>
      </c>
      <c r="G1318" t="s">
        <v>623</v>
      </c>
      <c r="H1318" s="1">
        <v>46065.549444444441</v>
      </c>
      <c r="I1318" t="s">
        <v>635</v>
      </c>
      <c r="J1318">
        <v>16.79</v>
      </c>
      <c r="K1318">
        <v>0</v>
      </c>
    </row>
    <row r="1319" spans="1:11" x14ac:dyDescent="0.3">
      <c r="A1319">
        <v>1318</v>
      </c>
      <c r="B1319">
        <v>65</v>
      </c>
      <c r="C1319">
        <v>2</v>
      </c>
      <c r="D1319">
        <v>1207</v>
      </c>
      <c r="E1319" t="s">
        <v>651</v>
      </c>
      <c r="F1319">
        <v>6.81</v>
      </c>
      <c r="G1319" t="s">
        <v>623</v>
      </c>
      <c r="H1319" s="1">
        <v>46065.617789351854</v>
      </c>
      <c r="I1319" t="s">
        <v>635</v>
      </c>
      <c r="J1319">
        <v>6.81</v>
      </c>
      <c r="K1319">
        <v>0</v>
      </c>
    </row>
    <row r="1320" spans="1:11" x14ac:dyDescent="0.3">
      <c r="A1320">
        <v>1319</v>
      </c>
      <c r="B1320">
        <v>268</v>
      </c>
      <c r="C1320">
        <v>2</v>
      </c>
      <c r="D1320">
        <v>1208</v>
      </c>
      <c r="E1320" t="s">
        <v>651</v>
      </c>
      <c r="F1320">
        <v>2.29</v>
      </c>
      <c r="G1320" t="s">
        <v>623</v>
      </c>
      <c r="H1320" s="1">
        <v>46065.629710648151</v>
      </c>
      <c r="I1320" t="s">
        <v>635</v>
      </c>
      <c r="J1320">
        <v>2.29</v>
      </c>
      <c r="K1320">
        <v>0</v>
      </c>
    </row>
    <row r="1321" spans="1:11" x14ac:dyDescent="0.3">
      <c r="A1321">
        <v>1320</v>
      </c>
      <c r="B1321">
        <v>137</v>
      </c>
      <c r="C1321">
        <v>5</v>
      </c>
      <c r="D1321">
        <v>1209</v>
      </c>
      <c r="E1321" t="s">
        <v>651</v>
      </c>
      <c r="F1321">
        <v>2.37</v>
      </c>
      <c r="G1321" t="s">
        <v>623</v>
      </c>
      <c r="H1321" s="1">
        <v>46065.642523148148</v>
      </c>
      <c r="I1321" t="s">
        <v>635</v>
      </c>
      <c r="J1321">
        <v>2.37</v>
      </c>
      <c r="K1321">
        <v>0</v>
      </c>
    </row>
    <row r="1322" spans="1:11" x14ac:dyDescent="0.3">
      <c r="A1322">
        <v>1321</v>
      </c>
      <c r="B1322">
        <v>109</v>
      </c>
      <c r="C1322">
        <v>2</v>
      </c>
      <c r="D1322">
        <v>1210</v>
      </c>
      <c r="E1322" t="s">
        <v>651</v>
      </c>
      <c r="F1322">
        <v>21.66</v>
      </c>
      <c r="G1322" t="s">
        <v>623</v>
      </c>
      <c r="H1322" s="1">
        <v>46065.644456018519</v>
      </c>
      <c r="I1322" t="s">
        <v>635</v>
      </c>
      <c r="J1322">
        <v>21.66</v>
      </c>
      <c r="K1322">
        <v>0</v>
      </c>
    </row>
    <row r="1323" spans="1:11" x14ac:dyDescent="0.3">
      <c r="A1323">
        <v>1322</v>
      </c>
      <c r="B1323">
        <v>211</v>
      </c>
      <c r="C1323">
        <v>2</v>
      </c>
      <c r="D1323">
        <v>1211</v>
      </c>
      <c r="E1323" t="s">
        <v>651</v>
      </c>
      <c r="F1323">
        <v>14.76</v>
      </c>
      <c r="G1323" t="s">
        <v>623</v>
      </c>
      <c r="H1323" s="1">
        <v>46065.654409722221</v>
      </c>
      <c r="I1323" t="s">
        <v>635</v>
      </c>
      <c r="J1323">
        <v>14.76</v>
      </c>
      <c r="K1323">
        <v>0</v>
      </c>
    </row>
    <row r="1324" spans="1:11" x14ac:dyDescent="0.3">
      <c r="A1324">
        <v>1323</v>
      </c>
      <c r="B1324">
        <v>244</v>
      </c>
      <c r="C1324">
        <v>2</v>
      </c>
      <c r="D1324">
        <v>1212</v>
      </c>
      <c r="E1324" t="s">
        <v>651</v>
      </c>
      <c r="F1324">
        <v>10.65</v>
      </c>
      <c r="G1324" t="s">
        <v>623</v>
      </c>
      <c r="H1324" s="1">
        <v>46065.734560185185</v>
      </c>
      <c r="I1324" t="s">
        <v>635</v>
      </c>
      <c r="J1324">
        <v>10.65</v>
      </c>
      <c r="K1324">
        <v>0</v>
      </c>
    </row>
    <row r="1325" spans="1:11" x14ac:dyDescent="0.3">
      <c r="A1325">
        <v>1324</v>
      </c>
      <c r="B1325">
        <v>241</v>
      </c>
      <c r="C1325">
        <v>3</v>
      </c>
      <c r="D1325">
        <v>1202</v>
      </c>
      <c r="E1325" t="s">
        <v>649</v>
      </c>
      <c r="F1325">
        <v>-1.63</v>
      </c>
      <c r="G1325" t="s">
        <v>708</v>
      </c>
      <c r="H1325" s="1">
        <v>46065.812604166669</v>
      </c>
      <c r="I1325" t="s">
        <v>635</v>
      </c>
      <c r="J1325">
        <v>0</v>
      </c>
      <c r="K1325">
        <v>0</v>
      </c>
    </row>
    <row r="1326" spans="1:11" x14ac:dyDescent="0.3">
      <c r="A1326">
        <v>1325</v>
      </c>
      <c r="B1326">
        <v>19</v>
      </c>
      <c r="C1326">
        <v>5</v>
      </c>
      <c r="D1326">
        <v>1213</v>
      </c>
      <c r="E1326" t="s">
        <v>651</v>
      </c>
      <c r="F1326">
        <v>2.44</v>
      </c>
      <c r="G1326" t="s">
        <v>623</v>
      </c>
      <c r="H1326" s="1">
        <v>46066.348287037035</v>
      </c>
      <c r="I1326" t="s">
        <v>635</v>
      </c>
      <c r="J1326">
        <v>2.44</v>
      </c>
      <c r="K1326">
        <v>0</v>
      </c>
    </row>
    <row r="1327" spans="1:11" x14ac:dyDescent="0.3">
      <c r="A1327">
        <v>1326</v>
      </c>
      <c r="B1327">
        <v>156</v>
      </c>
      <c r="C1327">
        <v>2</v>
      </c>
      <c r="D1327">
        <v>1214</v>
      </c>
      <c r="E1327" t="s">
        <v>651</v>
      </c>
      <c r="F1327">
        <v>1.56</v>
      </c>
      <c r="G1327" t="s">
        <v>623</v>
      </c>
      <c r="H1327" s="1">
        <v>46066.382395833331</v>
      </c>
      <c r="I1327" t="s">
        <v>635</v>
      </c>
      <c r="J1327">
        <v>1.56</v>
      </c>
      <c r="K1327">
        <v>0</v>
      </c>
    </row>
    <row r="1328" spans="1:11" x14ac:dyDescent="0.3">
      <c r="A1328">
        <v>1327</v>
      </c>
      <c r="B1328">
        <v>221</v>
      </c>
      <c r="C1328">
        <v>3</v>
      </c>
      <c r="D1328">
        <v>1215</v>
      </c>
      <c r="E1328" t="s">
        <v>651</v>
      </c>
      <c r="F1328">
        <v>15.16</v>
      </c>
      <c r="G1328" t="s">
        <v>623</v>
      </c>
      <c r="H1328" s="1">
        <v>46066.461701388886</v>
      </c>
      <c r="I1328" t="s">
        <v>635</v>
      </c>
      <c r="J1328">
        <v>15.16</v>
      </c>
      <c r="K1328">
        <v>0</v>
      </c>
    </row>
    <row r="1329" spans="1:11" x14ac:dyDescent="0.3">
      <c r="A1329">
        <v>1328</v>
      </c>
      <c r="B1329">
        <v>18</v>
      </c>
      <c r="C1329">
        <v>5</v>
      </c>
      <c r="D1329">
        <v>1216</v>
      </c>
      <c r="E1329" t="s">
        <v>651</v>
      </c>
      <c r="F1329">
        <v>11.93</v>
      </c>
      <c r="G1329" t="s">
        <v>623</v>
      </c>
      <c r="H1329" s="1">
        <v>46066.475937499999</v>
      </c>
      <c r="I1329" t="s">
        <v>635</v>
      </c>
      <c r="J1329">
        <v>11.93</v>
      </c>
      <c r="K1329">
        <v>0</v>
      </c>
    </row>
    <row r="1330" spans="1:11" x14ac:dyDescent="0.3">
      <c r="A1330">
        <v>1329</v>
      </c>
      <c r="B1330">
        <v>136</v>
      </c>
      <c r="C1330">
        <v>4</v>
      </c>
      <c r="D1330">
        <v>1217</v>
      </c>
      <c r="E1330" t="s">
        <v>651</v>
      </c>
      <c r="F1330">
        <v>4.87</v>
      </c>
      <c r="G1330" t="s">
        <v>623</v>
      </c>
      <c r="H1330" s="1">
        <v>46066.502696759257</v>
      </c>
      <c r="I1330" t="s">
        <v>635</v>
      </c>
      <c r="J1330">
        <v>4.87</v>
      </c>
      <c r="K1330">
        <v>0</v>
      </c>
    </row>
    <row r="1331" spans="1:11" x14ac:dyDescent="0.3">
      <c r="A1331">
        <v>1330</v>
      </c>
      <c r="B1331">
        <v>38</v>
      </c>
      <c r="C1331">
        <v>3</v>
      </c>
      <c r="D1331">
        <v>1218</v>
      </c>
      <c r="E1331" t="s">
        <v>651</v>
      </c>
      <c r="F1331">
        <v>2.56</v>
      </c>
      <c r="G1331" t="s">
        <v>623</v>
      </c>
      <c r="H1331" s="1">
        <v>46066.562037037038</v>
      </c>
      <c r="I1331" t="s">
        <v>635</v>
      </c>
      <c r="J1331">
        <v>2.56</v>
      </c>
      <c r="K1331">
        <v>0</v>
      </c>
    </row>
    <row r="1332" spans="1:11" x14ac:dyDescent="0.3">
      <c r="A1332">
        <v>1331</v>
      </c>
      <c r="B1332">
        <v>32</v>
      </c>
      <c r="C1332">
        <v>2</v>
      </c>
      <c r="D1332">
        <v>1219</v>
      </c>
      <c r="E1332" t="s">
        <v>651</v>
      </c>
      <c r="F1332">
        <v>6.61</v>
      </c>
      <c r="G1332" t="s">
        <v>623</v>
      </c>
      <c r="H1332" s="1">
        <v>46066.571585648147</v>
      </c>
      <c r="I1332" t="s">
        <v>635</v>
      </c>
      <c r="J1332">
        <v>6.61</v>
      </c>
      <c r="K1332">
        <v>0</v>
      </c>
    </row>
    <row r="1333" spans="1:11" x14ac:dyDescent="0.3">
      <c r="A1333">
        <v>1332</v>
      </c>
      <c r="B1333">
        <v>304</v>
      </c>
      <c r="C1333">
        <v>2</v>
      </c>
      <c r="D1333">
        <v>1220</v>
      </c>
      <c r="E1333" t="s">
        <v>651</v>
      </c>
      <c r="F1333">
        <v>4.79</v>
      </c>
      <c r="G1333" t="s">
        <v>623</v>
      </c>
      <c r="H1333" s="1">
        <v>46066.608090277776</v>
      </c>
      <c r="I1333" t="s">
        <v>635</v>
      </c>
      <c r="J1333">
        <v>4.79</v>
      </c>
      <c r="K1333">
        <v>0</v>
      </c>
    </row>
    <row r="1334" spans="1:11" x14ac:dyDescent="0.3">
      <c r="A1334">
        <v>1333</v>
      </c>
      <c r="B1334">
        <v>36</v>
      </c>
      <c r="C1334">
        <v>4</v>
      </c>
      <c r="D1334">
        <v>1221</v>
      </c>
      <c r="E1334" t="s">
        <v>651</v>
      </c>
      <c r="F1334">
        <v>17.420000000000002</v>
      </c>
      <c r="G1334" t="s">
        <v>623</v>
      </c>
      <c r="H1334" s="1">
        <v>46066.63921296296</v>
      </c>
      <c r="I1334" t="s">
        <v>635</v>
      </c>
      <c r="J1334">
        <v>17.420000000000002</v>
      </c>
      <c r="K1334">
        <v>0</v>
      </c>
    </row>
    <row r="1335" spans="1:11" x14ac:dyDescent="0.3">
      <c r="A1335">
        <v>1334</v>
      </c>
      <c r="B1335">
        <v>136</v>
      </c>
      <c r="C1335">
        <v>4</v>
      </c>
      <c r="D1335">
        <v>1222</v>
      </c>
      <c r="E1335" t="s">
        <v>657</v>
      </c>
      <c r="F1335">
        <v>110.04</v>
      </c>
      <c r="G1335" t="s">
        <v>623</v>
      </c>
      <c r="H1335" s="1">
        <v>46066.645949074074</v>
      </c>
      <c r="I1335" t="s">
        <v>635</v>
      </c>
      <c r="J1335">
        <v>0</v>
      </c>
      <c r="K1335">
        <v>110.04</v>
      </c>
    </row>
    <row r="1336" spans="1:11" x14ac:dyDescent="0.3">
      <c r="A1336">
        <v>1335</v>
      </c>
      <c r="B1336">
        <v>279</v>
      </c>
      <c r="C1336">
        <v>3</v>
      </c>
      <c r="D1336">
        <v>1223</v>
      </c>
      <c r="E1336" t="s">
        <v>651</v>
      </c>
      <c r="F1336">
        <v>29.35</v>
      </c>
      <c r="G1336" t="s">
        <v>623</v>
      </c>
      <c r="H1336" s="1">
        <v>46066.754791666666</v>
      </c>
      <c r="I1336" t="s">
        <v>635</v>
      </c>
      <c r="J1336">
        <v>29.35</v>
      </c>
      <c r="K1336">
        <v>0</v>
      </c>
    </row>
    <row r="1337" spans="1:11" x14ac:dyDescent="0.3">
      <c r="A1337">
        <v>1336</v>
      </c>
      <c r="B1337">
        <v>156</v>
      </c>
      <c r="C1337">
        <v>4</v>
      </c>
      <c r="D1337">
        <v>1224</v>
      </c>
      <c r="E1337" t="s">
        <v>651</v>
      </c>
      <c r="F1337">
        <v>3.9</v>
      </c>
      <c r="G1337" t="s">
        <v>623</v>
      </c>
      <c r="H1337" s="1">
        <v>46067.326990740738</v>
      </c>
      <c r="I1337" t="s">
        <v>635</v>
      </c>
      <c r="J1337">
        <v>3.9</v>
      </c>
      <c r="K1337">
        <v>0</v>
      </c>
    </row>
    <row r="1338" spans="1:11" x14ac:dyDescent="0.3">
      <c r="A1338">
        <v>1337</v>
      </c>
      <c r="B1338">
        <v>12</v>
      </c>
      <c r="C1338">
        <v>4</v>
      </c>
      <c r="D1338">
        <v>1225</v>
      </c>
      <c r="E1338" t="s">
        <v>651</v>
      </c>
      <c r="F1338">
        <v>3.41</v>
      </c>
      <c r="G1338" t="s">
        <v>623</v>
      </c>
      <c r="H1338" s="1">
        <v>46067.330543981479</v>
      </c>
      <c r="I1338" t="s">
        <v>635</v>
      </c>
      <c r="J1338">
        <v>3.41</v>
      </c>
      <c r="K1338">
        <v>0</v>
      </c>
    </row>
    <row r="1339" spans="1:11" x14ac:dyDescent="0.3">
      <c r="A1339">
        <v>1338</v>
      </c>
      <c r="B1339">
        <v>227</v>
      </c>
      <c r="C1339">
        <v>2</v>
      </c>
      <c r="D1339">
        <v>1226</v>
      </c>
      <c r="E1339" t="s">
        <v>651</v>
      </c>
      <c r="F1339">
        <v>4.26</v>
      </c>
      <c r="G1339" t="s">
        <v>623</v>
      </c>
      <c r="H1339" s="1">
        <v>46067.392094907409</v>
      </c>
      <c r="I1339" t="s">
        <v>635</v>
      </c>
      <c r="J1339">
        <v>4.26</v>
      </c>
      <c r="K1339">
        <v>0</v>
      </c>
    </row>
    <row r="1340" spans="1:11" x14ac:dyDescent="0.3">
      <c r="A1340">
        <v>1339</v>
      </c>
      <c r="B1340">
        <v>124</v>
      </c>
      <c r="C1340">
        <v>5</v>
      </c>
      <c r="D1340">
        <v>1227</v>
      </c>
      <c r="E1340" t="s">
        <v>651</v>
      </c>
      <c r="F1340">
        <v>3.59</v>
      </c>
      <c r="G1340" t="s">
        <v>623</v>
      </c>
      <c r="H1340" s="1">
        <v>46067.402546296296</v>
      </c>
      <c r="I1340" t="s">
        <v>635</v>
      </c>
      <c r="J1340">
        <v>3.59</v>
      </c>
      <c r="K1340">
        <v>0</v>
      </c>
    </row>
    <row r="1341" spans="1:11" x14ac:dyDescent="0.3">
      <c r="A1341">
        <v>1340</v>
      </c>
      <c r="B1341">
        <v>304</v>
      </c>
      <c r="C1341">
        <v>4</v>
      </c>
      <c r="D1341">
        <v>1228</v>
      </c>
      <c r="E1341" t="s">
        <v>651</v>
      </c>
      <c r="F1341">
        <v>4.9000000000000004</v>
      </c>
      <c r="G1341" t="s">
        <v>623</v>
      </c>
      <c r="H1341" s="1">
        <v>46067.424004629633</v>
      </c>
      <c r="I1341" t="s">
        <v>635</v>
      </c>
      <c r="J1341">
        <v>4.9000000000000004</v>
      </c>
      <c r="K1341">
        <v>0</v>
      </c>
    </row>
    <row r="1342" spans="1:11" x14ac:dyDescent="0.3">
      <c r="A1342">
        <v>1341</v>
      </c>
      <c r="B1342">
        <v>168</v>
      </c>
      <c r="C1342">
        <v>4</v>
      </c>
      <c r="D1342">
        <v>1229</v>
      </c>
      <c r="E1342" t="s">
        <v>651</v>
      </c>
      <c r="F1342">
        <v>2.71</v>
      </c>
      <c r="G1342" t="s">
        <v>623</v>
      </c>
      <c r="H1342" s="1">
        <v>46067.497465277775</v>
      </c>
      <c r="I1342" t="s">
        <v>635</v>
      </c>
      <c r="J1342">
        <v>2.71</v>
      </c>
      <c r="K1342">
        <v>0</v>
      </c>
    </row>
    <row r="1343" spans="1:11" x14ac:dyDescent="0.3">
      <c r="A1343">
        <v>1342</v>
      </c>
      <c r="B1343">
        <v>166</v>
      </c>
      <c r="C1343">
        <v>4</v>
      </c>
      <c r="D1343">
        <v>1230</v>
      </c>
      <c r="E1343" t="s">
        <v>651</v>
      </c>
      <c r="F1343">
        <v>7.2</v>
      </c>
      <c r="G1343" t="s">
        <v>623</v>
      </c>
      <c r="H1343" s="1">
        <v>46067.537083333336</v>
      </c>
      <c r="I1343" t="s">
        <v>635</v>
      </c>
      <c r="J1343">
        <v>7.2</v>
      </c>
      <c r="K1343">
        <v>0</v>
      </c>
    </row>
    <row r="1344" spans="1:11" x14ac:dyDescent="0.3">
      <c r="A1344">
        <v>1343</v>
      </c>
      <c r="B1344">
        <v>87</v>
      </c>
      <c r="C1344">
        <v>5</v>
      </c>
      <c r="D1344">
        <v>1231</v>
      </c>
      <c r="E1344" t="s">
        <v>651</v>
      </c>
      <c r="F1344">
        <v>9.0500000000000007</v>
      </c>
      <c r="G1344" t="s">
        <v>623</v>
      </c>
      <c r="H1344" s="1">
        <v>46067.611863425926</v>
      </c>
      <c r="I1344" t="s">
        <v>635</v>
      </c>
      <c r="J1344">
        <v>9.0500000000000007</v>
      </c>
      <c r="K1344">
        <v>0</v>
      </c>
    </row>
    <row r="1345" spans="1:11" x14ac:dyDescent="0.3">
      <c r="A1345">
        <v>1344</v>
      </c>
      <c r="B1345">
        <v>252</v>
      </c>
      <c r="C1345">
        <v>5</v>
      </c>
      <c r="D1345">
        <v>1232</v>
      </c>
      <c r="E1345" t="s">
        <v>651</v>
      </c>
      <c r="F1345">
        <v>2.2799999999999998</v>
      </c>
      <c r="G1345" t="s">
        <v>623</v>
      </c>
      <c r="H1345" s="1">
        <v>46067.697905092595</v>
      </c>
      <c r="I1345" t="s">
        <v>635</v>
      </c>
      <c r="J1345">
        <v>2.2799999999999998</v>
      </c>
      <c r="K1345">
        <v>0</v>
      </c>
    </row>
    <row r="1346" spans="1:11" x14ac:dyDescent="0.3">
      <c r="A1346">
        <v>1345</v>
      </c>
      <c r="B1346">
        <v>29</v>
      </c>
      <c r="C1346">
        <v>3</v>
      </c>
      <c r="D1346">
        <v>1233</v>
      </c>
      <c r="E1346" t="s">
        <v>651</v>
      </c>
      <c r="F1346">
        <v>3.41</v>
      </c>
      <c r="G1346" t="s">
        <v>623</v>
      </c>
      <c r="H1346" s="1">
        <v>46067.701701388891</v>
      </c>
      <c r="I1346" t="s">
        <v>635</v>
      </c>
      <c r="J1346">
        <v>3.41</v>
      </c>
      <c r="K1346">
        <v>0</v>
      </c>
    </row>
    <row r="1347" spans="1:11" x14ac:dyDescent="0.3">
      <c r="A1347">
        <v>1346</v>
      </c>
      <c r="B1347">
        <v>277</v>
      </c>
      <c r="C1347">
        <v>3</v>
      </c>
      <c r="D1347">
        <v>1234</v>
      </c>
      <c r="E1347" t="s">
        <v>651</v>
      </c>
      <c r="F1347">
        <v>10.64</v>
      </c>
      <c r="G1347" t="s">
        <v>623</v>
      </c>
      <c r="H1347" s="1">
        <v>46067.723761574074</v>
      </c>
      <c r="I1347" t="s">
        <v>635</v>
      </c>
      <c r="J1347">
        <v>10.64</v>
      </c>
      <c r="K1347">
        <v>0</v>
      </c>
    </row>
    <row r="1348" spans="1:11" x14ac:dyDescent="0.3">
      <c r="A1348">
        <v>1347</v>
      </c>
      <c r="B1348">
        <v>13</v>
      </c>
      <c r="C1348">
        <v>4</v>
      </c>
      <c r="D1348">
        <v>1235</v>
      </c>
      <c r="E1348" t="s">
        <v>657</v>
      </c>
      <c r="F1348">
        <v>24.59</v>
      </c>
      <c r="G1348" t="s">
        <v>623</v>
      </c>
      <c r="H1348" s="1">
        <v>46067.749398148146</v>
      </c>
      <c r="I1348" t="s">
        <v>635</v>
      </c>
      <c r="J1348">
        <v>0</v>
      </c>
      <c r="K1348">
        <v>24.59</v>
      </c>
    </row>
    <row r="1349" spans="1:11" x14ac:dyDescent="0.3">
      <c r="A1349">
        <v>1348</v>
      </c>
      <c r="B1349">
        <v>178</v>
      </c>
      <c r="C1349">
        <v>4</v>
      </c>
      <c r="D1349">
        <v>1236</v>
      </c>
      <c r="E1349" t="s">
        <v>651</v>
      </c>
      <c r="F1349">
        <v>12.11</v>
      </c>
      <c r="G1349" t="s">
        <v>623</v>
      </c>
      <c r="H1349" s="1">
        <v>46067.762164351851</v>
      </c>
      <c r="I1349" t="s">
        <v>635</v>
      </c>
      <c r="J1349">
        <v>12.11</v>
      </c>
      <c r="K1349">
        <v>0</v>
      </c>
    </row>
    <row r="1350" spans="1:11" x14ac:dyDescent="0.3">
      <c r="A1350">
        <v>1349</v>
      </c>
      <c r="B1350">
        <v>16</v>
      </c>
      <c r="C1350">
        <v>5</v>
      </c>
      <c r="D1350">
        <v>1237</v>
      </c>
      <c r="E1350" t="s">
        <v>651</v>
      </c>
      <c r="F1350">
        <v>17.55</v>
      </c>
      <c r="G1350" t="s">
        <v>623</v>
      </c>
      <c r="H1350" s="1">
        <v>46067.77616898148</v>
      </c>
      <c r="I1350" t="s">
        <v>635</v>
      </c>
      <c r="J1350">
        <v>17.55</v>
      </c>
      <c r="K1350">
        <v>0</v>
      </c>
    </row>
    <row r="1351" spans="1:11" x14ac:dyDescent="0.3">
      <c r="A1351">
        <v>1350</v>
      </c>
      <c r="B1351">
        <v>168</v>
      </c>
      <c r="C1351">
        <v>5</v>
      </c>
      <c r="D1351">
        <v>1229</v>
      </c>
      <c r="E1351" t="s">
        <v>649</v>
      </c>
      <c r="F1351">
        <v>-2.71</v>
      </c>
      <c r="G1351" t="s">
        <v>709</v>
      </c>
      <c r="H1351" s="1">
        <v>46068.122465277775</v>
      </c>
      <c r="I1351" t="s">
        <v>635</v>
      </c>
      <c r="J1351">
        <v>0</v>
      </c>
      <c r="K1351">
        <v>0</v>
      </c>
    </row>
    <row r="1352" spans="1:11" x14ac:dyDescent="0.3">
      <c r="A1352">
        <v>1351</v>
      </c>
      <c r="B1352">
        <v>49</v>
      </c>
      <c r="C1352">
        <v>5</v>
      </c>
      <c r="D1352">
        <v>1238</v>
      </c>
      <c r="E1352" t="s">
        <v>651</v>
      </c>
      <c r="F1352">
        <v>11.38</v>
      </c>
      <c r="G1352" t="s">
        <v>623</v>
      </c>
      <c r="H1352" s="1">
        <v>46068.372291666667</v>
      </c>
      <c r="I1352" t="s">
        <v>635</v>
      </c>
      <c r="J1352">
        <v>11.38</v>
      </c>
      <c r="K1352">
        <v>0</v>
      </c>
    </row>
    <row r="1353" spans="1:11" x14ac:dyDescent="0.3">
      <c r="A1353">
        <v>1352</v>
      </c>
      <c r="B1353">
        <v>221</v>
      </c>
      <c r="C1353">
        <v>4</v>
      </c>
      <c r="D1353">
        <v>1239</v>
      </c>
      <c r="E1353" t="s">
        <v>651</v>
      </c>
      <c r="F1353">
        <v>19.440000000000001</v>
      </c>
      <c r="G1353" t="s">
        <v>623</v>
      </c>
      <c r="H1353" s="1">
        <v>46068.395462962966</v>
      </c>
      <c r="I1353" t="s">
        <v>635</v>
      </c>
      <c r="J1353">
        <v>19.440000000000001</v>
      </c>
      <c r="K1353">
        <v>0</v>
      </c>
    </row>
    <row r="1354" spans="1:11" x14ac:dyDescent="0.3">
      <c r="A1354">
        <v>1353</v>
      </c>
      <c r="B1354">
        <v>136</v>
      </c>
      <c r="C1354">
        <v>2</v>
      </c>
      <c r="D1354">
        <v>1240</v>
      </c>
      <c r="E1354" t="s">
        <v>651</v>
      </c>
      <c r="F1354">
        <v>8.1999999999999993</v>
      </c>
      <c r="G1354" t="s">
        <v>623</v>
      </c>
      <c r="H1354" s="1">
        <v>46068.406493055554</v>
      </c>
      <c r="I1354" t="s">
        <v>635</v>
      </c>
      <c r="J1354">
        <v>8.1999999999999993</v>
      </c>
      <c r="K1354">
        <v>0</v>
      </c>
    </row>
    <row r="1355" spans="1:11" x14ac:dyDescent="0.3">
      <c r="A1355">
        <v>1354</v>
      </c>
      <c r="B1355">
        <v>44</v>
      </c>
      <c r="C1355">
        <v>3</v>
      </c>
      <c r="D1355">
        <v>1241</v>
      </c>
      <c r="E1355" t="s">
        <v>651</v>
      </c>
      <c r="F1355">
        <v>2.64</v>
      </c>
      <c r="G1355" t="s">
        <v>623</v>
      </c>
      <c r="H1355" s="1">
        <v>46068.407037037039</v>
      </c>
      <c r="I1355" t="s">
        <v>635</v>
      </c>
      <c r="J1355">
        <v>2.64</v>
      </c>
      <c r="K1355">
        <v>0</v>
      </c>
    </row>
    <row r="1356" spans="1:11" x14ac:dyDescent="0.3">
      <c r="A1356">
        <v>1355</v>
      </c>
      <c r="B1356">
        <v>124</v>
      </c>
      <c r="C1356">
        <v>2</v>
      </c>
      <c r="D1356">
        <v>1242</v>
      </c>
      <c r="E1356" t="s">
        <v>651</v>
      </c>
      <c r="F1356">
        <v>1.51</v>
      </c>
      <c r="G1356" t="s">
        <v>623</v>
      </c>
      <c r="H1356" s="1">
        <v>46068.457615740743</v>
      </c>
      <c r="I1356" t="s">
        <v>635</v>
      </c>
      <c r="J1356">
        <v>1.51</v>
      </c>
      <c r="K1356">
        <v>0</v>
      </c>
    </row>
    <row r="1357" spans="1:11" x14ac:dyDescent="0.3">
      <c r="A1357">
        <v>1356</v>
      </c>
      <c r="B1357">
        <v>87</v>
      </c>
      <c r="C1357">
        <v>5</v>
      </c>
      <c r="D1357">
        <v>1243</v>
      </c>
      <c r="E1357" t="s">
        <v>651</v>
      </c>
      <c r="F1357">
        <v>10.41</v>
      </c>
      <c r="G1357" t="s">
        <v>623</v>
      </c>
      <c r="H1357" s="1">
        <v>46068.476238425923</v>
      </c>
      <c r="I1357" t="s">
        <v>635</v>
      </c>
      <c r="J1357">
        <v>10.41</v>
      </c>
      <c r="K1357">
        <v>0</v>
      </c>
    </row>
    <row r="1358" spans="1:11" x14ac:dyDescent="0.3">
      <c r="A1358">
        <v>1357</v>
      </c>
      <c r="B1358">
        <v>156</v>
      </c>
      <c r="C1358">
        <v>3</v>
      </c>
      <c r="D1358">
        <v>1244</v>
      </c>
      <c r="E1358" t="s">
        <v>651</v>
      </c>
      <c r="F1358">
        <v>5.55</v>
      </c>
      <c r="G1358" t="s">
        <v>623</v>
      </c>
      <c r="H1358" s="1">
        <v>46068.650057870371</v>
      </c>
      <c r="I1358" t="s">
        <v>635</v>
      </c>
      <c r="J1358">
        <v>5.55</v>
      </c>
      <c r="K1358">
        <v>0</v>
      </c>
    </row>
    <row r="1359" spans="1:11" x14ac:dyDescent="0.3">
      <c r="A1359">
        <v>1358</v>
      </c>
      <c r="B1359">
        <v>20</v>
      </c>
      <c r="C1359">
        <v>3</v>
      </c>
      <c r="D1359">
        <v>1245</v>
      </c>
      <c r="E1359" t="s">
        <v>651</v>
      </c>
      <c r="F1359">
        <v>3.65</v>
      </c>
      <c r="G1359" t="s">
        <v>623</v>
      </c>
      <c r="H1359" s="1">
        <v>46068.660995370374</v>
      </c>
      <c r="I1359" t="s">
        <v>635</v>
      </c>
      <c r="J1359">
        <v>3.65</v>
      </c>
      <c r="K1359">
        <v>0</v>
      </c>
    </row>
    <row r="1360" spans="1:11" x14ac:dyDescent="0.3">
      <c r="A1360">
        <v>1359</v>
      </c>
      <c r="B1360">
        <v>302</v>
      </c>
      <c r="C1360">
        <v>3</v>
      </c>
      <c r="D1360">
        <v>1246</v>
      </c>
      <c r="E1360" t="s">
        <v>651</v>
      </c>
      <c r="F1360">
        <v>3.41</v>
      </c>
      <c r="G1360" t="s">
        <v>623</v>
      </c>
      <c r="H1360" s="1">
        <v>46068.692881944444</v>
      </c>
      <c r="I1360" t="s">
        <v>635</v>
      </c>
      <c r="J1360">
        <v>3.41</v>
      </c>
      <c r="K1360">
        <v>0</v>
      </c>
    </row>
    <row r="1361" spans="1:11" x14ac:dyDescent="0.3">
      <c r="A1361">
        <v>1360</v>
      </c>
      <c r="B1361">
        <v>16</v>
      </c>
      <c r="C1361">
        <v>2</v>
      </c>
      <c r="D1361">
        <v>1247</v>
      </c>
      <c r="E1361" t="s">
        <v>651</v>
      </c>
      <c r="F1361">
        <v>18.79</v>
      </c>
      <c r="G1361" t="s">
        <v>623</v>
      </c>
      <c r="H1361" s="1">
        <v>46068.808333333334</v>
      </c>
      <c r="I1361" t="s">
        <v>635</v>
      </c>
      <c r="J1361">
        <v>18.79</v>
      </c>
      <c r="K1361">
        <v>0</v>
      </c>
    </row>
    <row r="1362" spans="1:11" x14ac:dyDescent="0.3">
      <c r="A1362">
        <v>1361</v>
      </c>
      <c r="B1362">
        <v>131</v>
      </c>
      <c r="C1362">
        <v>5</v>
      </c>
      <c r="D1362">
        <v>1248</v>
      </c>
      <c r="E1362" t="s">
        <v>651</v>
      </c>
      <c r="F1362">
        <v>29.73</v>
      </c>
      <c r="G1362" t="s">
        <v>623</v>
      </c>
      <c r="H1362" s="1">
        <v>46069.356585648151</v>
      </c>
      <c r="I1362" t="s">
        <v>635</v>
      </c>
      <c r="J1362">
        <v>29.73</v>
      </c>
      <c r="K1362">
        <v>0</v>
      </c>
    </row>
    <row r="1363" spans="1:11" x14ac:dyDescent="0.3">
      <c r="A1363">
        <v>1362</v>
      </c>
      <c r="B1363">
        <v>39</v>
      </c>
      <c r="C1363">
        <v>4</v>
      </c>
      <c r="D1363">
        <v>1249</v>
      </c>
      <c r="E1363" t="s">
        <v>651</v>
      </c>
      <c r="F1363">
        <v>22.76</v>
      </c>
      <c r="G1363" t="s">
        <v>623</v>
      </c>
      <c r="H1363" s="1">
        <v>46069.402314814812</v>
      </c>
      <c r="I1363" t="s">
        <v>635</v>
      </c>
      <c r="J1363">
        <v>22.76</v>
      </c>
      <c r="K1363">
        <v>0</v>
      </c>
    </row>
    <row r="1364" spans="1:11" x14ac:dyDescent="0.3">
      <c r="A1364">
        <v>1363</v>
      </c>
      <c r="B1364">
        <v>136</v>
      </c>
      <c r="C1364">
        <v>2</v>
      </c>
      <c r="D1364">
        <v>1250</v>
      </c>
      <c r="E1364" t="s">
        <v>651</v>
      </c>
      <c r="F1364">
        <v>12.63</v>
      </c>
      <c r="G1364" t="s">
        <v>623</v>
      </c>
      <c r="H1364" s="1">
        <v>46069.403958333336</v>
      </c>
      <c r="I1364" t="s">
        <v>635</v>
      </c>
      <c r="J1364">
        <v>12.63</v>
      </c>
      <c r="K1364">
        <v>0</v>
      </c>
    </row>
    <row r="1365" spans="1:11" x14ac:dyDescent="0.3">
      <c r="A1365">
        <v>1364</v>
      </c>
      <c r="B1365">
        <v>39</v>
      </c>
      <c r="C1365">
        <v>2</v>
      </c>
      <c r="D1365">
        <v>1251</v>
      </c>
      <c r="E1365" t="s">
        <v>651</v>
      </c>
      <c r="F1365">
        <v>19.93</v>
      </c>
      <c r="G1365" t="s">
        <v>623</v>
      </c>
      <c r="H1365" s="1">
        <v>46069.467847222222</v>
      </c>
      <c r="I1365" t="s">
        <v>635</v>
      </c>
      <c r="J1365">
        <v>19.93</v>
      </c>
      <c r="K1365">
        <v>0</v>
      </c>
    </row>
    <row r="1366" spans="1:11" x14ac:dyDescent="0.3">
      <c r="A1366">
        <v>1365</v>
      </c>
      <c r="B1366">
        <v>55</v>
      </c>
      <c r="C1366">
        <v>5</v>
      </c>
      <c r="D1366">
        <v>1252</v>
      </c>
      <c r="E1366" t="s">
        <v>651</v>
      </c>
      <c r="F1366">
        <v>2.17</v>
      </c>
      <c r="G1366" t="s">
        <v>623</v>
      </c>
      <c r="H1366" s="1">
        <v>46069.589328703703</v>
      </c>
      <c r="I1366" t="s">
        <v>635</v>
      </c>
      <c r="J1366">
        <v>2.17</v>
      </c>
      <c r="K1366">
        <v>0</v>
      </c>
    </row>
    <row r="1367" spans="1:11" x14ac:dyDescent="0.3">
      <c r="A1367">
        <v>1366</v>
      </c>
      <c r="B1367">
        <v>150</v>
      </c>
      <c r="C1367">
        <v>4</v>
      </c>
      <c r="D1367">
        <v>1253</v>
      </c>
      <c r="E1367" t="s">
        <v>651</v>
      </c>
      <c r="F1367">
        <v>5.85</v>
      </c>
      <c r="G1367" t="s">
        <v>623</v>
      </c>
      <c r="H1367" s="1">
        <v>46069.721006944441</v>
      </c>
      <c r="I1367" t="s">
        <v>635</v>
      </c>
      <c r="J1367">
        <v>5.85</v>
      </c>
      <c r="K1367">
        <v>0</v>
      </c>
    </row>
    <row r="1368" spans="1:11" x14ac:dyDescent="0.3">
      <c r="A1368">
        <v>1367</v>
      </c>
      <c r="B1368">
        <v>56</v>
      </c>
      <c r="C1368">
        <v>4</v>
      </c>
      <c r="D1368">
        <v>1254</v>
      </c>
      <c r="E1368" t="s">
        <v>651</v>
      </c>
      <c r="F1368">
        <v>11.46</v>
      </c>
      <c r="G1368" t="s">
        <v>623</v>
      </c>
      <c r="H1368" s="1">
        <v>46069.812256944446</v>
      </c>
      <c r="I1368" t="s">
        <v>635</v>
      </c>
      <c r="J1368">
        <v>11.46</v>
      </c>
      <c r="K1368">
        <v>0</v>
      </c>
    </row>
    <row r="1369" spans="1:11" x14ac:dyDescent="0.3">
      <c r="A1369">
        <v>1368</v>
      </c>
      <c r="B1369">
        <v>131</v>
      </c>
      <c r="C1369">
        <v>5</v>
      </c>
      <c r="D1369">
        <v>1248</v>
      </c>
      <c r="E1369" t="s">
        <v>649</v>
      </c>
      <c r="F1369">
        <v>-29.73</v>
      </c>
      <c r="G1369" t="s">
        <v>710</v>
      </c>
      <c r="H1369" s="1">
        <v>46070.231585648151</v>
      </c>
      <c r="I1369" t="s">
        <v>635</v>
      </c>
      <c r="J1369">
        <v>0</v>
      </c>
      <c r="K1369">
        <v>0</v>
      </c>
    </row>
    <row r="1370" spans="1:11" x14ac:dyDescent="0.3">
      <c r="A1370">
        <v>1369</v>
      </c>
      <c r="B1370">
        <v>39</v>
      </c>
      <c r="C1370">
        <v>3</v>
      </c>
      <c r="D1370">
        <v>1255</v>
      </c>
      <c r="E1370" t="s">
        <v>651</v>
      </c>
      <c r="F1370">
        <v>16.66</v>
      </c>
      <c r="G1370" t="s">
        <v>623</v>
      </c>
      <c r="H1370" s="1">
        <v>46070.318923611114</v>
      </c>
      <c r="I1370" t="s">
        <v>635</v>
      </c>
      <c r="J1370">
        <v>16.66</v>
      </c>
      <c r="K1370">
        <v>0</v>
      </c>
    </row>
    <row r="1371" spans="1:11" x14ac:dyDescent="0.3">
      <c r="A1371">
        <v>1370</v>
      </c>
      <c r="B1371">
        <v>141</v>
      </c>
      <c r="C1371">
        <v>5</v>
      </c>
      <c r="D1371">
        <v>1256</v>
      </c>
      <c r="E1371" t="s">
        <v>651</v>
      </c>
      <c r="F1371">
        <v>18.82</v>
      </c>
      <c r="G1371" t="s">
        <v>623</v>
      </c>
      <c r="H1371" s="1">
        <v>46070.380972222221</v>
      </c>
      <c r="I1371" t="s">
        <v>635</v>
      </c>
      <c r="J1371">
        <v>18.82</v>
      </c>
      <c r="K1371">
        <v>0</v>
      </c>
    </row>
    <row r="1372" spans="1:11" x14ac:dyDescent="0.3">
      <c r="A1372">
        <v>1371</v>
      </c>
      <c r="B1372">
        <v>241</v>
      </c>
      <c r="C1372">
        <v>3</v>
      </c>
      <c r="D1372">
        <v>1257</v>
      </c>
      <c r="E1372" t="s">
        <v>651</v>
      </c>
      <c r="F1372">
        <v>2.96</v>
      </c>
      <c r="G1372" t="s">
        <v>623</v>
      </c>
      <c r="H1372" s="1">
        <v>46070.390740740739</v>
      </c>
      <c r="I1372" t="s">
        <v>635</v>
      </c>
      <c r="J1372">
        <v>2.96</v>
      </c>
      <c r="K1372">
        <v>0</v>
      </c>
    </row>
    <row r="1373" spans="1:11" x14ac:dyDescent="0.3">
      <c r="A1373">
        <v>1372</v>
      </c>
      <c r="B1373">
        <v>151</v>
      </c>
      <c r="C1373">
        <v>2</v>
      </c>
      <c r="D1373">
        <v>1258</v>
      </c>
      <c r="E1373" t="s">
        <v>651</v>
      </c>
      <c r="F1373">
        <v>15.86</v>
      </c>
      <c r="G1373" t="s">
        <v>623</v>
      </c>
      <c r="H1373" s="1">
        <v>46070.595312500001</v>
      </c>
      <c r="I1373" t="s">
        <v>635</v>
      </c>
      <c r="J1373">
        <v>15.86</v>
      </c>
      <c r="K1373">
        <v>0</v>
      </c>
    </row>
    <row r="1374" spans="1:11" x14ac:dyDescent="0.3">
      <c r="A1374">
        <v>1373</v>
      </c>
      <c r="B1374">
        <v>21</v>
      </c>
      <c r="C1374">
        <v>4</v>
      </c>
      <c r="D1374">
        <v>1259</v>
      </c>
      <c r="E1374" t="s">
        <v>651</v>
      </c>
      <c r="F1374">
        <v>3.95</v>
      </c>
      <c r="G1374" t="s">
        <v>623</v>
      </c>
      <c r="H1374" s="1">
        <v>46070.671793981484</v>
      </c>
      <c r="I1374" t="s">
        <v>635</v>
      </c>
      <c r="J1374">
        <v>3.95</v>
      </c>
      <c r="K1374">
        <v>0</v>
      </c>
    </row>
    <row r="1375" spans="1:11" x14ac:dyDescent="0.3">
      <c r="A1375">
        <v>1374</v>
      </c>
      <c r="B1375">
        <v>217</v>
      </c>
      <c r="C1375">
        <v>4</v>
      </c>
      <c r="D1375">
        <v>1260</v>
      </c>
      <c r="E1375" t="s">
        <v>651</v>
      </c>
      <c r="F1375">
        <v>2.17</v>
      </c>
      <c r="G1375" t="s">
        <v>623</v>
      </c>
      <c r="H1375" s="1">
        <v>46070.722905092596</v>
      </c>
      <c r="I1375" t="s">
        <v>635</v>
      </c>
      <c r="J1375">
        <v>2.17</v>
      </c>
      <c r="K1375">
        <v>0</v>
      </c>
    </row>
    <row r="1376" spans="1:11" x14ac:dyDescent="0.3">
      <c r="A1376">
        <v>1375</v>
      </c>
      <c r="B1376">
        <v>253</v>
      </c>
      <c r="C1376">
        <v>3</v>
      </c>
      <c r="D1376">
        <v>1261</v>
      </c>
      <c r="E1376" t="s">
        <v>651</v>
      </c>
      <c r="F1376">
        <v>3.19</v>
      </c>
      <c r="G1376" t="s">
        <v>623</v>
      </c>
      <c r="H1376" s="1">
        <v>46071.312430555554</v>
      </c>
      <c r="I1376" t="s">
        <v>635</v>
      </c>
      <c r="J1376">
        <v>3.19</v>
      </c>
      <c r="K1376">
        <v>0</v>
      </c>
    </row>
    <row r="1377" spans="1:11" x14ac:dyDescent="0.3">
      <c r="A1377">
        <v>1376</v>
      </c>
      <c r="B1377">
        <v>16</v>
      </c>
      <c r="C1377">
        <v>2</v>
      </c>
      <c r="D1377">
        <v>1262</v>
      </c>
      <c r="E1377" t="s">
        <v>651</v>
      </c>
      <c r="F1377">
        <v>14.27</v>
      </c>
      <c r="G1377" t="s">
        <v>623</v>
      </c>
      <c r="H1377" s="1">
        <v>46071.342094907406</v>
      </c>
      <c r="I1377" t="s">
        <v>635</v>
      </c>
      <c r="J1377">
        <v>14.27</v>
      </c>
      <c r="K1377">
        <v>0</v>
      </c>
    </row>
    <row r="1378" spans="1:11" x14ac:dyDescent="0.3">
      <c r="A1378">
        <v>1377</v>
      </c>
      <c r="B1378">
        <v>274</v>
      </c>
      <c r="C1378">
        <v>2</v>
      </c>
      <c r="D1378">
        <v>1263</v>
      </c>
      <c r="E1378" t="s">
        <v>651</v>
      </c>
      <c r="F1378">
        <v>2.59</v>
      </c>
      <c r="G1378" t="s">
        <v>623</v>
      </c>
      <c r="H1378" s="1">
        <v>46071.3827662037</v>
      </c>
      <c r="I1378" t="s">
        <v>635</v>
      </c>
      <c r="J1378">
        <v>2.59</v>
      </c>
      <c r="K1378">
        <v>0</v>
      </c>
    </row>
    <row r="1379" spans="1:11" x14ac:dyDescent="0.3">
      <c r="A1379">
        <v>1378</v>
      </c>
      <c r="B1379">
        <v>135</v>
      </c>
      <c r="C1379">
        <v>4</v>
      </c>
      <c r="D1379">
        <v>1264</v>
      </c>
      <c r="E1379" t="s">
        <v>651</v>
      </c>
      <c r="F1379">
        <v>12.93</v>
      </c>
      <c r="G1379" t="s">
        <v>623</v>
      </c>
      <c r="H1379" s="1">
        <v>46071.387696759259</v>
      </c>
      <c r="I1379" t="s">
        <v>635</v>
      </c>
      <c r="J1379">
        <v>12.93</v>
      </c>
      <c r="K1379">
        <v>0</v>
      </c>
    </row>
    <row r="1380" spans="1:11" x14ac:dyDescent="0.3">
      <c r="A1380">
        <v>1379</v>
      </c>
      <c r="B1380">
        <v>253</v>
      </c>
      <c r="C1380">
        <v>5</v>
      </c>
      <c r="D1380">
        <v>1265</v>
      </c>
      <c r="E1380" t="s">
        <v>657</v>
      </c>
      <c r="F1380">
        <v>32.46</v>
      </c>
      <c r="G1380" t="s">
        <v>623</v>
      </c>
      <c r="H1380" s="1">
        <v>46071.389988425923</v>
      </c>
      <c r="I1380" t="s">
        <v>635</v>
      </c>
      <c r="J1380">
        <v>0</v>
      </c>
      <c r="K1380">
        <v>32.46</v>
      </c>
    </row>
    <row r="1381" spans="1:11" x14ac:dyDescent="0.3">
      <c r="A1381">
        <v>1380</v>
      </c>
      <c r="B1381">
        <v>66</v>
      </c>
      <c r="C1381">
        <v>2</v>
      </c>
      <c r="D1381">
        <v>1266</v>
      </c>
      <c r="E1381" t="s">
        <v>651</v>
      </c>
      <c r="F1381">
        <v>6.36</v>
      </c>
      <c r="G1381" t="s">
        <v>623</v>
      </c>
      <c r="H1381" s="1">
        <v>46071.403379629628</v>
      </c>
      <c r="I1381" t="s">
        <v>635</v>
      </c>
      <c r="J1381">
        <v>6.36</v>
      </c>
      <c r="K1381">
        <v>0</v>
      </c>
    </row>
    <row r="1382" spans="1:11" x14ac:dyDescent="0.3">
      <c r="A1382">
        <v>1381</v>
      </c>
      <c r="B1382">
        <v>156</v>
      </c>
      <c r="C1382">
        <v>5</v>
      </c>
      <c r="D1382">
        <v>1267</v>
      </c>
      <c r="E1382" t="s">
        <v>657</v>
      </c>
      <c r="F1382">
        <v>27.34</v>
      </c>
      <c r="G1382" t="s">
        <v>623</v>
      </c>
      <c r="H1382" s="1">
        <v>46071.441562499997</v>
      </c>
      <c r="I1382" t="s">
        <v>635</v>
      </c>
      <c r="J1382">
        <v>0</v>
      </c>
      <c r="K1382">
        <v>27.34</v>
      </c>
    </row>
    <row r="1383" spans="1:11" x14ac:dyDescent="0.3">
      <c r="A1383">
        <v>1382</v>
      </c>
      <c r="B1383">
        <v>106</v>
      </c>
      <c r="C1383">
        <v>4</v>
      </c>
      <c r="D1383">
        <v>1268</v>
      </c>
      <c r="E1383" t="s">
        <v>651</v>
      </c>
      <c r="F1383">
        <v>9.01</v>
      </c>
      <c r="G1383" t="s">
        <v>623</v>
      </c>
      <c r="H1383" s="1">
        <v>46071.453865740739</v>
      </c>
      <c r="I1383" t="s">
        <v>635</v>
      </c>
      <c r="J1383">
        <v>9.01</v>
      </c>
      <c r="K1383">
        <v>0</v>
      </c>
    </row>
    <row r="1384" spans="1:11" x14ac:dyDescent="0.3">
      <c r="A1384">
        <v>1383</v>
      </c>
      <c r="B1384">
        <v>44</v>
      </c>
      <c r="C1384">
        <v>3</v>
      </c>
      <c r="D1384">
        <v>1269</v>
      </c>
      <c r="E1384" t="s">
        <v>657</v>
      </c>
      <c r="F1384">
        <v>21.93</v>
      </c>
      <c r="G1384" t="s">
        <v>623</v>
      </c>
      <c r="H1384" s="1">
        <v>46071.72078703704</v>
      </c>
      <c r="I1384" t="s">
        <v>635</v>
      </c>
      <c r="J1384">
        <v>0</v>
      </c>
      <c r="K1384">
        <v>21.93</v>
      </c>
    </row>
    <row r="1385" spans="1:11" x14ac:dyDescent="0.3">
      <c r="A1385">
        <v>1384</v>
      </c>
      <c r="B1385">
        <v>38</v>
      </c>
      <c r="C1385">
        <v>2</v>
      </c>
      <c r="D1385">
        <v>1270</v>
      </c>
      <c r="E1385" t="s">
        <v>651</v>
      </c>
      <c r="F1385">
        <v>2.2999999999999998</v>
      </c>
      <c r="G1385" t="s">
        <v>623</v>
      </c>
      <c r="H1385" s="1">
        <v>46071.734780092593</v>
      </c>
      <c r="I1385" t="s">
        <v>635</v>
      </c>
      <c r="J1385">
        <v>2.2999999999999998</v>
      </c>
      <c r="K1385">
        <v>0</v>
      </c>
    </row>
    <row r="1386" spans="1:11" x14ac:dyDescent="0.3">
      <c r="A1386">
        <v>1385</v>
      </c>
      <c r="B1386">
        <v>202</v>
      </c>
      <c r="C1386">
        <v>2</v>
      </c>
      <c r="D1386">
        <v>1271</v>
      </c>
      <c r="E1386" t="s">
        <v>651</v>
      </c>
      <c r="F1386">
        <v>3.64</v>
      </c>
      <c r="G1386" t="s">
        <v>623</v>
      </c>
      <c r="H1386" s="1">
        <v>46071.739942129629</v>
      </c>
      <c r="I1386" t="s">
        <v>635</v>
      </c>
      <c r="J1386">
        <v>3.64</v>
      </c>
      <c r="K1386">
        <v>0</v>
      </c>
    </row>
    <row r="1387" spans="1:11" x14ac:dyDescent="0.3">
      <c r="A1387">
        <v>1386</v>
      </c>
      <c r="B1387">
        <v>156</v>
      </c>
      <c r="C1387">
        <v>5</v>
      </c>
      <c r="D1387">
        <v>1272</v>
      </c>
      <c r="E1387" t="s">
        <v>651</v>
      </c>
      <c r="F1387">
        <v>3.37</v>
      </c>
      <c r="G1387" t="s">
        <v>623</v>
      </c>
      <c r="H1387" s="1">
        <v>46072.298576388886</v>
      </c>
      <c r="I1387" t="s">
        <v>635</v>
      </c>
      <c r="J1387">
        <v>3.37</v>
      </c>
      <c r="K1387">
        <v>0</v>
      </c>
    </row>
    <row r="1388" spans="1:11" x14ac:dyDescent="0.3">
      <c r="A1388">
        <v>1387</v>
      </c>
      <c r="B1388">
        <v>145</v>
      </c>
      <c r="C1388">
        <v>5</v>
      </c>
      <c r="D1388">
        <v>1273</v>
      </c>
      <c r="E1388" t="s">
        <v>651</v>
      </c>
      <c r="F1388">
        <v>25.36</v>
      </c>
      <c r="G1388" t="s">
        <v>623</v>
      </c>
      <c r="H1388" s="1">
        <v>46072.328865740739</v>
      </c>
      <c r="I1388" t="s">
        <v>635</v>
      </c>
      <c r="J1388">
        <v>25.36</v>
      </c>
      <c r="K1388">
        <v>0</v>
      </c>
    </row>
    <row r="1389" spans="1:11" x14ac:dyDescent="0.3">
      <c r="A1389">
        <v>1388</v>
      </c>
      <c r="B1389">
        <v>47</v>
      </c>
      <c r="C1389">
        <v>3</v>
      </c>
      <c r="D1389">
        <v>1274</v>
      </c>
      <c r="E1389" t="s">
        <v>651</v>
      </c>
      <c r="F1389">
        <v>3.4</v>
      </c>
      <c r="G1389" t="s">
        <v>623</v>
      </c>
      <c r="H1389" s="1">
        <v>46072.376145833332</v>
      </c>
      <c r="I1389" t="s">
        <v>635</v>
      </c>
      <c r="J1389">
        <v>3.4</v>
      </c>
      <c r="K1389">
        <v>0</v>
      </c>
    </row>
    <row r="1390" spans="1:11" x14ac:dyDescent="0.3">
      <c r="A1390">
        <v>1389</v>
      </c>
      <c r="B1390">
        <v>126</v>
      </c>
      <c r="C1390">
        <v>4</v>
      </c>
      <c r="D1390">
        <v>1275</v>
      </c>
      <c r="E1390" t="s">
        <v>657</v>
      </c>
      <c r="F1390">
        <v>38.21</v>
      </c>
      <c r="G1390" t="s">
        <v>623</v>
      </c>
      <c r="H1390" s="1">
        <v>46072.397314814814</v>
      </c>
      <c r="I1390" t="s">
        <v>635</v>
      </c>
      <c r="J1390">
        <v>0</v>
      </c>
      <c r="K1390">
        <v>38.21</v>
      </c>
    </row>
    <row r="1391" spans="1:11" x14ac:dyDescent="0.3">
      <c r="A1391">
        <v>1390</v>
      </c>
      <c r="B1391">
        <v>35</v>
      </c>
      <c r="C1391">
        <v>3</v>
      </c>
      <c r="D1391">
        <v>1276</v>
      </c>
      <c r="E1391" t="s">
        <v>651</v>
      </c>
      <c r="F1391">
        <v>4.87</v>
      </c>
      <c r="G1391" t="s">
        <v>623</v>
      </c>
      <c r="H1391" s="1">
        <v>46072.455347222225</v>
      </c>
      <c r="I1391" t="s">
        <v>635</v>
      </c>
      <c r="J1391">
        <v>4.87</v>
      </c>
      <c r="K1391">
        <v>0</v>
      </c>
    </row>
    <row r="1392" spans="1:11" x14ac:dyDescent="0.3">
      <c r="A1392">
        <v>1391</v>
      </c>
      <c r="B1392">
        <v>232</v>
      </c>
      <c r="C1392">
        <v>4</v>
      </c>
      <c r="D1392">
        <v>1277</v>
      </c>
      <c r="E1392" t="s">
        <v>651</v>
      </c>
      <c r="F1392">
        <v>1.62</v>
      </c>
      <c r="G1392" t="s">
        <v>623</v>
      </c>
      <c r="H1392" s="1">
        <v>46072.489618055559</v>
      </c>
      <c r="I1392" t="s">
        <v>635</v>
      </c>
      <c r="J1392">
        <v>1.62</v>
      </c>
      <c r="K1392">
        <v>0</v>
      </c>
    </row>
    <row r="1393" spans="1:11" x14ac:dyDescent="0.3">
      <c r="A1393">
        <v>1392</v>
      </c>
      <c r="B1393">
        <v>44</v>
      </c>
      <c r="C1393">
        <v>2</v>
      </c>
      <c r="D1393">
        <v>1278</v>
      </c>
      <c r="E1393" t="s">
        <v>651</v>
      </c>
      <c r="F1393">
        <v>2.58</v>
      </c>
      <c r="G1393" t="s">
        <v>623</v>
      </c>
      <c r="H1393" s="1">
        <v>46072.633657407408</v>
      </c>
      <c r="I1393" t="s">
        <v>635</v>
      </c>
      <c r="J1393">
        <v>2.58</v>
      </c>
      <c r="K1393">
        <v>0</v>
      </c>
    </row>
    <row r="1394" spans="1:11" x14ac:dyDescent="0.3">
      <c r="A1394">
        <v>1393</v>
      </c>
      <c r="B1394">
        <v>56</v>
      </c>
      <c r="C1394">
        <v>2</v>
      </c>
      <c r="D1394">
        <v>1279</v>
      </c>
      <c r="E1394" t="s">
        <v>651</v>
      </c>
      <c r="F1394">
        <v>7.59</v>
      </c>
      <c r="G1394" t="s">
        <v>623</v>
      </c>
      <c r="H1394" s="1">
        <v>46072.635405092595</v>
      </c>
      <c r="I1394" t="s">
        <v>635</v>
      </c>
      <c r="J1394">
        <v>7.59</v>
      </c>
      <c r="K1394">
        <v>0</v>
      </c>
    </row>
    <row r="1395" spans="1:11" x14ac:dyDescent="0.3">
      <c r="A1395">
        <v>1394</v>
      </c>
      <c r="B1395">
        <v>175</v>
      </c>
      <c r="C1395">
        <v>2</v>
      </c>
      <c r="D1395">
        <v>1280</v>
      </c>
      <c r="E1395" t="s">
        <v>651</v>
      </c>
      <c r="F1395">
        <v>2.82</v>
      </c>
      <c r="G1395" t="s">
        <v>623</v>
      </c>
      <c r="H1395" s="1">
        <v>46072.694710648146</v>
      </c>
      <c r="I1395" t="s">
        <v>635</v>
      </c>
      <c r="J1395">
        <v>2.82</v>
      </c>
      <c r="K1395">
        <v>0</v>
      </c>
    </row>
    <row r="1396" spans="1:11" x14ac:dyDescent="0.3">
      <c r="A1396">
        <v>1395</v>
      </c>
      <c r="B1396">
        <v>16</v>
      </c>
      <c r="C1396">
        <v>3</v>
      </c>
      <c r="D1396">
        <v>1281</v>
      </c>
      <c r="E1396" t="s">
        <v>657</v>
      </c>
      <c r="F1396">
        <v>139.71</v>
      </c>
      <c r="G1396" t="s">
        <v>623</v>
      </c>
      <c r="H1396" s="1">
        <v>46072.805</v>
      </c>
      <c r="I1396" t="s">
        <v>635</v>
      </c>
      <c r="J1396">
        <v>0</v>
      </c>
      <c r="K1396">
        <v>139.71</v>
      </c>
    </row>
    <row r="1397" spans="1:11" x14ac:dyDescent="0.3">
      <c r="A1397">
        <v>1396</v>
      </c>
      <c r="B1397">
        <v>126</v>
      </c>
      <c r="C1397">
        <v>3</v>
      </c>
      <c r="D1397">
        <v>1275</v>
      </c>
      <c r="E1397" t="s">
        <v>649</v>
      </c>
      <c r="F1397">
        <v>38.21</v>
      </c>
      <c r="G1397" t="s">
        <v>711</v>
      </c>
      <c r="H1397" s="1">
        <v>46072.897314814814</v>
      </c>
      <c r="I1397" t="s">
        <v>635</v>
      </c>
      <c r="J1397">
        <v>0</v>
      </c>
      <c r="K1397">
        <v>0</v>
      </c>
    </row>
    <row r="1398" spans="1:11" x14ac:dyDescent="0.3">
      <c r="A1398">
        <v>1397</v>
      </c>
      <c r="B1398">
        <v>16</v>
      </c>
      <c r="C1398">
        <v>3</v>
      </c>
      <c r="D1398">
        <v>1282</v>
      </c>
      <c r="E1398" t="s">
        <v>651</v>
      </c>
      <c r="F1398">
        <v>30</v>
      </c>
      <c r="G1398" t="s">
        <v>623</v>
      </c>
      <c r="H1398" s="1">
        <v>46073.355949074074</v>
      </c>
      <c r="I1398" t="s">
        <v>635</v>
      </c>
      <c r="J1398">
        <v>30</v>
      </c>
      <c r="K1398">
        <v>0</v>
      </c>
    </row>
    <row r="1399" spans="1:11" x14ac:dyDescent="0.3">
      <c r="A1399">
        <v>1398</v>
      </c>
      <c r="B1399">
        <v>39</v>
      </c>
      <c r="C1399">
        <v>4</v>
      </c>
      <c r="D1399">
        <v>1283</v>
      </c>
      <c r="E1399" t="s">
        <v>657</v>
      </c>
      <c r="F1399">
        <v>145.51</v>
      </c>
      <c r="G1399" t="s">
        <v>623</v>
      </c>
      <c r="H1399" s="1">
        <v>46073.420312499999</v>
      </c>
      <c r="I1399" t="s">
        <v>635</v>
      </c>
      <c r="J1399">
        <v>0</v>
      </c>
      <c r="K1399">
        <v>145.51</v>
      </c>
    </row>
    <row r="1400" spans="1:11" x14ac:dyDescent="0.3">
      <c r="A1400">
        <v>1399</v>
      </c>
      <c r="B1400">
        <v>113</v>
      </c>
      <c r="C1400">
        <v>2</v>
      </c>
      <c r="D1400">
        <v>1284</v>
      </c>
      <c r="E1400" t="s">
        <v>651</v>
      </c>
      <c r="F1400">
        <v>3.8</v>
      </c>
      <c r="G1400" t="s">
        <v>623</v>
      </c>
      <c r="H1400" s="1">
        <v>46073.490601851852</v>
      </c>
      <c r="I1400" t="s">
        <v>635</v>
      </c>
      <c r="J1400">
        <v>3.8</v>
      </c>
      <c r="K1400">
        <v>0</v>
      </c>
    </row>
    <row r="1401" spans="1:11" x14ac:dyDescent="0.3">
      <c r="A1401">
        <v>1400</v>
      </c>
      <c r="B1401">
        <v>91</v>
      </c>
      <c r="C1401">
        <v>3</v>
      </c>
      <c r="D1401">
        <v>1285</v>
      </c>
      <c r="E1401" t="s">
        <v>651</v>
      </c>
      <c r="F1401">
        <v>2.4900000000000002</v>
      </c>
      <c r="G1401" t="s">
        <v>623</v>
      </c>
      <c r="H1401" s="1">
        <v>46073.549050925925</v>
      </c>
      <c r="I1401" t="s">
        <v>635</v>
      </c>
      <c r="J1401">
        <v>2.4900000000000002</v>
      </c>
      <c r="K1401">
        <v>0</v>
      </c>
    </row>
    <row r="1402" spans="1:11" x14ac:dyDescent="0.3">
      <c r="A1402">
        <v>1401</v>
      </c>
      <c r="B1402">
        <v>67</v>
      </c>
      <c r="C1402">
        <v>3</v>
      </c>
      <c r="D1402">
        <v>1286</v>
      </c>
      <c r="E1402" t="s">
        <v>651</v>
      </c>
      <c r="F1402">
        <v>3.77</v>
      </c>
      <c r="G1402" t="s">
        <v>623</v>
      </c>
      <c r="H1402" s="1">
        <v>46073.64984953704</v>
      </c>
      <c r="I1402" t="s">
        <v>635</v>
      </c>
      <c r="J1402">
        <v>3.77</v>
      </c>
      <c r="K1402">
        <v>0</v>
      </c>
    </row>
    <row r="1403" spans="1:11" x14ac:dyDescent="0.3">
      <c r="A1403">
        <v>1402</v>
      </c>
      <c r="B1403">
        <v>18</v>
      </c>
      <c r="C1403">
        <v>3</v>
      </c>
      <c r="D1403">
        <v>1287</v>
      </c>
      <c r="E1403" t="s">
        <v>651</v>
      </c>
      <c r="F1403">
        <v>11.15</v>
      </c>
      <c r="G1403" t="s">
        <v>623</v>
      </c>
      <c r="H1403" s="1">
        <v>46074.321250000001</v>
      </c>
      <c r="I1403" t="s">
        <v>635</v>
      </c>
      <c r="J1403">
        <v>11.15</v>
      </c>
      <c r="K1403">
        <v>0</v>
      </c>
    </row>
    <row r="1404" spans="1:11" x14ac:dyDescent="0.3">
      <c r="A1404">
        <v>1403</v>
      </c>
      <c r="B1404">
        <v>187</v>
      </c>
      <c r="C1404">
        <v>4</v>
      </c>
      <c r="D1404">
        <v>1288</v>
      </c>
      <c r="E1404" t="s">
        <v>651</v>
      </c>
      <c r="F1404">
        <v>2.64</v>
      </c>
      <c r="G1404" t="s">
        <v>623</v>
      </c>
      <c r="H1404" s="1">
        <v>46074.499664351853</v>
      </c>
      <c r="I1404" t="s">
        <v>635</v>
      </c>
      <c r="J1404">
        <v>2.64</v>
      </c>
      <c r="K1404">
        <v>0</v>
      </c>
    </row>
    <row r="1405" spans="1:11" x14ac:dyDescent="0.3">
      <c r="A1405">
        <v>1404</v>
      </c>
      <c r="B1405">
        <v>202</v>
      </c>
      <c r="C1405">
        <v>4</v>
      </c>
      <c r="D1405">
        <v>1289</v>
      </c>
      <c r="E1405" t="s">
        <v>651</v>
      </c>
      <c r="F1405">
        <v>3.37</v>
      </c>
      <c r="G1405" t="s">
        <v>623</v>
      </c>
      <c r="H1405" s="1">
        <v>46074.637453703705</v>
      </c>
      <c r="I1405" t="s">
        <v>635</v>
      </c>
      <c r="J1405">
        <v>3.37</v>
      </c>
      <c r="K1405">
        <v>0</v>
      </c>
    </row>
    <row r="1406" spans="1:11" x14ac:dyDescent="0.3">
      <c r="A1406">
        <v>1405</v>
      </c>
      <c r="B1406">
        <v>56</v>
      </c>
      <c r="C1406">
        <v>5</v>
      </c>
      <c r="D1406">
        <v>1290</v>
      </c>
      <c r="E1406" t="s">
        <v>651</v>
      </c>
      <c r="F1406">
        <v>8.42</v>
      </c>
      <c r="G1406" t="s">
        <v>623</v>
      </c>
      <c r="H1406" s="1">
        <v>46074.695694444446</v>
      </c>
      <c r="I1406" t="s">
        <v>635</v>
      </c>
      <c r="J1406">
        <v>8.42</v>
      </c>
      <c r="K1406">
        <v>0</v>
      </c>
    </row>
    <row r="1407" spans="1:11" x14ac:dyDescent="0.3">
      <c r="A1407">
        <v>1406</v>
      </c>
      <c r="B1407">
        <v>152</v>
      </c>
      <c r="C1407">
        <v>4</v>
      </c>
      <c r="D1407">
        <v>1291</v>
      </c>
      <c r="E1407" t="s">
        <v>651</v>
      </c>
      <c r="F1407">
        <v>9.81</v>
      </c>
      <c r="G1407" t="s">
        <v>623</v>
      </c>
      <c r="H1407" s="1">
        <v>46074.703009259261</v>
      </c>
      <c r="I1407" t="s">
        <v>635</v>
      </c>
      <c r="J1407">
        <v>9.81</v>
      </c>
      <c r="K1407">
        <v>0</v>
      </c>
    </row>
    <row r="1408" spans="1:11" x14ac:dyDescent="0.3">
      <c r="A1408">
        <v>1407</v>
      </c>
      <c r="B1408">
        <v>28</v>
      </c>
      <c r="C1408">
        <v>3</v>
      </c>
      <c r="D1408">
        <v>1292</v>
      </c>
      <c r="E1408" t="s">
        <v>651</v>
      </c>
      <c r="F1408">
        <v>2.19</v>
      </c>
      <c r="G1408" t="s">
        <v>623</v>
      </c>
      <c r="H1408" s="1">
        <v>46075.315370370372</v>
      </c>
      <c r="I1408" t="s">
        <v>635</v>
      </c>
      <c r="J1408">
        <v>2.19</v>
      </c>
      <c r="K1408">
        <v>0</v>
      </c>
    </row>
    <row r="1409" spans="1:11" x14ac:dyDescent="0.3">
      <c r="A1409">
        <v>1408</v>
      </c>
      <c r="B1409">
        <v>66</v>
      </c>
      <c r="C1409">
        <v>5</v>
      </c>
      <c r="D1409">
        <v>1293</v>
      </c>
      <c r="E1409" t="s">
        <v>651</v>
      </c>
      <c r="F1409">
        <v>12.8</v>
      </c>
      <c r="G1409" t="s">
        <v>623</v>
      </c>
      <c r="H1409" s="1">
        <v>46075.374282407407</v>
      </c>
      <c r="I1409" t="s">
        <v>635</v>
      </c>
      <c r="J1409">
        <v>12.8</v>
      </c>
      <c r="K1409">
        <v>0</v>
      </c>
    </row>
    <row r="1410" spans="1:11" x14ac:dyDescent="0.3">
      <c r="A1410">
        <v>1409</v>
      </c>
      <c r="B1410">
        <v>149</v>
      </c>
      <c r="C1410">
        <v>3</v>
      </c>
      <c r="D1410">
        <v>1294</v>
      </c>
      <c r="E1410" t="s">
        <v>651</v>
      </c>
      <c r="F1410">
        <v>2.2000000000000002</v>
      </c>
      <c r="G1410" t="s">
        <v>623</v>
      </c>
      <c r="H1410" s="1">
        <v>46075.402048611111</v>
      </c>
      <c r="I1410" t="s">
        <v>635</v>
      </c>
      <c r="J1410">
        <v>2.2000000000000002</v>
      </c>
      <c r="K1410">
        <v>0</v>
      </c>
    </row>
    <row r="1411" spans="1:11" x14ac:dyDescent="0.3">
      <c r="A1411">
        <v>1410</v>
      </c>
      <c r="B1411">
        <v>149</v>
      </c>
      <c r="C1411">
        <v>5</v>
      </c>
      <c r="D1411">
        <v>1295</v>
      </c>
      <c r="E1411" t="s">
        <v>651</v>
      </c>
      <c r="F1411">
        <v>3.89</v>
      </c>
      <c r="G1411" t="s">
        <v>623</v>
      </c>
      <c r="H1411" s="1">
        <v>46075.417592592596</v>
      </c>
      <c r="I1411" t="s">
        <v>635</v>
      </c>
      <c r="J1411">
        <v>3.89</v>
      </c>
      <c r="K1411">
        <v>0</v>
      </c>
    </row>
    <row r="1412" spans="1:11" x14ac:dyDescent="0.3">
      <c r="A1412">
        <v>1411</v>
      </c>
      <c r="B1412">
        <v>87</v>
      </c>
      <c r="C1412">
        <v>2</v>
      </c>
      <c r="D1412">
        <v>1296</v>
      </c>
      <c r="E1412" t="s">
        <v>651</v>
      </c>
      <c r="F1412">
        <v>10.36</v>
      </c>
      <c r="G1412" t="s">
        <v>623</v>
      </c>
      <c r="H1412" s="1">
        <v>46075.458541666667</v>
      </c>
      <c r="I1412" t="s">
        <v>635</v>
      </c>
      <c r="J1412">
        <v>10.36</v>
      </c>
      <c r="K1412">
        <v>0</v>
      </c>
    </row>
    <row r="1413" spans="1:11" x14ac:dyDescent="0.3">
      <c r="A1413">
        <v>1412</v>
      </c>
      <c r="B1413">
        <v>190</v>
      </c>
      <c r="C1413">
        <v>4</v>
      </c>
      <c r="D1413">
        <v>1297</v>
      </c>
      <c r="E1413" t="s">
        <v>651</v>
      </c>
      <c r="F1413">
        <v>13.56</v>
      </c>
      <c r="G1413" t="s">
        <v>623</v>
      </c>
      <c r="H1413" s="1">
        <v>46075.483043981483</v>
      </c>
      <c r="I1413" t="s">
        <v>635</v>
      </c>
      <c r="J1413">
        <v>13.56</v>
      </c>
      <c r="K1413">
        <v>0</v>
      </c>
    </row>
    <row r="1414" spans="1:11" x14ac:dyDescent="0.3">
      <c r="A1414">
        <v>1413</v>
      </c>
      <c r="B1414">
        <v>80</v>
      </c>
      <c r="C1414">
        <v>4</v>
      </c>
      <c r="D1414">
        <v>1298</v>
      </c>
      <c r="E1414" t="s">
        <v>651</v>
      </c>
      <c r="F1414">
        <v>2.39</v>
      </c>
      <c r="G1414" t="s">
        <v>623</v>
      </c>
      <c r="H1414" s="1">
        <v>46075.631307870368</v>
      </c>
      <c r="I1414" t="s">
        <v>635</v>
      </c>
      <c r="J1414">
        <v>2.39</v>
      </c>
      <c r="K1414">
        <v>0</v>
      </c>
    </row>
    <row r="1415" spans="1:11" x14ac:dyDescent="0.3">
      <c r="A1415">
        <v>1414</v>
      </c>
      <c r="B1415">
        <v>195</v>
      </c>
      <c r="C1415">
        <v>5</v>
      </c>
      <c r="D1415">
        <v>1299</v>
      </c>
      <c r="E1415" t="s">
        <v>651</v>
      </c>
      <c r="F1415">
        <v>9.77</v>
      </c>
      <c r="G1415" t="s">
        <v>623</v>
      </c>
      <c r="H1415" s="1">
        <v>46075.641041666669</v>
      </c>
      <c r="I1415" t="s">
        <v>635</v>
      </c>
      <c r="J1415">
        <v>9.77</v>
      </c>
      <c r="K1415">
        <v>0</v>
      </c>
    </row>
    <row r="1416" spans="1:11" x14ac:dyDescent="0.3">
      <c r="A1416">
        <v>1415</v>
      </c>
      <c r="B1416">
        <v>59</v>
      </c>
      <c r="C1416">
        <v>4</v>
      </c>
      <c r="D1416">
        <v>1300</v>
      </c>
      <c r="E1416" t="s">
        <v>651</v>
      </c>
      <c r="F1416">
        <v>3.58</v>
      </c>
      <c r="G1416" t="s">
        <v>623</v>
      </c>
      <c r="H1416" s="1">
        <v>46076.378599537034</v>
      </c>
      <c r="I1416" t="s">
        <v>635</v>
      </c>
      <c r="J1416">
        <v>3.58</v>
      </c>
      <c r="K1416">
        <v>0</v>
      </c>
    </row>
    <row r="1417" spans="1:11" x14ac:dyDescent="0.3">
      <c r="A1417">
        <v>1416</v>
      </c>
      <c r="B1417">
        <v>65</v>
      </c>
      <c r="C1417">
        <v>5</v>
      </c>
      <c r="D1417">
        <v>1301</v>
      </c>
      <c r="E1417" t="s">
        <v>651</v>
      </c>
      <c r="F1417">
        <v>2.97</v>
      </c>
      <c r="G1417" t="s">
        <v>623</v>
      </c>
      <c r="H1417" s="1">
        <v>46076.384629629632</v>
      </c>
      <c r="I1417" t="s">
        <v>635</v>
      </c>
      <c r="J1417">
        <v>2.97</v>
      </c>
      <c r="K1417">
        <v>0</v>
      </c>
    </row>
    <row r="1418" spans="1:11" x14ac:dyDescent="0.3">
      <c r="A1418">
        <v>1417</v>
      </c>
      <c r="B1418">
        <v>230</v>
      </c>
      <c r="C1418">
        <v>2</v>
      </c>
      <c r="D1418">
        <v>1302</v>
      </c>
      <c r="E1418" t="s">
        <v>651</v>
      </c>
      <c r="F1418">
        <v>12.31</v>
      </c>
      <c r="G1418" t="s">
        <v>623</v>
      </c>
      <c r="H1418" s="1">
        <v>46076.387037037035</v>
      </c>
      <c r="I1418" t="s">
        <v>635</v>
      </c>
      <c r="J1418">
        <v>12.31</v>
      </c>
      <c r="K1418">
        <v>0</v>
      </c>
    </row>
    <row r="1419" spans="1:11" x14ac:dyDescent="0.3">
      <c r="A1419">
        <v>1418</v>
      </c>
      <c r="B1419">
        <v>7</v>
      </c>
      <c r="C1419">
        <v>3</v>
      </c>
      <c r="D1419">
        <v>1303</v>
      </c>
      <c r="E1419" t="s">
        <v>651</v>
      </c>
      <c r="F1419">
        <v>13.04</v>
      </c>
      <c r="G1419" t="s">
        <v>623</v>
      </c>
      <c r="H1419" s="1">
        <v>46076.42696759259</v>
      </c>
      <c r="I1419" t="s">
        <v>635</v>
      </c>
      <c r="J1419">
        <v>13.04</v>
      </c>
      <c r="K1419">
        <v>0</v>
      </c>
    </row>
    <row r="1420" spans="1:11" x14ac:dyDescent="0.3">
      <c r="A1420">
        <v>1419</v>
      </c>
      <c r="B1420">
        <v>96</v>
      </c>
      <c r="C1420">
        <v>4</v>
      </c>
      <c r="D1420">
        <v>1304</v>
      </c>
      <c r="E1420" t="s">
        <v>651</v>
      </c>
      <c r="F1420">
        <v>16.62</v>
      </c>
      <c r="G1420" t="s">
        <v>623</v>
      </c>
      <c r="H1420" s="1">
        <v>46076.436307870368</v>
      </c>
      <c r="I1420" t="s">
        <v>635</v>
      </c>
      <c r="J1420">
        <v>16.62</v>
      </c>
      <c r="K1420">
        <v>0</v>
      </c>
    </row>
    <row r="1421" spans="1:11" x14ac:dyDescent="0.3">
      <c r="A1421">
        <v>1420</v>
      </c>
      <c r="B1421">
        <v>249</v>
      </c>
      <c r="C1421">
        <v>2</v>
      </c>
      <c r="D1421">
        <v>1305</v>
      </c>
      <c r="E1421" t="s">
        <v>651</v>
      </c>
      <c r="F1421">
        <v>8.42</v>
      </c>
      <c r="G1421" t="s">
        <v>623</v>
      </c>
      <c r="H1421" s="1">
        <v>46076.436759259261</v>
      </c>
      <c r="I1421" t="s">
        <v>635</v>
      </c>
      <c r="J1421">
        <v>8.42</v>
      </c>
      <c r="K1421">
        <v>0</v>
      </c>
    </row>
    <row r="1422" spans="1:11" x14ac:dyDescent="0.3">
      <c r="A1422">
        <v>1421</v>
      </c>
      <c r="B1422">
        <v>52</v>
      </c>
      <c r="C1422">
        <v>5</v>
      </c>
      <c r="D1422">
        <v>1306</v>
      </c>
      <c r="E1422" t="s">
        <v>651</v>
      </c>
      <c r="F1422">
        <v>3.22</v>
      </c>
      <c r="G1422" t="s">
        <v>623</v>
      </c>
      <c r="H1422" s="1">
        <v>46076.458321759259</v>
      </c>
      <c r="I1422" t="s">
        <v>635</v>
      </c>
      <c r="J1422">
        <v>3.22</v>
      </c>
      <c r="K1422">
        <v>0</v>
      </c>
    </row>
    <row r="1423" spans="1:11" x14ac:dyDescent="0.3">
      <c r="A1423">
        <v>1422</v>
      </c>
      <c r="B1423">
        <v>31</v>
      </c>
      <c r="C1423">
        <v>2</v>
      </c>
      <c r="D1423">
        <v>1307</v>
      </c>
      <c r="E1423" t="s">
        <v>651</v>
      </c>
      <c r="F1423">
        <v>2.77</v>
      </c>
      <c r="G1423" t="s">
        <v>623</v>
      </c>
      <c r="H1423" s="1">
        <v>46076.535312499997</v>
      </c>
      <c r="I1423" t="s">
        <v>635</v>
      </c>
      <c r="J1423">
        <v>2.77</v>
      </c>
      <c r="K1423">
        <v>0</v>
      </c>
    </row>
    <row r="1424" spans="1:11" x14ac:dyDescent="0.3">
      <c r="A1424">
        <v>1423</v>
      </c>
      <c r="B1424">
        <v>293</v>
      </c>
      <c r="C1424">
        <v>2</v>
      </c>
      <c r="D1424">
        <v>1308</v>
      </c>
      <c r="E1424" t="s">
        <v>651</v>
      </c>
      <c r="F1424">
        <v>3.03</v>
      </c>
      <c r="G1424" t="s">
        <v>623</v>
      </c>
      <c r="H1424" s="1">
        <v>46076.553298611114</v>
      </c>
      <c r="I1424" t="s">
        <v>635</v>
      </c>
      <c r="J1424">
        <v>3.03</v>
      </c>
      <c r="K1424">
        <v>0</v>
      </c>
    </row>
    <row r="1425" spans="1:11" x14ac:dyDescent="0.3">
      <c r="A1425">
        <v>1424</v>
      </c>
      <c r="B1425">
        <v>293</v>
      </c>
      <c r="C1425">
        <v>5</v>
      </c>
      <c r="D1425">
        <v>1308</v>
      </c>
      <c r="E1425" t="s">
        <v>649</v>
      </c>
      <c r="F1425">
        <v>-3.03</v>
      </c>
      <c r="G1425" t="s">
        <v>712</v>
      </c>
      <c r="H1425" s="1">
        <v>46076.636631944442</v>
      </c>
      <c r="I1425" t="s">
        <v>635</v>
      </c>
      <c r="J1425">
        <v>0</v>
      </c>
      <c r="K1425">
        <v>0</v>
      </c>
    </row>
    <row r="1426" spans="1:11" x14ac:dyDescent="0.3">
      <c r="A1426">
        <v>1425</v>
      </c>
      <c r="B1426">
        <v>48</v>
      </c>
      <c r="C1426">
        <v>5</v>
      </c>
      <c r="D1426">
        <v>1309</v>
      </c>
      <c r="E1426" t="s">
        <v>651</v>
      </c>
      <c r="F1426">
        <v>16.12</v>
      </c>
      <c r="G1426" t="s">
        <v>623</v>
      </c>
      <c r="H1426" s="1">
        <v>46076.672511574077</v>
      </c>
      <c r="I1426" t="s">
        <v>635</v>
      </c>
      <c r="J1426">
        <v>16.12</v>
      </c>
      <c r="K1426">
        <v>0</v>
      </c>
    </row>
    <row r="1427" spans="1:11" x14ac:dyDescent="0.3">
      <c r="A1427">
        <v>1426</v>
      </c>
      <c r="B1427">
        <v>72</v>
      </c>
      <c r="C1427">
        <v>4</v>
      </c>
      <c r="D1427">
        <v>1310</v>
      </c>
      <c r="E1427" t="s">
        <v>651</v>
      </c>
      <c r="F1427">
        <v>3.12</v>
      </c>
      <c r="G1427" t="s">
        <v>623</v>
      </c>
      <c r="H1427" s="1">
        <v>46076.76699074074</v>
      </c>
      <c r="I1427" t="s">
        <v>635</v>
      </c>
      <c r="J1427">
        <v>3.12</v>
      </c>
      <c r="K1427">
        <v>0</v>
      </c>
    </row>
    <row r="1428" spans="1:11" x14ac:dyDescent="0.3">
      <c r="A1428">
        <v>1427</v>
      </c>
      <c r="B1428">
        <v>117</v>
      </c>
      <c r="C1428">
        <v>2</v>
      </c>
      <c r="D1428">
        <v>1311</v>
      </c>
      <c r="E1428" t="s">
        <v>651</v>
      </c>
      <c r="F1428">
        <v>9.41</v>
      </c>
      <c r="G1428" t="s">
        <v>623</v>
      </c>
      <c r="H1428" s="1">
        <v>46076.768206018518</v>
      </c>
      <c r="I1428" t="s">
        <v>635</v>
      </c>
      <c r="J1428">
        <v>9.41</v>
      </c>
      <c r="K1428">
        <v>0</v>
      </c>
    </row>
    <row r="1429" spans="1:11" x14ac:dyDescent="0.3">
      <c r="A1429">
        <v>1428</v>
      </c>
      <c r="B1429">
        <v>293</v>
      </c>
      <c r="C1429">
        <v>2</v>
      </c>
      <c r="D1429">
        <v>1312</v>
      </c>
      <c r="E1429" t="s">
        <v>651</v>
      </c>
      <c r="F1429">
        <v>2.33</v>
      </c>
      <c r="G1429" t="s">
        <v>623</v>
      </c>
      <c r="H1429" s="1">
        <v>46076.792916666665</v>
      </c>
      <c r="I1429" t="s">
        <v>635</v>
      </c>
      <c r="J1429">
        <v>2.33</v>
      </c>
      <c r="K1429">
        <v>0</v>
      </c>
    </row>
    <row r="1430" spans="1:11" x14ac:dyDescent="0.3">
      <c r="A1430">
        <v>1429</v>
      </c>
      <c r="B1430">
        <v>7</v>
      </c>
      <c r="C1430">
        <v>4</v>
      </c>
      <c r="D1430">
        <v>1313</v>
      </c>
      <c r="E1430" t="s">
        <v>651</v>
      </c>
      <c r="F1430">
        <v>12.75</v>
      </c>
      <c r="G1430" t="s">
        <v>623</v>
      </c>
      <c r="H1430" s="1">
        <v>46077.316874999997</v>
      </c>
      <c r="I1430" t="s">
        <v>635</v>
      </c>
      <c r="J1430">
        <v>12.75</v>
      </c>
      <c r="K1430">
        <v>0</v>
      </c>
    </row>
    <row r="1431" spans="1:11" x14ac:dyDescent="0.3">
      <c r="A1431">
        <v>1430</v>
      </c>
      <c r="B1431">
        <v>23</v>
      </c>
      <c r="C1431">
        <v>3</v>
      </c>
      <c r="D1431">
        <v>1314</v>
      </c>
      <c r="E1431" t="s">
        <v>651</v>
      </c>
      <c r="F1431">
        <v>20.51</v>
      </c>
      <c r="G1431" t="s">
        <v>623</v>
      </c>
      <c r="H1431" s="1">
        <v>46077.318229166667</v>
      </c>
      <c r="I1431" t="s">
        <v>635</v>
      </c>
      <c r="J1431">
        <v>20.51</v>
      </c>
      <c r="K1431">
        <v>0</v>
      </c>
    </row>
    <row r="1432" spans="1:11" x14ac:dyDescent="0.3">
      <c r="A1432">
        <v>1431</v>
      </c>
      <c r="B1432">
        <v>156</v>
      </c>
      <c r="C1432">
        <v>5</v>
      </c>
      <c r="D1432">
        <v>1315</v>
      </c>
      <c r="E1432" t="s">
        <v>651</v>
      </c>
      <c r="F1432">
        <v>3.35</v>
      </c>
      <c r="G1432" t="s">
        <v>623</v>
      </c>
      <c r="H1432" s="1">
        <v>46077.324861111112</v>
      </c>
      <c r="I1432" t="s">
        <v>635</v>
      </c>
      <c r="J1432">
        <v>3.35</v>
      </c>
      <c r="K1432">
        <v>0</v>
      </c>
    </row>
    <row r="1433" spans="1:11" x14ac:dyDescent="0.3">
      <c r="A1433">
        <v>1432</v>
      </c>
      <c r="B1433">
        <v>17</v>
      </c>
      <c r="C1433">
        <v>4</v>
      </c>
      <c r="D1433">
        <v>1316</v>
      </c>
      <c r="E1433" t="s">
        <v>651</v>
      </c>
      <c r="F1433">
        <v>5.17</v>
      </c>
      <c r="G1433" t="s">
        <v>623</v>
      </c>
      <c r="H1433" s="1">
        <v>46077.335821759261</v>
      </c>
      <c r="I1433" t="s">
        <v>635</v>
      </c>
      <c r="J1433">
        <v>5.17</v>
      </c>
      <c r="K1433">
        <v>0</v>
      </c>
    </row>
    <row r="1434" spans="1:11" x14ac:dyDescent="0.3">
      <c r="A1434">
        <v>1433</v>
      </c>
      <c r="B1434">
        <v>277</v>
      </c>
      <c r="C1434">
        <v>2</v>
      </c>
      <c r="D1434">
        <v>1317</v>
      </c>
      <c r="E1434" t="s">
        <v>651</v>
      </c>
      <c r="F1434">
        <v>12.49</v>
      </c>
      <c r="G1434" t="s">
        <v>623</v>
      </c>
      <c r="H1434" s="1">
        <v>46077.416400462964</v>
      </c>
      <c r="I1434" t="s">
        <v>635</v>
      </c>
      <c r="J1434">
        <v>12.49</v>
      </c>
      <c r="K1434">
        <v>0</v>
      </c>
    </row>
    <row r="1435" spans="1:11" x14ac:dyDescent="0.3">
      <c r="A1435">
        <v>1434</v>
      </c>
      <c r="B1435">
        <v>136</v>
      </c>
      <c r="C1435">
        <v>5</v>
      </c>
      <c r="D1435">
        <v>1318</v>
      </c>
      <c r="E1435" t="s">
        <v>651</v>
      </c>
      <c r="F1435">
        <v>5.58</v>
      </c>
      <c r="G1435" t="s">
        <v>623</v>
      </c>
      <c r="H1435" s="1">
        <v>46077.439108796294</v>
      </c>
      <c r="I1435" t="s">
        <v>635</v>
      </c>
      <c r="J1435">
        <v>5.58</v>
      </c>
      <c r="K1435">
        <v>0</v>
      </c>
    </row>
    <row r="1436" spans="1:11" x14ac:dyDescent="0.3">
      <c r="A1436">
        <v>1435</v>
      </c>
      <c r="B1436">
        <v>149</v>
      </c>
      <c r="C1436">
        <v>4</v>
      </c>
      <c r="D1436">
        <v>1319</v>
      </c>
      <c r="E1436" t="s">
        <v>651</v>
      </c>
      <c r="F1436">
        <v>2.48</v>
      </c>
      <c r="G1436" t="s">
        <v>623</v>
      </c>
      <c r="H1436" s="1">
        <v>46077.480405092596</v>
      </c>
      <c r="I1436" t="s">
        <v>635</v>
      </c>
      <c r="J1436">
        <v>2.48</v>
      </c>
      <c r="K1436">
        <v>0</v>
      </c>
    </row>
    <row r="1437" spans="1:11" x14ac:dyDescent="0.3">
      <c r="A1437">
        <v>1436</v>
      </c>
      <c r="B1437">
        <v>172</v>
      </c>
      <c r="C1437">
        <v>3</v>
      </c>
      <c r="D1437">
        <v>1320</v>
      </c>
      <c r="E1437" t="s">
        <v>651</v>
      </c>
      <c r="F1437">
        <v>2.02</v>
      </c>
      <c r="G1437" t="s">
        <v>623</v>
      </c>
      <c r="H1437" s="1">
        <v>46077.487627314818</v>
      </c>
      <c r="I1437" t="s">
        <v>635</v>
      </c>
      <c r="J1437">
        <v>2.02</v>
      </c>
      <c r="K1437">
        <v>0</v>
      </c>
    </row>
    <row r="1438" spans="1:11" x14ac:dyDescent="0.3">
      <c r="A1438">
        <v>1437</v>
      </c>
      <c r="B1438">
        <v>175</v>
      </c>
      <c r="C1438">
        <v>3</v>
      </c>
      <c r="D1438">
        <v>1321</v>
      </c>
      <c r="E1438" t="s">
        <v>651</v>
      </c>
      <c r="F1438">
        <v>3.17</v>
      </c>
      <c r="G1438" t="s">
        <v>623</v>
      </c>
      <c r="H1438" s="1">
        <v>46077.611342592594</v>
      </c>
      <c r="I1438" t="s">
        <v>635</v>
      </c>
      <c r="J1438">
        <v>3.17</v>
      </c>
      <c r="K1438">
        <v>0</v>
      </c>
    </row>
    <row r="1439" spans="1:11" x14ac:dyDescent="0.3">
      <c r="A1439">
        <v>1438</v>
      </c>
      <c r="B1439">
        <v>268</v>
      </c>
      <c r="C1439">
        <v>2</v>
      </c>
      <c r="D1439">
        <v>1322</v>
      </c>
      <c r="E1439" t="s">
        <v>651</v>
      </c>
      <c r="F1439">
        <v>2.36</v>
      </c>
      <c r="G1439" t="s">
        <v>623</v>
      </c>
      <c r="H1439" s="1">
        <v>46077.632627314815</v>
      </c>
      <c r="I1439" t="s">
        <v>635</v>
      </c>
      <c r="J1439">
        <v>2.36</v>
      </c>
      <c r="K1439">
        <v>0</v>
      </c>
    </row>
    <row r="1440" spans="1:11" x14ac:dyDescent="0.3">
      <c r="A1440">
        <v>1439</v>
      </c>
      <c r="B1440">
        <v>65</v>
      </c>
      <c r="C1440">
        <v>5</v>
      </c>
      <c r="D1440">
        <v>1323</v>
      </c>
      <c r="E1440" t="s">
        <v>651</v>
      </c>
      <c r="F1440">
        <v>5.37</v>
      </c>
      <c r="G1440" t="s">
        <v>623</v>
      </c>
      <c r="H1440" s="1">
        <v>46077.655439814815</v>
      </c>
      <c r="I1440" t="s">
        <v>635</v>
      </c>
      <c r="J1440">
        <v>5.37</v>
      </c>
      <c r="K1440">
        <v>0</v>
      </c>
    </row>
    <row r="1441" spans="1:11" x14ac:dyDescent="0.3">
      <c r="A1441">
        <v>1440</v>
      </c>
      <c r="B1441">
        <v>304</v>
      </c>
      <c r="C1441">
        <v>2</v>
      </c>
      <c r="D1441">
        <v>1324</v>
      </c>
      <c r="E1441" t="s">
        <v>651</v>
      </c>
      <c r="F1441">
        <v>1.41</v>
      </c>
      <c r="G1441" t="s">
        <v>623</v>
      </c>
      <c r="H1441" s="1">
        <v>46077.721689814818</v>
      </c>
      <c r="I1441" t="s">
        <v>635</v>
      </c>
      <c r="J1441">
        <v>1.41</v>
      </c>
      <c r="K1441">
        <v>0</v>
      </c>
    </row>
    <row r="1442" spans="1:11" x14ac:dyDescent="0.3">
      <c r="A1442">
        <v>1441</v>
      </c>
      <c r="B1442">
        <v>126</v>
      </c>
      <c r="C1442">
        <v>2</v>
      </c>
      <c r="D1442">
        <v>1325</v>
      </c>
      <c r="E1442" t="s">
        <v>651</v>
      </c>
      <c r="F1442">
        <v>14.76</v>
      </c>
      <c r="G1442" t="s">
        <v>623</v>
      </c>
      <c r="H1442" s="1">
        <v>46077.785439814812</v>
      </c>
      <c r="I1442" t="s">
        <v>635</v>
      </c>
      <c r="J1442">
        <v>14.76</v>
      </c>
      <c r="K1442">
        <v>0</v>
      </c>
    </row>
    <row r="1443" spans="1:11" x14ac:dyDescent="0.3">
      <c r="A1443">
        <v>1442</v>
      </c>
      <c r="B1443">
        <v>42</v>
      </c>
      <c r="C1443">
        <v>4</v>
      </c>
      <c r="D1443">
        <v>1326</v>
      </c>
      <c r="E1443" t="s">
        <v>651</v>
      </c>
      <c r="F1443">
        <v>3.53</v>
      </c>
      <c r="G1443" t="s">
        <v>623</v>
      </c>
      <c r="H1443" s="1">
        <v>46078.402418981481</v>
      </c>
      <c r="I1443" t="s">
        <v>635</v>
      </c>
      <c r="J1443">
        <v>3.53</v>
      </c>
      <c r="K1443">
        <v>0</v>
      </c>
    </row>
    <row r="1444" spans="1:11" x14ac:dyDescent="0.3">
      <c r="A1444">
        <v>1443</v>
      </c>
      <c r="B1444">
        <v>20</v>
      </c>
      <c r="C1444">
        <v>2</v>
      </c>
      <c r="D1444">
        <v>1327</v>
      </c>
      <c r="E1444" t="s">
        <v>651</v>
      </c>
      <c r="F1444">
        <v>2.02</v>
      </c>
      <c r="G1444" t="s">
        <v>623</v>
      </c>
      <c r="H1444" s="1">
        <v>46078.454143518517</v>
      </c>
      <c r="I1444" t="s">
        <v>635</v>
      </c>
      <c r="J1444">
        <v>2.02</v>
      </c>
      <c r="K1444">
        <v>0</v>
      </c>
    </row>
    <row r="1445" spans="1:11" x14ac:dyDescent="0.3">
      <c r="A1445">
        <v>1444</v>
      </c>
      <c r="B1445">
        <v>113</v>
      </c>
      <c r="C1445">
        <v>2</v>
      </c>
      <c r="D1445">
        <v>1328</v>
      </c>
      <c r="E1445" t="s">
        <v>651</v>
      </c>
      <c r="F1445">
        <v>1.86</v>
      </c>
      <c r="G1445" t="s">
        <v>623</v>
      </c>
      <c r="H1445" s="1">
        <v>46078.465925925928</v>
      </c>
      <c r="I1445" t="s">
        <v>635</v>
      </c>
      <c r="J1445">
        <v>1.86</v>
      </c>
      <c r="K1445">
        <v>0</v>
      </c>
    </row>
    <row r="1446" spans="1:11" x14ac:dyDescent="0.3">
      <c r="A1446">
        <v>1445</v>
      </c>
      <c r="B1446">
        <v>76</v>
      </c>
      <c r="C1446">
        <v>2</v>
      </c>
      <c r="D1446">
        <v>1329</v>
      </c>
      <c r="E1446" t="s">
        <v>651</v>
      </c>
      <c r="F1446">
        <v>7.79</v>
      </c>
      <c r="G1446" t="s">
        <v>623</v>
      </c>
      <c r="H1446" s="1">
        <v>46078.49690972222</v>
      </c>
      <c r="I1446" t="s">
        <v>635</v>
      </c>
      <c r="J1446">
        <v>7.79</v>
      </c>
      <c r="K1446">
        <v>0</v>
      </c>
    </row>
    <row r="1447" spans="1:11" x14ac:dyDescent="0.3">
      <c r="A1447">
        <v>1446</v>
      </c>
      <c r="B1447">
        <v>117</v>
      </c>
      <c r="C1447">
        <v>2</v>
      </c>
      <c r="D1447">
        <v>1330</v>
      </c>
      <c r="E1447" t="s">
        <v>651</v>
      </c>
      <c r="F1447">
        <v>7.34</v>
      </c>
      <c r="G1447" t="s">
        <v>623</v>
      </c>
      <c r="H1447" s="1">
        <v>46078.518807870372</v>
      </c>
      <c r="I1447" t="s">
        <v>635</v>
      </c>
      <c r="J1447">
        <v>7.34</v>
      </c>
      <c r="K1447">
        <v>0</v>
      </c>
    </row>
    <row r="1448" spans="1:11" x14ac:dyDescent="0.3">
      <c r="A1448">
        <v>1447</v>
      </c>
      <c r="B1448">
        <v>21</v>
      </c>
      <c r="C1448">
        <v>4</v>
      </c>
      <c r="D1448">
        <v>1331</v>
      </c>
      <c r="E1448" t="s">
        <v>651</v>
      </c>
      <c r="F1448">
        <v>3.01</v>
      </c>
      <c r="G1448" t="s">
        <v>623</v>
      </c>
      <c r="H1448" s="1">
        <v>46078.538078703707</v>
      </c>
      <c r="I1448" t="s">
        <v>635</v>
      </c>
      <c r="J1448">
        <v>3.01</v>
      </c>
      <c r="K1448">
        <v>0</v>
      </c>
    </row>
    <row r="1449" spans="1:11" x14ac:dyDescent="0.3">
      <c r="A1449">
        <v>1448</v>
      </c>
      <c r="B1449">
        <v>76</v>
      </c>
      <c r="C1449">
        <v>3</v>
      </c>
      <c r="D1449">
        <v>1332</v>
      </c>
      <c r="E1449" t="s">
        <v>651</v>
      </c>
      <c r="F1449">
        <v>6.27</v>
      </c>
      <c r="G1449" t="s">
        <v>623</v>
      </c>
      <c r="H1449" s="1">
        <v>46078.647002314814</v>
      </c>
      <c r="I1449" t="s">
        <v>635</v>
      </c>
      <c r="J1449">
        <v>6.27</v>
      </c>
      <c r="K1449">
        <v>0</v>
      </c>
    </row>
    <row r="1450" spans="1:11" x14ac:dyDescent="0.3">
      <c r="A1450">
        <v>1449</v>
      </c>
      <c r="B1450">
        <v>227</v>
      </c>
      <c r="C1450">
        <v>2</v>
      </c>
      <c r="D1450">
        <v>1333</v>
      </c>
      <c r="E1450" t="s">
        <v>651</v>
      </c>
      <c r="F1450">
        <v>2.6</v>
      </c>
      <c r="G1450" t="s">
        <v>623</v>
      </c>
      <c r="H1450" s="1">
        <v>46078.775277777779</v>
      </c>
      <c r="I1450" t="s">
        <v>635</v>
      </c>
      <c r="J1450">
        <v>2.6</v>
      </c>
      <c r="K1450">
        <v>0</v>
      </c>
    </row>
    <row r="1451" spans="1:11" x14ac:dyDescent="0.3">
      <c r="A1451">
        <v>1450</v>
      </c>
      <c r="B1451">
        <v>117</v>
      </c>
      <c r="C1451">
        <v>5</v>
      </c>
      <c r="D1451">
        <v>1334</v>
      </c>
      <c r="E1451" t="s">
        <v>651</v>
      </c>
      <c r="F1451">
        <v>5.75</v>
      </c>
      <c r="G1451" t="s">
        <v>623</v>
      </c>
      <c r="H1451" s="1">
        <v>46078.793703703705</v>
      </c>
      <c r="I1451" t="s">
        <v>635</v>
      </c>
      <c r="J1451">
        <v>5.75</v>
      </c>
      <c r="K1451">
        <v>0</v>
      </c>
    </row>
    <row r="1452" spans="1:11" x14ac:dyDescent="0.3">
      <c r="A1452">
        <v>1451</v>
      </c>
      <c r="B1452">
        <v>136</v>
      </c>
      <c r="C1452">
        <v>3</v>
      </c>
      <c r="D1452">
        <v>1318</v>
      </c>
      <c r="E1452" t="s">
        <v>649</v>
      </c>
      <c r="F1452">
        <v>-5.58</v>
      </c>
      <c r="G1452" t="s">
        <v>713</v>
      </c>
      <c r="H1452" s="1">
        <v>46079.27244212963</v>
      </c>
      <c r="I1452" t="s">
        <v>635</v>
      </c>
      <c r="J1452">
        <v>0</v>
      </c>
      <c r="K1452">
        <v>0</v>
      </c>
    </row>
    <row r="1453" spans="1:11" x14ac:dyDescent="0.3">
      <c r="A1453">
        <v>1452</v>
      </c>
      <c r="B1453">
        <v>302</v>
      </c>
      <c r="C1453">
        <v>2</v>
      </c>
      <c r="D1453">
        <v>1335</v>
      </c>
      <c r="E1453" t="s">
        <v>651</v>
      </c>
      <c r="F1453">
        <v>3.66</v>
      </c>
      <c r="G1453" t="s">
        <v>623</v>
      </c>
      <c r="H1453" s="1">
        <v>46079.310555555552</v>
      </c>
      <c r="I1453" t="s">
        <v>635</v>
      </c>
      <c r="J1453">
        <v>3.66</v>
      </c>
      <c r="K1453">
        <v>0</v>
      </c>
    </row>
    <row r="1454" spans="1:11" x14ac:dyDescent="0.3">
      <c r="A1454">
        <v>1453</v>
      </c>
      <c r="B1454">
        <v>65</v>
      </c>
      <c r="C1454">
        <v>2</v>
      </c>
      <c r="D1454">
        <v>1336</v>
      </c>
      <c r="E1454" t="s">
        <v>651</v>
      </c>
      <c r="F1454">
        <v>3.22</v>
      </c>
      <c r="G1454" t="s">
        <v>623</v>
      </c>
      <c r="H1454" s="1">
        <v>46079.397696759261</v>
      </c>
      <c r="I1454" t="s">
        <v>635</v>
      </c>
      <c r="J1454">
        <v>3.22</v>
      </c>
      <c r="K1454">
        <v>0</v>
      </c>
    </row>
    <row r="1455" spans="1:11" x14ac:dyDescent="0.3">
      <c r="A1455">
        <v>1454</v>
      </c>
      <c r="B1455">
        <v>212</v>
      </c>
      <c r="C1455">
        <v>2</v>
      </c>
      <c r="D1455">
        <v>1337</v>
      </c>
      <c r="E1455" t="s">
        <v>651</v>
      </c>
      <c r="F1455">
        <v>10.050000000000001</v>
      </c>
      <c r="G1455" t="s">
        <v>623</v>
      </c>
      <c r="H1455" s="1">
        <v>46079.404849537037</v>
      </c>
      <c r="I1455" t="s">
        <v>635</v>
      </c>
      <c r="J1455">
        <v>10.050000000000001</v>
      </c>
      <c r="K1455">
        <v>0</v>
      </c>
    </row>
    <row r="1456" spans="1:11" x14ac:dyDescent="0.3">
      <c r="A1456">
        <v>1455</v>
      </c>
      <c r="B1456">
        <v>92</v>
      </c>
      <c r="C1456">
        <v>5</v>
      </c>
      <c r="D1456">
        <v>1338</v>
      </c>
      <c r="E1456" t="s">
        <v>651</v>
      </c>
      <c r="F1456">
        <v>4.05</v>
      </c>
      <c r="G1456" t="s">
        <v>623</v>
      </c>
      <c r="H1456" s="1">
        <v>46079.405833333331</v>
      </c>
      <c r="I1456" t="s">
        <v>635</v>
      </c>
      <c r="J1456">
        <v>4.05</v>
      </c>
      <c r="K1456">
        <v>0</v>
      </c>
    </row>
    <row r="1457" spans="1:11" x14ac:dyDescent="0.3">
      <c r="A1457">
        <v>1456</v>
      </c>
      <c r="B1457">
        <v>175</v>
      </c>
      <c r="C1457">
        <v>2</v>
      </c>
      <c r="D1457">
        <v>1339</v>
      </c>
      <c r="E1457" t="s">
        <v>651</v>
      </c>
      <c r="F1457">
        <v>4.55</v>
      </c>
      <c r="G1457" t="s">
        <v>623</v>
      </c>
      <c r="H1457" s="1">
        <v>46079.458136574074</v>
      </c>
      <c r="I1457" t="s">
        <v>635</v>
      </c>
      <c r="J1457">
        <v>4.55</v>
      </c>
      <c r="K1457">
        <v>0</v>
      </c>
    </row>
    <row r="1458" spans="1:11" x14ac:dyDescent="0.3">
      <c r="A1458">
        <v>1457</v>
      </c>
      <c r="B1458">
        <v>244</v>
      </c>
      <c r="C1458">
        <v>4</v>
      </c>
      <c r="D1458">
        <v>1340</v>
      </c>
      <c r="E1458" t="s">
        <v>651</v>
      </c>
      <c r="F1458">
        <v>8.92</v>
      </c>
      <c r="G1458" t="s">
        <v>623</v>
      </c>
      <c r="H1458" s="1">
        <v>46079.614120370374</v>
      </c>
      <c r="I1458" t="s">
        <v>635</v>
      </c>
      <c r="J1458">
        <v>8.92</v>
      </c>
      <c r="K1458">
        <v>0</v>
      </c>
    </row>
    <row r="1459" spans="1:11" x14ac:dyDescent="0.3">
      <c r="A1459">
        <v>1458</v>
      </c>
      <c r="B1459">
        <v>137</v>
      </c>
      <c r="C1459">
        <v>3</v>
      </c>
      <c r="D1459">
        <v>1341</v>
      </c>
      <c r="E1459" t="s">
        <v>651</v>
      </c>
      <c r="F1459">
        <v>7.39</v>
      </c>
      <c r="G1459" t="s">
        <v>623</v>
      </c>
      <c r="H1459" s="1">
        <v>46079.695706018516</v>
      </c>
      <c r="I1459" t="s">
        <v>635</v>
      </c>
      <c r="J1459">
        <v>7.39</v>
      </c>
      <c r="K1459">
        <v>0</v>
      </c>
    </row>
    <row r="1460" spans="1:11" x14ac:dyDescent="0.3">
      <c r="A1460">
        <v>1459</v>
      </c>
      <c r="B1460">
        <v>6</v>
      </c>
      <c r="C1460">
        <v>4</v>
      </c>
      <c r="D1460">
        <v>1342</v>
      </c>
      <c r="E1460" t="s">
        <v>651</v>
      </c>
      <c r="F1460">
        <v>3.24</v>
      </c>
      <c r="G1460" t="s">
        <v>623</v>
      </c>
      <c r="H1460" s="1">
        <v>46079.744212962964</v>
      </c>
      <c r="I1460" t="s">
        <v>635</v>
      </c>
      <c r="J1460">
        <v>3.24</v>
      </c>
      <c r="K1460">
        <v>0</v>
      </c>
    </row>
    <row r="1461" spans="1:11" x14ac:dyDescent="0.3">
      <c r="A1461">
        <v>1460</v>
      </c>
      <c r="B1461">
        <v>65</v>
      </c>
      <c r="C1461">
        <v>4</v>
      </c>
      <c r="D1461">
        <v>1336</v>
      </c>
      <c r="E1461" t="s">
        <v>649</v>
      </c>
      <c r="F1461">
        <v>-3.22</v>
      </c>
      <c r="G1461" t="s">
        <v>714</v>
      </c>
      <c r="H1461" s="1">
        <v>46079.772696759261</v>
      </c>
      <c r="I1461" t="s">
        <v>635</v>
      </c>
      <c r="J1461">
        <v>0</v>
      </c>
      <c r="K1461">
        <v>0</v>
      </c>
    </row>
    <row r="1462" spans="1:11" x14ac:dyDescent="0.3">
      <c r="A1462">
        <v>1461</v>
      </c>
      <c r="B1462">
        <v>7</v>
      </c>
      <c r="C1462">
        <v>4</v>
      </c>
      <c r="D1462">
        <v>1343</v>
      </c>
      <c r="E1462" t="s">
        <v>657</v>
      </c>
      <c r="F1462">
        <v>47.8</v>
      </c>
      <c r="G1462" t="s">
        <v>623</v>
      </c>
      <c r="H1462" s="1">
        <v>46079.799664351849</v>
      </c>
      <c r="I1462" t="s">
        <v>635</v>
      </c>
      <c r="J1462">
        <v>0</v>
      </c>
      <c r="K1462">
        <v>47.8</v>
      </c>
    </row>
    <row r="1463" spans="1:11" x14ac:dyDescent="0.3">
      <c r="A1463">
        <v>1462</v>
      </c>
      <c r="B1463">
        <v>127</v>
      </c>
      <c r="C1463">
        <v>2</v>
      </c>
      <c r="D1463">
        <v>1344</v>
      </c>
      <c r="E1463" t="s">
        <v>651</v>
      </c>
      <c r="F1463">
        <v>6.15</v>
      </c>
      <c r="G1463" t="s">
        <v>623</v>
      </c>
      <c r="H1463" s="1">
        <v>46079.816331018519</v>
      </c>
      <c r="I1463" t="s">
        <v>635</v>
      </c>
      <c r="J1463">
        <v>6.15</v>
      </c>
      <c r="K1463">
        <v>0</v>
      </c>
    </row>
    <row r="1464" spans="1:11" x14ac:dyDescent="0.3">
      <c r="A1464">
        <v>1463</v>
      </c>
      <c r="B1464">
        <v>262</v>
      </c>
      <c r="C1464">
        <v>2</v>
      </c>
      <c r="D1464">
        <v>1345</v>
      </c>
      <c r="E1464" t="s">
        <v>651</v>
      </c>
      <c r="F1464">
        <v>7.51</v>
      </c>
      <c r="G1464" t="s">
        <v>623</v>
      </c>
      <c r="H1464" s="1">
        <v>46080.353680555556</v>
      </c>
      <c r="I1464" t="s">
        <v>635</v>
      </c>
      <c r="J1464">
        <v>7.51</v>
      </c>
      <c r="K1464">
        <v>0</v>
      </c>
    </row>
    <row r="1465" spans="1:11" x14ac:dyDescent="0.3">
      <c r="A1465">
        <v>1464</v>
      </c>
      <c r="B1465">
        <v>230</v>
      </c>
      <c r="C1465">
        <v>2</v>
      </c>
      <c r="D1465">
        <v>1346</v>
      </c>
      <c r="E1465" t="s">
        <v>651</v>
      </c>
      <c r="F1465">
        <v>16.7</v>
      </c>
      <c r="G1465" t="s">
        <v>623</v>
      </c>
      <c r="H1465" s="1">
        <v>46080.373541666668</v>
      </c>
      <c r="I1465" t="s">
        <v>635</v>
      </c>
      <c r="J1465">
        <v>16.7</v>
      </c>
      <c r="K1465">
        <v>0</v>
      </c>
    </row>
    <row r="1466" spans="1:11" x14ac:dyDescent="0.3">
      <c r="A1466">
        <v>1465</v>
      </c>
      <c r="B1466">
        <v>39</v>
      </c>
      <c r="C1466">
        <v>4</v>
      </c>
      <c r="D1466">
        <v>1347</v>
      </c>
      <c r="E1466" t="s">
        <v>651</v>
      </c>
      <c r="F1466">
        <v>10.220000000000001</v>
      </c>
      <c r="G1466" t="s">
        <v>623</v>
      </c>
      <c r="H1466" s="1">
        <v>46080.414652777778</v>
      </c>
      <c r="I1466" t="s">
        <v>635</v>
      </c>
      <c r="J1466">
        <v>10.220000000000001</v>
      </c>
      <c r="K1466">
        <v>0</v>
      </c>
    </row>
    <row r="1467" spans="1:11" x14ac:dyDescent="0.3">
      <c r="A1467">
        <v>1466</v>
      </c>
      <c r="B1467">
        <v>300</v>
      </c>
      <c r="C1467">
        <v>2</v>
      </c>
      <c r="D1467">
        <v>1348</v>
      </c>
      <c r="E1467" t="s">
        <v>651</v>
      </c>
      <c r="F1467">
        <v>6.1</v>
      </c>
      <c r="G1467" t="s">
        <v>623</v>
      </c>
      <c r="H1467" s="1">
        <v>46080.430960648147</v>
      </c>
      <c r="I1467" t="s">
        <v>635</v>
      </c>
      <c r="J1467">
        <v>6.1</v>
      </c>
      <c r="K1467">
        <v>0</v>
      </c>
    </row>
    <row r="1468" spans="1:11" x14ac:dyDescent="0.3">
      <c r="A1468">
        <v>1467</v>
      </c>
      <c r="B1468">
        <v>132</v>
      </c>
      <c r="C1468">
        <v>5</v>
      </c>
      <c r="D1468">
        <v>1349</v>
      </c>
      <c r="E1468" t="s">
        <v>651</v>
      </c>
      <c r="F1468">
        <v>20.39</v>
      </c>
      <c r="G1468" t="s">
        <v>623</v>
      </c>
      <c r="H1468" s="1">
        <v>46080.442384259259</v>
      </c>
      <c r="I1468" t="s">
        <v>635</v>
      </c>
      <c r="J1468">
        <v>20.39</v>
      </c>
      <c r="K1468">
        <v>0</v>
      </c>
    </row>
    <row r="1469" spans="1:11" x14ac:dyDescent="0.3">
      <c r="A1469">
        <v>1468</v>
      </c>
      <c r="B1469">
        <v>149</v>
      </c>
      <c r="C1469">
        <v>4</v>
      </c>
      <c r="D1469">
        <v>1350</v>
      </c>
      <c r="E1469" t="s">
        <v>651</v>
      </c>
      <c r="F1469">
        <v>2.68</v>
      </c>
      <c r="G1469" t="s">
        <v>623</v>
      </c>
      <c r="H1469" s="1">
        <v>46080.470555555556</v>
      </c>
      <c r="I1469" t="s">
        <v>635</v>
      </c>
      <c r="J1469">
        <v>2.68</v>
      </c>
      <c r="K1469">
        <v>0</v>
      </c>
    </row>
    <row r="1470" spans="1:11" x14ac:dyDescent="0.3">
      <c r="A1470">
        <v>1469</v>
      </c>
      <c r="B1470">
        <v>117</v>
      </c>
      <c r="C1470">
        <v>3</v>
      </c>
      <c r="D1470">
        <v>1351</v>
      </c>
      <c r="E1470" t="s">
        <v>651</v>
      </c>
      <c r="F1470">
        <v>11.09</v>
      </c>
      <c r="G1470" t="s">
        <v>623</v>
      </c>
      <c r="H1470" s="1">
        <v>46080.554791666669</v>
      </c>
      <c r="I1470" t="s">
        <v>635</v>
      </c>
      <c r="J1470">
        <v>11.09</v>
      </c>
      <c r="K1470">
        <v>0</v>
      </c>
    </row>
    <row r="1471" spans="1:11" x14ac:dyDescent="0.3">
      <c r="A1471">
        <v>1470</v>
      </c>
      <c r="B1471">
        <v>149</v>
      </c>
      <c r="C1471">
        <v>5</v>
      </c>
      <c r="D1471">
        <v>1352</v>
      </c>
      <c r="E1471" t="s">
        <v>651</v>
      </c>
      <c r="F1471">
        <v>2.2799999999999998</v>
      </c>
      <c r="G1471" t="s">
        <v>623</v>
      </c>
      <c r="H1471" s="1">
        <v>46080.601238425923</v>
      </c>
      <c r="I1471" t="s">
        <v>635</v>
      </c>
      <c r="J1471">
        <v>2.2799999999999998</v>
      </c>
      <c r="K1471">
        <v>0</v>
      </c>
    </row>
    <row r="1472" spans="1:11" x14ac:dyDescent="0.3">
      <c r="A1472">
        <v>1471</v>
      </c>
      <c r="B1472">
        <v>252</v>
      </c>
      <c r="C1472">
        <v>3</v>
      </c>
      <c r="D1472">
        <v>1353</v>
      </c>
      <c r="E1472" t="s">
        <v>651</v>
      </c>
      <c r="F1472">
        <v>2.68</v>
      </c>
      <c r="G1472" t="s">
        <v>623</v>
      </c>
      <c r="H1472" s="1">
        <v>46080.624699074076</v>
      </c>
      <c r="I1472" t="s">
        <v>635</v>
      </c>
      <c r="J1472">
        <v>2.68</v>
      </c>
      <c r="K1472">
        <v>0</v>
      </c>
    </row>
    <row r="1473" spans="1:11" x14ac:dyDescent="0.3">
      <c r="A1473">
        <v>1472</v>
      </c>
      <c r="B1473">
        <v>44</v>
      </c>
      <c r="C1473">
        <v>3</v>
      </c>
      <c r="D1473">
        <v>1354</v>
      </c>
      <c r="E1473" t="s">
        <v>651</v>
      </c>
      <c r="F1473">
        <v>3.83</v>
      </c>
      <c r="G1473" t="s">
        <v>623</v>
      </c>
      <c r="H1473" s="1">
        <v>46080.625289351854</v>
      </c>
      <c r="I1473" t="s">
        <v>635</v>
      </c>
      <c r="J1473">
        <v>3.83</v>
      </c>
      <c r="K1473">
        <v>0</v>
      </c>
    </row>
    <row r="1474" spans="1:11" x14ac:dyDescent="0.3">
      <c r="A1474">
        <v>1473</v>
      </c>
      <c r="B1474">
        <v>136</v>
      </c>
      <c r="C1474">
        <v>2</v>
      </c>
      <c r="D1474">
        <v>1355</v>
      </c>
      <c r="E1474" t="s">
        <v>651</v>
      </c>
      <c r="F1474">
        <v>8.58</v>
      </c>
      <c r="G1474" t="s">
        <v>623</v>
      </c>
      <c r="H1474" s="1">
        <v>46080.755277777775</v>
      </c>
      <c r="I1474" t="s">
        <v>635</v>
      </c>
      <c r="J1474">
        <v>8.58</v>
      </c>
      <c r="K1474">
        <v>0</v>
      </c>
    </row>
    <row r="1475" spans="1:11" x14ac:dyDescent="0.3">
      <c r="A1475">
        <v>1474</v>
      </c>
      <c r="B1475">
        <v>133</v>
      </c>
      <c r="C1475">
        <v>4</v>
      </c>
      <c r="D1475">
        <v>1356</v>
      </c>
      <c r="E1475" t="s">
        <v>651</v>
      </c>
      <c r="F1475">
        <v>6.39</v>
      </c>
      <c r="G1475" t="s">
        <v>623</v>
      </c>
      <c r="H1475" s="1">
        <v>46080.765370370369</v>
      </c>
      <c r="I1475" t="s">
        <v>635</v>
      </c>
      <c r="J1475">
        <v>6.39</v>
      </c>
      <c r="K1475">
        <v>0</v>
      </c>
    </row>
    <row r="1476" spans="1:11" x14ac:dyDescent="0.3">
      <c r="A1476">
        <v>1475</v>
      </c>
      <c r="B1476">
        <v>42</v>
      </c>
      <c r="C1476">
        <v>5</v>
      </c>
      <c r="D1476">
        <v>1357</v>
      </c>
      <c r="E1476" t="s">
        <v>651</v>
      </c>
      <c r="F1476">
        <v>4.0199999999999996</v>
      </c>
      <c r="G1476" t="s">
        <v>623</v>
      </c>
      <c r="H1476" s="1">
        <v>46080.822615740741</v>
      </c>
      <c r="I1476" t="s">
        <v>635</v>
      </c>
      <c r="J1476">
        <v>4.0199999999999996</v>
      </c>
      <c r="K1476">
        <v>0</v>
      </c>
    </row>
    <row r="1477" spans="1:11" x14ac:dyDescent="0.3">
      <c r="A1477">
        <v>1476</v>
      </c>
      <c r="B1477">
        <v>87</v>
      </c>
      <c r="C1477">
        <v>2</v>
      </c>
      <c r="D1477">
        <v>1358</v>
      </c>
      <c r="E1477" t="s">
        <v>651</v>
      </c>
      <c r="F1477">
        <v>14.93</v>
      </c>
      <c r="G1477" t="s">
        <v>623</v>
      </c>
      <c r="H1477" s="1">
        <v>46081.357685185183</v>
      </c>
      <c r="I1477" t="s">
        <v>635</v>
      </c>
      <c r="J1477">
        <v>14.93</v>
      </c>
      <c r="K1477">
        <v>0</v>
      </c>
    </row>
    <row r="1478" spans="1:11" x14ac:dyDescent="0.3">
      <c r="A1478">
        <v>1477</v>
      </c>
      <c r="B1478">
        <v>230</v>
      </c>
      <c r="C1478">
        <v>4</v>
      </c>
      <c r="D1478">
        <v>1359</v>
      </c>
      <c r="E1478" t="s">
        <v>651</v>
      </c>
      <c r="F1478">
        <v>11.97</v>
      </c>
      <c r="G1478" t="s">
        <v>623</v>
      </c>
      <c r="H1478" s="1">
        <v>46081.387916666667</v>
      </c>
      <c r="I1478" t="s">
        <v>635</v>
      </c>
      <c r="J1478">
        <v>11.97</v>
      </c>
      <c r="K1478">
        <v>0</v>
      </c>
    </row>
    <row r="1479" spans="1:11" x14ac:dyDescent="0.3">
      <c r="A1479">
        <v>1478</v>
      </c>
      <c r="B1479">
        <v>94</v>
      </c>
      <c r="C1479">
        <v>2</v>
      </c>
      <c r="D1479">
        <v>1360</v>
      </c>
      <c r="E1479" t="s">
        <v>651</v>
      </c>
      <c r="F1479">
        <v>20.12</v>
      </c>
      <c r="G1479" t="s">
        <v>623</v>
      </c>
      <c r="H1479" s="1">
        <v>46081.4219212963</v>
      </c>
      <c r="I1479" t="s">
        <v>635</v>
      </c>
      <c r="J1479">
        <v>20.12</v>
      </c>
      <c r="K1479">
        <v>0</v>
      </c>
    </row>
    <row r="1480" spans="1:11" x14ac:dyDescent="0.3">
      <c r="A1480">
        <v>1479</v>
      </c>
      <c r="B1480">
        <v>149</v>
      </c>
      <c r="C1480">
        <v>3</v>
      </c>
      <c r="D1480">
        <v>1361</v>
      </c>
      <c r="E1480" t="s">
        <v>651</v>
      </c>
      <c r="F1480">
        <v>3.14</v>
      </c>
      <c r="G1480" t="s">
        <v>623</v>
      </c>
      <c r="H1480" s="1">
        <v>46081.481539351851</v>
      </c>
      <c r="I1480" t="s">
        <v>635</v>
      </c>
      <c r="J1480">
        <v>3.14</v>
      </c>
      <c r="K1480">
        <v>0</v>
      </c>
    </row>
    <row r="1481" spans="1:11" x14ac:dyDescent="0.3">
      <c r="A1481">
        <v>1480</v>
      </c>
      <c r="B1481">
        <v>297</v>
      </c>
      <c r="C1481">
        <v>3</v>
      </c>
      <c r="D1481">
        <v>1362</v>
      </c>
      <c r="E1481" t="s">
        <v>651</v>
      </c>
      <c r="F1481">
        <v>9.25</v>
      </c>
      <c r="G1481" t="s">
        <v>623</v>
      </c>
      <c r="H1481" s="1">
        <v>46081.490300925929</v>
      </c>
      <c r="I1481" t="s">
        <v>635</v>
      </c>
      <c r="J1481">
        <v>9.25</v>
      </c>
      <c r="K1481">
        <v>0</v>
      </c>
    </row>
    <row r="1482" spans="1:11" x14ac:dyDescent="0.3">
      <c r="A1482">
        <v>1481</v>
      </c>
      <c r="B1482">
        <v>38</v>
      </c>
      <c r="C1482">
        <v>2</v>
      </c>
      <c r="D1482">
        <v>1363</v>
      </c>
      <c r="E1482" t="s">
        <v>651</v>
      </c>
      <c r="F1482">
        <v>4.07</v>
      </c>
      <c r="G1482" t="s">
        <v>623</v>
      </c>
      <c r="H1482" s="1">
        <v>46081.588854166665</v>
      </c>
      <c r="I1482" t="s">
        <v>635</v>
      </c>
      <c r="J1482">
        <v>4.07</v>
      </c>
      <c r="K1482">
        <v>0</v>
      </c>
    </row>
    <row r="1483" spans="1:11" x14ac:dyDescent="0.3">
      <c r="A1483">
        <v>1482</v>
      </c>
      <c r="B1483">
        <v>137</v>
      </c>
      <c r="C1483">
        <v>3</v>
      </c>
      <c r="D1483">
        <v>1364</v>
      </c>
      <c r="E1483" t="s">
        <v>651</v>
      </c>
      <c r="F1483">
        <v>2.12</v>
      </c>
      <c r="G1483" t="s">
        <v>623</v>
      </c>
      <c r="H1483" s="1">
        <v>46081.609317129631</v>
      </c>
      <c r="I1483" t="s">
        <v>635</v>
      </c>
      <c r="J1483">
        <v>2.12</v>
      </c>
      <c r="K1483">
        <v>0</v>
      </c>
    </row>
    <row r="1484" spans="1:11" x14ac:dyDescent="0.3">
      <c r="A1484">
        <v>1483</v>
      </c>
      <c r="B1484">
        <v>39</v>
      </c>
      <c r="C1484">
        <v>4</v>
      </c>
      <c r="D1484">
        <v>1365</v>
      </c>
      <c r="E1484" t="s">
        <v>651</v>
      </c>
      <c r="F1484">
        <v>30</v>
      </c>
      <c r="G1484" t="s">
        <v>623</v>
      </c>
      <c r="H1484" s="1">
        <v>46081.644016203703</v>
      </c>
      <c r="I1484" t="s">
        <v>635</v>
      </c>
      <c r="J1484">
        <v>30</v>
      </c>
      <c r="K1484">
        <v>0</v>
      </c>
    </row>
    <row r="1485" spans="1:11" x14ac:dyDescent="0.3">
      <c r="A1485">
        <v>1484</v>
      </c>
      <c r="B1485">
        <v>35</v>
      </c>
      <c r="C1485">
        <v>4</v>
      </c>
      <c r="D1485">
        <v>1366</v>
      </c>
      <c r="E1485" t="s">
        <v>651</v>
      </c>
      <c r="F1485">
        <v>3.7</v>
      </c>
      <c r="G1485" t="s">
        <v>623</v>
      </c>
      <c r="H1485" s="1">
        <v>46081.728009259263</v>
      </c>
      <c r="I1485" t="s">
        <v>635</v>
      </c>
      <c r="J1485">
        <v>3.7</v>
      </c>
      <c r="K1485">
        <v>0</v>
      </c>
    </row>
    <row r="1486" spans="1:11" x14ac:dyDescent="0.3">
      <c r="A1486">
        <v>1485</v>
      </c>
      <c r="B1486">
        <v>215</v>
      </c>
      <c r="C1486">
        <v>4</v>
      </c>
      <c r="D1486">
        <v>1367</v>
      </c>
      <c r="E1486" t="s">
        <v>651</v>
      </c>
      <c r="F1486">
        <v>5.57</v>
      </c>
      <c r="G1486" t="s">
        <v>623</v>
      </c>
      <c r="H1486" s="1">
        <v>46081.757094907407</v>
      </c>
      <c r="I1486" t="s">
        <v>635</v>
      </c>
      <c r="J1486">
        <v>5.57</v>
      </c>
      <c r="K1486">
        <v>0</v>
      </c>
    </row>
    <row r="1487" spans="1:11" x14ac:dyDescent="0.3">
      <c r="A1487">
        <v>1486</v>
      </c>
      <c r="B1487">
        <v>16</v>
      </c>
      <c r="C1487">
        <v>3</v>
      </c>
      <c r="D1487">
        <v>1368</v>
      </c>
      <c r="E1487" t="s">
        <v>651</v>
      </c>
      <c r="F1487">
        <v>8</v>
      </c>
      <c r="G1487" t="s">
        <v>623</v>
      </c>
      <c r="H1487" s="1">
        <v>46082.387245370373</v>
      </c>
      <c r="I1487" t="s">
        <v>636</v>
      </c>
      <c r="J1487">
        <v>8</v>
      </c>
      <c r="K1487">
        <v>0</v>
      </c>
    </row>
    <row r="1488" spans="1:11" x14ac:dyDescent="0.3">
      <c r="A1488">
        <v>1487</v>
      </c>
      <c r="B1488">
        <v>12</v>
      </c>
      <c r="C1488">
        <v>2</v>
      </c>
      <c r="D1488">
        <v>1369</v>
      </c>
      <c r="E1488" t="s">
        <v>651</v>
      </c>
      <c r="F1488">
        <v>5.0999999999999996</v>
      </c>
      <c r="G1488" t="s">
        <v>623</v>
      </c>
      <c r="H1488" s="1">
        <v>46082.668263888889</v>
      </c>
      <c r="I1488" t="s">
        <v>636</v>
      </c>
      <c r="J1488">
        <v>5.0999999999999996</v>
      </c>
      <c r="K1488">
        <v>0</v>
      </c>
    </row>
    <row r="1489" spans="1:11" x14ac:dyDescent="0.3">
      <c r="A1489">
        <v>1488</v>
      </c>
      <c r="B1489">
        <v>125</v>
      </c>
      <c r="C1489">
        <v>2</v>
      </c>
      <c r="D1489">
        <v>1370</v>
      </c>
      <c r="E1489" t="s">
        <v>651</v>
      </c>
      <c r="F1489">
        <v>4.26</v>
      </c>
      <c r="G1489" t="s">
        <v>623</v>
      </c>
      <c r="H1489" s="1">
        <v>46082.71435185185</v>
      </c>
      <c r="I1489" t="s">
        <v>636</v>
      </c>
      <c r="J1489">
        <v>4.26</v>
      </c>
      <c r="K1489">
        <v>0</v>
      </c>
    </row>
    <row r="1490" spans="1:11" x14ac:dyDescent="0.3">
      <c r="A1490">
        <v>1489</v>
      </c>
      <c r="B1490">
        <v>35</v>
      </c>
      <c r="C1490">
        <v>4</v>
      </c>
      <c r="D1490">
        <v>1366</v>
      </c>
      <c r="E1490" t="s">
        <v>649</v>
      </c>
      <c r="F1490">
        <v>-3.7</v>
      </c>
      <c r="G1490" t="s">
        <v>715</v>
      </c>
      <c r="H1490" s="1">
        <v>46082.894675925927</v>
      </c>
      <c r="I1490" t="s">
        <v>636</v>
      </c>
      <c r="J1490">
        <v>0</v>
      </c>
      <c r="K1490">
        <v>0</v>
      </c>
    </row>
    <row r="1491" spans="1:11" x14ac:dyDescent="0.3">
      <c r="A1491">
        <v>1490</v>
      </c>
      <c r="B1491">
        <v>137</v>
      </c>
      <c r="C1491">
        <v>5</v>
      </c>
      <c r="D1491">
        <v>1371</v>
      </c>
      <c r="E1491" t="s">
        <v>651</v>
      </c>
      <c r="F1491">
        <v>1.8</v>
      </c>
      <c r="G1491" t="s">
        <v>623</v>
      </c>
      <c r="H1491" s="1">
        <v>46083.336099537039</v>
      </c>
      <c r="I1491" t="s">
        <v>636</v>
      </c>
      <c r="J1491">
        <v>1.8</v>
      </c>
      <c r="K1491">
        <v>0</v>
      </c>
    </row>
    <row r="1492" spans="1:11" x14ac:dyDescent="0.3">
      <c r="A1492">
        <v>1491</v>
      </c>
      <c r="B1492">
        <v>247</v>
      </c>
      <c r="C1492">
        <v>2</v>
      </c>
      <c r="D1492">
        <v>1372</v>
      </c>
      <c r="E1492" t="s">
        <v>651</v>
      </c>
      <c r="F1492">
        <v>2.2599999999999998</v>
      </c>
      <c r="G1492" t="s">
        <v>623</v>
      </c>
      <c r="H1492" s="1">
        <v>46083.344456018516</v>
      </c>
      <c r="I1492" t="s">
        <v>636</v>
      </c>
      <c r="J1492">
        <v>2.2599999999999998</v>
      </c>
      <c r="K1492">
        <v>0</v>
      </c>
    </row>
    <row r="1493" spans="1:11" x14ac:dyDescent="0.3">
      <c r="A1493">
        <v>1492</v>
      </c>
      <c r="B1493">
        <v>124</v>
      </c>
      <c r="C1493">
        <v>2</v>
      </c>
      <c r="D1493">
        <v>1373</v>
      </c>
      <c r="E1493" t="s">
        <v>651</v>
      </c>
      <c r="F1493">
        <v>3.43</v>
      </c>
      <c r="G1493" t="s">
        <v>623</v>
      </c>
      <c r="H1493" s="1">
        <v>46083.444166666668</v>
      </c>
      <c r="I1493" t="s">
        <v>636</v>
      </c>
      <c r="J1493">
        <v>3.43</v>
      </c>
      <c r="K1493">
        <v>0</v>
      </c>
    </row>
    <row r="1494" spans="1:11" x14ac:dyDescent="0.3">
      <c r="A1494">
        <v>1493</v>
      </c>
      <c r="B1494">
        <v>252</v>
      </c>
      <c r="C1494">
        <v>3</v>
      </c>
      <c r="D1494">
        <v>1374</v>
      </c>
      <c r="E1494" t="s">
        <v>651</v>
      </c>
      <c r="F1494">
        <v>6.42</v>
      </c>
      <c r="G1494" t="s">
        <v>623</v>
      </c>
      <c r="H1494" s="1">
        <v>46083.467847222222</v>
      </c>
      <c r="I1494" t="s">
        <v>636</v>
      </c>
      <c r="J1494">
        <v>6.42</v>
      </c>
      <c r="K1494">
        <v>0</v>
      </c>
    </row>
    <row r="1495" spans="1:11" x14ac:dyDescent="0.3">
      <c r="A1495">
        <v>1494</v>
      </c>
      <c r="B1495">
        <v>217</v>
      </c>
      <c r="C1495">
        <v>3</v>
      </c>
      <c r="D1495">
        <v>1375</v>
      </c>
      <c r="E1495" t="s">
        <v>651</v>
      </c>
      <c r="F1495">
        <v>4.1500000000000004</v>
      </c>
      <c r="G1495" t="s">
        <v>623</v>
      </c>
      <c r="H1495" s="1">
        <v>46083.488703703704</v>
      </c>
      <c r="I1495" t="s">
        <v>636</v>
      </c>
      <c r="J1495">
        <v>4.1500000000000004</v>
      </c>
      <c r="K1495">
        <v>0</v>
      </c>
    </row>
    <row r="1496" spans="1:11" x14ac:dyDescent="0.3">
      <c r="A1496">
        <v>1495</v>
      </c>
      <c r="B1496">
        <v>85</v>
      </c>
      <c r="C1496">
        <v>4</v>
      </c>
      <c r="D1496">
        <v>1376</v>
      </c>
      <c r="E1496" t="s">
        <v>651</v>
      </c>
      <c r="F1496">
        <v>21.16</v>
      </c>
      <c r="G1496" t="s">
        <v>623</v>
      </c>
      <c r="H1496" s="1">
        <v>46083.571747685186</v>
      </c>
      <c r="I1496" t="s">
        <v>636</v>
      </c>
      <c r="J1496">
        <v>21.16</v>
      </c>
      <c r="K1496">
        <v>0</v>
      </c>
    </row>
    <row r="1497" spans="1:11" x14ac:dyDescent="0.3">
      <c r="A1497">
        <v>1496</v>
      </c>
      <c r="B1497">
        <v>106</v>
      </c>
      <c r="C1497">
        <v>4</v>
      </c>
      <c r="D1497">
        <v>1377</v>
      </c>
      <c r="E1497" t="s">
        <v>651</v>
      </c>
      <c r="F1497">
        <v>11.2</v>
      </c>
      <c r="G1497" t="s">
        <v>623</v>
      </c>
      <c r="H1497" s="1">
        <v>46083.592233796298</v>
      </c>
      <c r="I1497" t="s">
        <v>636</v>
      </c>
      <c r="J1497">
        <v>11.2</v>
      </c>
      <c r="K1497">
        <v>0</v>
      </c>
    </row>
    <row r="1498" spans="1:11" x14ac:dyDescent="0.3">
      <c r="A1498">
        <v>1497</v>
      </c>
      <c r="B1498">
        <v>44</v>
      </c>
      <c r="C1498">
        <v>4</v>
      </c>
      <c r="D1498">
        <v>1378</v>
      </c>
      <c r="E1498" t="s">
        <v>651</v>
      </c>
      <c r="F1498">
        <v>2.72</v>
      </c>
      <c r="G1498" t="s">
        <v>623</v>
      </c>
      <c r="H1498" s="1">
        <v>46083.748472222222</v>
      </c>
      <c r="I1498" t="s">
        <v>636</v>
      </c>
      <c r="J1498">
        <v>2.72</v>
      </c>
      <c r="K1498">
        <v>0</v>
      </c>
    </row>
    <row r="1499" spans="1:11" x14ac:dyDescent="0.3">
      <c r="A1499">
        <v>1498</v>
      </c>
      <c r="B1499">
        <v>172</v>
      </c>
      <c r="C1499">
        <v>2</v>
      </c>
      <c r="D1499">
        <v>1379</v>
      </c>
      <c r="E1499" t="s">
        <v>651</v>
      </c>
      <c r="F1499">
        <v>2.29</v>
      </c>
      <c r="G1499" t="s">
        <v>623</v>
      </c>
      <c r="H1499" s="1">
        <v>46083.826006944444</v>
      </c>
      <c r="I1499" t="s">
        <v>636</v>
      </c>
      <c r="J1499">
        <v>2.29</v>
      </c>
      <c r="K1499">
        <v>0</v>
      </c>
    </row>
    <row r="1500" spans="1:11" x14ac:dyDescent="0.3">
      <c r="A1500">
        <v>1499</v>
      </c>
      <c r="B1500">
        <v>65</v>
      </c>
      <c r="C1500">
        <v>3</v>
      </c>
      <c r="D1500">
        <v>1380</v>
      </c>
      <c r="E1500" t="s">
        <v>651</v>
      </c>
      <c r="F1500">
        <v>1.56</v>
      </c>
      <c r="G1500" t="s">
        <v>623</v>
      </c>
      <c r="H1500" s="1">
        <v>46084.401724537034</v>
      </c>
      <c r="I1500" t="s">
        <v>636</v>
      </c>
      <c r="J1500">
        <v>1.56</v>
      </c>
      <c r="K1500">
        <v>0</v>
      </c>
    </row>
    <row r="1501" spans="1:11" x14ac:dyDescent="0.3">
      <c r="A1501">
        <v>1500</v>
      </c>
      <c r="B1501">
        <v>46</v>
      </c>
      <c r="C1501">
        <v>2</v>
      </c>
      <c r="D1501">
        <v>1381</v>
      </c>
      <c r="E1501" t="s">
        <v>651</v>
      </c>
      <c r="F1501">
        <v>2.8</v>
      </c>
      <c r="G1501" t="s">
        <v>623</v>
      </c>
      <c r="H1501" s="1">
        <v>46084.453298611108</v>
      </c>
      <c r="I1501" t="s">
        <v>636</v>
      </c>
      <c r="J1501">
        <v>2.8</v>
      </c>
      <c r="K1501">
        <v>0</v>
      </c>
    </row>
    <row r="1502" spans="1:11" x14ac:dyDescent="0.3">
      <c r="A1502">
        <v>1501</v>
      </c>
      <c r="B1502">
        <v>245</v>
      </c>
      <c r="C1502">
        <v>5</v>
      </c>
      <c r="D1502">
        <v>1382</v>
      </c>
      <c r="E1502" t="s">
        <v>651</v>
      </c>
      <c r="F1502">
        <v>3.33</v>
      </c>
      <c r="G1502" t="s">
        <v>623</v>
      </c>
      <c r="H1502" s="1">
        <v>46084.525694444441</v>
      </c>
      <c r="I1502" t="s">
        <v>636</v>
      </c>
      <c r="J1502">
        <v>3.33</v>
      </c>
      <c r="K1502">
        <v>0</v>
      </c>
    </row>
    <row r="1503" spans="1:11" x14ac:dyDescent="0.3">
      <c r="A1503">
        <v>1502</v>
      </c>
      <c r="B1503">
        <v>149</v>
      </c>
      <c r="C1503">
        <v>3</v>
      </c>
      <c r="D1503">
        <v>1383</v>
      </c>
      <c r="E1503" t="s">
        <v>651</v>
      </c>
      <c r="F1503">
        <v>2.37</v>
      </c>
      <c r="G1503" t="s">
        <v>623</v>
      </c>
      <c r="H1503" s="1">
        <v>46084.636284722219</v>
      </c>
      <c r="I1503" t="s">
        <v>636</v>
      </c>
      <c r="J1503">
        <v>2.37</v>
      </c>
      <c r="K1503">
        <v>0</v>
      </c>
    </row>
    <row r="1504" spans="1:11" x14ac:dyDescent="0.3">
      <c r="A1504">
        <v>1503</v>
      </c>
      <c r="B1504">
        <v>297</v>
      </c>
      <c r="C1504">
        <v>5</v>
      </c>
      <c r="D1504">
        <v>1384</v>
      </c>
      <c r="E1504" t="s">
        <v>651</v>
      </c>
      <c r="F1504">
        <v>9.9</v>
      </c>
      <c r="G1504" t="s">
        <v>623</v>
      </c>
      <c r="H1504" s="1">
        <v>46084.677523148152</v>
      </c>
      <c r="I1504" t="s">
        <v>636</v>
      </c>
      <c r="J1504">
        <v>9.9</v>
      </c>
      <c r="K1504">
        <v>0</v>
      </c>
    </row>
    <row r="1505" spans="1:11" x14ac:dyDescent="0.3">
      <c r="A1505">
        <v>1504</v>
      </c>
      <c r="B1505">
        <v>106</v>
      </c>
      <c r="C1505">
        <v>5</v>
      </c>
      <c r="D1505">
        <v>1377</v>
      </c>
      <c r="E1505" t="s">
        <v>649</v>
      </c>
      <c r="F1505">
        <v>-11.2</v>
      </c>
      <c r="G1505" t="s">
        <v>716</v>
      </c>
      <c r="H1505" s="1">
        <v>46084.717233796298</v>
      </c>
      <c r="I1505" t="s">
        <v>636</v>
      </c>
      <c r="J1505">
        <v>0</v>
      </c>
      <c r="K1505">
        <v>0</v>
      </c>
    </row>
    <row r="1506" spans="1:11" x14ac:dyDescent="0.3">
      <c r="A1506">
        <v>1505</v>
      </c>
      <c r="B1506">
        <v>65</v>
      </c>
      <c r="C1506">
        <v>4</v>
      </c>
      <c r="D1506">
        <v>1385</v>
      </c>
      <c r="E1506" t="s">
        <v>651</v>
      </c>
      <c r="F1506">
        <v>1.77</v>
      </c>
      <c r="G1506" t="s">
        <v>623</v>
      </c>
      <c r="H1506" s="1">
        <v>46084.826643518521</v>
      </c>
      <c r="I1506" t="s">
        <v>636</v>
      </c>
      <c r="J1506">
        <v>1.77</v>
      </c>
      <c r="K1506">
        <v>0</v>
      </c>
    </row>
    <row r="1507" spans="1:11" x14ac:dyDescent="0.3">
      <c r="A1507">
        <v>1506</v>
      </c>
      <c r="B1507">
        <v>156</v>
      </c>
      <c r="C1507">
        <v>4</v>
      </c>
      <c r="D1507">
        <v>1386</v>
      </c>
      <c r="E1507" t="s">
        <v>651</v>
      </c>
      <c r="F1507">
        <v>3.18</v>
      </c>
      <c r="G1507" t="s">
        <v>623</v>
      </c>
      <c r="H1507" s="1">
        <v>46085.369641203702</v>
      </c>
      <c r="I1507" t="s">
        <v>636</v>
      </c>
      <c r="J1507">
        <v>3.18</v>
      </c>
      <c r="K1507">
        <v>0</v>
      </c>
    </row>
    <row r="1508" spans="1:11" x14ac:dyDescent="0.3">
      <c r="A1508">
        <v>1507</v>
      </c>
      <c r="B1508">
        <v>34</v>
      </c>
      <c r="C1508">
        <v>4</v>
      </c>
      <c r="D1508">
        <v>1387</v>
      </c>
      <c r="E1508" t="s">
        <v>651</v>
      </c>
      <c r="F1508">
        <v>13.6</v>
      </c>
      <c r="G1508" t="s">
        <v>623</v>
      </c>
      <c r="H1508" s="1">
        <v>46085.371759259258</v>
      </c>
      <c r="I1508" t="s">
        <v>636</v>
      </c>
      <c r="J1508">
        <v>13.6</v>
      </c>
      <c r="K1508">
        <v>0</v>
      </c>
    </row>
    <row r="1509" spans="1:11" x14ac:dyDescent="0.3">
      <c r="A1509">
        <v>1508</v>
      </c>
      <c r="B1509">
        <v>137</v>
      </c>
      <c r="C1509">
        <v>4</v>
      </c>
      <c r="D1509">
        <v>1388</v>
      </c>
      <c r="E1509" t="s">
        <v>651</v>
      </c>
      <c r="F1509">
        <v>2.12</v>
      </c>
      <c r="G1509" t="s">
        <v>623</v>
      </c>
      <c r="H1509" s="1">
        <v>46085.417210648149</v>
      </c>
      <c r="I1509" t="s">
        <v>636</v>
      </c>
      <c r="J1509">
        <v>2.12</v>
      </c>
      <c r="K1509">
        <v>0</v>
      </c>
    </row>
    <row r="1510" spans="1:11" x14ac:dyDescent="0.3">
      <c r="A1510">
        <v>1509</v>
      </c>
      <c r="B1510">
        <v>17</v>
      </c>
      <c r="C1510">
        <v>2</v>
      </c>
      <c r="D1510">
        <v>1389</v>
      </c>
      <c r="E1510" t="s">
        <v>651</v>
      </c>
      <c r="F1510">
        <v>7.53</v>
      </c>
      <c r="G1510" t="s">
        <v>623</v>
      </c>
      <c r="H1510" s="1">
        <v>46085.420185185183</v>
      </c>
      <c r="I1510" t="s">
        <v>636</v>
      </c>
      <c r="J1510">
        <v>7.53</v>
      </c>
      <c r="K1510">
        <v>0</v>
      </c>
    </row>
    <row r="1511" spans="1:11" x14ac:dyDescent="0.3">
      <c r="A1511">
        <v>1510</v>
      </c>
      <c r="B1511">
        <v>65</v>
      </c>
      <c r="C1511">
        <v>2</v>
      </c>
      <c r="D1511">
        <v>1390</v>
      </c>
      <c r="E1511" t="s">
        <v>651</v>
      </c>
      <c r="F1511">
        <v>1.97</v>
      </c>
      <c r="G1511" t="s">
        <v>623</v>
      </c>
      <c r="H1511" s="1">
        <v>46085.587604166663</v>
      </c>
      <c r="I1511" t="s">
        <v>636</v>
      </c>
      <c r="J1511">
        <v>1.97</v>
      </c>
      <c r="K1511">
        <v>0</v>
      </c>
    </row>
    <row r="1512" spans="1:11" x14ac:dyDescent="0.3">
      <c r="A1512">
        <v>1511</v>
      </c>
      <c r="B1512">
        <v>34</v>
      </c>
      <c r="C1512">
        <v>5</v>
      </c>
      <c r="D1512">
        <v>1387</v>
      </c>
      <c r="E1512" t="s">
        <v>649</v>
      </c>
      <c r="F1512">
        <v>-13.6</v>
      </c>
      <c r="G1512" t="s">
        <v>717</v>
      </c>
      <c r="H1512" s="1">
        <v>46085.621759259258</v>
      </c>
      <c r="I1512" t="s">
        <v>636</v>
      </c>
      <c r="J1512">
        <v>0</v>
      </c>
      <c r="K1512">
        <v>0</v>
      </c>
    </row>
    <row r="1513" spans="1:11" x14ac:dyDescent="0.3">
      <c r="A1513">
        <v>1512</v>
      </c>
      <c r="B1513">
        <v>149</v>
      </c>
      <c r="C1513">
        <v>3</v>
      </c>
      <c r="D1513">
        <v>1391</v>
      </c>
      <c r="E1513" t="s">
        <v>651</v>
      </c>
      <c r="F1513">
        <v>2.4300000000000002</v>
      </c>
      <c r="G1513" t="s">
        <v>623</v>
      </c>
      <c r="H1513" s="1">
        <v>46085.659629629627</v>
      </c>
      <c r="I1513" t="s">
        <v>636</v>
      </c>
      <c r="J1513">
        <v>2.4300000000000002</v>
      </c>
      <c r="K1513">
        <v>0</v>
      </c>
    </row>
    <row r="1514" spans="1:11" x14ac:dyDescent="0.3">
      <c r="A1514">
        <v>1513</v>
      </c>
      <c r="B1514">
        <v>95</v>
      </c>
      <c r="C1514">
        <v>3</v>
      </c>
      <c r="D1514">
        <v>1392</v>
      </c>
      <c r="E1514" t="s">
        <v>651</v>
      </c>
      <c r="F1514">
        <v>14.81</v>
      </c>
      <c r="G1514" t="s">
        <v>623</v>
      </c>
      <c r="H1514" s="1">
        <v>46085.74355324074</v>
      </c>
      <c r="I1514" t="s">
        <v>636</v>
      </c>
      <c r="J1514">
        <v>14.81</v>
      </c>
      <c r="K1514">
        <v>0</v>
      </c>
    </row>
    <row r="1515" spans="1:11" x14ac:dyDescent="0.3">
      <c r="A1515">
        <v>1514</v>
      </c>
      <c r="B1515">
        <v>57</v>
      </c>
      <c r="C1515">
        <v>4</v>
      </c>
      <c r="D1515">
        <v>1393</v>
      </c>
      <c r="E1515" t="s">
        <v>651</v>
      </c>
      <c r="F1515">
        <v>12.81</v>
      </c>
      <c r="G1515" t="s">
        <v>623</v>
      </c>
      <c r="H1515" s="1">
        <v>46085.750717592593</v>
      </c>
      <c r="I1515" t="s">
        <v>636</v>
      </c>
      <c r="J1515">
        <v>12.81</v>
      </c>
      <c r="K1515">
        <v>0</v>
      </c>
    </row>
    <row r="1516" spans="1:11" x14ac:dyDescent="0.3">
      <c r="A1516">
        <v>1515</v>
      </c>
      <c r="B1516">
        <v>137</v>
      </c>
      <c r="C1516">
        <v>5</v>
      </c>
      <c r="D1516">
        <v>1394</v>
      </c>
      <c r="E1516" t="s">
        <v>651</v>
      </c>
      <c r="F1516">
        <v>2.39</v>
      </c>
      <c r="G1516" t="s">
        <v>623</v>
      </c>
      <c r="H1516" s="1">
        <v>46085.814525462964</v>
      </c>
      <c r="I1516" t="s">
        <v>636</v>
      </c>
      <c r="J1516">
        <v>2.39</v>
      </c>
      <c r="K1516">
        <v>0</v>
      </c>
    </row>
    <row r="1517" spans="1:11" x14ac:dyDescent="0.3">
      <c r="A1517">
        <v>1516</v>
      </c>
      <c r="B1517">
        <v>18</v>
      </c>
      <c r="C1517">
        <v>5</v>
      </c>
      <c r="D1517">
        <v>1395</v>
      </c>
      <c r="E1517" t="s">
        <v>651</v>
      </c>
      <c r="F1517">
        <v>4.1399999999999997</v>
      </c>
      <c r="G1517" t="s">
        <v>623</v>
      </c>
      <c r="H1517" s="1">
        <v>46086.626446759263</v>
      </c>
      <c r="I1517" t="s">
        <v>636</v>
      </c>
      <c r="J1517">
        <v>4.1399999999999997</v>
      </c>
      <c r="K1517">
        <v>0</v>
      </c>
    </row>
    <row r="1518" spans="1:11" x14ac:dyDescent="0.3">
      <c r="A1518">
        <v>1517</v>
      </c>
      <c r="B1518">
        <v>17</v>
      </c>
      <c r="C1518">
        <v>5</v>
      </c>
      <c r="D1518">
        <v>1396</v>
      </c>
      <c r="E1518" t="s">
        <v>651</v>
      </c>
      <c r="F1518">
        <v>5.7</v>
      </c>
      <c r="G1518" t="s">
        <v>623</v>
      </c>
      <c r="H1518" s="1">
        <v>46086.640393518515</v>
      </c>
      <c r="I1518" t="s">
        <v>636</v>
      </c>
      <c r="J1518">
        <v>5.7</v>
      </c>
      <c r="K1518">
        <v>0</v>
      </c>
    </row>
    <row r="1519" spans="1:11" x14ac:dyDescent="0.3">
      <c r="A1519">
        <v>1518</v>
      </c>
      <c r="B1519">
        <v>51</v>
      </c>
      <c r="C1519">
        <v>3</v>
      </c>
      <c r="D1519">
        <v>1397</v>
      </c>
      <c r="E1519" t="s">
        <v>651</v>
      </c>
      <c r="F1519">
        <v>13.36</v>
      </c>
      <c r="G1519" t="s">
        <v>623</v>
      </c>
      <c r="H1519" s="1">
        <v>46086.649236111109</v>
      </c>
      <c r="I1519" t="s">
        <v>636</v>
      </c>
      <c r="J1519">
        <v>13.36</v>
      </c>
      <c r="K1519">
        <v>0</v>
      </c>
    </row>
    <row r="1520" spans="1:11" x14ac:dyDescent="0.3">
      <c r="A1520">
        <v>1519</v>
      </c>
      <c r="B1520">
        <v>234</v>
      </c>
      <c r="C1520">
        <v>3</v>
      </c>
      <c r="D1520">
        <v>1398</v>
      </c>
      <c r="E1520" t="s">
        <v>651</v>
      </c>
      <c r="F1520">
        <v>30</v>
      </c>
      <c r="G1520" t="s">
        <v>623</v>
      </c>
      <c r="H1520" s="1">
        <v>46086.660856481481</v>
      </c>
      <c r="I1520" t="s">
        <v>636</v>
      </c>
      <c r="J1520">
        <v>30</v>
      </c>
      <c r="K1520">
        <v>0</v>
      </c>
    </row>
    <row r="1521" spans="1:11" x14ac:dyDescent="0.3">
      <c r="A1521">
        <v>1520</v>
      </c>
      <c r="B1521">
        <v>262</v>
      </c>
      <c r="C1521">
        <v>2</v>
      </c>
      <c r="D1521">
        <v>1399</v>
      </c>
      <c r="E1521" t="s">
        <v>651</v>
      </c>
      <c r="F1521">
        <v>21.74</v>
      </c>
      <c r="G1521" t="s">
        <v>623</v>
      </c>
      <c r="H1521" s="1">
        <v>46086.73332175926</v>
      </c>
      <c r="I1521" t="s">
        <v>636</v>
      </c>
      <c r="J1521">
        <v>21.74</v>
      </c>
      <c r="K1521">
        <v>0</v>
      </c>
    </row>
    <row r="1522" spans="1:11" x14ac:dyDescent="0.3">
      <c r="A1522">
        <v>1521</v>
      </c>
      <c r="B1522">
        <v>255</v>
      </c>
      <c r="C1522">
        <v>3</v>
      </c>
      <c r="D1522">
        <v>1400</v>
      </c>
      <c r="E1522" t="s">
        <v>651</v>
      </c>
      <c r="F1522">
        <v>3.33</v>
      </c>
      <c r="G1522" t="s">
        <v>623</v>
      </c>
      <c r="H1522" s="1">
        <v>46086.733703703707</v>
      </c>
      <c r="I1522" t="s">
        <v>636</v>
      </c>
      <c r="J1522">
        <v>3.33</v>
      </c>
      <c r="K1522">
        <v>0</v>
      </c>
    </row>
    <row r="1523" spans="1:11" x14ac:dyDescent="0.3">
      <c r="A1523">
        <v>1522</v>
      </c>
      <c r="B1523">
        <v>190</v>
      </c>
      <c r="C1523">
        <v>4</v>
      </c>
      <c r="D1523">
        <v>1401</v>
      </c>
      <c r="E1523" t="s">
        <v>651</v>
      </c>
      <c r="F1523">
        <v>15.5</v>
      </c>
      <c r="G1523" t="s">
        <v>623</v>
      </c>
      <c r="H1523" s="1">
        <v>46087.33693287037</v>
      </c>
      <c r="I1523" t="s">
        <v>636</v>
      </c>
      <c r="J1523">
        <v>15.5</v>
      </c>
      <c r="K1523">
        <v>0</v>
      </c>
    </row>
    <row r="1524" spans="1:11" x14ac:dyDescent="0.3">
      <c r="A1524">
        <v>1523</v>
      </c>
      <c r="B1524">
        <v>109</v>
      </c>
      <c r="C1524">
        <v>3</v>
      </c>
      <c r="D1524">
        <v>1402</v>
      </c>
      <c r="E1524" t="s">
        <v>651</v>
      </c>
      <c r="F1524">
        <v>11.43</v>
      </c>
      <c r="G1524" t="s">
        <v>623</v>
      </c>
      <c r="H1524" s="1">
        <v>46087.479178240741</v>
      </c>
      <c r="I1524" t="s">
        <v>636</v>
      </c>
      <c r="J1524">
        <v>11.43</v>
      </c>
      <c r="K1524">
        <v>0</v>
      </c>
    </row>
    <row r="1525" spans="1:11" x14ac:dyDescent="0.3">
      <c r="A1525">
        <v>1524</v>
      </c>
      <c r="B1525">
        <v>31</v>
      </c>
      <c r="C1525">
        <v>2</v>
      </c>
      <c r="D1525">
        <v>1403</v>
      </c>
      <c r="E1525" t="s">
        <v>651</v>
      </c>
      <c r="F1525">
        <v>1.91</v>
      </c>
      <c r="G1525" t="s">
        <v>623</v>
      </c>
      <c r="H1525" s="1">
        <v>46087.485868055555</v>
      </c>
      <c r="I1525" t="s">
        <v>636</v>
      </c>
      <c r="J1525">
        <v>1.91</v>
      </c>
      <c r="K1525">
        <v>0</v>
      </c>
    </row>
    <row r="1526" spans="1:11" x14ac:dyDescent="0.3">
      <c r="A1526">
        <v>1525</v>
      </c>
      <c r="B1526">
        <v>178</v>
      </c>
      <c r="C1526">
        <v>3</v>
      </c>
      <c r="D1526">
        <v>1404</v>
      </c>
      <c r="E1526" t="s">
        <v>651</v>
      </c>
      <c r="F1526">
        <v>13.5</v>
      </c>
      <c r="G1526" t="s">
        <v>623</v>
      </c>
      <c r="H1526" s="1">
        <v>46087.531331018516</v>
      </c>
      <c r="I1526" t="s">
        <v>636</v>
      </c>
      <c r="J1526">
        <v>13.5</v>
      </c>
      <c r="K1526">
        <v>0</v>
      </c>
    </row>
    <row r="1527" spans="1:11" x14ac:dyDescent="0.3">
      <c r="A1527">
        <v>1526</v>
      </c>
      <c r="B1527">
        <v>80</v>
      </c>
      <c r="C1527">
        <v>5</v>
      </c>
      <c r="D1527">
        <v>1405</v>
      </c>
      <c r="E1527" t="s">
        <v>651</v>
      </c>
      <c r="F1527">
        <v>2.41</v>
      </c>
      <c r="G1527" t="s">
        <v>623</v>
      </c>
      <c r="H1527" s="1">
        <v>46087.576423611114</v>
      </c>
      <c r="I1527" t="s">
        <v>636</v>
      </c>
      <c r="J1527">
        <v>2.41</v>
      </c>
      <c r="K1527">
        <v>0</v>
      </c>
    </row>
    <row r="1528" spans="1:11" x14ac:dyDescent="0.3">
      <c r="A1528">
        <v>1527</v>
      </c>
      <c r="B1528">
        <v>252</v>
      </c>
      <c r="C1528">
        <v>3</v>
      </c>
      <c r="D1528">
        <v>1406</v>
      </c>
      <c r="E1528" t="s">
        <v>651</v>
      </c>
      <c r="F1528">
        <v>2.39</v>
      </c>
      <c r="G1528" t="s">
        <v>623</v>
      </c>
      <c r="H1528" s="1">
        <v>46087.635138888887</v>
      </c>
      <c r="I1528" t="s">
        <v>636</v>
      </c>
      <c r="J1528">
        <v>2.39</v>
      </c>
      <c r="K1528">
        <v>0</v>
      </c>
    </row>
    <row r="1529" spans="1:11" x14ac:dyDescent="0.3">
      <c r="A1529">
        <v>1528</v>
      </c>
      <c r="B1529">
        <v>235</v>
      </c>
      <c r="C1529">
        <v>3</v>
      </c>
      <c r="D1529">
        <v>1407</v>
      </c>
      <c r="E1529" t="s">
        <v>651</v>
      </c>
      <c r="F1529">
        <v>2.2599999999999998</v>
      </c>
      <c r="G1529" t="s">
        <v>623</v>
      </c>
      <c r="H1529" s="1">
        <v>46087.689918981479</v>
      </c>
      <c r="I1529" t="s">
        <v>636</v>
      </c>
      <c r="J1529">
        <v>2.2599999999999998</v>
      </c>
      <c r="K1529">
        <v>0</v>
      </c>
    </row>
    <row r="1530" spans="1:11" x14ac:dyDescent="0.3">
      <c r="A1530">
        <v>1529</v>
      </c>
      <c r="B1530">
        <v>136</v>
      </c>
      <c r="C1530">
        <v>5</v>
      </c>
      <c r="D1530">
        <v>1408</v>
      </c>
      <c r="E1530" t="s">
        <v>651</v>
      </c>
      <c r="F1530">
        <v>8.07</v>
      </c>
      <c r="G1530" t="s">
        <v>623</v>
      </c>
      <c r="H1530" s="1">
        <v>46088.373599537037</v>
      </c>
      <c r="I1530" t="s">
        <v>636</v>
      </c>
      <c r="J1530">
        <v>8.07</v>
      </c>
      <c r="K1530">
        <v>0</v>
      </c>
    </row>
    <row r="1531" spans="1:11" x14ac:dyDescent="0.3">
      <c r="A1531">
        <v>1530</v>
      </c>
      <c r="B1531">
        <v>132</v>
      </c>
      <c r="C1531">
        <v>5</v>
      </c>
      <c r="D1531">
        <v>1409</v>
      </c>
      <c r="E1531" t="s">
        <v>651</v>
      </c>
      <c r="F1531">
        <v>11.2</v>
      </c>
      <c r="G1531" t="s">
        <v>623</v>
      </c>
      <c r="H1531" s="1">
        <v>46088.476689814815</v>
      </c>
      <c r="I1531" t="s">
        <v>636</v>
      </c>
      <c r="J1531">
        <v>11.2</v>
      </c>
      <c r="K1531">
        <v>0</v>
      </c>
    </row>
    <row r="1532" spans="1:11" x14ac:dyDescent="0.3">
      <c r="A1532">
        <v>1531</v>
      </c>
      <c r="B1532">
        <v>87</v>
      </c>
      <c r="C1532">
        <v>2</v>
      </c>
      <c r="D1532">
        <v>1410</v>
      </c>
      <c r="E1532" t="s">
        <v>651</v>
      </c>
      <c r="F1532">
        <v>6.58</v>
      </c>
      <c r="G1532" t="s">
        <v>623</v>
      </c>
      <c r="H1532" s="1">
        <v>46088.479930555557</v>
      </c>
      <c r="I1532" t="s">
        <v>636</v>
      </c>
      <c r="J1532">
        <v>6.58</v>
      </c>
      <c r="K1532">
        <v>0</v>
      </c>
    </row>
    <row r="1533" spans="1:11" x14ac:dyDescent="0.3">
      <c r="A1533">
        <v>1532</v>
      </c>
      <c r="B1533">
        <v>133</v>
      </c>
      <c r="C1533">
        <v>2</v>
      </c>
      <c r="D1533">
        <v>1411</v>
      </c>
      <c r="E1533" t="s">
        <v>651</v>
      </c>
      <c r="F1533">
        <v>8.26</v>
      </c>
      <c r="G1533" t="s">
        <v>623</v>
      </c>
      <c r="H1533" s="1">
        <v>46088.539039351854</v>
      </c>
      <c r="I1533" t="s">
        <v>636</v>
      </c>
      <c r="J1533">
        <v>8.26</v>
      </c>
      <c r="K1533">
        <v>0</v>
      </c>
    </row>
    <row r="1534" spans="1:11" x14ac:dyDescent="0.3">
      <c r="A1534">
        <v>1533</v>
      </c>
      <c r="B1534">
        <v>152</v>
      </c>
      <c r="C1534">
        <v>3</v>
      </c>
      <c r="D1534">
        <v>1412</v>
      </c>
      <c r="E1534" t="s">
        <v>651</v>
      </c>
      <c r="F1534">
        <v>23.6</v>
      </c>
      <c r="G1534" t="s">
        <v>623</v>
      </c>
      <c r="H1534" s="1">
        <v>46088.585752314815</v>
      </c>
      <c r="I1534" t="s">
        <v>636</v>
      </c>
      <c r="J1534">
        <v>23.6</v>
      </c>
      <c r="K1534">
        <v>0</v>
      </c>
    </row>
    <row r="1535" spans="1:11" x14ac:dyDescent="0.3">
      <c r="A1535">
        <v>1534</v>
      </c>
      <c r="B1535">
        <v>207</v>
      </c>
      <c r="C1535">
        <v>2</v>
      </c>
      <c r="D1535">
        <v>1413</v>
      </c>
      <c r="E1535" t="s">
        <v>657</v>
      </c>
      <c r="F1535">
        <v>36.75</v>
      </c>
      <c r="G1535" t="s">
        <v>623</v>
      </c>
      <c r="H1535" s="1">
        <v>46088.6481712963</v>
      </c>
      <c r="I1535" t="s">
        <v>636</v>
      </c>
      <c r="J1535">
        <v>0</v>
      </c>
      <c r="K1535">
        <v>36.75</v>
      </c>
    </row>
    <row r="1536" spans="1:11" x14ac:dyDescent="0.3">
      <c r="A1536">
        <v>1535</v>
      </c>
      <c r="B1536">
        <v>145</v>
      </c>
      <c r="C1536">
        <v>4</v>
      </c>
      <c r="D1536">
        <v>1414</v>
      </c>
      <c r="E1536" t="s">
        <v>651</v>
      </c>
      <c r="F1536">
        <v>17.739999999999998</v>
      </c>
      <c r="G1536" t="s">
        <v>623</v>
      </c>
      <c r="H1536" s="1">
        <v>46088.706412037034</v>
      </c>
      <c r="I1536" t="s">
        <v>636</v>
      </c>
      <c r="J1536">
        <v>17.739999999999998</v>
      </c>
      <c r="K1536">
        <v>0</v>
      </c>
    </row>
    <row r="1537" spans="1:11" x14ac:dyDescent="0.3">
      <c r="A1537">
        <v>1536</v>
      </c>
      <c r="B1537">
        <v>136</v>
      </c>
      <c r="C1537">
        <v>2</v>
      </c>
      <c r="D1537">
        <v>1415</v>
      </c>
      <c r="E1537" t="s">
        <v>651</v>
      </c>
      <c r="F1537">
        <v>6.58</v>
      </c>
      <c r="G1537" t="s">
        <v>623</v>
      </c>
      <c r="H1537" s="1">
        <v>46089.508171296293</v>
      </c>
      <c r="I1537" t="s">
        <v>636</v>
      </c>
      <c r="J1537">
        <v>6.58</v>
      </c>
      <c r="K1537">
        <v>0</v>
      </c>
    </row>
    <row r="1538" spans="1:11" x14ac:dyDescent="0.3">
      <c r="A1538">
        <v>1537</v>
      </c>
      <c r="B1538">
        <v>67</v>
      </c>
      <c r="C1538">
        <v>5</v>
      </c>
      <c r="D1538">
        <v>1416</v>
      </c>
      <c r="E1538" t="s">
        <v>651</v>
      </c>
      <c r="F1538">
        <v>2.93</v>
      </c>
      <c r="G1538" t="s">
        <v>623</v>
      </c>
      <c r="H1538" s="1">
        <v>46089.726921296293</v>
      </c>
      <c r="I1538" t="s">
        <v>636</v>
      </c>
      <c r="J1538">
        <v>2.93</v>
      </c>
      <c r="K1538">
        <v>0</v>
      </c>
    </row>
    <row r="1539" spans="1:11" x14ac:dyDescent="0.3">
      <c r="A1539">
        <v>1538</v>
      </c>
      <c r="B1539">
        <v>11</v>
      </c>
      <c r="C1539">
        <v>3</v>
      </c>
      <c r="D1539">
        <v>1417</v>
      </c>
      <c r="E1539" t="s">
        <v>651</v>
      </c>
      <c r="F1539">
        <v>20.420000000000002</v>
      </c>
      <c r="G1539" t="s">
        <v>623</v>
      </c>
      <c r="H1539" s="1">
        <v>46090.465451388889</v>
      </c>
      <c r="I1539" t="s">
        <v>636</v>
      </c>
      <c r="J1539">
        <v>20.420000000000002</v>
      </c>
      <c r="K1539">
        <v>0</v>
      </c>
    </row>
    <row r="1540" spans="1:11" x14ac:dyDescent="0.3">
      <c r="A1540">
        <v>1539</v>
      </c>
      <c r="B1540">
        <v>117</v>
      </c>
      <c r="C1540">
        <v>3</v>
      </c>
      <c r="D1540">
        <v>1418</v>
      </c>
      <c r="E1540" t="s">
        <v>651</v>
      </c>
      <c r="F1540">
        <v>7.16</v>
      </c>
      <c r="G1540" t="s">
        <v>623</v>
      </c>
      <c r="H1540" s="1">
        <v>46090.485960648148</v>
      </c>
      <c r="I1540" t="s">
        <v>636</v>
      </c>
      <c r="J1540">
        <v>7.16</v>
      </c>
      <c r="K1540">
        <v>0</v>
      </c>
    </row>
    <row r="1541" spans="1:11" x14ac:dyDescent="0.3">
      <c r="A1541">
        <v>1540</v>
      </c>
      <c r="B1541">
        <v>255</v>
      </c>
      <c r="C1541">
        <v>4</v>
      </c>
      <c r="D1541">
        <v>1419</v>
      </c>
      <c r="E1541" t="s">
        <v>651</v>
      </c>
      <c r="F1541">
        <v>1.67</v>
      </c>
      <c r="G1541" t="s">
        <v>623</v>
      </c>
      <c r="H1541" s="1">
        <v>46090.5781712963</v>
      </c>
      <c r="I1541" t="s">
        <v>636</v>
      </c>
      <c r="J1541">
        <v>1.67</v>
      </c>
      <c r="K1541">
        <v>0</v>
      </c>
    </row>
    <row r="1542" spans="1:11" x14ac:dyDescent="0.3">
      <c r="A1542">
        <v>1541</v>
      </c>
      <c r="B1542">
        <v>17</v>
      </c>
      <c r="C1542">
        <v>3</v>
      </c>
      <c r="D1542">
        <v>1420</v>
      </c>
      <c r="E1542" t="s">
        <v>651</v>
      </c>
      <c r="F1542">
        <v>9.85</v>
      </c>
      <c r="G1542" t="s">
        <v>623</v>
      </c>
      <c r="H1542" s="1">
        <v>46090.629444444443</v>
      </c>
      <c r="I1542" t="s">
        <v>636</v>
      </c>
      <c r="J1542">
        <v>9.85</v>
      </c>
      <c r="K1542">
        <v>0</v>
      </c>
    </row>
    <row r="1543" spans="1:11" x14ac:dyDescent="0.3">
      <c r="A1543">
        <v>1542</v>
      </c>
      <c r="B1543">
        <v>137</v>
      </c>
      <c r="C1543">
        <v>3</v>
      </c>
      <c r="D1543">
        <v>1421</v>
      </c>
      <c r="E1543" t="s">
        <v>651</v>
      </c>
      <c r="F1543">
        <v>2.88</v>
      </c>
      <c r="G1543" t="s">
        <v>623</v>
      </c>
      <c r="H1543" s="1">
        <v>46090.668368055558</v>
      </c>
      <c r="I1543" t="s">
        <v>636</v>
      </c>
      <c r="J1543">
        <v>2.88</v>
      </c>
      <c r="K1543">
        <v>0</v>
      </c>
    </row>
    <row r="1544" spans="1:11" x14ac:dyDescent="0.3">
      <c r="A1544">
        <v>1543</v>
      </c>
      <c r="B1544">
        <v>178</v>
      </c>
      <c r="C1544">
        <v>3</v>
      </c>
      <c r="D1544">
        <v>1422</v>
      </c>
      <c r="E1544" t="s">
        <v>651</v>
      </c>
      <c r="F1544">
        <v>30</v>
      </c>
      <c r="G1544" t="s">
        <v>623</v>
      </c>
      <c r="H1544" s="1">
        <v>46090.791886574072</v>
      </c>
      <c r="I1544" t="s">
        <v>636</v>
      </c>
      <c r="J1544">
        <v>30</v>
      </c>
      <c r="K1544">
        <v>0</v>
      </c>
    </row>
    <row r="1545" spans="1:11" x14ac:dyDescent="0.3">
      <c r="A1545">
        <v>1544</v>
      </c>
      <c r="B1545">
        <v>76</v>
      </c>
      <c r="C1545">
        <v>5</v>
      </c>
      <c r="D1545">
        <v>1423</v>
      </c>
      <c r="E1545" t="s">
        <v>651</v>
      </c>
      <c r="F1545">
        <v>6.59</v>
      </c>
      <c r="G1545" t="s">
        <v>623</v>
      </c>
      <c r="H1545" s="1">
        <v>46091.307719907411</v>
      </c>
      <c r="I1545" t="s">
        <v>636</v>
      </c>
      <c r="J1545">
        <v>6.59</v>
      </c>
      <c r="K1545">
        <v>0</v>
      </c>
    </row>
    <row r="1546" spans="1:11" x14ac:dyDescent="0.3">
      <c r="A1546">
        <v>1545</v>
      </c>
      <c r="B1546">
        <v>261</v>
      </c>
      <c r="C1546">
        <v>3</v>
      </c>
      <c r="D1546">
        <v>1424</v>
      </c>
      <c r="E1546" t="s">
        <v>651</v>
      </c>
      <c r="F1546">
        <v>5.51</v>
      </c>
      <c r="G1546" t="s">
        <v>623</v>
      </c>
      <c r="H1546" s="1">
        <v>46091.338229166664</v>
      </c>
      <c r="I1546" t="s">
        <v>636</v>
      </c>
      <c r="J1546">
        <v>5.51</v>
      </c>
      <c r="K1546">
        <v>0</v>
      </c>
    </row>
    <row r="1547" spans="1:11" x14ac:dyDescent="0.3">
      <c r="A1547">
        <v>1546</v>
      </c>
      <c r="B1547">
        <v>151</v>
      </c>
      <c r="C1547">
        <v>2</v>
      </c>
      <c r="D1547">
        <v>1425</v>
      </c>
      <c r="E1547" t="s">
        <v>651</v>
      </c>
      <c r="F1547">
        <v>17.78</v>
      </c>
      <c r="G1547" t="s">
        <v>623</v>
      </c>
      <c r="H1547" s="1">
        <v>46091.407210648147</v>
      </c>
      <c r="I1547" t="s">
        <v>636</v>
      </c>
      <c r="J1547">
        <v>17.78</v>
      </c>
      <c r="K1547">
        <v>0</v>
      </c>
    </row>
    <row r="1548" spans="1:11" x14ac:dyDescent="0.3">
      <c r="A1548">
        <v>1547</v>
      </c>
      <c r="B1548">
        <v>149</v>
      </c>
      <c r="C1548">
        <v>4</v>
      </c>
      <c r="D1548">
        <v>1426</v>
      </c>
      <c r="E1548" t="s">
        <v>651</v>
      </c>
      <c r="F1548">
        <v>4.29</v>
      </c>
      <c r="G1548" t="s">
        <v>623</v>
      </c>
      <c r="H1548" s="1">
        <v>46091.514155092591</v>
      </c>
      <c r="I1548" t="s">
        <v>636</v>
      </c>
      <c r="J1548">
        <v>4.29</v>
      </c>
      <c r="K1548">
        <v>0</v>
      </c>
    </row>
    <row r="1549" spans="1:11" x14ac:dyDescent="0.3">
      <c r="A1549">
        <v>1548</v>
      </c>
      <c r="B1549">
        <v>27</v>
      </c>
      <c r="C1549">
        <v>3</v>
      </c>
      <c r="D1549">
        <v>1427</v>
      </c>
      <c r="E1549" t="s">
        <v>651</v>
      </c>
      <c r="F1549">
        <v>6.01</v>
      </c>
      <c r="G1549" t="s">
        <v>623</v>
      </c>
      <c r="H1549" s="1">
        <v>46091.599872685183</v>
      </c>
      <c r="I1549" t="s">
        <v>636</v>
      </c>
      <c r="J1549">
        <v>6.01</v>
      </c>
      <c r="K1549">
        <v>0</v>
      </c>
    </row>
    <row r="1550" spans="1:11" x14ac:dyDescent="0.3">
      <c r="A1550">
        <v>1549</v>
      </c>
      <c r="B1550">
        <v>35</v>
      </c>
      <c r="C1550">
        <v>3</v>
      </c>
      <c r="D1550">
        <v>1428</v>
      </c>
      <c r="E1550" t="s">
        <v>651</v>
      </c>
      <c r="F1550">
        <v>4.2699999999999996</v>
      </c>
      <c r="G1550" t="s">
        <v>623</v>
      </c>
      <c r="H1550" s="1">
        <v>46091.656574074077</v>
      </c>
      <c r="I1550" t="s">
        <v>636</v>
      </c>
      <c r="J1550">
        <v>4.2699999999999996</v>
      </c>
      <c r="K1550">
        <v>0</v>
      </c>
    </row>
    <row r="1551" spans="1:11" x14ac:dyDescent="0.3">
      <c r="A1551">
        <v>1550</v>
      </c>
      <c r="B1551">
        <v>230</v>
      </c>
      <c r="C1551">
        <v>4</v>
      </c>
      <c r="D1551">
        <v>1429</v>
      </c>
      <c r="E1551" t="s">
        <v>651</v>
      </c>
      <c r="F1551">
        <v>15.2</v>
      </c>
      <c r="G1551" t="s">
        <v>623</v>
      </c>
      <c r="H1551" s="1">
        <v>46091.742060185185</v>
      </c>
      <c r="I1551" t="s">
        <v>636</v>
      </c>
      <c r="J1551">
        <v>15.2</v>
      </c>
      <c r="K1551">
        <v>0</v>
      </c>
    </row>
    <row r="1552" spans="1:11" x14ac:dyDescent="0.3">
      <c r="A1552">
        <v>1551</v>
      </c>
      <c r="B1552">
        <v>137</v>
      </c>
      <c r="C1552">
        <v>5</v>
      </c>
      <c r="D1552">
        <v>1430</v>
      </c>
      <c r="E1552" t="s">
        <v>651</v>
      </c>
      <c r="F1552">
        <v>4.59</v>
      </c>
      <c r="G1552" t="s">
        <v>623</v>
      </c>
      <c r="H1552" s="1">
        <v>46092.333831018521</v>
      </c>
      <c r="I1552" t="s">
        <v>636</v>
      </c>
      <c r="J1552">
        <v>4.59</v>
      </c>
      <c r="K1552">
        <v>0</v>
      </c>
    </row>
    <row r="1553" spans="1:11" x14ac:dyDescent="0.3">
      <c r="A1553">
        <v>1552</v>
      </c>
      <c r="B1553">
        <v>39</v>
      </c>
      <c r="C1553">
        <v>5</v>
      </c>
      <c r="D1553">
        <v>1431</v>
      </c>
      <c r="E1553" t="s">
        <v>651</v>
      </c>
      <c r="F1553">
        <v>13.91</v>
      </c>
      <c r="G1553" t="s">
        <v>623</v>
      </c>
      <c r="H1553" s="1">
        <v>46092.346770833334</v>
      </c>
      <c r="I1553" t="s">
        <v>636</v>
      </c>
      <c r="J1553">
        <v>13.91</v>
      </c>
      <c r="K1553">
        <v>0</v>
      </c>
    </row>
    <row r="1554" spans="1:11" x14ac:dyDescent="0.3">
      <c r="A1554">
        <v>1553</v>
      </c>
      <c r="B1554">
        <v>175</v>
      </c>
      <c r="C1554">
        <v>3</v>
      </c>
      <c r="D1554">
        <v>1432</v>
      </c>
      <c r="E1554" t="s">
        <v>651</v>
      </c>
      <c r="F1554">
        <v>1.53</v>
      </c>
      <c r="G1554" t="s">
        <v>623</v>
      </c>
      <c r="H1554" s="1">
        <v>46092.437905092593</v>
      </c>
      <c r="I1554" t="s">
        <v>636</v>
      </c>
      <c r="J1554">
        <v>1.53</v>
      </c>
      <c r="K1554">
        <v>0</v>
      </c>
    </row>
    <row r="1555" spans="1:11" x14ac:dyDescent="0.3">
      <c r="A1555">
        <v>1554</v>
      </c>
      <c r="B1555">
        <v>40</v>
      </c>
      <c r="C1555">
        <v>2</v>
      </c>
      <c r="D1555">
        <v>1433</v>
      </c>
      <c r="E1555" t="s">
        <v>657</v>
      </c>
      <c r="F1555">
        <v>51.75</v>
      </c>
      <c r="G1555" t="s">
        <v>623</v>
      </c>
      <c r="H1555" s="1">
        <v>46092.497812499998</v>
      </c>
      <c r="I1555" t="s">
        <v>636</v>
      </c>
      <c r="J1555">
        <v>0</v>
      </c>
      <c r="K1555">
        <v>51.75</v>
      </c>
    </row>
    <row r="1556" spans="1:11" x14ac:dyDescent="0.3">
      <c r="A1556">
        <v>1555</v>
      </c>
      <c r="B1556">
        <v>144</v>
      </c>
      <c r="C1556">
        <v>4</v>
      </c>
      <c r="D1556">
        <v>1434</v>
      </c>
      <c r="E1556" t="s">
        <v>651</v>
      </c>
      <c r="F1556">
        <v>2.92</v>
      </c>
      <c r="G1556" t="s">
        <v>623</v>
      </c>
      <c r="H1556" s="1">
        <v>46092.516261574077</v>
      </c>
      <c r="I1556" t="s">
        <v>636</v>
      </c>
      <c r="J1556">
        <v>2.92</v>
      </c>
      <c r="K1556">
        <v>0</v>
      </c>
    </row>
    <row r="1557" spans="1:11" x14ac:dyDescent="0.3">
      <c r="A1557">
        <v>1556</v>
      </c>
      <c r="B1557">
        <v>36</v>
      </c>
      <c r="C1557">
        <v>2</v>
      </c>
      <c r="D1557">
        <v>1435</v>
      </c>
      <c r="E1557" t="s">
        <v>651</v>
      </c>
      <c r="F1557">
        <v>21</v>
      </c>
      <c r="G1557" t="s">
        <v>623</v>
      </c>
      <c r="H1557" s="1">
        <v>46092.557129629633</v>
      </c>
      <c r="I1557" t="s">
        <v>636</v>
      </c>
      <c r="J1557">
        <v>21</v>
      </c>
      <c r="K1557">
        <v>0</v>
      </c>
    </row>
    <row r="1558" spans="1:11" x14ac:dyDescent="0.3">
      <c r="A1558">
        <v>1557</v>
      </c>
      <c r="B1558">
        <v>175</v>
      </c>
      <c r="C1558">
        <v>2</v>
      </c>
      <c r="D1558">
        <v>1436</v>
      </c>
      <c r="E1558" t="s">
        <v>651</v>
      </c>
      <c r="F1558">
        <v>3.54</v>
      </c>
      <c r="G1558" t="s">
        <v>623</v>
      </c>
      <c r="H1558" s="1">
        <v>46092.600208333337</v>
      </c>
      <c r="I1558" t="s">
        <v>636</v>
      </c>
      <c r="J1558">
        <v>3.54</v>
      </c>
      <c r="K1558">
        <v>0</v>
      </c>
    </row>
    <row r="1559" spans="1:11" x14ac:dyDescent="0.3">
      <c r="A1559">
        <v>1558</v>
      </c>
      <c r="B1559">
        <v>300</v>
      </c>
      <c r="C1559">
        <v>4</v>
      </c>
      <c r="D1559">
        <v>1437</v>
      </c>
      <c r="E1559" t="s">
        <v>651</v>
      </c>
      <c r="F1559">
        <v>9.69</v>
      </c>
      <c r="G1559" t="s">
        <v>623</v>
      </c>
      <c r="H1559" s="1">
        <v>46092.692870370367</v>
      </c>
      <c r="I1559" t="s">
        <v>636</v>
      </c>
      <c r="J1559">
        <v>9.69</v>
      </c>
      <c r="K1559">
        <v>0</v>
      </c>
    </row>
    <row r="1560" spans="1:11" x14ac:dyDescent="0.3">
      <c r="A1560">
        <v>1559</v>
      </c>
      <c r="B1560">
        <v>39</v>
      </c>
      <c r="C1560">
        <v>2</v>
      </c>
      <c r="D1560">
        <v>1438</v>
      </c>
      <c r="E1560" t="s">
        <v>651</v>
      </c>
      <c r="F1560">
        <v>14.08</v>
      </c>
      <c r="G1560" t="s">
        <v>623</v>
      </c>
      <c r="H1560" s="1">
        <v>46092.713680555556</v>
      </c>
      <c r="I1560" t="s">
        <v>636</v>
      </c>
      <c r="J1560">
        <v>14.08</v>
      </c>
      <c r="K1560">
        <v>0</v>
      </c>
    </row>
    <row r="1561" spans="1:11" x14ac:dyDescent="0.3">
      <c r="A1561">
        <v>1560</v>
      </c>
      <c r="B1561">
        <v>87</v>
      </c>
      <c r="C1561">
        <v>2</v>
      </c>
      <c r="D1561">
        <v>1439</v>
      </c>
      <c r="E1561" t="s">
        <v>651</v>
      </c>
      <c r="F1561">
        <v>7.2</v>
      </c>
      <c r="G1561" t="s">
        <v>623</v>
      </c>
      <c r="H1561" s="1">
        <v>46092.719537037039</v>
      </c>
      <c r="I1561" t="s">
        <v>636</v>
      </c>
      <c r="J1561">
        <v>7.2</v>
      </c>
      <c r="K1561">
        <v>0</v>
      </c>
    </row>
    <row r="1562" spans="1:11" x14ac:dyDescent="0.3">
      <c r="A1562">
        <v>1561</v>
      </c>
      <c r="B1562">
        <v>107</v>
      </c>
      <c r="C1562">
        <v>3</v>
      </c>
      <c r="D1562">
        <v>1440</v>
      </c>
      <c r="E1562" t="s">
        <v>651</v>
      </c>
      <c r="F1562">
        <v>1.72</v>
      </c>
      <c r="G1562" t="s">
        <v>623</v>
      </c>
      <c r="H1562" s="1">
        <v>46092.730590277781</v>
      </c>
      <c r="I1562" t="s">
        <v>636</v>
      </c>
      <c r="J1562">
        <v>1.72</v>
      </c>
      <c r="K1562">
        <v>0</v>
      </c>
    </row>
    <row r="1563" spans="1:11" x14ac:dyDescent="0.3">
      <c r="A1563">
        <v>1562</v>
      </c>
      <c r="B1563">
        <v>65</v>
      </c>
      <c r="C1563">
        <v>5</v>
      </c>
      <c r="D1563">
        <v>1441</v>
      </c>
      <c r="E1563" t="s">
        <v>651</v>
      </c>
      <c r="F1563">
        <v>3.24</v>
      </c>
      <c r="G1563" t="s">
        <v>623</v>
      </c>
      <c r="H1563" s="1">
        <v>46092.815960648149</v>
      </c>
      <c r="I1563" t="s">
        <v>636</v>
      </c>
      <c r="J1563">
        <v>3.24</v>
      </c>
      <c r="K1563">
        <v>0</v>
      </c>
    </row>
    <row r="1564" spans="1:11" x14ac:dyDescent="0.3">
      <c r="A1564">
        <v>1563</v>
      </c>
      <c r="B1564">
        <v>60</v>
      </c>
      <c r="C1564">
        <v>3</v>
      </c>
      <c r="D1564">
        <v>1442</v>
      </c>
      <c r="E1564" t="s">
        <v>651</v>
      </c>
      <c r="F1564">
        <v>22.07</v>
      </c>
      <c r="G1564" t="s">
        <v>623</v>
      </c>
      <c r="H1564" s="1">
        <v>46093.322743055556</v>
      </c>
      <c r="I1564" t="s">
        <v>636</v>
      </c>
      <c r="J1564">
        <v>22.07</v>
      </c>
      <c r="K1564">
        <v>0</v>
      </c>
    </row>
    <row r="1565" spans="1:11" x14ac:dyDescent="0.3">
      <c r="A1565">
        <v>1564</v>
      </c>
      <c r="B1565">
        <v>59</v>
      </c>
      <c r="C1565">
        <v>2</v>
      </c>
      <c r="D1565">
        <v>1443</v>
      </c>
      <c r="E1565" t="s">
        <v>651</v>
      </c>
      <c r="F1565">
        <v>2.59</v>
      </c>
      <c r="G1565" t="s">
        <v>623</v>
      </c>
      <c r="H1565" s="1">
        <v>46093.336157407408</v>
      </c>
      <c r="I1565" t="s">
        <v>636</v>
      </c>
      <c r="J1565">
        <v>2.59</v>
      </c>
      <c r="K1565">
        <v>0</v>
      </c>
    </row>
    <row r="1566" spans="1:11" x14ac:dyDescent="0.3">
      <c r="A1566">
        <v>1565</v>
      </c>
      <c r="B1566">
        <v>192</v>
      </c>
      <c r="C1566">
        <v>5</v>
      </c>
      <c r="D1566">
        <v>1444</v>
      </c>
      <c r="E1566" t="s">
        <v>651</v>
      </c>
      <c r="F1566">
        <v>3.8</v>
      </c>
      <c r="G1566" t="s">
        <v>623</v>
      </c>
      <c r="H1566" s="1">
        <v>46093.374849537038</v>
      </c>
      <c r="I1566" t="s">
        <v>636</v>
      </c>
      <c r="J1566">
        <v>3.8</v>
      </c>
      <c r="K1566">
        <v>0</v>
      </c>
    </row>
    <row r="1567" spans="1:11" x14ac:dyDescent="0.3">
      <c r="A1567">
        <v>1566</v>
      </c>
      <c r="B1567">
        <v>27</v>
      </c>
      <c r="C1567">
        <v>5</v>
      </c>
      <c r="D1567">
        <v>1445</v>
      </c>
      <c r="E1567" t="s">
        <v>651</v>
      </c>
      <c r="F1567">
        <v>7.14</v>
      </c>
      <c r="G1567" t="s">
        <v>623</v>
      </c>
      <c r="H1567" s="1">
        <v>46093.375486111108</v>
      </c>
      <c r="I1567" t="s">
        <v>636</v>
      </c>
      <c r="J1567">
        <v>7.14</v>
      </c>
      <c r="K1567">
        <v>0</v>
      </c>
    </row>
    <row r="1568" spans="1:11" x14ac:dyDescent="0.3">
      <c r="A1568">
        <v>1567</v>
      </c>
      <c r="B1568">
        <v>124</v>
      </c>
      <c r="C1568">
        <v>3</v>
      </c>
      <c r="D1568">
        <v>1446</v>
      </c>
      <c r="E1568" t="s">
        <v>651</v>
      </c>
      <c r="F1568">
        <v>3.48</v>
      </c>
      <c r="G1568" t="s">
        <v>623</v>
      </c>
      <c r="H1568" s="1">
        <v>46093.420694444445</v>
      </c>
      <c r="I1568" t="s">
        <v>636</v>
      </c>
      <c r="J1568">
        <v>3.48</v>
      </c>
      <c r="K1568">
        <v>0</v>
      </c>
    </row>
    <row r="1569" spans="1:11" x14ac:dyDescent="0.3">
      <c r="A1569">
        <v>1568</v>
      </c>
      <c r="B1569">
        <v>175</v>
      </c>
      <c r="C1569">
        <v>4</v>
      </c>
      <c r="D1569">
        <v>1447</v>
      </c>
      <c r="E1569" t="s">
        <v>651</v>
      </c>
      <c r="F1569">
        <v>3.56</v>
      </c>
      <c r="G1569" t="s">
        <v>623</v>
      </c>
      <c r="H1569" s="1">
        <v>46093.469907407409</v>
      </c>
      <c r="I1569" t="s">
        <v>636</v>
      </c>
      <c r="J1569">
        <v>3.56</v>
      </c>
      <c r="K1569">
        <v>0</v>
      </c>
    </row>
    <row r="1570" spans="1:11" x14ac:dyDescent="0.3">
      <c r="A1570">
        <v>1569</v>
      </c>
      <c r="B1570">
        <v>234</v>
      </c>
      <c r="C1570">
        <v>5</v>
      </c>
      <c r="D1570">
        <v>1448</v>
      </c>
      <c r="E1570" t="s">
        <v>651</v>
      </c>
      <c r="F1570">
        <v>17.95</v>
      </c>
      <c r="G1570" t="s">
        <v>623</v>
      </c>
      <c r="H1570" s="1">
        <v>46093.520266203705</v>
      </c>
      <c r="I1570" t="s">
        <v>636</v>
      </c>
      <c r="J1570">
        <v>17.95</v>
      </c>
      <c r="K1570">
        <v>0</v>
      </c>
    </row>
    <row r="1571" spans="1:11" x14ac:dyDescent="0.3">
      <c r="A1571">
        <v>1570</v>
      </c>
      <c r="B1571">
        <v>39</v>
      </c>
      <c r="C1571">
        <v>2</v>
      </c>
      <c r="D1571">
        <v>1449</v>
      </c>
      <c r="E1571" t="s">
        <v>651</v>
      </c>
      <c r="F1571">
        <v>30</v>
      </c>
      <c r="G1571" t="s">
        <v>623</v>
      </c>
      <c r="H1571" s="1">
        <v>46093.603379629632</v>
      </c>
      <c r="I1571" t="s">
        <v>636</v>
      </c>
      <c r="J1571">
        <v>30</v>
      </c>
      <c r="K1571">
        <v>0</v>
      </c>
    </row>
    <row r="1572" spans="1:11" x14ac:dyDescent="0.3">
      <c r="A1572">
        <v>1571</v>
      </c>
      <c r="B1572">
        <v>40</v>
      </c>
      <c r="C1572">
        <v>3</v>
      </c>
      <c r="D1572">
        <v>1433</v>
      </c>
      <c r="E1572" t="s">
        <v>649</v>
      </c>
      <c r="F1572">
        <v>51.75</v>
      </c>
      <c r="G1572" t="s">
        <v>718</v>
      </c>
      <c r="H1572" s="1">
        <v>46093.622812499998</v>
      </c>
      <c r="I1572" t="s">
        <v>636</v>
      </c>
      <c r="J1572">
        <v>0</v>
      </c>
      <c r="K1572">
        <v>0</v>
      </c>
    </row>
    <row r="1573" spans="1:11" x14ac:dyDescent="0.3">
      <c r="A1573">
        <v>1572</v>
      </c>
      <c r="B1573">
        <v>150</v>
      </c>
      <c r="C1573">
        <v>5</v>
      </c>
      <c r="D1573">
        <v>1450</v>
      </c>
      <c r="E1573" t="s">
        <v>651</v>
      </c>
      <c r="F1573">
        <v>17.16</v>
      </c>
      <c r="G1573" t="s">
        <v>623</v>
      </c>
      <c r="H1573" s="1">
        <v>46093.629745370374</v>
      </c>
      <c r="I1573" t="s">
        <v>636</v>
      </c>
      <c r="J1573">
        <v>17.16</v>
      </c>
      <c r="K1573">
        <v>0</v>
      </c>
    </row>
    <row r="1574" spans="1:11" x14ac:dyDescent="0.3">
      <c r="A1574">
        <v>1573</v>
      </c>
      <c r="B1574">
        <v>156</v>
      </c>
      <c r="C1574">
        <v>5</v>
      </c>
      <c r="D1574">
        <v>1451</v>
      </c>
      <c r="E1574" t="s">
        <v>657</v>
      </c>
      <c r="F1574">
        <v>18.86</v>
      </c>
      <c r="G1574" t="s">
        <v>623</v>
      </c>
      <c r="H1574" s="1">
        <v>46093.69295138889</v>
      </c>
      <c r="I1574" t="s">
        <v>636</v>
      </c>
      <c r="J1574">
        <v>0</v>
      </c>
      <c r="K1574">
        <v>18.86</v>
      </c>
    </row>
    <row r="1575" spans="1:11" x14ac:dyDescent="0.3">
      <c r="A1575">
        <v>1574</v>
      </c>
      <c r="B1575">
        <v>133</v>
      </c>
      <c r="C1575">
        <v>3</v>
      </c>
      <c r="D1575">
        <v>1452</v>
      </c>
      <c r="E1575" t="s">
        <v>651</v>
      </c>
      <c r="F1575">
        <v>6.94</v>
      </c>
      <c r="G1575" t="s">
        <v>623</v>
      </c>
      <c r="H1575" s="1">
        <v>46093.702847222223</v>
      </c>
      <c r="I1575" t="s">
        <v>636</v>
      </c>
      <c r="J1575">
        <v>6.94</v>
      </c>
      <c r="K1575">
        <v>0</v>
      </c>
    </row>
    <row r="1576" spans="1:11" x14ac:dyDescent="0.3">
      <c r="A1576">
        <v>1575</v>
      </c>
      <c r="B1576">
        <v>243</v>
      </c>
      <c r="C1576">
        <v>3</v>
      </c>
      <c r="D1576">
        <v>1453</v>
      </c>
      <c r="E1576" t="s">
        <v>651</v>
      </c>
      <c r="F1576">
        <v>1.95</v>
      </c>
      <c r="G1576" t="s">
        <v>623</v>
      </c>
      <c r="H1576" s="1">
        <v>46094.3440625</v>
      </c>
      <c r="I1576" t="s">
        <v>636</v>
      </c>
      <c r="J1576">
        <v>1.95</v>
      </c>
      <c r="K1576">
        <v>0</v>
      </c>
    </row>
    <row r="1577" spans="1:11" x14ac:dyDescent="0.3">
      <c r="A1577">
        <v>1576</v>
      </c>
      <c r="B1577">
        <v>241</v>
      </c>
      <c r="C1577">
        <v>2</v>
      </c>
      <c r="D1577">
        <v>1454</v>
      </c>
      <c r="E1577" t="s">
        <v>651</v>
      </c>
      <c r="F1577">
        <v>2.11</v>
      </c>
      <c r="G1577" t="s">
        <v>623</v>
      </c>
      <c r="H1577" s="1">
        <v>46094.360115740739</v>
      </c>
      <c r="I1577" t="s">
        <v>636</v>
      </c>
      <c r="J1577">
        <v>2.11</v>
      </c>
      <c r="K1577">
        <v>0</v>
      </c>
    </row>
    <row r="1578" spans="1:11" x14ac:dyDescent="0.3">
      <c r="A1578">
        <v>1577</v>
      </c>
      <c r="B1578">
        <v>36</v>
      </c>
      <c r="C1578">
        <v>2</v>
      </c>
      <c r="D1578">
        <v>1455</v>
      </c>
      <c r="E1578" t="s">
        <v>651</v>
      </c>
      <c r="F1578">
        <v>18.47</v>
      </c>
      <c r="G1578" t="s">
        <v>623</v>
      </c>
      <c r="H1578" s="1">
        <v>46094.457002314812</v>
      </c>
      <c r="I1578" t="s">
        <v>636</v>
      </c>
      <c r="J1578">
        <v>18.47</v>
      </c>
      <c r="K1578">
        <v>0</v>
      </c>
    </row>
    <row r="1579" spans="1:11" x14ac:dyDescent="0.3">
      <c r="A1579">
        <v>1578</v>
      </c>
      <c r="B1579">
        <v>247</v>
      </c>
      <c r="C1579">
        <v>2</v>
      </c>
      <c r="D1579">
        <v>1456</v>
      </c>
      <c r="E1579" t="s">
        <v>651</v>
      </c>
      <c r="F1579">
        <v>2.1</v>
      </c>
      <c r="G1579" t="s">
        <v>623</v>
      </c>
      <c r="H1579" s="1">
        <v>46094.460405092592</v>
      </c>
      <c r="I1579" t="s">
        <v>636</v>
      </c>
      <c r="J1579">
        <v>2.1</v>
      </c>
      <c r="K1579">
        <v>0</v>
      </c>
    </row>
    <row r="1580" spans="1:11" x14ac:dyDescent="0.3">
      <c r="A1580">
        <v>1579</v>
      </c>
      <c r="B1580">
        <v>60</v>
      </c>
      <c r="C1580">
        <v>3</v>
      </c>
      <c r="D1580">
        <v>1457</v>
      </c>
      <c r="E1580" t="s">
        <v>651</v>
      </c>
      <c r="F1580">
        <v>11.59</v>
      </c>
      <c r="G1580" t="s">
        <v>623</v>
      </c>
      <c r="H1580" s="1">
        <v>46094.482986111114</v>
      </c>
      <c r="I1580" t="s">
        <v>636</v>
      </c>
      <c r="J1580">
        <v>11.59</v>
      </c>
      <c r="K1580">
        <v>0</v>
      </c>
    </row>
    <row r="1581" spans="1:11" x14ac:dyDescent="0.3">
      <c r="A1581">
        <v>1580</v>
      </c>
      <c r="B1581">
        <v>288</v>
      </c>
      <c r="C1581">
        <v>3</v>
      </c>
      <c r="D1581">
        <v>1458</v>
      </c>
      <c r="E1581" t="s">
        <v>651</v>
      </c>
      <c r="F1581">
        <v>3.84</v>
      </c>
      <c r="G1581" t="s">
        <v>623</v>
      </c>
      <c r="H1581" s="1">
        <v>46094.576504629629</v>
      </c>
      <c r="I1581" t="s">
        <v>636</v>
      </c>
      <c r="J1581">
        <v>3.84</v>
      </c>
      <c r="K1581">
        <v>0</v>
      </c>
    </row>
    <row r="1582" spans="1:11" x14ac:dyDescent="0.3">
      <c r="A1582">
        <v>1581</v>
      </c>
      <c r="B1582">
        <v>96</v>
      </c>
      <c r="C1582">
        <v>3</v>
      </c>
      <c r="D1582">
        <v>1459</v>
      </c>
      <c r="E1582" t="s">
        <v>651</v>
      </c>
      <c r="F1582">
        <v>17.55</v>
      </c>
      <c r="G1582" t="s">
        <v>623</v>
      </c>
      <c r="H1582" s="1">
        <v>46094.618113425924</v>
      </c>
      <c r="I1582" t="s">
        <v>636</v>
      </c>
      <c r="J1582">
        <v>17.55</v>
      </c>
      <c r="K1582">
        <v>0</v>
      </c>
    </row>
    <row r="1583" spans="1:11" x14ac:dyDescent="0.3">
      <c r="A1583">
        <v>1582</v>
      </c>
      <c r="B1583">
        <v>141</v>
      </c>
      <c r="C1583">
        <v>2</v>
      </c>
      <c r="D1583">
        <v>1460</v>
      </c>
      <c r="E1583" t="s">
        <v>651</v>
      </c>
      <c r="F1583">
        <v>9.81</v>
      </c>
      <c r="G1583" t="s">
        <v>623</v>
      </c>
      <c r="H1583" s="1">
        <v>46094.623553240737</v>
      </c>
      <c r="I1583" t="s">
        <v>636</v>
      </c>
      <c r="J1583">
        <v>9.81</v>
      </c>
      <c r="K1583">
        <v>0</v>
      </c>
    </row>
    <row r="1584" spans="1:11" x14ac:dyDescent="0.3">
      <c r="A1584">
        <v>1583</v>
      </c>
      <c r="B1584">
        <v>178</v>
      </c>
      <c r="C1584">
        <v>4</v>
      </c>
      <c r="D1584">
        <v>1461</v>
      </c>
      <c r="E1584" t="s">
        <v>651</v>
      </c>
      <c r="F1584">
        <v>15.82</v>
      </c>
      <c r="G1584" t="s">
        <v>623</v>
      </c>
      <c r="H1584" s="1">
        <v>46094.63175925926</v>
      </c>
      <c r="I1584" t="s">
        <v>636</v>
      </c>
      <c r="J1584">
        <v>15.82</v>
      </c>
      <c r="K1584">
        <v>0</v>
      </c>
    </row>
    <row r="1585" spans="1:11" x14ac:dyDescent="0.3">
      <c r="A1585">
        <v>1584</v>
      </c>
      <c r="B1585">
        <v>230</v>
      </c>
      <c r="C1585">
        <v>4</v>
      </c>
      <c r="D1585">
        <v>1462</v>
      </c>
      <c r="E1585" t="s">
        <v>651</v>
      </c>
      <c r="F1585">
        <v>19.440000000000001</v>
      </c>
      <c r="G1585" t="s">
        <v>623</v>
      </c>
      <c r="H1585" s="1">
        <v>46094.717511574076</v>
      </c>
      <c r="I1585" t="s">
        <v>636</v>
      </c>
      <c r="J1585">
        <v>19.440000000000001</v>
      </c>
      <c r="K1585">
        <v>0</v>
      </c>
    </row>
    <row r="1586" spans="1:11" x14ac:dyDescent="0.3">
      <c r="A1586">
        <v>1585</v>
      </c>
      <c r="B1586">
        <v>87</v>
      </c>
      <c r="C1586">
        <v>2</v>
      </c>
      <c r="D1586">
        <v>1463</v>
      </c>
      <c r="E1586" t="s">
        <v>651</v>
      </c>
      <c r="F1586">
        <v>7.62</v>
      </c>
      <c r="G1586" t="s">
        <v>623</v>
      </c>
      <c r="H1586" s="1">
        <v>46094.722094907411</v>
      </c>
      <c r="I1586" t="s">
        <v>636</v>
      </c>
      <c r="J1586">
        <v>7.62</v>
      </c>
      <c r="K1586">
        <v>0</v>
      </c>
    </row>
    <row r="1587" spans="1:11" x14ac:dyDescent="0.3">
      <c r="A1587">
        <v>1586</v>
      </c>
      <c r="B1587">
        <v>81</v>
      </c>
      <c r="C1587">
        <v>3</v>
      </c>
      <c r="D1587">
        <v>1464</v>
      </c>
      <c r="E1587" t="s">
        <v>651</v>
      </c>
      <c r="F1587">
        <v>2.97</v>
      </c>
      <c r="G1587" t="s">
        <v>623</v>
      </c>
      <c r="H1587" s="1">
        <v>46094.753344907411</v>
      </c>
      <c r="I1587" t="s">
        <v>636</v>
      </c>
      <c r="J1587">
        <v>2.97</v>
      </c>
      <c r="K1587">
        <v>0</v>
      </c>
    </row>
    <row r="1588" spans="1:11" x14ac:dyDescent="0.3">
      <c r="A1588">
        <v>1587</v>
      </c>
      <c r="B1588">
        <v>106</v>
      </c>
      <c r="C1588">
        <v>5</v>
      </c>
      <c r="D1588">
        <v>1465</v>
      </c>
      <c r="E1588" t="s">
        <v>651</v>
      </c>
      <c r="F1588">
        <v>6.95</v>
      </c>
      <c r="G1588" t="s">
        <v>623</v>
      </c>
      <c r="H1588" s="1">
        <v>46094.766261574077</v>
      </c>
      <c r="I1588" t="s">
        <v>636</v>
      </c>
      <c r="J1588">
        <v>6.95</v>
      </c>
      <c r="K1588">
        <v>0</v>
      </c>
    </row>
    <row r="1589" spans="1:11" x14ac:dyDescent="0.3">
      <c r="A1589">
        <v>1588</v>
      </c>
      <c r="B1589">
        <v>156</v>
      </c>
      <c r="C1589">
        <v>5</v>
      </c>
      <c r="D1589">
        <v>1466</v>
      </c>
      <c r="E1589" t="s">
        <v>651</v>
      </c>
      <c r="F1589">
        <v>4.13</v>
      </c>
      <c r="G1589" t="s">
        <v>623</v>
      </c>
      <c r="H1589" s="1">
        <v>46094.81863425926</v>
      </c>
      <c r="I1589" t="s">
        <v>636</v>
      </c>
      <c r="J1589">
        <v>4.13</v>
      </c>
      <c r="K1589">
        <v>0</v>
      </c>
    </row>
    <row r="1590" spans="1:11" x14ac:dyDescent="0.3">
      <c r="A1590">
        <v>1589</v>
      </c>
      <c r="B1590">
        <v>25</v>
      </c>
      <c r="C1590">
        <v>3</v>
      </c>
      <c r="D1590">
        <v>1467</v>
      </c>
      <c r="E1590" t="s">
        <v>651</v>
      </c>
      <c r="F1590">
        <v>10.29</v>
      </c>
      <c r="G1590" t="s">
        <v>623</v>
      </c>
      <c r="H1590" s="1">
        <v>46095.330520833333</v>
      </c>
      <c r="I1590" t="s">
        <v>636</v>
      </c>
      <c r="J1590">
        <v>10.29</v>
      </c>
      <c r="K1590">
        <v>0</v>
      </c>
    </row>
    <row r="1591" spans="1:11" x14ac:dyDescent="0.3">
      <c r="A1591">
        <v>1590</v>
      </c>
      <c r="B1591">
        <v>243</v>
      </c>
      <c r="C1591">
        <v>4</v>
      </c>
      <c r="D1591">
        <v>1468</v>
      </c>
      <c r="E1591" t="s">
        <v>651</v>
      </c>
      <c r="F1591">
        <v>4.17</v>
      </c>
      <c r="G1591" t="s">
        <v>623</v>
      </c>
      <c r="H1591" s="1">
        <v>46095.358807870369</v>
      </c>
      <c r="I1591" t="s">
        <v>636</v>
      </c>
      <c r="J1591">
        <v>4.17</v>
      </c>
      <c r="K1591">
        <v>0</v>
      </c>
    </row>
    <row r="1592" spans="1:11" x14ac:dyDescent="0.3">
      <c r="A1592">
        <v>1591</v>
      </c>
      <c r="B1592">
        <v>25</v>
      </c>
      <c r="C1592">
        <v>3</v>
      </c>
      <c r="D1592">
        <v>1469</v>
      </c>
      <c r="E1592" t="s">
        <v>651</v>
      </c>
      <c r="F1592">
        <v>5.62</v>
      </c>
      <c r="G1592" t="s">
        <v>623</v>
      </c>
      <c r="H1592" s="1">
        <v>46095.362245370372</v>
      </c>
      <c r="I1592" t="s">
        <v>636</v>
      </c>
      <c r="J1592">
        <v>5.62</v>
      </c>
      <c r="K1592">
        <v>0</v>
      </c>
    </row>
    <row r="1593" spans="1:11" x14ac:dyDescent="0.3">
      <c r="A1593">
        <v>1592</v>
      </c>
      <c r="B1593">
        <v>156</v>
      </c>
      <c r="C1593">
        <v>4</v>
      </c>
      <c r="D1593">
        <v>1470</v>
      </c>
      <c r="E1593" t="s">
        <v>651</v>
      </c>
      <c r="F1593">
        <v>2.88</v>
      </c>
      <c r="G1593" t="s">
        <v>623</v>
      </c>
      <c r="H1593" s="1">
        <v>46095.399675925924</v>
      </c>
      <c r="I1593" t="s">
        <v>636</v>
      </c>
      <c r="J1593">
        <v>2.88</v>
      </c>
      <c r="K1593">
        <v>0</v>
      </c>
    </row>
    <row r="1594" spans="1:11" x14ac:dyDescent="0.3">
      <c r="A1594">
        <v>1593</v>
      </c>
      <c r="B1594">
        <v>96</v>
      </c>
      <c r="C1594">
        <v>3</v>
      </c>
      <c r="D1594">
        <v>1471</v>
      </c>
      <c r="E1594" t="s">
        <v>651</v>
      </c>
      <c r="F1594">
        <v>22.76</v>
      </c>
      <c r="G1594" t="s">
        <v>623</v>
      </c>
      <c r="H1594" s="1">
        <v>46095.417268518519</v>
      </c>
      <c r="I1594" t="s">
        <v>636</v>
      </c>
      <c r="J1594">
        <v>22.76</v>
      </c>
      <c r="K1594">
        <v>0</v>
      </c>
    </row>
    <row r="1595" spans="1:11" x14ac:dyDescent="0.3">
      <c r="A1595">
        <v>1594</v>
      </c>
      <c r="B1595">
        <v>178</v>
      </c>
      <c r="C1595">
        <v>5</v>
      </c>
      <c r="D1595">
        <v>1472</v>
      </c>
      <c r="E1595" t="s">
        <v>651</v>
      </c>
      <c r="F1595">
        <v>20.010000000000002</v>
      </c>
      <c r="G1595" t="s">
        <v>623</v>
      </c>
      <c r="H1595" s="1">
        <v>46095.446053240739</v>
      </c>
      <c r="I1595" t="s">
        <v>636</v>
      </c>
      <c r="J1595">
        <v>20.010000000000002</v>
      </c>
      <c r="K1595">
        <v>0</v>
      </c>
    </row>
    <row r="1596" spans="1:11" x14ac:dyDescent="0.3">
      <c r="A1596">
        <v>1595</v>
      </c>
      <c r="B1596">
        <v>32</v>
      </c>
      <c r="C1596">
        <v>4</v>
      </c>
      <c r="D1596">
        <v>1473</v>
      </c>
      <c r="E1596" t="s">
        <v>651</v>
      </c>
      <c r="F1596">
        <v>3.12</v>
      </c>
      <c r="G1596" t="s">
        <v>623</v>
      </c>
      <c r="H1596" s="1">
        <v>46095.457060185188</v>
      </c>
      <c r="I1596" t="s">
        <v>636</v>
      </c>
      <c r="J1596">
        <v>3.12</v>
      </c>
      <c r="K1596">
        <v>0</v>
      </c>
    </row>
    <row r="1597" spans="1:11" x14ac:dyDescent="0.3">
      <c r="A1597">
        <v>1596</v>
      </c>
      <c r="B1597">
        <v>89</v>
      </c>
      <c r="C1597">
        <v>5</v>
      </c>
      <c r="D1597">
        <v>1474</v>
      </c>
      <c r="E1597" t="s">
        <v>651</v>
      </c>
      <c r="F1597">
        <v>16.55</v>
      </c>
      <c r="G1597" t="s">
        <v>623</v>
      </c>
      <c r="H1597" s="1">
        <v>46095.693368055552</v>
      </c>
      <c r="I1597" t="s">
        <v>636</v>
      </c>
      <c r="J1597">
        <v>16.55</v>
      </c>
      <c r="K1597">
        <v>0</v>
      </c>
    </row>
    <row r="1598" spans="1:11" x14ac:dyDescent="0.3">
      <c r="A1598">
        <v>1597</v>
      </c>
      <c r="B1598">
        <v>16</v>
      </c>
      <c r="C1598">
        <v>4</v>
      </c>
      <c r="D1598">
        <v>1475</v>
      </c>
      <c r="E1598" t="s">
        <v>651</v>
      </c>
      <c r="F1598">
        <v>17.23</v>
      </c>
      <c r="G1598" t="s">
        <v>623</v>
      </c>
      <c r="H1598" s="1">
        <v>46095.826319444444</v>
      </c>
      <c r="I1598" t="s">
        <v>636</v>
      </c>
      <c r="J1598">
        <v>17.23</v>
      </c>
      <c r="K1598">
        <v>0</v>
      </c>
    </row>
    <row r="1599" spans="1:11" x14ac:dyDescent="0.3">
      <c r="A1599">
        <v>1598</v>
      </c>
      <c r="B1599">
        <v>150</v>
      </c>
      <c r="C1599">
        <v>3</v>
      </c>
      <c r="D1599">
        <v>1476</v>
      </c>
      <c r="E1599" t="s">
        <v>651</v>
      </c>
      <c r="F1599">
        <v>7.51</v>
      </c>
      <c r="G1599" t="s">
        <v>623</v>
      </c>
      <c r="H1599" s="1">
        <v>46095.832928240743</v>
      </c>
      <c r="I1599" t="s">
        <v>636</v>
      </c>
      <c r="J1599">
        <v>7.51</v>
      </c>
      <c r="K1599">
        <v>0</v>
      </c>
    </row>
    <row r="1600" spans="1:11" x14ac:dyDescent="0.3">
      <c r="A1600">
        <v>1599</v>
      </c>
      <c r="B1600">
        <v>89</v>
      </c>
      <c r="C1600">
        <v>2</v>
      </c>
      <c r="D1600">
        <v>1474</v>
      </c>
      <c r="E1600" t="s">
        <v>649</v>
      </c>
      <c r="F1600">
        <v>-16.55</v>
      </c>
      <c r="G1600" t="s">
        <v>719</v>
      </c>
      <c r="H1600" s="1">
        <v>46096.235034722224</v>
      </c>
      <c r="I1600" t="s">
        <v>636</v>
      </c>
      <c r="J1600">
        <v>0</v>
      </c>
      <c r="K1600">
        <v>0</v>
      </c>
    </row>
    <row r="1601" spans="1:11" x14ac:dyDescent="0.3">
      <c r="A1601">
        <v>1600</v>
      </c>
      <c r="B1601">
        <v>87</v>
      </c>
      <c r="C1601">
        <v>2</v>
      </c>
      <c r="D1601">
        <v>1477</v>
      </c>
      <c r="E1601" t="s">
        <v>651</v>
      </c>
      <c r="F1601">
        <v>6.92</v>
      </c>
      <c r="G1601" t="s">
        <v>623</v>
      </c>
      <c r="H1601" s="1">
        <v>46096.528645833336</v>
      </c>
      <c r="I1601" t="s">
        <v>636</v>
      </c>
      <c r="J1601">
        <v>6.92</v>
      </c>
      <c r="K1601">
        <v>0</v>
      </c>
    </row>
    <row r="1602" spans="1:11" x14ac:dyDescent="0.3">
      <c r="A1602">
        <v>1601</v>
      </c>
      <c r="B1602">
        <v>106</v>
      </c>
      <c r="C1602">
        <v>5</v>
      </c>
      <c r="D1602">
        <v>1478</v>
      </c>
      <c r="E1602" t="s">
        <v>651</v>
      </c>
      <c r="F1602">
        <v>6.31</v>
      </c>
      <c r="G1602" t="s">
        <v>623</v>
      </c>
      <c r="H1602" s="1">
        <v>46096.705613425926</v>
      </c>
      <c r="I1602" t="s">
        <v>636</v>
      </c>
      <c r="J1602">
        <v>6.31</v>
      </c>
      <c r="K1602">
        <v>0</v>
      </c>
    </row>
    <row r="1603" spans="1:11" x14ac:dyDescent="0.3">
      <c r="A1603">
        <v>1602</v>
      </c>
      <c r="B1603">
        <v>21</v>
      </c>
      <c r="C1603">
        <v>3</v>
      </c>
      <c r="D1603">
        <v>1479</v>
      </c>
      <c r="E1603" t="s">
        <v>651</v>
      </c>
      <c r="F1603">
        <v>1.74</v>
      </c>
      <c r="G1603" t="s">
        <v>623</v>
      </c>
      <c r="H1603" s="1">
        <v>46096.727800925924</v>
      </c>
      <c r="I1603" t="s">
        <v>636</v>
      </c>
      <c r="J1603">
        <v>1.74</v>
      </c>
      <c r="K1603">
        <v>0</v>
      </c>
    </row>
    <row r="1604" spans="1:11" x14ac:dyDescent="0.3">
      <c r="A1604">
        <v>1603</v>
      </c>
      <c r="B1604">
        <v>235</v>
      </c>
      <c r="C1604">
        <v>3</v>
      </c>
      <c r="D1604">
        <v>1480</v>
      </c>
      <c r="E1604" t="s">
        <v>651</v>
      </c>
      <c r="F1604">
        <v>2.38</v>
      </c>
      <c r="G1604" t="s">
        <v>623</v>
      </c>
      <c r="H1604" s="1">
        <v>46096.739305555559</v>
      </c>
      <c r="I1604" t="s">
        <v>636</v>
      </c>
      <c r="J1604">
        <v>2.38</v>
      </c>
      <c r="K1604">
        <v>0</v>
      </c>
    </row>
    <row r="1605" spans="1:11" x14ac:dyDescent="0.3">
      <c r="A1605">
        <v>1604</v>
      </c>
      <c r="B1605">
        <v>149</v>
      </c>
      <c r="C1605">
        <v>4</v>
      </c>
      <c r="D1605">
        <v>1481</v>
      </c>
      <c r="E1605" t="s">
        <v>651</v>
      </c>
      <c r="F1605">
        <v>2.34</v>
      </c>
      <c r="G1605" t="s">
        <v>623</v>
      </c>
      <c r="H1605" s="1">
        <v>46096.771018518521</v>
      </c>
      <c r="I1605" t="s">
        <v>636</v>
      </c>
      <c r="J1605">
        <v>2.34</v>
      </c>
      <c r="K1605">
        <v>0</v>
      </c>
    </row>
    <row r="1606" spans="1:11" x14ac:dyDescent="0.3">
      <c r="A1606">
        <v>1605</v>
      </c>
      <c r="B1606">
        <v>135</v>
      </c>
      <c r="C1606">
        <v>5</v>
      </c>
      <c r="D1606">
        <v>1482</v>
      </c>
      <c r="E1606" t="s">
        <v>657</v>
      </c>
      <c r="F1606">
        <v>80</v>
      </c>
      <c r="G1606" t="s">
        <v>623</v>
      </c>
      <c r="H1606" s="1">
        <v>46097.34783564815</v>
      </c>
      <c r="I1606" t="s">
        <v>636</v>
      </c>
      <c r="J1606">
        <v>0</v>
      </c>
      <c r="K1606">
        <v>80</v>
      </c>
    </row>
    <row r="1607" spans="1:11" x14ac:dyDescent="0.3">
      <c r="A1607">
        <v>1606</v>
      </c>
      <c r="B1607">
        <v>137</v>
      </c>
      <c r="C1607">
        <v>2</v>
      </c>
      <c r="D1607">
        <v>1483</v>
      </c>
      <c r="E1607" t="s">
        <v>651</v>
      </c>
      <c r="F1607">
        <v>2.21</v>
      </c>
      <c r="G1607" t="s">
        <v>623</v>
      </c>
      <c r="H1607" s="1">
        <v>46097.514293981483</v>
      </c>
      <c r="I1607" t="s">
        <v>636</v>
      </c>
      <c r="J1607">
        <v>2.21</v>
      </c>
      <c r="K1607">
        <v>0</v>
      </c>
    </row>
    <row r="1608" spans="1:11" x14ac:dyDescent="0.3">
      <c r="A1608">
        <v>1607</v>
      </c>
      <c r="B1608">
        <v>244</v>
      </c>
      <c r="C1608">
        <v>2</v>
      </c>
      <c r="D1608">
        <v>1484</v>
      </c>
      <c r="E1608" t="s">
        <v>651</v>
      </c>
      <c r="F1608">
        <v>6.64</v>
      </c>
      <c r="G1608" t="s">
        <v>623</v>
      </c>
      <c r="H1608" s="1">
        <v>46097.572638888887</v>
      </c>
      <c r="I1608" t="s">
        <v>636</v>
      </c>
      <c r="J1608">
        <v>6.64</v>
      </c>
      <c r="K1608">
        <v>0</v>
      </c>
    </row>
    <row r="1609" spans="1:11" x14ac:dyDescent="0.3">
      <c r="A1609">
        <v>1608</v>
      </c>
      <c r="B1609">
        <v>117</v>
      </c>
      <c r="C1609">
        <v>5</v>
      </c>
      <c r="D1609">
        <v>1485</v>
      </c>
      <c r="E1609" t="s">
        <v>651</v>
      </c>
      <c r="F1609">
        <v>22</v>
      </c>
      <c r="G1609" t="s">
        <v>623</v>
      </c>
      <c r="H1609" s="1">
        <v>46097.650740740741</v>
      </c>
      <c r="I1609" t="s">
        <v>636</v>
      </c>
      <c r="J1609">
        <v>22</v>
      </c>
      <c r="K1609">
        <v>0</v>
      </c>
    </row>
    <row r="1610" spans="1:11" x14ac:dyDescent="0.3">
      <c r="A1610">
        <v>1609</v>
      </c>
      <c r="B1610">
        <v>264</v>
      </c>
      <c r="C1610">
        <v>2</v>
      </c>
      <c r="D1610">
        <v>1486</v>
      </c>
      <c r="E1610" t="s">
        <v>651</v>
      </c>
      <c r="F1610">
        <v>23.25</v>
      </c>
      <c r="G1610" t="s">
        <v>623</v>
      </c>
      <c r="H1610" s="1">
        <v>46097.67428240741</v>
      </c>
      <c r="I1610" t="s">
        <v>636</v>
      </c>
      <c r="J1610">
        <v>23.25</v>
      </c>
      <c r="K1610">
        <v>0</v>
      </c>
    </row>
    <row r="1611" spans="1:11" x14ac:dyDescent="0.3">
      <c r="A1611">
        <v>1610</v>
      </c>
      <c r="B1611">
        <v>91</v>
      </c>
      <c r="C1611">
        <v>5</v>
      </c>
      <c r="D1611">
        <v>1487</v>
      </c>
      <c r="E1611" t="s">
        <v>651</v>
      </c>
      <c r="F1611">
        <v>2.58</v>
      </c>
      <c r="G1611" t="s">
        <v>623</v>
      </c>
      <c r="H1611" s="1">
        <v>46097.77789351852</v>
      </c>
      <c r="I1611" t="s">
        <v>636</v>
      </c>
      <c r="J1611">
        <v>2.58</v>
      </c>
      <c r="K1611">
        <v>0</v>
      </c>
    </row>
    <row r="1612" spans="1:11" x14ac:dyDescent="0.3">
      <c r="A1612">
        <v>1611</v>
      </c>
      <c r="B1612">
        <v>108</v>
      </c>
      <c r="C1612">
        <v>2</v>
      </c>
      <c r="D1612">
        <v>1488</v>
      </c>
      <c r="E1612" t="s">
        <v>651</v>
      </c>
      <c r="F1612">
        <v>11.74</v>
      </c>
      <c r="G1612" t="s">
        <v>623</v>
      </c>
      <c r="H1612" s="1">
        <v>46097.805995370371</v>
      </c>
      <c r="I1612" t="s">
        <v>636</v>
      </c>
      <c r="J1612">
        <v>11.74</v>
      </c>
      <c r="K1612">
        <v>0</v>
      </c>
    </row>
    <row r="1613" spans="1:11" x14ac:dyDescent="0.3">
      <c r="A1613">
        <v>1612</v>
      </c>
      <c r="B1613">
        <v>297</v>
      </c>
      <c r="C1613">
        <v>3</v>
      </c>
      <c r="D1613">
        <v>1489</v>
      </c>
      <c r="E1613" t="s">
        <v>651</v>
      </c>
      <c r="F1613">
        <v>7.38</v>
      </c>
      <c r="G1613" t="s">
        <v>623</v>
      </c>
      <c r="H1613" s="1">
        <v>46098.30537037037</v>
      </c>
      <c r="I1613" t="s">
        <v>636</v>
      </c>
      <c r="J1613">
        <v>7.38</v>
      </c>
      <c r="K1613">
        <v>0</v>
      </c>
    </row>
    <row r="1614" spans="1:11" x14ac:dyDescent="0.3">
      <c r="A1614">
        <v>1613</v>
      </c>
      <c r="B1614">
        <v>144</v>
      </c>
      <c r="C1614">
        <v>3</v>
      </c>
      <c r="D1614">
        <v>1490</v>
      </c>
      <c r="E1614" t="s">
        <v>651</v>
      </c>
      <c r="F1614">
        <v>7.56</v>
      </c>
      <c r="G1614" t="s">
        <v>623</v>
      </c>
      <c r="H1614" s="1">
        <v>46098.315243055556</v>
      </c>
      <c r="I1614" t="s">
        <v>636</v>
      </c>
      <c r="J1614">
        <v>7.56</v>
      </c>
      <c r="K1614">
        <v>0</v>
      </c>
    </row>
    <row r="1615" spans="1:11" x14ac:dyDescent="0.3">
      <c r="A1615">
        <v>1614</v>
      </c>
      <c r="B1615">
        <v>192</v>
      </c>
      <c r="C1615">
        <v>4</v>
      </c>
      <c r="D1615">
        <v>1491</v>
      </c>
      <c r="E1615" t="s">
        <v>651</v>
      </c>
      <c r="F1615">
        <v>2.14</v>
      </c>
      <c r="G1615" t="s">
        <v>623</v>
      </c>
      <c r="H1615" s="1">
        <v>46098.339085648149</v>
      </c>
      <c r="I1615" t="s">
        <v>636</v>
      </c>
      <c r="J1615">
        <v>2.14</v>
      </c>
      <c r="K1615">
        <v>0</v>
      </c>
    </row>
    <row r="1616" spans="1:11" x14ac:dyDescent="0.3">
      <c r="A1616">
        <v>1615</v>
      </c>
      <c r="B1616">
        <v>276</v>
      </c>
      <c r="C1616">
        <v>3</v>
      </c>
      <c r="D1616">
        <v>1492</v>
      </c>
      <c r="E1616" t="s">
        <v>651</v>
      </c>
      <c r="F1616">
        <v>4.8600000000000003</v>
      </c>
      <c r="G1616" t="s">
        <v>623</v>
      </c>
      <c r="H1616" s="1">
        <v>46098.384166666663</v>
      </c>
      <c r="I1616" t="s">
        <v>636</v>
      </c>
      <c r="J1616">
        <v>4.8600000000000003</v>
      </c>
      <c r="K1616">
        <v>0</v>
      </c>
    </row>
    <row r="1617" spans="1:11" x14ac:dyDescent="0.3">
      <c r="A1617">
        <v>1616</v>
      </c>
      <c r="B1617">
        <v>190</v>
      </c>
      <c r="C1617">
        <v>2</v>
      </c>
      <c r="D1617">
        <v>1493</v>
      </c>
      <c r="E1617" t="s">
        <v>651</v>
      </c>
      <c r="F1617">
        <v>17.309999999999999</v>
      </c>
      <c r="G1617" t="s">
        <v>623</v>
      </c>
      <c r="H1617" s="1">
        <v>46098.402245370373</v>
      </c>
      <c r="I1617" t="s">
        <v>636</v>
      </c>
      <c r="J1617">
        <v>17.309999999999999</v>
      </c>
      <c r="K1617">
        <v>0</v>
      </c>
    </row>
    <row r="1618" spans="1:11" x14ac:dyDescent="0.3">
      <c r="A1618">
        <v>1617</v>
      </c>
      <c r="B1618">
        <v>195</v>
      </c>
      <c r="C1618">
        <v>5</v>
      </c>
      <c r="D1618">
        <v>1494</v>
      </c>
      <c r="E1618" t="s">
        <v>651</v>
      </c>
      <c r="F1618">
        <v>17.79</v>
      </c>
      <c r="G1618" t="s">
        <v>623</v>
      </c>
      <c r="H1618" s="1">
        <v>46098.611157407409</v>
      </c>
      <c r="I1618" t="s">
        <v>636</v>
      </c>
      <c r="J1618">
        <v>17.79</v>
      </c>
      <c r="K1618">
        <v>0</v>
      </c>
    </row>
    <row r="1619" spans="1:11" x14ac:dyDescent="0.3">
      <c r="A1619">
        <v>1618</v>
      </c>
      <c r="B1619">
        <v>243</v>
      </c>
      <c r="C1619">
        <v>4</v>
      </c>
      <c r="D1619">
        <v>1495</v>
      </c>
      <c r="E1619" t="s">
        <v>651</v>
      </c>
      <c r="F1619">
        <v>1.91</v>
      </c>
      <c r="G1619" t="s">
        <v>623</v>
      </c>
      <c r="H1619" s="1">
        <v>46098.665358796294</v>
      </c>
      <c r="I1619" t="s">
        <v>636</v>
      </c>
      <c r="J1619">
        <v>1.91</v>
      </c>
      <c r="K1619">
        <v>0</v>
      </c>
    </row>
    <row r="1620" spans="1:11" x14ac:dyDescent="0.3">
      <c r="A1620">
        <v>1619</v>
      </c>
      <c r="B1620">
        <v>38</v>
      </c>
      <c r="C1620">
        <v>2</v>
      </c>
      <c r="D1620">
        <v>1496</v>
      </c>
      <c r="E1620" t="s">
        <v>651</v>
      </c>
      <c r="F1620">
        <v>2.62</v>
      </c>
      <c r="G1620" t="s">
        <v>623</v>
      </c>
      <c r="H1620" s="1">
        <v>46098.733472222222</v>
      </c>
      <c r="I1620" t="s">
        <v>636</v>
      </c>
      <c r="J1620">
        <v>2.62</v>
      </c>
      <c r="K1620">
        <v>0</v>
      </c>
    </row>
    <row r="1621" spans="1:11" x14ac:dyDescent="0.3">
      <c r="A1621">
        <v>1620</v>
      </c>
      <c r="B1621">
        <v>105</v>
      </c>
      <c r="C1621">
        <v>5</v>
      </c>
      <c r="D1621">
        <v>1497</v>
      </c>
      <c r="E1621" t="s">
        <v>651</v>
      </c>
      <c r="F1621">
        <v>18.11</v>
      </c>
      <c r="G1621" t="s">
        <v>623</v>
      </c>
      <c r="H1621" s="1">
        <v>46098.818599537037</v>
      </c>
      <c r="I1621" t="s">
        <v>636</v>
      </c>
      <c r="J1621">
        <v>18.11</v>
      </c>
      <c r="K1621">
        <v>0</v>
      </c>
    </row>
    <row r="1622" spans="1:11" x14ac:dyDescent="0.3">
      <c r="A1622">
        <v>1621</v>
      </c>
      <c r="B1622">
        <v>207</v>
      </c>
      <c r="C1622">
        <v>3</v>
      </c>
      <c r="D1622">
        <v>1498</v>
      </c>
      <c r="E1622" t="s">
        <v>651</v>
      </c>
      <c r="F1622">
        <v>2.37</v>
      </c>
      <c r="G1622" t="s">
        <v>623</v>
      </c>
      <c r="H1622" s="1">
        <v>46099.359803240739</v>
      </c>
      <c r="I1622" t="s">
        <v>636</v>
      </c>
      <c r="J1622">
        <v>2.37</v>
      </c>
      <c r="K1622">
        <v>0</v>
      </c>
    </row>
    <row r="1623" spans="1:11" x14ac:dyDescent="0.3">
      <c r="A1623">
        <v>1622</v>
      </c>
      <c r="B1623">
        <v>243</v>
      </c>
      <c r="C1623">
        <v>5</v>
      </c>
      <c r="D1623">
        <v>1499</v>
      </c>
      <c r="E1623" t="s">
        <v>651</v>
      </c>
      <c r="F1623">
        <v>5.42</v>
      </c>
      <c r="G1623" t="s">
        <v>623</v>
      </c>
      <c r="H1623" s="1">
        <v>46099.405324074076</v>
      </c>
      <c r="I1623" t="s">
        <v>636</v>
      </c>
      <c r="J1623">
        <v>5.42</v>
      </c>
      <c r="K1623">
        <v>0</v>
      </c>
    </row>
    <row r="1624" spans="1:11" x14ac:dyDescent="0.3">
      <c r="A1624">
        <v>1623</v>
      </c>
      <c r="B1624">
        <v>235</v>
      </c>
      <c r="C1624">
        <v>5</v>
      </c>
      <c r="D1624">
        <v>1500</v>
      </c>
      <c r="E1624" t="s">
        <v>651</v>
      </c>
      <c r="F1624">
        <v>3.78</v>
      </c>
      <c r="G1624" t="s">
        <v>623</v>
      </c>
      <c r="H1624" s="1">
        <v>46099.440162037034</v>
      </c>
      <c r="I1624" t="s">
        <v>636</v>
      </c>
      <c r="J1624">
        <v>3.78</v>
      </c>
      <c r="K1624">
        <v>0</v>
      </c>
    </row>
    <row r="1625" spans="1:11" x14ac:dyDescent="0.3">
      <c r="A1625">
        <v>1624</v>
      </c>
      <c r="B1625">
        <v>47</v>
      </c>
      <c r="C1625">
        <v>5</v>
      </c>
      <c r="D1625">
        <v>1501</v>
      </c>
      <c r="E1625" t="s">
        <v>651</v>
      </c>
      <c r="F1625">
        <v>4.83</v>
      </c>
      <c r="G1625" t="s">
        <v>623</v>
      </c>
      <c r="H1625" s="1">
        <v>46099.559710648151</v>
      </c>
      <c r="I1625" t="s">
        <v>636</v>
      </c>
      <c r="J1625">
        <v>4.83</v>
      </c>
      <c r="K1625">
        <v>0</v>
      </c>
    </row>
    <row r="1626" spans="1:11" x14ac:dyDescent="0.3">
      <c r="A1626">
        <v>1625</v>
      </c>
      <c r="B1626">
        <v>200</v>
      </c>
      <c r="C1626">
        <v>3</v>
      </c>
      <c r="D1626">
        <v>1502</v>
      </c>
      <c r="E1626" t="s">
        <v>651</v>
      </c>
      <c r="F1626">
        <v>5.65</v>
      </c>
      <c r="G1626" t="s">
        <v>623</v>
      </c>
      <c r="H1626" s="1">
        <v>46099.630787037036</v>
      </c>
      <c r="I1626" t="s">
        <v>636</v>
      </c>
      <c r="J1626">
        <v>5.65</v>
      </c>
      <c r="K1626">
        <v>0</v>
      </c>
    </row>
    <row r="1627" spans="1:11" x14ac:dyDescent="0.3">
      <c r="A1627">
        <v>1626</v>
      </c>
      <c r="B1627">
        <v>102</v>
      </c>
      <c r="C1627">
        <v>3</v>
      </c>
      <c r="D1627">
        <v>1503</v>
      </c>
      <c r="E1627" t="s">
        <v>651</v>
      </c>
      <c r="F1627">
        <v>2.34</v>
      </c>
      <c r="G1627" t="s">
        <v>623</v>
      </c>
      <c r="H1627" s="1">
        <v>46099.819247685184</v>
      </c>
      <c r="I1627" t="s">
        <v>636</v>
      </c>
      <c r="J1627">
        <v>2.34</v>
      </c>
      <c r="K1627">
        <v>0</v>
      </c>
    </row>
    <row r="1628" spans="1:11" x14ac:dyDescent="0.3">
      <c r="A1628">
        <v>1627</v>
      </c>
      <c r="B1628">
        <v>65</v>
      </c>
      <c r="C1628">
        <v>3</v>
      </c>
      <c r="D1628">
        <v>1504</v>
      </c>
      <c r="E1628" t="s">
        <v>651</v>
      </c>
      <c r="F1628">
        <v>5.47</v>
      </c>
      <c r="G1628" t="s">
        <v>623</v>
      </c>
      <c r="H1628" s="1">
        <v>46100.391805555555</v>
      </c>
      <c r="I1628" t="s">
        <v>636</v>
      </c>
      <c r="J1628">
        <v>5.47</v>
      </c>
      <c r="K1628">
        <v>0</v>
      </c>
    </row>
    <row r="1629" spans="1:11" x14ac:dyDescent="0.3">
      <c r="A1629">
        <v>1628</v>
      </c>
      <c r="B1629">
        <v>106</v>
      </c>
      <c r="C1629">
        <v>2</v>
      </c>
      <c r="D1629">
        <v>1505</v>
      </c>
      <c r="E1629" t="s">
        <v>651</v>
      </c>
      <c r="F1629">
        <v>9.89</v>
      </c>
      <c r="G1629" t="s">
        <v>623</v>
      </c>
      <c r="H1629" s="1">
        <v>46100.406111111108</v>
      </c>
      <c r="I1629" t="s">
        <v>636</v>
      </c>
      <c r="J1629">
        <v>9.89</v>
      </c>
      <c r="K1629">
        <v>0</v>
      </c>
    </row>
    <row r="1630" spans="1:11" x14ac:dyDescent="0.3">
      <c r="A1630">
        <v>1629</v>
      </c>
      <c r="B1630">
        <v>149</v>
      </c>
      <c r="C1630">
        <v>5</v>
      </c>
      <c r="D1630">
        <v>1506</v>
      </c>
      <c r="E1630" t="s">
        <v>651</v>
      </c>
      <c r="F1630">
        <v>3.88</v>
      </c>
      <c r="G1630" t="s">
        <v>623</v>
      </c>
      <c r="H1630" s="1">
        <v>46100.465289351851</v>
      </c>
      <c r="I1630" t="s">
        <v>636</v>
      </c>
      <c r="J1630">
        <v>3.88</v>
      </c>
      <c r="K1630">
        <v>0</v>
      </c>
    </row>
    <row r="1631" spans="1:11" x14ac:dyDescent="0.3">
      <c r="A1631">
        <v>1630</v>
      </c>
      <c r="B1631">
        <v>257</v>
      </c>
      <c r="C1631">
        <v>4</v>
      </c>
      <c r="D1631">
        <v>1507</v>
      </c>
      <c r="E1631" t="s">
        <v>651</v>
      </c>
      <c r="F1631">
        <v>3.82</v>
      </c>
      <c r="G1631" t="s">
        <v>623</v>
      </c>
      <c r="H1631" s="1">
        <v>46100.470034722224</v>
      </c>
      <c r="I1631" t="s">
        <v>636</v>
      </c>
      <c r="J1631">
        <v>3.82</v>
      </c>
      <c r="K1631">
        <v>0</v>
      </c>
    </row>
    <row r="1632" spans="1:11" x14ac:dyDescent="0.3">
      <c r="A1632">
        <v>1631</v>
      </c>
      <c r="B1632">
        <v>16</v>
      </c>
      <c r="C1632">
        <v>3</v>
      </c>
      <c r="D1632">
        <v>1508</v>
      </c>
      <c r="E1632" t="s">
        <v>651</v>
      </c>
      <c r="F1632">
        <v>20.85</v>
      </c>
      <c r="G1632" t="s">
        <v>623</v>
      </c>
      <c r="H1632" s="1">
        <v>46100.48946759259</v>
      </c>
      <c r="I1632" t="s">
        <v>636</v>
      </c>
      <c r="J1632">
        <v>20.85</v>
      </c>
      <c r="K1632">
        <v>0</v>
      </c>
    </row>
    <row r="1633" spans="1:11" x14ac:dyDescent="0.3">
      <c r="A1633">
        <v>1632</v>
      </c>
      <c r="B1633">
        <v>113</v>
      </c>
      <c r="C1633">
        <v>3</v>
      </c>
      <c r="D1633">
        <v>1509</v>
      </c>
      <c r="E1633" t="s">
        <v>651</v>
      </c>
      <c r="F1633">
        <v>2.34</v>
      </c>
      <c r="G1633" t="s">
        <v>623</v>
      </c>
      <c r="H1633" s="1">
        <v>46100.549108796295</v>
      </c>
      <c r="I1633" t="s">
        <v>636</v>
      </c>
      <c r="J1633">
        <v>2.34</v>
      </c>
      <c r="K1633">
        <v>0</v>
      </c>
    </row>
    <row r="1634" spans="1:11" x14ac:dyDescent="0.3">
      <c r="A1634">
        <v>1633</v>
      </c>
      <c r="B1634">
        <v>87</v>
      </c>
      <c r="C1634">
        <v>2</v>
      </c>
      <c r="D1634">
        <v>1510</v>
      </c>
      <c r="E1634" t="s">
        <v>651</v>
      </c>
      <c r="F1634">
        <v>13.05</v>
      </c>
      <c r="G1634" t="s">
        <v>623</v>
      </c>
      <c r="H1634" s="1">
        <v>46100.568958333337</v>
      </c>
      <c r="I1634" t="s">
        <v>636</v>
      </c>
      <c r="J1634">
        <v>13.05</v>
      </c>
      <c r="K1634">
        <v>0</v>
      </c>
    </row>
    <row r="1635" spans="1:11" x14ac:dyDescent="0.3">
      <c r="A1635">
        <v>1634</v>
      </c>
      <c r="B1635">
        <v>16</v>
      </c>
      <c r="C1635">
        <v>3</v>
      </c>
      <c r="D1635">
        <v>1511</v>
      </c>
      <c r="E1635" t="s">
        <v>657</v>
      </c>
      <c r="F1635">
        <v>112.7</v>
      </c>
      <c r="G1635" t="s">
        <v>623</v>
      </c>
      <c r="H1635" s="1">
        <v>46100.62568287037</v>
      </c>
      <c r="I1635" t="s">
        <v>636</v>
      </c>
      <c r="J1635">
        <v>0</v>
      </c>
      <c r="K1635">
        <v>112.7</v>
      </c>
    </row>
    <row r="1636" spans="1:11" x14ac:dyDescent="0.3">
      <c r="A1636">
        <v>1635</v>
      </c>
      <c r="B1636">
        <v>117</v>
      </c>
      <c r="C1636">
        <v>3</v>
      </c>
      <c r="D1636">
        <v>1512</v>
      </c>
      <c r="E1636" t="s">
        <v>651</v>
      </c>
      <c r="F1636">
        <v>4.68</v>
      </c>
      <c r="G1636" t="s">
        <v>623</v>
      </c>
      <c r="H1636" s="1">
        <v>46100.62945601852</v>
      </c>
      <c r="I1636" t="s">
        <v>636</v>
      </c>
      <c r="J1636">
        <v>4.68</v>
      </c>
      <c r="K1636">
        <v>0</v>
      </c>
    </row>
    <row r="1637" spans="1:11" x14ac:dyDescent="0.3">
      <c r="A1637">
        <v>1636</v>
      </c>
      <c r="B1637">
        <v>245</v>
      </c>
      <c r="C1637">
        <v>2</v>
      </c>
      <c r="D1637">
        <v>1513</v>
      </c>
      <c r="E1637" t="s">
        <v>651</v>
      </c>
      <c r="F1637">
        <v>3.3</v>
      </c>
      <c r="G1637" t="s">
        <v>623</v>
      </c>
      <c r="H1637" s="1">
        <v>46100.673483796294</v>
      </c>
      <c r="I1637" t="s">
        <v>636</v>
      </c>
      <c r="J1637">
        <v>3.3</v>
      </c>
      <c r="K1637">
        <v>0</v>
      </c>
    </row>
    <row r="1638" spans="1:11" x14ac:dyDescent="0.3">
      <c r="A1638">
        <v>1637</v>
      </c>
      <c r="B1638">
        <v>156</v>
      </c>
      <c r="C1638">
        <v>5</v>
      </c>
      <c r="D1638">
        <v>1514</v>
      </c>
      <c r="E1638" t="s">
        <v>651</v>
      </c>
      <c r="F1638">
        <v>2.84</v>
      </c>
      <c r="G1638" t="s">
        <v>623</v>
      </c>
      <c r="H1638" s="1">
        <v>46100.701122685183</v>
      </c>
      <c r="I1638" t="s">
        <v>636</v>
      </c>
      <c r="J1638">
        <v>2.84</v>
      </c>
      <c r="K1638">
        <v>0</v>
      </c>
    </row>
    <row r="1639" spans="1:11" x14ac:dyDescent="0.3">
      <c r="A1639">
        <v>1638</v>
      </c>
      <c r="B1639">
        <v>38</v>
      </c>
      <c r="C1639">
        <v>2</v>
      </c>
      <c r="D1639">
        <v>1515</v>
      </c>
      <c r="E1639" t="s">
        <v>657</v>
      </c>
      <c r="F1639">
        <v>31.15</v>
      </c>
      <c r="G1639" t="s">
        <v>623</v>
      </c>
      <c r="H1639" s="1">
        <v>46100.809803240743</v>
      </c>
      <c r="I1639" t="s">
        <v>636</v>
      </c>
      <c r="J1639">
        <v>0</v>
      </c>
      <c r="K1639">
        <v>31.15</v>
      </c>
    </row>
    <row r="1640" spans="1:11" x14ac:dyDescent="0.3">
      <c r="A1640">
        <v>1639</v>
      </c>
      <c r="B1640">
        <v>288</v>
      </c>
      <c r="C1640">
        <v>5</v>
      </c>
      <c r="D1640">
        <v>1516</v>
      </c>
      <c r="E1640" t="s">
        <v>651</v>
      </c>
      <c r="F1640">
        <v>3.06</v>
      </c>
      <c r="G1640" t="s">
        <v>623</v>
      </c>
      <c r="H1640" s="1">
        <v>46100.827407407407</v>
      </c>
      <c r="I1640" t="s">
        <v>636</v>
      </c>
      <c r="J1640">
        <v>3.06</v>
      </c>
      <c r="K1640">
        <v>0</v>
      </c>
    </row>
    <row r="1641" spans="1:11" x14ac:dyDescent="0.3">
      <c r="A1641">
        <v>1640</v>
      </c>
      <c r="B1641">
        <v>138</v>
      </c>
      <c r="C1641">
        <v>4</v>
      </c>
      <c r="D1641">
        <v>1517</v>
      </c>
      <c r="E1641" t="s">
        <v>651</v>
      </c>
      <c r="F1641">
        <v>4.12</v>
      </c>
      <c r="G1641" t="s">
        <v>623</v>
      </c>
      <c r="H1641" s="1">
        <v>46100.829629629632</v>
      </c>
      <c r="I1641" t="s">
        <v>636</v>
      </c>
      <c r="J1641">
        <v>4.12</v>
      </c>
      <c r="K1641">
        <v>0</v>
      </c>
    </row>
    <row r="1642" spans="1:11" x14ac:dyDescent="0.3">
      <c r="A1642">
        <v>1641</v>
      </c>
      <c r="B1642">
        <v>117</v>
      </c>
      <c r="C1642">
        <v>2</v>
      </c>
      <c r="D1642">
        <v>1518</v>
      </c>
      <c r="E1642" t="s">
        <v>651</v>
      </c>
      <c r="F1642">
        <v>5.52</v>
      </c>
      <c r="G1642" t="s">
        <v>623</v>
      </c>
      <c r="H1642" s="1">
        <v>46101.318611111114</v>
      </c>
      <c r="I1642" t="s">
        <v>636</v>
      </c>
      <c r="J1642">
        <v>5.52</v>
      </c>
      <c r="K1642">
        <v>0</v>
      </c>
    </row>
    <row r="1643" spans="1:11" x14ac:dyDescent="0.3">
      <c r="A1643">
        <v>1642</v>
      </c>
      <c r="B1643">
        <v>103</v>
      </c>
      <c r="C1643">
        <v>3</v>
      </c>
      <c r="D1643">
        <v>1519</v>
      </c>
      <c r="E1643" t="s">
        <v>651</v>
      </c>
      <c r="F1643">
        <v>2.99</v>
      </c>
      <c r="G1643" t="s">
        <v>623</v>
      </c>
      <c r="H1643" s="1">
        <v>46101.434560185182</v>
      </c>
      <c r="I1643" t="s">
        <v>636</v>
      </c>
      <c r="J1643">
        <v>2.99</v>
      </c>
      <c r="K1643">
        <v>0</v>
      </c>
    </row>
    <row r="1644" spans="1:11" x14ac:dyDescent="0.3">
      <c r="A1644">
        <v>1643</v>
      </c>
      <c r="B1644">
        <v>16</v>
      </c>
      <c r="C1644">
        <v>2</v>
      </c>
      <c r="D1644">
        <v>1511</v>
      </c>
      <c r="E1644" t="s">
        <v>649</v>
      </c>
      <c r="F1644">
        <v>112.7</v>
      </c>
      <c r="G1644" t="s">
        <v>720</v>
      </c>
      <c r="H1644" s="1">
        <v>46101.459016203706</v>
      </c>
      <c r="I1644" t="s">
        <v>636</v>
      </c>
      <c r="J1644">
        <v>0</v>
      </c>
      <c r="K1644">
        <v>0</v>
      </c>
    </row>
    <row r="1645" spans="1:11" x14ac:dyDescent="0.3">
      <c r="A1645">
        <v>1644</v>
      </c>
      <c r="B1645">
        <v>112</v>
      </c>
      <c r="C1645">
        <v>3</v>
      </c>
      <c r="D1645">
        <v>1520</v>
      </c>
      <c r="E1645" t="s">
        <v>651</v>
      </c>
      <c r="F1645">
        <v>1.67</v>
      </c>
      <c r="G1645" t="s">
        <v>623</v>
      </c>
      <c r="H1645" s="1">
        <v>46101.530972222223</v>
      </c>
      <c r="I1645" t="s">
        <v>636</v>
      </c>
      <c r="J1645">
        <v>1.67</v>
      </c>
      <c r="K1645">
        <v>0</v>
      </c>
    </row>
    <row r="1646" spans="1:11" x14ac:dyDescent="0.3">
      <c r="A1646">
        <v>1645</v>
      </c>
      <c r="B1646">
        <v>149</v>
      </c>
      <c r="C1646">
        <v>5</v>
      </c>
      <c r="D1646">
        <v>1521</v>
      </c>
      <c r="E1646" t="s">
        <v>651</v>
      </c>
      <c r="F1646">
        <v>3.39</v>
      </c>
      <c r="G1646" t="s">
        <v>623</v>
      </c>
      <c r="H1646" s="1">
        <v>46101.635787037034</v>
      </c>
      <c r="I1646" t="s">
        <v>636</v>
      </c>
      <c r="J1646">
        <v>3.39</v>
      </c>
      <c r="K1646">
        <v>0</v>
      </c>
    </row>
    <row r="1647" spans="1:11" x14ac:dyDescent="0.3">
      <c r="A1647">
        <v>1646</v>
      </c>
      <c r="B1647">
        <v>39</v>
      </c>
      <c r="C1647">
        <v>2</v>
      </c>
      <c r="D1647">
        <v>1522</v>
      </c>
      <c r="E1647" t="s">
        <v>651</v>
      </c>
      <c r="F1647">
        <v>21.39</v>
      </c>
      <c r="G1647" t="s">
        <v>623</v>
      </c>
      <c r="H1647" s="1">
        <v>46101.644432870373</v>
      </c>
      <c r="I1647" t="s">
        <v>636</v>
      </c>
      <c r="J1647">
        <v>21.39</v>
      </c>
      <c r="K1647">
        <v>0</v>
      </c>
    </row>
    <row r="1648" spans="1:11" x14ac:dyDescent="0.3">
      <c r="A1648">
        <v>1647</v>
      </c>
      <c r="B1648">
        <v>137</v>
      </c>
      <c r="C1648">
        <v>2</v>
      </c>
      <c r="D1648">
        <v>1523</v>
      </c>
      <c r="E1648" t="s">
        <v>651</v>
      </c>
      <c r="F1648">
        <v>3.03</v>
      </c>
      <c r="G1648" t="s">
        <v>623</v>
      </c>
      <c r="H1648" s="1">
        <v>46101.73228009259</v>
      </c>
      <c r="I1648" t="s">
        <v>636</v>
      </c>
      <c r="J1648">
        <v>3.03</v>
      </c>
      <c r="K1648">
        <v>0</v>
      </c>
    </row>
    <row r="1649" spans="1:11" x14ac:dyDescent="0.3">
      <c r="A1649">
        <v>1648</v>
      </c>
      <c r="B1649">
        <v>178</v>
      </c>
      <c r="C1649">
        <v>3</v>
      </c>
      <c r="D1649">
        <v>1524</v>
      </c>
      <c r="E1649" t="s">
        <v>651</v>
      </c>
      <c r="F1649">
        <v>16.760000000000002</v>
      </c>
      <c r="G1649" t="s">
        <v>623</v>
      </c>
      <c r="H1649" s="1">
        <v>46102.328784722224</v>
      </c>
      <c r="I1649" t="s">
        <v>636</v>
      </c>
      <c r="J1649">
        <v>16.760000000000002</v>
      </c>
      <c r="K1649">
        <v>0</v>
      </c>
    </row>
    <row r="1650" spans="1:11" x14ac:dyDescent="0.3">
      <c r="A1650">
        <v>1649</v>
      </c>
      <c r="B1650">
        <v>187</v>
      </c>
      <c r="C1650">
        <v>4</v>
      </c>
      <c r="D1650">
        <v>1525</v>
      </c>
      <c r="E1650" t="s">
        <v>651</v>
      </c>
      <c r="F1650">
        <v>2.27</v>
      </c>
      <c r="G1650" t="s">
        <v>623</v>
      </c>
      <c r="H1650" s="1">
        <v>46102.391979166663</v>
      </c>
      <c r="I1650" t="s">
        <v>636</v>
      </c>
      <c r="J1650">
        <v>2.27</v>
      </c>
      <c r="K1650">
        <v>0</v>
      </c>
    </row>
    <row r="1651" spans="1:11" x14ac:dyDescent="0.3">
      <c r="A1651">
        <v>1650</v>
      </c>
      <c r="B1651">
        <v>13</v>
      </c>
      <c r="C1651">
        <v>5</v>
      </c>
      <c r="D1651">
        <v>1526</v>
      </c>
      <c r="E1651" t="s">
        <v>651</v>
      </c>
      <c r="F1651">
        <v>2.37</v>
      </c>
      <c r="G1651" t="s">
        <v>623</v>
      </c>
      <c r="H1651" s="1">
        <v>46102.575798611113</v>
      </c>
      <c r="I1651" t="s">
        <v>636</v>
      </c>
      <c r="J1651">
        <v>2.37</v>
      </c>
      <c r="K1651">
        <v>0</v>
      </c>
    </row>
    <row r="1652" spans="1:11" x14ac:dyDescent="0.3">
      <c r="A1652">
        <v>1651</v>
      </c>
      <c r="B1652">
        <v>156</v>
      </c>
      <c r="C1652">
        <v>2</v>
      </c>
      <c r="D1652">
        <v>1527</v>
      </c>
      <c r="E1652" t="s">
        <v>651</v>
      </c>
      <c r="F1652">
        <v>3.43</v>
      </c>
      <c r="G1652" t="s">
        <v>623</v>
      </c>
      <c r="H1652" s="1">
        <v>46102.642407407409</v>
      </c>
      <c r="I1652" t="s">
        <v>636</v>
      </c>
      <c r="J1652">
        <v>3.43</v>
      </c>
      <c r="K1652">
        <v>0</v>
      </c>
    </row>
    <row r="1653" spans="1:11" x14ac:dyDescent="0.3">
      <c r="A1653">
        <v>1652</v>
      </c>
      <c r="B1653">
        <v>235</v>
      </c>
      <c r="C1653">
        <v>5</v>
      </c>
      <c r="D1653">
        <v>1528</v>
      </c>
      <c r="E1653" t="s">
        <v>651</v>
      </c>
      <c r="F1653">
        <v>4.6399999999999997</v>
      </c>
      <c r="G1653" t="s">
        <v>623</v>
      </c>
      <c r="H1653" s="1">
        <v>46102.79859953704</v>
      </c>
      <c r="I1653" t="s">
        <v>636</v>
      </c>
      <c r="J1653">
        <v>4.6399999999999997</v>
      </c>
      <c r="K1653">
        <v>0</v>
      </c>
    </row>
    <row r="1654" spans="1:11" x14ac:dyDescent="0.3">
      <c r="A1654">
        <v>1653</v>
      </c>
      <c r="B1654">
        <v>191</v>
      </c>
      <c r="C1654">
        <v>2</v>
      </c>
      <c r="D1654">
        <v>1529</v>
      </c>
      <c r="E1654" t="s">
        <v>651</v>
      </c>
      <c r="F1654">
        <v>2.85</v>
      </c>
      <c r="G1654" t="s">
        <v>623</v>
      </c>
      <c r="H1654" s="1">
        <v>46102.825844907406</v>
      </c>
      <c r="I1654" t="s">
        <v>636</v>
      </c>
      <c r="J1654">
        <v>2.85</v>
      </c>
      <c r="K1654">
        <v>0</v>
      </c>
    </row>
    <row r="1655" spans="1:11" x14ac:dyDescent="0.3">
      <c r="A1655">
        <v>1654</v>
      </c>
      <c r="B1655">
        <v>200</v>
      </c>
      <c r="C1655">
        <v>2</v>
      </c>
      <c r="D1655">
        <v>1530</v>
      </c>
      <c r="E1655" t="s">
        <v>651</v>
      </c>
      <c r="F1655">
        <v>2.15</v>
      </c>
      <c r="G1655" t="s">
        <v>623</v>
      </c>
      <c r="H1655" s="1">
        <v>46103.295937499999</v>
      </c>
      <c r="I1655" t="s">
        <v>636</v>
      </c>
      <c r="J1655">
        <v>2.15</v>
      </c>
      <c r="K1655">
        <v>0</v>
      </c>
    </row>
    <row r="1656" spans="1:11" x14ac:dyDescent="0.3">
      <c r="A1656">
        <v>1655</v>
      </c>
      <c r="B1656">
        <v>48</v>
      </c>
      <c r="C1656">
        <v>5</v>
      </c>
      <c r="D1656">
        <v>1531</v>
      </c>
      <c r="E1656" t="s">
        <v>651</v>
      </c>
      <c r="F1656">
        <v>6.62</v>
      </c>
      <c r="G1656" t="s">
        <v>623</v>
      </c>
      <c r="H1656" s="1">
        <v>46103.336284722223</v>
      </c>
      <c r="I1656" t="s">
        <v>636</v>
      </c>
      <c r="J1656">
        <v>6.62</v>
      </c>
      <c r="K1656">
        <v>0</v>
      </c>
    </row>
    <row r="1657" spans="1:11" x14ac:dyDescent="0.3">
      <c r="A1657">
        <v>1656</v>
      </c>
      <c r="B1657">
        <v>247</v>
      </c>
      <c r="C1657">
        <v>3</v>
      </c>
      <c r="D1657">
        <v>1532</v>
      </c>
      <c r="E1657" t="s">
        <v>651</v>
      </c>
      <c r="F1657">
        <v>4.4400000000000004</v>
      </c>
      <c r="G1657" t="s">
        <v>623</v>
      </c>
      <c r="H1657" s="1">
        <v>46103.371215277781</v>
      </c>
      <c r="I1657" t="s">
        <v>636</v>
      </c>
      <c r="J1657">
        <v>4.4400000000000004</v>
      </c>
      <c r="K1657">
        <v>0</v>
      </c>
    </row>
    <row r="1658" spans="1:11" x14ac:dyDescent="0.3">
      <c r="A1658">
        <v>1657</v>
      </c>
      <c r="B1658">
        <v>235</v>
      </c>
      <c r="C1658">
        <v>2</v>
      </c>
      <c r="D1658">
        <v>1533</v>
      </c>
      <c r="E1658" t="s">
        <v>651</v>
      </c>
      <c r="F1658">
        <v>3.61</v>
      </c>
      <c r="G1658" t="s">
        <v>623</v>
      </c>
      <c r="H1658" s="1">
        <v>46103.435601851852</v>
      </c>
      <c r="I1658" t="s">
        <v>636</v>
      </c>
      <c r="J1658">
        <v>3.61</v>
      </c>
      <c r="K1658">
        <v>0</v>
      </c>
    </row>
    <row r="1659" spans="1:11" x14ac:dyDescent="0.3">
      <c r="A1659">
        <v>1658</v>
      </c>
      <c r="B1659">
        <v>247</v>
      </c>
      <c r="C1659">
        <v>2</v>
      </c>
      <c r="D1659">
        <v>1532</v>
      </c>
      <c r="E1659" t="s">
        <v>649</v>
      </c>
      <c r="F1659">
        <v>-4.4400000000000004</v>
      </c>
      <c r="G1659" t="s">
        <v>721</v>
      </c>
      <c r="H1659" s="1">
        <v>46103.454548611109</v>
      </c>
      <c r="I1659" t="s">
        <v>636</v>
      </c>
      <c r="J1659">
        <v>0</v>
      </c>
      <c r="K1659">
        <v>0</v>
      </c>
    </row>
    <row r="1660" spans="1:11" x14ac:dyDescent="0.3">
      <c r="A1660">
        <v>1659</v>
      </c>
      <c r="B1660">
        <v>41</v>
      </c>
      <c r="C1660">
        <v>5</v>
      </c>
      <c r="D1660">
        <v>1534</v>
      </c>
      <c r="E1660" t="s">
        <v>651</v>
      </c>
      <c r="F1660">
        <v>18.7</v>
      </c>
      <c r="G1660" t="s">
        <v>623</v>
      </c>
      <c r="H1660" s="1">
        <v>46103.478692129633</v>
      </c>
      <c r="I1660" t="s">
        <v>636</v>
      </c>
      <c r="J1660">
        <v>18.7</v>
      </c>
      <c r="K1660">
        <v>0</v>
      </c>
    </row>
    <row r="1661" spans="1:11" x14ac:dyDescent="0.3">
      <c r="A1661">
        <v>1660</v>
      </c>
      <c r="B1661">
        <v>253</v>
      </c>
      <c r="C1661">
        <v>4</v>
      </c>
      <c r="D1661">
        <v>1535</v>
      </c>
      <c r="E1661" t="s">
        <v>651</v>
      </c>
      <c r="F1661">
        <v>4.21</v>
      </c>
      <c r="G1661" t="s">
        <v>623</v>
      </c>
      <c r="H1661" s="1">
        <v>46103.63784722222</v>
      </c>
      <c r="I1661" t="s">
        <v>636</v>
      </c>
      <c r="J1661">
        <v>4.21</v>
      </c>
      <c r="K1661">
        <v>0</v>
      </c>
    </row>
    <row r="1662" spans="1:11" x14ac:dyDescent="0.3">
      <c r="A1662">
        <v>1661</v>
      </c>
      <c r="B1662">
        <v>81</v>
      </c>
      <c r="C1662">
        <v>2</v>
      </c>
      <c r="D1662">
        <v>1536</v>
      </c>
      <c r="E1662" t="s">
        <v>651</v>
      </c>
      <c r="F1662">
        <v>5.26</v>
      </c>
      <c r="G1662" t="s">
        <v>623</v>
      </c>
      <c r="H1662" s="1">
        <v>46103.644097222219</v>
      </c>
      <c r="I1662" t="s">
        <v>636</v>
      </c>
      <c r="J1662">
        <v>5.26</v>
      </c>
      <c r="K1662">
        <v>0</v>
      </c>
    </row>
    <row r="1663" spans="1:11" x14ac:dyDescent="0.3">
      <c r="A1663">
        <v>1662</v>
      </c>
      <c r="B1663">
        <v>156</v>
      </c>
      <c r="C1663">
        <v>2</v>
      </c>
      <c r="D1663">
        <v>1537</v>
      </c>
      <c r="E1663" t="s">
        <v>651</v>
      </c>
      <c r="F1663">
        <v>4.26</v>
      </c>
      <c r="G1663" t="s">
        <v>623</v>
      </c>
      <c r="H1663" s="1">
        <v>46104.333761574075</v>
      </c>
      <c r="I1663" t="s">
        <v>636</v>
      </c>
      <c r="J1663">
        <v>4.26</v>
      </c>
      <c r="K1663">
        <v>0</v>
      </c>
    </row>
    <row r="1664" spans="1:11" x14ac:dyDescent="0.3">
      <c r="A1664">
        <v>1663</v>
      </c>
      <c r="B1664">
        <v>16</v>
      </c>
      <c r="C1664">
        <v>3</v>
      </c>
      <c r="D1664">
        <v>1538</v>
      </c>
      <c r="E1664" t="s">
        <v>651</v>
      </c>
      <c r="F1664">
        <v>12.65</v>
      </c>
      <c r="G1664" t="s">
        <v>623</v>
      </c>
      <c r="H1664" s="1">
        <v>46104.402048611111</v>
      </c>
      <c r="I1664" t="s">
        <v>636</v>
      </c>
      <c r="J1664">
        <v>12.65</v>
      </c>
      <c r="K1664">
        <v>0</v>
      </c>
    </row>
    <row r="1665" spans="1:11" x14ac:dyDescent="0.3">
      <c r="A1665">
        <v>1664</v>
      </c>
      <c r="B1665">
        <v>190</v>
      </c>
      <c r="C1665">
        <v>5</v>
      </c>
      <c r="D1665">
        <v>1539</v>
      </c>
      <c r="E1665" t="s">
        <v>651</v>
      </c>
      <c r="F1665">
        <v>25.06</v>
      </c>
      <c r="G1665" t="s">
        <v>623</v>
      </c>
      <c r="H1665" s="1">
        <v>46104.417847222219</v>
      </c>
      <c r="I1665" t="s">
        <v>636</v>
      </c>
      <c r="J1665">
        <v>25.06</v>
      </c>
      <c r="K1665">
        <v>0</v>
      </c>
    </row>
    <row r="1666" spans="1:11" x14ac:dyDescent="0.3">
      <c r="A1666">
        <v>1665</v>
      </c>
      <c r="B1666">
        <v>156</v>
      </c>
      <c r="C1666">
        <v>2</v>
      </c>
      <c r="D1666">
        <v>1540</v>
      </c>
      <c r="E1666" t="s">
        <v>651</v>
      </c>
      <c r="F1666">
        <v>3.71</v>
      </c>
      <c r="G1666" t="s">
        <v>623</v>
      </c>
      <c r="H1666" s="1">
        <v>46104.438032407408</v>
      </c>
      <c r="I1666" t="s">
        <v>636</v>
      </c>
      <c r="J1666">
        <v>3.71</v>
      </c>
      <c r="K1666">
        <v>0</v>
      </c>
    </row>
    <row r="1667" spans="1:11" x14ac:dyDescent="0.3">
      <c r="A1667">
        <v>1666</v>
      </c>
      <c r="B1667">
        <v>172</v>
      </c>
      <c r="C1667">
        <v>2</v>
      </c>
      <c r="D1667">
        <v>1541</v>
      </c>
      <c r="E1667" t="s">
        <v>651</v>
      </c>
      <c r="F1667">
        <v>1.69</v>
      </c>
      <c r="G1667" t="s">
        <v>623</v>
      </c>
      <c r="H1667" s="1">
        <v>46104.513159722221</v>
      </c>
      <c r="I1667" t="s">
        <v>636</v>
      </c>
      <c r="J1667">
        <v>1.69</v>
      </c>
      <c r="K1667">
        <v>0</v>
      </c>
    </row>
    <row r="1668" spans="1:11" x14ac:dyDescent="0.3">
      <c r="A1668">
        <v>1667</v>
      </c>
      <c r="B1668">
        <v>156</v>
      </c>
      <c r="C1668">
        <v>2</v>
      </c>
      <c r="D1668">
        <v>1542</v>
      </c>
      <c r="E1668" t="s">
        <v>651</v>
      </c>
      <c r="F1668">
        <v>2.99</v>
      </c>
      <c r="G1668" t="s">
        <v>623</v>
      </c>
      <c r="H1668" s="1">
        <v>46104.600289351853</v>
      </c>
      <c r="I1668" t="s">
        <v>636</v>
      </c>
      <c r="J1668">
        <v>2.99</v>
      </c>
      <c r="K1668">
        <v>0</v>
      </c>
    </row>
    <row r="1669" spans="1:11" x14ac:dyDescent="0.3">
      <c r="A1669">
        <v>1668</v>
      </c>
      <c r="B1669">
        <v>65</v>
      </c>
      <c r="C1669">
        <v>3</v>
      </c>
      <c r="D1669">
        <v>1543</v>
      </c>
      <c r="E1669" t="s">
        <v>657</v>
      </c>
      <c r="F1669">
        <v>27.97</v>
      </c>
      <c r="G1669" t="s">
        <v>623</v>
      </c>
      <c r="H1669" s="1">
        <v>46104.638275462959</v>
      </c>
      <c r="I1669" t="s">
        <v>636</v>
      </c>
      <c r="J1669">
        <v>0</v>
      </c>
      <c r="K1669">
        <v>27.97</v>
      </c>
    </row>
    <row r="1670" spans="1:11" x14ac:dyDescent="0.3">
      <c r="A1670">
        <v>1669</v>
      </c>
      <c r="B1670">
        <v>112</v>
      </c>
      <c r="C1670">
        <v>5</v>
      </c>
      <c r="D1670">
        <v>1544</v>
      </c>
      <c r="E1670" t="s">
        <v>651</v>
      </c>
      <c r="F1670">
        <v>4.21</v>
      </c>
      <c r="G1670" t="s">
        <v>623</v>
      </c>
      <c r="H1670" s="1">
        <v>46104.762731481482</v>
      </c>
      <c r="I1670" t="s">
        <v>636</v>
      </c>
      <c r="J1670">
        <v>4.21</v>
      </c>
      <c r="K1670">
        <v>0</v>
      </c>
    </row>
    <row r="1671" spans="1:11" x14ac:dyDescent="0.3">
      <c r="A1671">
        <v>1670</v>
      </c>
      <c r="B1671">
        <v>156</v>
      </c>
      <c r="C1671">
        <v>4</v>
      </c>
      <c r="D1671">
        <v>1545</v>
      </c>
      <c r="E1671" t="s">
        <v>651</v>
      </c>
      <c r="F1671">
        <v>3.51</v>
      </c>
      <c r="G1671" t="s">
        <v>623</v>
      </c>
      <c r="H1671" s="1">
        <v>46105.366770833331</v>
      </c>
      <c r="I1671" t="s">
        <v>636</v>
      </c>
      <c r="J1671">
        <v>3.51</v>
      </c>
      <c r="K1671">
        <v>0</v>
      </c>
    </row>
    <row r="1672" spans="1:11" x14ac:dyDescent="0.3">
      <c r="A1672">
        <v>1671</v>
      </c>
      <c r="B1672">
        <v>37</v>
      </c>
      <c r="C1672">
        <v>5</v>
      </c>
      <c r="D1672">
        <v>1546</v>
      </c>
      <c r="E1672" t="s">
        <v>651</v>
      </c>
      <c r="F1672">
        <v>7.54</v>
      </c>
      <c r="G1672" t="s">
        <v>623</v>
      </c>
      <c r="H1672" s="1">
        <v>46105.371793981481</v>
      </c>
      <c r="I1672" t="s">
        <v>636</v>
      </c>
      <c r="J1672">
        <v>7.54</v>
      </c>
      <c r="K1672">
        <v>0</v>
      </c>
    </row>
    <row r="1673" spans="1:11" x14ac:dyDescent="0.3">
      <c r="A1673">
        <v>1672</v>
      </c>
      <c r="B1673">
        <v>173</v>
      </c>
      <c r="C1673">
        <v>2</v>
      </c>
      <c r="D1673">
        <v>1547</v>
      </c>
      <c r="E1673" t="s">
        <v>651</v>
      </c>
      <c r="F1673">
        <v>21.46</v>
      </c>
      <c r="G1673" t="s">
        <v>623</v>
      </c>
      <c r="H1673" s="1">
        <v>46105.381504629629</v>
      </c>
      <c r="I1673" t="s">
        <v>636</v>
      </c>
      <c r="J1673">
        <v>21.46</v>
      </c>
      <c r="K1673">
        <v>0</v>
      </c>
    </row>
    <row r="1674" spans="1:11" x14ac:dyDescent="0.3">
      <c r="A1674">
        <v>1673</v>
      </c>
      <c r="B1674">
        <v>241</v>
      </c>
      <c r="C1674">
        <v>4</v>
      </c>
      <c r="D1674">
        <v>1548</v>
      </c>
      <c r="E1674" t="s">
        <v>651</v>
      </c>
      <c r="F1674">
        <v>4.6500000000000004</v>
      </c>
      <c r="G1674" t="s">
        <v>623</v>
      </c>
      <c r="H1674" s="1">
        <v>46105.38517361111</v>
      </c>
      <c r="I1674" t="s">
        <v>636</v>
      </c>
      <c r="J1674">
        <v>4.6500000000000004</v>
      </c>
      <c r="K1674">
        <v>0</v>
      </c>
    </row>
    <row r="1675" spans="1:11" x14ac:dyDescent="0.3">
      <c r="A1675">
        <v>1674</v>
      </c>
      <c r="B1675">
        <v>164</v>
      </c>
      <c r="C1675">
        <v>5</v>
      </c>
      <c r="D1675">
        <v>1549</v>
      </c>
      <c r="E1675" t="s">
        <v>651</v>
      </c>
      <c r="F1675">
        <v>1.78</v>
      </c>
      <c r="G1675" t="s">
        <v>623</v>
      </c>
      <c r="H1675" s="1">
        <v>46105.431805555556</v>
      </c>
      <c r="I1675" t="s">
        <v>636</v>
      </c>
      <c r="J1675">
        <v>1.78</v>
      </c>
      <c r="K1675">
        <v>0</v>
      </c>
    </row>
    <row r="1676" spans="1:11" x14ac:dyDescent="0.3">
      <c r="A1676">
        <v>1675</v>
      </c>
      <c r="B1676">
        <v>297</v>
      </c>
      <c r="C1676">
        <v>3</v>
      </c>
      <c r="D1676">
        <v>1550</v>
      </c>
      <c r="E1676" t="s">
        <v>651</v>
      </c>
      <c r="F1676">
        <v>7.85</v>
      </c>
      <c r="G1676" t="s">
        <v>623</v>
      </c>
      <c r="H1676" s="1">
        <v>46105.470173611109</v>
      </c>
      <c r="I1676" t="s">
        <v>636</v>
      </c>
      <c r="J1676">
        <v>7.85</v>
      </c>
      <c r="K1676">
        <v>0</v>
      </c>
    </row>
    <row r="1677" spans="1:11" x14ac:dyDescent="0.3">
      <c r="A1677">
        <v>1676</v>
      </c>
      <c r="B1677">
        <v>191</v>
      </c>
      <c r="C1677">
        <v>4</v>
      </c>
      <c r="D1677">
        <v>1551</v>
      </c>
      <c r="E1677" t="s">
        <v>651</v>
      </c>
      <c r="F1677">
        <v>3.62</v>
      </c>
      <c r="G1677" t="s">
        <v>623</v>
      </c>
      <c r="H1677" s="1">
        <v>46105.478958333333</v>
      </c>
      <c r="I1677" t="s">
        <v>636</v>
      </c>
      <c r="J1677">
        <v>3.62</v>
      </c>
      <c r="K1677">
        <v>0</v>
      </c>
    </row>
    <row r="1678" spans="1:11" x14ac:dyDescent="0.3">
      <c r="A1678">
        <v>1677</v>
      </c>
      <c r="B1678">
        <v>239</v>
      </c>
      <c r="C1678">
        <v>5</v>
      </c>
      <c r="D1678">
        <v>1552</v>
      </c>
      <c r="E1678" t="s">
        <v>651</v>
      </c>
      <c r="F1678">
        <v>4.0599999999999996</v>
      </c>
      <c r="G1678" t="s">
        <v>623</v>
      </c>
      <c r="H1678" s="1">
        <v>46105.596273148149</v>
      </c>
      <c r="I1678" t="s">
        <v>636</v>
      </c>
      <c r="J1678">
        <v>4.0599999999999996</v>
      </c>
      <c r="K1678">
        <v>0</v>
      </c>
    </row>
    <row r="1679" spans="1:11" x14ac:dyDescent="0.3">
      <c r="A1679">
        <v>1678</v>
      </c>
      <c r="B1679">
        <v>106</v>
      </c>
      <c r="C1679">
        <v>4</v>
      </c>
      <c r="D1679">
        <v>1553</v>
      </c>
      <c r="E1679" t="s">
        <v>651</v>
      </c>
      <c r="F1679">
        <v>9.1999999999999993</v>
      </c>
      <c r="G1679" t="s">
        <v>623</v>
      </c>
      <c r="H1679" s="1">
        <v>46105.662418981483</v>
      </c>
      <c r="I1679" t="s">
        <v>636</v>
      </c>
      <c r="J1679">
        <v>9.1999999999999993</v>
      </c>
      <c r="K1679">
        <v>0</v>
      </c>
    </row>
    <row r="1680" spans="1:11" x14ac:dyDescent="0.3">
      <c r="A1680">
        <v>1679</v>
      </c>
      <c r="B1680">
        <v>186</v>
      </c>
      <c r="C1680">
        <v>4</v>
      </c>
      <c r="D1680">
        <v>1554</v>
      </c>
      <c r="E1680" t="s">
        <v>651</v>
      </c>
      <c r="F1680">
        <v>16.63</v>
      </c>
      <c r="G1680" t="s">
        <v>623</v>
      </c>
      <c r="H1680" s="1">
        <v>46105.697430555556</v>
      </c>
      <c r="I1680" t="s">
        <v>636</v>
      </c>
      <c r="J1680">
        <v>16.63</v>
      </c>
      <c r="K1680">
        <v>0</v>
      </c>
    </row>
    <row r="1681" spans="1:11" x14ac:dyDescent="0.3">
      <c r="A1681">
        <v>1680</v>
      </c>
      <c r="B1681">
        <v>21</v>
      </c>
      <c r="C1681">
        <v>5</v>
      </c>
      <c r="D1681">
        <v>1555</v>
      </c>
      <c r="E1681" t="s">
        <v>651</v>
      </c>
      <c r="F1681">
        <v>4.5199999999999996</v>
      </c>
      <c r="G1681" t="s">
        <v>623</v>
      </c>
      <c r="H1681" s="1">
        <v>46105.746041666665</v>
      </c>
      <c r="I1681" t="s">
        <v>636</v>
      </c>
      <c r="J1681">
        <v>4.5199999999999996</v>
      </c>
      <c r="K1681">
        <v>0</v>
      </c>
    </row>
    <row r="1682" spans="1:11" x14ac:dyDescent="0.3">
      <c r="A1682">
        <v>1681</v>
      </c>
      <c r="B1682">
        <v>288</v>
      </c>
      <c r="C1682">
        <v>4</v>
      </c>
      <c r="D1682">
        <v>1556</v>
      </c>
      <c r="E1682" t="s">
        <v>651</v>
      </c>
      <c r="F1682">
        <v>3.05</v>
      </c>
      <c r="G1682" t="s">
        <v>623</v>
      </c>
      <c r="H1682" s="1">
        <v>46105.7893287037</v>
      </c>
      <c r="I1682" t="s">
        <v>636</v>
      </c>
      <c r="J1682">
        <v>3.05</v>
      </c>
      <c r="K1682">
        <v>0</v>
      </c>
    </row>
    <row r="1683" spans="1:11" x14ac:dyDescent="0.3">
      <c r="A1683">
        <v>1682</v>
      </c>
      <c r="B1683">
        <v>156</v>
      </c>
      <c r="C1683">
        <v>4</v>
      </c>
      <c r="D1683">
        <v>1542</v>
      </c>
      <c r="E1683" t="s">
        <v>649</v>
      </c>
      <c r="F1683">
        <v>-2.99</v>
      </c>
      <c r="G1683" t="s">
        <v>722</v>
      </c>
      <c r="H1683" s="1">
        <v>46106.391956018517</v>
      </c>
      <c r="I1683" t="s">
        <v>636</v>
      </c>
      <c r="J1683">
        <v>0</v>
      </c>
      <c r="K1683">
        <v>0</v>
      </c>
    </row>
    <row r="1684" spans="1:11" x14ac:dyDescent="0.3">
      <c r="A1684">
        <v>1683</v>
      </c>
      <c r="B1684">
        <v>38</v>
      </c>
      <c r="C1684">
        <v>3</v>
      </c>
      <c r="D1684">
        <v>1557</v>
      </c>
      <c r="E1684" t="s">
        <v>651</v>
      </c>
      <c r="F1684">
        <v>2.27</v>
      </c>
      <c r="G1684" t="s">
        <v>623</v>
      </c>
      <c r="H1684" s="1">
        <v>46106.491898148146</v>
      </c>
      <c r="I1684" t="s">
        <v>636</v>
      </c>
      <c r="J1684">
        <v>2.27</v>
      </c>
      <c r="K1684">
        <v>0</v>
      </c>
    </row>
    <row r="1685" spans="1:11" x14ac:dyDescent="0.3">
      <c r="A1685">
        <v>1684</v>
      </c>
      <c r="B1685">
        <v>251</v>
      </c>
      <c r="C1685">
        <v>4</v>
      </c>
      <c r="D1685">
        <v>1558</v>
      </c>
      <c r="E1685" t="s">
        <v>651</v>
      </c>
      <c r="F1685">
        <v>3.11</v>
      </c>
      <c r="G1685" t="s">
        <v>623</v>
      </c>
      <c r="H1685" s="1">
        <v>46106.64943287037</v>
      </c>
      <c r="I1685" t="s">
        <v>636</v>
      </c>
      <c r="J1685">
        <v>3.11</v>
      </c>
      <c r="K1685">
        <v>0</v>
      </c>
    </row>
    <row r="1686" spans="1:11" x14ac:dyDescent="0.3">
      <c r="A1686">
        <v>1685</v>
      </c>
      <c r="B1686">
        <v>202</v>
      </c>
      <c r="C1686">
        <v>4</v>
      </c>
      <c r="D1686">
        <v>1559</v>
      </c>
      <c r="E1686" t="s">
        <v>651</v>
      </c>
      <c r="F1686">
        <v>1.68</v>
      </c>
      <c r="G1686" t="s">
        <v>623</v>
      </c>
      <c r="H1686" s="1">
        <v>46106.649837962963</v>
      </c>
      <c r="I1686" t="s">
        <v>636</v>
      </c>
      <c r="J1686">
        <v>1.68</v>
      </c>
      <c r="K1686">
        <v>0</v>
      </c>
    </row>
    <row r="1687" spans="1:11" x14ac:dyDescent="0.3">
      <c r="A1687">
        <v>1686</v>
      </c>
      <c r="B1687">
        <v>261</v>
      </c>
      <c r="C1687">
        <v>3</v>
      </c>
      <c r="D1687">
        <v>1560</v>
      </c>
      <c r="E1687" t="s">
        <v>651</v>
      </c>
      <c r="F1687">
        <v>9.34</v>
      </c>
      <c r="G1687" t="s">
        <v>623</v>
      </c>
      <c r="H1687" s="1">
        <v>46106.66646990741</v>
      </c>
      <c r="I1687" t="s">
        <v>636</v>
      </c>
      <c r="J1687">
        <v>9.34</v>
      </c>
      <c r="K1687">
        <v>0</v>
      </c>
    </row>
    <row r="1688" spans="1:11" x14ac:dyDescent="0.3">
      <c r="A1688">
        <v>1687</v>
      </c>
      <c r="B1688">
        <v>175</v>
      </c>
      <c r="C1688">
        <v>2</v>
      </c>
      <c r="D1688">
        <v>1561</v>
      </c>
      <c r="E1688" t="s">
        <v>651</v>
      </c>
      <c r="F1688">
        <v>2.9</v>
      </c>
      <c r="G1688" t="s">
        <v>623</v>
      </c>
      <c r="H1688" s="1">
        <v>46106.673078703701</v>
      </c>
      <c r="I1688" t="s">
        <v>636</v>
      </c>
      <c r="J1688">
        <v>2.9</v>
      </c>
      <c r="K1688">
        <v>0</v>
      </c>
    </row>
    <row r="1689" spans="1:11" x14ac:dyDescent="0.3">
      <c r="A1689">
        <v>1688</v>
      </c>
      <c r="B1689">
        <v>245</v>
      </c>
      <c r="C1689">
        <v>3</v>
      </c>
      <c r="D1689">
        <v>1562</v>
      </c>
      <c r="E1689" t="s">
        <v>651</v>
      </c>
      <c r="F1689">
        <v>3.43</v>
      </c>
      <c r="G1689" t="s">
        <v>623</v>
      </c>
      <c r="H1689" s="1">
        <v>46106.763379629629</v>
      </c>
      <c r="I1689" t="s">
        <v>636</v>
      </c>
      <c r="J1689">
        <v>3.43</v>
      </c>
      <c r="K1689">
        <v>0</v>
      </c>
    </row>
    <row r="1690" spans="1:11" x14ac:dyDescent="0.3">
      <c r="A1690">
        <v>1689</v>
      </c>
      <c r="B1690">
        <v>109</v>
      </c>
      <c r="C1690">
        <v>5</v>
      </c>
      <c r="D1690">
        <v>1563</v>
      </c>
      <c r="E1690" t="s">
        <v>651</v>
      </c>
      <c r="F1690">
        <v>19.39</v>
      </c>
      <c r="G1690" t="s">
        <v>623</v>
      </c>
      <c r="H1690" s="1">
        <v>46106.769108796296</v>
      </c>
      <c r="I1690" t="s">
        <v>636</v>
      </c>
      <c r="J1690">
        <v>19.39</v>
      </c>
      <c r="K1690">
        <v>0</v>
      </c>
    </row>
    <row r="1691" spans="1:11" x14ac:dyDescent="0.3">
      <c r="A1691">
        <v>1690</v>
      </c>
      <c r="B1691">
        <v>16</v>
      </c>
      <c r="C1691">
        <v>2</v>
      </c>
      <c r="D1691">
        <v>1564</v>
      </c>
      <c r="E1691" t="s">
        <v>651</v>
      </c>
      <c r="F1691">
        <v>19.010000000000002</v>
      </c>
      <c r="G1691" t="s">
        <v>623</v>
      </c>
      <c r="H1691" s="1">
        <v>46107.323773148149</v>
      </c>
      <c r="I1691" t="s">
        <v>636</v>
      </c>
      <c r="J1691">
        <v>19.010000000000002</v>
      </c>
      <c r="K1691">
        <v>0</v>
      </c>
    </row>
    <row r="1692" spans="1:11" x14ac:dyDescent="0.3">
      <c r="A1692">
        <v>1691</v>
      </c>
      <c r="B1692">
        <v>18</v>
      </c>
      <c r="C1692">
        <v>2</v>
      </c>
      <c r="D1692">
        <v>1565</v>
      </c>
      <c r="E1692" t="s">
        <v>651</v>
      </c>
      <c r="F1692">
        <v>7.3</v>
      </c>
      <c r="G1692" t="s">
        <v>623</v>
      </c>
      <c r="H1692" s="1">
        <v>46107.355023148149</v>
      </c>
      <c r="I1692" t="s">
        <v>636</v>
      </c>
      <c r="J1692">
        <v>7.3</v>
      </c>
      <c r="K1692">
        <v>0</v>
      </c>
    </row>
    <row r="1693" spans="1:11" x14ac:dyDescent="0.3">
      <c r="A1693">
        <v>1692</v>
      </c>
      <c r="B1693">
        <v>101</v>
      </c>
      <c r="C1693">
        <v>2</v>
      </c>
      <c r="D1693">
        <v>1566</v>
      </c>
      <c r="E1693" t="s">
        <v>651</v>
      </c>
      <c r="F1693">
        <v>2.5299999999999998</v>
      </c>
      <c r="G1693" t="s">
        <v>623</v>
      </c>
      <c r="H1693" s="1">
        <v>46107.368807870371</v>
      </c>
      <c r="I1693" t="s">
        <v>636</v>
      </c>
      <c r="J1693">
        <v>2.5299999999999998</v>
      </c>
      <c r="K1693">
        <v>0</v>
      </c>
    </row>
    <row r="1694" spans="1:11" x14ac:dyDescent="0.3">
      <c r="A1694">
        <v>1693</v>
      </c>
      <c r="B1694">
        <v>122</v>
      </c>
      <c r="C1694">
        <v>5</v>
      </c>
      <c r="D1694">
        <v>1567</v>
      </c>
      <c r="E1694" t="s">
        <v>651</v>
      </c>
      <c r="F1694">
        <v>23.21</v>
      </c>
      <c r="G1694" t="s">
        <v>623</v>
      </c>
      <c r="H1694" s="1">
        <v>46107.413865740738</v>
      </c>
      <c r="I1694" t="s">
        <v>636</v>
      </c>
      <c r="J1694">
        <v>23.21</v>
      </c>
      <c r="K1694">
        <v>0</v>
      </c>
    </row>
    <row r="1695" spans="1:11" x14ac:dyDescent="0.3">
      <c r="A1695">
        <v>1694</v>
      </c>
      <c r="B1695">
        <v>21</v>
      </c>
      <c r="C1695">
        <v>5</v>
      </c>
      <c r="D1695">
        <v>1555</v>
      </c>
      <c r="E1695" t="s">
        <v>649</v>
      </c>
      <c r="F1695">
        <v>-4.5199999999999996</v>
      </c>
      <c r="G1695" t="s">
        <v>723</v>
      </c>
      <c r="H1695" s="1">
        <v>46107.537708333337</v>
      </c>
      <c r="I1695" t="s">
        <v>636</v>
      </c>
      <c r="J1695">
        <v>0</v>
      </c>
      <c r="K1695">
        <v>0</v>
      </c>
    </row>
    <row r="1696" spans="1:11" x14ac:dyDescent="0.3">
      <c r="A1696">
        <v>1695</v>
      </c>
      <c r="B1696">
        <v>243</v>
      </c>
      <c r="C1696">
        <v>3</v>
      </c>
      <c r="D1696">
        <v>1568</v>
      </c>
      <c r="E1696" t="s">
        <v>651</v>
      </c>
      <c r="F1696">
        <v>4.46</v>
      </c>
      <c r="G1696" t="s">
        <v>623</v>
      </c>
      <c r="H1696" s="1">
        <v>46107.76766203704</v>
      </c>
      <c r="I1696" t="s">
        <v>636</v>
      </c>
      <c r="J1696">
        <v>4.46</v>
      </c>
      <c r="K1696">
        <v>0</v>
      </c>
    </row>
    <row r="1697" spans="1:11" x14ac:dyDescent="0.3">
      <c r="A1697">
        <v>1696</v>
      </c>
      <c r="B1697">
        <v>61</v>
      </c>
      <c r="C1697">
        <v>2</v>
      </c>
      <c r="D1697">
        <v>1569</v>
      </c>
      <c r="E1697" t="s">
        <v>651</v>
      </c>
      <c r="F1697">
        <v>18.899999999999999</v>
      </c>
      <c r="G1697" t="s">
        <v>623</v>
      </c>
      <c r="H1697" s="1">
        <v>46108.3358912037</v>
      </c>
      <c r="I1697" t="s">
        <v>636</v>
      </c>
      <c r="J1697">
        <v>18.899999999999999</v>
      </c>
      <c r="K1697">
        <v>0</v>
      </c>
    </row>
    <row r="1698" spans="1:11" x14ac:dyDescent="0.3">
      <c r="A1698">
        <v>1697</v>
      </c>
      <c r="B1698">
        <v>72</v>
      </c>
      <c r="C1698">
        <v>4</v>
      </c>
      <c r="D1698">
        <v>1570</v>
      </c>
      <c r="E1698" t="s">
        <v>651</v>
      </c>
      <c r="F1698">
        <v>3.2</v>
      </c>
      <c r="G1698" t="s">
        <v>623</v>
      </c>
      <c r="H1698" s="1">
        <v>46108.365925925929</v>
      </c>
      <c r="I1698" t="s">
        <v>636</v>
      </c>
      <c r="J1698">
        <v>3.2</v>
      </c>
      <c r="K1698">
        <v>0</v>
      </c>
    </row>
    <row r="1699" spans="1:11" x14ac:dyDescent="0.3">
      <c r="A1699">
        <v>1698</v>
      </c>
      <c r="B1699">
        <v>200</v>
      </c>
      <c r="C1699">
        <v>3</v>
      </c>
      <c r="D1699">
        <v>1571</v>
      </c>
      <c r="E1699" t="s">
        <v>651</v>
      </c>
      <c r="F1699">
        <v>2.0699999999999998</v>
      </c>
      <c r="G1699" t="s">
        <v>623</v>
      </c>
      <c r="H1699" s="1">
        <v>46108.392002314817</v>
      </c>
      <c r="I1699" t="s">
        <v>636</v>
      </c>
      <c r="J1699">
        <v>2.0699999999999998</v>
      </c>
      <c r="K1699">
        <v>0</v>
      </c>
    </row>
    <row r="1700" spans="1:11" x14ac:dyDescent="0.3">
      <c r="A1700">
        <v>1699</v>
      </c>
      <c r="B1700">
        <v>132</v>
      </c>
      <c r="C1700">
        <v>4</v>
      </c>
      <c r="D1700">
        <v>1572</v>
      </c>
      <c r="E1700" t="s">
        <v>651</v>
      </c>
      <c r="F1700">
        <v>16.2</v>
      </c>
      <c r="G1700" t="s">
        <v>623</v>
      </c>
      <c r="H1700" s="1">
        <v>46108.443831018521</v>
      </c>
      <c r="I1700" t="s">
        <v>636</v>
      </c>
      <c r="J1700">
        <v>16.2</v>
      </c>
      <c r="K1700">
        <v>0</v>
      </c>
    </row>
    <row r="1701" spans="1:11" x14ac:dyDescent="0.3">
      <c r="A1701">
        <v>1700</v>
      </c>
      <c r="B1701">
        <v>137</v>
      </c>
      <c r="C1701">
        <v>4</v>
      </c>
      <c r="D1701">
        <v>1573</v>
      </c>
      <c r="E1701" t="s">
        <v>657</v>
      </c>
      <c r="F1701">
        <v>26.13</v>
      </c>
      <c r="G1701" t="s">
        <v>623</v>
      </c>
      <c r="H1701" s="1">
        <v>46108.469872685186</v>
      </c>
      <c r="I1701" t="s">
        <v>636</v>
      </c>
      <c r="J1701">
        <v>0</v>
      </c>
      <c r="K1701">
        <v>26.13</v>
      </c>
    </row>
    <row r="1702" spans="1:11" x14ac:dyDescent="0.3">
      <c r="A1702">
        <v>1701</v>
      </c>
      <c r="B1702">
        <v>98</v>
      </c>
      <c r="C1702">
        <v>5</v>
      </c>
      <c r="D1702">
        <v>1574</v>
      </c>
      <c r="E1702" t="s">
        <v>651</v>
      </c>
      <c r="F1702">
        <v>16.3</v>
      </c>
      <c r="G1702" t="s">
        <v>623</v>
      </c>
      <c r="H1702" s="1">
        <v>46108.500509259262</v>
      </c>
      <c r="I1702" t="s">
        <v>636</v>
      </c>
      <c r="J1702">
        <v>16.3</v>
      </c>
      <c r="K1702">
        <v>0</v>
      </c>
    </row>
    <row r="1703" spans="1:11" x14ac:dyDescent="0.3">
      <c r="A1703">
        <v>1702</v>
      </c>
      <c r="B1703">
        <v>243</v>
      </c>
      <c r="C1703">
        <v>2</v>
      </c>
      <c r="D1703">
        <v>1575</v>
      </c>
      <c r="E1703" t="s">
        <v>651</v>
      </c>
      <c r="F1703">
        <v>2.6</v>
      </c>
      <c r="G1703" t="s">
        <v>623</v>
      </c>
      <c r="H1703" s="1">
        <v>46108.507071759261</v>
      </c>
      <c r="I1703" t="s">
        <v>636</v>
      </c>
      <c r="J1703">
        <v>2.6</v>
      </c>
      <c r="K1703">
        <v>0</v>
      </c>
    </row>
    <row r="1704" spans="1:11" x14ac:dyDescent="0.3">
      <c r="A1704">
        <v>1703</v>
      </c>
      <c r="B1704">
        <v>215</v>
      </c>
      <c r="C1704">
        <v>4</v>
      </c>
      <c r="D1704">
        <v>1576</v>
      </c>
      <c r="E1704" t="s">
        <v>651</v>
      </c>
      <c r="F1704">
        <v>3.65</v>
      </c>
      <c r="G1704" t="s">
        <v>623</v>
      </c>
      <c r="H1704" s="1">
        <v>46108.516712962963</v>
      </c>
      <c r="I1704" t="s">
        <v>636</v>
      </c>
      <c r="J1704">
        <v>3.65</v>
      </c>
      <c r="K1704">
        <v>0</v>
      </c>
    </row>
    <row r="1705" spans="1:11" x14ac:dyDescent="0.3">
      <c r="A1705">
        <v>1704</v>
      </c>
      <c r="B1705">
        <v>156</v>
      </c>
      <c r="C1705">
        <v>3</v>
      </c>
      <c r="D1705">
        <v>1577</v>
      </c>
      <c r="E1705" t="s">
        <v>651</v>
      </c>
      <c r="F1705">
        <v>3.09</v>
      </c>
      <c r="G1705" t="s">
        <v>623</v>
      </c>
      <c r="H1705" s="1">
        <v>46108.576157407406</v>
      </c>
      <c r="I1705" t="s">
        <v>636</v>
      </c>
      <c r="J1705">
        <v>3.09</v>
      </c>
      <c r="K1705">
        <v>0</v>
      </c>
    </row>
    <row r="1706" spans="1:11" x14ac:dyDescent="0.3">
      <c r="A1706">
        <v>1705</v>
      </c>
      <c r="B1706">
        <v>290</v>
      </c>
      <c r="C1706">
        <v>4</v>
      </c>
      <c r="D1706">
        <v>1578</v>
      </c>
      <c r="E1706" t="s">
        <v>651</v>
      </c>
      <c r="F1706">
        <v>2.4300000000000002</v>
      </c>
      <c r="G1706" t="s">
        <v>623</v>
      </c>
      <c r="H1706" s="1">
        <v>46108.596134259256</v>
      </c>
      <c r="I1706" t="s">
        <v>636</v>
      </c>
      <c r="J1706">
        <v>2.4300000000000002</v>
      </c>
      <c r="K1706">
        <v>0</v>
      </c>
    </row>
    <row r="1707" spans="1:11" x14ac:dyDescent="0.3">
      <c r="A1707">
        <v>1706</v>
      </c>
      <c r="B1707">
        <v>125</v>
      </c>
      <c r="C1707">
        <v>3</v>
      </c>
      <c r="D1707">
        <v>1579</v>
      </c>
      <c r="E1707" t="s">
        <v>651</v>
      </c>
      <c r="F1707">
        <v>3.71</v>
      </c>
      <c r="G1707" t="s">
        <v>623</v>
      </c>
      <c r="H1707" s="1">
        <v>46108.613981481481</v>
      </c>
      <c r="I1707" t="s">
        <v>636</v>
      </c>
      <c r="J1707">
        <v>3.71</v>
      </c>
      <c r="K1707">
        <v>0</v>
      </c>
    </row>
    <row r="1708" spans="1:11" x14ac:dyDescent="0.3">
      <c r="A1708">
        <v>1707</v>
      </c>
      <c r="B1708">
        <v>132</v>
      </c>
      <c r="C1708">
        <v>2</v>
      </c>
      <c r="D1708">
        <v>1580</v>
      </c>
      <c r="E1708" t="s">
        <v>651</v>
      </c>
      <c r="F1708">
        <v>18.32</v>
      </c>
      <c r="G1708" t="s">
        <v>623</v>
      </c>
      <c r="H1708" s="1">
        <v>46108.65215277778</v>
      </c>
      <c r="I1708" t="s">
        <v>636</v>
      </c>
      <c r="J1708">
        <v>18.32</v>
      </c>
      <c r="K1708">
        <v>0</v>
      </c>
    </row>
    <row r="1709" spans="1:11" x14ac:dyDescent="0.3">
      <c r="A1709">
        <v>1708</v>
      </c>
      <c r="B1709">
        <v>56</v>
      </c>
      <c r="C1709">
        <v>5</v>
      </c>
      <c r="D1709">
        <v>1581</v>
      </c>
      <c r="E1709" t="s">
        <v>651</v>
      </c>
      <c r="F1709">
        <v>8.35</v>
      </c>
      <c r="G1709" t="s">
        <v>623</v>
      </c>
      <c r="H1709" s="1">
        <v>46108.666574074072</v>
      </c>
      <c r="I1709" t="s">
        <v>636</v>
      </c>
      <c r="J1709">
        <v>8.35</v>
      </c>
      <c r="K1709">
        <v>0</v>
      </c>
    </row>
    <row r="1710" spans="1:11" x14ac:dyDescent="0.3">
      <c r="A1710">
        <v>1709</v>
      </c>
      <c r="B1710">
        <v>136</v>
      </c>
      <c r="C1710">
        <v>3</v>
      </c>
      <c r="D1710">
        <v>1582</v>
      </c>
      <c r="E1710" t="s">
        <v>651</v>
      </c>
      <c r="F1710">
        <v>3.85</v>
      </c>
      <c r="G1710" t="s">
        <v>623</v>
      </c>
      <c r="H1710" s="1">
        <v>46108.696226851855</v>
      </c>
      <c r="I1710" t="s">
        <v>636</v>
      </c>
      <c r="J1710">
        <v>3.85</v>
      </c>
      <c r="K1710">
        <v>0</v>
      </c>
    </row>
    <row r="1711" spans="1:11" x14ac:dyDescent="0.3">
      <c r="A1711">
        <v>1710</v>
      </c>
      <c r="B1711">
        <v>261</v>
      </c>
      <c r="C1711">
        <v>4</v>
      </c>
      <c r="D1711">
        <v>1583</v>
      </c>
      <c r="E1711" t="s">
        <v>651</v>
      </c>
      <c r="F1711">
        <v>15.55</v>
      </c>
      <c r="G1711" t="s">
        <v>623</v>
      </c>
      <c r="H1711" s="1">
        <v>46108.77175925926</v>
      </c>
      <c r="I1711" t="s">
        <v>636</v>
      </c>
      <c r="J1711">
        <v>15.55</v>
      </c>
      <c r="K1711">
        <v>0</v>
      </c>
    </row>
    <row r="1712" spans="1:11" x14ac:dyDescent="0.3">
      <c r="A1712">
        <v>1711</v>
      </c>
      <c r="B1712">
        <v>70</v>
      </c>
      <c r="C1712">
        <v>4</v>
      </c>
      <c r="D1712">
        <v>1584</v>
      </c>
      <c r="E1712" t="s">
        <v>651</v>
      </c>
      <c r="F1712">
        <v>11.84</v>
      </c>
      <c r="G1712" t="s">
        <v>623</v>
      </c>
      <c r="H1712" s="1">
        <v>46108.820740740739</v>
      </c>
      <c r="I1712" t="s">
        <v>636</v>
      </c>
      <c r="J1712">
        <v>11.84</v>
      </c>
      <c r="K1712">
        <v>0</v>
      </c>
    </row>
    <row r="1713" spans="1:11" x14ac:dyDescent="0.3">
      <c r="A1713">
        <v>1712</v>
      </c>
      <c r="B1713">
        <v>282</v>
      </c>
      <c r="C1713">
        <v>3</v>
      </c>
      <c r="D1713">
        <v>1585</v>
      </c>
      <c r="E1713" t="s">
        <v>651</v>
      </c>
      <c r="F1713">
        <v>13.97</v>
      </c>
      <c r="G1713" t="s">
        <v>623</v>
      </c>
      <c r="H1713" s="1">
        <v>46109.365717592591</v>
      </c>
      <c r="I1713" t="s">
        <v>636</v>
      </c>
      <c r="J1713">
        <v>13.97</v>
      </c>
      <c r="K1713">
        <v>0</v>
      </c>
    </row>
    <row r="1714" spans="1:11" x14ac:dyDescent="0.3">
      <c r="A1714">
        <v>1713</v>
      </c>
      <c r="B1714">
        <v>243</v>
      </c>
      <c r="C1714">
        <v>2</v>
      </c>
      <c r="D1714">
        <v>1586</v>
      </c>
      <c r="E1714" t="s">
        <v>651</v>
      </c>
      <c r="F1714">
        <v>1.37</v>
      </c>
      <c r="G1714" t="s">
        <v>623</v>
      </c>
      <c r="H1714" s="1">
        <v>46109.37804398148</v>
      </c>
      <c r="I1714" t="s">
        <v>636</v>
      </c>
      <c r="J1714">
        <v>1.37</v>
      </c>
      <c r="K1714">
        <v>0</v>
      </c>
    </row>
    <row r="1715" spans="1:11" x14ac:dyDescent="0.3">
      <c r="A1715">
        <v>1714</v>
      </c>
      <c r="B1715">
        <v>176</v>
      </c>
      <c r="C1715">
        <v>2</v>
      </c>
      <c r="D1715">
        <v>1587</v>
      </c>
      <c r="E1715" t="s">
        <v>651</v>
      </c>
      <c r="F1715">
        <v>15.11</v>
      </c>
      <c r="G1715" t="s">
        <v>623</v>
      </c>
      <c r="H1715" s="1">
        <v>46109.383599537039</v>
      </c>
      <c r="I1715" t="s">
        <v>636</v>
      </c>
      <c r="J1715">
        <v>15.11</v>
      </c>
      <c r="K1715">
        <v>0</v>
      </c>
    </row>
    <row r="1716" spans="1:11" x14ac:dyDescent="0.3">
      <c r="A1716">
        <v>1715</v>
      </c>
      <c r="B1716">
        <v>131</v>
      </c>
      <c r="C1716">
        <v>3</v>
      </c>
      <c r="D1716">
        <v>1588</v>
      </c>
      <c r="E1716" t="s">
        <v>651</v>
      </c>
      <c r="F1716">
        <v>11.81</v>
      </c>
      <c r="G1716" t="s">
        <v>623</v>
      </c>
      <c r="H1716" s="1">
        <v>46109.387372685182</v>
      </c>
      <c r="I1716" t="s">
        <v>636</v>
      </c>
      <c r="J1716">
        <v>11.81</v>
      </c>
      <c r="K1716">
        <v>0</v>
      </c>
    </row>
    <row r="1717" spans="1:11" x14ac:dyDescent="0.3">
      <c r="A1717">
        <v>1716</v>
      </c>
      <c r="B1717">
        <v>137</v>
      </c>
      <c r="C1717">
        <v>4</v>
      </c>
      <c r="D1717">
        <v>1589</v>
      </c>
      <c r="E1717" t="s">
        <v>651</v>
      </c>
      <c r="F1717">
        <v>3.48</v>
      </c>
      <c r="G1717" t="s">
        <v>623</v>
      </c>
      <c r="H1717" s="1">
        <v>46109.396319444444</v>
      </c>
      <c r="I1717" t="s">
        <v>636</v>
      </c>
      <c r="J1717">
        <v>3.48</v>
      </c>
      <c r="K1717">
        <v>0</v>
      </c>
    </row>
    <row r="1718" spans="1:11" x14ac:dyDescent="0.3">
      <c r="A1718">
        <v>1717</v>
      </c>
      <c r="B1718">
        <v>106</v>
      </c>
      <c r="C1718">
        <v>3</v>
      </c>
      <c r="D1718">
        <v>1590</v>
      </c>
      <c r="E1718" t="s">
        <v>651</v>
      </c>
      <c r="F1718">
        <v>8.27</v>
      </c>
      <c r="G1718" t="s">
        <v>623</v>
      </c>
      <c r="H1718" s="1">
        <v>46109.402604166666</v>
      </c>
      <c r="I1718" t="s">
        <v>636</v>
      </c>
      <c r="J1718">
        <v>8.27</v>
      </c>
      <c r="K1718">
        <v>0</v>
      </c>
    </row>
    <row r="1719" spans="1:11" x14ac:dyDescent="0.3">
      <c r="A1719">
        <v>1718</v>
      </c>
      <c r="B1719">
        <v>89</v>
      </c>
      <c r="C1719">
        <v>2</v>
      </c>
      <c r="D1719">
        <v>1591</v>
      </c>
      <c r="E1719" t="s">
        <v>651</v>
      </c>
      <c r="F1719">
        <v>12.69</v>
      </c>
      <c r="G1719" t="s">
        <v>623</v>
      </c>
      <c r="H1719" s="1">
        <v>46109.479502314818</v>
      </c>
      <c r="I1719" t="s">
        <v>636</v>
      </c>
      <c r="J1719">
        <v>12.69</v>
      </c>
      <c r="K1719">
        <v>0</v>
      </c>
    </row>
    <row r="1720" spans="1:11" x14ac:dyDescent="0.3">
      <c r="A1720">
        <v>1719</v>
      </c>
      <c r="B1720">
        <v>243</v>
      </c>
      <c r="C1720">
        <v>4</v>
      </c>
      <c r="D1720">
        <v>1592</v>
      </c>
      <c r="E1720" t="s">
        <v>651</v>
      </c>
      <c r="F1720">
        <v>2.4500000000000002</v>
      </c>
      <c r="G1720" t="s">
        <v>623</v>
      </c>
      <c r="H1720" s="1">
        <v>46109.580995370372</v>
      </c>
      <c r="I1720" t="s">
        <v>636</v>
      </c>
      <c r="J1720">
        <v>2.4500000000000002</v>
      </c>
      <c r="K1720">
        <v>0</v>
      </c>
    </row>
    <row r="1721" spans="1:11" x14ac:dyDescent="0.3">
      <c r="A1721">
        <v>1720</v>
      </c>
      <c r="B1721">
        <v>162</v>
      </c>
      <c r="C1721">
        <v>4</v>
      </c>
      <c r="D1721">
        <v>1593</v>
      </c>
      <c r="E1721" t="s">
        <v>651</v>
      </c>
      <c r="F1721">
        <v>3.2</v>
      </c>
      <c r="G1721" t="s">
        <v>623</v>
      </c>
      <c r="H1721" s="1">
        <v>46109.594097222223</v>
      </c>
      <c r="I1721" t="s">
        <v>636</v>
      </c>
      <c r="J1721">
        <v>3.2</v>
      </c>
      <c r="K1721">
        <v>0</v>
      </c>
    </row>
    <row r="1722" spans="1:11" x14ac:dyDescent="0.3">
      <c r="A1722">
        <v>1721</v>
      </c>
      <c r="B1722">
        <v>101</v>
      </c>
      <c r="C1722">
        <v>3</v>
      </c>
      <c r="D1722">
        <v>1594</v>
      </c>
      <c r="E1722" t="s">
        <v>651</v>
      </c>
      <c r="F1722">
        <v>3.81</v>
      </c>
      <c r="G1722" t="s">
        <v>623</v>
      </c>
      <c r="H1722" s="1">
        <v>46109.638865740744</v>
      </c>
      <c r="I1722" t="s">
        <v>636</v>
      </c>
      <c r="J1722">
        <v>3.81</v>
      </c>
      <c r="K1722">
        <v>0</v>
      </c>
    </row>
    <row r="1723" spans="1:11" x14ac:dyDescent="0.3">
      <c r="A1723">
        <v>1722</v>
      </c>
      <c r="B1723">
        <v>215</v>
      </c>
      <c r="C1723">
        <v>3</v>
      </c>
      <c r="D1723">
        <v>1576</v>
      </c>
      <c r="E1723" t="s">
        <v>649</v>
      </c>
      <c r="F1723">
        <v>-3.65</v>
      </c>
      <c r="G1723" t="s">
        <v>724</v>
      </c>
      <c r="H1723" s="1">
        <v>46109.641712962963</v>
      </c>
      <c r="I1723" t="s">
        <v>636</v>
      </c>
      <c r="J1723">
        <v>0</v>
      </c>
      <c r="K1723">
        <v>0</v>
      </c>
    </row>
    <row r="1724" spans="1:11" x14ac:dyDescent="0.3">
      <c r="A1724">
        <v>1723</v>
      </c>
      <c r="B1724">
        <v>150</v>
      </c>
      <c r="C1724">
        <v>2</v>
      </c>
      <c r="D1724">
        <v>1595</v>
      </c>
      <c r="E1724" t="s">
        <v>651</v>
      </c>
      <c r="F1724">
        <v>7.31</v>
      </c>
      <c r="G1724" t="s">
        <v>623</v>
      </c>
      <c r="H1724" s="1">
        <v>46109.641909722224</v>
      </c>
      <c r="I1724" t="s">
        <v>636</v>
      </c>
      <c r="J1724">
        <v>7.31</v>
      </c>
      <c r="K1724">
        <v>0</v>
      </c>
    </row>
    <row r="1725" spans="1:11" x14ac:dyDescent="0.3">
      <c r="A1725">
        <v>1724</v>
      </c>
      <c r="B1725">
        <v>35</v>
      </c>
      <c r="C1725">
        <v>5</v>
      </c>
      <c r="D1725">
        <v>1596</v>
      </c>
      <c r="E1725" t="s">
        <v>651</v>
      </c>
      <c r="F1725">
        <v>3.33</v>
      </c>
      <c r="G1725" t="s">
        <v>623</v>
      </c>
      <c r="H1725" s="1">
        <v>46109.652118055557</v>
      </c>
      <c r="I1725" t="s">
        <v>636</v>
      </c>
      <c r="J1725">
        <v>3.33</v>
      </c>
      <c r="K1725">
        <v>0</v>
      </c>
    </row>
    <row r="1726" spans="1:11" x14ac:dyDescent="0.3">
      <c r="A1726">
        <v>1725</v>
      </c>
      <c r="B1726">
        <v>145</v>
      </c>
      <c r="C1726">
        <v>2</v>
      </c>
      <c r="D1726">
        <v>1597</v>
      </c>
      <c r="E1726" t="s">
        <v>651</v>
      </c>
      <c r="F1726">
        <v>24.61</v>
      </c>
      <c r="G1726" t="s">
        <v>623</v>
      </c>
      <c r="H1726" s="1">
        <v>46109.743043981478</v>
      </c>
      <c r="I1726" t="s">
        <v>636</v>
      </c>
      <c r="J1726">
        <v>24.61</v>
      </c>
      <c r="K1726">
        <v>0</v>
      </c>
    </row>
    <row r="1727" spans="1:11" x14ac:dyDescent="0.3">
      <c r="A1727">
        <v>1726</v>
      </c>
      <c r="B1727">
        <v>274</v>
      </c>
      <c r="C1727">
        <v>5</v>
      </c>
      <c r="D1727">
        <v>1598</v>
      </c>
      <c r="E1727" t="s">
        <v>651</v>
      </c>
      <c r="F1727">
        <v>1.72</v>
      </c>
      <c r="G1727" t="s">
        <v>623</v>
      </c>
      <c r="H1727" s="1">
        <v>46109.822164351855</v>
      </c>
      <c r="I1727" t="s">
        <v>636</v>
      </c>
      <c r="J1727">
        <v>1.72</v>
      </c>
      <c r="K1727">
        <v>0</v>
      </c>
    </row>
    <row r="1728" spans="1:11" x14ac:dyDescent="0.3">
      <c r="A1728">
        <v>1727</v>
      </c>
      <c r="B1728">
        <v>65</v>
      </c>
      <c r="C1728">
        <v>5</v>
      </c>
      <c r="D1728">
        <v>1599</v>
      </c>
      <c r="E1728" t="s">
        <v>651</v>
      </c>
      <c r="F1728">
        <v>1.96</v>
      </c>
      <c r="G1728" t="s">
        <v>623</v>
      </c>
      <c r="H1728" s="1">
        <v>46110.521874999999</v>
      </c>
      <c r="I1728" t="s">
        <v>636</v>
      </c>
      <c r="J1728">
        <v>1.96</v>
      </c>
      <c r="K1728">
        <v>0</v>
      </c>
    </row>
    <row r="1729" spans="1:11" x14ac:dyDescent="0.3">
      <c r="A1729">
        <v>1728</v>
      </c>
      <c r="B1729">
        <v>44</v>
      </c>
      <c r="C1729">
        <v>3</v>
      </c>
      <c r="D1729">
        <v>1600</v>
      </c>
      <c r="E1729" t="s">
        <v>651</v>
      </c>
      <c r="F1729">
        <v>1.62</v>
      </c>
      <c r="G1729" t="s">
        <v>623</v>
      </c>
      <c r="H1729" s="1">
        <v>46110.657256944447</v>
      </c>
      <c r="I1729" t="s">
        <v>636</v>
      </c>
      <c r="J1729">
        <v>1.62</v>
      </c>
      <c r="K1729">
        <v>0</v>
      </c>
    </row>
    <row r="1730" spans="1:11" x14ac:dyDescent="0.3">
      <c r="A1730">
        <v>1729</v>
      </c>
      <c r="B1730">
        <v>241</v>
      </c>
      <c r="C1730">
        <v>5</v>
      </c>
      <c r="D1730">
        <v>1601</v>
      </c>
      <c r="E1730" t="s">
        <v>651</v>
      </c>
      <c r="F1730">
        <v>2.78</v>
      </c>
      <c r="G1730" t="s">
        <v>623</v>
      </c>
      <c r="H1730" s="1">
        <v>46110.707974537036</v>
      </c>
      <c r="I1730" t="s">
        <v>636</v>
      </c>
      <c r="J1730">
        <v>2.78</v>
      </c>
      <c r="K1730">
        <v>0</v>
      </c>
    </row>
    <row r="1731" spans="1:11" x14ac:dyDescent="0.3">
      <c r="A1731">
        <v>1730</v>
      </c>
      <c r="B1731">
        <v>51</v>
      </c>
      <c r="C1731">
        <v>5</v>
      </c>
      <c r="D1731">
        <v>1602</v>
      </c>
      <c r="E1731" t="s">
        <v>651</v>
      </c>
      <c r="F1731">
        <v>17.760000000000002</v>
      </c>
      <c r="G1731" t="s">
        <v>623</v>
      </c>
      <c r="H1731" s="1">
        <v>46111.487002314818</v>
      </c>
      <c r="I1731" t="s">
        <v>636</v>
      </c>
      <c r="J1731">
        <v>17.760000000000002</v>
      </c>
      <c r="K1731">
        <v>0</v>
      </c>
    </row>
    <row r="1732" spans="1:11" x14ac:dyDescent="0.3">
      <c r="A1732">
        <v>1731</v>
      </c>
      <c r="B1732">
        <v>137</v>
      </c>
      <c r="C1732">
        <v>2</v>
      </c>
      <c r="D1732">
        <v>1603</v>
      </c>
      <c r="E1732" t="s">
        <v>651</v>
      </c>
      <c r="F1732">
        <v>2.73</v>
      </c>
      <c r="G1732" t="s">
        <v>623</v>
      </c>
      <c r="H1732" s="1">
        <v>46111.628680555557</v>
      </c>
      <c r="I1732" t="s">
        <v>636</v>
      </c>
      <c r="J1732">
        <v>2.73</v>
      </c>
      <c r="K1732">
        <v>0</v>
      </c>
    </row>
    <row r="1733" spans="1:11" x14ac:dyDescent="0.3">
      <c r="A1733">
        <v>1732</v>
      </c>
      <c r="B1733">
        <v>16</v>
      </c>
      <c r="C1733">
        <v>2</v>
      </c>
      <c r="D1733">
        <v>1604</v>
      </c>
      <c r="E1733" t="s">
        <v>657</v>
      </c>
      <c r="F1733">
        <v>225.53</v>
      </c>
      <c r="G1733" t="s">
        <v>623</v>
      </c>
      <c r="H1733" s="1">
        <v>46112.338425925926</v>
      </c>
      <c r="I1733" t="s">
        <v>636</v>
      </c>
      <c r="J1733">
        <v>0</v>
      </c>
      <c r="K1733">
        <v>225.53</v>
      </c>
    </row>
    <row r="1734" spans="1:11" x14ac:dyDescent="0.3">
      <c r="A1734">
        <v>1733</v>
      </c>
      <c r="B1734">
        <v>61</v>
      </c>
      <c r="C1734">
        <v>3</v>
      </c>
      <c r="D1734">
        <v>1605</v>
      </c>
      <c r="E1734" t="s">
        <v>657</v>
      </c>
      <c r="F1734">
        <v>98.79</v>
      </c>
      <c r="G1734" t="s">
        <v>623</v>
      </c>
      <c r="H1734" s="1">
        <v>46112.398402777777</v>
      </c>
      <c r="I1734" t="s">
        <v>636</v>
      </c>
      <c r="J1734">
        <v>0</v>
      </c>
      <c r="K1734">
        <v>98.79</v>
      </c>
    </row>
    <row r="1735" spans="1:11" x14ac:dyDescent="0.3">
      <c r="A1735">
        <v>1734</v>
      </c>
      <c r="B1735">
        <v>185</v>
      </c>
      <c r="C1735">
        <v>4</v>
      </c>
      <c r="D1735">
        <v>1606</v>
      </c>
      <c r="E1735" t="s">
        <v>651</v>
      </c>
      <c r="F1735">
        <v>19.87</v>
      </c>
      <c r="G1735" t="s">
        <v>623</v>
      </c>
      <c r="H1735" s="1">
        <v>46112.433229166665</v>
      </c>
      <c r="I1735" t="s">
        <v>636</v>
      </c>
      <c r="J1735">
        <v>19.87</v>
      </c>
      <c r="K1735">
        <v>0</v>
      </c>
    </row>
    <row r="1736" spans="1:11" x14ac:dyDescent="0.3">
      <c r="A1736">
        <v>1735</v>
      </c>
      <c r="B1736">
        <v>39</v>
      </c>
      <c r="C1736">
        <v>5</v>
      </c>
      <c r="D1736">
        <v>1607</v>
      </c>
      <c r="E1736" t="s">
        <v>651</v>
      </c>
      <c r="F1736">
        <v>17.170000000000002</v>
      </c>
      <c r="G1736" t="s">
        <v>623</v>
      </c>
      <c r="H1736" s="1">
        <v>46112.434571759259</v>
      </c>
      <c r="I1736" t="s">
        <v>636</v>
      </c>
      <c r="J1736">
        <v>17.170000000000002</v>
      </c>
      <c r="K1736">
        <v>0</v>
      </c>
    </row>
    <row r="1737" spans="1:11" x14ac:dyDescent="0.3">
      <c r="A1737">
        <v>1736</v>
      </c>
      <c r="B1737">
        <v>42</v>
      </c>
      <c r="C1737">
        <v>4</v>
      </c>
      <c r="D1737">
        <v>1608</v>
      </c>
      <c r="E1737" t="s">
        <v>651</v>
      </c>
      <c r="F1737">
        <v>3.81</v>
      </c>
      <c r="G1737" t="s">
        <v>623</v>
      </c>
      <c r="H1737" s="1">
        <v>46112.462997685187</v>
      </c>
      <c r="I1737" t="s">
        <v>636</v>
      </c>
      <c r="J1737">
        <v>3.81</v>
      </c>
      <c r="K1737">
        <v>0</v>
      </c>
    </row>
    <row r="1738" spans="1:11" x14ac:dyDescent="0.3">
      <c r="A1738">
        <v>1737</v>
      </c>
      <c r="B1738">
        <v>156</v>
      </c>
      <c r="C1738">
        <v>4</v>
      </c>
      <c r="D1738">
        <v>1609</v>
      </c>
      <c r="E1738" t="s">
        <v>651</v>
      </c>
      <c r="F1738">
        <v>2.63</v>
      </c>
      <c r="G1738" t="s">
        <v>623</v>
      </c>
      <c r="H1738" s="1">
        <v>46112.754837962966</v>
      </c>
      <c r="I1738" t="s">
        <v>636</v>
      </c>
      <c r="J1738">
        <v>2.63</v>
      </c>
      <c r="K1738">
        <v>0</v>
      </c>
    </row>
    <row r="1739" spans="1:11" x14ac:dyDescent="0.3">
      <c r="A1739">
        <v>1738</v>
      </c>
      <c r="B1739">
        <v>243</v>
      </c>
      <c r="C1739">
        <v>5</v>
      </c>
      <c r="D1739">
        <v>1610</v>
      </c>
      <c r="E1739" t="s">
        <v>651</v>
      </c>
      <c r="F1739">
        <v>3.08</v>
      </c>
      <c r="G1739" t="s">
        <v>623</v>
      </c>
      <c r="H1739" s="1">
        <v>46112.772361111114</v>
      </c>
      <c r="I1739" t="s">
        <v>636</v>
      </c>
      <c r="J1739">
        <v>3.08</v>
      </c>
      <c r="K1739">
        <v>0</v>
      </c>
    </row>
    <row r="1740" spans="1:11" x14ac:dyDescent="0.3">
      <c r="A1740">
        <v>1739</v>
      </c>
      <c r="B1740">
        <v>210</v>
      </c>
      <c r="C1740">
        <v>3</v>
      </c>
      <c r="D1740">
        <v>1611</v>
      </c>
      <c r="E1740" t="s">
        <v>651</v>
      </c>
      <c r="F1740">
        <v>2.9</v>
      </c>
      <c r="G1740" t="s">
        <v>623</v>
      </c>
      <c r="H1740" s="1">
        <v>46113.337094907409</v>
      </c>
      <c r="I1740" t="s">
        <v>637</v>
      </c>
      <c r="J1740">
        <v>2.9</v>
      </c>
      <c r="K1740">
        <v>0</v>
      </c>
    </row>
    <row r="1741" spans="1:11" x14ac:dyDescent="0.3">
      <c r="A1741">
        <v>1740</v>
      </c>
      <c r="B1741">
        <v>230</v>
      </c>
      <c r="C1741">
        <v>3</v>
      </c>
      <c r="D1741">
        <v>1612</v>
      </c>
      <c r="E1741" t="s">
        <v>651</v>
      </c>
      <c r="F1741">
        <v>14.08</v>
      </c>
      <c r="G1741" t="s">
        <v>623</v>
      </c>
      <c r="H1741" s="1">
        <v>46113.37605324074</v>
      </c>
      <c r="I1741" t="s">
        <v>637</v>
      </c>
      <c r="J1741">
        <v>14.08</v>
      </c>
      <c r="K1741">
        <v>0</v>
      </c>
    </row>
    <row r="1742" spans="1:11" x14ac:dyDescent="0.3">
      <c r="A1742">
        <v>1741</v>
      </c>
      <c r="B1742">
        <v>279</v>
      </c>
      <c r="C1742">
        <v>3</v>
      </c>
      <c r="D1742">
        <v>1613</v>
      </c>
      <c r="E1742" t="s">
        <v>651</v>
      </c>
      <c r="F1742">
        <v>20.170000000000002</v>
      </c>
      <c r="G1742" t="s">
        <v>623</v>
      </c>
      <c r="H1742" s="1">
        <v>46113.449791666666</v>
      </c>
      <c r="I1742" t="s">
        <v>637</v>
      </c>
      <c r="J1742">
        <v>20.170000000000002</v>
      </c>
      <c r="K1742">
        <v>0</v>
      </c>
    </row>
    <row r="1743" spans="1:11" x14ac:dyDescent="0.3">
      <c r="A1743">
        <v>1742</v>
      </c>
      <c r="B1743">
        <v>185</v>
      </c>
      <c r="C1743">
        <v>3</v>
      </c>
      <c r="D1743">
        <v>1614</v>
      </c>
      <c r="E1743" t="s">
        <v>651</v>
      </c>
      <c r="F1743">
        <v>10.33</v>
      </c>
      <c r="G1743" t="s">
        <v>623</v>
      </c>
      <c r="H1743" s="1">
        <v>46113.4765625</v>
      </c>
      <c r="I1743" t="s">
        <v>637</v>
      </c>
      <c r="J1743">
        <v>10.33</v>
      </c>
      <c r="K1743">
        <v>0</v>
      </c>
    </row>
    <row r="1744" spans="1:11" x14ac:dyDescent="0.3">
      <c r="A1744">
        <v>1743</v>
      </c>
      <c r="B1744">
        <v>137</v>
      </c>
      <c r="C1744">
        <v>2</v>
      </c>
      <c r="D1744">
        <v>1615</v>
      </c>
      <c r="E1744" t="s">
        <v>651</v>
      </c>
      <c r="F1744">
        <v>4.34</v>
      </c>
      <c r="G1744" t="s">
        <v>623</v>
      </c>
      <c r="H1744" s="1">
        <v>46113.544560185182</v>
      </c>
      <c r="I1744" t="s">
        <v>637</v>
      </c>
      <c r="J1744">
        <v>4.34</v>
      </c>
      <c r="K1744">
        <v>0</v>
      </c>
    </row>
    <row r="1745" spans="1:11" x14ac:dyDescent="0.3">
      <c r="A1745">
        <v>1744</v>
      </c>
      <c r="B1745">
        <v>11</v>
      </c>
      <c r="C1745">
        <v>3</v>
      </c>
      <c r="D1745">
        <v>1616</v>
      </c>
      <c r="E1745" t="s">
        <v>651</v>
      </c>
      <c r="F1745">
        <v>19.3</v>
      </c>
      <c r="G1745" t="s">
        <v>623</v>
      </c>
      <c r="H1745" s="1">
        <v>46113.55672453704</v>
      </c>
      <c r="I1745" t="s">
        <v>637</v>
      </c>
      <c r="J1745">
        <v>19.3</v>
      </c>
      <c r="K1745">
        <v>0</v>
      </c>
    </row>
    <row r="1746" spans="1:11" x14ac:dyDescent="0.3">
      <c r="A1746">
        <v>1745</v>
      </c>
      <c r="B1746">
        <v>137</v>
      </c>
      <c r="C1746">
        <v>5</v>
      </c>
      <c r="D1746">
        <v>1617</v>
      </c>
      <c r="E1746" t="s">
        <v>651</v>
      </c>
      <c r="F1746">
        <v>3.36</v>
      </c>
      <c r="G1746" t="s">
        <v>623</v>
      </c>
      <c r="H1746" s="1">
        <v>46113.618032407408</v>
      </c>
      <c r="I1746" t="s">
        <v>637</v>
      </c>
      <c r="J1746">
        <v>3.36</v>
      </c>
      <c r="K1746">
        <v>0</v>
      </c>
    </row>
    <row r="1747" spans="1:11" x14ac:dyDescent="0.3">
      <c r="A1747">
        <v>1746</v>
      </c>
      <c r="B1747">
        <v>81</v>
      </c>
      <c r="C1747">
        <v>5</v>
      </c>
      <c r="D1747">
        <v>1618</v>
      </c>
      <c r="E1747" t="s">
        <v>651</v>
      </c>
      <c r="F1747">
        <v>2.85</v>
      </c>
      <c r="G1747" t="s">
        <v>623</v>
      </c>
      <c r="H1747" s="1">
        <v>46113.695914351854</v>
      </c>
      <c r="I1747" t="s">
        <v>637</v>
      </c>
      <c r="J1747">
        <v>2.85</v>
      </c>
      <c r="K1747">
        <v>0</v>
      </c>
    </row>
    <row r="1748" spans="1:11" x14ac:dyDescent="0.3">
      <c r="A1748">
        <v>1747</v>
      </c>
      <c r="B1748">
        <v>237</v>
      </c>
      <c r="C1748">
        <v>2</v>
      </c>
      <c r="D1748">
        <v>1619</v>
      </c>
      <c r="E1748" t="s">
        <v>651</v>
      </c>
      <c r="F1748">
        <v>10.74</v>
      </c>
      <c r="G1748" t="s">
        <v>623</v>
      </c>
      <c r="H1748" s="1">
        <v>46114.338182870371</v>
      </c>
      <c r="I1748" t="s">
        <v>637</v>
      </c>
      <c r="J1748">
        <v>10.74</v>
      </c>
      <c r="K1748">
        <v>0</v>
      </c>
    </row>
    <row r="1749" spans="1:11" x14ac:dyDescent="0.3">
      <c r="A1749">
        <v>1748</v>
      </c>
      <c r="B1749">
        <v>250</v>
      </c>
      <c r="C1749">
        <v>2</v>
      </c>
      <c r="D1749">
        <v>1620</v>
      </c>
      <c r="E1749" t="s">
        <v>651</v>
      </c>
      <c r="F1749">
        <v>8.5399999999999991</v>
      </c>
      <c r="G1749" t="s">
        <v>623</v>
      </c>
      <c r="H1749" s="1">
        <v>46114.405104166668</v>
      </c>
      <c r="I1749" t="s">
        <v>637</v>
      </c>
      <c r="J1749">
        <v>8.5399999999999991</v>
      </c>
      <c r="K1749">
        <v>0</v>
      </c>
    </row>
    <row r="1750" spans="1:11" x14ac:dyDescent="0.3">
      <c r="A1750">
        <v>1749</v>
      </c>
      <c r="B1750">
        <v>245</v>
      </c>
      <c r="C1750">
        <v>2</v>
      </c>
      <c r="D1750">
        <v>1621</v>
      </c>
      <c r="E1750" t="s">
        <v>651</v>
      </c>
      <c r="F1750">
        <v>5.14</v>
      </c>
      <c r="G1750" t="s">
        <v>623</v>
      </c>
      <c r="H1750" s="1">
        <v>46114.409618055557</v>
      </c>
      <c r="I1750" t="s">
        <v>637</v>
      </c>
      <c r="J1750">
        <v>5.14</v>
      </c>
      <c r="K1750">
        <v>0</v>
      </c>
    </row>
    <row r="1751" spans="1:11" x14ac:dyDescent="0.3">
      <c r="A1751">
        <v>1750</v>
      </c>
      <c r="B1751">
        <v>210</v>
      </c>
      <c r="C1751">
        <v>3</v>
      </c>
      <c r="D1751">
        <v>1622</v>
      </c>
      <c r="E1751" t="s">
        <v>651</v>
      </c>
      <c r="F1751">
        <v>2.16</v>
      </c>
      <c r="G1751" t="s">
        <v>623</v>
      </c>
      <c r="H1751" s="1">
        <v>46114.629050925927</v>
      </c>
      <c r="I1751" t="s">
        <v>637</v>
      </c>
      <c r="J1751">
        <v>2.16</v>
      </c>
      <c r="K1751">
        <v>0</v>
      </c>
    </row>
    <row r="1752" spans="1:11" x14ac:dyDescent="0.3">
      <c r="A1752">
        <v>1751</v>
      </c>
      <c r="B1752">
        <v>149</v>
      </c>
      <c r="C1752">
        <v>2</v>
      </c>
      <c r="D1752">
        <v>1623</v>
      </c>
      <c r="E1752" t="s">
        <v>651</v>
      </c>
      <c r="F1752">
        <v>4.32</v>
      </c>
      <c r="G1752" t="s">
        <v>623</v>
      </c>
      <c r="H1752" s="1">
        <v>46114.726400462961</v>
      </c>
      <c r="I1752" t="s">
        <v>637</v>
      </c>
      <c r="J1752">
        <v>4.32</v>
      </c>
      <c r="K1752">
        <v>0</v>
      </c>
    </row>
    <row r="1753" spans="1:11" x14ac:dyDescent="0.3">
      <c r="A1753">
        <v>1752</v>
      </c>
      <c r="B1753">
        <v>202</v>
      </c>
      <c r="C1753">
        <v>4</v>
      </c>
      <c r="D1753">
        <v>1624</v>
      </c>
      <c r="E1753" t="s">
        <v>651</v>
      </c>
      <c r="F1753">
        <v>2.74</v>
      </c>
      <c r="G1753" t="s">
        <v>623</v>
      </c>
      <c r="H1753" s="1">
        <v>46114.796469907407</v>
      </c>
      <c r="I1753" t="s">
        <v>637</v>
      </c>
      <c r="J1753">
        <v>2.74</v>
      </c>
      <c r="K1753">
        <v>0</v>
      </c>
    </row>
    <row r="1754" spans="1:11" x14ac:dyDescent="0.3">
      <c r="A1754">
        <v>1753</v>
      </c>
      <c r="B1754">
        <v>70</v>
      </c>
      <c r="C1754">
        <v>5</v>
      </c>
      <c r="D1754">
        <v>1625</v>
      </c>
      <c r="E1754" t="s">
        <v>651</v>
      </c>
      <c r="F1754">
        <v>29.22</v>
      </c>
      <c r="G1754" t="s">
        <v>623</v>
      </c>
      <c r="H1754" s="1">
        <v>46115.398472222223</v>
      </c>
      <c r="I1754" t="s">
        <v>637</v>
      </c>
      <c r="J1754">
        <v>29.22</v>
      </c>
      <c r="K1754">
        <v>0</v>
      </c>
    </row>
    <row r="1755" spans="1:11" x14ac:dyDescent="0.3">
      <c r="A1755">
        <v>1754</v>
      </c>
      <c r="B1755">
        <v>133</v>
      </c>
      <c r="C1755">
        <v>3</v>
      </c>
      <c r="D1755">
        <v>1626</v>
      </c>
      <c r="E1755" t="s">
        <v>651</v>
      </c>
      <c r="F1755">
        <v>7.69</v>
      </c>
      <c r="G1755" t="s">
        <v>623</v>
      </c>
      <c r="H1755" s="1">
        <v>46115.488900462966</v>
      </c>
      <c r="I1755" t="s">
        <v>637</v>
      </c>
      <c r="J1755">
        <v>7.69</v>
      </c>
      <c r="K1755">
        <v>0</v>
      </c>
    </row>
    <row r="1756" spans="1:11" x14ac:dyDescent="0.3">
      <c r="A1756">
        <v>1755</v>
      </c>
      <c r="B1756">
        <v>293</v>
      </c>
      <c r="C1756">
        <v>5</v>
      </c>
      <c r="D1756">
        <v>1627</v>
      </c>
      <c r="E1756" t="s">
        <v>657</v>
      </c>
      <c r="F1756">
        <v>23.57</v>
      </c>
      <c r="G1756" t="s">
        <v>623</v>
      </c>
      <c r="H1756" s="1">
        <v>46115.529224537036</v>
      </c>
      <c r="I1756" t="s">
        <v>637</v>
      </c>
      <c r="J1756">
        <v>0</v>
      </c>
      <c r="K1756">
        <v>23.57</v>
      </c>
    </row>
    <row r="1757" spans="1:11" x14ac:dyDescent="0.3">
      <c r="A1757">
        <v>1756</v>
      </c>
      <c r="B1757">
        <v>125</v>
      </c>
      <c r="C1757">
        <v>5</v>
      </c>
      <c r="D1757">
        <v>1628</v>
      </c>
      <c r="E1757" t="s">
        <v>651</v>
      </c>
      <c r="F1757">
        <v>4.7300000000000004</v>
      </c>
      <c r="G1757" t="s">
        <v>623</v>
      </c>
      <c r="H1757" s="1">
        <v>46115.549490740741</v>
      </c>
      <c r="I1757" t="s">
        <v>637</v>
      </c>
      <c r="J1757">
        <v>4.7300000000000004</v>
      </c>
      <c r="K1757">
        <v>0</v>
      </c>
    </row>
    <row r="1758" spans="1:11" x14ac:dyDescent="0.3">
      <c r="A1758">
        <v>1757</v>
      </c>
      <c r="B1758">
        <v>91</v>
      </c>
      <c r="C1758">
        <v>5</v>
      </c>
      <c r="D1758">
        <v>1629</v>
      </c>
      <c r="E1758" t="s">
        <v>651</v>
      </c>
      <c r="F1758">
        <v>1.77</v>
      </c>
      <c r="G1758" t="s">
        <v>623</v>
      </c>
      <c r="H1758" s="1">
        <v>46115.671736111108</v>
      </c>
      <c r="I1758" t="s">
        <v>637</v>
      </c>
      <c r="J1758">
        <v>1.77</v>
      </c>
      <c r="K1758">
        <v>0</v>
      </c>
    </row>
    <row r="1759" spans="1:11" x14ac:dyDescent="0.3">
      <c r="A1759">
        <v>1758</v>
      </c>
      <c r="B1759">
        <v>28</v>
      </c>
      <c r="C1759">
        <v>4</v>
      </c>
      <c r="D1759">
        <v>1630</v>
      </c>
      <c r="E1759" t="s">
        <v>651</v>
      </c>
      <c r="F1759">
        <v>3.58</v>
      </c>
      <c r="G1759" t="s">
        <v>623</v>
      </c>
      <c r="H1759" s="1">
        <v>46115.695613425924</v>
      </c>
      <c r="I1759" t="s">
        <v>637</v>
      </c>
      <c r="J1759">
        <v>3.58</v>
      </c>
      <c r="K1759">
        <v>0</v>
      </c>
    </row>
    <row r="1760" spans="1:11" x14ac:dyDescent="0.3">
      <c r="A1760">
        <v>1759</v>
      </c>
      <c r="B1760">
        <v>241</v>
      </c>
      <c r="C1760">
        <v>4</v>
      </c>
      <c r="D1760">
        <v>1631</v>
      </c>
      <c r="E1760" t="s">
        <v>651</v>
      </c>
      <c r="F1760">
        <v>1.71</v>
      </c>
      <c r="G1760" t="s">
        <v>623</v>
      </c>
      <c r="H1760" s="1">
        <v>46115.763344907406</v>
      </c>
      <c r="I1760" t="s">
        <v>637</v>
      </c>
      <c r="J1760">
        <v>1.71</v>
      </c>
      <c r="K1760">
        <v>0</v>
      </c>
    </row>
    <row r="1761" spans="1:11" x14ac:dyDescent="0.3">
      <c r="A1761">
        <v>1760</v>
      </c>
      <c r="B1761">
        <v>250</v>
      </c>
      <c r="C1761">
        <v>5</v>
      </c>
      <c r="D1761">
        <v>1632</v>
      </c>
      <c r="E1761" t="s">
        <v>651</v>
      </c>
      <c r="F1761">
        <v>6.95</v>
      </c>
      <c r="G1761" t="s">
        <v>623</v>
      </c>
      <c r="H1761" s="1">
        <v>46115.779340277775</v>
      </c>
      <c r="I1761" t="s">
        <v>637</v>
      </c>
      <c r="J1761">
        <v>6.95</v>
      </c>
      <c r="K1761">
        <v>0</v>
      </c>
    </row>
    <row r="1762" spans="1:11" x14ac:dyDescent="0.3">
      <c r="A1762">
        <v>1761</v>
      </c>
      <c r="B1762">
        <v>156</v>
      </c>
      <c r="C1762">
        <v>2</v>
      </c>
      <c r="D1762">
        <v>1633</v>
      </c>
      <c r="E1762" t="s">
        <v>657</v>
      </c>
      <c r="F1762">
        <v>41.07</v>
      </c>
      <c r="G1762" t="s">
        <v>623</v>
      </c>
      <c r="H1762" s="1">
        <v>46115.79109953704</v>
      </c>
      <c r="I1762" t="s">
        <v>637</v>
      </c>
      <c r="J1762">
        <v>0</v>
      </c>
      <c r="K1762">
        <v>41.07</v>
      </c>
    </row>
    <row r="1763" spans="1:11" x14ac:dyDescent="0.3">
      <c r="A1763">
        <v>1762</v>
      </c>
      <c r="B1763">
        <v>38</v>
      </c>
      <c r="C1763">
        <v>2</v>
      </c>
      <c r="D1763">
        <v>1634</v>
      </c>
      <c r="E1763" t="s">
        <v>651</v>
      </c>
      <c r="F1763">
        <v>2.7</v>
      </c>
      <c r="G1763" t="s">
        <v>623</v>
      </c>
      <c r="H1763" s="1">
        <v>46116.302337962959</v>
      </c>
      <c r="I1763" t="s">
        <v>637</v>
      </c>
      <c r="J1763">
        <v>2.7</v>
      </c>
      <c r="K1763">
        <v>0</v>
      </c>
    </row>
    <row r="1764" spans="1:11" x14ac:dyDescent="0.3">
      <c r="A1764">
        <v>1763</v>
      </c>
      <c r="B1764">
        <v>262</v>
      </c>
      <c r="C1764">
        <v>5</v>
      </c>
      <c r="D1764">
        <v>1635</v>
      </c>
      <c r="E1764" t="s">
        <v>651</v>
      </c>
      <c r="F1764">
        <v>7.01</v>
      </c>
      <c r="G1764" t="s">
        <v>623</v>
      </c>
      <c r="H1764" s="1">
        <v>46116.327986111108</v>
      </c>
      <c r="I1764" t="s">
        <v>637</v>
      </c>
      <c r="J1764">
        <v>7.01</v>
      </c>
      <c r="K1764">
        <v>0</v>
      </c>
    </row>
    <row r="1765" spans="1:11" x14ac:dyDescent="0.3">
      <c r="A1765">
        <v>1764</v>
      </c>
      <c r="B1765">
        <v>137</v>
      </c>
      <c r="C1765">
        <v>5</v>
      </c>
      <c r="D1765">
        <v>1636</v>
      </c>
      <c r="E1765" t="s">
        <v>651</v>
      </c>
      <c r="F1765">
        <v>4.16</v>
      </c>
      <c r="G1765" t="s">
        <v>623</v>
      </c>
      <c r="H1765" s="1">
        <v>46116.348912037036</v>
      </c>
      <c r="I1765" t="s">
        <v>637</v>
      </c>
      <c r="J1765">
        <v>4.16</v>
      </c>
      <c r="K1765">
        <v>0</v>
      </c>
    </row>
    <row r="1766" spans="1:11" x14ac:dyDescent="0.3">
      <c r="A1766">
        <v>1765</v>
      </c>
      <c r="B1766">
        <v>104</v>
      </c>
      <c r="C1766">
        <v>3</v>
      </c>
      <c r="D1766">
        <v>1637</v>
      </c>
      <c r="E1766" t="s">
        <v>651</v>
      </c>
      <c r="F1766">
        <v>10.59</v>
      </c>
      <c r="G1766" t="s">
        <v>623</v>
      </c>
      <c r="H1766" s="1">
        <v>46116.363981481481</v>
      </c>
      <c r="I1766" t="s">
        <v>637</v>
      </c>
      <c r="J1766">
        <v>10.59</v>
      </c>
      <c r="K1766">
        <v>0</v>
      </c>
    </row>
    <row r="1767" spans="1:11" x14ac:dyDescent="0.3">
      <c r="A1767">
        <v>1766</v>
      </c>
      <c r="B1767">
        <v>21</v>
      </c>
      <c r="C1767">
        <v>3</v>
      </c>
      <c r="D1767">
        <v>1638</v>
      </c>
      <c r="E1767" t="s">
        <v>651</v>
      </c>
      <c r="F1767">
        <v>3.4</v>
      </c>
      <c r="G1767" t="s">
        <v>623</v>
      </c>
      <c r="H1767" s="1">
        <v>46116.376446759263</v>
      </c>
      <c r="I1767" t="s">
        <v>637</v>
      </c>
      <c r="J1767">
        <v>3.4</v>
      </c>
      <c r="K1767">
        <v>0</v>
      </c>
    </row>
    <row r="1768" spans="1:11" x14ac:dyDescent="0.3">
      <c r="A1768">
        <v>1767</v>
      </c>
      <c r="B1768">
        <v>136</v>
      </c>
      <c r="C1768">
        <v>3</v>
      </c>
      <c r="D1768">
        <v>1639</v>
      </c>
      <c r="E1768" t="s">
        <v>651</v>
      </c>
      <c r="F1768">
        <v>17.32</v>
      </c>
      <c r="G1768" t="s">
        <v>623</v>
      </c>
      <c r="H1768" s="1">
        <v>46116.444699074076</v>
      </c>
      <c r="I1768" t="s">
        <v>637</v>
      </c>
      <c r="J1768">
        <v>17.32</v>
      </c>
      <c r="K1768">
        <v>0</v>
      </c>
    </row>
    <row r="1769" spans="1:11" x14ac:dyDescent="0.3">
      <c r="A1769">
        <v>1768</v>
      </c>
      <c r="B1769">
        <v>288</v>
      </c>
      <c r="C1769">
        <v>3</v>
      </c>
      <c r="D1769">
        <v>1640</v>
      </c>
      <c r="E1769" t="s">
        <v>651</v>
      </c>
      <c r="F1769">
        <v>2.97</v>
      </c>
      <c r="G1769" t="s">
        <v>623</v>
      </c>
      <c r="H1769" s="1">
        <v>46116.504155092596</v>
      </c>
      <c r="I1769" t="s">
        <v>637</v>
      </c>
      <c r="J1769">
        <v>2.97</v>
      </c>
      <c r="K1769">
        <v>0</v>
      </c>
    </row>
    <row r="1770" spans="1:11" x14ac:dyDescent="0.3">
      <c r="A1770">
        <v>1769</v>
      </c>
      <c r="B1770">
        <v>108</v>
      </c>
      <c r="C1770">
        <v>2</v>
      </c>
      <c r="D1770">
        <v>1641</v>
      </c>
      <c r="E1770" t="s">
        <v>651</v>
      </c>
      <c r="F1770">
        <v>5.88</v>
      </c>
      <c r="G1770" t="s">
        <v>623</v>
      </c>
      <c r="H1770" s="1">
        <v>46116.524305555555</v>
      </c>
      <c r="I1770" t="s">
        <v>637</v>
      </c>
      <c r="J1770">
        <v>5.88</v>
      </c>
      <c r="K1770">
        <v>0</v>
      </c>
    </row>
    <row r="1771" spans="1:11" x14ac:dyDescent="0.3">
      <c r="A1771">
        <v>1770</v>
      </c>
      <c r="B1771">
        <v>125</v>
      </c>
      <c r="C1771">
        <v>5</v>
      </c>
      <c r="D1771">
        <v>1628</v>
      </c>
      <c r="E1771" t="s">
        <v>649</v>
      </c>
      <c r="F1771">
        <v>-4.7300000000000004</v>
      </c>
      <c r="G1771" t="s">
        <v>725</v>
      </c>
      <c r="H1771" s="1">
        <v>46116.549490740741</v>
      </c>
      <c r="I1771" t="s">
        <v>637</v>
      </c>
      <c r="J1771">
        <v>0</v>
      </c>
      <c r="K1771">
        <v>0</v>
      </c>
    </row>
    <row r="1772" spans="1:11" x14ac:dyDescent="0.3">
      <c r="A1772">
        <v>1771</v>
      </c>
      <c r="B1772">
        <v>117</v>
      </c>
      <c r="C1772">
        <v>3</v>
      </c>
      <c r="D1772">
        <v>1642</v>
      </c>
      <c r="E1772" t="s">
        <v>651</v>
      </c>
      <c r="F1772">
        <v>9.5500000000000007</v>
      </c>
      <c r="G1772" t="s">
        <v>623</v>
      </c>
      <c r="H1772" s="1">
        <v>46116.686331018522</v>
      </c>
      <c r="I1772" t="s">
        <v>637</v>
      </c>
      <c r="J1772">
        <v>9.5500000000000007</v>
      </c>
      <c r="K1772">
        <v>0</v>
      </c>
    </row>
    <row r="1773" spans="1:11" x14ac:dyDescent="0.3">
      <c r="A1773">
        <v>1772</v>
      </c>
      <c r="B1773">
        <v>156</v>
      </c>
      <c r="C1773">
        <v>3</v>
      </c>
      <c r="D1773">
        <v>1643</v>
      </c>
      <c r="E1773" t="s">
        <v>651</v>
      </c>
      <c r="F1773">
        <v>2.58</v>
      </c>
      <c r="G1773" t="s">
        <v>623</v>
      </c>
      <c r="H1773" s="1">
        <v>46116.744270833333</v>
      </c>
      <c r="I1773" t="s">
        <v>637</v>
      </c>
      <c r="J1773">
        <v>2.58</v>
      </c>
      <c r="K1773">
        <v>0</v>
      </c>
    </row>
    <row r="1774" spans="1:11" x14ac:dyDescent="0.3">
      <c r="A1774">
        <v>1773</v>
      </c>
      <c r="B1774">
        <v>34</v>
      </c>
      <c r="C1774">
        <v>2</v>
      </c>
      <c r="D1774">
        <v>1644</v>
      </c>
      <c r="E1774" t="s">
        <v>651</v>
      </c>
      <c r="F1774">
        <v>16.66</v>
      </c>
      <c r="G1774" t="s">
        <v>623</v>
      </c>
      <c r="H1774" s="1">
        <v>46116.779687499999</v>
      </c>
      <c r="I1774" t="s">
        <v>637</v>
      </c>
      <c r="J1774">
        <v>16.66</v>
      </c>
      <c r="K1774">
        <v>0</v>
      </c>
    </row>
    <row r="1775" spans="1:11" x14ac:dyDescent="0.3">
      <c r="A1775">
        <v>1774</v>
      </c>
      <c r="B1775">
        <v>215</v>
      </c>
      <c r="C1775">
        <v>2</v>
      </c>
      <c r="D1775">
        <v>1645</v>
      </c>
      <c r="E1775" t="s">
        <v>651</v>
      </c>
      <c r="F1775">
        <v>4.49</v>
      </c>
      <c r="G1775" t="s">
        <v>623</v>
      </c>
      <c r="H1775" s="1">
        <v>46116.82230324074</v>
      </c>
      <c r="I1775" t="s">
        <v>637</v>
      </c>
      <c r="J1775">
        <v>4.49</v>
      </c>
      <c r="K1775">
        <v>0</v>
      </c>
    </row>
    <row r="1776" spans="1:11" x14ac:dyDescent="0.3">
      <c r="A1776">
        <v>1775</v>
      </c>
      <c r="B1776">
        <v>117</v>
      </c>
      <c r="C1776">
        <v>4</v>
      </c>
      <c r="D1776">
        <v>1646</v>
      </c>
      <c r="E1776" t="s">
        <v>651</v>
      </c>
      <c r="F1776">
        <v>13.93</v>
      </c>
      <c r="G1776" t="s">
        <v>623</v>
      </c>
      <c r="H1776" s="1">
        <v>46117.53324074074</v>
      </c>
      <c r="I1776" t="s">
        <v>637</v>
      </c>
      <c r="J1776">
        <v>13.93</v>
      </c>
      <c r="K1776">
        <v>0</v>
      </c>
    </row>
    <row r="1777" spans="1:11" x14ac:dyDescent="0.3">
      <c r="A1777">
        <v>1776</v>
      </c>
      <c r="B1777">
        <v>227</v>
      </c>
      <c r="C1777">
        <v>2</v>
      </c>
      <c r="D1777">
        <v>1647</v>
      </c>
      <c r="E1777" t="s">
        <v>657</v>
      </c>
      <c r="F1777">
        <v>19.510000000000002</v>
      </c>
      <c r="G1777" t="s">
        <v>623</v>
      </c>
      <c r="H1777" s="1">
        <v>46118.498182870368</v>
      </c>
      <c r="I1777" t="s">
        <v>637</v>
      </c>
      <c r="J1777">
        <v>0</v>
      </c>
      <c r="K1777">
        <v>19.510000000000002</v>
      </c>
    </row>
    <row r="1778" spans="1:11" x14ac:dyDescent="0.3">
      <c r="A1778">
        <v>1777</v>
      </c>
      <c r="B1778">
        <v>250</v>
      </c>
      <c r="C1778">
        <v>5</v>
      </c>
      <c r="D1778">
        <v>1648</v>
      </c>
      <c r="E1778" t="s">
        <v>651</v>
      </c>
      <c r="F1778">
        <v>6.17</v>
      </c>
      <c r="G1778" t="s">
        <v>623</v>
      </c>
      <c r="H1778" s="1">
        <v>46118.605983796297</v>
      </c>
      <c r="I1778" t="s">
        <v>637</v>
      </c>
      <c r="J1778">
        <v>6.17</v>
      </c>
      <c r="K1778">
        <v>0</v>
      </c>
    </row>
    <row r="1779" spans="1:11" x14ac:dyDescent="0.3">
      <c r="A1779">
        <v>1778</v>
      </c>
      <c r="B1779">
        <v>213</v>
      </c>
      <c r="C1779">
        <v>2</v>
      </c>
      <c r="D1779">
        <v>1649</v>
      </c>
      <c r="E1779" t="s">
        <v>651</v>
      </c>
      <c r="F1779">
        <v>8</v>
      </c>
      <c r="G1779" t="s">
        <v>623</v>
      </c>
      <c r="H1779" s="1">
        <v>46118.695462962962</v>
      </c>
      <c r="I1779" t="s">
        <v>637</v>
      </c>
      <c r="J1779">
        <v>8</v>
      </c>
      <c r="K1779">
        <v>0</v>
      </c>
    </row>
    <row r="1780" spans="1:11" x14ac:dyDescent="0.3">
      <c r="A1780">
        <v>1779</v>
      </c>
      <c r="B1780">
        <v>137</v>
      </c>
      <c r="C1780">
        <v>4</v>
      </c>
      <c r="D1780">
        <v>1650</v>
      </c>
      <c r="E1780" t="s">
        <v>651</v>
      </c>
      <c r="F1780">
        <v>2.79</v>
      </c>
      <c r="G1780" t="s">
        <v>623</v>
      </c>
      <c r="H1780" s="1">
        <v>46119.392731481479</v>
      </c>
      <c r="I1780" t="s">
        <v>637</v>
      </c>
      <c r="J1780">
        <v>2.79</v>
      </c>
      <c r="K1780">
        <v>0</v>
      </c>
    </row>
    <row r="1781" spans="1:11" x14ac:dyDescent="0.3">
      <c r="A1781">
        <v>1780</v>
      </c>
      <c r="B1781">
        <v>300</v>
      </c>
      <c r="C1781">
        <v>2</v>
      </c>
      <c r="D1781">
        <v>1651</v>
      </c>
      <c r="E1781" t="s">
        <v>651</v>
      </c>
      <c r="F1781">
        <v>5.9</v>
      </c>
      <c r="G1781" t="s">
        <v>623</v>
      </c>
      <c r="H1781" s="1">
        <v>46119.448958333334</v>
      </c>
      <c r="I1781" t="s">
        <v>637</v>
      </c>
      <c r="J1781">
        <v>5.9</v>
      </c>
      <c r="K1781">
        <v>0</v>
      </c>
    </row>
    <row r="1782" spans="1:11" x14ac:dyDescent="0.3">
      <c r="A1782">
        <v>1781</v>
      </c>
      <c r="B1782">
        <v>156</v>
      </c>
      <c r="C1782">
        <v>5</v>
      </c>
      <c r="D1782">
        <v>1652</v>
      </c>
      <c r="E1782" t="s">
        <v>651</v>
      </c>
      <c r="F1782">
        <v>6.34</v>
      </c>
      <c r="G1782" t="s">
        <v>623</v>
      </c>
      <c r="H1782" s="1">
        <v>46119.449988425928</v>
      </c>
      <c r="I1782" t="s">
        <v>637</v>
      </c>
      <c r="J1782">
        <v>6.34</v>
      </c>
      <c r="K1782">
        <v>0</v>
      </c>
    </row>
    <row r="1783" spans="1:11" x14ac:dyDescent="0.3">
      <c r="A1783">
        <v>1782</v>
      </c>
      <c r="B1783">
        <v>137</v>
      </c>
      <c r="C1783">
        <v>4</v>
      </c>
      <c r="D1783">
        <v>1653</v>
      </c>
      <c r="E1783" t="s">
        <v>651</v>
      </c>
      <c r="F1783">
        <v>3.26</v>
      </c>
      <c r="G1783" t="s">
        <v>623</v>
      </c>
      <c r="H1783" s="1">
        <v>46119.470914351848</v>
      </c>
      <c r="I1783" t="s">
        <v>637</v>
      </c>
      <c r="J1783">
        <v>3.26</v>
      </c>
      <c r="K1783">
        <v>0</v>
      </c>
    </row>
    <row r="1784" spans="1:11" x14ac:dyDescent="0.3">
      <c r="A1784">
        <v>1783</v>
      </c>
      <c r="B1784">
        <v>70</v>
      </c>
      <c r="C1784">
        <v>2</v>
      </c>
      <c r="D1784">
        <v>1654</v>
      </c>
      <c r="E1784" t="s">
        <v>651</v>
      </c>
      <c r="F1784">
        <v>27.12</v>
      </c>
      <c r="G1784" t="s">
        <v>623</v>
      </c>
      <c r="H1784" s="1">
        <v>46119.587094907409</v>
      </c>
      <c r="I1784" t="s">
        <v>637</v>
      </c>
      <c r="J1784">
        <v>27.12</v>
      </c>
      <c r="K1784">
        <v>0</v>
      </c>
    </row>
    <row r="1785" spans="1:11" x14ac:dyDescent="0.3">
      <c r="A1785">
        <v>1784</v>
      </c>
      <c r="B1785">
        <v>282</v>
      </c>
      <c r="C1785">
        <v>2</v>
      </c>
      <c r="D1785">
        <v>1655</v>
      </c>
      <c r="E1785" t="s">
        <v>651</v>
      </c>
      <c r="F1785">
        <v>14.94</v>
      </c>
      <c r="G1785" t="s">
        <v>623</v>
      </c>
      <c r="H1785" s="1">
        <v>46119.617893518516</v>
      </c>
      <c r="I1785" t="s">
        <v>637</v>
      </c>
      <c r="J1785">
        <v>14.94</v>
      </c>
      <c r="K1785">
        <v>0</v>
      </c>
    </row>
    <row r="1786" spans="1:11" x14ac:dyDescent="0.3">
      <c r="A1786">
        <v>1785</v>
      </c>
      <c r="B1786">
        <v>149</v>
      </c>
      <c r="C1786">
        <v>5</v>
      </c>
      <c r="D1786">
        <v>1656</v>
      </c>
      <c r="E1786" t="s">
        <v>651</v>
      </c>
      <c r="F1786">
        <v>1.92</v>
      </c>
      <c r="G1786" t="s">
        <v>623</v>
      </c>
      <c r="H1786" s="1">
        <v>46119.636817129627</v>
      </c>
      <c r="I1786" t="s">
        <v>637</v>
      </c>
      <c r="J1786">
        <v>1.92</v>
      </c>
      <c r="K1786">
        <v>0</v>
      </c>
    </row>
    <row r="1787" spans="1:11" x14ac:dyDescent="0.3">
      <c r="A1787">
        <v>1786</v>
      </c>
      <c r="B1787">
        <v>110</v>
      </c>
      <c r="C1787">
        <v>3</v>
      </c>
      <c r="D1787">
        <v>1657</v>
      </c>
      <c r="E1787" t="s">
        <v>651</v>
      </c>
      <c r="F1787">
        <v>5.4</v>
      </c>
      <c r="G1787" t="s">
        <v>623</v>
      </c>
      <c r="H1787" s="1">
        <v>46119.808379629627</v>
      </c>
      <c r="I1787" t="s">
        <v>637</v>
      </c>
      <c r="J1787">
        <v>5.4</v>
      </c>
      <c r="K1787">
        <v>0</v>
      </c>
    </row>
    <row r="1788" spans="1:11" x14ac:dyDescent="0.3">
      <c r="A1788">
        <v>1787</v>
      </c>
      <c r="B1788">
        <v>32</v>
      </c>
      <c r="C1788">
        <v>3</v>
      </c>
      <c r="D1788">
        <v>1658</v>
      </c>
      <c r="E1788" t="s">
        <v>651</v>
      </c>
      <c r="F1788">
        <v>1.55</v>
      </c>
      <c r="G1788" t="s">
        <v>623</v>
      </c>
      <c r="H1788" s="1">
        <v>46119.827048611114</v>
      </c>
      <c r="I1788" t="s">
        <v>637</v>
      </c>
      <c r="J1788">
        <v>1.55</v>
      </c>
      <c r="K1788">
        <v>0</v>
      </c>
    </row>
    <row r="1789" spans="1:11" x14ac:dyDescent="0.3">
      <c r="A1789">
        <v>1788</v>
      </c>
      <c r="B1789">
        <v>250</v>
      </c>
      <c r="C1789">
        <v>2</v>
      </c>
      <c r="D1789">
        <v>1659</v>
      </c>
      <c r="E1789" t="s">
        <v>651</v>
      </c>
      <c r="F1789">
        <v>19.75</v>
      </c>
      <c r="G1789" t="s">
        <v>623</v>
      </c>
      <c r="H1789" s="1">
        <v>46120.414444444446</v>
      </c>
      <c r="I1789" t="s">
        <v>637</v>
      </c>
      <c r="J1789">
        <v>19.75</v>
      </c>
      <c r="K1789">
        <v>0</v>
      </c>
    </row>
    <row r="1790" spans="1:11" x14ac:dyDescent="0.3">
      <c r="A1790">
        <v>1789</v>
      </c>
      <c r="B1790">
        <v>132</v>
      </c>
      <c r="C1790">
        <v>4</v>
      </c>
      <c r="D1790">
        <v>1660</v>
      </c>
      <c r="E1790" t="s">
        <v>651</v>
      </c>
      <c r="F1790">
        <v>22.85</v>
      </c>
      <c r="G1790" t="s">
        <v>623</v>
      </c>
      <c r="H1790" s="1">
        <v>46120.425798611112</v>
      </c>
      <c r="I1790" t="s">
        <v>637</v>
      </c>
      <c r="J1790">
        <v>22.85</v>
      </c>
      <c r="K1790">
        <v>0</v>
      </c>
    </row>
    <row r="1791" spans="1:11" x14ac:dyDescent="0.3">
      <c r="A1791">
        <v>1790</v>
      </c>
      <c r="B1791">
        <v>156</v>
      </c>
      <c r="C1791">
        <v>4</v>
      </c>
      <c r="D1791">
        <v>1661</v>
      </c>
      <c r="E1791" t="s">
        <v>651</v>
      </c>
      <c r="F1791">
        <v>3.86</v>
      </c>
      <c r="G1791" t="s">
        <v>623</v>
      </c>
      <c r="H1791" s="1">
        <v>46120.563587962963</v>
      </c>
      <c r="I1791" t="s">
        <v>637</v>
      </c>
      <c r="J1791">
        <v>3.86</v>
      </c>
      <c r="K1791">
        <v>0</v>
      </c>
    </row>
    <row r="1792" spans="1:11" x14ac:dyDescent="0.3">
      <c r="A1792">
        <v>1791</v>
      </c>
      <c r="B1792">
        <v>250</v>
      </c>
      <c r="C1792">
        <v>2</v>
      </c>
      <c r="D1792">
        <v>1662</v>
      </c>
      <c r="E1792" t="s">
        <v>651</v>
      </c>
      <c r="F1792">
        <v>10.01</v>
      </c>
      <c r="G1792" t="s">
        <v>623</v>
      </c>
      <c r="H1792" s="1">
        <v>46120.6015162037</v>
      </c>
      <c r="I1792" t="s">
        <v>637</v>
      </c>
      <c r="J1792">
        <v>10.01</v>
      </c>
      <c r="K1792">
        <v>0</v>
      </c>
    </row>
    <row r="1793" spans="1:11" x14ac:dyDescent="0.3">
      <c r="A1793">
        <v>1792</v>
      </c>
      <c r="B1793">
        <v>137</v>
      </c>
      <c r="C1793">
        <v>4</v>
      </c>
      <c r="D1793">
        <v>1663</v>
      </c>
      <c r="E1793" t="s">
        <v>651</v>
      </c>
      <c r="F1793">
        <v>1.57</v>
      </c>
      <c r="G1793" t="s">
        <v>623</v>
      </c>
      <c r="H1793" s="1">
        <v>46120.6718287037</v>
      </c>
      <c r="I1793" t="s">
        <v>637</v>
      </c>
      <c r="J1793">
        <v>1.57</v>
      </c>
      <c r="K1793">
        <v>0</v>
      </c>
    </row>
    <row r="1794" spans="1:11" x14ac:dyDescent="0.3">
      <c r="A1794">
        <v>1793</v>
      </c>
      <c r="B1794">
        <v>58</v>
      </c>
      <c r="C1794">
        <v>2</v>
      </c>
      <c r="D1794">
        <v>1664</v>
      </c>
      <c r="E1794" t="s">
        <v>651</v>
      </c>
      <c r="F1794">
        <v>15.84</v>
      </c>
      <c r="G1794" t="s">
        <v>623</v>
      </c>
      <c r="H1794" s="1">
        <v>46120.77065972222</v>
      </c>
      <c r="I1794" t="s">
        <v>637</v>
      </c>
      <c r="J1794">
        <v>15.84</v>
      </c>
      <c r="K1794">
        <v>0</v>
      </c>
    </row>
    <row r="1795" spans="1:11" x14ac:dyDescent="0.3">
      <c r="A1795">
        <v>1794</v>
      </c>
      <c r="B1795">
        <v>245</v>
      </c>
      <c r="C1795">
        <v>5</v>
      </c>
      <c r="D1795">
        <v>1665</v>
      </c>
      <c r="E1795" t="s">
        <v>651</v>
      </c>
      <c r="F1795">
        <v>3.48</v>
      </c>
      <c r="G1795" t="s">
        <v>623</v>
      </c>
      <c r="H1795" s="1">
        <v>46121.365879629629</v>
      </c>
      <c r="I1795" t="s">
        <v>637</v>
      </c>
      <c r="J1795">
        <v>3.48</v>
      </c>
      <c r="K1795">
        <v>0</v>
      </c>
    </row>
    <row r="1796" spans="1:11" x14ac:dyDescent="0.3">
      <c r="A1796">
        <v>1795</v>
      </c>
      <c r="B1796">
        <v>279</v>
      </c>
      <c r="C1796">
        <v>2</v>
      </c>
      <c r="D1796">
        <v>1666</v>
      </c>
      <c r="E1796" t="s">
        <v>651</v>
      </c>
      <c r="F1796">
        <v>21.87</v>
      </c>
      <c r="G1796" t="s">
        <v>623</v>
      </c>
      <c r="H1796" s="1">
        <v>46121.371180555558</v>
      </c>
      <c r="I1796" t="s">
        <v>637</v>
      </c>
      <c r="J1796">
        <v>21.87</v>
      </c>
      <c r="K1796">
        <v>0</v>
      </c>
    </row>
    <row r="1797" spans="1:11" x14ac:dyDescent="0.3">
      <c r="A1797">
        <v>1796</v>
      </c>
      <c r="B1797">
        <v>154</v>
      </c>
      <c r="C1797">
        <v>4</v>
      </c>
      <c r="D1797">
        <v>1667</v>
      </c>
      <c r="E1797" t="s">
        <v>651</v>
      </c>
      <c r="F1797">
        <v>2.21</v>
      </c>
      <c r="G1797" t="s">
        <v>623</v>
      </c>
      <c r="H1797" s="1">
        <v>46121.393680555557</v>
      </c>
      <c r="I1797" t="s">
        <v>637</v>
      </c>
      <c r="J1797">
        <v>2.21</v>
      </c>
      <c r="K1797">
        <v>0</v>
      </c>
    </row>
    <row r="1798" spans="1:11" x14ac:dyDescent="0.3">
      <c r="A1798">
        <v>1797</v>
      </c>
      <c r="B1798">
        <v>70</v>
      </c>
      <c r="C1798">
        <v>3</v>
      </c>
      <c r="D1798">
        <v>1668</v>
      </c>
      <c r="E1798" t="s">
        <v>651</v>
      </c>
      <c r="F1798">
        <v>12.07</v>
      </c>
      <c r="G1798" t="s">
        <v>623</v>
      </c>
      <c r="H1798" s="1">
        <v>46121.398599537039</v>
      </c>
      <c r="I1798" t="s">
        <v>637</v>
      </c>
      <c r="J1798">
        <v>12.07</v>
      </c>
      <c r="K1798">
        <v>0</v>
      </c>
    </row>
    <row r="1799" spans="1:11" x14ac:dyDescent="0.3">
      <c r="A1799">
        <v>1798</v>
      </c>
      <c r="B1799">
        <v>156</v>
      </c>
      <c r="C1799">
        <v>2</v>
      </c>
      <c r="D1799">
        <v>1669</v>
      </c>
      <c r="E1799" t="s">
        <v>651</v>
      </c>
      <c r="F1799">
        <v>3.39</v>
      </c>
      <c r="G1799" t="s">
        <v>623</v>
      </c>
      <c r="H1799" s="1">
        <v>46121.46607638889</v>
      </c>
      <c r="I1799" t="s">
        <v>637</v>
      </c>
      <c r="J1799">
        <v>3.39</v>
      </c>
      <c r="K1799">
        <v>0</v>
      </c>
    </row>
    <row r="1800" spans="1:11" x14ac:dyDescent="0.3">
      <c r="A1800">
        <v>1799</v>
      </c>
      <c r="B1800">
        <v>250</v>
      </c>
      <c r="C1800">
        <v>2</v>
      </c>
      <c r="D1800">
        <v>1670</v>
      </c>
      <c r="E1800" t="s">
        <v>651</v>
      </c>
      <c r="F1800">
        <v>10.79</v>
      </c>
      <c r="G1800" t="s">
        <v>623</v>
      </c>
      <c r="H1800" s="1">
        <v>46121.574699074074</v>
      </c>
      <c r="I1800" t="s">
        <v>637</v>
      </c>
      <c r="J1800">
        <v>10.79</v>
      </c>
      <c r="K1800">
        <v>0</v>
      </c>
    </row>
    <row r="1801" spans="1:11" x14ac:dyDescent="0.3">
      <c r="A1801">
        <v>1800</v>
      </c>
      <c r="B1801">
        <v>47</v>
      </c>
      <c r="C1801">
        <v>5</v>
      </c>
      <c r="D1801">
        <v>1671</v>
      </c>
      <c r="E1801" t="s">
        <v>651</v>
      </c>
      <c r="F1801">
        <v>2.2200000000000002</v>
      </c>
      <c r="G1801" t="s">
        <v>623</v>
      </c>
      <c r="H1801" s="1">
        <v>46121.62295138889</v>
      </c>
      <c r="I1801" t="s">
        <v>637</v>
      </c>
      <c r="J1801">
        <v>2.2200000000000002</v>
      </c>
      <c r="K1801">
        <v>0</v>
      </c>
    </row>
    <row r="1802" spans="1:11" x14ac:dyDescent="0.3">
      <c r="A1802">
        <v>1801</v>
      </c>
      <c r="B1802">
        <v>265</v>
      </c>
      <c r="C1802">
        <v>3</v>
      </c>
      <c r="D1802">
        <v>1672</v>
      </c>
      <c r="E1802" t="s">
        <v>651</v>
      </c>
      <c r="F1802">
        <v>11.65</v>
      </c>
      <c r="G1802" t="s">
        <v>623</v>
      </c>
      <c r="H1802" s="1">
        <v>46121.704340277778</v>
      </c>
      <c r="I1802" t="s">
        <v>637</v>
      </c>
      <c r="J1802">
        <v>11.65</v>
      </c>
      <c r="K1802">
        <v>0</v>
      </c>
    </row>
    <row r="1803" spans="1:11" x14ac:dyDescent="0.3">
      <c r="A1803">
        <v>1802</v>
      </c>
      <c r="B1803">
        <v>262</v>
      </c>
      <c r="C1803">
        <v>4</v>
      </c>
      <c r="D1803">
        <v>1673</v>
      </c>
      <c r="E1803" t="s">
        <v>657</v>
      </c>
      <c r="F1803">
        <v>138.63999999999999</v>
      </c>
      <c r="G1803" t="s">
        <v>623</v>
      </c>
      <c r="H1803" s="1">
        <v>46121.731585648151</v>
      </c>
      <c r="I1803" t="s">
        <v>637</v>
      </c>
      <c r="J1803">
        <v>0</v>
      </c>
      <c r="K1803">
        <v>138.63999999999999</v>
      </c>
    </row>
    <row r="1804" spans="1:11" x14ac:dyDescent="0.3">
      <c r="A1804">
        <v>1803</v>
      </c>
      <c r="B1804">
        <v>250</v>
      </c>
      <c r="C1804">
        <v>2</v>
      </c>
      <c r="D1804">
        <v>1674</v>
      </c>
      <c r="E1804" t="s">
        <v>651</v>
      </c>
      <c r="F1804">
        <v>6.19</v>
      </c>
      <c r="G1804" t="s">
        <v>623</v>
      </c>
      <c r="H1804" s="1">
        <v>46122.327997685185</v>
      </c>
      <c r="I1804" t="s">
        <v>637</v>
      </c>
      <c r="J1804">
        <v>6.19</v>
      </c>
      <c r="K1804">
        <v>0</v>
      </c>
    </row>
    <row r="1805" spans="1:11" x14ac:dyDescent="0.3">
      <c r="A1805">
        <v>1804</v>
      </c>
      <c r="B1805">
        <v>176</v>
      </c>
      <c r="C1805">
        <v>5</v>
      </c>
      <c r="D1805">
        <v>1675</v>
      </c>
      <c r="E1805" t="s">
        <v>651</v>
      </c>
      <c r="F1805">
        <v>17.05</v>
      </c>
      <c r="G1805" t="s">
        <v>623</v>
      </c>
      <c r="H1805" s="1">
        <v>46122.333749999998</v>
      </c>
      <c r="I1805" t="s">
        <v>637</v>
      </c>
      <c r="J1805">
        <v>17.05</v>
      </c>
      <c r="K1805">
        <v>0</v>
      </c>
    </row>
    <row r="1806" spans="1:11" x14ac:dyDescent="0.3">
      <c r="A1806">
        <v>1805</v>
      </c>
      <c r="B1806">
        <v>250</v>
      </c>
      <c r="C1806">
        <v>3</v>
      </c>
      <c r="D1806">
        <v>1676</v>
      </c>
      <c r="E1806" t="s">
        <v>651</v>
      </c>
      <c r="F1806">
        <v>10.7</v>
      </c>
      <c r="G1806" t="s">
        <v>623</v>
      </c>
      <c r="H1806" s="1">
        <v>46122.618287037039</v>
      </c>
      <c r="I1806" t="s">
        <v>637</v>
      </c>
      <c r="J1806">
        <v>10.7</v>
      </c>
      <c r="K1806">
        <v>0</v>
      </c>
    </row>
    <row r="1807" spans="1:11" x14ac:dyDescent="0.3">
      <c r="A1807">
        <v>1806</v>
      </c>
      <c r="B1807">
        <v>178</v>
      </c>
      <c r="C1807">
        <v>3</v>
      </c>
      <c r="D1807">
        <v>1677</v>
      </c>
      <c r="E1807" t="s">
        <v>651</v>
      </c>
      <c r="F1807">
        <v>9.5299999999999994</v>
      </c>
      <c r="G1807" t="s">
        <v>623</v>
      </c>
      <c r="H1807" s="1">
        <v>46123.295717592591</v>
      </c>
      <c r="I1807" t="s">
        <v>637</v>
      </c>
      <c r="J1807">
        <v>9.5299999999999994</v>
      </c>
      <c r="K1807">
        <v>0</v>
      </c>
    </row>
    <row r="1808" spans="1:11" x14ac:dyDescent="0.3">
      <c r="A1808">
        <v>1807</v>
      </c>
      <c r="B1808">
        <v>39</v>
      </c>
      <c r="C1808">
        <v>3</v>
      </c>
      <c r="D1808">
        <v>1678</v>
      </c>
      <c r="E1808" t="s">
        <v>651</v>
      </c>
      <c r="F1808">
        <v>20.67</v>
      </c>
      <c r="G1808" t="s">
        <v>623</v>
      </c>
      <c r="H1808" s="1">
        <v>46123.305914351855</v>
      </c>
      <c r="I1808" t="s">
        <v>637</v>
      </c>
      <c r="J1808">
        <v>20.67</v>
      </c>
      <c r="K1808">
        <v>0</v>
      </c>
    </row>
    <row r="1809" spans="1:11" x14ac:dyDescent="0.3">
      <c r="A1809">
        <v>1808</v>
      </c>
      <c r="B1809">
        <v>250</v>
      </c>
      <c r="C1809">
        <v>4</v>
      </c>
      <c r="D1809">
        <v>1679</v>
      </c>
      <c r="E1809" t="s">
        <v>651</v>
      </c>
      <c r="F1809">
        <v>9.81</v>
      </c>
      <c r="G1809" t="s">
        <v>623</v>
      </c>
      <c r="H1809" s="1">
        <v>46123.307291666664</v>
      </c>
      <c r="I1809" t="s">
        <v>637</v>
      </c>
      <c r="J1809">
        <v>9.81</v>
      </c>
      <c r="K1809">
        <v>0</v>
      </c>
    </row>
    <row r="1810" spans="1:11" x14ac:dyDescent="0.3">
      <c r="A1810">
        <v>1809</v>
      </c>
      <c r="B1810">
        <v>39</v>
      </c>
      <c r="C1810">
        <v>4</v>
      </c>
      <c r="D1810">
        <v>1680</v>
      </c>
      <c r="E1810" t="s">
        <v>651</v>
      </c>
      <c r="F1810">
        <v>25.55</v>
      </c>
      <c r="G1810" t="s">
        <v>623</v>
      </c>
      <c r="H1810" s="1">
        <v>46123.347256944442</v>
      </c>
      <c r="I1810" t="s">
        <v>637</v>
      </c>
      <c r="J1810">
        <v>25.55</v>
      </c>
      <c r="K1810">
        <v>0</v>
      </c>
    </row>
    <row r="1811" spans="1:11" x14ac:dyDescent="0.3">
      <c r="A1811">
        <v>1810</v>
      </c>
      <c r="B1811">
        <v>70</v>
      </c>
      <c r="C1811">
        <v>2</v>
      </c>
      <c r="D1811">
        <v>1681</v>
      </c>
      <c r="E1811" t="s">
        <v>651</v>
      </c>
      <c r="F1811">
        <v>13.53</v>
      </c>
      <c r="G1811" t="s">
        <v>623</v>
      </c>
      <c r="H1811" s="1">
        <v>46123.359652777777</v>
      </c>
      <c r="I1811" t="s">
        <v>637</v>
      </c>
      <c r="J1811">
        <v>13.53</v>
      </c>
      <c r="K1811">
        <v>0</v>
      </c>
    </row>
    <row r="1812" spans="1:11" x14ac:dyDescent="0.3">
      <c r="A1812">
        <v>1811</v>
      </c>
      <c r="B1812">
        <v>262</v>
      </c>
      <c r="C1812">
        <v>2</v>
      </c>
      <c r="D1812">
        <v>1682</v>
      </c>
      <c r="E1812" t="s">
        <v>651</v>
      </c>
      <c r="F1812">
        <v>10.95</v>
      </c>
      <c r="G1812" t="s">
        <v>623</v>
      </c>
      <c r="H1812" s="1">
        <v>46123.510694444441</v>
      </c>
      <c r="I1812" t="s">
        <v>637</v>
      </c>
      <c r="J1812">
        <v>10.95</v>
      </c>
      <c r="K1812">
        <v>0</v>
      </c>
    </row>
    <row r="1813" spans="1:11" x14ac:dyDescent="0.3">
      <c r="A1813">
        <v>1812</v>
      </c>
      <c r="B1813">
        <v>87</v>
      </c>
      <c r="C1813">
        <v>2</v>
      </c>
      <c r="D1813">
        <v>1683</v>
      </c>
      <c r="E1813" t="s">
        <v>651</v>
      </c>
      <c r="F1813">
        <v>8.52</v>
      </c>
      <c r="G1813" t="s">
        <v>623</v>
      </c>
      <c r="H1813" s="1">
        <v>46123.599212962959</v>
      </c>
      <c r="I1813" t="s">
        <v>637</v>
      </c>
      <c r="J1813">
        <v>8.52</v>
      </c>
      <c r="K1813">
        <v>0</v>
      </c>
    </row>
    <row r="1814" spans="1:11" x14ac:dyDescent="0.3">
      <c r="A1814">
        <v>1813</v>
      </c>
      <c r="B1814">
        <v>149</v>
      </c>
      <c r="C1814">
        <v>2</v>
      </c>
      <c r="D1814">
        <v>1684</v>
      </c>
      <c r="E1814" t="s">
        <v>657</v>
      </c>
      <c r="F1814">
        <v>35.19</v>
      </c>
      <c r="G1814" t="s">
        <v>623</v>
      </c>
      <c r="H1814" s="1">
        <v>46123.744953703703</v>
      </c>
      <c r="I1814" t="s">
        <v>637</v>
      </c>
      <c r="J1814">
        <v>0</v>
      </c>
      <c r="K1814">
        <v>35.19</v>
      </c>
    </row>
    <row r="1815" spans="1:11" x14ac:dyDescent="0.3">
      <c r="A1815">
        <v>1814</v>
      </c>
      <c r="B1815">
        <v>250</v>
      </c>
      <c r="C1815">
        <v>3</v>
      </c>
      <c r="D1815">
        <v>1685</v>
      </c>
      <c r="E1815" t="s">
        <v>651</v>
      </c>
      <c r="F1815">
        <v>11.2</v>
      </c>
      <c r="G1815" t="s">
        <v>623</v>
      </c>
      <c r="H1815" s="1">
        <v>46123.755300925928</v>
      </c>
      <c r="I1815" t="s">
        <v>637</v>
      </c>
      <c r="J1815">
        <v>11.2</v>
      </c>
      <c r="K1815">
        <v>0</v>
      </c>
    </row>
    <row r="1816" spans="1:11" x14ac:dyDescent="0.3">
      <c r="A1816">
        <v>1815</v>
      </c>
      <c r="B1816">
        <v>16</v>
      </c>
      <c r="C1816">
        <v>2</v>
      </c>
      <c r="D1816">
        <v>1686</v>
      </c>
      <c r="E1816" t="s">
        <v>657</v>
      </c>
      <c r="F1816">
        <v>95</v>
      </c>
      <c r="G1816" t="s">
        <v>623</v>
      </c>
      <c r="H1816" s="1">
        <v>46124.48746527778</v>
      </c>
      <c r="I1816" t="s">
        <v>637</v>
      </c>
      <c r="J1816">
        <v>0</v>
      </c>
      <c r="K1816">
        <v>95</v>
      </c>
    </row>
    <row r="1817" spans="1:11" x14ac:dyDescent="0.3">
      <c r="A1817">
        <v>1816</v>
      </c>
      <c r="B1817">
        <v>154</v>
      </c>
      <c r="C1817">
        <v>2</v>
      </c>
      <c r="D1817">
        <v>1687</v>
      </c>
      <c r="E1817" t="s">
        <v>651</v>
      </c>
      <c r="F1817">
        <v>4.03</v>
      </c>
      <c r="G1817" t="s">
        <v>623</v>
      </c>
      <c r="H1817" s="1">
        <v>46124.594560185185</v>
      </c>
      <c r="I1817" t="s">
        <v>637</v>
      </c>
      <c r="J1817">
        <v>4.03</v>
      </c>
      <c r="K1817">
        <v>0</v>
      </c>
    </row>
    <row r="1818" spans="1:11" x14ac:dyDescent="0.3">
      <c r="A1818">
        <v>1817</v>
      </c>
      <c r="B1818">
        <v>156</v>
      </c>
      <c r="C1818">
        <v>5</v>
      </c>
      <c r="D1818">
        <v>1688</v>
      </c>
      <c r="E1818" t="s">
        <v>651</v>
      </c>
      <c r="F1818">
        <v>5.75</v>
      </c>
      <c r="G1818" t="s">
        <v>623</v>
      </c>
      <c r="H1818" s="1">
        <v>46124.802499999998</v>
      </c>
      <c r="I1818" t="s">
        <v>637</v>
      </c>
      <c r="J1818">
        <v>5.75</v>
      </c>
      <c r="K1818">
        <v>0</v>
      </c>
    </row>
    <row r="1819" spans="1:11" x14ac:dyDescent="0.3">
      <c r="A1819">
        <v>1818</v>
      </c>
      <c r="B1819">
        <v>150</v>
      </c>
      <c r="C1819">
        <v>3</v>
      </c>
      <c r="D1819">
        <v>1689</v>
      </c>
      <c r="E1819" t="s">
        <v>651</v>
      </c>
      <c r="F1819">
        <v>7.49</v>
      </c>
      <c r="G1819" t="s">
        <v>623</v>
      </c>
      <c r="H1819" s="1">
        <v>46125.339236111111</v>
      </c>
      <c r="I1819" t="s">
        <v>637</v>
      </c>
      <c r="J1819">
        <v>7.49</v>
      </c>
      <c r="K1819">
        <v>0</v>
      </c>
    </row>
    <row r="1820" spans="1:11" x14ac:dyDescent="0.3">
      <c r="A1820">
        <v>1819</v>
      </c>
      <c r="B1820">
        <v>196</v>
      </c>
      <c r="C1820">
        <v>3</v>
      </c>
      <c r="D1820">
        <v>1690</v>
      </c>
      <c r="E1820" t="s">
        <v>651</v>
      </c>
      <c r="F1820">
        <v>2.33</v>
      </c>
      <c r="G1820" t="s">
        <v>623</v>
      </c>
      <c r="H1820" s="1">
        <v>46125.355706018519</v>
      </c>
      <c r="I1820" t="s">
        <v>637</v>
      </c>
      <c r="J1820">
        <v>2.33</v>
      </c>
      <c r="K1820">
        <v>0</v>
      </c>
    </row>
    <row r="1821" spans="1:11" x14ac:dyDescent="0.3">
      <c r="A1821">
        <v>1820</v>
      </c>
      <c r="B1821">
        <v>160</v>
      </c>
      <c r="C1821">
        <v>5</v>
      </c>
      <c r="D1821">
        <v>1691</v>
      </c>
      <c r="E1821" t="s">
        <v>651</v>
      </c>
      <c r="F1821">
        <v>3.92</v>
      </c>
      <c r="G1821" t="s">
        <v>623</v>
      </c>
      <c r="H1821" s="1">
        <v>46125.384710648148</v>
      </c>
      <c r="I1821" t="s">
        <v>637</v>
      </c>
      <c r="J1821">
        <v>3.92</v>
      </c>
      <c r="K1821">
        <v>0</v>
      </c>
    </row>
    <row r="1822" spans="1:11" x14ac:dyDescent="0.3">
      <c r="A1822">
        <v>1821</v>
      </c>
      <c r="B1822">
        <v>136</v>
      </c>
      <c r="C1822">
        <v>5</v>
      </c>
      <c r="D1822">
        <v>1692</v>
      </c>
      <c r="E1822" t="s">
        <v>651</v>
      </c>
      <c r="F1822">
        <v>6.2</v>
      </c>
      <c r="G1822" t="s">
        <v>623</v>
      </c>
      <c r="H1822" s="1">
        <v>46125.403877314813</v>
      </c>
      <c r="I1822" t="s">
        <v>637</v>
      </c>
      <c r="J1822">
        <v>6.2</v>
      </c>
      <c r="K1822">
        <v>0</v>
      </c>
    </row>
    <row r="1823" spans="1:11" x14ac:dyDescent="0.3">
      <c r="A1823">
        <v>1822</v>
      </c>
      <c r="B1823">
        <v>297</v>
      </c>
      <c r="C1823">
        <v>3</v>
      </c>
      <c r="D1823">
        <v>1693</v>
      </c>
      <c r="E1823" t="s">
        <v>651</v>
      </c>
      <c r="F1823">
        <v>9.7100000000000009</v>
      </c>
      <c r="G1823" t="s">
        <v>623</v>
      </c>
      <c r="H1823" s="1">
        <v>46125.426238425927</v>
      </c>
      <c r="I1823" t="s">
        <v>637</v>
      </c>
      <c r="J1823">
        <v>9.7100000000000009</v>
      </c>
      <c r="K1823">
        <v>0</v>
      </c>
    </row>
    <row r="1824" spans="1:11" x14ac:dyDescent="0.3">
      <c r="A1824">
        <v>1823</v>
      </c>
      <c r="B1824">
        <v>163</v>
      </c>
      <c r="C1824">
        <v>4</v>
      </c>
      <c r="D1824">
        <v>1694</v>
      </c>
      <c r="E1824" t="s">
        <v>651</v>
      </c>
      <c r="F1824">
        <v>1.57</v>
      </c>
      <c r="G1824" t="s">
        <v>623</v>
      </c>
      <c r="H1824" s="1">
        <v>46125.472638888888</v>
      </c>
      <c r="I1824" t="s">
        <v>637</v>
      </c>
      <c r="J1824">
        <v>1.57</v>
      </c>
      <c r="K1824">
        <v>0</v>
      </c>
    </row>
    <row r="1825" spans="1:11" x14ac:dyDescent="0.3">
      <c r="A1825">
        <v>1824</v>
      </c>
      <c r="B1825">
        <v>43</v>
      </c>
      <c r="C1825">
        <v>5</v>
      </c>
      <c r="D1825">
        <v>1695</v>
      </c>
      <c r="E1825" t="s">
        <v>651</v>
      </c>
      <c r="F1825">
        <v>8.4499999999999993</v>
      </c>
      <c r="G1825" t="s">
        <v>623</v>
      </c>
      <c r="H1825" s="1">
        <v>46125.538078703707</v>
      </c>
      <c r="I1825" t="s">
        <v>637</v>
      </c>
      <c r="J1825">
        <v>8.4499999999999993</v>
      </c>
      <c r="K1825">
        <v>0</v>
      </c>
    </row>
    <row r="1826" spans="1:11" x14ac:dyDescent="0.3">
      <c r="A1826">
        <v>1825</v>
      </c>
      <c r="B1826">
        <v>221</v>
      </c>
      <c r="C1826">
        <v>3</v>
      </c>
      <c r="D1826">
        <v>1696</v>
      </c>
      <c r="E1826" t="s">
        <v>651</v>
      </c>
      <c r="F1826">
        <v>13.94</v>
      </c>
      <c r="G1826" t="s">
        <v>623</v>
      </c>
      <c r="H1826" s="1">
        <v>46125.614085648151</v>
      </c>
      <c r="I1826" t="s">
        <v>637</v>
      </c>
      <c r="J1826">
        <v>13.94</v>
      </c>
      <c r="K1826">
        <v>0</v>
      </c>
    </row>
    <row r="1827" spans="1:11" x14ac:dyDescent="0.3">
      <c r="A1827">
        <v>1826</v>
      </c>
      <c r="B1827">
        <v>235</v>
      </c>
      <c r="C1827">
        <v>3</v>
      </c>
      <c r="D1827">
        <v>1697</v>
      </c>
      <c r="E1827" t="s">
        <v>657</v>
      </c>
      <c r="F1827">
        <v>22.76</v>
      </c>
      <c r="G1827" t="s">
        <v>623</v>
      </c>
      <c r="H1827" s="1">
        <v>46125.648206018515</v>
      </c>
      <c r="I1827" t="s">
        <v>637</v>
      </c>
      <c r="J1827">
        <v>0</v>
      </c>
      <c r="K1827">
        <v>22.76</v>
      </c>
    </row>
    <row r="1828" spans="1:11" x14ac:dyDescent="0.3">
      <c r="A1828">
        <v>1827</v>
      </c>
      <c r="B1828">
        <v>39</v>
      </c>
      <c r="C1828">
        <v>5</v>
      </c>
      <c r="D1828">
        <v>1698</v>
      </c>
      <c r="E1828" t="s">
        <v>651</v>
      </c>
      <c r="F1828">
        <v>16.309999999999999</v>
      </c>
      <c r="G1828" t="s">
        <v>623</v>
      </c>
      <c r="H1828" s="1">
        <v>46125.695138888892</v>
      </c>
      <c r="I1828" t="s">
        <v>637</v>
      </c>
      <c r="J1828">
        <v>16.309999999999999</v>
      </c>
      <c r="K1828">
        <v>0</v>
      </c>
    </row>
    <row r="1829" spans="1:11" x14ac:dyDescent="0.3">
      <c r="A1829">
        <v>1828</v>
      </c>
      <c r="B1829">
        <v>229</v>
      </c>
      <c r="C1829">
        <v>4</v>
      </c>
      <c r="D1829">
        <v>1699</v>
      </c>
      <c r="E1829" t="s">
        <v>651</v>
      </c>
      <c r="F1829">
        <v>11.67</v>
      </c>
      <c r="G1829" t="s">
        <v>623</v>
      </c>
      <c r="H1829" s="1">
        <v>46125.71671296296</v>
      </c>
      <c r="I1829" t="s">
        <v>637</v>
      </c>
      <c r="J1829">
        <v>11.67</v>
      </c>
      <c r="K1829">
        <v>0</v>
      </c>
    </row>
    <row r="1830" spans="1:11" x14ac:dyDescent="0.3">
      <c r="A1830">
        <v>1829</v>
      </c>
      <c r="B1830">
        <v>210</v>
      </c>
      <c r="C1830">
        <v>5</v>
      </c>
      <c r="D1830">
        <v>1700</v>
      </c>
      <c r="E1830" t="s">
        <v>651</v>
      </c>
      <c r="F1830">
        <v>3.15</v>
      </c>
      <c r="G1830" t="s">
        <v>623</v>
      </c>
      <c r="H1830" s="1">
        <v>46126.324143518519</v>
      </c>
      <c r="I1830" t="s">
        <v>637</v>
      </c>
      <c r="J1830">
        <v>3.15</v>
      </c>
      <c r="K1830">
        <v>0</v>
      </c>
    </row>
    <row r="1831" spans="1:11" x14ac:dyDescent="0.3">
      <c r="A1831">
        <v>1830</v>
      </c>
      <c r="B1831">
        <v>48</v>
      </c>
      <c r="C1831">
        <v>2</v>
      </c>
      <c r="D1831">
        <v>1701</v>
      </c>
      <c r="E1831" t="s">
        <v>651</v>
      </c>
      <c r="F1831">
        <v>9.77</v>
      </c>
      <c r="G1831" t="s">
        <v>623</v>
      </c>
      <c r="H1831" s="1">
        <v>46126.354594907411</v>
      </c>
      <c r="I1831" t="s">
        <v>637</v>
      </c>
      <c r="J1831">
        <v>9.77</v>
      </c>
      <c r="K1831">
        <v>0</v>
      </c>
    </row>
    <row r="1832" spans="1:11" x14ac:dyDescent="0.3">
      <c r="A1832">
        <v>1831</v>
      </c>
      <c r="B1832">
        <v>156</v>
      </c>
      <c r="C1832">
        <v>4</v>
      </c>
      <c r="D1832">
        <v>1702</v>
      </c>
      <c r="E1832" t="s">
        <v>651</v>
      </c>
      <c r="F1832">
        <v>5.15</v>
      </c>
      <c r="G1832" t="s">
        <v>623</v>
      </c>
      <c r="H1832" s="1">
        <v>46126.378182870372</v>
      </c>
      <c r="I1832" t="s">
        <v>637</v>
      </c>
      <c r="J1832">
        <v>5.15</v>
      </c>
      <c r="K1832">
        <v>0</v>
      </c>
    </row>
    <row r="1833" spans="1:11" x14ac:dyDescent="0.3">
      <c r="A1833">
        <v>1832</v>
      </c>
      <c r="B1833">
        <v>149</v>
      </c>
      <c r="C1833">
        <v>2</v>
      </c>
      <c r="D1833">
        <v>1703</v>
      </c>
      <c r="E1833" t="s">
        <v>651</v>
      </c>
      <c r="F1833">
        <v>2.31</v>
      </c>
      <c r="G1833" t="s">
        <v>623</v>
      </c>
      <c r="H1833" s="1">
        <v>46126.443923611114</v>
      </c>
      <c r="I1833" t="s">
        <v>637</v>
      </c>
      <c r="J1833">
        <v>2.31</v>
      </c>
      <c r="K1833">
        <v>0</v>
      </c>
    </row>
    <row r="1834" spans="1:11" x14ac:dyDescent="0.3">
      <c r="A1834">
        <v>1833</v>
      </c>
      <c r="B1834">
        <v>118</v>
      </c>
      <c r="C1834">
        <v>5</v>
      </c>
      <c r="D1834">
        <v>1704</v>
      </c>
      <c r="E1834" t="s">
        <v>651</v>
      </c>
      <c r="F1834">
        <v>2.5499999999999998</v>
      </c>
      <c r="G1834" t="s">
        <v>623</v>
      </c>
      <c r="H1834" s="1">
        <v>46126.590601851851</v>
      </c>
      <c r="I1834" t="s">
        <v>637</v>
      </c>
      <c r="J1834">
        <v>2.5499999999999998</v>
      </c>
      <c r="K1834">
        <v>0</v>
      </c>
    </row>
    <row r="1835" spans="1:11" x14ac:dyDescent="0.3">
      <c r="A1835">
        <v>1834</v>
      </c>
      <c r="B1835">
        <v>218</v>
      </c>
      <c r="C1835">
        <v>5</v>
      </c>
      <c r="D1835">
        <v>1705</v>
      </c>
      <c r="E1835" t="s">
        <v>651</v>
      </c>
      <c r="F1835">
        <v>2.83</v>
      </c>
      <c r="G1835" t="s">
        <v>623</v>
      </c>
      <c r="H1835" s="1">
        <v>46126.607071759259</v>
      </c>
      <c r="I1835" t="s">
        <v>637</v>
      </c>
      <c r="J1835">
        <v>2.83</v>
      </c>
      <c r="K1835">
        <v>0</v>
      </c>
    </row>
    <row r="1836" spans="1:11" x14ac:dyDescent="0.3">
      <c r="A1836">
        <v>1835</v>
      </c>
      <c r="B1836">
        <v>212</v>
      </c>
      <c r="C1836">
        <v>3</v>
      </c>
      <c r="D1836">
        <v>1706</v>
      </c>
      <c r="E1836" t="s">
        <v>651</v>
      </c>
      <c r="F1836">
        <v>12.27</v>
      </c>
      <c r="G1836" t="s">
        <v>623</v>
      </c>
      <c r="H1836" s="1">
        <v>46126.622210648151</v>
      </c>
      <c r="I1836" t="s">
        <v>637</v>
      </c>
      <c r="J1836">
        <v>12.27</v>
      </c>
      <c r="K1836">
        <v>0</v>
      </c>
    </row>
    <row r="1837" spans="1:11" x14ac:dyDescent="0.3">
      <c r="A1837">
        <v>1836</v>
      </c>
      <c r="B1837">
        <v>229</v>
      </c>
      <c r="C1837">
        <v>5</v>
      </c>
      <c r="D1837">
        <v>1707</v>
      </c>
      <c r="E1837" t="s">
        <v>651</v>
      </c>
      <c r="F1837">
        <v>6.86</v>
      </c>
      <c r="G1837" t="s">
        <v>623</v>
      </c>
      <c r="H1837" s="1">
        <v>46126.628101851849</v>
      </c>
      <c r="I1837" t="s">
        <v>637</v>
      </c>
      <c r="J1837">
        <v>6.86</v>
      </c>
      <c r="K1837">
        <v>0</v>
      </c>
    </row>
    <row r="1838" spans="1:11" x14ac:dyDescent="0.3">
      <c r="A1838">
        <v>1837</v>
      </c>
      <c r="B1838">
        <v>47</v>
      </c>
      <c r="C1838">
        <v>5</v>
      </c>
      <c r="D1838">
        <v>1708</v>
      </c>
      <c r="E1838" t="s">
        <v>651</v>
      </c>
      <c r="F1838">
        <v>3.69</v>
      </c>
      <c r="G1838" t="s">
        <v>623</v>
      </c>
      <c r="H1838" s="1">
        <v>46126.638715277775</v>
      </c>
      <c r="I1838" t="s">
        <v>637</v>
      </c>
      <c r="J1838">
        <v>3.69</v>
      </c>
      <c r="K1838">
        <v>0</v>
      </c>
    </row>
    <row r="1839" spans="1:11" x14ac:dyDescent="0.3">
      <c r="A1839">
        <v>1838</v>
      </c>
      <c r="B1839">
        <v>272</v>
      </c>
      <c r="C1839">
        <v>4</v>
      </c>
      <c r="D1839">
        <v>1709</v>
      </c>
      <c r="E1839" t="s">
        <v>651</v>
      </c>
      <c r="F1839">
        <v>17.23</v>
      </c>
      <c r="G1839" t="s">
        <v>623</v>
      </c>
      <c r="H1839" s="1">
        <v>46126.667222222219</v>
      </c>
      <c r="I1839" t="s">
        <v>637</v>
      </c>
      <c r="J1839">
        <v>17.23</v>
      </c>
      <c r="K1839">
        <v>0</v>
      </c>
    </row>
    <row r="1840" spans="1:11" x14ac:dyDescent="0.3">
      <c r="A1840">
        <v>1839</v>
      </c>
      <c r="B1840">
        <v>221</v>
      </c>
      <c r="C1840">
        <v>2</v>
      </c>
      <c r="D1840">
        <v>1710</v>
      </c>
      <c r="E1840" t="s">
        <v>651</v>
      </c>
      <c r="F1840">
        <v>17.260000000000002</v>
      </c>
      <c r="G1840" t="s">
        <v>623</v>
      </c>
      <c r="H1840" s="1">
        <v>46126.769687499997</v>
      </c>
      <c r="I1840" t="s">
        <v>637</v>
      </c>
      <c r="J1840">
        <v>17.260000000000002</v>
      </c>
      <c r="K1840">
        <v>0</v>
      </c>
    </row>
    <row r="1841" spans="1:11" x14ac:dyDescent="0.3">
      <c r="A1841">
        <v>1840</v>
      </c>
      <c r="B1841">
        <v>156</v>
      </c>
      <c r="C1841">
        <v>2</v>
      </c>
      <c r="D1841">
        <v>1711</v>
      </c>
      <c r="E1841" t="s">
        <v>651</v>
      </c>
      <c r="F1841">
        <v>2.09</v>
      </c>
      <c r="G1841" t="s">
        <v>623</v>
      </c>
      <c r="H1841" s="1">
        <v>46126.825775462959</v>
      </c>
      <c r="I1841" t="s">
        <v>637</v>
      </c>
      <c r="J1841">
        <v>2.09</v>
      </c>
      <c r="K1841">
        <v>0</v>
      </c>
    </row>
    <row r="1842" spans="1:11" x14ac:dyDescent="0.3">
      <c r="A1842">
        <v>1841</v>
      </c>
      <c r="B1842">
        <v>293</v>
      </c>
      <c r="C1842">
        <v>5</v>
      </c>
      <c r="D1842">
        <v>1712</v>
      </c>
      <c r="E1842" t="s">
        <v>651</v>
      </c>
      <c r="F1842">
        <v>2.0299999999999998</v>
      </c>
      <c r="G1842" t="s">
        <v>623</v>
      </c>
      <c r="H1842" s="1">
        <v>46127.297326388885</v>
      </c>
      <c r="I1842" t="s">
        <v>637</v>
      </c>
      <c r="J1842">
        <v>2.0299999999999998</v>
      </c>
      <c r="K1842">
        <v>0</v>
      </c>
    </row>
    <row r="1843" spans="1:11" x14ac:dyDescent="0.3">
      <c r="A1843">
        <v>1842</v>
      </c>
      <c r="B1843">
        <v>112</v>
      </c>
      <c r="C1843">
        <v>4</v>
      </c>
      <c r="D1843">
        <v>1713</v>
      </c>
      <c r="E1843" t="s">
        <v>651</v>
      </c>
      <c r="F1843">
        <v>3.16</v>
      </c>
      <c r="G1843" t="s">
        <v>623</v>
      </c>
      <c r="H1843" s="1">
        <v>46127.430162037039</v>
      </c>
      <c r="I1843" t="s">
        <v>637</v>
      </c>
      <c r="J1843">
        <v>3.16</v>
      </c>
      <c r="K1843">
        <v>0</v>
      </c>
    </row>
    <row r="1844" spans="1:11" x14ac:dyDescent="0.3">
      <c r="A1844">
        <v>1843</v>
      </c>
      <c r="B1844">
        <v>23</v>
      </c>
      <c r="C1844">
        <v>5</v>
      </c>
      <c r="D1844">
        <v>1714</v>
      </c>
      <c r="E1844" t="s">
        <v>651</v>
      </c>
      <c r="F1844">
        <v>17.87</v>
      </c>
      <c r="G1844" t="s">
        <v>623</v>
      </c>
      <c r="H1844" s="1">
        <v>46127.489004629628</v>
      </c>
      <c r="I1844" t="s">
        <v>637</v>
      </c>
      <c r="J1844">
        <v>17.87</v>
      </c>
      <c r="K1844">
        <v>0</v>
      </c>
    </row>
    <row r="1845" spans="1:11" x14ac:dyDescent="0.3">
      <c r="A1845">
        <v>1844</v>
      </c>
      <c r="B1845">
        <v>117</v>
      </c>
      <c r="C1845">
        <v>3</v>
      </c>
      <c r="D1845">
        <v>1715</v>
      </c>
      <c r="E1845" t="s">
        <v>651</v>
      </c>
      <c r="F1845">
        <v>4.6399999999999997</v>
      </c>
      <c r="G1845" t="s">
        <v>623</v>
      </c>
      <c r="H1845" s="1">
        <v>46127.560567129629</v>
      </c>
      <c r="I1845" t="s">
        <v>637</v>
      </c>
      <c r="J1845">
        <v>4.6399999999999997</v>
      </c>
      <c r="K1845">
        <v>0</v>
      </c>
    </row>
    <row r="1846" spans="1:11" x14ac:dyDescent="0.3">
      <c r="A1846">
        <v>1845</v>
      </c>
      <c r="B1846">
        <v>124</v>
      </c>
      <c r="C1846">
        <v>5</v>
      </c>
      <c r="D1846">
        <v>1716</v>
      </c>
      <c r="E1846" t="s">
        <v>651</v>
      </c>
      <c r="F1846">
        <v>3.21</v>
      </c>
      <c r="G1846" t="s">
        <v>623</v>
      </c>
      <c r="H1846" s="1">
        <v>46127.606388888889</v>
      </c>
      <c r="I1846" t="s">
        <v>637</v>
      </c>
      <c r="J1846">
        <v>3.21</v>
      </c>
      <c r="K1846">
        <v>0</v>
      </c>
    </row>
    <row r="1847" spans="1:11" x14ac:dyDescent="0.3">
      <c r="A1847">
        <v>1846</v>
      </c>
      <c r="B1847">
        <v>229</v>
      </c>
      <c r="C1847">
        <v>4</v>
      </c>
      <c r="D1847">
        <v>1717</v>
      </c>
      <c r="E1847" t="s">
        <v>651</v>
      </c>
      <c r="F1847">
        <v>14.22</v>
      </c>
      <c r="G1847" t="s">
        <v>623</v>
      </c>
      <c r="H1847" s="1">
        <v>46127.715127314812</v>
      </c>
      <c r="I1847" t="s">
        <v>637</v>
      </c>
      <c r="J1847">
        <v>14.22</v>
      </c>
      <c r="K1847">
        <v>0</v>
      </c>
    </row>
    <row r="1848" spans="1:11" x14ac:dyDescent="0.3">
      <c r="A1848">
        <v>1847</v>
      </c>
      <c r="B1848">
        <v>185</v>
      </c>
      <c r="C1848">
        <v>3</v>
      </c>
      <c r="D1848">
        <v>1718</v>
      </c>
      <c r="E1848" t="s">
        <v>651</v>
      </c>
      <c r="F1848">
        <v>8.86</v>
      </c>
      <c r="G1848" t="s">
        <v>623</v>
      </c>
      <c r="H1848" s="1">
        <v>46128.475266203706</v>
      </c>
      <c r="I1848" t="s">
        <v>637</v>
      </c>
      <c r="J1848">
        <v>8.86</v>
      </c>
      <c r="K1848">
        <v>0</v>
      </c>
    </row>
    <row r="1849" spans="1:11" x14ac:dyDescent="0.3">
      <c r="A1849">
        <v>1848</v>
      </c>
      <c r="B1849">
        <v>17</v>
      </c>
      <c r="C1849">
        <v>4</v>
      </c>
      <c r="D1849">
        <v>1719</v>
      </c>
      <c r="E1849" t="s">
        <v>651</v>
      </c>
      <c r="F1849">
        <v>8.27</v>
      </c>
      <c r="G1849" t="s">
        <v>623</v>
      </c>
      <c r="H1849" s="1">
        <v>46128.520555555559</v>
      </c>
      <c r="I1849" t="s">
        <v>637</v>
      </c>
      <c r="J1849">
        <v>8.27</v>
      </c>
      <c r="K1849">
        <v>0</v>
      </c>
    </row>
    <row r="1850" spans="1:11" x14ac:dyDescent="0.3">
      <c r="A1850">
        <v>1849</v>
      </c>
      <c r="B1850">
        <v>156</v>
      </c>
      <c r="C1850">
        <v>4</v>
      </c>
      <c r="D1850">
        <v>1720</v>
      </c>
      <c r="E1850" t="s">
        <v>651</v>
      </c>
      <c r="F1850">
        <v>3.69</v>
      </c>
      <c r="G1850" t="s">
        <v>623</v>
      </c>
      <c r="H1850" s="1">
        <v>46128.581967592596</v>
      </c>
      <c r="I1850" t="s">
        <v>637</v>
      </c>
      <c r="J1850">
        <v>3.69</v>
      </c>
      <c r="K1850">
        <v>0</v>
      </c>
    </row>
    <row r="1851" spans="1:11" x14ac:dyDescent="0.3">
      <c r="A1851">
        <v>1850</v>
      </c>
      <c r="B1851">
        <v>39</v>
      </c>
      <c r="C1851">
        <v>4</v>
      </c>
      <c r="D1851">
        <v>1721</v>
      </c>
      <c r="E1851" t="s">
        <v>651</v>
      </c>
      <c r="F1851">
        <v>28.74</v>
      </c>
      <c r="G1851" t="s">
        <v>623</v>
      </c>
      <c r="H1851" s="1">
        <v>46128.622187499997</v>
      </c>
      <c r="I1851" t="s">
        <v>637</v>
      </c>
      <c r="J1851">
        <v>28.74</v>
      </c>
      <c r="K1851">
        <v>0</v>
      </c>
    </row>
    <row r="1852" spans="1:11" x14ac:dyDescent="0.3">
      <c r="A1852">
        <v>1851</v>
      </c>
      <c r="B1852">
        <v>218</v>
      </c>
      <c r="C1852">
        <v>5</v>
      </c>
      <c r="D1852">
        <v>1722</v>
      </c>
      <c r="E1852" t="s">
        <v>651</v>
      </c>
      <c r="F1852">
        <v>5.47</v>
      </c>
      <c r="G1852" t="s">
        <v>623</v>
      </c>
      <c r="H1852" s="1">
        <v>46128.723043981481</v>
      </c>
      <c r="I1852" t="s">
        <v>637</v>
      </c>
      <c r="J1852">
        <v>5.47</v>
      </c>
      <c r="K1852">
        <v>0</v>
      </c>
    </row>
    <row r="1853" spans="1:11" x14ac:dyDescent="0.3">
      <c r="A1853">
        <v>1852</v>
      </c>
      <c r="B1853">
        <v>241</v>
      </c>
      <c r="C1853">
        <v>2</v>
      </c>
      <c r="D1853">
        <v>1723</v>
      </c>
      <c r="E1853" t="s">
        <v>651</v>
      </c>
      <c r="F1853">
        <v>4.1500000000000004</v>
      </c>
      <c r="G1853" t="s">
        <v>623</v>
      </c>
      <c r="H1853" s="1">
        <v>46128.726493055554</v>
      </c>
      <c r="I1853" t="s">
        <v>637</v>
      </c>
      <c r="J1853">
        <v>4.1500000000000004</v>
      </c>
      <c r="K1853">
        <v>0</v>
      </c>
    </row>
    <row r="1854" spans="1:11" x14ac:dyDescent="0.3">
      <c r="A1854">
        <v>1853</v>
      </c>
      <c r="B1854">
        <v>28</v>
      </c>
      <c r="C1854">
        <v>3</v>
      </c>
      <c r="D1854">
        <v>1724</v>
      </c>
      <c r="E1854" t="s">
        <v>651</v>
      </c>
      <c r="F1854">
        <v>3.9</v>
      </c>
      <c r="G1854" t="s">
        <v>623</v>
      </c>
      <c r="H1854" s="1">
        <v>46128.738495370373</v>
      </c>
      <c r="I1854" t="s">
        <v>637</v>
      </c>
      <c r="J1854">
        <v>3.9</v>
      </c>
      <c r="K1854">
        <v>0</v>
      </c>
    </row>
    <row r="1855" spans="1:11" x14ac:dyDescent="0.3">
      <c r="A1855">
        <v>1854</v>
      </c>
      <c r="B1855">
        <v>106</v>
      </c>
      <c r="C1855">
        <v>5</v>
      </c>
      <c r="D1855">
        <v>1725</v>
      </c>
      <c r="E1855" t="s">
        <v>651</v>
      </c>
      <c r="F1855">
        <v>5.87</v>
      </c>
      <c r="G1855" t="s">
        <v>623</v>
      </c>
      <c r="H1855" s="1">
        <v>46128.770243055558</v>
      </c>
      <c r="I1855" t="s">
        <v>637</v>
      </c>
      <c r="J1855">
        <v>5.87</v>
      </c>
      <c r="K1855">
        <v>0</v>
      </c>
    </row>
    <row r="1856" spans="1:11" x14ac:dyDescent="0.3">
      <c r="A1856">
        <v>1855</v>
      </c>
      <c r="B1856">
        <v>178</v>
      </c>
      <c r="C1856">
        <v>2</v>
      </c>
      <c r="D1856">
        <v>1726</v>
      </c>
      <c r="E1856" t="s">
        <v>651</v>
      </c>
      <c r="F1856">
        <v>23.88</v>
      </c>
      <c r="G1856" t="s">
        <v>623</v>
      </c>
      <c r="H1856" s="1">
        <v>46129.347500000003</v>
      </c>
      <c r="I1856" t="s">
        <v>637</v>
      </c>
      <c r="J1856">
        <v>23.88</v>
      </c>
      <c r="K1856">
        <v>0</v>
      </c>
    </row>
    <row r="1857" spans="1:11" x14ac:dyDescent="0.3">
      <c r="A1857">
        <v>1856</v>
      </c>
      <c r="B1857">
        <v>195</v>
      </c>
      <c r="C1857">
        <v>2</v>
      </c>
      <c r="D1857">
        <v>1727</v>
      </c>
      <c r="E1857" t="s">
        <v>651</v>
      </c>
      <c r="F1857">
        <v>8.6999999999999993</v>
      </c>
      <c r="G1857" t="s">
        <v>623</v>
      </c>
      <c r="H1857" s="1">
        <v>46129.384594907409</v>
      </c>
      <c r="I1857" t="s">
        <v>637</v>
      </c>
      <c r="J1857">
        <v>8.6999999999999993</v>
      </c>
      <c r="K1857">
        <v>0</v>
      </c>
    </row>
    <row r="1858" spans="1:11" x14ac:dyDescent="0.3">
      <c r="A1858">
        <v>1857</v>
      </c>
      <c r="B1858">
        <v>136</v>
      </c>
      <c r="C1858">
        <v>4</v>
      </c>
      <c r="D1858">
        <v>1728</v>
      </c>
      <c r="E1858" t="s">
        <v>651</v>
      </c>
      <c r="F1858">
        <v>11.72</v>
      </c>
      <c r="G1858" t="s">
        <v>623</v>
      </c>
      <c r="H1858" s="1">
        <v>46129.388252314813</v>
      </c>
      <c r="I1858" t="s">
        <v>637</v>
      </c>
      <c r="J1858">
        <v>11.72</v>
      </c>
      <c r="K1858">
        <v>0</v>
      </c>
    </row>
    <row r="1859" spans="1:11" x14ac:dyDescent="0.3">
      <c r="A1859">
        <v>1858</v>
      </c>
      <c r="B1859">
        <v>229</v>
      </c>
      <c r="C1859">
        <v>2</v>
      </c>
      <c r="D1859">
        <v>1729</v>
      </c>
      <c r="E1859" t="s">
        <v>651</v>
      </c>
      <c r="F1859">
        <v>13.95</v>
      </c>
      <c r="G1859" t="s">
        <v>623</v>
      </c>
      <c r="H1859" s="1">
        <v>46129.570787037039</v>
      </c>
      <c r="I1859" t="s">
        <v>637</v>
      </c>
      <c r="J1859">
        <v>13.95</v>
      </c>
      <c r="K1859">
        <v>0</v>
      </c>
    </row>
    <row r="1860" spans="1:11" x14ac:dyDescent="0.3">
      <c r="A1860">
        <v>1859</v>
      </c>
      <c r="B1860">
        <v>149</v>
      </c>
      <c r="C1860">
        <v>3</v>
      </c>
      <c r="D1860">
        <v>1730</v>
      </c>
      <c r="E1860" t="s">
        <v>651</v>
      </c>
      <c r="F1860">
        <v>3.63</v>
      </c>
      <c r="G1860" t="s">
        <v>623</v>
      </c>
      <c r="H1860" s="1">
        <v>46129.587523148148</v>
      </c>
      <c r="I1860" t="s">
        <v>637</v>
      </c>
      <c r="J1860">
        <v>3.63</v>
      </c>
      <c r="K1860">
        <v>0</v>
      </c>
    </row>
    <row r="1861" spans="1:11" x14ac:dyDescent="0.3">
      <c r="A1861">
        <v>1860</v>
      </c>
      <c r="B1861">
        <v>276</v>
      </c>
      <c r="C1861">
        <v>4</v>
      </c>
      <c r="D1861">
        <v>1731</v>
      </c>
      <c r="E1861" t="s">
        <v>651</v>
      </c>
      <c r="F1861">
        <v>2.2999999999999998</v>
      </c>
      <c r="G1861" t="s">
        <v>623</v>
      </c>
      <c r="H1861" s="1">
        <v>46129.797997685186</v>
      </c>
      <c r="I1861" t="s">
        <v>637</v>
      </c>
      <c r="J1861">
        <v>2.2999999999999998</v>
      </c>
      <c r="K1861">
        <v>0</v>
      </c>
    </row>
    <row r="1862" spans="1:11" x14ac:dyDescent="0.3">
      <c r="A1862">
        <v>1861</v>
      </c>
      <c r="B1862">
        <v>160</v>
      </c>
      <c r="C1862">
        <v>3</v>
      </c>
      <c r="D1862">
        <v>1732</v>
      </c>
      <c r="E1862" t="s">
        <v>651</v>
      </c>
      <c r="F1862">
        <v>2.12</v>
      </c>
      <c r="G1862" t="s">
        <v>623</v>
      </c>
      <c r="H1862" s="1">
        <v>46129.819120370368</v>
      </c>
      <c r="I1862" t="s">
        <v>637</v>
      </c>
      <c r="J1862">
        <v>2.12</v>
      </c>
      <c r="K1862">
        <v>0</v>
      </c>
    </row>
    <row r="1863" spans="1:11" x14ac:dyDescent="0.3">
      <c r="A1863">
        <v>1862</v>
      </c>
      <c r="B1863">
        <v>243</v>
      </c>
      <c r="C1863">
        <v>3</v>
      </c>
      <c r="D1863">
        <v>1733</v>
      </c>
      <c r="E1863" t="s">
        <v>657</v>
      </c>
      <c r="F1863">
        <v>23.55</v>
      </c>
      <c r="G1863" t="s">
        <v>623</v>
      </c>
      <c r="H1863" s="1">
        <v>46130.35229166667</v>
      </c>
      <c r="I1863" t="s">
        <v>637</v>
      </c>
      <c r="J1863">
        <v>0</v>
      </c>
      <c r="K1863">
        <v>23.55</v>
      </c>
    </row>
    <row r="1864" spans="1:11" x14ac:dyDescent="0.3">
      <c r="A1864">
        <v>1863</v>
      </c>
      <c r="B1864">
        <v>87</v>
      </c>
      <c r="C1864">
        <v>2</v>
      </c>
      <c r="D1864">
        <v>1734</v>
      </c>
      <c r="E1864" t="s">
        <v>657</v>
      </c>
      <c r="F1864">
        <v>86.01</v>
      </c>
      <c r="G1864" t="s">
        <v>623</v>
      </c>
      <c r="H1864" s="1">
        <v>46130.379699074074</v>
      </c>
      <c r="I1864" t="s">
        <v>637</v>
      </c>
      <c r="J1864">
        <v>0</v>
      </c>
      <c r="K1864">
        <v>86.01</v>
      </c>
    </row>
    <row r="1865" spans="1:11" x14ac:dyDescent="0.3">
      <c r="A1865">
        <v>1864</v>
      </c>
      <c r="B1865">
        <v>276</v>
      </c>
      <c r="C1865">
        <v>4</v>
      </c>
      <c r="D1865">
        <v>1735</v>
      </c>
      <c r="E1865" t="s">
        <v>651</v>
      </c>
      <c r="F1865">
        <v>4.51</v>
      </c>
      <c r="G1865" t="s">
        <v>623</v>
      </c>
      <c r="H1865" s="1">
        <v>46130.47515046296</v>
      </c>
      <c r="I1865" t="s">
        <v>637</v>
      </c>
      <c r="J1865">
        <v>4.51</v>
      </c>
      <c r="K1865">
        <v>0</v>
      </c>
    </row>
    <row r="1866" spans="1:11" x14ac:dyDescent="0.3">
      <c r="A1866">
        <v>1865</v>
      </c>
      <c r="B1866">
        <v>249</v>
      </c>
      <c r="C1866">
        <v>5</v>
      </c>
      <c r="D1866">
        <v>1736</v>
      </c>
      <c r="E1866" t="s">
        <v>651</v>
      </c>
      <c r="F1866">
        <v>13.94</v>
      </c>
      <c r="G1866" t="s">
        <v>623</v>
      </c>
      <c r="H1866" s="1">
        <v>46130.559629629628</v>
      </c>
      <c r="I1866" t="s">
        <v>637</v>
      </c>
      <c r="J1866">
        <v>13.94</v>
      </c>
      <c r="K1866">
        <v>0</v>
      </c>
    </row>
    <row r="1867" spans="1:11" x14ac:dyDescent="0.3">
      <c r="A1867">
        <v>1866</v>
      </c>
      <c r="B1867">
        <v>106</v>
      </c>
      <c r="C1867">
        <v>4</v>
      </c>
      <c r="D1867">
        <v>1737</v>
      </c>
      <c r="E1867" t="s">
        <v>651</v>
      </c>
      <c r="F1867">
        <v>11.85</v>
      </c>
      <c r="G1867" t="s">
        <v>623</v>
      </c>
      <c r="H1867" s="1">
        <v>46130.673217592594</v>
      </c>
      <c r="I1867" t="s">
        <v>637</v>
      </c>
      <c r="J1867">
        <v>11.85</v>
      </c>
      <c r="K1867">
        <v>0</v>
      </c>
    </row>
    <row r="1868" spans="1:11" x14ac:dyDescent="0.3">
      <c r="A1868">
        <v>1867</v>
      </c>
      <c r="B1868">
        <v>16</v>
      </c>
      <c r="C1868">
        <v>5</v>
      </c>
      <c r="D1868">
        <v>1738</v>
      </c>
      <c r="E1868" t="s">
        <v>651</v>
      </c>
      <c r="F1868">
        <v>23.26</v>
      </c>
      <c r="G1868" t="s">
        <v>623</v>
      </c>
      <c r="H1868" s="1">
        <v>46130.684386574074</v>
      </c>
      <c r="I1868" t="s">
        <v>637</v>
      </c>
      <c r="J1868">
        <v>23.26</v>
      </c>
      <c r="K1868">
        <v>0</v>
      </c>
    </row>
    <row r="1869" spans="1:11" x14ac:dyDescent="0.3">
      <c r="A1869">
        <v>1868</v>
      </c>
      <c r="B1869">
        <v>280</v>
      </c>
      <c r="C1869">
        <v>4</v>
      </c>
      <c r="D1869">
        <v>1739</v>
      </c>
      <c r="E1869" t="s">
        <v>651</v>
      </c>
      <c r="F1869">
        <v>3.72</v>
      </c>
      <c r="G1869" t="s">
        <v>623</v>
      </c>
      <c r="H1869" s="1">
        <v>46130.694293981483</v>
      </c>
      <c r="I1869" t="s">
        <v>637</v>
      </c>
      <c r="J1869">
        <v>3.72</v>
      </c>
      <c r="K1869">
        <v>0</v>
      </c>
    </row>
    <row r="1870" spans="1:11" x14ac:dyDescent="0.3">
      <c r="A1870">
        <v>1869</v>
      </c>
      <c r="B1870">
        <v>245</v>
      </c>
      <c r="C1870">
        <v>4</v>
      </c>
      <c r="D1870">
        <v>1740</v>
      </c>
      <c r="E1870" t="s">
        <v>651</v>
      </c>
      <c r="F1870">
        <v>2.14</v>
      </c>
      <c r="G1870" t="s">
        <v>623</v>
      </c>
      <c r="H1870" s="1">
        <v>46130.764756944445</v>
      </c>
      <c r="I1870" t="s">
        <v>637</v>
      </c>
      <c r="J1870">
        <v>2.14</v>
      </c>
      <c r="K1870">
        <v>0</v>
      </c>
    </row>
    <row r="1871" spans="1:11" x14ac:dyDescent="0.3">
      <c r="A1871">
        <v>1870</v>
      </c>
      <c r="B1871">
        <v>156</v>
      </c>
      <c r="C1871">
        <v>4</v>
      </c>
      <c r="D1871">
        <v>1741</v>
      </c>
      <c r="E1871" t="s">
        <v>651</v>
      </c>
      <c r="F1871">
        <v>2.92</v>
      </c>
      <c r="G1871" t="s">
        <v>623</v>
      </c>
      <c r="H1871" s="1">
        <v>46130.784513888888</v>
      </c>
      <c r="I1871" t="s">
        <v>637</v>
      </c>
      <c r="J1871">
        <v>2.92</v>
      </c>
      <c r="K1871">
        <v>0</v>
      </c>
    </row>
    <row r="1872" spans="1:11" x14ac:dyDescent="0.3">
      <c r="A1872">
        <v>1871</v>
      </c>
      <c r="B1872">
        <v>39</v>
      </c>
      <c r="C1872">
        <v>4</v>
      </c>
      <c r="D1872">
        <v>1742</v>
      </c>
      <c r="E1872" t="s">
        <v>651</v>
      </c>
      <c r="F1872">
        <v>26.33</v>
      </c>
      <c r="G1872" t="s">
        <v>623</v>
      </c>
      <c r="H1872" s="1">
        <v>46131.354120370372</v>
      </c>
      <c r="I1872" t="s">
        <v>637</v>
      </c>
      <c r="J1872">
        <v>26.33</v>
      </c>
      <c r="K1872">
        <v>0</v>
      </c>
    </row>
    <row r="1873" spans="1:11" x14ac:dyDescent="0.3">
      <c r="A1873">
        <v>1872</v>
      </c>
      <c r="B1873">
        <v>257</v>
      </c>
      <c r="C1873">
        <v>5</v>
      </c>
      <c r="D1873">
        <v>1743</v>
      </c>
      <c r="E1873" t="s">
        <v>651</v>
      </c>
      <c r="F1873">
        <v>7.78</v>
      </c>
      <c r="G1873" t="s">
        <v>623</v>
      </c>
      <c r="H1873" s="1">
        <v>46131.492129629631</v>
      </c>
      <c r="I1873" t="s">
        <v>637</v>
      </c>
      <c r="J1873">
        <v>7.78</v>
      </c>
      <c r="K1873">
        <v>0</v>
      </c>
    </row>
    <row r="1874" spans="1:11" x14ac:dyDescent="0.3">
      <c r="A1874">
        <v>1873</v>
      </c>
      <c r="B1874">
        <v>202</v>
      </c>
      <c r="C1874">
        <v>3</v>
      </c>
      <c r="D1874">
        <v>1744</v>
      </c>
      <c r="E1874" t="s">
        <v>651</v>
      </c>
      <c r="F1874">
        <v>3.37</v>
      </c>
      <c r="G1874" t="s">
        <v>623</v>
      </c>
      <c r="H1874" s="1">
        <v>46131.554131944446</v>
      </c>
      <c r="I1874" t="s">
        <v>637</v>
      </c>
      <c r="J1874">
        <v>3.37</v>
      </c>
      <c r="K1874">
        <v>0</v>
      </c>
    </row>
    <row r="1875" spans="1:11" x14ac:dyDescent="0.3">
      <c r="A1875">
        <v>1874</v>
      </c>
      <c r="B1875">
        <v>168</v>
      </c>
      <c r="C1875">
        <v>2</v>
      </c>
      <c r="D1875">
        <v>1745</v>
      </c>
      <c r="E1875" t="s">
        <v>651</v>
      </c>
      <c r="F1875">
        <v>3.28</v>
      </c>
      <c r="G1875" t="s">
        <v>623</v>
      </c>
      <c r="H1875" s="1">
        <v>46131.638865740744</v>
      </c>
      <c r="I1875" t="s">
        <v>637</v>
      </c>
      <c r="J1875">
        <v>3.28</v>
      </c>
      <c r="K1875">
        <v>0</v>
      </c>
    </row>
    <row r="1876" spans="1:11" x14ac:dyDescent="0.3">
      <c r="A1876">
        <v>1875</v>
      </c>
      <c r="B1876">
        <v>297</v>
      </c>
      <c r="C1876">
        <v>5</v>
      </c>
      <c r="D1876">
        <v>1746</v>
      </c>
      <c r="E1876" t="s">
        <v>651</v>
      </c>
      <c r="F1876">
        <v>7.86</v>
      </c>
      <c r="G1876" t="s">
        <v>623</v>
      </c>
      <c r="H1876" s="1">
        <v>46131.648587962962</v>
      </c>
      <c r="I1876" t="s">
        <v>637</v>
      </c>
      <c r="J1876">
        <v>7.86</v>
      </c>
      <c r="K1876">
        <v>0</v>
      </c>
    </row>
    <row r="1877" spans="1:11" x14ac:dyDescent="0.3">
      <c r="A1877">
        <v>1876</v>
      </c>
      <c r="B1877">
        <v>150</v>
      </c>
      <c r="C1877">
        <v>4</v>
      </c>
      <c r="D1877">
        <v>1747</v>
      </c>
      <c r="E1877" t="s">
        <v>651</v>
      </c>
      <c r="F1877">
        <v>11.35</v>
      </c>
      <c r="G1877" t="s">
        <v>623</v>
      </c>
      <c r="H1877" s="1">
        <v>46131.661944444444</v>
      </c>
      <c r="I1877" t="s">
        <v>637</v>
      </c>
      <c r="J1877">
        <v>11.35</v>
      </c>
      <c r="K1877">
        <v>0</v>
      </c>
    </row>
    <row r="1878" spans="1:11" x14ac:dyDescent="0.3">
      <c r="A1878">
        <v>1877</v>
      </c>
      <c r="B1878">
        <v>80</v>
      </c>
      <c r="C1878">
        <v>4</v>
      </c>
      <c r="D1878">
        <v>1748</v>
      </c>
      <c r="E1878" t="s">
        <v>651</v>
      </c>
      <c r="F1878">
        <v>3.52</v>
      </c>
      <c r="G1878" t="s">
        <v>623</v>
      </c>
      <c r="H1878" s="1">
        <v>46131.72625</v>
      </c>
      <c r="I1878" t="s">
        <v>637</v>
      </c>
      <c r="J1878">
        <v>3.52</v>
      </c>
      <c r="K1878">
        <v>0</v>
      </c>
    </row>
    <row r="1879" spans="1:11" x14ac:dyDescent="0.3">
      <c r="A1879">
        <v>1878</v>
      </c>
      <c r="B1879">
        <v>250</v>
      </c>
      <c r="C1879">
        <v>3</v>
      </c>
      <c r="D1879">
        <v>1749</v>
      </c>
      <c r="E1879" t="s">
        <v>651</v>
      </c>
      <c r="F1879">
        <v>12</v>
      </c>
      <c r="G1879" t="s">
        <v>623</v>
      </c>
      <c r="H1879" s="1">
        <v>46131.800196759257</v>
      </c>
      <c r="I1879" t="s">
        <v>637</v>
      </c>
      <c r="J1879">
        <v>12</v>
      </c>
      <c r="K1879">
        <v>0</v>
      </c>
    </row>
    <row r="1880" spans="1:11" x14ac:dyDescent="0.3">
      <c r="A1880">
        <v>1879</v>
      </c>
      <c r="B1880">
        <v>144</v>
      </c>
      <c r="C1880">
        <v>2</v>
      </c>
      <c r="D1880">
        <v>1750</v>
      </c>
      <c r="E1880" t="s">
        <v>651</v>
      </c>
      <c r="F1880">
        <v>7.67</v>
      </c>
      <c r="G1880" t="s">
        <v>623</v>
      </c>
      <c r="H1880" s="1">
        <v>46132.325856481482</v>
      </c>
      <c r="I1880" t="s">
        <v>637</v>
      </c>
      <c r="J1880">
        <v>7.67</v>
      </c>
      <c r="K1880">
        <v>0</v>
      </c>
    </row>
    <row r="1881" spans="1:11" x14ac:dyDescent="0.3">
      <c r="A1881">
        <v>1880</v>
      </c>
      <c r="B1881">
        <v>272</v>
      </c>
      <c r="C1881">
        <v>2</v>
      </c>
      <c r="D1881">
        <v>1751</v>
      </c>
      <c r="E1881" t="s">
        <v>651</v>
      </c>
      <c r="F1881">
        <v>30</v>
      </c>
      <c r="G1881" t="s">
        <v>623</v>
      </c>
      <c r="H1881" s="1">
        <v>46132.36310185185</v>
      </c>
      <c r="I1881" t="s">
        <v>637</v>
      </c>
      <c r="J1881">
        <v>30</v>
      </c>
      <c r="K1881">
        <v>0</v>
      </c>
    </row>
    <row r="1882" spans="1:11" x14ac:dyDescent="0.3">
      <c r="A1882">
        <v>1881</v>
      </c>
      <c r="B1882">
        <v>156</v>
      </c>
      <c r="C1882">
        <v>4</v>
      </c>
      <c r="D1882">
        <v>1752</v>
      </c>
      <c r="E1882" t="s">
        <v>651</v>
      </c>
      <c r="F1882">
        <v>3.88</v>
      </c>
      <c r="G1882" t="s">
        <v>623</v>
      </c>
      <c r="H1882" s="1">
        <v>46132.623159722221</v>
      </c>
      <c r="I1882" t="s">
        <v>637</v>
      </c>
      <c r="J1882">
        <v>3.88</v>
      </c>
      <c r="K1882">
        <v>0</v>
      </c>
    </row>
    <row r="1883" spans="1:11" x14ac:dyDescent="0.3">
      <c r="A1883">
        <v>1882</v>
      </c>
      <c r="B1883">
        <v>207</v>
      </c>
      <c r="C1883">
        <v>5</v>
      </c>
      <c r="D1883">
        <v>1753</v>
      </c>
      <c r="E1883" t="s">
        <v>651</v>
      </c>
      <c r="F1883">
        <v>4.78</v>
      </c>
      <c r="G1883" t="s">
        <v>623</v>
      </c>
      <c r="H1883" s="1">
        <v>46133.320798611108</v>
      </c>
      <c r="I1883" t="s">
        <v>637</v>
      </c>
      <c r="J1883">
        <v>4.78</v>
      </c>
      <c r="K1883">
        <v>0</v>
      </c>
    </row>
    <row r="1884" spans="1:11" x14ac:dyDescent="0.3">
      <c r="A1884">
        <v>1883</v>
      </c>
      <c r="B1884">
        <v>98</v>
      </c>
      <c r="C1884">
        <v>4</v>
      </c>
      <c r="D1884">
        <v>1754</v>
      </c>
      <c r="E1884" t="s">
        <v>651</v>
      </c>
      <c r="F1884">
        <v>8.3699999999999992</v>
      </c>
      <c r="G1884" t="s">
        <v>623</v>
      </c>
      <c r="H1884" s="1">
        <v>46133.474178240744</v>
      </c>
      <c r="I1884" t="s">
        <v>637</v>
      </c>
      <c r="J1884">
        <v>8.3699999999999992</v>
      </c>
      <c r="K1884">
        <v>0</v>
      </c>
    </row>
    <row r="1885" spans="1:11" x14ac:dyDescent="0.3">
      <c r="A1885">
        <v>1884</v>
      </c>
      <c r="B1885">
        <v>293</v>
      </c>
      <c r="C1885">
        <v>5</v>
      </c>
      <c r="D1885">
        <v>1755</v>
      </c>
      <c r="E1885" t="s">
        <v>651</v>
      </c>
      <c r="F1885">
        <v>5.04</v>
      </c>
      <c r="G1885" t="s">
        <v>623</v>
      </c>
      <c r="H1885" s="1">
        <v>46133.622881944444</v>
      </c>
      <c r="I1885" t="s">
        <v>637</v>
      </c>
      <c r="J1885">
        <v>5.04</v>
      </c>
      <c r="K1885">
        <v>0</v>
      </c>
    </row>
    <row r="1886" spans="1:11" x14ac:dyDescent="0.3">
      <c r="A1886">
        <v>1885</v>
      </c>
      <c r="B1886">
        <v>156</v>
      </c>
      <c r="C1886">
        <v>5</v>
      </c>
      <c r="D1886">
        <v>1756</v>
      </c>
      <c r="E1886" t="s">
        <v>651</v>
      </c>
      <c r="F1886">
        <v>3.45</v>
      </c>
      <c r="G1886" t="s">
        <v>623</v>
      </c>
      <c r="H1886" s="1">
        <v>46133.653263888889</v>
      </c>
      <c r="I1886" t="s">
        <v>637</v>
      </c>
      <c r="J1886">
        <v>3.45</v>
      </c>
      <c r="K1886">
        <v>0</v>
      </c>
    </row>
    <row r="1887" spans="1:11" x14ac:dyDescent="0.3">
      <c r="A1887">
        <v>1886</v>
      </c>
      <c r="B1887">
        <v>213</v>
      </c>
      <c r="C1887">
        <v>5</v>
      </c>
      <c r="D1887">
        <v>1757</v>
      </c>
      <c r="E1887" t="s">
        <v>651</v>
      </c>
      <c r="F1887">
        <v>30</v>
      </c>
      <c r="G1887" t="s">
        <v>623</v>
      </c>
      <c r="H1887" s="1">
        <v>46133.765370370369</v>
      </c>
      <c r="I1887" t="s">
        <v>637</v>
      </c>
      <c r="J1887">
        <v>30</v>
      </c>
      <c r="K1887">
        <v>0</v>
      </c>
    </row>
    <row r="1888" spans="1:11" x14ac:dyDescent="0.3">
      <c r="A1888">
        <v>1887</v>
      </c>
      <c r="B1888">
        <v>173</v>
      </c>
      <c r="C1888">
        <v>3</v>
      </c>
      <c r="D1888">
        <v>1758</v>
      </c>
      <c r="E1888" t="s">
        <v>651</v>
      </c>
      <c r="F1888">
        <v>16.48</v>
      </c>
      <c r="G1888" t="s">
        <v>623</v>
      </c>
      <c r="H1888" s="1">
        <v>46133.781030092592</v>
      </c>
      <c r="I1888" t="s">
        <v>637</v>
      </c>
      <c r="J1888">
        <v>16.48</v>
      </c>
      <c r="K1888">
        <v>0</v>
      </c>
    </row>
    <row r="1889" spans="1:11" x14ac:dyDescent="0.3">
      <c r="A1889">
        <v>1888</v>
      </c>
      <c r="B1889">
        <v>72</v>
      </c>
      <c r="C1889">
        <v>4</v>
      </c>
      <c r="D1889">
        <v>1759</v>
      </c>
      <c r="E1889" t="s">
        <v>651</v>
      </c>
      <c r="F1889">
        <v>4.4400000000000004</v>
      </c>
      <c r="G1889" t="s">
        <v>623</v>
      </c>
      <c r="H1889" s="1">
        <v>46134.530405092592</v>
      </c>
      <c r="I1889" t="s">
        <v>637</v>
      </c>
      <c r="J1889">
        <v>4.4400000000000004</v>
      </c>
      <c r="K1889">
        <v>0</v>
      </c>
    </row>
    <row r="1890" spans="1:11" x14ac:dyDescent="0.3">
      <c r="A1890">
        <v>1889</v>
      </c>
      <c r="B1890">
        <v>149</v>
      </c>
      <c r="C1890">
        <v>3</v>
      </c>
      <c r="D1890">
        <v>1760</v>
      </c>
      <c r="E1890" t="s">
        <v>651</v>
      </c>
      <c r="F1890">
        <v>2.93</v>
      </c>
      <c r="G1890" t="s">
        <v>623</v>
      </c>
      <c r="H1890" s="1">
        <v>46134.548020833332</v>
      </c>
      <c r="I1890" t="s">
        <v>637</v>
      </c>
      <c r="J1890">
        <v>2.93</v>
      </c>
      <c r="K1890">
        <v>0</v>
      </c>
    </row>
    <row r="1891" spans="1:11" x14ac:dyDescent="0.3">
      <c r="A1891">
        <v>1890</v>
      </c>
      <c r="B1891">
        <v>121</v>
      </c>
      <c r="C1891">
        <v>5</v>
      </c>
      <c r="D1891">
        <v>1761</v>
      </c>
      <c r="E1891" t="s">
        <v>651</v>
      </c>
      <c r="F1891">
        <v>4</v>
      </c>
      <c r="G1891" t="s">
        <v>623</v>
      </c>
      <c r="H1891" s="1">
        <v>46134.570694444446</v>
      </c>
      <c r="I1891" t="s">
        <v>637</v>
      </c>
      <c r="J1891">
        <v>4</v>
      </c>
      <c r="K1891">
        <v>0</v>
      </c>
    </row>
    <row r="1892" spans="1:11" x14ac:dyDescent="0.3">
      <c r="A1892">
        <v>1891</v>
      </c>
      <c r="B1892">
        <v>283</v>
      </c>
      <c r="C1892">
        <v>2</v>
      </c>
      <c r="D1892">
        <v>1762</v>
      </c>
      <c r="E1892" t="s">
        <v>651</v>
      </c>
      <c r="F1892">
        <v>2.39</v>
      </c>
      <c r="G1892" t="s">
        <v>623</v>
      </c>
      <c r="H1892" s="1">
        <v>46134.674201388887</v>
      </c>
      <c r="I1892" t="s">
        <v>637</v>
      </c>
      <c r="J1892">
        <v>2.39</v>
      </c>
      <c r="K1892">
        <v>0</v>
      </c>
    </row>
    <row r="1893" spans="1:11" x14ac:dyDescent="0.3">
      <c r="A1893">
        <v>1892</v>
      </c>
      <c r="B1893">
        <v>87</v>
      </c>
      <c r="C1893">
        <v>5</v>
      </c>
      <c r="D1893">
        <v>1763</v>
      </c>
      <c r="E1893" t="s">
        <v>651</v>
      </c>
      <c r="F1893">
        <v>7.96</v>
      </c>
      <c r="G1893" t="s">
        <v>623</v>
      </c>
      <c r="H1893" s="1">
        <v>46135.394236111111</v>
      </c>
      <c r="I1893" t="s">
        <v>637</v>
      </c>
      <c r="J1893">
        <v>7.96</v>
      </c>
      <c r="K1893">
        <v>0</v>
      </c>
    </row>
    <row r="1894" spans="1:11" x14ac:dyDescent="0.3">
      <c r="A1894">
        <v>1893</v>
      </c>
      <c r="B1894">
        <v>301</v>
      </c>
      <c r="C1894">
        <v>3</v>
      </c>
      <c r="D1894">
        <v>1764</v>
      </c>
      <c r="E1894" t="s">
        <v>651</v>
      </c>
      <c r="F1894">
        <v>11.21</v>
      </c>
      <c r="G1894" t="s">
        <v>623</v>
      </c>
      <c r="H1894" s="1">
        <v>46135.400150462963</v>
      </c>
      <c r="I1894" t="s">
        <v>637</v>
      </c>
      <c r="J1894">
        <v>11.21</v>
      </c>
      <c r="K1894">
        <v>0</v>
      </c>
    </row>
    <row r="1895" spans="1:11" x14ac:dyDescent="0.3">
      <c r="A1895">
        <v>1894</v>
      </c>
      <c r="B1895">
        <v>21</v>
      </c>
      <c r="C1895">
        <v>4</v>
      </c>
      <c r="D1895">
        <v>1765</v>
      </c>
      <c r="E1895" t="s">
        <v>651</v>
      </c>
      <c r="F1895">
        <v>2.08</v>
      </c>
      <c r="G1895" t="s">
        <v>623</v>
      </c>
      <c r="H1895" s="1">
        <v>46135.417442129627</v>
      </c>
      <c r="I1895" t="s">
        <v>637</v>
      </c>
      <c r="J1895">
        <v>2.08</v>
      </c>
      <c r="K1895">
        <v>0</v>
      </c>
    </row>
    <row r="1896" spans="1:11" x14ac:dyDescent="0.3">
      <c r="A1896">
        <v>1895</v>
      </c>
      <c r="B1896">
        <v>250</v>
      </c>
      <c r="C1896">
        <v>2</v>
      </c>
      <c r="D1896">
        <v>1766</v>
      </c>
      <c r="E1896" t="s">
        <v>651</v>
      </c>
      <c r="F1896">
        <v>5.23</v>
      </c>
      <c r="G1896" t="s">
        <v>623</v>
      </c>
      <c r="H1896" s="1">
        <v>46135.657800925925</v>
      </c>
      <c r="I1896" t="s">
        <v>637</v>
      </c>
      <c r="J1896">
        <v>5.23</v>
      </c>
      <c r="K1896">
        <v>0</v>
      </c>
    </row>
    <row r="1897" spans="1:11" x14ac:dyDescent="0.3">
      <c r="A1897">
        <v>1896</v>
      </c>
      <c r="B1897">
        <v>137</v>
      </c>
      <c r="C1897">
        <v>5</v>
      </c>
      <c r="D1897">
        <v>1767</v>
      </c>
      <c r="E1897" t="s">
        <v>651</v>
      </c>
      <c r="F1897">
        <v>5.14</v>
      </c>
      <c r="G1897" t="s">
        <v>623</v>
      </c>
      <c r="H1897" s="1">
        <v>46135.742025462961</v>
      </c>
      <c r="I1897" t="s">
        <v>637</v>
      </c>
      <c r="J1897">
        <v>5.14</v>
      </c>
      <c r="K1897">
        <v>0</v>
      </c>
    </row>
    <row r="1898" spans="1:11" x14ac:dyDescent="0.3">
      <c r="A1898">
        <v>1897</v>
      </c>
      <c r="B1898">
        <v>229</v>
      </c>
      <c r="C1898">
        <v>5</v>
      </c>
      <c r="D1898">
        <v>1768</v>
      </c>
      <c r="E1898" t="s">
        <v>651</v>
      </c>
      <c r="F1898">
        <v>4.05</v>
      </c>
      <c r="G1898" t="s">
        <v>623</v>
      </c>
      <c r="H1898" s="1">
        <v>46136.333773148152</v>
      </c>
      <c r="I1898" t="s">
        <v>637</v>
      </c>
      <c r="J1898">
        <v>4.05</v>
      </c>
      <c r="K1898">
        <v>0</v>
      </c>
    </row>
    <row r="1899" spans="1:11" x14ac:dyDescent="0.3">
      <c r="A1899">
        <v>1898</v>
      </c>
      <c r="B1899">
        <v>94</v>
      </c>
      <c r="C1899">
        <v>2</v>
      </c>
      <c r="D1899">
        <v>1769</v>
      </c>
      <c r="E1899" t="s">
        <v>651</v>
      </c>
      <c r="F1899">
        <v>15.67</v>
      </c>
      <c r="G1899" t="s">
        <v>623</v>
      </c>
      <c r="H1899" s="1">
        <v>46136.420173611114</v>
      </c>
      <c r="I1899" t="s">
        <v>637</v>
      </c>
      <c r="J1899">
        <v>15.67</v>
      </c>
      <c r="K1899">
        <v>0</v>
      </c>
    </row>
    <row r="1900" spans="1:11" x14ac:dyDescent="0.3">
      <c r="A1900">
        <v>1899</v>
      </c>
      <c r="B1900">
        <v>39</v>
      </c>
      <c r="C1900">
        <v>5</v>
      </c>
      <c r="D1900">
        <v>1770</v>
      </c>
      <c r="E1900" t="s">
        <v>657</v>
      </c>
      <c r="F1900">
        <v>255.8</v>
      </c>
      <c r="G1900" t="s">
        <v>623</v>
      </c>
      <c r="H1900" s="1">
        <v>46137.391759259262</v>
      </c>
      <c r="I1900" t="s">
        <v>637</v>
      </c>
      <c r="J1900">
        <v>0</v>
      </c>
      <c r="K1900">
        <v>255.8</v>
      </c>
    </row>
    <row r="1901" spans="1:11" x14ac:dyDescent="0.3">
      <c r="A1901">
        <v>1900</v>
      </c>
      <c r="B1901">
        <v>58</v>
      </c>
      <c r="C1901">
        <v>4</v>
      </c>
      <c r="D1901">
        <v>1771</v>
      </c>
      <c r="E1901" t="s">
        <v>651</v>
      </c>
      <c r="F1901">
        <v>12.25</v>
      </c>
      <c r="G1901" t="s">
        <v>623</v>
      </c>
      <c r="H1901" s="1">
        <v>46137.534594907411</v>
      </c>
      <c r="I1901" t="s">
        <v>637</v>
      </c>
      <c r="J1901">
        <v>12.25</v>
      </c>
      <c r="K1901">
        <v>0</v>
      </c>
    </row>
    <row r="1902" spans="1:11" x14ac:dyDescent="0.3">
      <c r="A1902">
        <v>1901</v>
      </c>
      <c r="B1902">
        <v>29</v>
      </c>
      <c r="C1902">
        <v>4</v>
      </c>
      <c r="D1902">
        <v>1772</v>
      </c>
      <c r="E1902" t="s">
        <v>651</v>
      </c>
      <c r="F1902">
        <v>1.6</v>
      </c>
      <c r="G1902" t="s">
        <v>623</v>
      </c>
      <c r="H1902" s="1">
        <v>46137.615300925929</v>
      </c>
      <c r="I1902" t="s">
        <v>637</v>
      </c>
      <c r="J1902">
        <v>1.6</v>
      </c>
      <c r="K1902">
        <v>0</v>
      </c>
    </row>
    <row r="1903" spans="1:11" x14ac:dyDescent="0.3">
      <c r="A1903">
        <v>1902</v>
      </c>
      <c r="B1903">
        <v>70</v>
      </c>
      <c r="C1903">
        <v>2</v>
      </c>
      <c r="D1903">
        <v>1773</v>
      </c>
      <c r="E1903" t="s">
        <v>651</v>
      </c>
      <c r="F1903">
        <v>18.96</v>
      </c>
      <c r="G1903" t="s">
        <v>623</v>
      </c>
      <c r="H1903" s="1">
        <v>46137.638969907406</v>
      </c>
      <c r="I1903" t="s">
        <v>637</v>
      </c>
      <c r="J1903">
        <v>18.96</v>
      </c>
      <c r="K1903">
        <v>0</v>
      </c>
    </row>
    <row r="1904" spans="1:11" x14ac:dyDescent="0.3">
      <c r="A1904">
        <v>1903</v>
      </c>
      <c r="B1904">
        <v>250</v>
      </c>
      <c r="C1904">
        <v>3</v>
      </c>
      <c r="D1904">
        <v>1766</v>
      </c>
      <c r="E1904" t="s">
        <v>649</v>
      </c>
      <c r="F1904">
        <v>-5.23</v>
      </c>
      <c r="G1904" t="s">
        <v>726</v>
      </c>
      <c r="H1904" s="1">
        <v>46137.657800925925</v>
      </c>
      <c r="I1904" t="s">
        <v>637</v>
      </c>
      <c r="J1904">
        <v>0</v>
      </c>
      <c r="K1904">
        <v>0</v>
      </c>
    </row>
    <row r="1905" spans="1:11" x14ac:dyDescent="0.3">
      <c r="A1905">
        <v>1904</v>
      </c>
      <c r="B1905">
        <v>261</v>
      </c>
      <c r="C1905">
        <v>2</v>
      </c>
      <c r="D1905">
        <v>1774</v>
      </c>
      <c r="E1905" t="s">
        <v>651</v>
      </c>
      <c r="F1905">
        <v>7.91</v>
      </c>
      <c r="G1905" t="s">
        <v>623</v>
      </c>
      <c r="H1905" s="1">
        <v>46137.697476851848</v>
      </c>
      <c r="I1905" t="s">
        <v>637</v>
      </c>
      <c r="J1905">
        <v>7.91</v>
      </c>
      <c r="K1905">
        <v>0</v>
      </c>
    </row>
    <row r="1906" spans="1:11" x14ac:dyDescent="0.3">
      <c r="A1906">
        <v>1905</v>
      </c>
      <c r="B1906">
        <v>39</v>
      </c>
      <c r="C1906">
        <v>3</v>
      </c>
      <c r="D1906">
        <v>1775</v>
      </c>
      <c r="E1906" t="s">
        <v>651</v>
      </c>
      <c r="F1906">
        <v>12.57</v>
      </c>
      <c r="G1906" t="s">
        <v>623</v>
      </c>
      <c r="H1906" s="1">
        <v>46137.748333333337</v>
      </c>
      <c r="I1906" t="s">
        <v>637</v>
      </c>
      <c r="J1906">
        <v>12.57</v>
      </c>
      <c r="K1906">
        <v>0</v>
      </c>
    </row>
    <row r="1907" spans="1:11" x14ac:dyDescent="0.3">
      <c r="A1907">
        <v>1906</v>
      </c>
      <c r="B1907">
        <v>210</v>
      </c>
      <c r="C1907">
        <v>2</v>
      </c>
      <c r="D1907">
        <v>1776</v>
      </c>
      <c r="E1907" t="s">
        <v>651</v>
      </c>
      <c r="F1907">
        <v>2.37</v>
      </c>
      <c r="G1907" t="s">
        <v>623</v>
      </c>
      <c r="H1907" s="1">
        <v>46137.751956018517</v>
      </c>
      <c r="I1907" t="s">
        <v>637</v>
      </c>
      <c r="J1907">
        <v>2.37</v>
      </c>
      <c r="K1907">
        <v>0</v>
      </c>
    </row>
    <row r="1908" spans="1:11" x14ac:dyDescent="0.3">
      <c r="A1908">
        <v>1907</v>
      </c>
      <c r="B1908">
        <v>46</v>
      </c>
      <c r="C1908">
        <v>3</v>
      </c>
      <c r="D1908">
        <v>1777</v>
      </c>
      <c r="E1908" t="s">
        <v>651</v>
      </c>
      <c r="F1908">
        <v>2.62</v>
      </c>
      <c r="G1908" t="s">
        <v>623</v>
      </c>
      <c r="H1908" s="1">
        <v>46137.787037037036</v>
      </c>
      <c r="I1908" t="s">
        <v>637</v>
      </c>
      <c r="J1908">
        <v>2.62</v>
      </c>
      <c r="K1908">
        <v>0</v>
      </c>
    </row>
    <row r="1909" spans="1:11" x14ac:dyDescent="0.3">
      <c r="A1909">
        <v>1908</v>
      </c>
      <c r="B1909">
        <v>106</v>
      </c>
      <c r="C1909">
        <v>5</v>
      </c>
      <c r="D1909">
        <v>1778</v>
      </c>
      <c r="E1909" t="s">
        <v>651</v>
      </c>
      <c r="F1909">
        <v>11.23</v>
      </c>
      <c r="G1909" t="s">
        <v>623</v>
      </c>
      <c r="H1909" s="1">
        <v>46138.379259259258</v>
      </c>
      <c r="I1909" t="s">
        <v>637</v>
      </c>
      <c r="J1909">
        <v>11.23</v>
      </c>
      <c r="K1909">
        <v>0</v>
      </c>
    </row>
    <row r="1910" spans="1:11" x14ac:dyDescent="0.3">
      <c r="A1910">
        <v>1909</v>
      </c>
      <c r="B1910">
        <v>149</v>
      </c>
      <c r="C1910">
        <v>2</v>
      </c>
      <c r="D1910">
        <v>1779</v>
      </c>
      <c r="E1910" t="s">
        <v>651</v>
      </c>
      <c r="F1910">
        <v>2</v>
      </c>
      <c r="G1910" t="s">
        <v>623</v>
      </c>
      <c r="H1910" s="1">
        <v>46138.472546296296</v>
      </c>
      <c r="I1910" t="s">
        <v>637</v>
      </c>
      <c r="J1910">
        <v>2</v>
      </c>
      <c r="K1910">
        <v>0</v>
      </c>
    </row>
    <row r="1911" spans="1:11" x14ac:dyDescent="0.3">
      <c r="A1911">
        <v>1910</v>
      </c>
      <c r="B1911">
        <v>250</v>
      </c>
      <c r="C1911">
        <v>4</v>
      </c>
      <c r="D1911">
        <v>1780</v>
      </c>
      <c r="E1911" t="s">
        <v>651</v>
      </c>
      <c r="F1911">
        <v>10.65</v>
      </c>
      <c r="G1911" t="s">
        <v>623</v>
      </c>
      <c r="H1911" s="1">
        <v>46138.606296296297</v>
      </c>
      <c r="I1911" t="s">
        <v>637</v>
      </c>
      <c r="J1911">
        <v>10.65</v>
      </c>
      <c r="K1911">
        <v>0</v>
      </c>
    </row>
    <row r="1912" spans="1:11" x14ac:dyDescent="0.3">
      <c r="A1912">
        <v>1911</v>
      </c>
      <c r="B1912">
        <v>32</v>
      </c>
      <c r="C1912">
        <v>4</v>
      </c>
      <c r="D1912">
        <v>1781</v>
      </c>
      <c r="E1912" t="s">
        <v>651</v>
      </c>
      <c r="F1912">
        <v>1.74</v>
      </c>
      <c r="G1912" t="s">
        <v>623</v>
      </c>
      <c r="H1912" s="1">
        <v>46139.375949074078</v>
      </c>
      <c r="I1912" t="s">
        <v>637</v>
      </c>
      <c r="J1912">
        <v>1.74</v>
      </c>
      <c r="K1912">
        <v>0</v>
      </c>
    </row>
    <row r="1913" spans="1:11" x14ac:dyDescent="0.3">
      <c r="A1913">
        <v>1912</v>
      </c>
      <c r="B1913">
        <v>98</v>
      </c>
      <c r="C1913">
        <v>2</v>
      </c>
      <c r="D1913">
        <v>1782</v>
      </c>
      <c r="E1913" t="s">
        <v>651</v>
      </c>
      <c r="F1913">
        <v>6.99</v>
      </c>
      <c r="G1913" t="s">
        <v>623</v>
      </c>
      <c r="H1913" s="1">
        <v>46139.406458333331</v>
      </c>
      <c r="I1913" t="s">
        <v>637</v>
      </c>
      <c r="J1913">
        <v>6.99</v>
      </c>
      <c r="K1913">
        <v>0</v>
      </c>
    </row>
    <row r="1914" spans="1:11" x14ac:dyDescent="0.3">
      <c r="A1914">
        <v>1913</v>
      </c>
      <c r="B1914">
        <v>243</v>
      </c>
      <c r="C1914">
        <v>2</v>
      </c>
      <c r="D1914">
        <v>1783</v>
      </c>
      <c r="E1914" t="s">
        <v>651</v>
      </c>
      <c r="F1914">
        <v>5.56</v>
      </c>
      <c r="G1914" t="s">
        <v>623</v>
      </c>
      <c r="H1914" s="1">
        <v>46139.407916666663</v>
      </c>
      <c r="I1914" t="s">
        <v>637</v>
      </c>
      <c r="J1914">
        <v>5.56</v>
      </c>
      <c r="K1914">
        <v>0</v>
      </c>
    </row>
    <row r="1915" spans="1:11" x14ac:dyDescent="0.3">
      <c r="A1915">
        <v>1914</v>
      </c>
      <c r="B1915">
        <v>145</v>
      </c>
      <c r="C1915">
        <v>4</v>
      </c>
      <c r="D1915">
        <v>1784</v>
      </c>
      <c r="E1915" t="s">
        <v>651</v>
      </c>
      <c r="F1915">
        <v>20.77</v>
      </c>
      <c r="G1915" t="s">
        <v>623</v>
      </c>
      <c r="H1915" s="1">
        <v>46139.421435185184</v>
      </c>
      <c r="I1915" t="s">
        <v>637</v>
      </c>
      <c r="J1915">
        <v>20.77</v>
      </c>
      <c r="K1915">
        <v>0</v>
      </c>
    </row>
    <row r="1916" spans="1:11" x14ac:dyDescent="0.3">
      <c r="A1916">
        <v>1915</v>
      </c>
      <c r="B1916">
        <v>243</v>
      </c>
      <c r="C1916">
        <v>5</v>
      </c>
      <c r="D1916">
        <v>1785</v>
      </c>
      <c r="E1916" t="s">
        <v>651</v>
      </c>
      <c r="F1916">
        <v>1.36</v>
      </c>
      <c r="G1916" t="s">
        <v>623</v>
      </c>
      <c r="H1916" s="1">
        <v>46139.429652777777</v>
      </c>
      <c r="I1916" t="s">
        <v>637</v>
      </c>
      <c r="J1916">
        <v>1.36</v>
      </c>
      <c r="K1916">
        <v>0</v>
      </c>
    </row>
    <row r="1917" spans="1:11" x14ac:dyDescent="0.3">
      <c r="A1917">
        <v>1916</v>
      </c>
      <c r="B1917">
        <v>7</v>
      </c>
      <c r="C1917">
        <v>2</v>
      </c>
      <c r="D1917">
        <v>1786</v>
      </c>
      <c r="E1917" t="s">
        <v>651</v>
      </c>
      <c r="F1917">
        <v>19.11</v>
      </c>
      <c r="G1917" t="s">
        <v>623</v>
      </c>
      <c r="H1917" s="1">
        <v>46139.580775462964</v>
      </c>
      <c r="I1917" t="s">
        <v>637</v>
      </c>
      <c r="J1917">
        <v>19.11</v>
      </c>
      <c r="K1917">
        <v>0</v>
      </c>
    </row>
    <row r="1918" spans="1:11" x14ac:dyDescent="0.3">
      <c r="A1918">
        <v>1917</v>
      </c>
      <c r="B1918">
        <v>150</v>
      </c>
      <c r="C1918">
        <v>3</v>
      </c>
      <c r="D1918">
        <v>1787</v>
      </c>
      <c r="E1918" t="s">
        <v>651</v>
      </c>
      <c r="F1918">
        <v>7.62</v>
      </c>
      <c r="G1918" t="s">
        <v>623</v>
      </c>
      <c r="H1918" s="1">
        <v>46139.602210648147</v>
      </c>
      <c r="I1918" t="s">
        <v>637</v>
      </c>
      <c r="J1918">
        <v>7.62</v>
      </c>
      <c r="K1918">
        <v>0</v>
      </c>
    </row>
    <row r="1919" spans="1:11" x14ac:dyDescent="0.3">
      <c r="A1919">
        <v>1918</v>
      </c>
      <c r="B1919">
        <v>202</v>
      </c>
      <c r="C1919">
        <v>3</v>
      </c>
      <c r="D1919">
        <v>1788</v>
      </c>
      <c r="E1919" t="s">
        <v>657</v>
      </c>
      <c r="F1919">
        <v>20.41</v>
      </c>
      <c r="G1919" t="s">
        <v>623</v>
      </c>
      <c r="H1919" s="1">
        <v>46139.680914351855</v>
      </c>
      <c r="I1919" t="s">
        <v>637</v>
      </c>
      <c r="J1919">
        <v>0</v>
      </c>
      <c r="K1919">
        <v>20.41</v>
      </c>
    </row>
    <row r="1920" spans="1:11" x14ac:dyDescent="0.3">
      <c r="A1920">
        <v>1919</v>
      </c>
      <c r="B1920">
        <v>202</v>
      </c>
      <c r="C1920">
        <v>2</v>
      </c>
      <c r="D1920">
        <v>1789</v>
      </c>
      <c r="E1920" t="s">
        <v>651</v>
      </c>
      <c r="F1920">
        <v>4.79</v>
      </c>
      <c r="G1920" t="s">
        <v>623</v>
      </c>
      <c r="H1920" s="1">
        <v>46140.322314814817</v>
      </c>
      <c r="I1920" t="s">
        <v>637</v>
      </c>
      <c r="J1920">
        <v>4.79</v>
      </c>
      <c r="K1920">
        <v>0</v>
      </c>
    </row>
    <row r="1921" spans="1:11" x14ac:dyDescent="0.3">
      <c r="A1921">
        <v>1920</v>
      </c>
      <c r="B1921">
        <v>105</v>
      </c>
      <c r="C1921">
        <v>4</v>
      </c>
      <c r="D1921">
        <v>1790</v>
      </c>
      <c r="E1921" t="s">
        <v>651</v>
      </c>
      <c r="F1921">
        <v>8.34</v>
      </c>
      <c r="G1921" t="s">
        <v>623</v>
      </c>
      <c r="H1921" s="1">
        <v>46140.432789351849</v>
      </c>
      <c r="I1921" t="s">
        <v>637</v>
      </c>
      <c r="J1921">
        <v>8.34</v>
      </c>
      <c r="K1921">
        <v>0</v>
      </c>
    </row>
    <row r="1922" spans="1:11" x14ac:dyDescent="0.3">
      <c r="A1922">
        <v>1921</v>
      </c>
      <c r="B1922">
        <v>172</v>
      </c>
      <c r="C1922">
        <v>3</v>
      </c>
      <c r="D1922">
        <v>1791</v>
      </c>
      <c r="E1922" t="s">
        <v>651</v>
      </c>
      <c r="F1922">
        <v>4.07</v>
      </c>
      <c r="G1922" t="s">
        <v>623</v>
      </c>
      <c r="H1922" s="1">
        <v>46140.587453703702</v>
      </c>
      <c r="I1922" t="s">
        <v>637</v>
      </c>
      <c r="J1922">
        <v>4.07</v>
      </c>
      <c r="K1922">
        <v>0</v>
      </c>
    </row>
    <row r="1923" spans="1:11" x14ac:dyDescent="0.3">
      <c r="A1923">
        <v>1922</v>
      </c>
      <c r="B1923">
        <v>176</v>
      </c>
      <c r="C1923">
        <v>5</v>
      </c>
      <c r="D1923">
        <v>1792</v>
      </c>
      <c r="E1923" t="s">
        <v>651</v>
      </c>
      <c r="F1923">
        <v>28.72</v>
      </c>
      <c r="G1923" t="s">
        <v>623</v>
      </c>
      <c r="H1923" s="1">
        <v>46140.611759259256</v>
      </c>
      <c r="I1923" t="s">
        <v>637</v>
      </c>
      <c r="J1923">
        <v>28.72</v>
      </c>
      <c r="K1923">
        <v>0</v>
      </c>
    </row>
    <row r="1924" spans="1:11" x14ac:dyDescent="0.3">
      <c r="A1924">
        <v>1923</v>
      </c>
      <c r="B1924">
        <v>229</v>
      </c>
      <c r="C1924">
        <v>3</v>
      </c>
      <c r="D1924">
        <v>1793</v>
      </c>
      <c r="E1924" t="s">
        <v>651</v>
      </c>
      <c r="F1924">
        <v>10.77</v>
      </c>
      <c r="G1924" t="s">
        <v>623</v>
      </c>
      <c r="H1924" s="1">
        <v>46140.681377314817</v>
      </c>
      <c r="I1924" t="s">
        <v>637</v>
      </c>
      <c r="J1924">
        <v>10.77</v>
      </c>
      <c r="K1924">
        <v>0</v>
      </c>
    </row>
    <row r="1925" spans="1:11" x14ac:dyDescent="0.3">
      <c r="A1925">
        <v>1924</v>
      </c>
      <c r="B1925">
        <v>250</v>
      </c>
      <c r="C1925">
        <v>2</v>
      </c>
      <c r="D1925">
        <v>1794</v>
      </c>
      <c r="E1925" t="s">
        <v>651</v>
      </c>
      <c r="F1925">
        <v>10.78</v>
      </c>
      <c r="G1925" t="s">
        <v>623</v>
      </c>
      <c r="H1925" s="1">
        <v>46140.725254629629</v>
      </c>
      <c r="I1925" t="s">
        <v>637</v>
      </c>
      <c r="J1925">
        <v>10.78</v>
      </c>
      <c r="K1925">
        <v>0</v>
      </c>
    </row>
    <row r="1926" spans="1:11" x14ac:dyDescent="0.3">
      <c r="A1926">
        <v>1925</v>
      </c>
      <c r="B1926">
        <v>201</v>
      </c>
      <c r="C1926">
        <v>5</v>
      </c>
      <c r="D1926">
        <v>1795</v>
      </c>
      <c r="E1926" t="s">
        <v>651</v>
      </c>
      <c r="F1926">
        <v>3.53</v>
      </c>
      <c r="G1926" t="s">
        <v>623</v>
      </c>
      <c r="H1926" s="1">
        <v>46140.786238425928</v>
      </c>
      <c r="I1926" t="s">
        <v>637</v>
      </c>
      <c r="J1926">
        <v>3.53</v>
      </c>
      <c r="K1926">
        <v>0</v>
      </c>
    </row>
    <row r="1927" spans="1:11" x14ac:dyDescent="0.3">
      <c r="A1927">
        <v>1926</v>
      </c>
      <c r="B1927">
        <v>163</v>
      </c>
      <c r="C1927">
        <v>5</v>
      </c>
      <c r="D1927">
        <v>1796</v>
      </c>
      <c r="E1927" t="s">
        <v>651</v>
      </c>
      <c r="F1927">
        <v>3.63</v>
      </c>
      <c r="G1927" t="s">
        <v>623</v>
      </c>
      <c r="H1927" s="1">
        <v>46140.796354166669</v>
      </c>
      <c r="I1927" t="s">
        <v>637</v>
      </c>
      <c r="J1927">
        <v>3.63</v>
      </c>
      <c r="K1927">
        <v>0</v>
      </c>
    </row>
    <row r="1928" spans="1:11" x14ac:dyDescent="0.3">
      <c r="A1928">
        <v>1927</v>
      </c>
      <c r="B1928">
        <v>250</v>
      </c>
      <c r="C1928">
        <v>2</v>
      </c>
      <c r="D1928">
        <v>1797</v>
      </c>
      <c r="E1928" t="s">
        <v>651</v>
      </c>
      <c r="F1928">
        <v>6.19</v>
      </c>
      <c r="G1928" t="s">
        <v>623</v>
      </c>
      <c r="H1928" s="1">
        <v>46141.303217592591</v>
      </c>
      <c r="I1928" t="s">
        <v>637</v>
      </c>
      <c r="J1928">
        <v>6.19</v>
      </c>
      <c r="K1928">
        <v>0</v>
      </c>
    </row>
    <row r="1929" spans="1:11" x14ac:dyDescent="0.3">
      <c r="A1929">
        <v>1928</v>
      </c>
      <c r="B1929">
        <v>117</v>
      </c>
      <c r="C1929">
        <v>2</v>
      </c>
      <c r="D1929">
        <v>1798</v>
      </c>
      <c r="E1929" t="s">
        <v>657</v>
      </c>
      <c r="F1929">
        <v>63.06</v>
      </c>
      <c r="G1929" t="s">
        <v>623</v>
      </c>
      <c r="H1929" s="1">
        <v>46141.3125</v>
      </c>
      <c r="I1929" t="s">
        <v>637</v>
      </c>
      <c r="J1929">
        <v>0</v>
      </c>
      <c r="K1929">
        <v>63.06</v>
      </c>
    </row>
    <row r="1930" spans="1:11" x14ac:dyDescent="0.3">
      <c r="A1930">
        <v>1929</v>
      </c>
      <c r="B1930">
        <v>162</v>
      </c>
      <c r="C1930">
        <v>3</v>
      </c>
      <c r="D1930">
        <v>1799</v>
      </c>
      <c r="E1930" t="s">
        <v>651</v>
      </c>
      <c r="F1930">
        <v>6.8</v>
      </c>
      <c r="G1930" t="s">
        <v>623</v>
      </c>
      <c r="H1930" s="1">
        <v>46141.317511574074</v>
      </c>
      <c r="I1930" t="s">
        <v>637</v>
      </c>
      <c r="J1930">
        <v>6.8</v>
      </c>
      <c r="K1930">
        <v>0</v>
      </c>
    </row>
    <row r="1931" spans="1:11" x14ac:dyDescent="0.3">
      <c r="A1931">
        <v>1930</v>
      </c>
      <c r="B1931">
        <v>249</v>
      </c>
      <c r="C1931">
        <v>5</v>
      </c>
      <c r="D1931">
        <v>1800</v>
      </c>
      <c r="E1931" t="s">
        <v>651</v>
      </c>
      <c r="F1931">
        <v>9.69</v>
      </c>
      <c r="G1931" t="s">
        <v>623</v>
      </c>
      <c r="H1931" s="1">
        <v>46141.363125000003</v>
      </c>
      <c r="I1931" t="s">
        <v>637</v>
      </c>
      <c r="J1931">
        <v>9.69</v>
      </c>
      <c r="K1931">
        <v>0</v>
      </c>
    </row>
    <row r="1932" spans="1:11" x14ac:dyDescent="0.3">
      <c r="A1932">
        <v>1931</v>
      </c>
      <c r="B1932">
        <v>156</v>
      </c>
      <c r="C1932">
        <v>4</v>
      </c>
      <c r="D1932">
        <v>1801</v>
      </c>
      <c r="E1932" t="s">
        <v>651</v>
      </c>
      <c r="F1932">
        <v>1.06</v>
      </c>
      <c r="G1932" t="s">
        <v>623</v>
      </c>
      <c r="H1932" s="1">
        <v>46141.37190972222</v>
      </c>
      <c r="I1932" t="s">
        <v>637</v>
      </c>
      <c r="J1932">
        <v>1.06</v>
      </c>
      <c r="K1932">
        <v>0</v>
      </c>
    </row>
    <row r="1933" spans="1:11" x14ac:dyDescent="0.3">
      <c r="A1933">
        <v>1932</v>
      </c>
      <c r="B1933">
        <v>156</v>
      </c>
      <c r="C1933">
        <v>5</v>
      </c>
      <c r="D1933">
        <v>1802</v>
      </c>
      <c r="E1933" t="s">
        <v>651</v>
      </c>
      <c r="F1933">
        <v>1.57</v>
      </c>
      <c r="G1933" t="s">
        <v>623</v>
      </c>
      <c r="H1933" s="1">
        <v>46141.507881944446</v>
      </c>
      <c r="I1933" t="s">
        <v>637</v>
      </c>
      <c r="J1933">
        <v>1.57</v>
      </c>
      <c r="K1933">
        <v>0</v>
      </c>
    </row>
    <row r="1934" spans="1:11" x14ac:dyDescent="0.3">
      <c r="A1934">
        <v>1933</v>
      </c>
      <c r="B1934">
        <v>16</v>
      </c>
      <c r="C1934">
        <v>5</v>
      </c>
      <c r="D1934">
        <v>1803</v>
      </c>
      <c r="E1934" t="s">
        <v>651</v>
      </c>
      <c r="F1934">
        <v>23.18</v>
      </c>
      <c r="G1934" t="s">
        <v>623</v>
      </c>
      <c r="H1934" s="1">
        <v>46141.61787037037</v>
      </c>
      <c r="I1934" t="s">
        <v>637</v>
      </c>
      <c r="J1934">
        <v>23.18</v>
      </c>
      <c r="K1934">
        <v>0</v>
      </c>
    </row>
    <row r="1935" spans="1:11" x14ac:dyDescent="0.3">
      <c r="A1935">
        <v>1934</v>
      </c>
      <c r="B1935">
        <v>166</v>
      </c>
      <c r="C1935">
        <v>4</v>
      </c>
      <c r="D1935">
        <v>1804</v>
      </c>
      <c r="E1935" t="s">
        <v>651</v>
      </c>
      <c r="F1935">
        <v>7.17</v>
      </c>
      <c r="G1935" t="s">
        <v>623</v>
      </c>
      <c r="H1935" s="1">
        <v>46141.7424537037</v>
      </c>
      <c r="I1935" t="s">
        <v>637</v>
      </c>
      <c r="J1935">
        <v>7.17</v>
      </c>
      <c r="K1935">
        <v>0</v>
      </c>
    </row>
    <row r="1936" spans="1:11" x14ac:dyDescent="0.3">
      <c r="A1936">
        <v>1935</v>
      </c>
      <c r="B1936">
        <v>252</v>
      </c>
      <c r="C1936">
        <v>3</v>
      </c>
      <c r="D1936">
        <v>1805</v>
      </c>
      <c r="E1936" t="s">
        <v>651</v>
      </c>
      <c r="F1936">
        <v>3.92</v>
      </c>
      <c r="G1936" t="s">
        <v>623</v>
      </c>
      <c r="H1936" s="1">
        <v>46141.748217592591</v>
      </c>
      <c r="I1936" t="s">
        <v>637</v>
      </c>
      <c r="J1936">
        <v>3.92</v>
      </c>
      <c r="K1936">
        <v>0</v>
      </c>
    </row>
    <row r="1937" spans="1:11" x14ac:dyDescent="0.3">
      <c r="A1937">
        <v>1936</v>
      </c>
      <c r="B1937">
        <v>217</v>
      </c>
      <c r="C1937">
        <v>2</v>
      </c>
      <c r="D1937">
        <v>1806</v>
      </c>
      <c r="E1937" t="s">
        <v>651</v>
      </c>
      <c r="F1937">
        <v>3.1</v>
      </c>
      <c r="G1937" t="s">
        <v>623</v>
      </c>
      <c r="H1937" s="1">
        <v>46141.822500000002</v>
      </c>
      <c r="I1937" t="s">
        <v>637</v>
      </c>
      <c r="J1937">
        <v>3.1</v>
      </c>
      <c r="K1937">
        <v>0</v>
      </c>
    </row>
    <row r="1938" spans="1:11" x14ac:dyDescent="0.3">
      <c r="A1938">
        <v>1937</v>
      </c>
      <c r="B1938">
        <v>202</v>
      </c>
      <c r="C1938">
        <v>3</v>
      </c>
      <c r="D1938">
        <v>1789</v>
      </c>
      <c r="E1938" t="s">
        <v>649</v>
      </c>
      <c r="F1938">
        <v>-4.79</v>
      </c>
      <c r="G1938" t="s">
        <v>727</v>
      </c>
      <c r="H1938" s="1">
        <v>46142.197314814817</v>
      </c>
      <c r="I1938" t="s">
        <v>637</v>
      </c>
      <c r="J1938">
        <v>0</v>
      </c>
      <c r="K1938">
        <v>0</v>
      </c>
    </row>
    <row r="1939" spans="1:11" x14ac:dyDescent="0.3">
      <c r="A1939">
        <v>1938</v>
      </c>
      <c r="B1939">
        <v>110</v>
      </c>
      <c r="C1939">
        <v>4</v>
      </c>
      <c r="D1939">
        <v>1807</v>
      </c>
      <c r="E1939" t="s">
        <v>651</v>
      </c>
      <c r="F1939">
        <v>3.59</v>
      </c>
      <c r="G1939" t="s">
        <v>623</v>
      </c>
      <c r="H1939" s="1">
        <v>46142.394606481481</v>
      </c>
      <c r="I1939" t="s">
        <v>637</v>
      </c>
      <c r="J1939">
        <v>3.59</v>
      </c>
      <c r="K1939">
        <v>0</v>
      </c>
    </row>
    <row r="1940" spans="1:11" x14ac:dyDescent="0.3">
      <c r="A1940">
        <v>1939</v>
      </c>
      <c r="B1940">
        <v>232</v>
      </c>
      <c r="C1940">
        <v>2</v>
      </c>
      <c r="D1940">
        <v>1808</v>
      </c>
      <c r="E1940" t="s">
        <v>651</v>
      </c>
      <c r="F1940">
        <v>1.96</v>
      </c>
      <c r="G1940" t="s">
        <v>623</v>
      </c>
      <c r="H1940" s="1">
        <v>46142.400787037041</v>
      </c>
      <c r="I1940" t="s">
        <v>637</v>
      </c>
      <c r="J1940">
        <v>1.96</v>
      </c>
      <c r="K1940">
        <v>0</v>
      </c>
    </row>
    <row r="1941" spans="1:11" x14ac:dyDescent="0.3">
      <c r="A1941">
        <v>1940</v>
      </c>
      <c r="B1941">
        <v>44</v>
      </c>
      <c r="C1941">
        <v>4</v>
      </c>
      <c r="D1941">
        <v>1809</v>
      </c>
      <c r="E1941" t="s">
        <v>651</v>
      </c>
      <c r="F1941">
        <v>4.1100000000000003</v>
      </c>
      <c r="G1941" t="s">
        <v>623</v>
      </c>
      <c r="H1941" s="1">
        <v>46142.412731481483</v>
      </c>
      <c r="I1941" t="s">
        <v>637</v>
      </c>
      <c r="J1941">
        <v>4.1100000000000003</v>
      </c>
      <c r="K1941">
        <v>0</v>
      </c>
    </row>
    <row r="1942" spans="1:11" x14ac:dyDescent="0.3">
      <c r="A1942">
        <v>1941</v>
      </c>
      <c r="B1942">
        <v>185</v>
      </c>
      <c r="C1942">
        <v>4</v>
      </c>
      <c r="D1942">
        <v>1810</v>
      </c>
      <c r="E1942" t="s">
        <v>651</v>
      </c>
      <c r="F1942">
        <v>5.57</v>
      </c>
      <c r="G1942" t="s">
        <v>623</v>
      </c>
      <c r="H1942" s="1">
        <v>46142.417048611111</v>
      </c>
      <c r="I1942" t="s">
        <v>637</v>
      </c>
      <c r="J1942">
        <v>5.57</v>
      </c>
      <c r="K1942">
        <v>0</v>
      </c>
    </row>
    <row r="1943" spans="1:11" x14ac:dyDescent="0.3">
      <c r="A1943">
        <v>1942</v>
      </c>
      <c r="B1943">
        <v>91</v>
      </c>
      <c r="C1943">
        <v>4</v>
      </c>
      <c r="D1943">
        <v>1811</v>
      </c>
      <c r="E1943" t="s">
        <v>651</v>
      </c>
      <c r="F1943">
        <v>2.25</v>
      </c>
      <c r="G1943" t="s">
        <v>623</v>
      </c>
      <c r="H1943" s="1">
        <v>46142.480231481481</v>
      </c>
      <c r="I1943" t="s">
        <v>637</v>
      </c>
      <c r="J1943">
        <v>2.25</v>
      </c>
      <c r="K1943">
        <v>0</v>
      </c>
    </row>
    <row r="1944" spans="1:11" x14ac:dyDescent="0.3">
      <c r="A1944">
        <v>1943</v>
      </c>
      <c r="B1944">
        <v>250</v>
      </c>
      <c r="C1944">
        <v>2</v>
      </c>
      <c r="D1944">
        <v>1812</v>
      </c>
      <c r="E1944" t="s">
        <v>651</v>
      </c>
      <c r="F1944">
        <v>15.3</v>
      </c>
      <c r="G1944" t="s">
        <v>623</v>
      </c>
      <c r="H1944" s="1">
        <v>46142.730775462966</v>
      </c>
      <c r="I1944" t="s">
        <v>637</v>
      </c>
      <c r="J1944">
        <v>15.3</v>
      </c>
      <c r="K1944">
        <v>0</v>
      </c>
    </row>
    <row r="1945" spans="1:11" x14ac:dyDescent="0.3">
      <c r="A1945">
        <v>1944</v>
      </c>
      <c r="B1945">
        <v>156</v>
      </c>
      <c r="C1945">
        <v>4</v>
      </c>
      <c r="D1945">
        <v>1813</v>
      </c>
      <c r="E1945" t="s">
        <v>651</v>
      </c>
      <c r="F1945">
        <v>3.51</v>
      </c>
      <c r="G1945" t="s">
        <v>623</v>
      </c>
      <c r="H1945" s="1">
        <v>46142.775833333333</v>
      </c>
      <c r="I1945" t="s">
        <v>637</v>
      </c>
      <c r="J1945">
        <v>3.51</v>
      </c>
      <c r="K1945">
        <v>0</v>
      </c>
    </row>
    <row r="1946" spans="1:11" x14ac:dyDescent="0.3">
      <c r="A1946">
        <v>1945</v>
      </c>
      <c r="B1946">
        <v>229</v>
      </c>
      <c r="C1946">
        <v>4</v>
      </c>
      <c r="D1946">
        <v>1814</v>
      </c>
      <c r="E1946" t="s">
        <v>651</v>
      </c>
      <c r="F1946">
        <v>7.54</v>
      </c>
      <c r="G1946" t="s">
        <v>623</v>
      </c>
      <c r="H1946" s="1">
        <v>46142.790416666663</v>
      </c>
      <c r="I1946" t="s">
        <v>637</v>
      </c>
      <c r="J1946">
        <v>7.54</v>
      </c>
      <c r="K1946">
        <v>0</v>
      </c>
    </row>
    <row r="1947" spans="1:11" x14ac:dyDescent="0.3">
      <c r="A1947">
        <v>1946</v>
      </c>
      <c r="B1947">
        <v>149</v>
      </c>
      <c r="C1947">
        <v>4</v>
      </c>
      <c r="D1947">
        <v>1815</v>
      </c>
      <c r="E1947" t="s">
        <v>651</v>
      </c>
      <c r="F1947">
        <v>2.4300000000000002</v>
      </c>
      <c r="G1947" t="s">
        <v>623</v>
      </c>
      <c r="H1947" s="1">
        <v>46143.306504629632</v>
      </c>
      <c r="I1947" t="s">
        <v>638</v>
      </c>
      <c r="J1947">
        <v>2.4300000000000002</v>
      </c>
      <c r="K1947">
        <v>0</v>
      </c>
    </row>
    <row r="1948" spans="1:11" x14ac:dyDescent="0.3">
      <c r="A1948">
        <v>1947</v>
      </c>
      <c r="B1948">
        <v>250</v>
      </c>
      <c r="C1948">
        <v>3</v>
      </c>
      <c r="D1948">
        <v>1816</v>
      </c>
      <c r="E1948" t="s">
        <v>651</v>
      </c>
      <c r="F1948">
        <v>12.2</v>
      </c>
      <c r="G1948" t="s">
        <v>623</v>
      </c>
      <c r="H1948" s="1">
        <v>46143.337789351855</v>
      </c>
      <c r="I1948" t="s">
        <v>638</v>
      </c>
      <c r="J1948">
        <v>12.2</v>
      </c>
      <c r="K1948">
        <v>0</v>
      </c>
    </row>
    <row r="1949" spans="1:11" x14ac:dyDescent="0.3">
      <c r="A1949">
        <v>1948</v>
      </c>
      <c r="B1949">
        <v>105</v>
      </c>
      <c r="C1949">
        <v>2</v>
      </c>
      <c r="D1949">
        <v>1817</v>
      </c>
      <c r="E1949" t="s">
        <v>651</v>
      </c>
      <c r="F1949">
        <v>11</v>
      </c>
      <c r="G1949" t="s">
        <v>623</v>
      </c>
      <c r="H1949" s="1">
        <v>46143.351747685185</v>
      </c>
      <c r="I1949" t="s">
        <v>638</v>
      </c>
      <c r="J1949">
        <v>11</v>
      </c>
      <c r="K1949">
        <v>0</v>
      </c>
    </row>
    <row r="1950" spans="1:11" x14ac:dyDescent="0.3">
      <c r="A1950">
        <v>1949</v>
      </c>
      <c r="B1950">
        <v>243</v>
      </c>
      <c r="C1950">
        <v>3</v>
      </c>
      <c r="D1950">
        <v>1818</v>
      </c>
      <c r="E1950" t="s">
        <v>651</v>
      </c>
      <c r="F1950">
        <v>3.05</v>
      </c>
      <c r="G1950" t="s">
        <v>623</v>
      </c>
      <c r="H1950" s="1">
        <v>46143.380497685182</v>
      </c>
      <c r="I1950" t="s">
        <v>638</v>
      </c>
      <c r="J1950">
        <v>3.05</v>
      </c>
      <c r="K1950">
        <v>0</v>
      </c>
    </row>
    <row r="1951" spans="1:11" x14ac:dyDescent="0.3">
      <c r="A1951">
        <v>1950</v>
      </c>
      <c r="B1951">
        <v>179</v>
      </c>
      <c r="C1951">
        <v>5</v>
      </c>
      <c r="D1951">
        <v>1819</v>
      </c>
      <c r="E1951" t="s">
        <v>651</v>
      </c>
      <c r="F1951">
        <v>17.73</v>
      </c>
      <c r="G1951" t="s">
        <v>623</v>
      </c>
      <c r="H1951" s="1">
        <v>46143.416261574072</v>
      </c>
      <c r="I1951" t="s">
        <v>638</v>
      </c>
      <c r="J1951">
        <v>17.73</v>
      </c>
      <c r="K1951">
        <v>0</v>
      </c>
    </row>
    <row r="1952" spans="1:11" x14ac:dyDescent="0.3">
      <c r="A1952">
        <v>1951</v>
      </c>
      <c r="B1952">
        <v>156</v>
      </c>
      <c r="C1952">
        <v>3</v>
      </c>
      <c r="D1952">
        <v>1820</v>
      </c>
      <c r="E1952" t="s">
        <v>651</v>
      </c>
      <c r="F1952">
        <v>2.95</v>
      </c>
      <c r="G1952" t="s">
        <v>623</v>
      </c>
      <c r="H1952" s="1">
        <v>46143.430868055555</v>
      </c>
      <c r="I1952" t="s">
        <v>638</v>
      </c>
      <c r="J1952">
        <v>2.95</v>
      </c>
      <c r="K1952">
        <v>0</v>
      </c>
    </row>
    <row r="1953" spans="1:11" x14ac:dyDescent="0.3">
      <c r="A1953">
        <v>1952</v>
      </c>
      <c r="B1953">
        <v>137</v>
      </c>
      <c r="C1953">
        <v>5</v>
      </c>
      <c r="D1953">
        <v>1821</v>
      </c>
      <c r="E1953" t="s">
        <v>651</v>
      </c>
      <c r="F1953">
        <v>2.69</v>
      </c>
      <c r="G1953" t="s">
        <v>623</v>
      </c>
      <c r="H1953" s="1">
        <v>46143.455833333333</v>
      </c>
      <c r="I1953" t="s">
        <v>638</v>
      </c>
      <c r="J1953">
        <v>2.69</v>
      </c>
      <c r="K1953">
        <v>0</v>
      </c>
    </row>
    <row r="1954" spans="1:11" x14ac:dyDescent="0.3">
      <c r="A1954">
        <v>1953</v>
      </c>
      <c r="B1954">
        <v>200</v>
      </c>
      <c r="C1954">
        <v>5</v>
      </c>
      <c r="D1954">
        <v>1822</v>
      </c>
      <c r="E1954" t="s">
        <v>651</v>
      </c>
      <c r="F1954">
        <v>2.5499999999999998</v>
      </c>
      <c r="G1954" t="s">
        <v>623</v>
      </c>
      <c r="H1954" s="1">
        <v>46143.462534722225</v>
      </c>
      <c r="I1954" t="s">
        <v>638</v>
      </c>
      <c r="J1954">
        <v>2.5499999999999998</v>
      </c>
      <c r="K1954">
        <v>0</v>
      </c>
    </row>
    <row r="1955" spans="1:11" x14ac:dyDescent="0.3">
      <c r="A1955">
        <v>1954</v>
      </c>
      <c r="B1955">
        <v>301</v>
      </c>
      <c r="C1955">
        <v>3</v>
      </c>
      <c r="D1955">
        <v>1823</v>
      </c>
      <c r="E1955" t="s">
        <v>651</v>
      </c>
      <c r="F1955">
        <v>8.85</v>
      </c>
      <c r="G1955" t="s">
        <v>623</v>
      </c>
      <c r="H1955" s="1">
        <v>46143.464814814812</v>
      </c>
      <c r="I1955" t="s">
        <v>638</v>
      </c>
      <c r="J1955">
        <v>8.85</v>
      </c>
      <c r="K1955">
        <v>0</v>
      </c>
    </row>
    <row r="1956" spans="1:11" x14ac:dyDescent="0.3">
      <c r="A1956">
        <v>1955</v>
      </c>
      <c r="B1956">
        <v>131</v>
      </c>
      <c r="C1956">
        <v>2</v>
      </c>
      <c r="D1956">
        <v>1824</v>
      </c>
      <c r="E1956" t="s">
        <v>651</v>
      </c>
      <c r="F1956">
        <v>21.43</v>
      </c>
      <c r="G1956" t="s">
        <v>623</v>
      </c>
      <c r="H1956" s="1">
        <v>46143.475219907406</v>
      </c>
      <c r="I1956" t="s">
        <v>638</v>
      </c>
      <c r="J1956">
        <v>21.43</v>
      </c>
      <c r="K1956">
        <v>0</v>
      </c>
    </row>
    <row r="1957" spans="1:11" x14ac:dyDescent="0.3">
      <c r="A1957">
        <v>1956</v>
      </c>
      <c r="B1957">
        <v>190</v>
      </c>
      <c r="C1957">
        <v>3</v>
      </c>
      <c r="D1957">
        <v>1825</v>
      </c>
      <c r="E1957" t="s">
        <v>651</v>
      </c>
      <c r="F1957">
        <v>16.89</v>
      </c>
      <c r="G1957" t="s">
        <v>623</v>
      </c>
      <c r="H1957" s="1">
        <v>46143.489629629628</v>
      </c>
      <c r="I1957" t="s">
        <v>638</v>
      </c>
      <c r="J1957">
        <v>16.89</v>
      </c>
      <c r="K1957">
        <v>0</v>
      </c>
    </row>
    <row r="1958" spans="1:11" x14ac:dyDescent="0.3">
      <c r="A1958">
        <v>1957</v>
      </c>
      <c r="B1958">
        <v>116</v>
      </c>
      <c r="C1958">
        <v>2</v>
      </c>
      <c r="D1958">
        <v>1826</v>
      </c>
      <c r="E1958" t="s">
        <v>651</v>
      </c>
      <c r="F1958">
        <v>4.74</v>
      </c>
      <c r="G1958" t="s">
        <v>623</v>
      </c>
      <c r="H1958" s="1">
        <v>46143.509710648148</v>
      </c>
      <c r="I1958" t="s">
        <v>638</v>
      </c>
      <c r="J1958">
        <v>4.74</v>
      </c>
      <c r="K1958">
        <v>0</v>
      </c>
    </row>
    <row r="1959" spans="1:11" x14ac:dyDescent="0.3">
      <c r="A1959">
        <v>1958</v>
      </c>
      <c r="B1959">
        <v>178</v>
      </c>
      <c r="C1959">
        <v>4</v>
      </c>
      <c r="D1959">
        <v>1827</v>
      </c>
      <c r="E1959" t="s">
        <v>651</v>
      </c>
      <c r="F1959">
        <v>20</v>
      </c>
      <c r="G1959" t="s">
        <v>623</v>
      </c>
      <c r="H1959" s="1">
        <v>46143.518217592595</v>
      </c>
      <c r="I1959" t="s">
        <v>638</v>
      </c>
      <c r="J1959">
        <v>20</v>
      </c>
      <c r="K1959">
        <v>0</v>
      </c>
    </row>
    <row r="1960" spans="1:11" x14ac:dyDescent="0.3">
      <c r="A1960">
        <v>1959</v>
      </c>
      <c r="B1960">
        <v>137</v>
      </c>
      <c r="C1960">
        <v>5</v>
      </c>
      <c r="D1960">
        <v>1828</v>
      </c>
      <c r="E1960" t="s">
        <v>651</v>
      </c>
      <c r="F1960">
        <v>2.64</v>
      </c>
      <c r="G1960" t="s">
        <v>623</v>
      </c>
      <c r="H1960" s="1">
        <v>46143.698125000003</v>
      </c>
      <c r="I1960" t="s">
        <v>638</v>
      </c>
      <c r="J1960">
        <v>2.64</v>
      </c>
      <c r="K1960">
        <v>0</v>
      </c>
    </row>
    <row r="1961" spans="1:11" x14ac:dyDescent="0.3">
      <c r="A1961">
        <v>1960</v>
      </c>
      <c r="B1961">
        <v>80</v>
      </c>
      <c r="C1961">
        <v>5</v>
      </c>
      <c r="D1961">
        <v>1829</v>
      </c>
      <c r="E1961" t="s">
        <v>651</v>
      </c>
      <c r="F1961">
        <v>1.7</v>
      </c>
      <c r="G1961" t="s">
        <v>623</v>
      </c>
      <c r="H1961" s="1">
        <v>46144.336423611108</v>
      </c>
      <c r="I1961" t="s">
        <v>638</v>
      </c>
      <c r="J1961">
        <v>1.7</v>
      </c>
      <c r="K1961">
        <v>0</v>
      </c>
    </row>
    <row r="1962" spans="1:11" x14ac:dyDescent="0.3">
      <c r="A1962">
        <v>1961</v>
      </c>
      <c r="B1962">
        <v>127</v>
      </c>
      <c r="C1962">
        <v>3</v>
      </c>
      <c r="D1962">
        <v>1830</v>
      </c>
      <c r="E1962" t="s">
        <v>651</v>
      </c>
      <c r="F1962">
        <v>7.32</v>
      </c>
      <c r="G1962" t="s">
        <v>623</v>
      </c>
      <c r="H1962" s="1">
        <v>46144.483587962961</v>
      </c>
      <c r="I1962" t="s">
        <v>638</v>
      </c>
      <c r="J1962">
        <v>7.32</v>
      </c>
      <c r="K1962">
        <v>0</v>
      </c>
    </row>
    <row r="1963" spans="1:11" x14ac:dyDescent="0.3">
      <c r="A1963">
        <v>1962</v>
      </c>
      <c r="B1963">
        <v>179</v>
      </c>
      <c r="C1963">
        <v>4</v>
      </c>
      <c r="D1963">
        <v>1819</v>
      </c>
      <c r="E1963" t="s">
        <v>649</v>
      </c>
      <c r="F1963">
        <v>-17.73</v>
      </c>
      <c r="G1963" t="s">
        <v>728</v>
      </c>
      <c r="H1963" s="1">
        <v>46144.499594907407</v>
      </c>
      <c r="I1963" t="s">
        <v>638</v>
      </c>
      <c r="J1963">
        <v>0</v>
      </c>
      <c r="K1963">
        <v>0</v>
      </c>
    </row>
    <row r="1964" spans="1:11" x14ac:dyDescent="0.3">
      <c r="A1964">
        <v>1963</v>
      </c>
      <c r="B1964">
        <v>186</v>
      </c>
      <c r="C1964">
        <v>5</v>
      </c>
      <c r="D1964">
        <v>1831</v>
      </c>
      <c r="E1964" t="s">
        <v>651</v>
      </c>
      <c r="F1964">
        <v>10.45</v>
      </c>
      <c r="G1964" t="s">
        <v>623</v>
      </c>
      <c r="H1964" s="1">
        <v>46144.518518518518</v>
      </c>
      <c r="I1964" t="s">
        <v>638</v>
      </c>
      <c r="J1964">
        <v>10.45</v>
      </c>
      <c r="K1964">
        <v>0</v>
      </c>
    </row>
    <row r="1965" spans="1:11" x14ac:dyDescent="0.3">
      <c r="A1965">
        <v>1964</v>
      </c>
      <c r="B1965">
        <v>178</v>
      </c>
      <c r="C1965">
        <v>3</v>
      </c>
      <c r="D1965">
        <v>1832</v>
      </c>
      <c r="E1965" t="s">
        <v>651</v>
      </c>
      <c r="F1965">
        <v>13.18</v>
      </c>
      <c r="G1965" t="s">
        <v>623</v>
      </c>
      <c r="H1965" s="1">
        <v>46144.545578703706</v>
      </c>
      <c r="I1965" t="s">
        <v>638</v>
      </c>
      <c r="J1965">
        <v>13.18</v>
      </c>
      <c r="K1965">
        <v>0</v>
      </c>
    </row>
    <row r="1966" spans="1:11" x14ac:dyDescent="0.3">
      <c r="A1966">
        <v>1965</v>
      </c>
      <c r="B1966">
        <v>57</v>
      </c>
      <c r="C1966">
        <v>4</v>
      </c>
      <c r="D1966">
        <v>1833</v>
      </c>
      <c r="E1966" t="s">
        <v>651</v>
      </c>
      <c r="F1966">
        <v>14.36</v>
      </c>
      <c r="G1966" t="s">
        <v>623</v>
      </c>
      <c r="H1966" s="1">
        <v>46144.545682870368</v>
      </c>
      <c r="I1966" t="s">
        <v>638</v>
      </c>
      <c r="J1966">
        <v>14.36</v>
      </c>
      <c r="K1966">
        <v>0</v>
      </c>
    </row>
    <row r="1967" spans="1:11" x14ac:dyDescent="0.3">
      <c r="A1967">
        <v>1966</v>
      </c>
      <c r="B1967">
        <v>145</v>
      </c>
      <c r="C1967">
        <v>2</v>
      </c>
      <c r="D1967">
        <v>1834</v>
      </c>
      <c r="E1967" t="s">
        <v>651</v>
      </c>
      <c r="F1967">
        <v>19.59</v>
      </c>
      <c r="G1967" t="s">
        <v>623</v>
      </c>
      <c r="H1967" s="1">
        <v>46144.575937499998</v>
      </c>
      <c r="I1967" t="s">
        <v>638</v>
      </c>
      <c r="J1967">
        <v>19.59</v>
      </c>
      <c r="K1967">
        <v>0</v>
      </c>
    </row>
    <row r="1968" spans="1:11" x14ac:dyDescent="0.3">
      <c r="A1968">
        <v>1967</v>
      </c>
      <c r="B1968">
        <v>136</v>
      </c>
      <c r="C1968">
        <v>2</v>
      </c>
      <c r="D1968">
        <v>1835</v>
      </c>
      <c r="E1968" t="s">
        <v>651</v>
      </c>
      <c r="F1968">
        <v>4.25</v>
      </c>
      <c r="G1968" t="s">
        <v>623</v>
      </c>
      <c r="H1968" s="1">
        <v>46144.635613425926</v>
      </c>
      <c r="I1968" t="s">
        <v>638</v>
      </c>
      <c r="J1968">
        <v>4.25</v>
      </c>
      <c r="K1968">
        <v>0</v>
      </c>
    </row>
    <row r="1969" spans="1:11" x14ac:dyDescent="0.3">
      <c r="A1969">
        <v>1968</v>
      </c>
      <c r="B1969">
        <v>250</v>
      </c>
      <c r="C1969">
        <v>2</v>
      </c>
      <c r="D1969">
        <v>1836</v>
      </c>
      <c r="E1969" t="s">
        <v>651</v>
      </c>
      <c r="F1969">
        <v>14.16</v>
      </c>
      <c r="G1969" t="s">
        <v>623</v>
      </c>
      <c r="H1969" s="1">
        <v>46144.663576388892</v>
      </c>
      <c r="I1969" t="s">
        <v>638</v>
      </c>
      <c r="J1969">
        <v>14.16</v>
      </c>
      <c r="K1969">
        <v>0</v>
      </c>
    </row>
    <row r="1970" spans="1:11" x14ac:dyDescent="0.3">
      <c r="A1970">
        <v>1969</v>
      </c>
      <c r="B1970">
        <v>250</v>
      </c>
      <c r="C1970">
        <v>5</v>
      </c>
      <c r="D1970">
        <v>1837</v>
      </c>
      <c r="E1970" t="s">
        <v>657</v>
      </c>
      <c r="F1970">
        <v>68.67</v>
      </c>
      <c r="G1970" t="s">
        <v>623</v>
      </c>
      <c r="H1970" s="1">
        <v>46144.822210648148</v>
      </c>
      <c r="I1970" t="s">
        <v>638</v>
      </c>
      <c r="J1970">
        <v>0</v>
      </c>
      <c r="K1970">
        <v>68.67</v>
      </c>
    </row>
    <row r="1971" spans="1:11" x14ac:dyDescent="0.3">
      <c r="A1971">
        <v>1970</v>
      </c>
      <c r="B1971">
        <v>138</v>
      </c>
      <c r="C1971">
        <v>4</v>
      </c>
      <c r="D1971">
        <v>1838</v>
      </c>
      <c r="E1971" t="s">
        <v>651</v>
      </c>
      <c r="F1971">
        <v>2.4</v>
      </c>
      <c r="G1971" t="s">
        <v>623</v>
      </c>
      <c r="H1971" s="1">
        <v>46144.822928240741</v>
      </c>
      <c r="I1971" t="s">
        <v>638</v>
      </c>
      <c r="J1971">
        <v>2.4</v>
      </c>
      <c r="K1971">
        <v>0</v>
      </c>
    </row>
    <row r="1972" spans="1:11" x14ac:dyDescent="0.3">
      <c r="A1972">
        <v>1971</v>
      </c>
      <c r="B1972">
        <v>259</v>
      </c>
      <c r="C1972">
        <v>5</v>
      </c>
      <c r="D1972">
        <v>1839</v>
      </c>
      <c r="E1972" t="s">
        <v>651</v>
      </c>
      <c r="F1972">
        <v>2.96</v>
      </c>
      <c r="G1972" t="s">
        <v>623</v>
      </c>
      <c r="H1972" s="1">
        <v>46145.372777777775</v>
      </c>
      <c r="I1972" t="s">
        <v>638</v>
      </c>
      <c r="J1972">
        <v>2.96</v>
      </c>
      <c r="K1972">
        <v>0</v>
      </c>
    </row>
    <row r="1973" spans="1:11" x14ac:dyDescent="0.3">
      <c r="A1973">
        <v>1972</v>
      </c>
      <c r="B1973">
        <v>244</v>
      </c>
      <c r="C1973">
        <v>3</v>
      </c>
      <c r="D1973">
        <v>1840</v>
      </c>
      <c r="E1973" t="s">
        <v>651</v>
      </c>
      <c r="F1973">
        <v>8.9700000000000006</v>
      </c>
      <c r="G1973" t="s">
        <v>623</v>
      </c>
      <c r="H1973" s="1">
        <v>46145.485509259262</v>
      </c>
      <c r="I1973" t="s">
        <v>638</v>
      </c>
      <c r="J1973">
        <v>8.9700000000000006</v>
      </c>
      <c r="K1973">
        <v>0</v>
      </c>
    </row>
    <row r="1974" spans="1:11" x14ac:dyDescent="0.3">
      <c r="A1974">
        <v>1973</v>
      </c>
      <c r="B1974">
        <v>136</v>
      </c>
      <c r="C1974">
        <v>4</v>
      </c>
      <c r="D1974">
        <v>1841</v>
      </c>
      <c r="E1974" t="s">
        <v>651</v>
      </c>
      <c r="F1974">
        <v>9.86</v>
      </c>
      <c r="G1974" t="s">
        <v>623</v>
      </c>
      <c r="H1974" s="1">
        <v>46145.538472222222</v>
      </c>
      <c r="I1974" t="s">
        <v>638</v>
      </c>
      <c r="J1974">
        <v>9.86</v>
      </c>
      <c r="K1974">
        <v>0</v>
      </c>
    </row>
    <row r="1975" spans="1:11" x14ac:dyDescent="0.3">
      <c r="A1975">
        <v>1974</v>
      </c>
      <c r="B1975">
        <v>196</v>
      </c>
      <c r="C1975">
        <v>4</v>
      </c>
      <c r="D1975">
        <v>1842</v>
      </c>
      <c r="E1975" t="s">
        <v>651</v>
      </c>
      <c r="F1975">
        <v>2.4300000000000002</v>
      </c>
      <c r="G1975" t="s">
        <v>623</v>
      </c>
      <c r="H1975" s="1">
        <v>46145.690127314818</v>
      </c>
      <c r="I1975" t="s">
        <v>638</v>
      </c>
      <c r="J1975">
        <v>2.4300000000000002</v>
      </c>
      <c r="K1975">
        <v>0</v>
      </c>
    </row>
    <row r="1976" spans="1:11" x14ac:dyDescent="0.3">
      <c r="A1976">
        <v>1975</v>
      </c>
      <c r="B1976">
        <v>218</v>
      </c>
      <c r="C1976">
        <v>4</v>
      </c>
      <c r="D1976">
        <v>1843</v>
      </c>
      <c r="E1976" t="s">
        <v>651</v>
      </c>
      <c r="F1976">
        <v>3.56</v>
      </c>
      <c r="G1976" t="s">
        <v>623</v>
      </c>
      <c r="H1976" s="1">
        <v>46145.764537037037</v>
      </c>
      <c r="I1976" t="s">
        <v>638</v>
      </c>
      <c r="J1976">
        <v>3.56</v>
      </c>
      <c r="K1976">
        <v>0</v>
      </c>
    </row>
    <row r="1977" spans="1:11" x14ac:dyDescent="0.3">
      <c r="A1977">
        <v>1976</v>
      </c>
      <c r="B1977">
        <v>241</v>
      </c>
      <c r="C1977">
        <v>4</v>
      </c>
      <c r="D1977">
        <v>1844</v>
      </c>
      <c r="E1977" t="s">
        <v>651</v>
      </c>
      <c r="F1977">
        <v>5.46</v>
      </c>
      <c r="G1977" t="s">
        <v>623</v>
      </c>
      <c r="H1977" s="1">
        <v>46145.825046296297</v>
      </c>
      <c r="I1977" t="s">
        <v>638</v>
      </c>
      <c r="J1977">
        <v>5.46</v>
      </c>
      <c r="K1977">
        <v>0</v>
      </c>
    </row>
    <row r="1978" spans="1:11" x14ac:dyDescent="0.3">
      <c r="A1978">
        <v>1977</v>
      </c>
      <c r="B1978">
        <v>262</v>
      </c>
      <c r="C1978">
        <v>2</v>
      </c>
      <c r="D1978">
        <v>1845</v>
      </c>
      <c r="E1978" t="s">
        <v>651</v>
      </c>
      <c r="F1978">
        <v>11.19</v>
      </c>
      <c r="G1978" t="s">
        <v>623</v>
      </c>
      <c r="H1978" s="1">
        <v>46146.297361111108</v>
      </c>
      <c r="I1978" t="s">
        <v>638</v>
      </c>
      <c r="J1978">
        <v>11.19</v>
      </c>
      <c r="K1978">
        <v>0</v>
      </c>
    </row>
    <row r="1979" spans="1:11" x14ac:dyDescent="0.3">
      <c r="A1979">
        <v>1978</v>
      </c>
      <c r="B1979">
        <v>208</v>
      </c>
      <c r="C1979">
        <v>2</v>
      </c>
      <c r="D1979">
        <v>1846</v>
      </c>
      <c r="E1979" t="s">
        <v>651</v>
      </c>
      <c r="F1979">
        <v>4.5</v>
      </c>
      <c r="G1979" t="s">
        <v>623</v>
      </c>
      <c r="H1979" s="1">
        <v>46146.321377314816</v>
      </c>
      <c r="I1979" t="s">
        <v>638</v>
      </c>
      <c r="J1979">
        <v>4.5</v>
      </c>
      <c r="K1979">
        <v>0</v>
      </c>
    </row>
    <row r="1980" spans="1:11" x14ac:dyDescent="0.3">
      <c r="A1980">
        <v>1979</v>
      </c>
      <c r="B1980">
        <v>40</v>
      </c>
      <c r="C1980">
        <v>4</v>
      </c>
      <c r="D1980">
        <v>1847</v>
      </c>
      <c r="E1980" t="s">
        <v>651</v>
      </c>
      <c r="F1980">
        <v>7.4</v>
      </c>
      <c r="G1980" t="s">
        <v>623</v>
      </c>
      <c r="H1980" s="1">
        <v>46146.436145833337</v>
      </c>
      <c r="I1980" t="s">
        <v>638</v>
      </c>
      <c r="J1980">
        <v>7.4</v>
      </c>
      <c r="K1980">
        <v>0</v>
      </c>
    </row>
    <row r="1981" spans="1:11" x14ac:dyDescent="0.3">
      <c r="A1981">
        <v>1980</v>
      </c>
      <c r="B1981">
        <v>244</v>
      </c>
      <c r="C1981">
        <v>2</v>
      </c>
      <c r="D1981">
        <v>1848</v>
      </c>
      <c r="E1981" t="s">
        <v>651</v>
      </c>
      <c r="F1981">
        <v>8.18</v>
      </c>
      <c r="G1981" t="s">
        <v>623</v>
      </c>
      <c r="H1981" s="1">
        <v>46146.651805555557</v>
      </c>
      <c r="I1981" t="s">
        <v>638</v>
      </c>
      <c r="J1981">
        <v>8.18</v>
      </c>
      <c r="K1981">
        <v>0</v>
      </c>
    </row>
    <row r="1982" spans="1:11" x14ac:dyDescent="0.3">
      <c r="A1982">
        <v>1981</v>
      </c>
      <c r="B1982">
        <v>250</v>
      </c>
      <c r="C1982">
        <v>4</v>
      </c>
      <c r="D1982">
        <v>1849</v>
      </c>
      <c r="E1982" t="s">
        <v>657</v>
      </c>
      <c r="F1982">
        <v>99.44</v>
      </c>
      <c r="G1982" t="s">
        <v>623</v>
      </c>
      <c r="H1982" s="1">
        <v>46146.693761574075</v>
      </c>
      <c r="I1982" t="s">
        <v>638</v>
      </c>
      <c r="J1982">
        <v>0</v>
      </c>
      <c r="K1982">
        <v>99.44</v>
      </c>
    </row>
    <row r="1983" spans="1:11" x14ac:dyDescent="0.3">
      <c r="A1983">
        <v>1982</v>
      </c>
      <c r="B1983">
        <v>117</v>
      </c>
      <c r="C1983">
        <v>5</v>
      </c>
      <c r="D1983">
        <v>1850</v>
      </c>
      <c r="E1983" t="s">
        <v>651</v>
      </c>
      <c r="F1983">
        <v>8.84</v>
      </c>
      <c r="G1983" t="s">
        <v>623</v>
      </c>
      <c r="H1983" s="1">
        <v>46147.341979166667</v>
      </c>
      <c r="I1983" t="s">
        <v>638</v>
      </c>
      <c r="J1983">
        <v>8.84</v>
      </c>
      <c r="K1983">
        <v>0</v>
      </c>
    </row>
    <row r="1984" spans="1:11" x14ac:dyDescent="0.3">
      <c r="A1984">
        <v>1983</v>
      </c>
      <c r="B1984">
        <v>88</v>
      </c>
      <c r="C1984">
        <v>4</v>
      </c>
      <c r="D1984">
        <v>1851</v>
      </c>
      <c r="E1984" t="s">
        <v>651</v>
      </c>
      <c r="F1984">
        <v>4.6100000000000003</v>
      </c>
      <c r="G1984" t="s">
        <v>623</v>
      </c>
      <c r="H1984" s="1">
        <v>46147.482499999998</v>
      </c>
      <c r="I1984" t="s">
        <v>638</v>
      </c>
      <c r="J1984">
        <v>4.6100000000000003</v>
      </c>
      <c r="K1984">
        <v>0</v>
      </c>
    </row>
    <row r="1985" spans="1:11" x14ac:dyDescent="0.3">
      <c r="A1985">
        <v>1984</v>
      </c>
      <c r="B1985">
        <v>44</v>
      </c>
      <c r="C1985">
        <v>3</v>
      </c>
      <c r="D1985">
        <v>1852</v>
      </c>
      <c r="E1985" t="s">
        <v>651</v>
      </c>
      <c r="F1985">
        <v>3.6</v>
      </c>
      <c r="G1985" t="s">
        <v>623</v>
      </c>
      <c r="H1985" s="1">
        <v>46147.486921296295</v>
      </c>
      <c r="I1985" t="s">
        <v>638</v>
      </c>
      <c r="J1985">
        <v>3.6</v>
      </c>
      <c r="K1985">
        <v>0</v>
      </c>
    </row>
    <row r="1986" spans="1:11" x14ac:dyDescent="0.3">
      <c r="A1986">
        <v>1985</v>
      </c>
      <c r="B1986">
        <v>234</v>
      </c>
      <c r="C1986">
        <v>3</v>
      </c>
      <c r="D1986">
        <v>1853</v>
      </c>
      <c r="E1986" t="s">
        <v>651</v>
      </c>
      <c r="F1986">
        <v>18.54</v>
      </c>
      <c r="G1986" t="s">
        <v>623</v>
      </c>
      <c r="H1986" s="1">
        <v>46147.500185185185</v>
      </c>
      <c r="I1986" t="s">
        <v>638</v>
      </c>
      <c r="J1986">
        <v>18.54</v>
      </c>
      <c r="K1986">
        <v>0</v>
      </c>
    </row>
    <row r="1987" spans="1:11" x14ac:dyDescent="0.3">
      <c r="A1987">
        <v>1986</v>
      </c>
      <c r="B1987">
        <v>229</v>
      </c>
      <c r="C1987">
        <v>5</v>
      </c>
      <c r="D1987">
        <v>1854</v>
      </c>
      <c r="E1987" t="s">
        <v>651</v>
      </c>
      <c r="F1987">
        <v>8.49</v>
      </c>
      <c r="G1987" t="s">
        <v>623</v>
      </c>
      <c r="H1987" s="1">
        <v>46147.548993055556</v>
      </c>
      <c r="I1987" t="s">
        <v>638</v>
      </c>
      <c r="J1987">
        <v>8.49</v>
      </c>
      <c r="K1987">
        <v>0</v>
      </c>
    </row>
    <row r="1988" spans="1:11" x14ac:dyDescent="0.3">
      <c r="A1988">
        <v>1987</v>
      </c>
      <c r="B1988">
        <v>53</v>
      </c>
      <c r="C1988">
        <v>2</v>
      </c>
      <c r="D1988">
        <v>1855</v>
      </c>
      <c r="E1988" t="s">
        <v>651</v>
      </c>
      <c r="F1988">
        <v>2.95</v>
      </c>
      <c r="G1988" t="s">
        <v>623</v>
      </c>
      <c r="H1988" s="1">
        <v>46147.681770833333</v>
      </c>
      <c r="I1988" t="s">
        <v>638</v>
      </c>
      <c r="J1988">
        <v>2.95</v>
      </c>
      <c r="K1988">
        <v>0</v>
      </c>
    </row>
    <row r="1989" spans="1:11" x14ac:dyDescent="0.3">
      <c r="A1989">
        <v>1988</v>
      </c>
      <c r="B1989">
        <v>158</v>
      </c>
      <c r="C1989">
        <v>3</v>
      </c>
      <c r="D1989">
        <v>1856</v>
      </c>
      <c r="E1989" t="s">
        <v>651</v>
      </c>
      <c r="F1989">
        <v>3.38</v>
      </c>
      <c r="G1989" t="s">
        <v>623</v>
      </c>
      <c r="H1989" s="1">
        <v>46147.731874999998</v>
      </c>
      <c r="I1989" t="s">
        <v>638</v>
      </c>
      <c r="J1989">
        <v>3.38</v>
      </c>
      <c r="K1989">
        <v>0</v>
      </c>
    </row>
    <row r="1990" spans="1:11" x14ac:dyDescent="0.3">
      <c r="A1990">
        <v>1989</v>
      </c>
      <c r="B1990">
        <v>229</v>
      </c>
      <c r="C1990">
        <v>5</v>
      </c>
      <c r="D1990">
        <v>1857</v>
      </c>
      <c r="E1990" t="s">
        <v>651</v>
      </c>
      <c r="F1990">
        <v>10.15</v>
      </c>
      <c r="G1990" t="s">
        <v>623</v>
      </c>
      <c r="H1990" s="1">
        <v>46148.614201388889</v>
      </c>
      <c r="I1990" t="s">
        <v>638</v>
      </c>
      <c r="J1990">
        <v>10.15</v>
      </c>
      <c r="K1990">
        <v>0</v>
      </c>
    </row>
    <row r="1991" spans="1:11" x14ac:dyDescent="0.3">
      <c r="A1991">
        <v>1990</v>
      </c>
      <c r="B1991">
        <v>94</v>
      </c>
      <c r="C1991">
        <v>3</v>
      </c>
      <c r="D1991">
        <v>1858</v>
      </c>
      <c r="E1991" t="s">
        <v>651</v>
      </c>
      <c r="F1991">
        <v>23.58</v>
      </c>
      <c r="G1991" t="s">
        <v>623</v>
      </c>
      <c r="H1991" s="1">
        <v>46148.6328125</v>
      </c>
      <c r="I1991" t="s">
        <v>638</v>
      </c>
      <c r="J1991">
        <v>23.58</v>
      </c>
      <c r="K1991">
        <v>0</v>
      </c>
    </row>
    <row r="1992" spans="1:11" x14ac:dyDescent="0.3">
      <c r="A1992">
        <v>1991</v>
      </c>
      <c r="B1992">
        <v>250</v>
      </c>
      <c r="C1992">
        <v>5</v>
      </c>
      <c r="D1992">
        <v>1859</v>
      </c>
      <c r="E1992" t="s">
        <v>651</v>
      </c>
      <c r="F1992">
        <v>2.5</v>
      </c>
      <c r="G1992" t="s">
        <v>623</v>
      </c>
      <c r="H1992" s="1">
        <v>46149.318541666667</v>
      </c>
      <c r="I1992" t="s">
        <v>638</v>
      </c>
      <c r="J1992">
        <v>2.5</v>
      </c>
      <c r="K1992">
        <v>0</v>
      </c>
    </row>
    <row r="1993" spans="1:11" x14ac:dyDescent="0.3">
      <c r="A1993">
        <v>1992</v>
      </c>
      <c r="B1993">
        <v>234</v>
      </c>
      <c r="C1993">
        <v>4</v>
      </c>
      <c r="D1993">
        <v>1860</v>
      </c>
      <c r="E1993" t="s">
        <v>651</v>
      </c>
      <c r="F1993">
        <v>11.73</v>
      </c>
      <c r="G1993" t="s">
        <v>623</v>
      </c>
      <c r="H1993" s="1">
        <v>46149.383240740739</v>
      </c>
      <c r="I1993" t="s">
        <v>638</v>
      </c>
      <c r="J1993">
        <v>11.73</v>
      </c>
      <c r="K1993">
        <v>0</v>
      </c>
    </row>
    <row r="1994" spans="1:11" x14ac:dyDescent="0.3">
      <c r="A1994">
        <v>1993</v>
      </c>
      <c r="B1994">
        <v>64</v>
      </c>
      <c r="C1994">
        <v>2</v>
      </c>
      <c r="D1994">
        <v>1861</v>
      </c>
      <c r="E1994" t="s">
        <v>651</v>
      </c>
      <c r="F1994">
        <v>3.52</v>
      </c>
      <c r="G1994" t="s">
        <v>623</v>
      </c>
      <c r="H1994" s="1">
        <v>46149.439293981479</v>
      </c>
      <c r="I1994" t="s">
        <v>638</v>
      </c>
      <c r="J1994">
        <v>3.52</v>
      </c>
      <c r="K1994">
        <v>0</v>
      </c>
    </row>
    <row r="1995" spans="1:11" x14ac:dyDescent="0.3">
      <c r="A1995">
        <v>1994</v>
      </c>
      <c r="B1995">
        <v>136</v>
      </c>
      <c r="C1995">
        <v>4</v>
      </c>
      <c r="D1995">
        <v>1862</v>
      </c>
      <c r="E1995" t="s">
        <v>651</v>
      </c>
      <c r="F1995">
        <v>7.43</v>
      </c>
      <c r="G1995" t="s">
        <v>623</v>
      </c>
      <c r="H1995" s="1">
        <v>46149.545555555553</v>
      </c>
      <c r="I1995" t="s">
        <v>638</v>
      </c>
      <c r="J1995">
        <v>7.43</v>
      </c>
      <c r="K1995">
        <v>0</v>
      </c>
    </row>
    <row r="1996" spans="1:11" x14ac:dyDescent="0.3">
      <c r="A1996">
        <v>1995</v>
      </c>
      <c r="B1996">
        <v>21</v>
      </c>
      <c r="C1996">
        <v>5</v>
      </c>
      <c r="D1996">
        <v>1863</v>
      </c>
      <c r="E1996" t="s">
        <v>651</v>
      </c>
      <c r="F1996">
        <v>2.14</v>
      </c>
      <c r="G1996" t="s">
        <v>623</v>
      </c>
      <c r="H1996" s="1">
        <v>46149.577928240738</v>
      </c>
      <c r="I1996" t="s">
        <v>638</v>
      </c>
      <c r="J1996">
        <v>2.14</v>
      </c>
      <c r="K1996">
        <v>0</v>
      </c>
    </row>
    <row r="1997" spans="1:11" x14ac:dyDescent="0.3">
      <c r="A1997">
        <v>1996</v>
      </c>
      <c r="B1997">
        <v>229</v>
      </c>
      <c r="C1997">
        <v>4</v>
      </c>
      <c r="D1997">
        <v>1864</v>
      </c>
      <c r="E1997" t="s">
        <v>651</v>
      </c>
      <c r="F1997">
        <v>8.35</v>
      </c>
      <c r="G1997" t="s">
        <v>623</v>
      </c>
      <c r="H1997" s="1">
        <v>46149.692384259259</v>
      </c>
      <c r="I1997" t="s">
        <v>638</v>
      </c>
      <c r="J1997">
        <v>8.35</v>
      </c>
      <c r="K1997">
        <v>0</v>
      </c>
    </row>
    <row r="1998" spans="1:11" x14ac:dyDescent="0.3">
      <c r="A1998">
        <v>1997</v>
      </c>
      <c r="B1998">
        <v>187</v>
      </c>
      <c r="C1998">
        <v>5</v>
      </c>
      <c r="D1998">
        <v>1865</v>
      </c>
      <c r="E1998" t="s">
        <v>651</v>
      </c>
      <c r="F1998">
        <v>2.48</v>
      </c>
      <c r="G1998" t="s">
        <v>623</v>
      </c>
      <c r="H1998" s="1">
        <v>46149.778229166666</v>
      </c>
      <c r="I1998" t="s">
        <v>638</v>
      </c>
      <c r="J1998">
        <v>2.48</v>
      </c>
      <c r="K1998">
        <v>0</v>
      </c>
    </row>
    <row r="1999" spans="1:11" x14ac:dyDescent="0.3">
      <c r="A1999">
        <v>1998</v>
      </c>
      <c r="B1999">
        <v>221</v>
      </c>
      <c r="C1999">
        <v>5</v>
      </c>
      <c r="D1999">
        <v>1866</v>
      </c>
      <c r="E1999" t="s">
        <v>651</v>
      </c>
      <c r="F1999">
        <v>10.78</v>
      </c>
      <c r="G1999" t="s">
        <v>623</v>
      </c>
      <c r="H1999" s="1">
        <v>46150.416284722225</v>
      </c>
      <c r="I1999" t="s">
        <v>638</v>
      </c>
      <c r="J1999">
        <v>10.78</v>
      </c>
      <c r="K1999">
        <v>0</v>
      </c>
    </row>
    <row r="2000" spans="1:11" x14ac:dyDescent="0.3">
      <c r="A2000">
        <v>1999</v>
      </c>
      <c r="B2000">
        <v>137</v>
      </c>
      <c r="C2000">
        <v>4</v>
      </c>
      <c r="D2000">
        <v>1867</v>
      </c>
      <c r="E2000" t="s">
        <v>657</v>
      </c>
      <c r="F2000">
        <v>46.16</v>
      </c>
      <c r="G2000" t="s">
        <v>623</v>
      </c>
      <c r="H2000" s="1">
        <v>46150.478784722225</v>
      </c>
      <c r="I2000" t="s">
        <v>638</v>
      </c>
      <c r="J2000">
        <v>0</v>
      </c>
      <c r="K2000">
        <v>46.16</v>
      </c>
    </row>
    <row r="2001" spans="1:11" x14ac:dyDescent="0.3">
      <c r="A2001">
        <v>2000</v>
      </c>
      <c r="B2001">
        <v>250</v>
      </c>
      <c r="C2001">
        <v>4</v>
      </c>
      <c r="D2001">
        <v>1868</v>
      </c>
      <c r="E2001" t="s">
        <v>651</v>
      </c>
      <c r="F2001">
        <v>8.7899999999999991</v>
      </c>
      <c r="G2001" t="s">
        <v>623</v>
      </c>
      <c r="H2001" s="1">
        <v>46150.705185185187</v>
      </c>
      <c r="I2001" t="s">
        <v>638</v>
      </c>
      <c r="J2001">
        <v>8.7899999999999991</v>
      </c>
      <c r="K2001">
        <v>0</v>
      </c>
    </row>
    <row r="2002" spans="1:11" x14ac:dyDescent="0.3">
      <c r="A2002">
        <v>2001</v>
      </c>
      <c r="B2002">
        <v>47</v>
      </c>
      <c r="C2002">
        <v>2</v>
      </c>
      <c r="D2002">
        <v>1869</v>
      </c>
      <c r="E2002" t="s">
        <v>651</v>
      </c>
      <c r="F2002">
        <v>3.5</v>
      </c>
      <c r="G2002" t="s">
        <v>623</v>
      </c>
      <c r="H2002" s="1">
        <v>46151.37777777778</v>
      </c>
      <c r="I2002" t="s">
        <v>638</v>
      </c>
      <c r="J2002">
        <v>3.5</v>
      </c>
      <c r="K2002">
        <v>0</v>
      </c>
    </row>
    <row r="2003" spans="1:11" x14ac:dyDescent="0.3">
      <c r="A2003">
        <v>2002</v>
      </c>
      <c r="B2003">
        <v>47</v>
      </c>
      <c r="C2003">
        <v>4</v>
      </c>
      <c r="D2003">
        <v>1870</v>
      </c>
      <c r="E2003" t="s">
        <v>651</v>
      </c>
      <c r="F2003">
        <v>3.27</v>
      </c>
      <c r="G2003" t="s">
        <v>623</v>
      </c>
      <c r="H2003" s="1">
        <v>46151.385833333334</v>
      </c>
      <c r="I2003" t="s">
        <v>638</v>
      </c>
      <c r="J2003">
        <v>3.27</v>
      </c>
      <c r="K2003">
        <v>0</v>
      </c>
    </row>
    <row r="2004" spans="1:11" x14ac:dyDescent="0.3">
      <c r="A2004">
        <v>2003</v>
      </c>
      <c r="B2004">
        <v>137</v>
      </c>
      <c r="C2004">
        <v>3</v>
      </c>
      <c r="D2004">
        <v>1871</v>
      </c>
      <c r="E2004" t="s">
        <v>651</v>
      </c>
      <c r="F2004">
        <v>4.57</v>
      </c>
      <c r="G2004" t="s">
        <v>623</v>
      </c>
      <c r="H2004" s="1">
        <v>46151.408043981479</v>
      </c>
      <c r="I2004" t="s">
        <v>638</v>
      </c>
      <c r="J2004">
        <v>4.57</v>
      </c>
      <c r="K2004">
        <v>0</v>
      </c>
    </row>
    <row r="2005" spans="1:11" x14ac:dyDescent="0.3">
      <c r="A2005">
        <v>2004</v>
      </c>
      <c r="B2005">
        <v>89</v>
      </c>
      <c r="C2005">
        <v>2</v>
      </c>
      <c r="D2005">
        <v>1872</v>
      </c>
      <c r="E2005" t="s">
        <v>651</v>
      </c>
      <c r="F2005">
        <v>14.39</v>
      </c>
      <c r="G2005" t="s">
        <v>623</v>
      </c>
      <c r="H2005" s="1">
        <v>46151.455625000002</v>
      </c>
      <c r="I2005" t="s">
        <v>638</v>
      </c>
      <c r="J2005">
        <v>14.39</v>
      </c>
      <c r="K2005">
        <v>0</v>
      </c>
    </row>
    <row r="2006" spans="1:11" x14ac:dyDescent="0.3">
      <c r="A2006">
        <v>2005</v>
      </c>
      <c r="B2006">
        <v>65</v>
      </c>
      <c r="C2006">
        <v>5</v>
      </c>
      <c r="D2006">
        <v>1873</v>
      </c>
      <c r="E2006" t="s">
        <v>651</v>
      </c>
      <c r="F2006">
        <v>3.28</v>
      </c>
      <c r="G2006" t="s">
        <v>623</v>
      </c>
      <c r="H2006" s="1">
        <v>46151.504178240742</v>
      </c>
      <c r="I2006" t="s">
        <v>638</v>
      </c>
      <c r="J2006">
        <v>3.28</v>
      </c>
      <c r="K2006">
        <v>0</v>
      </c>
    </row>
    <row r="2007" spans="1:11" x14ac:dyDescent="0.3">
      <c r="A2007">
        <v>2006</v>
      </c>
      <c r="B2007">
        <v>39</v>
      </c>
      <c r="C2007">
        <v>5</v>
      </c>
      <c r="D2007">
        <v>1874</v>
      </c>
      <c r="E2007" t="s">
        <v>651</v>
      </c>
      <c r="F2007">
        <v>30</v>
      </c>
      <c r="G2007" t="s">
        <v>623</v>
      </c>
      <c r="H2007" s="1">
        <v>46151.585902777777</v>
      </c>
      <c r="I2007" t="s">
        <v>638</v>
      </c>
      <c r="J2007">
        <v>30</v>
      </c>
      <c r="K2007">
        <v>0</v>
      </c>
    </row>
    <row r="2008" spans="1:11" x14ac:dyDescent="0.3">
      <c r="A2008">
        <v>2007</v>
      </c>
      <c r="B2008">
        <v>201</v>
      </c>
      <c r="C2008">
        <v>2</v>
      </c>
      <c r="D2008">
        <v>1875</v>
      </c>
      <c r="E2008" t="s">
        <v>651</v>
      </c>
      <c r="F2008">
        <v>3.37</v>
      </c>
      <c r="G2008" t="s">
        <v>623</v>
      </c>
      <c r="H2008" s="1">
        <v>46151.586365740739</v>
      </c>
      <c r="I2008" t="s">
        <v>638</v>
      </c>
      <c r="J2008">
        <v>3.37</v>
      </c>
      <c r="K2008">
        <v>0</v>
      </c>
    </row>
    <row r="2009" spans="1:11" x14ac:dyDescent="0.3">
      <c r="A2009">
        <v>2008</v>
      </c>
      <c r="B2009">
        <v>262</v>
      </c>
      <c r="C2009">
        <v>3</v>
      </c>
      <c r="D2009">
        <v>1876</v>
      </c>
      <c r="E2009" t="s">
        <v>651</v>
      </c>
      <c r="F2009">
        <v>8.99</v>
      </c>
      <c r="G2009" t="s">
        <v>623</v>
      </c>
      <c r="H2009" s="1">
        <v>46151.586840277778</v>
      </c>
      <c r="I2009" t="s">
        <v>638</v>
      </c>
      <c r="J2009">
        <v>8.99</v>
      </c>
      <c r="K2009">
        <v>0</v>
      </c>
    </row>
    <row r="2010" spans="1:11" x14ac:dyDescent="0.3">
      <c r="A2010">
        <v>2009</v>
      </c>
      <c r="B2010">
        <v>252</v>
      </c>
      <c r="C2010">
        <v>2</v>
      </c>
      <c r="D2010">
        <v>1877</v>
      </c>
      <c r="E2010" t="s">
        <v>651</v>
      </c>
      <c r="F2010">
        <v>2.92</v>
      </c>
      <c r="G2010" t="s">
        <v>623</v>
      </c>
      <c r="H2010" s="1">
        <v>46151.600162037037</v>
      </c>
      <c r="I2010" t="s">
        <v>638</v>
      </c>
      <c r="J2010">
        <v>2.92</v>
      </c>
      <c r="K2010">
        <v>0</v>
      </c>
    </row>
    <row r="2011" spans="1:11" x14ac:dyDescent="0.3">
      <c r="A2011">
        <v>2010</v>
      </c>
      <c r="B2011">
        <v>232</v>
      </c>
      <c r="C2011">
        <v>2</v>
      </c>
      <c r="D2011">
        <v>1878</v>
      </c>
      <c r="E2011" t="s">
        <v>651</v>
      </c>
      <c r="F2011">
        <v>2.82</v>
      </c>
      <c r="G2011" t="s">
        <v>623</v>
      </c>
      <c r="H2011" s="1">
        <v>46151.640983796293</v>
      </c>
      <c r="I2011" t="s">
        <v>638</v>
      </c>
      <c r="J2011">
        <v>2.82</v>
      </c>
      <c r="K2011">
        <v>0</v>
      </c>
    </row>
    <row r="2012" spans="1:11" x14ac:dyDescent="0.3">
      <c r="A2012">
        <v>2011</v>
      </c>
      <c r="B2012">
        <v>39</v>
      </c>
      <c r="C2012">
        <v>2</v>
      </c>
      <c r="D2012">
        <v>1879</v>
      </c>
      <c r="E2012" t="s">
        <v>651</v>
      </c>
      <c r="F2012">
        <v>17.32</v>
      </c>
      <c r="G2012" t="s">
        <v>623</v>
      </c>
      <c r="H2012" s="1">
        <v>46151.665381944447</v>
      </c>
      <c r="I2012" t="s">
        <v>638</v>
      </c>
      <c r="J2012">
        <v>17.32</v>
      </c>
      <c r="K2012">
        <v>0</v>
      </c>
    </row>
    <row r="2013" spans="1:11" x14ac:dyDescent="0.3">
      <c r="A2013">
        <v>2012</v>
      </c>
      <c r="B2013">
        <v>40</v>
      </c>
      <c r="C2013">
        <v>4</v>
      </c>
      <c r="D2013">
        <v>1880</v>
      </c>
      <c r="E2013" t="s">
        <v>651</v>
      </c>
      <c r="F2013">
        <v>9.9499999999999993</v>
      </c>
      <c r="G2013" t="s">
        <v>623</v>
      </c>
      <c r="H2013" s="1">
        <v>46151.733391203707</v>
      </c>
      <c r="I2013" t="s">
        <v>638</v>
      </c>
      <c r="J2013">
        <v>9.9499999999999993</v>
      </c>
      <c r="K2013">
        <v>0</v>
      </c>
    </row>
    <row r="2014" spans="1:11" x14ac:dyDescent="0.3">
      <c r="A2014">
        <v>2013</v>
      </c>
      <c r="B2014">
        <v>250</v>
      </c>
      <c r="C2014">
        <v>4</v>
      </c>
      <c r="D2014">
        <v>1881</v>
      </c>
      <c r="E2014" t="s">
        <v>651</v>
      </c>
      <c r="F2014">
        <v>7.81</v>
      </c>
      <c r="G2014" t="s">
        <v>623</v>
      </c>
      <c r="H2014" s="1">
        <v>46151.827789351853</v>
      </c>
      <c r="I2014" t="s">
        <v>638</v>
      </c>
      <c r="J2014">
        <v>7.81</v>
      </c>
      <c r="K2014">
        <v>0</v>
      </c>
    </row>
    <row r="2015" spans="1:11" x14ac:dyDescent="0.3">
      <c r="A2015">
        <v>2014</v>
      </c>
      <c r="B2015">
        <v>39</v>
      </c>
      <c r="C2015">
        <v>4</v>
      </c>
      <c r="D2015">
        <v>1882</v>
      </c>
      <c r="E2015" t="s">
        <v>651</v>
      </c>
      <c r="F2015">
        <v>22.3</v>
      </c>
      <c r="G2015" t="s">
        <v>623</v>
      </c>
      <c r="H2015" s="1">
        <v>46152.377222222225</v>
      </c>
      <c r="I2015" t="s">
        <v>638</v>
      </c>
      <c r="J2015">
        <v>22.3</v>
      </c>
      <c r="K2015">
        <v>0</v>
      </c>
    </row>
    <row r="2016" spans="1:11" x14ac:dyDescent="0.3">
      <c r="A2016">
        <v>2015</v>
      </c>
      <c r="B2016">
        <v>273</v>
      </c>
      <c r="C2016">
        <v>5</v>
      </c>
      <c r="D2016">
        <v>1883</v>
      </c>
      <c r="E2016" t="s">
        <v>651</v>
      </c>
      <c r="F2016">
        <v>2.71</v>
      </c>
      <c r="G2016" t="s">
        <v>623</v>
      </c>
      <c r="H2016" s="1">
        <v>46152.486377314817</v>
      </c>
      <c r="I2016" t="s">
        <v>638</v>
      </c>
      <c r="J2016">
        <v>2.71</v>
      </c>
      <c r="K2016">
        <v>0</v>
      </c>
    </row>
    <row r="2017" spans="1:11" x14ac:dyDescent="0.3">
      <c r="A2017">
        <v>2016</v>
      </c>
      <c r="B2017">
        <v>197</v>
      </c>
      <c r="C2017">
        <v>5</v>
      </c>
      <c r="D2017">
        <v>1884</v>
      </c>
      <c r="E2017" t="s">
        <v>651</v>
      </c>
      <c r="F2017">
        <v>8.89</v>
      </c>
      <c r="G2017" t="s">
        <v>623</v>
      </c>
      <c r="H2017" s="1">
        <v>46152.625636574077</v>
      </c>
      <c r="I2017" t="s">
        <v>638</v>
      </c>
      <c r="J2017">
        <v>8.89</v>
      </c>
      <c r="K2017">
        <v>0</v>
      </c>
    </row>
    <row r="2018" spans="1:11" x14ac:dyDescent="0.3">
      <c r="A2018">
        <v>2017</v>
      </c>
      <c r="B2018">
        <v>39</v>
      </c>
      <c r="C2018">
        <v>5</v>
      </c>
      <c r="D2018">
        <v>1885</v>
      </c>
      <c r="E2018" t="s">
        <v>651</v>
      </c>
      <c r="F2018">
        <v>11.15</v>
      </c>
      <c r="G2018" t="s">
        <v>623</v>
      </c>
      <c r="H2018" s="1">
        <v>46153.292245370372</v>
      </c>
      <c r="I2018" t="s">
        <v>638</v>
      </c>
      <c r="J2018">
        <v>11.15</v>
      </c>
      <c r="K2018">
        <v>0</v>
      </c>
    </row>
    <row r="2019" spans="1:11" x14ac:dyDescent="0.3">
      <c r="A2019">
        <v>2018</v>
      </c>
      <c r="B2019">
        <v>21</v>
      </c>
      <c r="C2019">
        <v>3</v>
      </c>
      <c r="D2019">
        <v>1886</v>
      </c>
      <c r="E2019" t="s">
        <v>657</v>
      </c>
      <c r="F2019">
        <v>23.43</v>
      </c>
      <c r="G2019" t="s">
        <v>623</v>
      </c>
      <c r="H2019" s="1">
        <v>46153.338043981479</v>
      </c>
      <c r="I2019" t="s">
        <v>638</v>
      </c>
      <c r="J2019">
        <v>0</v>
      </c>
      <c r="K2019">
        <v>23.43</v>
      </c>
    </row>
    <row r="2020" spans="1:11" x14ac:dyDescent="0.3">
      <c r="A2020">
        <v>2019</v>
      </c>
      <c r="B2020">
        <v>39</v>
      </c>
      <c r="C2020">
        <v>2</v>
      </c>
      <c r="D2020">
        <v>1887</v>
      </c>
      <c r="E2020" t="s">
        <v>651</v>
      </c>
      <c r="F2020">
        <v>13.13</v>
      </c>
      <c r="G2020" t="s">
        <v>623</v>
      </c>
      <c r="H2020" s="1">
        <v>46153.369467592594</v>
      </c>
      <c r="I2020" t="s">
        <v>638</v>
      </c>
      <c r="J2020">
        <v>13.13</v>
      </c>
      <c r="K2020">
        <v>0</v>
      </c>
    </row>
    <row r="2021" spans="1:11" x14ac:dyDescent="0.3">
      <c r="A2021">
        <v>2020</v>
      </c>
      <c r="B2021">
        <v>39</v>
      </c>
      <c r="C2021">
        <v>4</v>
      </c>
      <c r="D2021">
        <v>1888</v>
      </c>
      <c r="E2021" t="s">
        <v>651</v>
      </c>
      <c r="F2021">
        <v>10.37</v>
      </c>
      <c r="G2021" t="s">
        <v>623</v>
      </c>
      <c r="H2021" s="1">
        <v>46153.493136574078</v>
      </c>
      <c r="I2021" t="s">
        <v>638</v>
      </c>
      <c r="J2021">
        <v>10.37</v>
      </c>
      <c r="K2021">
        <v>0</v>
      </c>
    </row>
    <row r="2022" spans="1:11" x14ac:dyDescent="0.3">
      <c r="A2022">
        <v>2021</v>
      </c>
      <c r="B2022">
        <v>144</v>
      </c>
      <c r="C2022">
        <v>5</v>
      </c>
      <c r="D2022">
        <v>1889</v>
      </c>
      <c r="E2022" t="s">
        <v>651</v>
      </c>
      <c r="F2022">
        <v>5.77</v>
      </c>
      <c r="G2022" t="s">
        <v>623</v>
      </c>
      <c r="H2022" s="1">
        <v>46153.504513888889</v>
      </c>
      <c r="I2022" t="s">
        <v>638</v>
      </c>
      <c r="J2022">
        <v>5.77</v>
      </c>
      <c r="K2022">
        <v>0</v>
      </c>
    </row>
    <row r="2023" spans="1:11" x14ac:dyDescent="0.3">
      <c r="A2023">
        <v>2022</v>
      </c>
      <c r="B2023">
        <v>22</v>
      </c>
      <c r="C2023">
        <v>2</v>
      </c>
      <c r="D2023">
        <v>1890</v>
      </c>
      <c r="E2023" t="s">
        <v>651</v>
      </c>
      <c r="F2023">
        <v>13.73</v>
      </c>
      <c r="G2023" t="s">
        <v>623</v>
      </c>
      <c r="H2023" s="1">
        <v>46153.522488425922</v>
      </c>
      <c r="I2023" t="s">
        <v>638</v>
      </c>
      <c r="J2023">
        <v>13.73</v>
      </c>
      <c r="K2023">
        <v>0</v>
      </c>
    </row>
    <row r="2024" spans="1:11" x14ac:dyDescent="0.3">
      <c r="A2024">
        <v>2023</v>
      </c>
      <c r="B2024">
        <v>156</v>
      </c>
      <c r="C2024">
        <v>2</v>
      </c>
      <c r="D2024">
        <v>1891</v>
      </c>
      <c r="E2024" t="s">
        <v>651</v>
      </c>
      <c r="F2024">
        <v>3.43</v>
      </c>
      <c r="G2024" t="s">
        <v>623</v>
      </c>
      <c r="H2024" s="1">
        <v>46153.549722222226</v>
      </c>
      <c r="I2024" t="s">
        <v>638</v>
      </c>
      <c r="J2024">
        <v>3.43</v>
      </c>
      <c r="K2024">
        <v>0</v>
      </c>
    </row>
    <row r="2025" spans="1:11" x14ac:dyDescent="0.3">
      <c r="A2025">
        <v>2024</v>
      </c>
      <c r="B2025">
        <v>229</v>
      </c>
      <c r="C2025">
        <v>4</v>
      </c>
      <c r="D2025">
        <v>1892</v>
      </c>
      <c r="E2025" t="s">
        <v>651</v>
      </c>
      <c r="F2025">
        <v>9.4499999999999993</v>
      </c>
      <c r="G2025" t="s">
        <v>623</v>
      </c>
      <c r="H2025" s="1">
        <v>46153.560034722221</v>
      </c>
      <c r="I2025" t="s">
        <v>638</v>
      </c>
      <c r="J2025">
        <v>9.4499999999999993</v>
      </c>
      <c r="K2025">
        <v>0</v>
      </c>
    </row>
    <row r="2026" spans="1:11" x14ac:dyDescent="0.3">
      <c r="A2026">
        <v>2025</v>
      </c>
      <c r="B2026">
        <v>39</v>
      </c>
      <c r="C2026">
        <v>4</v>
      </c>
      <c r="D2026">
        <v>1893</v>
      </c>
      <c r="E2026" t="s">
        <v>651</v>
      </c>
      <c r="F2026">
        <v>10.98</v>
      </c>
      <c r="G2026" t="s">
        <v>623</v>
      </c>
      <c r="H2026" s="1">
        <v>46153.651331018518</v>
      </c>
      <c r="I2026" t="s">
        <v>638</v>
      </c>
      <c r="J2026">
        <v>10.98</v>
      </c>
      <c r="K2026">
        <v>0</v>
      </c>
    </row>
    <row r="2027" spans="1:11" x14ac:dyDescent="0.3">
      <c r="A2027">
        <v>2026</v>
      </c>
      <c r="B2027">
        <v>178</v>
      </c>
      <c r="C2027">
        <v>4</v>
      </c>
      <c r="D2027">
        <v>1894</v>
      </c>
      <c r="E2027" t="s">
        <v>651</v>
      </c>
      <c r="F2027">
        <v>30</v>
      </c>
      <c r="G2027" t="s">
        <v>623</v>
      </c>
      <c r="H2027" s="1">
        <v>46153.651805555557</v>
      </c>
      <c r="I2027" t="s">
        <v>638</v>
      </c>
      <c r="J2027">
        <v>30</v>
      </c>
      <c r="K2027">
        <v>0</v>
      </c>
    </row>
    <row r="2028" spans="1:11" x14ac:dyDescent="0.3">
      <c r="A2028">
        <v>2027</v>
      </c>
      <c r="B2028">
        <v>7</v>
      </c>
      <c r="C2028">
        <v>5</v>
      </c>
      <c r="D2028">
        <v>1895</v>
      </c>
      <c r="E2028" t="s">
        <v>657</v>
      </c>
      <c r="F2028">
        <v>80.09</v>
      </c>
      <c r="G2028" t="s">
        <v>623</v>
      </c>
      <c r="H2028" s="1">
        <v>46153.682245370372</v>
      </c>
      <c r="I2028" t="s">
        <v>638</v>
      </c>
      <c r="J2028">
        <v>0</v>
      </c>
      <c r="K2028">
        <v>80.09</v>
      </c>
    </row>
    <row r="2029" spans="1:11" x14ac:dyDescent="0.3">
      <c r="A2029">
        <v>2028</v>
      </c>
      <c r="B2029">
        <v>281</v>
      </c>
      <c r="C2029">
        <v>3</v>
      </c>
      <c r="D2029">
        <v>1896</v>
      </c>
      <c r="E2029" t="s">
        <v>651</v>
      </c>
      <c r="F2029">
        <v>13.71</v>
      </c>
      <c r="G2029" t="s">
        <v>623</v>
      </c>
      <c r="H2029" s="1">
        <v>46153.791770833333</v>
      </c>
      <c r="I2029" t="s">
        <v>638</v>
      </c>
      <c r="J2029">
        <v>13.71</v>
      </c>
      <c r="K2029">
        <v>0</v>
      </c>
    </row>
    <row r="2030" spans="1:11" x14ac:dyDescent="0.3">
      <c r="A2030">
        <v>2029</v>
      </c>
      <c r="B2030">
        <v>293</v>
      </c>
      <c r="C2030">
        <v>3</v>
      </c>
      <c r="D2030">
        <v>1897</v>
      </c>
      <c r="E2030" t="s">
        <v>651</v>
      </c>
      <c r="F2030">
        <v>3.66</v>
      </c>
      <c r="G2030" t="s">
        <v>623</v>
      </c>
      <c r="H2030" s="1">
        <v>46154.355798611112</v>
      </c>
      <c r="I2030" t="s">
        <v>638</v>
      </c>
      <c r="J2030">
        <v>3.66</v>
      </c>
      <c r="K2030">
        <v>0</v>
      </c>
    </row>
    <row r="2031" spans="1:11" x14ac:dyDescent="0.3">
      <c r="A2031">
        <v>2030</v>
      </c>
      <c r="B2031">
        <v>65</v>
      </c>
      <c r="C2031">
        <v>3</v>
      </c>
      <c r="D2031">
        <v>1898</v>
      </c>
      <c r="E2031" t="s">
        <v>651</v>
      </c>
      <c r="F2031">
        <v>4.3099999999999996</v>
      </c>
      <c r="G2031" t="s">
        <v>623</v>
      </c>
      <c r="H2031" s="1">
        <v>46154.357754629629</v>
      </c>
      <c r="I2031" t="s">
        <v>638</v>
      </c>
      <c r="J2031">
        <v>4.3099999999999996</v>
      </c>
      <c r="K2031">
        <v>0</v>
      </c>
    </row>
    <row r="2032" spans="1:11" x14ac:dyDescent="0.3">
      <c r="A2032">
        <v>2031</v>
      </c>
      <c r="B2032">
        <v>91</v>
      </c>
      <c r="C2032">
        <v>4</v>
      </c>
      <c r="D2032">
        <v>1899</v>
      </c>
      <c r="E2032" t="s">
        <v>651</v>
      </c>
      <c r="F2032">
        <v>3.34</v>
      </c>
      <c r="G2032" t="s">
        <v>623</v>
      </c>
      <c r="H2032" s="1">
        <v>46154.387488425928</v>
      </c>
      <c r="I2032" t="s">
        <v>638</v>
      </c>
      <c r="J2032">
        <v>3.34</v>
      </c>
      <c r="K2032">
        <v>0</v>
      </c>
    </row>
    <row r="2033" spans="1:11" x14ac:dyDescent="0.3">
      <c r="A2033">
        <v>2032</v>
      </c>
      <c r="B2033">
        <v>137</v>
      </c>
      <c r="C2033">
        <v>3</v>
      </c>
      <c r="D2033">
        <v>1900</v>
      </c>
      <c r="E2033" t="s">
        <v>651</v>
      </c>
      <c r="F2033">
        <v>1.98</v>
      </c>
      <c r="G2033" t="s">
        <v>623</v>
      </c>
      <c r="H2033" s="1">
        <v>46154.404479166667</v>
      </c>
      <c r="I2033" t="s">
        <v>638</v>
      </c>
      <c r="J2033">
        <v>1.98</v>
      </c>
      <c r="K2033">
        <v>0</v>
      </c>
    </row>
    <row r="2034" spans="1:11" x14ac:dyDescent="0.3">
      <c r="A2034">
        <v>2033</v>
      </c>
      <c r="B2034">
        <v>250</v>
      </c>
      <c r="C2034">
        <v>2</v>
      </c>
      <c r="D2034">
        <v>1901</v>
      </c>
      <c r="E2034" t="s">
        <v>651</v>
      </c>
      <c r="F2034">
        <v>9.66</v>
      </c>
      <c r="G2034" t="s">
        <v>623</v>
      </c>
      <c r="H2034" s="1">
        <v>46154.405173611114</v>
      </c>
      <c r="I2034" t="s">
        <v>638</v>
      </c>
      <c r="J2034">
        <v>9.66</v>
      </c>
      <c r="K2034">
        <v>0</v>
      </c>
    </row>
    <row r="2035" spans="1:11" x14ac:dyDescent="0.3">
      <c r="A2035">
        <v>2034</v>
      </c>
      <c r="B2035">
        <v>229</v>
      </c>
      <c r="C2035">
        <v>4</v>
      </c>
      <c r="D2035">
        <v>1902</v>
      </c>
      <c r="E2035" t="s">
        <v>651</v>
      </c>
      <c r="F2035">
        <v>5.68</v>
      </c>
      <c r="G2035" t="s">
        <v>623</v>
      </c>
      <c r="H2035" s="1">
        <v>46154.575740740744</v>
      </c>
      <c r="I2035" t="s">
        <v>638</v>
      </c>
      <c r="J2035">
        <v>5.68</v>
      </c>
      <c r="K2035">
        <v>0</v>
      </c>
    </row>
    <row r="2036" spans="1:11" x14ac:dyDescent="0.3">
      <c r="A2036">
        <v>2035</v>
      </c>
      <c r="B2036">
        <v>202</v>
      </c>
      <c r="C2036">
        <v>2</v>
      </c>
      <c r="D2036">
        <v>1903</v>
      </c>
      <c r="E2036" t="s">
        <v>651</v>
      </c>
      <c r="F2036">
        <v>3.42</v>
      </c>
      <c r="G2036" t="s">
        <v>623</v>
      </c>
      <c r="H2036" s="1">
        <v>46154.680266203701</v>
      </c>
      <c r="I2036" t="s">
        <v>638</v>
      </c>
      <c r="J2036">
        <v>3.42</v>
      </c>
      <c r="K2036">
        <v>0</v>
      </c>
    </row>
    <row r="2037" spans="1:11" x14ac:dyDescent="0.3">
      <c r="A2037">
        <v>2036</v>
      </c>
      <c r="B2037">
        <v>16</v>
      </c>
      <c r="C2037">
        <v>2</v>
      </c>
      <c r="D2037">
        <v>1904</v>
      </c>
      <c r="E2037" t="s">
        <v>651</v>
      </c>
      <c r="F2037">
        <v>20.82</v>
      </c>
      <c r="G2037" t="s">
        <v>623</v>
      </c>
      <c r="H2037" s="1">
        <v>46155.340925925928</v>
      </c>
      <c r="I2037" t="s">
        <v>638</v>
      </c>
      <c r="J2037">
        <v>20.82</v>
      </c>
      <c r="K2037">
        <v>0</v>
      </c>
    </row>
    <row r="2038" spans="1:11" x14ac:dyDescent="0.3">
      <c r="A2038">
        <v>2037</v>
      </c>
      <c r="B2038">
        <v>34</v>
      </c>
      <c r="C2038">
        <v>4</v>
      </c>
      <c r="D2038">
        <v>1905</v>
      </c>
      <c r="E2038" t="s">
        <v>651</v>
      </c>
      <c r="F2038">
        <v>25.89</v>
      </c>
      <c r="G2038" t="s">
        <v>623</v>
      </c>
      <c r="H2038" s="1">
        <v>46155.380185185182</v>
      </c>
      <c r="I2038" t="s">
        <v>638</v>
      </c>
      <c r="J2038">
        <v>25.89</v>
      </c>
      <c r="K2038">
        <v>0</v>
      </c>
    </row>
    <row r="2039" spans="1:11" x14ac:dyDescent="0.3">
      <c r="A2039">
        <v>2038</v>
      </c>
      <c r="B2039">
        <v>150</v>
      </c>
      <c r="C2039">
        <v>2</v>
      </c>
      <c r="D2039">
        <v>1906</v>
      </c>
      <c r="E2039" t="s">
        <v>651</v>
      </c>
      <c r="F2039">
        <v>5.46</v>
      </c>
      <c r="G2039" t="s">
        <v>623</v>
      </c>
      <c r="H2039" s="1">
        <v>46155.38989583333</v>
      </c>
      <c r="I2039" t="s">
        <v>638</v>
      </c>
      <c r="J2039">
        <v>5.46</v>
      </c>
      <c r="K2039">
        <v>0</v>
      </c>
    </row>
    <row r="2040" spans="1:11" x14ac:dyDescent="0.3">
      <c r="A2040">
        <v>2039</v>
      </c>
      <c r="B2040">
        <v>185</v>
      </c>
      <c r="C2040">
        <v>4</v>
      </c>
      <c r="D2040">
        <v>1907</v>
      </c>
      <c r="E2040" t="s">
        <v>651</v>
      </c>
      <c r="F2040">
        <v>10.42</v>
      </c>
      <c r="G2040" t="s">
        <v>623</v>
      </c>
      <c r="H2040" s="1">
        <v>46155.449490740742</v>
      </c>
      <c r="I2040" t="s">
        <v>638</v>
      </c>
      <c r="J2040">
        <v>10.42</v>
      </c>
      <c r="K2040">
        <v>0</v>
      </c>
    </row>
    <row r="2041" spans="1:11" x14ac:dyDescent="0.3">
      <c r="A2041">
        <v>2040</v>
      </c>
      <c r="B2041">
        <v>104</v>
      </c>
      <c r="C2041">
        <v>2</v>
      </c>
      <c r="D2041">
        <v>1908</v>
      </c>
      <c r="E2041" t="s">
        <v>651</v>
      </c>
      <c r="F2041">
        <v>16.7</v>
      </c>
      <c r="G2041" t="s">
        <v>623</v>
      </c>
      <c r="H2041" s="1">
        <v>46155.519942129627</v>
      </c>
      <c r="I2041" t="s">
        <v>638</v>
      </c>
      <c r="J2041">
        <v>16.7</v>
      </c>
      <c r="K2041">
        <v>0</v>
      </c>
    </row>
    <row r="2042" spans="1:11" x14ac:dyDescent="0.3">
      <c r="A2042">
        <v>2041</v>
      </c>
      <c r="B2042">
        <v>104</v>
      </c>
      <c r="C2042">
        <v>5</v>
      </c>
      <c r="D2042">
        <v>1908</v>
      </c>
      <c r="E2042" t="s">
        <v>649</v>
      </c>
      <c r="F2042">
        <v>-16.7</v>
      </c>
      <c r="G2042" t="s">
        <v>729</v>
      </c>
      <c r="H2042" s="1">
        <v>46155.561608796299</v>
      </c>
      <c r="I2042" t="s">
        <v>638</v>
      </c>
      <c r="J2042">
        <v>0</v>
      </c>
      <c r="K2042">
        <v>0</v>
      </c>
    </row>
    <row r="2043" spans="1:11" x14ac:dyDescent="0.3">
      <c r="A2043">
        <v>2042</v>
      </c>
      <c r="B2043">
        <v>158</v>
      </c>
      <c r="C2043">
        <v>4</v>
      </c>
      <c r="D2043">
        <v>1909</v>
      </c>
      <c r="E2043" t="s">
        <v>651</v>
      </c>
      <c r="F2043">
        <v>2.89</v>
      </c>
      <c r="G2043" t="s">
        <v>623</v>
      </c>
      <c r="H2043" s="1">
        <v>46155.585636574076</v>
      </c>
      <c r="I2043" t="s">
        <v>638</v>
      </c>
      <c r="J2043">
        <v>2.89</v>
      </c>
      <c r="K2043">
        <v>0</v>
      </c>
    </row>
    <row r="2044" spans="1:11" x14ac:dyDescent="0.3">
      <c r="A2044">
        <v>2043</v>
      </c>
      <c r="B2044">
        <v>162</v>
      </c>
      <c r="C2044">
        <v>2</v>
      </c>
      <c r="D2044">
        <v>1910</v>
      </c>
      <c r="E2044" t="s">
        <v>651</v>
      </c>
      <c r="F2044">
        <v>8.75</v>
      </c>
      <c r="G2044" t="s">
        <v>623</v>
      </c>
      <c r="H2044" s="1">
        <v>46155.647615740738</v>
      </c>
      <c r="I2044" t="s">
        <v>638</v>
      </c>
      <c r="J2044">
        <v>8.75</v>
      </c>
      <c r="K2044">
        <v>0</v>
      </c>
    </row>
    <row r="2045" spans="1:11" x14ac:dyDescent="0.3">
      <c r="A2045">
        <v>2044</v>
      </c>
      <c r="B2045">
        <v>117</v>
      </c>
      <c r="C2045">
        <v>5</v>
      </c>
      <c r="D2045">
        <v>1911</v>
      </c>
      <c r="E2045" t="s">
        <v>657</v>
      </c>
      <c r="F2045">
        <v>70.930000000000007</v>
      </c>
      <c r="G2045" t="s">
        <v>623</v>
      </c>
      <c r="H2045" s="1">
        <v>46155.744293981479</v>
      </c>
      <c r="I2045" t="s">
        <v>638</v>
      </c>
      <c r="J2045">
        <v>0</v>
      </c>
      <c r="K2045">
        <v>70.930000000000007</v>
      </c>
    </row>
    <row r="2046" spans="1:11" x14ac:dyDescent="0.3">
      <c r="A2046">
        <v>2045</v>
      </c>
      <c r="B2046">
        <v>243</v>
      </c>
      <c r="C2046">
        <v>5</v>
      </c>
      <c r="D2046">
        <v>1912</v>
      </c>
      <c r="E2046" t="s">
        <v>651</v>
      </c>
      <c r="F2046">
        <v>3.34</v>
      </c>
      <c r="G2046" t="s">
        <v>623</v>
      </c>
      <c r="H2046" s="1">
        <v>46156.346828703703</v>
      </c>
      <c r="I2046" t="s">
        <v>638</v>
      </c>
      <c r="J2046">
        <v>3.34</v>
      </c>
      <c r="K2046">
        <v>0</v>
      </c>
    </row>
    <row r="2047" spans="1:11" x14ac:dyDescent="0.3">
      <c r="A2047">
        <v>2046</v>
      </c>
      <c r="B2047">
        <v>17</v>
      </c>
      <c r="C2047">
        <v>3</v>
      </c>
      <c r="D2047">
        <v>1913</v>
      </c>
      <c r="E2047" t="s">
        <v>651</v>
      </c>
      <c r="F2047">
        <v>10.9</v>
      </c>
      <c r="G2047" t="s">
        <v>623</v>
      </c>
      <c r="H2047" s="1">
        <v>46156.380844907406</v>
      </c>
      <c r="I2047" t="s">
        <v>638</v>
      </c>
      <c r="J2047">
        <v>10.9</v>
      </c>
      <c r="K2047">
        <v>0</v>
      </c>
    </row>
    <row r="2048" spans="1:11" x14ac:dyDescent="0.3">
      <c r="A2048">
        <v>2047</v>
      </c>
      <c r="B2048">
        <v>17</v>
      </c>
      <c r="C2048">
        <v>5</v>
      </c>
      <c r="D2048">
        <v>1914</v>
      </c>
      <c r="E2048" t="s">
        <v>651</v>
      </c>
      <c r="F2048">
        <v>6.72</v>
      </c>
      <c r="G2048" t="s">
        <v>623</v>
      </c>
      <c r="H2048" s="1">
        <v>46156.599143518521</v>
      </c>
      <c r="I2048" t="s">
        <v>638</v>
      </c>
      <c r="J2048">
        <v>6.72</v>
      </c>
      <c r="K2048">
        <v>0</v>
      </c>
    </row>
    <row r="2049" spans="1:11" x14ac:dyDescent="0.3">
      <c r="A2049">
        <v>2048</v>
      </c>
      <c r="B2049">
        <v>235</v>
      </c>
      <c r="C2049">
        <v>2</v>
      </c>
      <c r="D2049">
        <v>1915</v>
      </c>
      <c r="E2049" t="s">
        <v>651</v>
      </c>
      <c r="F2049">
        <v>2.75</v>
      </c>
      <c r="G2049" t="s">
        <v>623</v>
      </c>
      <c r="H2049" s="1">
        <v>46156.620821759258</v>
      </c>
      <c r="I2049" t="s">
        <v>638</v>
      </c>
      <c r="J2049">
        <v>2.75</v>
      </c>
      <c r="K2049">
        <v>0</v>
      </c>
    </row>
    <row r="2050" spans="1:11" x14ac:dyDescent="0.3">
      <c r="A2050">
        <v>2049</v>
      </c>
      <c r="B2050">
        <v>158</v>
      </c>
      <c r="C2050">
        <v>5</v>
      </c>
      <c r="D2050">
        <v>1909</v>
      </c>
      <c r="E2050" t="s">
        <v>649</v>
      </c>
      <c r="F2050">
        <v>-2.89</v>
      </c>
      <c r="G2050" t="s">
        <v>730</v>
      </c>
      <c r="H2050" s="1">
        <v>46156.710636574076</v>
      </c>
      <c r="I2050" t="s">
        <v>638</v>
      </c>
      <c r="J2050">
        <v>0</v>
      </c>
      <c r="K2050">
        <v>0</v>
      </c>
    </row>
    <row r="2051" spans="1:11" x14ac:dyDescent="0.3">
      <c r="A2051">
        <v>2050</v>
      </c>
      <c r="B2051">
        <v>162</v>
      </c>
      <c r="C2051">
        <v>5</v>
      </c>
      <c r="D2051">
        <v>1910</v>
      </c>
      <c r="E2051" t="s">
        <v>649</v>
      </c>
      <c r="F2051">
        <v>-8.75</v>
      </c>
      <c r="G2051" t="s">
        <v>731</v>
      </c>
      <c r="H2051" s="1">
        <v>46156.772615740738</v>
      </c>
      <c r="I2051" t="s">
        <v>638</v>
      </c>
      <c r="J2051">
        <v>0</v>
      </c>
      <c r="K2051">
        <v>0</v>
      </c>
    </row>
    <row r="2052" spans="1:11" x14ac:dyDescent="0.3">
      <c r="A2052">
        <v>2051</v>
      </c>
      <c r="B2052">
        <v>156</v>
      </c>
      <c r="C2052">
        <v>2</v>
      </c>
      <c r="D2052">
        <v>1916</v>
      </c>
      <c r="E2052" t="s">
        <v>651</v>
      </c>
      <c r="F2052">
        <v>1.39</v>
      </c>
      <c r="G2052" t="s">
        <v>623</v>
      </c>
      <c r="H2052" s="1">
        <v>46157.345555555556</v>
      </c>
      <c r="I2052" t="s">
        <v>638</v>
      </c>
      <c r="J2052">
        <v>1.39</v>
      </c>
      <c r="K2052">
        <v>0</v>
      </c>
    </row>
    <row r="2053" spans="1:11" x14ac:dyDescent="0.3">
      <c r="A2053">
        <v>2052</v>
      </c>
      <c r="B2053">
        <v>245</v>
      </c>
      <c r="C2053">
        <v>5</v>
      </c>
      <c r="D2053">
        <v>1917</v>
      </c>
      <c r="E2053" t="s">
        <v>657</v>
      </c>
      <c r="F2053">
        <v>33.590000000000003</v>
      </c>
      <c r="G2053" t="s">
        <v>623</v>
      </c>
      <c r="H2053" s="1">
        <v>46157.37195601852</v>
      </c>
      <c r="I2053" t="s">
        <v>638</v>
      </c>
      <c r="J2053">
        <v>0</v>
      </c>
      <c r="K2053">
        <v>33.590000000000003</v>
      </c>
    </row>
    <row r="2054" spans="1:11" x14ac:dyDescent="0.3">
      <c r="A2054">
        <v>2053</v>
      </c>
      <c r="B2054">
        <v>297</v>
      </c>
      <c r="C2054">
        <v>2</v>
      </c>
      <c r="D2054">
        <v>1918</v>
      </c>
      <c r="E2054" t="s">
        <v>651</v>
      </c>
      <c r="F2054">
        <v>12.75</v>
      </c>
      <c r="G2054" t="s">
        <v>623</v>
      </c>
      <c r="H2054" s="1">
        <v>46157.37222222222</v>
      </c>
      <c r="I2054" t="s">
        <v>638</v>
      </c>
      <c r="J2054">
        <v>12.75</v>
      </c>
      <c r="K2054">
        <v>0</v>
      </c>
    </row>
    <row r="2055" spans="1:11" x14ac:dyDescent="0.3">
      <c r="A2055">
        <v>2054</v>
      </c>
      <c r="B2055">
        <v>14</v>
      </c>
      <c r="C2055">
        <v>2</v>
      </c>
      <c r="D2055">
        <v>1919</v>
      </c>
      <c r="E2055" t="s">
        <v>651</v>
      </c>
      <c r="F2055">
        <v>3.77</v>
      </c>
      <c r="G2055" t="s">
        <v>623</v>
      </c>
      <c r="H2055" s="1">
        <v>46157.466620370367</v>
      </c>
      <c r="I2055" t="s">
        <v>638</v>
      </c>
      <c r="J2055">
        <v>3.77</v>
      </c>
      <c r="K2055">
        <v>0</v>
      </c>
    </row>
    <row r="2056" spans="1:11" x14ac:dyDescent="0.3">
      <c r="A2056">
        <v>2055</v>
      </c>
      <c r="B2056">
        <v>156</v>
      </c>
      <c r="C2056">
        <v>3</v>
      </c>
      <c r="D2056">
        <v>1920</v>
      </c>
      <c r="E2056" t="s">
        <v>657</v>
      </c>
      <c r="F2056">
        <v>32.799999999999997</v>
      </c>
      <c r="G2056" t="s">
        <v>623</v>
      </c>
      <c r="H2056" s="1">
        <v>46157.529421296298</v>
      </c>
      <c r="I2056" t="s">
        <v>638</v>
      </c>
      <c r="J2056">
        <v>0</v>
      </c>
      <c r="K2056">
        <v>32.799999999999997</v>
      </c>
    </row>
    <row r="2057" spans="1:11" x14ac:dyDescent="0.3">
      <c r="A2057">
        <v>2056</v>
      </c>
      <c r="B2057">
        <v>294</v>
      </c>
      <c r="C2057">
        <v>2</v>
      </c>
      <c r="D2057">
        <v>1921</v>
      </c>
      <c r="E2057" t="s">
        <v>651</v>
      </c>
      <c r="F2057">
        <v>2.12</v>
      </c>
      <c r="G2057" t="s">
        <v>623</v>
      </c>
      <c r="H2057" s="1">
        <v>46157.725370370368</v>
      </c>
      <c r="I2057" t="s">
        <v>638</v>
      </c>
      <c r="J2057">
        <v>2.12</v>
      </c>
      <c r="K2057">
        <v>0</v>
      </c>
    </row>
    <row r="2058" spans="1:11" x14ac:dyDescent="0.3">
      <c r="A2058">
        <v>2057</v>
      </c>
      <c r="B2058">
        <v>39</v>
      </c>
      <c r="C2058">
        <v>4</v>
      </c>
      <c r="D2058">
        <v>1922</v>
      </c>
      <c r="E2058" t="s">
        <v>657</v>
      </c>
      <c r="F2058">
        <v>283.45</v>
      </c>
      <c r="G2058" t="s">
        <v>623</v>
      </c>
      <c r="H2058" s="1">
        <v>46157.813125000001</v>
      </c>
      <c r="I2058" t="s">
        <v>638</v>
      </c>
      <c r="J2058">
        <v>0</v>
      </c>
      <c r="K2058">
        <v>283.45</v>
      </c>
    </row>
    <row r="2059" spans="1:11" x14ac:dyDescent="0.3">
      <c r="A2059">
        <v>2058</v>
      </c>
      <c r="B2059">
        <v>27</v>
      </c>
      <c r="C2059">
        <v>5</v>
      </c>
      <c r="D2059">
        <v>1923</v>
      </c>
      <c r="E2059" t="s">
        <v>651</v>
      </c>
      <c r="F2059">
        <v>17.98</v>
      </c>
      <c r="G2059" t="s">
        <v>623</v>
      </c>
      <c r="H2059" s="1">
        <v>46158.356736111113</v>
      </c>
      <c r="I2059" t="s">
        <v>638</v>
      </c>
      <c r="J2059">
        <v>17.98</v>
      </c>
      <c r="K2059">
        <v>0</v>
      </c>
    </row>
    <row r="2060" spans="1:11" x14ac:dyDescent="0.3">
      <c r="A2060">
        <v>2059</v>
      </c>
      <c r="B2060">
        <v>96</v>
      </c>
      <c r="C2060">
        <v>5</v>
      </c>
      <c r="D2060">
        <v>1924</v>
      </c>
      <c r="E2060" t="s">
        <v>651</v>
      </c>
      <c r="F2060">
        <v>16.12</v>
      </c>
      <c r="G2060" t="s">
        <v>623</v>
      </c>
      <c r="H2060" s="1">
        <v>46158.383472222224</v>
      </c>
      <c r="I2060" t="s">
        <v>638</v>
      </c>
      <c r="J2060">
        <v>16.12</v>
      </c>
      <c r="K2060">
        <v>0</v>
      </c>
    </row>
    <row r="2061" spans="1:11" x14ac:dyDescent="0.3">
      <c r="A2061">
        <v>2060</v>
      </c>
      <c r="B2061">
        <v>39</v>
      </c>
      <c r="C2061">
        <v>3</v>
      </c>
      <c r="D2061">
        <v>1925</v>
      </c>
      <c r="E2061" t="s">
        <v>651</v>
      </c>
      <c r="F2061">
        <v>20.12</v>
      </c>
      <c r="G2061" t="s">
        <v>623</v>
      </c>
      <c r="H2061" s="1">
        <v>46158.40079861111</v>
      </c>
      <c r="I2061" t="s">
        <v>638</v>
      </c>
      <c r="J2061">
        <v>20.12</v>
      </c>
      <c r="K2061">
        <v>0</v>
      </c>
    </row>
    <row r="2062" spans="1:11" x14ac:dyDescent="0.3">
      <c r="A2062">
        <v>2061</v>
      </c>
      <c r="B2062">
        <v>297</v>
      </c>
      <c r="C2062">
        <v>2</v>
      </c>
      <c r="D2062">
        <v>1926</v>
      </c>
      <c r="E2062" t="s">
        <v>651</v>
      </c>
      <c r="F2062">
        <v>5.28</v>
      </c>
      <c r="G2062" t="s">
        <v>623</v>
      </c>
      <c r="H2062" s="1">
        <v>46158.40121527778</v>
      </c>
      <c r="I2062" t="s">
        <v>638</v>
      </c>
      <c r="J2062">
        <v>5.28</v>
      </c>
      <c r="K2062">
        <v>0</v>
      </c>
    </row>
    <row r="2063" spans="1:11" x14ac:dyDescent="0.3">
      <c r="A2063">
        <v>2062</v>
      </c>
      <c r="B2063">
        <v>91</v>
      </c>
      <c r="C2063">
        <v>2</v>
      </c>
      <c r="D2063">
        <v>1927</v>
      </c>
      <c r="E2063" t="s">
        <v>651</v>
      </c>
      <c r="F2063">
        <v>2.95</v>
      </c>
      <c r="G2063" t="s">
        <v>623</v>
      </c>
      <c r="H2063" s="1">
        <v>46158.431817129633</v>
      </c>
      <c r="I2063" t="s">
        <v>638</v>
      </c>
      <c r="J2063">
        <v>2.95</v>
      </c>
      <c r="K2063">
        <v>0</v>
      </c>
    </row>
    <row r="2064" spans="1:11" x14ac:dyDescent="0.3">
      <c r="A2064">
        <v>2063</v>
      </c>
      <c r="B2064">
        <v>218</v>
      </c>
      <c r="C2064">
        <v>4</v>
      </c>
      <c r="D2064">
        <v>1928</v>
      </c>
      <c r="E2064" t="s">
        <v>651</v>
      </c>
      <c r="F2064">
        <v>3.67</v>
      </c>
      <c r="G2064" t="s">
        <v>623</v>
      </c>
      <c r="H2064" s="1">
        <v>46158.43273148148</v>
      </c>
      <c r="I2064" t="s">
        <v>638</v>
      </c>
      <c r="J2064">
        <v>3.67</v>
      </c>
      <c r="K2064">
        <v>0</v>
      </c>
    </row>
    <row r="2065" spans="1:11" x14ac:dyDescent="0.3">
      <c r="A2065">
        <v>2064</v>
      </c>
      <c r="B2065">
        <v>84</v>
      </c>
      <c r="C2065">
        <v>3</v>
      </c>
      <c r="D2065">
        <v>1929</v>
      </c>
      <c r="E2065" t="s">
        <v>651</v>
      </c>
      <c r="F2065">
        <v>13.07</v>
      </c>
      <c r="G2065" t="s">
        <v>623</v>
      </c>
      <c r="H2065" s="1">
        <v>46158.446446759262</v>
      </c>
      <c r="I2065" t="s">
        <v>638</v>
      </c>
      <c r="J2065">
        <v>13.07</v>
      </c>
      <c r="K2065">
        <v>0</v>
      </c>
    </row>
    <row r="2066" spans="1:11" x14ac:dyDescent="0.3">
      <c r="A2066">
        <v>2065</v>
      </c>
      <c r="B2066">
        <v>149</v>
      </c>
      <c r="C2066">
        <v>5</v>
      </c>
      <c r="D2066">
        <v>1930</v>
      </c>
      <c r="E2066" t="s">
        <v>651</v>
      </c>
      <c r="F2066">
        <v>3.12</v>
      </c>
      <c r="G2066" t="s">
        <v>623</v>
      </c>
      <c r="H2066" s="1">
        <v>46158.475891203707</v>
      </c>
      <c r="I2066" t="s">
        <v>638</v>
      </c>
      <c r="J2066">
        <v>3.12</v>
      </c>
      <c r="K2066">
        <v>0</v>
      </c>
    </row>
    <row r="2067" spans="1:11" x14ac:dyDescent="0.3">
      <c r="A2067">
        <v>2066</v>
      </c>
      <c r="B2067">
        <v>294</v>
      </c>
      <c r="C2067">
        <v>5</v>
      </c>
      <c r="D2067">
        <v>1931</v>
      </c>
      <c r="E2067" t="s">
        <v>651</v>
      </c>
      <c r="F2067">
        <v>1.84</v>
      </c>
      <c r="G2067" t="s">
        <v>623</v>
      </c>
      <c r="H2067" s="1">
        <v>46158.710879629631</v>
      </c>
      <c r="I2067" t="s">
        <v>638</v>
      </c>
      <c r="J2067">
        <v>1.84</v>
      </c>
      <c r="K2067">
        <v>0</v>
      </c>
    </row>
    <row r="2068" spans="1:11" x14ac:dyDescent="0.3">
      <c r="A2068">
        <v>2067</v>
      </c>
      <c r="B2068">
        <v>250</v>
      </c>
      <c r="C2068">
        <v>4</v>
      </c>
      <c r="D2068">
        <v>1932</v>
      </c>
      <c r="E2068" t="s">
        <v>651</v>
      </c>
      <c r="F2068">
        <v>6.08</v>
      </c>
      <c r="G2068" t="s">
        <v>623</v>
      </c>
      <c r="H2068" s="1">
        <v>46159.464988425927</v>
      </c>
      <c r="I2068" t="s">
        <v>638</v>
      </c>
      <c r="J2068">
        <v>6.08</v>
      </c>
      <c r="K2068">
        <v>0</v>
      </c>
    </row>
    <row r="2069" spans="1:11" x14ac:dyDescent="0.3">
      <c r="A2069">
        <v>2068</v>
      </c>
      <c r="B2069">
        <v>136</v>
      </c>
      <c r="C2069">
        <v>4</v>
      </c>
      <c r="D2069">
        <v>1933</v>
      </c>
      <c r="E2069" t="s">
        <v>651</v>
      </c>
      <c r="F2069">
        <v>5.69</v>
      </c>
      <c r="G2069" t="s">
        <v>623</v>
      </c>
      <c r="H2069" s="1">
        <v>46159.474953703706</v>
      </c>
      <c r="I2069" t="s">
        <v>638</v>
      </c>
      <c r="J2069">
        <v>5.69</v>
      </c>
      <c r="K2069">
        <v>0</v>
      </c>
    </row>
    <row r="2070" spans="1:11" x14ac:dyDescent="0.3">
      <c r="A2070">
        <v>2069</v>
      </c>
      <c r="B2070">
        <v>294</v>
      </c>
      <c r="C2070">
        <v>5</v>
      </c>
      <c r="D2070">
        <v>1931</v>
      </c>
      <c r="E2070" t="s">
        <v>649</v>
      </c>
      <c r="F2070">
        <v>-1.84</v>
      </c>
      <c r="G2070" t="s">
        <v>732</v>
      </c>
      <c r="H2070" s="1">
        <v>46159.835879629631</v>
      </c>
      <c r="I2070" t="s">
        <v>638</v>
      </c>
      <c r="J2070">
        <v>0</v>
      </c>
      <c r="K2070">
        <v>0</v>
      </c>
    </row>
    <row r="2071" spans="1:11" x14ac:dyDescent="0.3">
      <c r="A2071">
        <v>2070</v>
      </c>
      <c r="B2071">
        <v>182</v>
      </c>
      <c r="C2071">
        <v>4</v>
      </c>
      <c r="D2071">
        <v>1934</v>
      </c>
      <c r="E2071" t="s">
        <v>651</v>
      </c>
      <c r="F2071">
        <v>6.27</v>
      </c>
      <c r="G2071" t="s">
        <v>623</v>
      </c>
      <c r="H2071" s="1">
        <v>46160.360810185186</v>
      </c>
      <c r="I2071" t="s">
        <v>638</v>
      </c>
      <c r="J2071">
        <v>6.27</v>
      </c>
      <c r="K2071">
        <v>0</v>
      </c>
    </row>
    <row r="2072" spans="1:11" x14ac:dyDescent="0.3">
      <c r="A2072">
        <v>2071</v>
      </c>
      <c r="B2072">
        <v>39</v>
      </c>
      <c r="C2072">
        <v>5</v>
      </c>
      <c r="D2072">
        <v>1935</v>
      </c>
      <c r="E2072" t="s">
        <v>651</v>
      </c>
      <c r="F2072">
        <v>23.48</v>
      </c>
      <c r="G2072" t="s">
        <v>623</v>
      </c>
      <c r="H2072" s="1">
        <v>46160.381597222222</v>
      </c>
      <c r="I2072" t="s">
        <v>638</v>
      </c>
      <c r="J2072">
        <v>23.48</v>
      </c>
      <c r="K2072">
        <v>0</v>
      </c>
    </row>
    <row r="2073" spans="1:11" x14ac:dyDescent="0.3">
      <c r="A2073">
        <v>2072</v>
      </c>
      <c r="B2073">
        <v>250</v>
      </c>
      <c r="C2073">
        <v>2</v>
      </c>
      <c r="D2073">
        <v>1936</v>
      </c>
      <c r="E2073" t="s">
        <v>651</v>
      </c>
      <c r="F2073">
        <v>13.09</v>
      </c>
      <c r="G2073" t="s">
        <v>623</v>
      </c>
      <c r="H2073" s="1">
        <v>46160.412847222222</v>
      </c>
      <c r="I2073" t="s">
        <v>638</v>
      </c>
      <c r="J2073">
        <v>13.09</v>
      </c>
      <c r="K2073">
        <v>0</v>
      </c>
    </row>
    <row r="2074" spans="1:11" x14ac:dyDescent="0.3">
      <c r="A2074">
        <v>2073</v>
      </c>
      <c r="B2074">
        <v>250</v>
      </c>
      <c r="C2074">
        <v>3</v>
      </c>
      <c r="D2074">
        <v>1937</v>
      </c>
      <c r="E2074" t="s">
        <v>651</v>
      </c>
      <c r="F2074">
        <v>17.27</v>
      </c>
      <c r="G2074" t="s">
        <v>623</v>
      </c>
      <c r="H2074" s="1">
        <v>46160.419456018521</v>
      </c>
      <c r="I2074" t="s">
        <v>638</v>
      </c>
      <c r="J2074">
        <v>17.27</v>
      </c>
      <c r="K2074">
        <v>0</v>
      </c>
    </row>
    <row r="2075" spans="1:11" x14ac:dyDescent="0.3">
      <c r="A2075">
        <v>2074</v>
      </c>
      <c r="B2075">
        <v>243</v>
      </c>
      <c r="C2075">
        <v>3</v>
      </c>
      <c r="D2075">
        <v>1938</v>
      </c>
      <c r="E2075" t="s">
        <v>651</v>
      </c>
      <c r="F2075">
        <v>2.4</v>
      </c>
      <c r="G2075" t="s">
        <v>623</v>
      </c>
      <c r="H2075" s="1">
        <v>46160.422546296293</v>
      </c>
      <c r="I2075" t="s">
        <v>638</v>
      </c>
      <c r="J2075">
        <v>2.4</v>
      </c>
      <c r="K2075">
        <v>0</v>
      </c>
    </row>
    <row r="2076" spans="1:11" x14ac:dyDescent="0.3">
      <c r="A2076">
        <v>2075</v>
      </c>
      <c r="B2076">
        <v>281</v>
      </c>
      <c r="C2076">
        <v>5</v>
      </c>
      <c r="D2076">
        <v>1939</v>
      </c>
      <c r="E2076" t="s">
        <v>651</v>
      </c>
      <c r="F2076">
        <v>11.97</v>
      </c>
      <c r="G2076" t="s">
        <v>623</v>
      </c>
      <c r="H2076" s="1">
        <v>46160.435949074075</v>
      </c>
      <c r="I2076" t="s">
        <v>638</v>
      </c>
      <c r="J2076">
        <v>11.97</v>
      </c>
      <c r="K2076">
        <v>0</v>
      </c>
    </row>
    <row r="2077" spans="1:11" x14ac:dyDescent="0.3">
      <c r="A2077">
        <v>2076</v>
      </c>
      <c r="B2077">
        <v>230</v>
      </c>
      <c r="C2077">
        <v>4</v>
      </c>
      <c r="D2077">
        <v>1940</v>
      </c>
      <c r="E2077" t="s">
        <v>651</v>
      </c>
      <c r="F2077">
        <v>23.1</v>
      </c>
      <c r="G2077" t="s">
        <v>623</v>
      </c>
      <c r="H2077" s="1">
        <v>46160.490127314813</v>
      </c>
      <c r="I2077" t="s">
        <v>638</v>
      </c>
      <c r="J2077">
        <v>23.1</v>
      </c>
      <c r="K2077">
        <v>0</v>
      </c>
    </row>
    <row r="2078" spans="1:11" x14ac:dyDescent="0.3">
      <c r="A2078">
        <v>2077</v>
      </c>
      <c r="B2078">
        <v>149</v>
      </c>
      <c r="C2078">
        <v>5</v>
      </c>
      <c r="D2078">
        <v>1941</v>
      </c>
      <c r="E2078" t="s">
        <v>651</v>
      </c>
      <c r="F2078">
        <v>3.57</v>
      </c>
      <c r="G2078" t="s">
        <v>623</v>
      </c>
      <c r="H2078" s="1">
        <v>46160.512685185182</v>
      </c>
      <c r="I2078" t="s">
        <v>638</v>
      </c>
      <c r="J2078">
        <v>3.57</v>
      </c>
      <c r="K2078">
        <v>0</v>
      </c>
    </row>
    <row r="2079" spans="1:11" x14ac:dyDescent="0.3">
      <c r="A2079">
        <v>2078</v>
      </c>
      <c r="B2079">
        <v>190</v>
      </c>
      <c r="C2079">
        <v>4</v>
      </c>
      <c r="D2079">
        <v>1942</v>
      </c>
      <c r="E2079" t="s">
        <v>651</v>
      </c>
      <c r="F2079">
        <v>11.22</v>
      </c>
      <c r="G2079" t="s">
        <v>623</v>
      </c>
      <c r="H2079" s="1">
        <v>46160.629525462966</v>
      </c>
      <c r="I2079" t="s">
        <v>638</v>
      </c>
      <c r="J2079">
        <v>11.22</v>
      </c>
      <c r="K2079">
        <v>0</v>
      </c>
    </row>
    <row r="2080" spans="1:11" x14ac:dyDescent="0.3">
      <c r="A2080">
        <v>2079</v>
      </c>
      <c r="B2080">
        <v>277</v>
      </c>
      <c r="C2080">
        <v>2</v>
      </c>
      <c r="D2080">
        <v>1943</v>
      </c>
      <c r="E2080" t="s">
        <v>651</v>
      </c>
      <c r="F2080">
        <v>7.82</v>
      </c>
      <c r="G2080" t="s">
        <v>623</v>
      </c>
      <c r="H2080" s="1">
        <v>46160.684027777781</v>
      </c>
      <c r="I2080" t="s">
        <v>638</v>
      </c>
      <c r="J2080">
        <v>7.82</v>
      </c>
      <c r="K2080">
        <v>0</v>
      </c>
    </row>
    <row r="2081" spans="1:11" x14ac:dyDescent="0.3">
      <c r="A2081">
        <v>2080</v>
      </c>
      <c r="B2081">
        <v>185</v>
      </c>
      <c r="C2081">
        <v>4</v>
      </c>
      <c r="D2081">
        <v>1944</v>
      </c>
      <c r="E2081" t="s">
        <v>651</v>
      </c>
      <c r="F2081">
        <v>12.83</v>
      </c>
      <c r="G2081" t="s">
        <v>623</v>
      </c>
      <c r="H2081" s="1">
        <v>46160.767881944441</v>
      </c>
      <c r="I2081" t="s">
        <v>638</v>
      </c>
      <c r="J2081">
        <v>12.83</v>
      </c>
      <c r="K2081">
        <v>0</v>
      </c>
    </row>
    <row r="2082" spans="1:11" x14ac:dyDescent="0.3">
      <c r="A2082">
        <v>2081</v>
      </c>
      <c r="B2082">
        <v>16</v>
      </c>
      <c r="C2082">
        <v>5</v>
      </c>
      <c r="D2082">
        <v>1945</v>
      </c>
      <c r="E2082" t="s">
        <v>651</v>
      </c>
      <c r="F2082">
        <v>30</v>
      </c>
      <c r="G2082" t="s">
        <v>623</v>
      </c>
      <c r="H2082" s="1">
        <v>46160.807233796295</v>
      </c>
      <c r="I2082" t="s">
        <v>638</v>
      </c>
      <c r="J2082">
        <v>30</v>
      </c>
      <c r="K2082">
        <v>0</v>
      </c>
    </row>
    <row r="2083" spans="1:11" x14ac:dyDescent="0.3">
      <c r="A2083">
        <v>2082</v>
      </c>
      <c r="B2083">
        <v>250</v>
      </c>
      <c r="C2083">
        <v>4</v>
      </c>
      <c r="D2083">
        <v>1946</v>
      </c>
      <c r="E2083" t="s">
        <v>651</v>
      </c>
      <c r="F2083">
        <v>5.13</v>
      </c>
      <c r="G2083" t="s">
        <v>623</v>
      </c>
      <c r="H2083" s="1">
        <v>46161.466840277775</v>
      </c>
      <c r="I2083" t="s">
        <v>638</v>
      </c>
      <c r="J2083">
        <v>5.13</v>
      </c>
      <c r="K2083">
        <v>0</v>
      </c>
    </row>
    <row r="2084" spans="1:11" x14ac:dyDescent="0.3">
      <c r="A2084">
        <v>2083</v>
      </c>
      <c r="B2084">
        <v>39</v>
      </c>
      <c r="C2084">
        <v>5</v>
      </c>
      <c r="D2084">
        <v>1947</v>
      </c>
      <c r="E2084" t="s">
        <v>651</v>
      </c>
      <c r="F2084">
        <v>12.79</v>
      </c>
      <c r="G2084" t="s">
        <v>623</v>
      </c>
      <c r="H2084" s="1">
        <v>46161.597025462965</v>
      </c>
      <c r="I2084" t="s">
        <v>638</v>
      </c>
      <c r="J2084">
        <v>12.79</v>
      </c>
      <c r="K2084">
        <v>0</v>
      </c>
    </row>
    <row r="2085" spans="1:11" x14ac:dyDescent="0.3">
      <c r="A2085">
        <v>2084</v>
      </c>
      <c r="B2085">
        <v>189</v>
      </c>
      <c r="C2085">
        <v>4</v>
      </c>
      <c r="D2085">
        <v>1948</v>
      </c>
      <c r="E2085" t="s">
        <v>651</v>
      </c>
      <c r="F2085">
        <v>4.67</v>
      </c>
      <c r="G2085" t="s">
        <v>623</v>
      </c>
      <c r="H2085" s="1">
        <v>46161.673784722225</v>
      </c>
      <c r="I2085" t="s">
        <v>638</v>
      </c>
      <c r="J2085">
        <v>4.67</v>
      </c>
      <c r="K2085">
        <v>0</v>
      </c>
    </row>
    <row r="2086" spans="1:11" x14ac:dyDescent="0.3">
      <c r="A2086">
        <v>2085</v>
      </c>
      <c r="B2086">
        <v>231</v>
      </c>
      <c r="C2086">
        <v>2</v>
      </c>
      <c r="D2086">
        <v>1949</v>
      </c>
      <c r="E2086" t="s">
        <v>651</v>
      </c>
      <c r="F2086">
        <v>13.15</v>
      </c>
      <c r="G2086" t="s">
        <v>623</v>
      </c>
      <c r="H2086" s="1">
        <v>46161.752002314817</v>
      </c>
      <c r="I2086" t="s">
        <v>638</v>
      </c>
      <c r="J2086">
        <v>13.15</v>
      </c>
      <c r="K2086">
        <v>0</v>
      </c>
    </row>
    <row r="2087" spans="1:11" x14ac:dyDescent="0.3">
      <c r="A2087">
        <v>2086</v>
      </c>
      <c r="B2087">
        <v>47</v>
      </c>
      <c r="C2087">
        <v>5</v>
      </c>
      <c r="D2087">
        <v>1950</v>
      </c>
      <c r="E2087" t="s">
        <v>651</v>
      </c>
      <c r="F2087">
        <v>1.75</v>
      </c>
      <c r="G2087" t="s">
        <v>623</v>
      </c>
      <c r="H2087" s="1">
        <v>46161.783136574071</v>
      </c>
      <c r="I2087" t="s">
        <v>638</v>
      </c>
      <c r="J2087">
        <v>1.75</v>
      </c>
      <c r="K2087">
        <v>0</v>
      </c>
    </row>
    <row r="2088" spans="1:11" x14ac:dyDescent="0.3">
      <c r="A2088">
        <v>2087</v>
      </c>
      <c r="B2088">
        <v>253</v>
      </c>
      <c r="C2088">
        <v>5</v>
      </c>
      <c r="D2088">
        <v>1951</v>
      </c>
      <c r="E2088" t="s">
        <v>651</v>
      </c>
      <c r="F2088">
        <v>2.82</v>
      </c>
      <c r="G2088" t="s">
        <v>623</v>
      </c>
      <c r="H2088" s="1">
        <v>46162.319479166668</v>
      </c>
      <c r="I2088" t="s">
        <v>638</v>
      </c>
      <c r="J2088">
        <v>2.82</v>
      </c>
      <c r="K2088">
        <v>0</v>
      </c>
    </row>
    <row r="2089" spans="1:11" x14ac:dyDescent="0.3">
      <c r="A2089">
        <v>2088</v>
      </c>
      <c r="B2089">
        <v>82</v>
      </c>
      <c r="C2089">
        <v>5</v>
      </c>
      <c r="D2089">
        <v>1952</v>
      </c>
      <c r="E2089" t="s">
        <v>651</v>
      </c>
      <c r="F2089">
        <v>4.43</v>
      </c>
      <c r="G2089" t="s">
        <v>623</v>
      </c>
      <c r="H2089" s="1">
        <v>46162.375208333331</v>
      </c>
      <c r="I2089" t="s">
        <v>638</v>
      </c>
      <c r="J2089">
        <v>4.43</v>
      </c>
      <c r="K2089">
        <v>0</v>
      </c>
    </row>
    <row r="2090" spans="1:11" x14ac:dyDescent="0.3">
      <c r="A2090">
        <v>2089</v>
      </c>
      <c r="B2090">
        <v>149</v>
      </c>
      <c r="C2090">
        <v>5</v>
      </c>
      <c r="D2090">
        <v>1953</v>
      </c>
      <c r="E2090" t="s">
        <v>651</v>
      </c>
      <c r="F2090">
        <v>2.93</v>
      </c>
      <c r="G2090" t="s">
        <v>623</v>
      </c>
      <c r="H2090" s="1">
        <v>46162.392025462963</v>
      </c>
      <c r="I2090" t="s">
        <v>638</v>
      </c>
      <c r="J2090">
        <v>2.93</v>
      </c>
      <c r="K2090">
        <v>0</v>
      </c>
    </row>
    <row r="2091" spans="1:11" x14ac:dyDescent="0.3">
      <c r="A2091">
        <v>2090</v>
      </c>
      <c r="B2091">
        <v>292</v>
      </c>
      <c r="C2091">
        <v>5</v>
      </c>
      <c r="D2091">
        <v>1954</v>
      </c>
      <c r="E2091" t="s">
        <v>651</v>
      </c>
      <c r="F2091">
        <v>1.87</v>
      </c>
      <c r="G2091" t="s">
        <v>623</v>
      </c>
      <c r="H2091" s="1">
        <v>46162.495138888888</v>
      </c>
      <c r="I2091" t="s">
        <v>638</v>
      </c>
      <c r="J2091">
        <v>1.87</v>
      </c>
      <c r="K2091">
        <v>0</v>
      </c>
    </row>
    <row r="2092" spans="1:11" x14ac:dyDescent="0.3">
      <c r="A2092">
        <v>2091</v>
      </c>
      <c r="B2092">
        <v>27</v>
      </c>
      <c r="C2092">
        <v>3</v>
      </c>
      <c r="D2092">
        <v>1955</v>
      </c>
      <c r="E2092" t="s">
        <v>651</v>
      </c>
      <c r="F2092">
        <v>9.59</v>
      </c>
      <c r="G2092" t="s">
        <v>623</v>
      </c>
      <c r="H2092" s="1">
        <v>46162.624120370368</v>
      </c>
      <c r="I2092" t="s">
        <v>638</v>
      </c>
      <c r="J2092">
        <v>9.59</v>
      </c>
      <c r="K2092">
        <v>0</v>
      </c>
    </row>
    <row r="2093" spans="1:11" x14ac:dyDescent="0.3">
      <c r="A2093">
        <v>2092</v>
      </c>
      <c r="B2093">
        <v>39</v>
      </c>
      <c r="C2093">
        <v>5</v>
      </c>
      <c r="D2093">
        <v>1956</v>
      </c>
      <c r="E2093" t="s">
        <v>651</v>
      </c>
      <c r="F2093">
        <v>22.89</v>
      </c>
      <c r="G2093" t="s">
        <v>623</v>
      </c>
      <c r="H2093" s="1">
        <v>46162.67496527778</v>
      </c>
      <c r="I2093" t="s">
        <v>638</v>
      </c>
      <c r="J2093">
        <v>22.89</v>
      </c>
      <c r="K2093">
        <v>0</v>
      </c>
    </row>
    <row r="2094" spans="1:11" x14ac:dyDescent="0.3">
      <c r="A2094">
        <v>2093</v>
      </c>
      <c r="B2094">
        <v>250</v>
      </c>
      <c r="C2094">
        <v>3</v>
      </c>
      <c r="D2094">
        <v>1957</v>
      </c>
      <c r="E2094" t="s">
        <v>651</v>
      </c>
      <c r="F2094">
        <v>5.0199999999999996</v>
      </c>
      <c r="G2094" t="s">
        <v>623</v>
      </c>
      <c r="H2094" s="1">
        <v>46162.700428240743</v>
      </c>
      <c r="I2094" t="s">
        <v>638</v>
      </c>
      <c r="J2094">
        <v>5.0199999999999996</v>
      </c>
      <c r="K2094">
        <v>0</v>
      </c>
    </row>
    <row r="2095" spans="1:11" x14ac:dyDescent="0.3">
      <c r="A2095">
        <v>2094</v>
      </c>
      <c r="B2095">
        <v>261</v>
      </c>
      <c r="C2095">
        <v>3</v>
      </c>
      <c r="D2095">
        <v>1958</v>
      </c>
      <c r="E2095" t="s">
        <v>651</v>
      </c>
      <c r="F2095">
        <v>5.6</v>
      </c>
      <c r="G2095" t="s">
        <v>623</v>
      </c>
      <c r="H2095" s="1">
        <v>46163.437222222223</v>
      </c>
      <c r="I2095" t="s">
        <v>638</v>
      </c>
      <c r="J2095">
        <v>5.6</v>
      </c>
      <c r="K2095">
        <v>0</v>
      </c>
    </row>
    <row r="2096" spans="1:11" x14ac:dyDescent="0.3">
      <c r="A2096">
        <v>2095</v>
      </c>
      <c r="B2096">
        <v>229</v>
      </c>
      <c r="C2096">
        <v>2</v>
      </c>
      <c r="D2096">
        <v>1959</v>
      </c>
      <c r="E2096" t="s">
        <v>651</v>
      </c>
      <c r="F2096">
        <v>14.82</v>
      </c>
      <c r="G2096" t="s">
        <v>623</v>
      </c>
      <c r="H2096" s="1">
        <v>46163.590046296296</v>
      </c>
      <c r="I2096" t="s">
        <v>638</v>
      </c>
      <c r="J2096">
        <v>14.82</v>
      </c>
      <c r="K2096">
        <v>0</v>
      </c>
    </row>
    <row r="2097" spans="1:11" x14ac:dyDescent="0.3">
      <c r="A2097">
        <v>2096</v>
      </c>
      <c r="B2097">
        <v>156</v>
      </c>
      <c r="C2097">
        <v>3</v>
      </c>
      <c r="D2097">
        <v>1960</v>
      </c>
      <c r="E2097" t="s">
        <v>651</v>
      </c>
      <c r="F2097">
        <v>3.64</v>
      </c>
      <c r="G2097" t="s">
        <v>623</v>
      </c>
      <c r="H2097" s="1">
        <v>46163.626030092593</v>
      </c>
      <c r="I2097" t="s">
        <v>638</v>
      </c>
      <c r="J2097">
        <v>3.64</v>
      </c>
      <c r="K2097">
        <v>0</v>
      </c>
    </row>
    <row r="2098" spans="1:11" x14ac:dyDescent="0.3">
      <c r="A2098">
        <v>2097</v>
      </c>
      <c r="B2098">
        <v>250</v>
      </c>
      <c r="C2098">
        <v>5</v>
      </c>
      <c r="D2098">
        <v>1961</v>
      </c>
      <c r="E2098" t="s">
        <v>651</v>
      </c>
      <c r="F2098">
        <v>7.82</v>
      </c>
      <c r="G2098" t="s">
        <v>623</v>
      </c>
      <c r="H2098" s="1">
        <v>46163.722534722219</v>
      </c>
      <c r="I2098" t="s">
        <v>638</v>
      </c>
      <c r="J2098">
        <v>7.82</v>
      </c>
      <c r="K2098">
        <v>0</v>
      </c>
    </row>
    <row r="2099" spans="1:11" x14ac:dyDescent="0.3">
      <c r="A2099">
        <v>2098</v>
      </c>
      <c r="B2099">
        <v>41</v>
      </c>
      <c r="C2099">
        <v>4</v>
      </c>
      <c r="D2099">
        <v>1962</v>
      </c>
      <c r="E2099" t="s">
        <v>651</v>
      </c>
      <c r="F2099">
        <v>10.45</v>
      </c>
      <c r="G2099" t="s">
        <v>623</v>
      </c>
      <c r="H2099" s="1">
        <v>46164.418715277781</v>
      </c>
      <c r="I2099" t="s">
        <v>638</v>
      </c>
      <c r="J2099">
        <v>10.45</v>
      </c>
      <c r="K2099">
        <v>0</v>
      </c>
    </row>
    <row r="2100" spans="1:11" x14ac:dyDescent="0.3">
      <c r="A2100">
        <v>2099</v>
      </c>
      <c r="B2100">
        <v>252</v>
      </c>
      <c r="C2100">
        <v>4</v>
      </c>
      <c r="D2100">
        <v>1963</v>
      </c>
      <c r="E2100" t="s">
        <v>651</v>
      </c>
      <c r="F2100">
        <v>3.14</v>
      </c>
      <c r="G2100" t="s">
        <v>623</v>
      </c>
      <c r="H2100" s="1">
        <v>46164.454039351855</v>
      </c>
      <c r="I2100" t="s">
        <v>638</v>
      </c>
      <c r="J2100">
        <v>3.14</v>
      </c>
      <c r="K2100">
        <v>0</v>
      </c>
    </row>
    <row r="2101" spans="1:11" x14ac:dyDescent="0.3">
      <c r="A2101">
        <v>2100</v>
      </c>
      <c r="B2101">
        <v>25</v>
      </c>
      <c r="C2101">
        <v>3</v>
      </c>
      <c r="D2101">
        <v>1964</v>
      </c>
      <c r="E2101" t="s">
        <v>651</v>
      </c>
      <c r="F2101">
        <v>13.22</v>
      </c>
      <c r="G2101" t="s">
        <v>623</v>
      </c>
      <c r="H2101" s="1">
        <v>46164.602199074077</v>
      </c>
      <c r="I2101" t="s">
        <v>638</v>
      </c>
      <c r="J2101">
        <v>13.22</v>
      </c>
      <c r="K2101">
        <v>0</v>
      </c>
    </row>
    <row r="2102" spans="1:11" x14ac:dyDescent="0.3">
      <c r="A2102">
        <v>2101</v>
      </c>
      <c r="B2102">
        <v>285</v>
      </c>
      <c r="C2102">
        <v>4</v>
      </c>
      <c r="D2102">
        <v>1965</v>
      </c>
      <c r="E2102" t="s">
        <v>651</v>
      </c>
      <c r="F2102">
        <v>5.03</v>
      </c>
      <c r="G2102" t="s">
        <v>623</v>
      </c>
      <c r="H2102" s="1">
        <v>46164.685312499998</v>
      </c>
      <c r="I2102" t="s">
        <v>638</v>
      </c>
      <c r="J2102">
        <v>5.03</v>
      </c>
      <c r="K2102">
        <v>0</v>
      </c>
    </row>
    <row r="2103" spans="1:11" x14ac:dyDescent="0.3">
      <c r="A2103">
        <v>2102</v>
      </c>
      <c r="B2103">
        <v>11</v>
      </c>
      <c r="C2103">
        <v>5</v>
      </c>
      <c r="D2103">
        <v>1966</v>
      </c>
      <c r="E2103" t="s">
        <v>651</v>
      </c>
      <c r="F2103">
        <v>28.09</v>
      </c>
      <c r="G2103" t="s">
        <v>623</v>
      </c>
      <c r="H2103" s="1">
        <v>46164.768564814818</v>
      </c>
      <c r="I2103" t="s">
        <v>638</v>
      </c>
      <c r="J2103">
        <v>28.09</v>
      </c>
      <c r="K2103">
        <v>0</v>
      </c>
    </row>
    <row r="2104" spans="1:11" x14ac:dyDescent="0.3">
      <c r="A2104">
        <v>2103</v>
      </c>
      <c r="B2104">
        <v>25</v>
      </c>
      <c r="C2104">
        <v>4</v>
      </c>
      <c r="D2104">
        <v>1964</v>
      </c>
      <c r="E2104" t="s">
        <v>649</v>
      </c>
      <c r="F2104">
        <v>-13.22</v>
      </c>
      <c r="G2104" t="s">
        <v>733</v>
      </c>
      <c r="H2104" s="1">
        <v>46165.060532407406</v>
      </c>
      <c r="I2104" t="s">
        <v>638</v>
      </c>
      <c r="J2104">
        <v>0</v>
      </c>
      <c r="K2104">
        <v>0</v>
      </c>
    </row>
    <row r="2105" spans="1:11" x14ac:dyDescent="0.3">
      <c r="A2105">
        <v>2104</v>
      </c>
      <c r="B2105">
        <v>170</v>
      </c>
      <c r="C2105">
        <v>5</v>
      </c>
      <c r="D2105">
        <v>1967</v>
      </c>
      <c r="E2105" t="s">
        <v>651</v>
      </c>
      <c r="F2105">
        <v>9.91</v>
      </c>
      <c r="G2105" t="s">
        <v>623</v>
      </c>
      <c r="H2105" s="1">
        <v>46165.330358796295</v>
      </c>
      <c r="I2105" t="s">
        <v>638</v>
      </c>
      <c r="J2105">
        <v>9.91</v>
      </c>
      <c r="K2105">
        <v>0</v>
      </c>
    </row>
    <row r="2106" spans="1:11" x14ac:dyDescent="0.3">
      <c r="A2106">
        <v>2105</v>
      </c>
      <c r="B2106">
        <v>96</v>
      </c>
      <c r="C2106">
        <v>3</v>
      </c>
      <c r="D2106">
        <v>1968</v>
      </c>
      <c r="E2106" t="s">
        <v>651</v>
      </c>
      <c r="F2106">
        <v>15.29</v>
      </c>
      <c r="G2106" t="s">
        <v>623</v>
      </c>
      <c r="H2106" s="1">
        <v>46165.366620370369</v>
      </c>
      <c r="I2106" t="s">
        <v>638</v>
      </c>
      <c r="J2106">
        <v>15.29</v>
      </c>
      <c r="K2106">
        <v>0</v>
      </c>
    </row>
    <row r="2107" spans="1:11" x14ac:dyDescent="0.3">
      <c r="A2107">
        <v>2106</v>
      </c>
      <c r="B2107">
        <v>200</v>
      </c>
      <c r="C2107">
        <v>2</v>
      </c>
      <c r="D2107">
        <v>1969</v>
      </c>
      <c r="E2107" t="s">
        <v>651</v>
      </c>
      <c r="F2107">
        <v>3.88</v>
      </c>
      <c r="G2107" t="s">
        <v>623</v>
      </c>
      <c r="H2107" s="1">
        <v>46165.387592592589</v>
      </c>
      <c r="I2107" t="s">
        <v>638</v>
      </c>
      <c r="J2107">
        <v>3.88</v>
      </c>
      <c r="K2107">
        <v>0</v>
      </c>
    </row>
    <row r="2108" spans="1:11" x14ac:dyDescent="0.3">
      <c r="A2108">
        <v>2107</v>
      </c>
      <c r="B2108">
        <v>82</v>
      </c>
      <c r="C2108">
        <v>5</v>
      </c>
      <c r="D2108">
        <v>1970</v>
      </c>
      <c r="E2108" t="s">
        <v>651</v>
      </c>
      <c r="F2108">
        <v>4.8899999999999997</v>
      </c>
      <c r="G2108" t="s">
        <v>623</v>
      </c>
      <c r="H2108" s="1">
        <v>46165.388807870368</v>
      </c>
      <c r="I2108" t="s">
        <v>638</v>
      </c>
      <c r="J2108">
        <v>4.8899999999999997</v>
      </c>
      <c r="K2108">
        <v>0</v>
      </c>
    </row>
    <row r="2109" spans="1:11" x14ac:dyDescent="0.3">
      <c r="A2109">
        <v>2108</v>
      </c>
      <c r="B2109">
        <v>137</v>
      </c>
      <c r="C2109">
        <v>5</v>
      </c>
      <c r="D2109">
        <v>1971</v>
      </c>
      <c r="E2109" t="s">
        <v>651</v>
      </c>
      <c r="F2109">
        <v>2.97</v>
      </c>
      <c r="G2109" t="s">
        <v>623</v>
      </c>
      <c r="H2109" s="1">
        <v>46165.414386574077</v>
      </c>
      <c r="I2109" t="s">
        <v>638</v>
      </c>
      <c r="J2109">
        <v>2.97</v>
      </c>
      <c r="K2109">
        <v>0</v>
      </c>
    </row>
    <row r="2110" spans="1:11" x14ac:dyDescent="0.3">
      <c r="A2110">
        <v>2109</v>
      </c>
      <c r="B2110">
        <v>39</v>
      </c>
      <c r="C2110">
        <v>3</v>
      </c>
      <c r="D2110">
        <v>1972</v>
      </c>
      <c r="E2110" t="s">
        <v>651</v>
      </c>
      <c r="F2110">
        <v>27.51</v>
      </c>
      <c r="G2110" t="s">
        <v>623</v>
      </c>
      <c r="H2110" s="1">
        <v>46165.512812499997</v>
      </c>
      <c r="I2110" t="s">
        <v>638</v>
      </c>
      <c r="J2110">
        <v>27.51</v>
      </c>
      <c r="K2110">
        <v>0</v>
      </c>
    </row>
    <row r="2111" spans="1:11" x14ac:dyDescent="0.3">
      <c r="A2111">
        <v>2110</v>
      </c>
      <c r="B2111">
        <v>285</v>
      </c>
      <c r="C2111">
        <v>2</v>
      </c>
      <c r="D2111">
        <v>1973</v>
      </c>
      <c r="E2111" t="s">
        <v>651</v>
      </c>
      <c r="F2111">
        <v>2.86</v>
      </c>
      <c r="G2111" t="s">
        <v>623</v>
      </c>
      <c r="H2111" s="1">
        <v>46165.522777777776</v>
      </c>
      <c r="I2111" t="s">
        <v>638</v>
      </c>
      <c r="J2111">
        <v>2.86</v>
      </c>
      <c r="K2111">
        <v>0</v>
      </c>
    </row>
    <row r="2112" spans="1:11" x14ac:dyDescent="0.3">
      <c r="A2112">
        <v>2111</v>
      </c>
      <c r="B2112">
        <v>65</v>
      </c>
      <c r="C2112">
        <v>5</v>
      </c>
      <c r="D2112">
        <v>1974</v>
      </c>
      <c r="E2112" t="s">
        <v>657</v>
      </c>
      <c r="F2112">
        <v>19.52</v>
      </c>
      <c r="G2112" t="s">
        <v>623</v>
      </c>
      <c r="H2112" s="1">
        <v>46165.558032407411</v>
      </c>
      <c r="I2112" t="s">
        <v>638</v>
      </c>
      <c r="J2112">
        <v>0</v>
      </c>
      <c r="K2112">
        <v>19.52</v>
      </c>
    </row>
    <row r="2113" spans="1:11" x14ac:dyDescent="0.3">
      <c r="A2113">
        <v>2112</v>
      </c>
      <c r="B2113">
        <v>87</v>
      </c>
      <c r="C2113">
        <v>3</v>
      </c>
      <c r="D2113">
        <v>1975</v>
      </c>
      <c r="E2113" t="s">
        <v>651</v>
      </c>
      <c r="F2113">
        <v>9.25</v>
      </c>
      <c r="G2113" t="s">
        <v>623</v>
      </c>
      <c r="H2113" s="1">
        <v>46165.721689814818</v>
      </c>
      <c r="I2113" t="s">
        <v>638</v>
      </c>
      <c r="J2113">
        <v>9.25</v>
      </c>
      <c r="K2113">
        <v>0</v>
      </c>
    </row>
    <row r="2114" spans="1:11" x14ac:dyDescent="0.3">
      <c r="A2114">
        <v>2113</v>
      </c>
      <c r="B2114">
        <v>304</v>
      </c>
      <c r="C2114">
        <v>2</v>
      </c>
      <c r="D2114">
        <v>1976</v>
      </c>
      <c r="E2114" t="s">
        <v>651</v>
      </c>
      <c r="F2114">
        <v>2.33</v>
      </c>
      <c r="G2114" t="s">
        <v>623</v>
      </c>
      <c r="H2114" s="1">
        <v>46165.764421296299</v>
      </c>
      <c r="I2114" t="s">
        <v>638</v>
      </c>
      <c r="J2114">
        <v>2.33</v>
      </c>
      <c r="K2114">
        <v>0</v>
      </c>
    </row>
    <row r="2115" spans="1:11" x14ac:dyDescent="0.3">
      <c r="A2115">
        <v>2114</v>
      </c>
      <c r="B2115">
        <v>16</v>
      </c>
      <c r="C2115">
        <v>2</v>
      </c>
      <c r="D2115">
        <v>1977</v>
      </c>
      <c r="E2115" t="s">
        <v>651</v>
      </c>
      <c r="F2115">
        <v>23.4</v>
      </c>
      <c r="G2115" t="s">
        <v>623</v>
      </c>
      <c r="H2115" s="1">
        <v>46166.340046296296</v>
      </c>
      <c r="I2115" t="s">
        <v>638</v>
      </c>
      <c r="J2115">
        <v>23.4</v>
      </c>
      <c r="K2115">
        <v>0</v>
      </c>
    </row>
    <row r="2116" spans="1:11" x14ac:dyDescent="0.3">
      <c r="A2116">
        <v>2115</v>
      </c>
      <c r="B2116">
        <v>289</v>
      </c>
      <c r="C2116">
        <v>2</v>
      </c>
      <c r="D2116">
        <v>1978</v>
      </c>
      <c r="E2116" t="s">
        <v>651</v>
      </c>
      <c r="F2116">
        <v>7.76</v>
      </c>
      <c r="G2116" t="s">
        <v>623</v>
      </c>
      <c r="H2116" s="1">
        <v>46166.412523148145</v>
      </c>
      <c r="I2116" t="s">
        <v>638</v>
      </c>
      <c r="J2116">
        <v>7.76</v>
      </c>
      <c r="K2116">
        <v>0</v>
      </c>
    </row>
    <row r="2117" spans="1:11" x14ac:dyDescent="0.3">
      <c r="A2117">
        <v>2116</v>
      </c>
      <c r="B2117">
        <v>65</v>
      </c>
      <c r="C2117">
        <v>2</v>
      </c>
      <c r="D2117">
        <v>1974</v>
      </c>
      <c r="E2117" t="s">
        <v>649</v>
      </c>
      <c r="F2117">
        <v>19.52</v>
      </c>
      <c r="G2117" t="s">
        <v>734</v>
      </c>
      <c r="H2117" s="1">
        <v>46166.433032407411</v>
      </c>
      <c r="I2117" t="s">
        <v>638</v>
      </c>
      <c r="J2117">
        <v>0</v>
      </c>
      <c r="K2117">
        <v>0</v>
      </c>
    </row>
    <row r="2118" spans="1:11" x14ac:dyDescent="0.3">
      <c r="A2118">
        <v>2117</v>
      </c>
      <c r="B2118">
        <v>139</v>
      </c>
      <c r="C2118">
        <v>2</v>
      </c>
      <c r="D2118">
        <v>1979</v>
      </c>
      <c r="E2118" t="s">
        <v>651</v>
      </c>
      <c r="F2118">
        <v>8.35</v>
      </c>
      <c r="G2118" t="s">
        <v>623</v>
      </c>
      <c r="H2118" s="1">
        <v>46166.472060185188</v>
      </c>
      <c r="I2118" t="s">
        <v>638</v>
      </c>
      <c r="J2118">
        <v>8.35</v>
      </c>
      <c r="K2118">
        <v>0</v>
      </c>
    </row>
    <row r="2119" spans="1:11" x14ac:dyDescent="0.3">
      <c r="A2119">
        <v>2118</v>
      </c>
      <c r="B2119">
        <v>172</v>
      </c>
      <c r="C2119">
        <v>2</v>
      </c>
      <c r="D2119">
        <v>1980</v>
      </c>
      <c r="E2119" t="s">
        <v>651</v>
      </c>
      <c r="F2119">
        <v>3.89</v>
      </c>
      <c r="G2119" t="s">
        <v>623</v>
      </c>
      <c r="H2119" s="1">
        <v>46166.558472222219</v>
      </c>
      <c r="I2119" t="s">
        <v>638</v>
      </c>
      <c r="J2119">
        <v>3.89</v>
      </c>
      <c r="K2119">
        <v>0</v>
      </c>
    </row>
    <row r="2120" spans="1:11" x14ac:dyDescent="0.3">
      <c r="A2120">
        <v>2119</v>
      </c>
      <c r="B2120">
        <v>91</v>
      </c>
      <c r="C2120">
        <v>5</v>
      </c>
      <c r="D2120">
        <v>1981</v>
      </c>
      <c r="E2120" t="s">
        <v>657</v>
      </c>
      <c r="F2120">
        <v>25.08</v>
      </c>
      <c r="G2120" t="s">
        <v>623</v>
      </c>
      <c r="H2120" s="1">
        <v>46166.572650462964</v>
      </c>
      <c r="I2120" t="s">
        <v>638</v>
      </c>
      <c r="J2120">
        <v>0</v>
      </c>
      <c r="K2120">
        <v>25.08</v>
      </c>
    </row>
    <row r="2121" spans="1:11" x14ac:dyDescent="0.3">
      <c r="A2121">
        <v>2120</v>
      </c>
      <c r="B2121">
        <v>137</v>
      </c>
      <c r="C2121">
        <v>5</v>
      </c>
      <c r="D2121">
        <v>1982</v>
      </c>
      <c r="E2121" t="s">
        <v>651</v>
      </c>
      <c r="F2121">
        <v>1.69</v>
      </c>
      <c r="G2121" t="s">
        <v>623</v>
      </c>
      <c r="H2121" s="1">
        <v>46166.629699074074</v>
      </c>
      <c r="I2121" t="s">
        <v>638</v>
      </c>
      <c r="J2121">
        <v>1.69</v>
      </c>
      <c r="K2121">
        <v>0</v>
      </c>
    </row>
    <row r="2122" spans="1:11" x14ac:dyDescent="0.3">
      <c r="A2122">
        <v>2121</v>
      </c>
      <c r="B2122">
        <v>173</v>
      </c>
      <c r="C2122">
        <v>3</v>
      </c>
      <c r="D2122">
        <v>1983</v>
      </c>
      <c r="E2122" t="s">
        <v>651</v>
      </c>
      <c r="F2122">
        <v>11.83</v>
      </c>
      <c r="G2122" t="s">
        <v>623</v>
      </c>
      <c r="H2122" s="1">
        <v>46166.689085648148</v>
      </c>
      <c r="I2122" t="s">
        <v>638</v>
      </c>
      <c r="J2122">
        <v>11.83</v>
      </c>
      <c r="K2122">
        <v>0</v>
      </c>
    </row>
    <row r="2123" spans="1:11" x14ac:dyDescent="0.3">
      <c r="A2123">
        <v>2122</v>
      </c>
      <c r="B2123">
        <v>39</v>
      </c>
      <c r="C2123">
        <v>3</v>
      </c>
      <c r="D2123">
        <v>1984</v>
      </c>
      <c r="E2123" t="s">
        <v>651</v>
      </c>
      <c r="F2123">
        <v>12.48</v>
      </c>
      <c r="G2123" t="s">
        <v>623</v>
      </c>
      <c r="H2123" s="1">
        <v>46166.722731481481</v>
      </c>
      <c r="I2123" t="s">
        <v>638</v>
      </c>
      <c r="J2123">
        <v>12.48</v>
      </c>
      <c r="K2123">
        <v>0</v>
      </c>
    </row>
    <row r="2124" spans="1:11" x14ac:dyDescent="0.3">
      <c r="A2124">
        <v>2123</v>
      </c>
      <c r="B2124">
        <v>7</v>
      </c>
      <c r="C2124">
        <v>2</v>
      </c>
      <c r="D2124">
        <v>1985</v>
      </c>
      <c r="E2124" t="s">
        <v>651</v>
      </c>
      <c r="F2124">
        <v>13.11</v>
      </c>
      <c r="G2124" t="s">
        <v>623</v>
      </c>
      <c r="H2124" s="1">
        <v>46166.755914351852</v>
      </c>
      <c r="I2124" t="s">
        <v>638</v>
      </c>
      <c r="J2124">
        <v>13.11</v>
      </c>
      <c r="K2124">
        <v>0</v>
      </c>
    </row>
    <row r="2125" spans="1:11" x14ac:dyDescent="0.3">
      <c r="A2125">
        <v>2124</v>
      </c>
      <c r="B2125">
        <v>45</v>
      </c>
      <c r="C2125">
        <v>3</v>
      </c>
      <c r="D2125">
        <v>1986</v>
      </c>
      <c r="E2125" t="s">
        <v>651</v>
      </c>
      <c r="F2125">
        <v>8.36</v>
      </c>
      <c r="G2125" t="s">
        <v>623</v>
      </c>
      <c r="H2125" s="1">
        <v>46166.797280092593</v>
      </c>
      <c r="I2125" t="s">
        <v>638</v>
      </c>
      <c r="J2125">
        <v>8.36</v>
      </c>
      <c r="K2125">
        <v>0</v>
      </c>
    </row>
    <row r="2126" spans="1:11" x14ac:dyDescent="0.3">
      <c r="A2126">
        <v>2125</v>
      </c>
      <c r="B2126">
        <v>59</v>
      </c>
      <c r="C2126">
        <v>2</v>
      </c>
      <c r="D2126">
        <v>1987</v>
      </c>
      <c r="E2126" t="s">
        <v>651</v>
      </c>
      <c r="F2126">
        <v>3.43</v>
      </c>
      <c r="G2126" t="s">
        <v>623</v>
      </c>
      <c r="H2126" s="1">
        <v>46167.371631944443</v>
      </c>
      <c r="I2126" t="s">
        <v>638</v>
      </c>
      <c r="J2126">
        <v>3.43</v>
      </c>
      <c r="K2126">
        <v>0</v>
      </c>
    </row>
    <row r="2127" spans="1:11" x14ac:dyDescent="0.3">
      <c r="A2127">
        <v>2126</v>
      </c>
      <c r="B2127">
        <v>259</v>
      </c>
      <c r="C2127">
        <v>2</v>
      </c>
      <c r="D2127">
        <v>1988</v>
      </c>
      <c r="E2127" t="s">
        <v>651</v>
      </c>
      <c r="F2127">
        <v>3.24</v>
      </c>
      <c r="G2127" t="s">
        <v>623</v>
      </c>
      <c r="H2127" s="1">
        <v>46167.41814814815</v>
      </c>
      <c r="I2127" t="s">
        <v>638</v>
      </c>
      <c r="J2127">
        <v>3.24</v>
      </c>
      <c r="K2127">
        <v>0</v>
      </c>
    </row>
    <row r="2128" spans="1:11" x14ac:dyDescent="0.3">
      <c r="A2128">
        <v>2127</v>
      </c>
      <c r="B2128">
        <v>39</v>
      </c>
      <c r="C2128">
        <v>3</v>
      </c>
      <c r="D2128">
        <v>1989</v>
      </c>
      <c r="E2128" t="s">
        <v>651</v>
      </c>
      <c r="F2128">
        <v>10.68</v>
      </c>
      <c r="G2128" t="s">
        <v>623</v>
      </c>
      <c r="H2128" s="1">
        <v>46167.433993055558</v>
      </c>
      <c r="I2128" t="s">
        <v>638</v>
      </c>
      <c r="J2128">
        <v>10.68</v>
      </c>
      <c r="K2128">
        <v>0</v>
      </c>
    </row>
    <row r="2129" spans="1:11" x14ac:dyDescent="0.3">
      <c r="A2129">
        <v>2128</v>
      </c>
      <c r="B2129">
        <v>39</v>
      </c>
      <c r="C2129">
        <v>3</v>
      </c>
      <c r="D2129">
        <v>1990</v>
      </c>
      <c r="E2129" t="s">
        <v>651</v>
      </c>
      <c r="F2129">
        <v>10.57</v>
      </c>
      <c r="G2129" t="s">
        <v>623</v>
      </c>
      <c r="H2129" s="1">
        <v>46167.473449074074</v>
      </c>
      <c r="I2129" t="s">
        <v>638</v>
      </c>
      <c r="J2129">
        <v>10.57</v>
      </c>
      <c r="K2129">
        <v>0</v>
      </c>
    </row>
    <row r="2130" spans="1:11" x14ac:dyDescent="0.3">
      <c r="A2130">
        <v>2129</v>
      </c>
      <c r="B2130">
        <v>65</v>
      </c>
      <c r="C2130">
        <v>2</v>
      </c>
      <c r="D2130">
        <v>1991</v>
      </c>
      <c r="E2130" t="s">
        <v>651</v>
      </c>
      <c r="F2130">
        <v>4.79</v>
      </c>
      <c r="G2130" t="s">
        <v>623</v>
      </c>
      <c r="H2130" s="1">
        <v>46167.555752314816</v>
      </c>
      <c r="I2130" t="s">
        <v>638</v>
      </c>
      <c r="J2130">
        <v>4.79</v>
      </c>
      <c r="K2130">
        <v>0</v>
      </c>
    </row>
    <row r="2131" spans="1:11" x14ac:dyDescent="0.3">
      <c r="A2131">
        <v>2130</v>
      </c>
      <c r="B2131">
        <v>155</v>
      </c>
      <c r="C2131">
        <v>4</v>
      </c>
      <c r="D2131">
        <v>1992</v>
      </c>
      <c r="E2131" t="s">
        <v>657</v>
      </c>
      <c r="F2131">
        <v>30.25</v>
      </c>
      <c r="G2131" t="s">
        <v>623</v>
      </c>
      <c r="H2131" s="1">
        <v>46167.563773148147</v>
      </c>
      <c r="I2131" t="s">
        <v>638</v>
      </c>
      <c r="J2131">
        <v>0</v>
      </c>
      <c r="K2131">
        <v>30.25</v>
      </c>
    </row>
    <row r="2132" spans="1:11" x14ac:dyDescent="0.3">
      <c r="A2132">
        <v>2131</v>
      </c>
      <c r="B2132">
        <v>229</v>
      </c>
      <c r="C2132">
        <v>4</v>
      </c>
      <c r="D2132">
        <v>1993</v>
      </c>
      <c r="E2132" t="s">
        <v>651</v>
      </c>
      <c r="F2132">
        <v>16.16</v>
      </c>
      <c r="G2132" t="s">
        <v>623</v>
      </c>
      <c r="H2132" s="1">
        <v>46167.577986111108</v>
      </c>
      <c r="I2132" t="s">
        <v>638</v>
      </c>
      <c r="J2132">
        <v>16.16</v>
      </c>
      <c r="K2132">
        <v>0</v>
      </c>
    </row>
    <row r="2133" spans="1:11" x14ac:dyDescent="0.3">
      <c r="A2133">
        <v>2132</v>
      </c>
      <c r="B2133">
        <v>190</v>
      </c>
      <c r="C2133">
        <v>2</v>
      </c>
      <c r="D2133">
        <v>1994</v>
      </c>
      <c r="E2133" t="s">
        <v>651</v>
      </c>
      <c r="F2133">
        <v>28.37</v>
      </c>
      <c r="G2133" t="s">
        <v>623</v>
      </c>
      <c r="H2133" s="1">
        <v>46167.632094907407</v>
      </c>
      <c r="I2133" t="s">
        <v>638</v>
      </c>
      <c r="J2133">
        <v>28.37</v>
      </c>
      <c r="K2133">
        <v>0</v>
      </c>
    </row>
    <row r="2134" spans="1:11" x14ac:dyDescent="0.3">
      <c r="A2134">
        <v>2133</v>
      </c>
      <c r="B2134">
        <v>285</v>
      </c>
      <c r="C2134">
        <v>2</v>
      </c>
      <c r="D2134">
        <v>1995</v>
      </c>
      <c r="E2134" t="s">
        <v>651</v>
      </c>
      <c r="F2134">
        <v>4.28</v>
      </c>
      <c r="G2134" t="s">
        <v>623</v>
      </c>
      <c r="H2134" s="1">
        <v>46167.687002314815</v>
      </c>
      <c r="I2134" t="s">
        <v>638</v>
      </c>
      <c r="J2134">
        <v>4.28</v>
      </c>
      <c r="K2134">
        <v>0</v>
      </c>
    </row>
    <row r="2135" spans="1:11" x14ac:dyDescent="0.3">
      <c r="A2135">
        <v>2134</v>
      </c>
      <c r="B2135">
        <v>201</v>
      </c>
      <c r="C2135">
        <v>5</v>
      </c>
      <c r="D2135">
        <v>1996</v>
      </c>
      <c r="E2135" t="s">
        <v>651</v>
      </c>
      <c r="F2135">
        <v>2.37</v>
      </c>
      <c r="G2135" t="s">
        <v>623</v>
      </c>
      <c r="H2135" s="1">
        <v>46167.702650462961</v>
      </c>
      <c r="I2135" t="s">
        <v>638</v>
      </c>
      <c r="J2135">
        <v>2.37</v>
      </c>
      <c r="K2135">
        <v>0</v>
      </c>
    </row>
    <row r="2136" spans="1:11" x14ac:dyDescent="0.3">
      <c r="A2136">
        <v>2135</v>
      </c>
      <c r="B2136">
        <v>285</v>
      </c>
      <c r="C2136">
        <v>3</v>
      </c>
      <c r="D2136">
        <v>1997</v>
      </c>
      <c r="E2136" t="s">
        <v>651</v>
      </c>
      <c r="F2136">
        <v>3.45</v>
      </c>
      <c r="G2136" t="s">
        <v>623</v>
      </c>
      <c r="H2136" s="1">
        <v>46167.768877314818</v>
      </c>
      <c r="I2136" t="s">
        <v>638</v>
      </c>
      <c r="J2136">
        <v>3.45</v>
      </c>
      <c r="K2136">
        <v>0</v>
      </c>
    </row>
    <row r="2137" spans="1:11" x14ac:dyDescent="0.3">
      <c r="A2137">
        <v>2136</v>
      </c>
      <c r="B2137">
        <v>16</v>
      </c>
      <c r="C2137">
        <v>5</v>
      </c>
      <c r="D2137">
        <v>1998</v>
      </c>
      <c r="E2137" t="s">
        <v>651</v>
      </c>
      <c r="F2137">
        <v>21.52</v>
      </c>
      <c r="G2137" t="s">
        <v>623</v>
      </c>
      <c r="H2137" s="1">
        <v>46168.41207175926</v>
      </c>
      <c r="I2137" t="s">
        <v>638</v>
      </c>
      <c r="J2137">
        <v>21.52</v>
      </c>
      <c r="K2137">
        <v>0</v>
      </c>
    </row>
    <row r="2138" spans="1:11" x14ac:dyDescent="0.3">
      <c r="A2138">
        <v>2137</v>
      </c>
      <c r="B2138">
        <v>89</v>
      </c>
      <c r="C2138">
        <v>5</v>
      </c>
      <c r="D2138">
        <v>1999</v>
      </c>
      <c r="E2138" t="s">
        <v>651</v>
      </c>
      <c r="F2138">
        <v>16.260000000000002</v>
      </c>
      <c r="G2138" t="s">
        <v>623</v>
      </c>
      <c r="H2138" s="1">
        <v>46168.435011574074</v>
      </c>
      <c r="I2138" t="s">
        <v>638</v>
      </c>
      <c r="J2138">
        <v>16.260000000000002</v>
      </c>
      <c r="K2138">
        <v>0</v>
      </c>
    </row>
    <row r="2139" spans="1:11" x14ac:dyDescent="0.3">
      <c r="A2139">
        <v>2138</v>
      </c>
      <c r="B2139">
        <v>22</v>
      </c>
      <c r="C2139">
        <v>4</v>
      </c>
      <c r="D2139">
        <v>2000</v>
      </c>
      <c r="E2139" t="s">
        <v>651</v>
      </c>
      <c r="F2139">
        <v>17.32</v>
      </c>
      <c r="G2139" t="s">
        <v>623</v>
      </c>
      <c r="H2139" s="1">
        <v>46168.512118055558</v>
      </c>
      <c r="I2139" t="s">
        <v>638</v>
      </c>
      <c r="J2139">
        <v>17.32</v>
      </c>
      <c r="K2139">
        <v>0</v>
      </c>
    </row>
    <row r="2140" spans="1:11" x14ac:dyDescent="0.3">
      <c r="A2140">
        <v>2139</v>
      </c>
      <c r="B2140">
        <v>136</v>
      </c>
      <c r="C2140">
        <v>5</v>
      </c>
      <c r="D2140">
        <v>2001</v>
      </c>
      <c r="E2140" t="s">
        <v>651</v>
      </c>
      <c r="F2140">
        <v>8.09</v>
      </c>
      <c r="G2140" t="s">
        <v>623</v>
      </c>
      <c r="H2140" s="1">
        <v>46168.525405092594</v>
      </c>
      <c r="I2140" t="s">
        <v>638</v>
      </c>
      <c r="J2140">
        <v>8.09</v>
      </c>
      <c r="K2140">
        <v>0</v>
      </c>
    </row>
    <row r="2141" spans="1:11" x14ac:dyDescent="0.3">
      <c r="A2141">
        <v>2140</v>
      </c>
      <c r="B2141">
        <v>117</v>
      </c>
      <c r="C2141">
        <v>4</v>
      </c>
      <c r="D2141">
        <v>2002</v>
      </c>
      <c r="E2141" t="s">
        <v>651</v>
      </c>
      <c r="F2141">
        <v>6.06</v>
      </c>
      <c r="G2141" t="s">
        <v>623</v>
      </c>
      <c r="H2141" s="1">
        <v>46168.668807870374</v>
      </c>
      <c r="I2141" t="s">
        <v>638</v>
      </c>
      <c r="J2141">
        <v>6.06</v>
      </c>
      <c r="K2141">
        <v>0</v>
      </c>
    </row>
    <row r="2142" spans="1:11" x14ac:dyDescent="0.3">
      <c r="A2142">
        <v>2141</v>
      </c>
      <c r="B2142">
        <v>139</v>
      </c>
      <c r="C2142">
        <v>3</v>
      </c>
      <c r="D2142">
        <v>2003</v>
      </c>
      <c r="E2142" t="s">
        <v>651</v>
      </c>
      <c r="F2142">
        <v>10.79</v>
      </c>
      <c r="G2142" t="s">
        <v>623</v>
      </c>
      <c r="H2142" s="1">
        <v>46169.367048611108</v>
      </c>
      <c r="I2142" t="s">
        <v>638</v>
      </c>
      <c r="J2142">
        <v>10.79</v>
      </c>
      <c r="K2142">
        <v>0</v>
      </c>
    </row>
    <row r="2143" spans="1:11" x14ac:dyDescent="0.3">
      <c r="A2143">
        <v>2142</v>
      </c>
      <c r="B2143">
        <v>213</v>
      </c>
      <c r="C2143">
        <v>2</v>
      </c>
      <c r="D2143">
        <v>2004</v>
      </c>
      <c r="E2143" t="s">
        <v>651</v>
      </c>
      <c r="F2143">
        <v>19.829999999999998</v>
      </c>
      <c r="G2143" t="s">
        <v>623</v>
      </c>
      <c r="H2143" s="1">
        <v>46169.627372685187</v>
      </c>
      <c r="I2143" t="s">
        <v>638</v>
      </c>
      <c r="J2143">
        <v>19.829999999999998</v>
      </c>
      <c r="K2143">
        <v>0</v>
      </c>
    </row>
    <row r="2144" spans="1:11" x14ac:dyDescent="0.3">
      <c r="A2144">
        <v>2143</v>
      </c>
      <c r="B2144">
        <v>183</v>
      </c>
      <c r="C2144">
        <v>2</v>
      </c>
      <c r="D2144">
        <v>2005</v>
      </c>
      <c r="E2144" t="s">
        <v>651</v>
      </c>
      <c r="F2144">
        <v>12.28</v>
      </c>
      <c r="G2144" t="s">
        <v>623</v>
      </c>
      <c r="H2144" s="1">
        <v>46169.655324074076</v>
      </c>
      <c r="I2144" t="s">
        <v>638</v>
      </c>
      <c r="J2144">
        <v>12.28</v>
      </c>
      <c r="K2144">
        <v>0</v>
      </c>
    </row>
    <row r="2145" spans="1:11" x14ac:dyDescent="0.3">
      <c r="A2145">
        <v>2144</v>
      </c>
      <c r="B2145">
        <v>237</v>
      </c>
      <c r="C2145">
        <v>5</v>
      </c>
      <c r="D2145">
        <v>2006</v>
      </c>
      <c r="E2145" t="s">
        <v>651</v>
      </c>
      <c r="F2145">
        <v>13.62</v>
      </c>
      <c r="G2145" t="s">
        <v>623</v>
      </c>
      <c r="H2145" s="1">
        <v>46169.672974537039</v>
      </c>
      <c r="I2145" t="s">
        <v>638</v>
      </c>
      <c r="J2145">
        <v>13.62</v>
      </c>
      <c r="K2145">
        <v>0</v>
      </c>
    </row>
    <row r="2146" spans="1:11" x14ac:dyDescent="0.3">
      <c r="A2146">
        <v>2145</v>
      </c>
      <c r="B2146">
        <v>59</v>
      </c>
      <c r="C2146">
        <v>5</v>
      </c>
      <c r="D2146">
        <v>2007</v>
      </c>
      <c r="E2146" t="s">
        <v>651</v>
      </c>
      <c r="F2146">
        <v>3.77</v>
      </c>
      <c r="G2146" t="s">
        <v>623</v>
      </c>
      <c r="H2146" s="1">
        <v>46169.715856481482</v>
      </c>
      <c r="I2146" t="s">
        <v>638</v>
      </c>
      <c r="J2146">
        <v>3.77</v>
      </c>
      <c r="K2146">
        <v>0</v>
      </c>
    </row>
    <row r="2147" spans="1:11" x14ac:dyDescent="0.3">
      <c r="A2147">
        <v>2146</v>
      </c>
      <c r="B2147">
        <v>183</v>
      </c>
      <c r="C2147">
        <v>5</v>
      </c>
      <c r="D2147">
        <v>2005</v>
      </c>
      <c r="E2147" t="s">
        <v>649</v>
      </c>
      <c r="F2147">
        <v>-12.28</v>
      </c>
      <c r="G2147" t="s">
        <v>735</v>
      </c>
      <c r="H2147" s="1">
        <v>46169.863657407404</v>
      </c>
      <c r="I2147" t="s">
        <v>638</v>
      </c>
      <c r="J2147">
        <v>0</v>
      </c>
      <c r="K2147">
        <v>0</v>
      </c>
    </row>
    <row r="2148" spans="1:11" x14ac:dyDescent="0.3">
      <c r="A2148">
        <v>2147</v>
      </c>
      <c r="B2148">
        <v>38</v>
      </c>
      <c r="C2148">
        <v>2</v>
      </c>
      <c r="D2148">
        <v>2008</v>
      </c>
      <c r="E2148" t="s">
        <v>651</v>
      </c>
      <c r="F2148">
        <v>1.39</v>
      </c>
      <c r="G2148" t="s">
        <v>623</v>
      </c>
      <c r="H2148" s="1">
        <v>46170.36550925926</v>
      </c>
      <c r="I2148" t="s">
        <v>638</v>
      </c>
      <c r="J2148">
        <v>1.39</v>
      </c>
      <c r="K2148">
        <v>0</v>
      </c>
    </row>
    <row r="2149" spans="1:11" x14ac:dyDescent="0.3">
      <c r="A2149">
        <v>2148</v>
      </c>
      <c r="B2149">
        <v>200</v>
      </c>
      <c r="C2149">
        <v>2</v>
      </c>
      <c r="D2149">
        <v>2009</v>
      </c>
      <c r="E2149" t="s">
        <v>651</v>
      </c>
      <c r="F2149">
        <v>3.59</v>
      </c>
      <c r="G2149" t="s">
        <v>623</v>
      </c>
      <c r="H2149" s="1">
        <v>46170.407395833332</v>
      </c>
      <c r="I2149" t="s">
        <v>638</v>
      </c>
      <c r="J2149">
        <v>3.59</v>
      </c>
      <c r="K2149">
        <v>0</v>
      </c>
    </row>
    <row r="2150" spans="1:11" x14ac:dyDescent="0.3">
      <c r="A2150">
        <v>2149</v>
      </c>
      <c r="B2150">
        <v>265</v>
      </c>
      <c r="C2150">
        <v>2</v>
      </c>
      <c r="D2150">
        <v>2010</v>
      </c>
      <c r="E2150" t="s">
        <v>651</v>
      </c>
      <c r="F2150">
        <v>10.39</v>
      </c>
      <c r="G2150" t="s">
        <v>623</v>
      </c>
      <c r="H2150" s="1">
        <v>46170.583553240744</v>
      </c>
      <c r="I2150" t="s">
        <v>638</v>
      </c>
      <c r="J2150">
        <v>10.39</v>
      </c>
      <c r="K2150">
        <v>0</v>
      </c>
    </row>
    <row r="2151" spans="1:11" x14ac:dyDescent="0.3">
      <c r="A2151">
        <v>2150</v>
      </c>
      <c r="B2151">
        <v>250</v>
      </c>
      <c r="C2151">
        <v>2</v>
      </c>
      <c r="D2151">
        <v>2011</v>
      </c>
      <c r="E2151" t="s">
        <v>651</v>
      </c>
      <c r="F2151">
        <v>11.13</v>
      </c>
      <c r="G2151" t="s">
        <v>623</v>
      </c>
      <c r="H2151" s="1">
        <v>46170.677893518521</v>
      </c>
      <c r="I2151" t="s">
        <v>638</v>
      </c>
      <c r="J2151">
        <v>11.13</v>
      </c>
      <c r="K2151">
        <v>0</v>
      </c>
    </row>
    <row r="2152" spans="1:11" x14ac:dyDescent="0.3">
      <c r="A2152">
        <v>2151</v>
      </c>
      <c r="B2152">
        <v>250</v>
      </c>
      <c r="C2152">
        <v>2</v>
      </c>
      <c r="D2152">
        <v>2012</v>
      </c>
      <c r="E2152" t="s">
        <v>651</v>
      </c>
      <c r="F2152">
        <v>6.84</v>
      </c>
      <c r="G2152" t="s">
        <v>623</v>
      </c>
      <c r="H2152" s="1">
        <v>46170.717523148145</v>
      </c>
      <c r="I2152" t="s">
        <v>638</v>
      </c>
      <c r="J2152">
        <v>6.84</v>
      </c>
      <c r="K2152">
        <v>0</v>
      </c>
    </row>
    <row r="2153" spans="1:11" x14ac:dyDescent="0.3">
      <c r="A2153">
        <v>2152</v>
      </c>
      <c r="B2153">
        <v>285</v>
      </c>
      <c r="C2153">
        <v>2</v>
      </c>
      <c r="D2153">
        <v>2013</v>
      </c>
      <c r="E2153" t="s">
        <v>651</v>
      </c>
      <c r="F2153">
        <v>3.05</v>
      </c>
      <c r="G2153" t="s">
        <v>623</v>
      </c>
      <c r="H2153" s="1">
        <v>46170.721770833334</v>
      </c>
      <c r="I2153" t="s">
        <v>638</v>
      </c>
      <c r="J2153">
        <v>3.05</v>
      </c>
      <c r="K2153">
        <v>0</v>
      </c>
    </row>
    <row r="2154" spans="1:11" x14ac:dyDescent="0.3">
      <c r="A2154">
        <v>2153</v>
      </c>
      <c r="B2154">
        <v>229</v>
      </c>
      <c r="C2154">
        <v>4</v>
      </c>
      <c r="D2154">
        <v>2014</v>
      </c>
      <c r="E2154" t="s">
        <v>651</v>
      </c>
      <c r="F2154">
        <v>4.1100000000000003</v>
      </c>
      <c r="G2154" t="s">
        <v>623</v>
      </c>
      <c r="H2154" s="1">
        <v>46170.734409722223</v>
      </c>
      <c r="I2154" t="s">
        <v>638</v>
      </c>
      <c r="J2154">
        <v>4.1100000000000003</v>
      </c>
      <c r="K2154">
        <v>0</v>
      </c>
    </row>
    <row r="2155" spans="1:11" x14ac:dyDescent="0.3">
      <c r="A2155">
        <v>2154</v>
      </c>
      <c r="B2155">
        <v>39</v>
      </c>
      <c r="C2155">
        <v>3</v>
      </c>
      <c r="D2155">
        <v>2015</v>
      </c>
      <c r="E2155" t="s">
        <v>651</v>
      </c>
      <c r="F2155">
        <v>20.51</v>
      </c>
      <c r="G2155" t="s">
        <v>623</v>
      </c>
      <c r="H2155" s="1">
        <v>46170.753229166665</v>
      </c>
      <c r="I2155" t="s">
        <v>638</v>
      </c>
      <c r="J2155">
        <v>20.51</v>
      </c>
      <c r="K2155">
        <v>0</v>
      </c>
    </row>
    <row r="2156" spans="1:11" x14ac:dyDescent="0.3">
      <c r="A2156">
        <v>2155</v>
      </c>
      <c r="B2156">
        <v>171</v>
      </c>
      <c r="C2156">
        <v>5</v>
      </c>
      <c r="D2156">
        <v>2016</v>
      </c>
      <c r="E2156" t="s">
        <v>651</v>
      </c>
      <c r="F2156">
        <v>22</v>
      </c>
      <c r="G2156" t="s">
        <v>623</v>
      </c>
      <c r="H2156" s="1">
        <v>46171.37</v>
      </c>
      <c r="I2156" t="s">
        <v>638</v>
      </c>
      <c r="J2156">
        <v>22</v>
      </c>
      <c r="K2156">
        <v>0</v>
      </c>
    </row>
    <row r="2157" spans="1:11" x14ac:dyDescent="0.3">
      <c r="A2157">
        <v>2156</v>
      </c>
      <c r="B2157">
        <v>250</v>
      </c>
      <c r="C2157">
        <v>2</v>
      </c>
      <c r="D2157">
        <v>2017</v>
      </c>
      <c r="E2157" t="s">
        <v>651</v>
      </c>
      <c r="F2157">
        <v>11.42</v>
      </c>
      <c r="G2157" t="s">
        <v>623</v>
      </c>
      <c r="H2157" s="1">
        <v>46171.402731481481</v>
      </c>
      <c r="I2157" t="s">
        <v>638</v>
      </c>
      <c r="J2157">
        <v>11.42</v>
      </c>
      <c r="K2157">
        <v>0</v>
      </c>
    </row>
    <row r="2158" spans="1:11" x14ac:dyDescent="0.3">
      <c r="A2158">
        <v>2157</v>
      </c>
      <c r="B2158">
        <v>13</v>
      </c>
      <c r="C2158">
        <v>4</v>
      </c>
      <c r="D2158">
        <v>2018</v>
      </c>
      <c r="E2158" t="s">
        <v>651</v>
      </c>
      <c r="F2158">
        <v>2.73</v>
      </c>
      <c r="G2158" t="s">
        <v>623</v>
      </c>
      <c r="H2158" s="1">
        <v>46171.467048611114</v>
      </c>
      <c r="I2158" t="s">
        <v>638</v>
      </c>
      <c r="J2158">
        <v>2.73</v>
      </c>
      <c r="K2158">
        <v>0</v>
      </c>
    </row>
    <row r="2159" spans="1:11" x14ac:dyDescent="0.3">
      <c r="A2159">
        <v>2158</v>
      </c>
      <c r="B2159">
        <v>250</v>
      </c>
      <c r="C2159">
        <v>2</v>
      </c>
      <c r="D2159">
        <v>2019</v>
      </c>
      <c r="E2159" t="s">
        <v>651</v>
      </c>
      <c r="F2159">
        <v>10.7</v>
      </c>
      <c r="G2159" t="s">
        <v>623</v>
      </c>
      <c r="H2159" s="1">
        <v>46171.506944444445</v>
      </c>
      <c r="I2159" t="s">
        <v>638</v>
      </c>
      <c r="J2159">
        <v>10.7</v>
      </c>
      <c r="K2159">
        <v>0</v>
      </c>
    </row>
    <row r="2160" spans="1:11" x14ac:dyDescent="0.3">
      <c r="A2160">
        <v>2159</v>
      </c>
      <c r="B2160">
        <v>245</v>
      </c>
      <c r="C2160">
        <v>5</v>
      </c>
      <c r="D2160">
        <v>2020</v>
      </c>
      <c r="E2160" t="s">
        <v>651</v>
      </c>
      <c r="F2160">
        <v>1.98</v>
      </c>
      <c r="G2160" t="s">
        <v>623</v>
      </c>
      <c r="H2160" s="1">
        <v>46172.335613425923</v>
      </c>
      <c r="I2160" t="s">
        <v>638</v>
      </c>
      <c r="J2160">
        <v>1.98</v>
      </c>
      <c r="K2160">
        <v>0</v>
      </c>
    </row>
    <row r="2161" spans="1:11" x14ac:dyDescent="0.3">
      <c r="A2161">
        <v>2160</v>
      </c>
      <c r="B2161">
        <v>229</v>
      </c>
      <c r="C2161">
        <v>5</v>
      </c>
      <c r="D2161">
        <v>2021</v>
      </c>
      <c r="E2161" t="s">
        <v>651</v>
      </c>
      <c r="F2161">
        <v>9.0299999999999994</v>
      </c>
      <c r="G2161" t="s">
        <v>623</v>
      </c>
      <c r="H2161" s="1">
        <v>46172.689826388887</v>
      </c>
      <c r="I2161" t="s">
        <v>638</v>
      </c>
      <c r="J2161">
        <v>9.0299999999999994</v>
      </c>
      <c r="K2161">
        <v>0</v>
      </c>
    </row>
    <row r="2162" spans="1:11" x14ac:dyDescent="0.3">
      <c r="A2162">
        <v>2161</v>
      </c>
      <c r="B2162">
        <v>241</v>
      </c>
      <c r="C2162">
        <v>4</v>
      </c>
      <c r="D2162">
        <v>2022</v>
      </c>
      <c r="E2162" t="s">
        <v>651</v>
      </c>
      <c r="F2162">
        <v>3.32</v>
      </c>
      <c r="G2162" t="s">
        <v>623</v>
      </c>
      <c r="H2162" s="1">
        <v>46172.726307870369</v>
      </c>
      <c r="I2162" t="s">
        <v>638</v>
      </c>
      <c r="J2162">
        <v>3.32</v>
      </c>
      <c r="K2162">
        <v>0</v>
      </c>
    </row>
    <row r="2163" spans="1:11" x14ac:dyDescent="0.3">
      <c r="A2163">
        <v>2162</v>
      </c>
      <c r="B2163">
        <v>137</v>
      </c>
      <c r="C2163">
        <v>3</v>
      </c>
      <c r="D2163">
        <v>2023</v>
      </c>
      <c r="E2163" t="s">
        <v>651</v>
      </c>
      <c r="F2163">
        <v>1.66</v>
      </c>
      <c r="G2163" t="s">
        <v>623</v>
      </c>
      <c r="H2163" s="1">
        <v>46172.726990740739</v>
      </c>
      <c r="I2163" t="s">
        <v>638</v>
      </c>
      <c r="J2163">
        <v>1.66</v>
      </c>
      <c r="K2163">
        <v>0</v>
      </c>
    </row>
    <row r="2164" spans="1:11" x14ac:dyDescent="0.3">
      <c r="A2164">
        <v>2163</v>
      </c>
      <c r="B2164">
        <v>25</v>
      </c>
      <c r="C2164">
        <v>2</v>
      </c>
      <c r="D2164">
        <v>2024</v>
      </c>
      <c r="E2164" t="s">
        <v>651</v>
      </c>
      <c r="F2164">
        <v>12.02</v>
      </c>
      <c r="G2164" t="s">
        <v>623</v>
      </c>
      <c r="H2164" s="1">
        <v>46172.766574074078</v>
      </c>
      <c r="I2164" t="s">
        <v>638</v>
      </c>
      <c r="J2164">
        <v>12.02</v>
      </c>
      <c r="K2164">
        <v>0</v>
      </c>
    </row>
    <row r="2165" spans="1:11" x14ac:dyDescent="0.3">
      <c r="A2165">
        <v>2164</v>
      </c>
      <c r="B2165">
        <v>221</v>
      </c>
      <c r="C2165">
        <v>3</v>
      </c>
      <c r="D2165">
        <v>2025</v>
      </c>
      <c r="E2165" t="s">
        <v>651</v>
      </c>
      <c r="F2165">
        <v>20</v>
      </c>
      <c r="G2165" t="s">
        <v>623</v>
      </c>
      <c r="H2165" s="1">
        <v>46172.785439814812</v>
      </c>
      <c r="I2165" t="s">
        <v>638</v>
      </c>
      <c r="J2165">
        <v>20</v>
      </c>
      <c r="K2165">
        <v>0</v>
      </c>
    </row>
    <row r="2166" spans="1:11" x14ac:dyDescent="0.3">
      <c r="A2166">
        <v>2165</v>
      </c>
      <c r="B2166">
        <v>13</v>
      </c>
      <c r="C2166">
        <v>3</v>
      </c>
      <c r="D2166">
        <v>2018</v>
      </c>
      <c r="E2166" t="s">
        <v>649</v>
      </c>
      <c r="F2166">
        <v>-2.73</v>
      </c>
      <c r="G2166" t="s">
        <v>736</v>
      </c>
      <c r="H2166" s="1">
        <v>46173.425381944442</v>
      </c>
      <c r="I2166" t="s">
        <v>638</v>
      </c>
      <c r="J2166">
        <v>0</v>
      </c>
      <c r="K2166">
        <v>0</v>
      </c>
    </row>
    <row r="2167" spans="1:11" x14ac:dyDescent="0.3">
      <c r="A2167">
        <v>2166</v>
      </c>
      <c r="B2167">
        <v>58</v>
      </c>
      <c r="C2167">
        <v>2</v>
      </c>
      <c r="D2167">
        <v>2026</v>
      </c>
      <c r="E2167" t="s">
        <v>651</v>
      </c>
      <c r="F2167">
        <v>3.17</v>
      </c>
      <c r="G2167" t="s">
        <v>623</v>
      </c>
      <c r="H2167" s="1">
        <v>46173.51421296296</v>
      </c>
      <c r="I2167" t="s">
        <v>638</v>
      </c>
      <c r="J2167">
        <v>3.17</v>
      </c>
      <c r="K2167">
        <v>0</v>
      </c>
    </row>
    <row r="2168" spans="1:11" x14ac:dyDescent="0.3">
      <c r="A2168">
        <v>2167</v>
      </c>
      <c r="B2168">
        <v>246</v>
      </c>
      <c r="C2168">
        <v>3</v>
      </c>
      <c r="D2168">
        <v>2027</v>
      </c>
      <c r="E2168" t="s">
        <v>651</v>
      </c>
      <c r="F2168">
        <v>5.26</v>
      </c>
      <c r="G2168" t="s">
        <v>623</v>
      </c>
      <c r="H2168" s="1">
        <v>46174.399780092594</v>
      </c>
      <c r="I2168" t="s">
        <v>639</v>
      </c>
      <c r="J2168">
        <v>5.26</v>
      </c>
      <c r="K2168">
        <v>0</v>
      </c>
    </row>
    <row r="2169" spans="1:11" x14ac:dyDescent="0.3">
      <c r="A2169">
        <v>2168</v>
      </c>
      <c r="B2169">
        <v>250</v>
      </c>
      <c r="C2169">
        <v>3</v>
      </c>
      <c r="D2169">
        <v>2028</v>
      </c>
      <c r="E2169" t="s">
        <v>651</v>
      </c>
      <c r="F2169">
        <v>7.81</v>
      </c>
      <c r="G2169" t="s">
        <v>623</v>
      </c>
      <c r="H2169" s="1">
        <v>46174.405590277776</v>
      </c>
      <c r="I2169" t="s">
        <v>639</v>
      </c>
      <c r="J2169">
        <v>7.81</v>
      </c>
      <c r="K2169">
        <v>0</v>
      </c>
    </row>
    <row r="2170" spans="1:11" x14ac:dyDescent="0.3">
      <c r="A2170">
        <v>2169</v>
      </c>
      <c r="B2170">
        <v>188</v>
      </c>
      <c r="C2170">
        <v>2</v>
      </c>
      <c r="D2170">
        <v>2029</v>
      </c>
      <c r="E2170" t="s">
        <v>651</v>
      </c>
      <c r="F2170">
        <v>24.6</v>
      </c>
      <c r="G2170" t="s">
        <v>623</v>
      </c>
      <c r="H2170" s="1">
        <v>46174.411620370367</v>
      </c>
      <c r="I2170" t="s">
        <v>639</v>
      </c>
      <c r="J2170">
        <v>24.6</v>
      </c>
      <c r="K2170">
        <v>0</v>
      </c>
    </row>
    <row r="2171" spans="1:11" x14ac:dyDescent="0.3">
      <c r="A2171">
        <v>2170</v>
      </c>
      <c r="B2171">
        <v>202</v>
      </c>
      <c r="C2171">
        <v>4</v>
      </c>
      <c r="D2171">
        <v>2030</v>
      </c>
      <c r="E2171" t="s">
        <v>651</v>
      </c>
      <c r="F2171">
        <v>3.36</v>
      </c>
      <c r="G2171" t="s">
        <v>623</v>
      </c>
      <c r="H2171" s="1">
        <v>46174.525810185187</v>
      </c>
      <c r="I2171" t="s">
        <v>639</v>
      </c>
      <c r="J2171">
        <v>3.36</v>
      </c>
      <c r="K2171">
        <v>0</v>
      </c>
    </row>
    <row r="2172" spans="1:11" x14ac:dyDescent="0.3">
      <c r="A2172">
        <v>2171</v>
      </c>
      <c r="B2172">
        <v>13</v>
      </c>
      <c r="C2172">
        <v>2</v>
      </c>
      <c r="D2172">
        <v>2031</v>
      </c>
      <c r="E2172" t="s">
        <v>651</v>
      </c>
      <c r="F2172">
        <v>3.83</v>
      </c>
      <c r="G2172" t="s">
        <v>623</v>
      </c>
      <c r="H2172" s="1">
        <v>46174.546817129631</v>
      </c>
      <c r="I2172" t="s">
        <v>639</v>
      </c>
      <c r="J2172">
        <v>3.83</v>
      </c>
      <c r="K2172">
        <v>0</v>
      </c>
    </row>
    <row r="2173" spans="1:11" x14ac:dyDescent="0.3">
      <c r="A2173">
        <v>2172</v>
      </c>
      <c r="B2173">
        <v>106</v>
      </c>
      <c r="C2173">
        <v>2</v>
      </c>
      <c r="D2173">
        <v>2032</v>
      </c>
      <c r="E2173" t="s">
        <v>651</v>
      </c>
      <c r="F2173">
        <v>10.98</v>
      </c>
      <c r="G2173" t="s">
        <v>623</v>
      </c>
      <c r="H2173" s="1">
        <v>46174.65357638889</v>
      </c>
      <c r="I2173" t="s">
        <v>639</v>
      </c>
      <c r="J2173">
        <v>10.98</v>
      </c>
      <c r="K2173">
        <v>0</v>
      </c>
    </row>
    <row r="2174" spans="1:11" x14ac:dyDescent="0.3">
      <c r="A2174">
        <v>2173</v>
      </c>
      <c r="B2174">
        <v>179</v>
      </c>
      <c r="C2174">
        <v>3</v>
      </c>
      <c r="D2174">
        <v>2033</v>
      </c>
      <c r="E2174" t="s">
        <v>651</v>
      </c>
      <c r="F2174">
        <v>12.72</v>
      </c>
      <c r="G2174" t="s">
        <v>623</v>
      </c>
      <c r="H2174" s="1">
        <v>46174.65525462963</v>
      </c>
      <c r="I2174" t="s">
        <v>639</v>
      </c>
      <c r="J2174">
        <v>12.72</v>
      </c>
      <c r="K2174">
        <v>0</v>
      </c>
    </row>
    <row r="2175" spans="1:11" x14ac:dyDescent="0.3">
      <c r="A2175">
        <v>2174</v>
      </c>
      <c r="B2175">
        <v>285</v>
      </c>
      <c r="C2175">
        <v>5</v>
      </c>
      <c r="D2175">
        <v>2034</v>
      </c>
      <c r="E2175" t="s">
        <v>651</v>
      </c>
      <c r="F2175">
        <v>2.09</v>
      </c>
      <c r="G2175" t="s">
        <v>623</v>
      </c>
      <c r="H2175" s="1">
        <v>46174.656354166669</v>
      </c>
      <c r="I2175" t="s">
        <v>639</v>
      </c>
      <c r="J2175">
        <v>2.09</v>
      </c>
      <c r="K2175">
        <v>0</v>
      </c>
    </row>
    <row r="2176" spans="1:11" x14ac:dyDescent="0.3">
      <c r="A2176">
        <v>2175</v>
      </c>
      <c r="B2176">
        <v>65</v>
      </c>
      <c r="C2176">
        <v>2</v>
      </c>
      <c r="D2176">
        <v>2035</v>
      </c>
      <c r="E2176" t="s">
        <v>651</v>
      </c>
      <c r="F2176">
        <v>2.98</v>
      </c>
      <c r="G2176" t="s">
        <v>623</v>
      </c>
      <c r="H2176" s="1">
        <v>46174.710740740738</v>
      </c>
      <c r="I2176" t="s">
        <v>639</v>
      </c>
      <c r="J2176">
        <v>2.98</v>
      </c>
      <c r="K2176">
        <v>0</v>
      </c>
    </row>
    <row r="2177" spans="1:11" x14ac:dyDescent="0.3">
      <c r="A2177">
        <v>2176</v>
      </c>
      <c r="B2177">
        <v>250</v>
      </c>
      <c r="C2177">
        <v>5</v>
      </c>
      <c r="D2177">
        <v>2036</v>
      </c>
      <c r="E2177" t="s">
        <v>651</v>
      </c>
      <c r="F2177">
        <v>4.29</v>
      </c>
      <c r="G2177" t="s">
        <v>623</v>
      </c>
      <c r="H2177" s="1">
        <v>46175.31449074074</v>
      </c>
      <c r="I2177" t="s">
        <v>639</v>
      </c>
      <c r="J2177">
        <v>4.29</v>
      </c>
      <c r="K2177">
        <v>0</v>
      </c>
    </row>
    <row r="2178" spans="1:11" x14ac:dyDescent="0.3">
      <c r="A2178">
        <v>2177</v>
      </c>
      <c r="B2178">
        <v>223</v>
      </c>
      <c r="C2178">
        <v>2</v>
      </c>
      <c r="D2178">
        <v>2037</v>
      </c>
      <c r="E2178" t="s">
        <v>651</v>
      </c>
      <c r="F2178">
        <v>2.56</v>
      </c>
      <c r="G2178" t="s">
        <v>623</v>
      </c>
      <c r="H2178" s="1">
        <v>46175.442453703705</v>
      </c>
      <c r="I2178" t="s">
        <v>639</v>
      </c>
      <c r="J2178">
        <v>2.56</v>
      </c>
      <c r="K2178">
        <v>0</v>
      </c>
    </row>
    <row r="2179" spans="1:11" x14ac:dyDescent="0.3">
      <c r="A2179">
        <v>2178</v>
      </c>
      <c r="B2179">
        <v>9</v>
      </c>
      <c r="C2179">
        <v>4</v>
      </c>
      <c r="D2179">
        <v>2038</v>
      </c>
      <c r="E2179" t="s">
        <v>651</v>
      </c>
      <c r="F2179">
        <v>4.67</v>
      </c>
      <c r="G2179" t="s">
        <v>623</v>
      </c>
      <c r="H2179" s="1">
        <v>46175.443599537037</v>
      </c>
      <c r="I2179" t="s">
        <v>639</v>
      </c>
      <c r="J2179">
        <v>4.67</v>
      </c>
      <c r="K2179">
        <v>0</v>
      </c>
    </row>
    <row r="2180" spans="1:11" x14ac:dyDescent="0.3">
      <c r="A2180">
        <v>2179</v>
      </c>
      <c r="B2180">
        <v>39</v>
      </c>
      <c r="C2180">
        <v>3</v>
      </c>
      <c r="D2180">
        <v>2039</v>
      </c>
      <c r="E2180" t="s">
        <v>657</v>
      </c>
      <c r="F2180">
        <v>159.16</v>
      </c>
      <c r="G2180" t="s">
        <v>623</v>
      </c>
      <c r="H2180" s="1">
        <v>46175.476354166669</v>
      </c>
      <c r="I2180" t="s">
        <v>639</v>
      </c>
      <c r="J2180">
        <v>0</v>
      </c>
      <c r="K2180">
        <v>159.16</v>
      </c>
    </row>
    <row r="2181" spans="1:11" x14ac:dyDescent="0.3">
      <c r="A2181">
        <v>2180</v>
      </c>
      <c r="B2181">
        <v>52</v>
      </c>
      <c r="C2181">
        <v>2</v>
      </c>
      <c r="D2181">
        <v>2040</v>
      </c>
      <c r="E2181" t="s">
        <v>657</v>
      </c>
      <c r="F2181">
        <v>46.32</v>
      </c>
      <c r="G2181" t="s">
        <v>623</v>
      </c>
      <c r="H2181" s="1">
        <v>46175.476967592593</v>
      </c>
      <c r="I2181" t="s">
        <v>639</v>
      </c>
      <c r="J2181">
        <v>0</v>
      </c>
      <c r="K2181">
        <v>46.32</v>
      </c>
    </row>
    <row r="2182" spans="1:11" x14ac:dyDescent="0.3">
      <c r="A2182">
        <v>2181</v>
      </c>
      <c r="B2182">
        <v>136</v>
      </c>
      <c r="C2182">
        <v>3</v>
      </c>
      <c r="D2182">
        <v>2041</v>
      </c>
      <c r="E2182" t="s">
        <v>651</v>
      </c>
      <c r="F2182">
        <v>11.31</v>
      </c>
      <c r="G2182" t="s">
        <v>623</v>
      </c>
      <c r="H2182" s="1">
        <v>46175.47859953704</v>
      </c>
      <c r="I2182" t="s">
        <v>639</v>
      </c>
      <c r="J2182">
        <v>11.31</v>
      </c>
      <c r="K2182">
        <v>0</v>
      </c>
    </row>
    <row r="2183" spans="1:11" x14ac:dyDescent="0.3">
      <c r="A2183">
        <v>2182</v>
      </c>
      <c r="B2183">
        <v>39</v>
      </c>
      <c r="C2183">
        <v>2</v>
      </c>
      <c r="D2183">
        <v>2042</v>
      </c>
      <c r="E2183" t="s">
        <v>651</v>
      </c>
      <c r="F2183">
        <v>30</v>
      </c>
      <c r="G2183" t="s">
        <v>623</v>
      </c>
      <c r="H2183" s="1">
        <v>46175.68445601852</v>
      </c>
      <c r="I2183" t="s">
        <v>639</v>
      </c>
      <c r="J2183">
        <v>30</v>
      </c>
      <c r="K2183">
        <v>0</v>
      </c>
    </row>
    <row r="2184" spans="1:11" x14ac:dyDescent="0.3">
      <c r="A2184">
        <v>2183</v>
      </c>
      <c r="B2184">
        <v>156</v>
      </c>
      <c r="C2184">
        <v>4</v>
      </c>
      <c r="D2184">
        <v>2043</v>
      </c>
      <c r="E2184" t="s">
        <v>651</v>
      </c>
      <c r="F2184">
        <v>4.43</v>
      </c>
      <c r="G2184" t="s">
        <v>623</v>
      </c>
      <c r="H2184" s="1">
        <v>46175.728425925925</v>
      </c>
      <c r="I2184" t="s">
        <v>639</v>
      </c>
      <c r="J2184">
        <v>4.43</v>
      </c>
      <c r="K2184">
        <v>0</v>
      </c>
    </row>
    <row r="2185" spans="1:11" x14ac:dyDescent="0.3">
      <c r="A2185">
        <v>2184</v>
      </c>
      <c r="B2185">
        <v>134</v>
      </c>
      <c r="C2185">
        <v>3</v>
      </c>
      <c r="D2185">
        <v>2044</v>
      </c>
      <c r="E2185" t="s">
        <v>651</v>
      </c>
      <c r="F2185">
        <v>15.74</v>
      </c>
      <c r="G2185" t="s">
        <v>623</v>
      </c>
      <c r="H2185" s="1">
        <v>46175.813425925924</v>
      </c>
      <c r="I2185" t="s">
        <v>639</v>
      </c>
      <c r="J2185">
        <v>15.74</v>
      </c>
      <c r="K2185">
        <v>0</v>
      </c>
    </row>
    <row r="2186" spans="1:11" x14ac:dyDescent="0.3">
      <c r="A2186">
        <v>2185</v>
      </c>
      <c r="B2186">
        <v>156</v>
      </c>
      <c r="C2186">
        <v>2</v>
      </c>
      <c r="D2186">
        <v>2045</v>
      </c>
      <c r="E2186" t="s">
        <v>651</v>
      </c>
      <c r="F2186">
        <v>3.56</v>
      </c>
      <c r="G2186" t="s">
        <v>623</v>
      </c>
      <c r="H2186" s="1">
        <v>46176.426770833335</v>
      </c>
      <c r="I2186" t="s">
        <v>639</v>
      </c>
      <c r="J2186">
        <v>3.56</v>
      </c>
      <c r="K2186">
        <v>0</v>
      </c>
    </row>
    <row r="2187" spans="1:11" x14ac:dyDescent="0.3">
      <c r="A2187">
        <v>2186</v>
      </c>
      <c r="B2187">
        <v>195</v>
      </c>
      <c r="C2187">
        <v>4</v>
      </c>
      <c r="D2187">
        <v>2046</v>
      </c>
      <c r="E2187" t="s">
        <v>651</v>
      </c>
      <c r="F2187">
        <v>15.01</v>
      </c>
      <c r="G2187" t="s">
        <v>623</v>
      </c>
      <c r="H2187" s="1">
        <v>46176.481180555558</v>
      </c>
      <c r="I2187" t="s">
        <v>639</v>
      </c>
      <c r="J2187">
        <v>15.01</v>
      </c>
      <c r="K2187">
        <v>0</v>
      </c>
    </row>
    <row r="2188" spans="1:11" x14ac:dyDescent="0.3">
      <c r="A2188">
        <v>2187</v>
      </c>
      <c r="B2188">
        <v>200</v>
      </c>
      <c r="C2188">
        <v>2</v>
      </c>
      <c r="D2188">
        <v>2047</v>
      </c>
      <c r="E2188" t="s">
        <v>651</v>
      </c>
      <c r="F2188">
        <v>2.62</v>
      </c>
      <c r="G2188" t="s">
        <v>623</v>
      </c>
      <c r="H2188" s="1">
        <v>46176.508958333332</v>
      </c>
      <c r="I2188" t="s">
        <v>639</v>
      </c>
      <c r="J2188">
        <v>2.62</v>
      </c>
      <c r="K2188">
        <v>0</v>
      </c>
    </row>
    <row r="2189" spans="1:11" x14ac:dyDescent="0.3">
      <c r="A2189">
        <v>2188</v>
      </c>
      <c r="B2189">
        <v>237</v>
      </c>
      <c r="C2189">
        <v>4</v>
      </c>
      <c r="D2189">
        <v>2048</v>
      </c>
      <c r="E2189" t="s">
        <v>651</v>
      </c>
      <c r="F2189">
        <v>21.41</v>
      </c>
      <c r="G2189" t="s">
        <v>623</v>
      </c>
      <c r="H2189" s="1">
        <v>46176.555393518516</v>
      </c>
      <c r="I2189" t="s">
        <v>639</v>
      </c>
      <c r="J2189">
        <v>21.41</v>
      </c>
      <c r="K2189">
        <v>0</v>
      </c>
    </row>
    <row r="2190" spans="1:11" x14ac:dyDescent="0.3">
      <c r="A2190">
        <v>2189</v>
      </c>
      <c r="B2190">
        <v>304</v>
      </c>
      <c r="C2190">
        <v>4</v>
      </c>
      <c r="D2190">
        <v>2049</v>
      </c>
      <c r="E2190" t="s">
        <v>651</v>
      </c>
      <c r="F2190">
        <v>2.37</v>
      </c>
      <c r="G2190" t="s">
        <v>623</v>
      </c>
      <c r="H2190" s="1">
        <v>46176.631504629629</v>
      </c>
      <c r="I2190" t="s">
        <v>639</v>
      </c>
      <c r="J2190">
        <v>2.37</v>
      </c>
      <c r="K2190">
        <v>0</v>
      </c>
    </row>
    <row r="2191" spans="1:11" x14ac:dyDescent="0.3">
      <c r="A2191">
        <v>2190</v>
      </c>
      <c r="B2191">
        <v>246</v>
      </c>
      <c r="C2191">
        <v>2</v>
      </c>
      <c r="D2191">
        <v>2050</v>
      </c>
      <c r="E2191" t="s">
        <v>651</v>
      </c>
      <c r="F2191">
        <v>3.94</v>
      </c>
      <c r="G2191" t="s">
        <v>623</v>
      </c>
      <c r="H2191" s="1">
        <v>46176.685127314813</v>
      </c>
      <c r="I2191" t="s">
        <v>639</v>
      </c>
      <c r="J2191">
        <v>3.94</v>
      </c>
      <c r="K2191">
        <v>0</v>
      </c>
    </row>
    <row r="2192" spans="1:11" x14ac:dyDescent="0.3">
      <c r="A2192">
        <v>2191</v>
      </c>
      <c r="B2192">
        <v>158</v>
      </c>
      <c r="C2192">
        <v>3</v>
      </c>
      <c r="D2192">
        <v>2051</v>
      </c>
      <c r="E2192" t="s">
        <v>651</v>
      </c>
      <c r="F2192">
        <v>3.37</v>
      </c>
      <c r="G2192" t="s">
        <v>623</v>
      </c>
      <c r="H2192" s="1">
        <v>46176.767569444448</v>
      </c>
      <c r="I2192" t="s">
        <v>639</v>
      </c>
      <c r="J2192">
        <v>3.37</v>
      </c>
      <c r="K2192">
        <v>0</v>
      </c>
    </row>
    <row r="2193" spans="1:11" x14ac:dyDescent="0.3">
      <c r="A2193">
        <v>2192</v>
      </c>
      <c r="B2193">
        <v>229</v>
      </c>
      <c r="C2193">
        <v>2</v>
      </c>
      <c r="D2193">
        <v>2052</v>
      </c>
      <c r="E2193" t="s">
        <v>651</v>
      </c>
      <c r="F2193">
        <v>9.3000000000000007</v>
      </c>
      <c r="G2193" t="s">
        <v>623</v>
      </c>
      <c r="H2193" s="1">
        <v>46176.791284722225</v>
      </c>
      <c r="I2193" t="s">
        <v>639</v>
      </c>
      <c r="J2193">
        <v>9.3000000000000007</v>
      </c>
      <c r="K2193">
        <v>0</v>
      </c>
    </row>
    <row r="2194" spans="1:11" x14ac:dyDescent="0.3">
      <c r="A2194">
        <v>2193</v>
      </c>
      <c r="B2194">
        <v>134</v>
      </c>
      <c r="C2194">
        <v>5</v>
      </c>
      <c r="D2194">
        <v>2053</v>
      </c>
      <c r="E2194" t="s">
        <v>651</v>
      </c>
      <c r="F2194">
        <v>10.72</v>
      </c>
      <c r="G2194" t="s">
        <v>623</v>
      </c>
      <c r="H2194" s="1">
        <v>46177.359502314815</v>
      </c>
      <c r="I2194" t="s">
        <v>639</v>
      </c>
      <c r="J2194">
        <v>10.72</v>
      </c>
      <c r="K2194">
        <v>0</v>
      </c>
    </row>
    <row r="2195" spans="1:11" x14ac:dyDescent="0.3">
      <c r="A2195">
        <v>2194</v>
      </c>
      <c r="B2195">
        <v>65</v>
      </c>
      <c r="C2195">
        <v>5</v>
      </c>
      <c r="D2195">
        <v>2054</v>
      </c>
      <c r="E2195" t="s">
        <v>651</v>
      </c>
      <c r="F2195">
        <v>5.1100000000000003</v>
      </c>
      <c r="G2195" t="s">
        <v>623</v>
      </c>
      <c r="H2195" s="1">
        <v>46177.384699074071</v>
      </c>
      <c r="I2195" t="s">
        <v>639</v>
      </c>
      <c r="J2195">
        <v>5.1100000000000003</v>
      </c>
      <c r="K2195">
        <v>0</v>
      </c>
    </row>
    <row r="2196" spans="1:11" x14ac:dyDescent="0.3">
      <c r="A2196">
        <v>2195</v>
      </c>
      <c r="B2196">
        <v>137</v>
      </c>
      <c r="C2196">
        <v>4</v>
      </c>
      <c r="D2196">
        <v>2055</v>
      </c>
      <c r="E2196" t="s">
        <v>657</v>
      </c>
      <c r="F2196">
        <v>19.71</v>
      </c>
      <c r="G2196" t="s">
        <v>623</v>
      </c>
      <c r="H2196" s="1">
        <v>46177.390243055554</v>
      </c>
      <c r="I2196" t="s">
        <v>639</v>
      </c>
      <c r="J2196">
        <v>0</v>
      </c>
      <c r="K2196">
        <v>19.71</v>
      </c>
    </row>
    <row r="2197" spans="1:11" x14ac:dyDescent="0.3">
      <c r="A2197">
        <v>2196</v>
      </c>
      <c r="B2197">
        <v>94</v>
      </c>
      <c r="C2197">
        <v>4</v>
      </c>
      <c r="D2197">
        <v>2056</v>
      </c>
      <c r="E2197" t="s">
        <v>651</v>
      </c>
      <c r="F2197">
        <v>18.47</v>
      </c>
      <c r="G2197" t="s">
        <v>623</v>
      </c>
      <c r="H2197" s="1">
        <v>46177.431157407409</v>
      </c>
      <c r="I2197" t="s">
        <v>639</v>
      </c>
      <c r="J2197">
        <v>18.47</v>
      </c>
      <c r="K2197">
        <v>0</v>
      </c>
    </row>
    <row r="2198" spans="1:11" x14ac:dyDescent="0.3">
      <c r="A2198">
        <v>2197</v>
      </c>
      <c r="B2198">
        <v>49</v>
      </c>
      <c r="C2198">
        <v>2</v>
      </c>
      <c r="D2198">
        <v>2057</v>
      </c>
      <c r="E2198" t="s">
        <v>651</v>
      </c>
      <c r="F2198">
        <v>8.85</v>
      </c>
      <c r="G2198" t="s">
        <v>623</v>
      </c>
      <c r="H2198" s="1">
        <v>46177.618472222224</v>
      </c>
      <c r="I2198" t="s">
        <v>639</v>
      </c>
      <c r="J2198">
        <v>8.85</v>
      </c>
      <c r="K2198">
        <v>0</v>
      </c>
    </row>
    <row r="2199" spans="1:11" x14ac:dyDescent="0.3">
      <c r="A2199">
        <v>2198</v>
      </c>
      <c r="B2199">
        <v>195</v>
      </c>
      <c r="C2199">
        <v>2</v>
      </c>
      <c r="D2199">
        <v>2046</v>
      </c>
      <c r="E2199" t="s">
        <v>649</v>
      </c>
      <c r="F2199">
        <v>-15.01</v>
      </c>
      <c r="G2199" t="s">
        <v>737</v>
      </c>
      <c r="H2199" s="1">
        <v>46177.647847222222</v>
      </c>
      <c r="I2199" t="s">
        <v>639</v>
      </c>
      <c r="J2199">
        <v>0</v>
      </c>
      <c r="K2199">
        <v>0</v>
      </c>
    </row>
    <row r="2200" spans="1:11" x14ac:dyDescent="0.3">
      <c r="A2200">
        <v>2199</v>
      </c>
      <c r="B2200">
        <v>26</v>
      </c>
      <c r="C2200">
        <v>2</v>
      </c>
      <c r="D2200">
        <v>2058</v>
      </c>
      <c r="E2200" t="s">
        <v>651</v>
      </c>
      <c r="F2200">
        <v>2.59</v>
      </c>
      <c r="G2200" t="s">
        <v>623</v>
      </c>
      <c r="H2200" s="1">
        <v>46177.691319444442</v>
      </c>
      <c r="I2200" t="s">
        <v>639</v>
      </c>
      <c r="J2200">
        <v>2.59</v>
      </c>
      <c r="K2200">
        <v>0</v>
      </c>
    </row>
    <row r="2201" spans="1:11" x14ac:dyDescent="0.3">
      <c r="A2201">
        <v>2200</v>
      </c>
      <c r="B2201">
        <v>137</v>
      </c>
      <c r="C2201">
        <v>5</v>
      </c>
      <c r="D2201">
        <v>2059</v>
      </c>
      <c r="E2201" t="s">
        <v>651</v>
      </c>
      <c r="F2201">
        <v>2.35</v>
      </c>
      <c r="G2201" t="s">
        <v>623</v>
      </c>
      <c r="H2201" s="1">
        <v>46177.718576388892</v>
      </c>
      <c r="I2201" t="s">
        <v>639</v>
      </c>
      <c r="J2201">
        <v>2.35</v>
      </c>
      <c r="K2201">
        <v>0</v>
      </c>
    </row>
    <row r="2202" spans="1:11" x14ac:dyDescent="0.3">
      <c r="A2202">
        <v>2201</v>
      </c>
      <c r="B2202">
        <v>304</v>
      </c>
      <c r="C2202">
        <v>2</v>
      </c>
      <c r="D2202">
        <v>2049</v>
      </c>
      <c r="E2202" t="s">
        <v>649</v>
      </c>
      <c r="F2202">
        <v>-2.37</v>
      </c>
      <c r="G2202" t="s">
        <v>738</v>
      </c>
      <c r="H2202" s="1">
        <v>46178.006504629629</v>
      </c>
      <c r="I2202" t="s">
        <v>639</v>
      </c>
      <c r="J2202">
        <v>0</v>
      </c>
      <c r="K2202">
        <v>0</v>
      </c>
    </row>
    <row r="2203" spans="1:11" x14ac:dyDescent="0.3">
      <c r="A2203">
        <v>2202</v>
      </c>
      <c r="B2203">
        <v>29</v>
      </c>
      <c r="C2203">
        <v>2</v>
      </c>
      <c r="D2203">
        <v>2060</v>
      </c>
      <c r="E2203" t="s">
        <v>651</v>
      </c>
      <c r="F2203">
        <v>4.51</v>
      </c>
      <c r="G2203" t="s">
        <v>623</v>
      </c>
      <c r="H2203" s="1">
        <v>46178.292083333334</v>
      </c>
      <c r="I2203" t="s">
        <v>639</v>
      </c>
      <c r="J2203">
        <v>4.51</v>
      </c>
      <c r="K2203">
        <v>0</v>
      </c>
    </row>
    <row r="2204" spans="1:11" x14ac:dyDescent="0.3">
      <c r="A2204">
        <v>2203</v>
      </c>
      <c r="B2204">
        <v>39</v>
      </c>
      <c r="C2204">
        <v>4</v>
      </c>
      <c r="D2204">
        <v>2061</v>
      </c>
      <c r="E2204" t="s">
        <v>651</v>
      </c>
      <c r="F2204">
        <v>13.07</v>
      </c>
      <c r="G2204" t="s">
        <v>623</v>
      </c>
      <c r="H2204" s="1">
        <v>46178.310208333336</v>
      </c>
      <c r="I2204" t="s">
        <v>639</v>
      </c>
      <c r="J2204">
        <v>13.07</v>
      </c>
      <c r="K2204">
        <v>0</v>
      </c>
    </row>
    <row r="2205" spans="1:11" x14ac:dyDescent="0.3">
      <c r="A2205">
        <v>2204</v>
      </c>
      <c r="B2205">
        <v>66</v>
      </c>
      <c r="C2205">
        <v>3</v>
      </c>
      <c r="D2205">
        <v>2062</v>
      </c>
      <c r="E2205" t="s">
        <v>651</v>
      </c>
      <c r="F2205">
        <v>5.14</v>
      </c>
      <c r="G2205" t="s">
        <v>623</v>
      </c>
      <c r="H2205" s="1">
        <v>46178.32849537037</v>
      </c>
      <c r="I2205" t="s">
        <v>639</v>
      </c>
      <c r="J2205">
        <v>5.14</v>
      </c>
      <c r="K2205">
        <v>0</v>
      </c>
    </row>
    <row r="2206" spans="1:11" x14ac:dyDescent="0.3">
      <c r="A2206">
        <v>2205</v>
      </c>
      <c r="B2206">
        <v>107</v>
      </c>
      <c r="C2206">
        <v>2</v>
      </c>
      <c r="D2206">
        <v>2063</v>
      </c>
      <c r="E2206" t="s">
        <v>651</v>
      </c>
      <c r="F2206">
        <v>4.6100000000000003</v>
      </c>
      <c r="G2206" t="s">
        <v>623</v>
      </c>
      <c r="H2206" s="1">
        <v>46178.387025462966</v>
      </c>
      <c r="I2206" t="s">
        <v>639</v>
      </c>
      <c r="J2206">
        <v>4.6100000000000003</v>
      </c>
      <c r="K2206">
        <v>0</v>
      </c>
    </row>
    <row r="2207" spans="1:11" x14ac:dyDescent="0.3">
      <c r="A2207">
        <v>2206</v>
      </c>
      <c r="B2207">
        <v>137</v>
      </c>
      <c r="C2207">
        <v>4</v>
      </c>
      <c r="D2207">
        <v>2064</v>
      </c>
      <c r="E2207" t="s">
        <v>651</v>
      </c>
      <c r="F2207">
        <v>1.66</v>
      </c>
      <c r="G2207" t="s">
        <v>623</v>
      </c>
      <c r="H2207" s="1">
        <v>46178.416770833333</v>
      </c>
      <c r="I2207" t="s">
        <v>639</v>
      </c>
      <c r="J2207">
        <v>1.66</v>
      </c>
      <c r="K2207">
        <v>0</v>
      </c>
    </row>
    <row r="2208" spans="1:11" x14ac:dyDescent="0.3">
      <c r="A2208">
        <v>2207</v>
      </c>
      <c r="B2208">
        <v>136</v>
      </c>
      <c r="C2208">
        <v>2</v>
      </c>
      <c r="D2208">
        <v>2065</v>
      </c>
      <c r="E2208" t="s">
        <v>657</v>
      </c>
      <c r="F2208">
        <v>83.1</v>
      </c>
      <c r="G2208" t="s">
        <v>623</v>
      </c>
      <c r="H2208" s="1">
        <v>46178.427465277775</v>
      </c>
      <c r="I2208" t="s">
        <v>639</v>
      </c>
      <c r="J2208">
        <v>0</v>
      </c>
      <c r="K2208">
        <v>83.1</v>
      </c>
    </row>
    <row r="2209" spans="1:11" x14ac:dyDescent="0.3">
      <c r="A2209">
        <v>2208</v>
      </c>
      <c r="B2209">
        <v>190</v>
      </c>
      <c r="C2209">
        <v>4</v>
      </c>
      <c r="D2209">
        <v>2066</v>
      </c>
      <c r="E2209" t="s">
        <v>651</v>
      </c>
      <c r="F2209">
        <v>22.95</v>
      </c>
      <c r="G2209" t="s">
        <v>623</v>
      </c>
      <c r="H2209" s="1">
        <v>46178.44902777778</v>
      </c>
      <c r="I2209" t="s">
        <v>639</v>
      </c>
      <c r="J2209">
        <v>22.95</v>
      </c>
      <c r="K2209">
        <v>0</v>
      </c>
    </row>
    <row r="2210" spans="1:11" x14ac:dyDescent="0.3">
      <c r="A2210">
        <v>2209</v>
      </c>
      <c r="B2210">
        <v>147</v>
      </c>
      <c r="C2210">
        <v>2</v>
      </c>
      <c r="D2210">
        <v>2067</v>
      </c>
      <c r="E2210" t="s">
        <v>651</v>
      </c>
      <c r="F2210">
        <v>9.2799999999999994</v>
      </c>
      <c r="G2210" t="s">
        <v>623</v>
      </c>
      <c r="H2210" s="1">
        <v>46178.495462962965</v>
      </c>
      <c r="I2210" t="s">
        <v>639</v>
      </c>
      <c r="J2210">
        <v>9.2799999999999994</v>
      </c>
      <c r="K2210">
        <v>0</v>
      </c>
    </row>
    <row r="2211" spans="1:11" x14ac:dyDescent="0.3">
      <c r="A2211">
        <v>2210</v>
      </c>
      <c r="B2211">
        <v>290</v>
      </c>
      <c r="C2211">
        <v>3</v>
      </c>
      <c r="D2211">
        <v>2068</v>
      </c>
      <c r="E2211" t="s">
        <v>651</v>
      </c>
      <c r="F2211">
        <v>1.74</v>
      </c>
      <c r="G2211" t="s">
        <v>623</v>
      </c>
      <c r="H2211" s="1">
        <v>46178.556168981479</v>
      </c>
      <c r="I2211" t="s">
        <v>639</v>
      </c>
      <c r="J2211">
        <v>1.74</v>
      </c>
      <c r="K2211">
        <v>0</v>
      </c>
    </row>
    <row r="2212" spans="1:11" x14ac:dyDescent="0.3">
      <c r="A2212">
        <v>2211</v>
      </c>
      <c r="B2212">
        <v>134</v>
      </c>
      <c r="C2212">
        <v>3</v>
      </c>
      <c r="D2212">
        <v>2069</v>
      </c>
      <c r="E2212" t="s">
        <v>651</v>
      </c>
      <c r="F2212">
        <v>6.43</v>
      </c>
      <c r="G2212" t="s">
        <v>623</v>
      </c>
      <c r="H2212" s="1">
        <v>46178.588680555556</v>
      </c>
      <c r="I2212" t="s">
        <v>639</v>
      </c>
      <c r="J2212">
        <v>6.43</v>
      </c>
      <c r="K2212">
        <v>0</v>
      </c>
    </row>
    <row r="2213" spans="1:11" x14ac:dyDescent="0.3">
      <c r="A2213">
        <v>2212</v>
      </c>
      <c r="B2213">
        <v>134</v>
      </c>
      <c r="C2213">
        <v>2</v>
      </c>
      <c r="D2213">
        <v>2070</v>
      </c>
      <c r="E2213" t="s">
        <v>651</v>
      </c>
      <c r="F2213">
        <v>10.3</v>
      </c>
      <c r="G2213" t="s">
        <v>623</v>
      </c>
      <c r="H2213" s="1">
        <v>46178.60255787037</v>
      </c>
      <c r="I2213" t="s">
        <v>639</v>
      </c>
      <c r="J2213">
        <v>10.3</v>
      </c>
      <c r="K2213">
        <v>0</v>
      </c>
    </row>
    <row r="2214" spans="1:11" x14ac:dyDescent="0.3">
      <c r="A2214">
        <v>2213</v>
      </c>
      <c r="B2214">
        <v>183</v>
      </c>
      <c r="C2214">
        <v>2</v>
      </c>
      <c r="D2214">
        <v>2071</v>
      </c>
      <c r="E2214" t="s">
        <v>651</v>
      </c>
      <c r="F2214">
        <v>9.6999999999999993</v>
      </c>
      <c r="G2214" t="s">
        <v>623</v>
      </c>
      <c r="H2214" s="1">
        <v>46178.629560185182</v>
      </c>
      <c r="I2214" t="s">
        <v>639</v>
      </c>
      <c r="J2214">
        <v>9.6999999999999993</v>
      </c>
      <c r="K2214">
        <v>0</v>
      </c>
    </row>
    <row r="2215" spans="1:11" x14ac:dyDescent="0.3">
      <c r="A2215">
        <v>2214</v>
      </c>
      <c r="B2215">
        <v>90</v>
      </c>
      <c r="C2215">
        <v>5</v>
      </c>
      <c r="D2215">
        <v>2072</v>
      </c>
      <c r="E2215" t="s">
        <v>651</v>
      </c>
      <c r="F2215">
        <v>13.03</v>
      </c>
      <c r="G2215" t="s">
        <v>623</v>
      </c>
      <c r="H2215" s="1">
        <v>46178.645486111112</v>
      </c>
      <c r="I2215" t="s">
        <v>639</v>
      </c>
      <c r="J2215">
        <v>13.03</v>
      </c>
      <c r="K2215">
        <v>0</v>
      </c>
    </row>
    <row r="2216" spans="1:11" x14ac:dyDescent="0.3">
      <c r="A2216">
        <v>2215</v>
      </c>
      <c r="B2216">
        <v>138</v>
      </c>
      <c r="C2216">
        <v>4</v>
      </c>
      <c r="D2216">
        <v>2073</v>
      </c>
      <c r="E2216" t="s">
        <v>657</v>
      </c>
      <c r="F2216">
        <v>27.14</v>
      </c>
      <c r="G2216" t="s">
        <v>623</v>
      </c>
      <c r="H2216" s="1">
        <v>46178.683842592596</v>
      </c>
      <c r="I2216" t="s">
        <v>639</v>
      </c>
      <c r="J2216">
        <v>0</v>
      </c>
      <c r="K2216">
        <v>27.14</v>
      </c>
    </row>
    <row r="2217" spans="1:11" x14ac:dyDescent="0.3">
      <c r="A2217">
        <v>2216</v>
      </c>
      <c r="B2217">
        <v>137</v>
      </c>
      <c r="C2217">
        <v>2</v>
      </c>
      <c r="D2217">
        <v>2074</v>
      </c>
      <c r="E2217" t="s">
        <v>651</v>
      </c>
      <c r="F2217">
        <v>3.05</v>
      </c>
      <c r="G2217" t="s">
        <v>623</v>
      </c>
      <c r="H2217" s="1">
        <v>46179.391261574077</v>
      </c>
      <c r="I2217" t="s">
        <v>639</v>
      </c>
      <c r="J2217">
        <v>3.05</v>
      </c>
      <c r="K2217">
        <v>0</v>
      </c>
    </row>
    <row r="2218" spans="1:11" x14ac:dyDescent="0.3">
      <c r="A2218">
        <v>2217</v>
      </c>
      <c r="B2218">
        <v>183</v>
      </c>
      <c r="C2218">
        <v>3</v>
      </c>
      <c r="D2218">
        <v>2075</v>
      </c>
      <c r="E2218" t="s">
        <v>651</v>
      </c>
      <c r="F2218">
        <v>9.8699999999999992</v>
      </c>
      <c r="G2218" t="s">
        <v>623</v>
      </c>
      <c r="H2218" s="1">
        <v>46179.753900462965</v>
      </c>
      <c r="I2218" t="s">
        <v>639</v>
      </c>
      <c r="J2218">
        <v>9.8699999999999992</v>
      </c>
      <c r="K2218">
        <v>0</v>
      </c>
    </row>
    <row r="2219" spans="1:11" x14ac:dyDescent="0.3">
      <c r="A2219">
        <v>2218</v>
      </c>
      <c r="B2219">
        <v>196</v>
      </c>
      <c r="C2219">
        <v>5</v>
      </c>
      <c r="D2219">
        <v>2076</v>
      </c>
      <c r="E2219" t="s">
        <v>651</v>
      </c>
      <c r="F2219">
        <v>2.11</v>
      </c>
      <c r="G2219" t="s">
        <v>623</v>
      </c>
      <c r="H2219" s="1">
        <v>46179.761747685188</v>
      </c>
      <c r="I2219" t="s">
        <v>639</v>
      </c>
      <c r="J2219">
        <v>2.11</v>
      </c>
      <c r="K2219">
        <v>0</v>
      </c>
    </row>
    <row r="2220" spans="1:11" x14ac:dyDescent="0.3">
      <c r="A2220">
        <v>2219</v>
      </c>
      <c r="B2220">
        <v>117</v>
      </c>
      <c r="C2220">
        <v>2</v>
      </c>
      <c r="D2220">
        <v>2077</v>
      </c>
      <c r="E2220" t="s">
        <v>651</v>
      </c>
      <c r="F2220">
        <v>7.31</v>
      </c>
      <c r="G2220" t="s">
        <v>623</v>
      </c>
      <c r="H2220" s="1">
        <v>46179.771701388891</v>
      </c>
      <c r="I2220" t="s">
        <v>639</v>
      </c>
      <c r="J2220">
        <v>7.31</v>
      </c>
      <c r="K2220">
        <v>0</v>
      </c>
    </row>
    <row r="2221" spans="1:11" x14ac:dyDescent="0.3">
      <c r="A2221">
        <v>2220</v>
      </c>
      <c r="B2221">
        <v>213</v>
      </c>
      <c r="C2221">
        <v>3</v>
      </c>
      <c r="D2221">
        <v>2078</v>
      </c>
      <c r="E2221" t="s">
        <v>651</v>
      </c>
      <c r="F2221">
        <v>30</v>
      </c>
      <c r="G2221" t="s">
        <v>623</v>
      </c>
      <c r="H2221" s="1">
        <v>46180.329409722224</v>
      </c>
      <c r="I2221" t="s">
        <v>639</v>
      </c>
      <c r="J2221">
        <v>30</v>
      </c>
      <c r="K2221">
        <v>0</v>
      </c>
    </row>
    <row r="2222" spans="1:11" x14ac:dyDescent="0.3">
      <c r="A2222">
        <v>2221</v>
      </c>
      <c r="B2222">
        <v>121</v>
      </c>
      <c r="C2222">
        <v>5</v>
      </c>
      <c r="D2222">
        <v>2079</v>
      </c>
      <c r="E2222" t="s">
        <v>651</v>
      </c>
      <c r="F2222">
        <v>3.4</v>
      </c>
      <c r="G2222" t="s">
        <v>623</v>
      </c>
      <c r="H2222" s="1">
        <v>46180.401296296295</v>
      </c>
      <c r="I2222" t="s">
        <v>639</v>
      </c>
      <c r="J2222">
        <v>3.4</v>
      </c>
      <c r="K2222">
        <v>0</v>
      </c>
    </row>
    <row r="2223" spans="1:11" x14ac:dyDescent="0.3">
      <c r="A2223">
        <v>2222</v>
      </c>
      <c r="B2223">
        <v>136</v>
      </c>
      <c r="C2223">
        <v>3</v>
      </c>
      <c r="D2223">
        <v>2080</v>
      </c>
      <c r="E2223" t="s">
        <v>651</v>
      </c>
      <c r="F2223">
        <v>9.15</v>
      </c>
      <c r="G2223" t="s">
        <v>623</v>
      </c>
      <c r="H2223" s="1">
        <v>46180.539351851854</v>
      </c>
      <c r="I2223" t="s">
        <v>639</v>
      </c>
      <c r="J2223">
        <v>9.15</v>
      </c>
      <c r="K2223">
        <v>0</v>
      </c>
    </row>
    <row r="2224" spans="1:11" x14ac:dyDescent="0.3">
      <c r="A2224">
        <v>2223</v>
      </c>
      <c r="B2224">
        <v>196</v>
      </c>
      <c r="C2224">
        <v>3</v>
      </c>
      <c r="D2224">
        <v>2076</v>
      </c>
      <c r="E2224" t="s">
        <v>649</v>
      </c>
      <c r="F2224">
        <v>-2.11</v>
      </c>
      <c r="G2224" t="s">
        <v>739</v>
      </c>
      <c r="H2224" s="1">
        <v>46180.553414351853</v>
      </c>
      <c r="I2224" t="s">
        <v>639</v>
      </c>
      <c r="J2224">
        <v>0</v>
      </c>
      <c r="K2224">
        <v>0</v>
      </c>
    </row>
    <row r="2225" spans="1:11" x14ac:dyDescent="0.3">
      <c r="A2225">
        <v>2224</v>
      </c>
      <c r="B2225">
        <v>250</v>
      </c>
      <c r="C2225">
        <v>5</v>
      </c>
      <c r="D2225">
        <v>2081</v>
      </c>
      <c r="E2225" t="s">
        <v>651</v>
      </c>
      <c r="F2225">
        <v>6.31</v>
      </c>
      <c r="G2225" t="s">
        <v>623</v>
      </c>
      <c r="H2225" s="1">
        <v>46181.530798611115</v>
      </c>
      <c r="I2225" t="s">
        <v>639</v>
      </c>
      <c r="J2225">
        <v>6.31</v>
      </c>
      <c r="K2225">
        <v>0</v>
      </c>
    </row>
    <row r="2226" spans="1:11" x14ac:dyDescent="0.3">
      <c r="A2226">
        <v>2225</v>
      </c>
      <c r="B2226">
        <v>183</v>
      </c>
      <c r="C2226">
        <v>5</v>
      </c>
      <c r="D2226">
        <v>2082</v>
      </c>
      <c r="E2226" t="s">
        <v>651</v>
      </c>
      <c r="F2226">
        <v>7.39</v>
      </c>
      <c r="G2226" t="s">
        <v>623</v>
      </c>
      <c r="H2226" s="1">
        <v>46181.61991898148</v>
      </c>
      <c r="I2226" t="s">
        <v>639</v>
      </c>
      <c r="J2226">
        <v>7.39</v>
      </c>
      <c r="K2226">
        <v>0</v>
      </c>
    </row>
    <row r="2227" spans="1:11" x14ac:dyDescent="0.3">
      <c r="A2227">
        <v>2226</v>
      </c>
      <c r="B2227">
        <v>202</v>
      </c>
      <c r="C2227">
        <v>4</v>
      </c>
      <c r="D2227">
        <v>2083</v>
      </c>
      <c r="E2227" t="s">
        <v>651</v>
      </c>
      <c r="F2227">
        <v>2.63</v>
      </c>
      <c r="G2227" t="s">
        <v>623</v>
      </c>
      <c r="H2227" s="1">
        <v>46181.729085648149</v>
      </c>
      <c r="I2227" t="s">
        <v>639</v>
      </c>
      <c r="J2227">
        <v>2.63</v>
      </c>
      <c r="K2227">
        <v>0</v>
      </c>
    </row>
    <row r="2228" spans="1:11" x14ac:dyDescent="0.3">
      <c r="A2228">
        <v>2227</v>
      </c>
      <c r="B2228">
        <v>134</v>
      </c>
      <c r="C2228">
        <v>2</v>
      </c>
      <c r="D2228">
        <v>2084</v>
      </c>
      <c r="E2228" t="s">
        <v>651</v>
      </c>
      <c r="F2228">
        <v>7.32</v>
      </c>
      <c r="G2228" t="s">
        <v>623</v>
      </c>
      <c r="H2228" s="1">
        <v>46182.352534722224</v>
      </c>
      <c r="I2228" t="s">
        <v>639</v>
      </c>
      <c r="J2228">
        <v>7.32</v>
      </c>
      <c r="K2228">
        <v>0</v>
      </c>
    </row>
    <row r="2229" spans="1:11" x14ac:dyDescent="0.3">
      <c r="A2229">
        <v>2228</v>
      </c>
      <c r="B2229">
        <v>241</v>
      </c>
      <c r="C2229">
        <v>3</v>
      </c>
      <c r="D2229">
        <v>2085</v>
      </c>
      <c r="E2229" t="s">
        <v>651</v>
      </c>
      <c r="F2229">
        <v>4.18</v>
      </c>
      <c r="G2229" t="s">
        <v>623</v>
      </c>
      <c r="H2229" s="1">
        <v>46182.531608796293</v>
      </c>
      <c r="I2229" t="s">
        <v>639</v>
      </c>
      <c r="J2229">
        <v>4.18</v>
      </c>
      <c r="K2229">
        <v>0</v>
      </c>
    </row>
    <row r="2230" spans="1:11" x14ac:dyDescent="0.3">
      <c r="A2230">
        <v>2229</v>
      </c>
      <c r="B2230">
        <v>134</v>
      </c>
      <c r="C2230">
        <v>5</v>
      </c>
      <c r="D2230">
        <v>2086</v>
      </c>
      <c r="E2230" t="s">
        <v>651</v>
      </c>
      <c r="F2230">
        <v>8.39</v>
      </c>
      <c r="G2230" t="s">
        <v>623</v>
      </c>
      <c r="H2230" s="1">
        <v>46182.539189814815</v>
      </c>
      <c r="I2230" t="s">
        <v>639</v>
      </c>
      <c r="J2230">
        <v>8.39</v>
      </c>
      <c r="K2230">
        <v>0</v>
      </c>
    </row>
    <row r="2231" spans="1:11" x14ac:dyDescent="0.3">
      <c r="A2231">
        <v>2230</v>
      </c>
      <c r="B2231">
        <v>138</v>
      </c>
      <c r="C2231">
        <v>3</v>
      </c>
      <c r="D2231">
        <v>2087</v>
      </c>
      <c r="E2231" t="s">
        <v>651</v>
      </c>
      <c r="F2231">
        <v>2.4700000000000002</v>
      </c>
      <c r="G2231" t="s">
        <v>623</v>
      </c>
      <c r="H2231" s="1">
        <v>46182.629467592589</v>
      </c>
      <c r="I2231" t="s">
        <v>639</v>
      </c>
      <c r="J2231">
        <v>2.4700000000000002</v>
      </c>
      <c r="K2231">
        <v>0</v>
      </c>
    </row>
    <row r="2232" spans="1:11" x14ac:dyDescent="0.3">
      <c r="A2232">
        <v>2231</v>
      </c>
      <c r="B2232">
        <v>156</v>
      </c>
      <c r="C2232">
        <v>4</v>
      </c>
      <c r="D2232">
        <v>2088</v>
      </c>
      <c r="E2232" t="s">
        <v>651</v>
      </c>
      <c r="F2232">
        <v>2.94</v>
      </c>
      <c r="G2232" t="s">
        <v>623</v>
      </c>
      <c r="H2232" s="1">
        <v>46183.413472222222</v>
      </c>
      <c r="I2232" t="s">
        <v>639</v>
      </c>
      <c r="J2232">
        <v>2.94</v>
      </c>
      <c r="K2232">
        <v>0</v>
      </c>
    </row>
    <row r="2233" spans="1:11" x14ac:dyDescent="0.3">
      <c r="A2233">
        <v>2232</v>
      </c>
      <c r="B2233">
        <v>177</v>
      </c>
      <c r="C2233">
        <v>3</v>
      </c>
      <c r="D2233">
        <v>2089</v>
      </c>
      <c r="E2233" t="s">
        <v>651</v>
      </c>
      <c r="F2233">
        <v>2.78</v>
      </c>
      <c r="G2233" t="s">
        <v>623</v>
      </c>
      <c r="H2233" s="1">
        <v>46183.417870370373</v>
      </c>
      <c r="I2233" t="s">
        <v>639</v>
      </c>
      <c r="J2233">
        <v>2.78</v>
      </c>
      <c r="K2233">
        <v>0</v>
      </c>
    </row>
    <row r="2234" spans="1:11" x14ac:dyDescent="0.3">
      <c r="A2234">
        <v>2233</v>
      </c>
      <c r="B2234">
        <v>39</v>
      </c>
      <c r="C2234">
        <v>4</v>
      </c>
      <c r="D2234">
        <v>2090</v>
      </c>
      <c r="E2234" t="s">
        <v>657</v>
      </c>
      <c r="F2234">
        <v>156.44999999999999</v>
      </c>
      <c r="G2234" t="s">
        <v>623</v>
      </c>
      <c r="H2234" s="1">
        <v>46183.467905092592</v>
      </c>
      <c r="I2234" t="s">
        <v>639</v>
      </c>
      <c r="J2234">
        <v>0</v>
      </c>
      <c r="K2234">
        <v>156.44999999999999</v>
      </c>
    </row>
    <row r="2235" spans="1:11" x14ac:dyDescent="0.3">
      <c r="A2235">
        <v>2234</v>
      </c>
      <c r="B2235">
        <v>57</v>
      </c>
      <c r="C2235">
        <v>4</v>
      </c>
      <c r="D2235">
        <v>2091</v>
      </c>
      <c r="E2235" t="s">
        <v>651</v>
      </c>
      <c r="F2235">
        <v>10.53</v>
      </c>
      <c r="G2235" t="s">
        <v>623</v>
      </c>
      <c r="H2235" s="1">
        <v>46183.501932870371</v>
      </c>
      <c r="I2235" t="s">
        <v>639</v>
      </c>
      <c r="J2235">
        <v>10.53</v>
      </c>
      <c r="K2235">
        <v>0</v>
      </c>
    </row>
    <row r="2236" spans="1:11" x14ac:dyDescent="0.3">
      <c r="A2236">
        <v>2235</v>
      </c>
      <c r="B2236">
        <v>96</v>
      </c>
      <c r="C2236">
        <v>3</v>
      </c>
      <c r="D2236">
        <v>2092</v>
      </c>
      <c r="E2236" t="s">
        <v>651</v>
      </c>
      <c r="F2236">
        <v>21.51</v>
      </c>
      <c r="G2236" t="s">
        <v>623</v>
      </c>
      <c r="H2236" s="1">
        <v>46183.525578703702</v>
      </c>
      <c r="I2236" t="s">
        <v>639</v>
      </c>
      <c r="J2236">
        <v>21.51</v>
      </c>
      <c r="K2236">
        <v>0</v>
      </c>
    </row>
    <row r="2237" spans="1:11" x14ac:dyDescent="0.3">
      <c r="A2237">
        <v>2236</v>
      </c>
      <c r="B2237">
        <v>123</v>
      </c>
      <c r="C2237">
        <v>4</v>
      </c>
      <c r="D2237">
        <v>2093</v>
      </c>
      <c r="E2237" t="s">
        <v>651</v>
      </c>
      <c r="F2237">
        <v>2.71</v>
      </c>
      <c r="G2237" t="s">
        <v>623</v>
      </c>
      <c r="H2237" s="1">
        <v>46183.682314814818</v>
      </c>
      <c r="I2237" t="s">
        <v>639</v>
      </c>
      <c r="J2237">
        <v>2.71</v>
      </c>
      <c r="K2237">
        <v>0</v>
      </c>
    </row>
    <row r="2238" spans="1:11" x14ac:dyDescent="0.3">
      <c r="A2238">
        <v>2237</v>
      </c>
      <c r="B2238">
        <v>238</v>
      </c>
      <c r="C2238">
        <v>2</v>
      </c>
      <c r="D2238">
        <v>2094</v>
      </c>
      <c r="E2238" t="s">
        <v>651</v>
      </c>
      <c r="F2238">
        <v>1.57</v>
      </c>
      <c r="G2238" t="s">
        <v>623</v>
      </c>
      <c r="H2238" s="1">
        <v>46183.683576388888</v>
      </c>
      <c r="I2238" t="s">
        <v>639</v>
      </c>
      <c r="J2238">
        <v>1.57</v>
      </c>
      <c r="K2238">
        <v>0</v>
      </c>
    </row>
    <row r="2239" spans="1:11" x14ac:dyDescent="0.3">
      <c r="A2239">
        <v>2238</v>
      </c>
      <c r="B2239">
        <v>65</v>
      </c>
      <c r="C2239">
        <v>4</v>
      </c>
      <c r="D2239">
        <v>2095</v>
      </c>
      <c r="E2239" t="s">
        <v>651</v>
      </c>
      <c r="F2239">
        <v>4.6399999999999997</v>
      </c>
      <c r="G2239" t="s">
        <v>623</v>
      </c>
      <c r="H2239" s="1">
        <v>46183.695613425924</v>
      </c>
      <c r="I2239" t="s">
        <v>639</v>
      </c>
      <c r="J2239">
        <v>4.6399999999999997</v>
      </c>
      <c r="K2239">
        <v>0</v>
      </c>
    </row>
    <row r="2240" spans="1:11" x14ac:dyDescent="0.3">
      <c r="A2240">
        <v>2239</v>
      </c>
      <c r="B2240">
        <v>69</v>
      </c>
      <c r="C2240">
        <v>2</v>
      </c>
      <c r="D2240">
        <v>2096</v>
      </c>
      <c r="E2240" t="s">
        <v>651</v>
      </c>
      <c r="F2240">
        <v>2.79</v>
      </c>
      <c r="G2240" t="s">
        <v>623</v>
      </c>
      <c r="H2240" s="1">
        <v>46184.304699074077</v>
      </c>
      <c r="I2240" t="s">
        <v>639</v>
      </c>
      <c r="J2240">
        <v>2.79</v>
      </c>
      <c r="K2240">
        <v>0</v>
      </c>
    </row>
    <row r="2241" spans="1:11" x14ac:dyDescent="0.3">
      <c r="A2241">
        <v>2240</v>
      </c>
      <c r="B2241">
        <v>31</v>
      </c>
      <c r="C2241">
        <v>2</v>
      </c>
      <c r="D2241">
        <v>2097</v>
      </c>
      <c r="E2241" t="s">
        <v>651</v>
      </c>
      <c r="F2241">
        <v>5.04</v>
      </c>
      <c r="G2241" t="s">
        <v>623</v>
      </c>
      <c r="H2241" s="1">
        <v>46184.335138888891</v>
      </c>
      <c r="I2241" t="s">
        <v>639</v>
      </c>
      <c r="J2241">
        <v>5.04</v>
      </c>
      <c r="K2241">
        <v>0</v>
      </c>
    </row>
    <row r="2242" spans="1:11" x14ac:dyDescent="0.3">
      <c r="A2242">
        <v>2241</v>
      </c>
      <c r="B2242">
        <v>279</v>
      </c>
      <c r="C2242">
        <v>3</v>
      </c>
      <c r="D2242">
        <v>2098</v>
      </c>
      <c r="E2242" t="s">
        <v>651</v>
      </c>
      <c r="F2242">
        <v>30</v>
      </c>
      <c r="G2242" t="s">
        <v>623</v>
      </c>
      <c r="H2242" s="1">
        <v>46184.354849537034</v>
      </c>
      <c r="I2242" t="s">
        <v>639</v>
      </c>
      <c r="J2242">
        <v>30</v>
      </c>
      <c r="K2242">
        <v>0</v>
      </c>
    </row>
    <row r="2243" spans="1:11" x14ac:dyDescent="0.3">
      <c r="A2243">
        <v>2242</v>
      </c>
      <c r="B2243">
        <v>250</v>
      </c>
      <c r="C2243">
        <v>3</v>
      </c>
      <c r="D2243">
        <v>2099</v>
      </c>
      <c r="E2243" t="s">
        <v>651</v>
      </c>
      <c r="F2243">
        <v>7.83</v>
      </c>
      <c r="G2243" t="s">
        <v>623</v>
      </c>
      <c r="H2243" s="1">
        <v>46184.429884259262</v>
      </c>
      <c r="I2243" t="s">
        <v>639</v>
      </c>
      <c r="J2243">
        <v>7.83</v>
      </c>
      <c r="K2243">
        <v>0</v>
      </c>
    </row>
    <row r="2244" spans="1:11" x14ac:dyDescent="0.3">
      <c r="A2244">
        <v>2243</v>
      </c>
      <c r="B2244">
        <v>118</v>
      </c>
      <c r="C2244">
        <v>2</v>
      </c>
      <c r="D2244">
        <v>2100</v>
      </c>
      <c r="E2244" t="s">
        <v>651</v>
      </c>
      <c r="F2244">
        <v>2.5</v>
      </c>
      <c r="G2244" t="s">
        <v>623</v>
      </c>
      <c r="H2244" s="1">
        <v>46184.539907407408</v>
      </c>
      <c r="I2244" t="s">
        <v>639</v>
      </c>
      <c r="J2244">
        <v>2.5</v>
      </c>
      <c r="K2244">
        <v>0</v>
      </c>
    </row>
    <row r="2245" spans="1:11" x14ac:dyDescent="0.3">
      <c r="A2245">
        <v>2244</v>
      </c>
      <c r="B2245">
        <v>232</v>
      </c>
      <c r="C2245">
        <v>2</v>
      </c>
      <c r="D2245">
        <v>2101</v>
      </c>
      <c r="E2245" t="s">
        <v>651</v>
      </c>
      <c r="F2245">
        <v>5.37</v>
      </c>
      <c r="G2245" t="s">
        <v>623</v>
      </c>
      <c r="H2245" s="1">
        <v>46184.666284722225</v>
      </c>
      <c r="I2245" t="s">
        <v>639</v>
      </c>
      <c r="J2245">
        <v>5.37</v>
      </c>
      <c r="K2245">
        <v>0</v>
      </c>
    </row>
    <row r="2246" spans="1:11" x14ac:dyDescent="0.3">
      <c r="A2246">
        <v>2245</v>
      </c>
      <c r="B2246">
        <v>73</v>
      </c>
      <c r="C2246">
        <v>4</v>
      </c>
      <c r="D2246">
        <v>2102</v>
      </c>
      <c r="E2246" t="s">
        <v>651</v>
      </c>
      <c r="F2246">
        <v>2.37</v>
      </c>
      <c r="G2246" t="s">
        <v>623</v>
      </c>
      <c r="H2246" s="1">
        <v>46184.687905092593</v>
      </c>
      <c r="I2246" t="s">
        <v>639</v>
      </c>
      <c r="J2246">
        <v>2.37</v>
      </c>
      <c r="K2246">
        <v>0</v>
      </c>
    </row>
    <row r="2247" spans="1:11" x14ac:dyDescent="0.3">
      <c r="A2247">
        <v>2246</v>
      </c>
      <c r="B2247">
        <v>122</v>
      </c>
      <c r="C2247">
        <v>2</v>
      </c>
      <c r="D2247">
        <v>2103</v>
      </c>
      <c r="E2247" t="s">
        <v>651</v>
      </c>
      <c r="F2247">
        <v>14.62</v>
      </c>
      <c r="G2247" t="s">
        <v>623</v>
      </c>
      <c r="H2247" s="1">
        <v>46184.728113425925</v>
      </c>
      <c r="I2247" t="s">
        <v>639</v>
      </c>
      <c r="J2247">
        <v>14.62</v>
      </c>
      <c r="K2247">
        <v>0</v>
      </c>
    </row>
    <row r="2248" spans="1:11" x14ac:dyDescent="0.3">
      <c r="A2248">
        <v>2247</v>
      </c>
      <c r="B2248">
        <v>134</v>
      </c>
      <c r="C2248">
        <v>4</v>
      </c>
      <c r="D2248">
        <v>2104</v>
      </c>
      <c r="E2248" t="s">
        <v>651</v>
      </c>
      <c r="F2248">
        <v>14.92</v>
      </c>
      <c r="G2248" t="s">
        <v>623</v>
      </c>
      <c r="H2248" s="1">
        <v>46185.384398148148</v>
      </c>
      <c r="I2248" t="s">
        <v>639</v>
      </c>
      <c r="J2248">
        <v>14.92</v>
      </c>
      <c r="K2248">
        <v>0</v>
      </c>
    </row>
    <row r="2249" spans="1:11" x14ac:dyDescent="0.3">
      <c r="A2249">
        <v>2248</v>
      </c>
      <c r="B2249">
        <v>117</v>
      </c>
      <c r="C2249">
        <v>5</v>
      </c>
      <c r="D2249">
        <v>2105</v>
      </c>
      <c r="E2249" t="s">
        <v>651</v>
      </c>
      <c r="F2249">
        <v>9.18</v>
      </c>
      <c r="G2249" t="s">
        <v>623</v>
      </c>
      <c r="H2249" s="1">
        <v>46185.396041666667</v>
      </c>
      <c r="I2249" t="s">
        <v>639</v>
      </c>
      <c r="J2249">
        <v>9.18</v>
      </c>
      <c r="K2249">
        <v>0</v>
      </c>
    </row>
    <row r="2250" spans="1:11" x14ac:dyDescent="0.3">
      <c r="A2250">
        <v>2249</v>
      </c>
      <c r="B2250">
        <v>87</v>
      </c>
      <c r="C2250">
        <v>4</v>
      </c>
      <c r="D2250">
        <v>2106</v>
      </c>
      <c r="E2250" t="s">
        <v>651</v>
      </c>
      <c r="F2250">
        <v>12.1</v>
      </c>
      <c r="G2250" t="s">
        <v>623</v>
      </c>
      <c r="H2250" s="1">
        <v>46185.475763888891</v>
      </c>
      <c r="I2250" t="s">
        <v>639</v>
      </c>
      <c r="J2250">
        <v>12.1</v>
      </c>
      <c r="K2250">
        <v>0</v>
      </c>
    </row>
    <row r="2251" spans="1:11" x14ac:dyDescent="0.3">
      <c r="A2251">
        <v>2250</v>
      </c>
      <c r="B2251">
        <v>183</v>
      </c>
      <c r="C2251">
        <v>3</v>
      </c>
      <c r="D2251">
        <v>2107</v>
      </c>
      <c r="E2251" t="s">
        <v>651</v>
      </c>
      <c r="F2251">
        <v>8.26</v>
      </c>
      <c r="G2251" t="s">
        <v>623</v>
      </c>
      <c r="H2251" s="1">
        <v>46185.491030092591</v>
      </c>
      <c r="I2251" t="s">
        <v>639</v>
      </c>
      <c r="J2251">
        <v>8.26</v>
      </c>
      <c r="K2251">
        <v>0</v>
      </c>
    </row>
    <row r="2252" spans="1:11" x14ac:dyDescent="0.3">
      <c r="A2252">
        <v>2251</v>
      </c>
      <c r="B2252">
        <v>82</v>
      </c>
      <c r="C2252">
        <v>2</v>
      </c>
      <c r="D2252">
        <v>2108</v>
      </c>
      <c r="E2252" t="s">
        <v>651</v>
      </c>
      <c r="F2252">
        <v>2.89</v>
      </c>
      <c r="G2252" t="s">
        <v>623</v>
      </c>
      <c r="H2252" s="1">
        <v>46185.493344907409</v>
      </c>
      <c r="I2252" t="s">
        <v>639</v>
      </c>
      <c r="J2252">
        <v>2.89</v>
      </c>
      <c r="K2252">
        <v>0</v>
      </c>
    </row>
    <row r="2253" spans="1:11" x14ac:dyDescent="0.3">
      <c r="A2253">
        <v>2252</v>
      </c>
      <c r="B2253">
        <v>250</v>
      </c>
      <c r="C2253">
        <v>5</v>
      </c>
      <c r="D2253">
        <v>2109</v>
      </c>
      <c r="E2253" t="s">
        <v>651</v>
      </c>
      <c r="F2253">
        <v>5.91</v>
      </c>
      <c r="G2253" t="s">
        <v>623</v>
      </c>
      <c r="H2253" s="1">
        <v>46185.535798611112</v>
      </c>
      <c r="I2253" t="s">
        <v>639</v>
      </c>
      <c r="J2253">
        <v>5.91</v>
      </c>
      <c r="K2253">
        <v>0</v>
      </c>
    </row>
    <row r="2254" spans="1:11" x14ac:dyDescent="0.3">
      <c r="A2254">
        <v>2253</v>
      </c>
      <c r="B2254">
        <v>50</v>
      </c>
      <c r="C2254">
        <v>5</v>
      </c>
      <c r="D2254">
        <v>2110</v>
      </c>
      <c r="E2254" t="s">
        <v>651</v>
      </c>
      <c r="F2254">
        <v>7.41</v>
      </c>
      <c r="G2254" t="s">
        <v>623</v>
      </c>
      <c r="H2254" s="1">
        <v>46185.754282407404</v>
      </c>
      <c r="I2254" t="s">
        <v>639</v>
      </c>
      <c r="J2254">
        <v>7.41</v>
      </c>
      <c r="K2254">
        <v>0</v>
      </c>
    </row>
    <row r="2255" spans="1:11" x14ac:dyDescent="0.3">
      <c r="A2255">
        <v>2254</v>
      </c>
      <c r="B2255">
        <v>250</v>
      </c>
      <c r="C2255">
        <v>4</v>
      </c>
      <c r="D2255">
        <v>2111</v>
      </c>
      <c r="E2255" t="s">
        <v>657</v>
      </c>
      <c r="F2255">
        <v>81.95</v>
      </c>
      <c r="G2255" t="s">
        <v>623</v>
      </c>
      <c r="H2255" s="1">
        <v>46185.779444444444</v>
      </c>
      <c r="I2255" t="s">
        <v>639</v>
      </c>
      <c r="J2255">
        <v>0</v>
      </c>
      <c r="K2255">
        <v>81.95</v>
      </c>
    </row>
    <row r="2256" spans="1:11" x14ac:dyDescent="0.3">
      <c r="A2256">
        <v>2255</v>
      </c>
      <c r="B2256">
        <v>40</v>
      </c>
      <c r="C2256">
        <v>3</v>
      </c>
      <c r="D2256">
        <v>2112</v>
      </c>
      <c r="E2256" t="s">
        <v>651</v>
      </c>
      <c r="F2256">
        <v>3.49</v>
      </c>
      <c r="G2256" t="s">
        <v>623</v>
      </c>
      <c r="H2256" s="1">
        <v>46186.460879629631</v>
      </c>
      <c r="I2256" t="s">
        <v>639</v>
      </c>
      <c r="J2256">
        <v>3.49</v>
      </c>
      <c r="K2256">
        <v>0</v>
      </c>
    </row>
    <row r="2257" spans="1:11" x14ac:dyDescent="0.3">
      <c r="A2257">
        <v>2256</v>
      </c>
      <c r="B2257">
        <v>133</v>
      </c>
      <c r="C2257">
        <v>2</v>
      </c>
      <c r="D2257">
        <v>2113</v>
      </c>
      <c r="E2257" t="s">
        <v>651</v>
      </c>
      <c r="F2257">
        <v>12.32</v>
      </c>
      <c r="G2257" t="s">
        <v>623</v>
      </c>
      <c r="H2257" s="1">
        <v>46186.545925925922</v>
      </c>
      <c r="I2257" t="s">
        <v>639</v>
      </c>
      <c r="J2257">
        <v>12.32</v>
      </c>
      <c r="K2257">
        <v>0</v>
      </c>
    </row>
    <row r="2258" spans="1:11" x14ac:dyDescent="0.3">
      <c r="A2258">
        <v>2257</v>
      </c>
      <c r="B2258">
        <v>302</v>
      </c>
      <c r="C2258">
        <v>5</v>
      </c>
      <c r="D2258">
        <v>2114</v>
      </c>
      <c r="E2258" t="s">
        <v>651</v>
      </c>
      <c r="F2258">
        <v>1.83</v>
      </c>
      <c r="G2258" t="s">
        <v>623</v>
      </c>
      <c r="H2258" s="1">
        <v>46186.596898148149</v>
      </c>
      <c r="I2258" t="s">
        <v>639</v>
      </c>
      <c r="J2258">
        <v>1.83</v>
      </c>
      <c r="K2258">
        <v>0</v>
      </c>
    </row>
    <row r="2259" spans="1:11" x14ac:dyDescent="0.3">
      <c r="A2259">
        <v>2258</v>
      </c>
      <c r="B2259">
        <v>290</v>
      </c>
      <c r="C2259">
        <v>4</v>
      </c>
      <c r="D2259">
        <v>2115</v>
      </c>
      <c r="E2259" t="s">
        <v>651</v>
      </c>
      <c r="F2259">
        <v>2.82</v>
      </c>
      <c r="G2259" t="s">
        <v>623</v>
      </c>
      <c r="H2259" s="1">
        <v>46186.621400462966</v>
      </c>
      <c r="I2259" t="s">
        <v>639</v>
      </c>
      <c r="J2259">
        <v>2.82</v>
      </c>
      <c r="K2259">
        <v>0</v>
      </c>
    </row>
    <row r="2260" spans="1:11" x14ac:dyDescent="0.3">
      <c r="A2260">
        <v>2259</v>
      </c>
      <c r="B2260">
        <v>90</v>
      </c>
      <c r="C2260">
        <v>5</v>
      </c>
      <c r="D2260">
        <v>2116</v>
      </c>
      <c r="E2260" t="s">
        <v>651</v>
      </c>
      <c r="F2260">
        <v>14.95</v>
      </c>
      <c r="G2260" t="s">
        <v>623</v>
      </c>
      <c r="H2260" s="1">
        <v>46186.672581018516</v>
      </c>
      <c r="I2260" t="s">
        <v>639</v>
      </c>
      <c r="J2260">
        <v>14.95</v>
      </c>
      <c r="K2260">
        <v>0</v>
      </c>
    </row>
    <row r="2261" spans="1:11" x14ac:dyDescent="0.3">
      <c r="A2261">
        <v>2260</v>
      </c>
      <c r="B2261">
        <v>235</v>
      </c>
      <c r="C2261">
        <v>4</v>
      </c>
      <c r="D2261">
        <v>2117</v>
      </c>
      <c r="E2261" t="s">
        <v>651</v>
      </c>
      <c r="F2261">
        <v>4.32</v>
      </c>
      <c r="G2261" t="s">
        <v>623</v>
      </c>
      <c r="H2261" s="1">
        <v>46186.698541666665</v>
      </c>
      <c r="I2261" t="s">
        <v>639</v>
      </c>
      <c r="J2261">
        <v>4.32</v>
      </c>
      <c r="K2261">
        <v>0</v>
      </c>
    </row>
    <row r="2262" spans="1:11" x14ac:dyDescent="0.3">
      <c r="A2262">
        <v>2261</v>
      </c>
      <c r="B2262">
        <v>131</v>
      </c>
      <c r="C2262">
        <v>4</v>
      </c>
      <c r="D2262">
        <v>2118</v>
      </c>
      <c r="E2262" t="s">
        <v>651</v>
      </c>
      <c r="F2262">
        <v>18.2</v>
      </c>
      <c r="G2262" t="s">
        <v>623</v>
      </c>
      <c r="H2262" s="1">
        <v>46186.700162037036</v>
      </c>
      <c r="I2262" t="s">
        <v>639</v>
      </c>
      <c r="J2262">
        <v>18.2</v>
      </c>
      <c r="K2262">
        <v>0</v>
      </c>
    </row>
    <row r="2263" spans="1:11" x14ac:dyDescent="0.3">
      <c r="A2263">
        <v>2262</v>
      </c>
      <c r="B2263">
        <v>229</v>
      </c>
      <c r="C2263">
        <v>3</v>
      </c>
      <c r="D2263">
        <v>2119</v>
      </c>
      <c r="E2263" t="s">
        <v>651</v>
      </c>
      <c r="F2263">
        <v>8.3699999999999992</v>
      </c>
      <c r="G2263" t="s">
        <v>623</v>
      </c>
      <c r="H2263" s="1">
        <v>46186.774513888886</v>
      </c>
      <c r="I2263" t="s">
        <v>639</v>
      </c>
      <c r="J2263">
        <v>8.3699999999999992</v>
      </c>
      <c r="K2263">
        <v>0</v>
      </c>
    </row>
    <row r="2264" spans="1:11" x14ac:dyDescent="0.3">
      <c r="A2264">
        <v>2263</v>
      </c>
      <c r="B2264">
        <v>39</v>
      </c>
      <c r="C2264">
        <v>5</v>
      </c>
      <c r="D2264">
        <v>2120</v>
      </c>
      <c r="E2264" t="s">
        <v>651</v>
      </c>
      <c r="F2264">
        <v>10.91</v>
      </c>
      <c r="G2264" t="s">
        <v>623</v>
      </c>
      <c r="H2264" s="1">
        <v>46186.790208333332</v>
      </c>
      <c r="I2264" t="s">
        <v>639</v>
      </c>
      <c r="J2264">
        <v>10.91</v>
      </c>
      <c r="K2264">
        <v>0</v>
      </c>
    </row>
    <row r="2265" spans="1:11" x14ac:dyDescent="0.3">
      <c r="A2265">
        <v>2264</v>
      </c>
      <c r="B2265">
        <v>156</v>
      </c>
      <c r="C2265">
        <v>5</v>
      </c>
      <c r="D2265">
        <v>2121</v>
      </c>
      <c r="E2265" t="s">
        <v>651</v>
      </c>
      <c r="F2265">
        <v>4.05</v>
      </c>
      <c r="G2265" t="s">
        <v>623</v>
      </c>
      <c r="H2265" s="1">
        <v>46187.338819444441</v>
      </c>
      <c r="I2265" t="s">
        <v>639</v>
      </c>
      <c r="J2265">
        <v>4.05</v>
      </c>
      <c r="K2265">
        <v>0</v>
      </c>
    </row>
    <row r="2266" spans="1:11" x14ac:dyDescent="0.3">
      <c r="A2266">
        <v>2265</v>
      </c>
      <c r="B2266">
        <v>36</v>
      </c>
      <c r="C2266">
        <v>5</v>
      </c>
      <c r="D2266">
        <v>2122</v>
      </c>
      <c r="E2266" t="s">
        <v>651</v>
      </c>
      <c r="F2266">
        <v>18.34</v>
      </c>
      <c r="G2266" t="s">
        <v>623</v>
      </c>
      <c r="H2266" s="1">
        <v>46187.427199074074</v>
      </c>
      <c r="I2266" t="s">
        <v>639</v>
      </c>
      <c r="J2266">
        <v>18.34</v>
      </c>
      <c r="K2266">
        <v>0</v>
      </c>
    </row>
    <row r="2267" spans="1:11" x14ac:dyDescent="0.3">
      <c r="A2267">
        <v>2266</v>
      </c>
      <c r="B2267">
        <v>297</v>
      </c>
      <c r="C2267">
        <v>5</v>
      </c>
      <c r="D2267">
        <v>2123</v>
      </c>
      <c r="E2267" t="s">
        <v>651</v>
      </c>
      <c r="F2267">
        <v>13.37</v>
      </c>
      <c r="G2267" t="s">
        <v>623</v>
      </c>
      <c r="H2267" s="1">
        <v>46187.583472222221</v>
      </c>
      <c r="I2267" t="s">
        <v>639</v>
      </c>
      <c r="J2267">
        <v>13.37</v>
      </c>
      <c r="K2267">
        <v>0</v>
      </c>
    </row>
    <row r="2268" spans="1:11" x14ac:dyDescent="0.3">
      <c r="A2268">
        <v>2267</v>
      </c>
      <c r="B2268">
        <v>172</v>
      </c>
      <c r="C2268">
        <v>4</v>
      </c>
      <c r="D2268">
        <v>2124</v>
      </c>
      <c r="E2268" t="s">
        <v>651</v>
      </c>
      <c r="F2268">
        <v>2.35</v>
      </c>
      <c r="G2268" t="s">
        <v>623</v>
      </c>
      <c r="H2268" s="1">
        <v>46187.784594907411</v>
      </c>
      <c r="I2268" t="s">
        <v>639</v>
      </c>
      <c r="J2268">
        <v>2.35</v>
      </c>
      <c r="K2268">
        <v>0</v>
      </c>
    </row>
    <row r="2269" spans="1:11" x14ac:dyDescent="0.3">
      <c r="A2269">
        <v>2268</v>
      </c>
      <c r="B2269">
        <v>302</v>
      </c>
      <c r="C2269">
        <v>5</v>
      </c>
      <c r="D2269">
        <v>2114</v>
      </c>
      <c r="E2269" t="s">
        <v>649</v>
      </c>
      <c r="F2269">
        <v>-1.83</v>
      </c>
      <c r="G2269" t="s">
        <v>740</v>
      </c>
      <c r="H2269" s="1">
        <v>46188.055231481485</v>
      </c>
      <c r="I2269" t="s">
        <v>639</v>
      </c>
      <c r="J2269">
        <v>0</v>
      </c>
      <c r="K2269">
        <v>0</v>
      </c>
    </row>
    <row r="2270" spans="1:11" x14ac:dyDescent="0.3">
      <c r="A2270">
        <v>2269</v>
      </c>
      <c r="B2270">
        <v>229</v>
      </c>
      <c r="C2270">
        <v>3</v>
      </c>
      <c r="D2270">
        <v>2125</v>
      </c>
      <c r="E2270" t="s">
        <v>651</v>
      </c>
      <c r="F2270">
        <v>11.4</v>
      </c>
      <c r="G2270" t="s">
        <v>623</v>
      </c>
      <c r="H2270" s="1">
        <v>46188.587187500001</v>
      </c>
      <c r="I2270" t="s">
        <v>639</v>
      </c>
      <c r="J2270">
        <v>11.4</v>
      </c>
      <c r="K2270">
        <v>0</v>
      </c>
    </row>
    <row r="2271" spans="1:11" x14ac:dyDescent="0.3">
      <c r="A2271">
        <v>2270</v>
      </c>
      <c r="B2271">
        <v>227</v>
      </c>
      <c r="C2271">
        <v>4</v>
      </c>
      <c r="D2271">
        <v>2126</v>
      </c>
      <c r="E2271" t="s">
        <v>651</v>
      </c>
      <c r="F2271">
        <v>2.74</v>
      </c>
      <c r="G2271" t="s">
        <v>623</v>
      </c>
      <c r="H2271" s="1">
        <v>46188.596134259256</v>
      </c>
      <c r="I2271" t="s">
        <v>639</v>
      </c>
      <c r="J2271">
        <v>2.74</v>
      </c>
      <c r="K2271">
        <v>0</v>
      </c>
    </row>
    <row r="2272" spans="1:11" x14ac:dyDescent="0.3">
      <c r="A2272">
        <v>2271</v>
      </c>
      <c r="B2272">
        <v>47</v>
      </c>
      <c r="C2272">
        <v>2</v>
      </c>
      <c r="D2272">
        <v>2127</v>
      </c>
      <c r="E2272" t="s">
        <v>651</v>
      </c>
      <c r="F2272">
        <v>6.04</v>
      </c>
      <c r="G2272" t="s">
        <v>623</v>
      </c>
      <c r="H2272" s="1">
        <v>46188.671111111114</v>
      </c>
      <c r="I2272" t="s">
        <v>639</v>
      </c>
      <c r="J2272">
        <v>6.04</v>
      </c>
      <c r="K2272">
        <v>0</v>
      </c>
    </row>
    <row r="2273" spans="1:11" x14ac:dyDescent="0.3">
      <c r="A2273">
        <v>2272</v>
      </c>
      <c r="B2273">
        <v>229</v>
      </c>
      <c r="C2273">
        <v>2</v>
      </c>
      <c r="D2273">
        <v>2128</v>
      </c>
      <c r="E2273" t="s">
        <v>651</v>
      </c>
      <c r="F2273">
        <v>5.89</v>
      </c>
      <c r="G2273" t="s">
        <v>623</v>
      </c>
      <c r="H2273" s="1">
        <v>46189.402291666665</v>
      </c>
      <c r="I2273" t="s">
        <v>639</v>
      </c>
      <c r="J2273">
        <v>5.89</v>
      </c>
      <c r="K2273">
        <v>0</v>
      </c>
    </row>
    <row r="2274" spans="1:11" x14ac:dyDescent="0.3">
      <c r="A2274">
        <v>2273</v>
      </c>
      <c r="B2274">
        <v>221</v>
      </c>
      <c r="C2274">
        <v>5</v>
      </c>
      <c r="D2274">
        <v>2129</v>
      </c>
      <c r="E2274" t="s">
        <v>651</v>
      </c>
      <c r="F2274">
        <v>16.66</v>
      </c>
      <c r="G2274" t="s">
        <v>623</v>
      </c>
      <c r="H2274" s="1">
        <v>46189.411747685182</v>
      </c>
      <c r="I2274" t="s">
        <v>639</v>
      </c>
      <c r="J2274">
        <v>16.66</v>
      </c>
      <c r="K2274">
        <v>0</v>
      </c>
    </row>
    <row r="2275" spans="1:11" x14ac:dyDescent="0.3">
      <c r="A2275">
        <v>2274</v>
      </c>
      <c r="B2275">
        <v>267</v>
      </c>
      <c r="C2275">
        <v>5</v>
      </c>
      <c r="D2275">
        <v>2130</v>
      </c>
      <c r="E2275" t="s">
        <v>651</v>
      </c>
      <c r="F2275">
        <v>5.74</v>
      </c>
      <c r="G2275" t="s">
        <v>623</v>
      </c>
      <c r="H2275" s="1">
        <v>46189.452407407407</v>
      </c>
      <c r="I2275" t="s">
        <v>639</v>
      </c>
      <c r="J2275">
        <v>5.74</v>
      </c>
      <c r="K2275">
        <v>0</v>
      </c>
    </row>
    <row r="2276" spans="1:11" x14ac:dyDescent="0.3">
      <c r="A2276">
        <v>2275</v>
      </c>
      <c r="B2276">
        <v>136</v>
      </c>
      <c r="C2276">
        <v>3</v>
      </c>
      <c r="D2276">
        <v>2131</v>
      </c>
      <c r="E2276" t="s">
        <v>651</v>
      </c>
      <c r="F2276">
        <v>6.61</v>
      </c>
      <c r="G2276" t="s">
        <v>623</v>
      </c>
      <c r="H2276" s="1">
        <v>46189.484155092592</v>
      </c>
      <c r="I2276" t="s">
        <v>639</v>
      </c>
      <c r="J2276">
        <v>6.61</v>
      </c>
      <c r="K2276">
        <v>0</v>
      </c>
    </row>
    <row r="2277" spans="1:11" x14ac:dyDescent="0.3">
      <c r="A2277">
        <v>2276</v>
      </c>
      <c r="B2277">
        <v>303</v>
      </c>
      <c r="C2277">
        <v>3</v>
      </c>
      <c r="D2277">
        <v>2132</v>
      </c>
      <c r="E2277" t="s">
        <v>651</v>
      </c>
      <c r="F2277">
        <v>2.69</v>
      </c>
      <c r="G2277" t="s">
        <v>623</v>
      </c>
      <c r="H2277" s="1">
        <v>46189.579710648148</v>
      </c>
      <c r="I2277" t="s">
        <v>639</v>
      </c>
      <c r="J2277">
        <v>2.69</v>
      </c>
      <c r="K2277">
        <v>0</v>
      </c>
    </row>
    <row r="2278" spans="1:11" x14ac:dyDescent="0.3">
      <c r="A2278">
        <v>2277</v>
      </c>
      <c r="B2278">
        <v>190</v>
      </c>
      <c r="C2278">
        <v>3</v>
      </c>
      <c r="D2278">
        <v>2133</v>
      </c>
      <c r="E2278" t="s">
        <v>651</v>
      </c>
      <c r="F2278">
        <v>30</v>
      </c>
      <c r="G2278" t="s">
        <v>623</v>
      </c>
      <c r="H2278" s="1">
        <v>46189.62290509259</v>
      </c>
      <c r="I2278" t="s">
        <v>639</v>
      </c>
      <c r="J2278">
        <v>30</v>
      </c>
      <c r="K2278">
        <v>0</v>
      </c>
    </row>
    <row r="2279" spans="1:11" x14ac:dyDescent="0.3">
      <c r="A2279">
        <v>2278</v>
      </c>
      <c r="B2279">
        <v>44</v>
      </c>
      <c r="C2279">
        <v>2</v>
      </c>
      <c r="D2279">
        <v>2134</v>
      </c>
      <c r="E2279" t="s">
        <v>651</v>
      </c>
      <c r="F2279">
        <v>2.57</v>
      </c>
      <c r="G2279" t="s">
        <v>623</v>
      </c>
      <c r="H2279" s="1">
        <v>46189.692048611112</v>
      </c>
      <c r="I2279" t="s">
        <v>639</v>
      </c>
      <c r="J2279">
        <v>2.57</v>
      </c>
      <c r="K2279">
        <v>0</v>
      </c>
    </row>
    <row r="2280" spans="1:11" x14ac:dyDescent="0.3">
      <c r="A2280">
        <v>2279</v>
      </c>
      <c r="B2280">
        <v>156</v>
      </c>
      <c r="C2280">
        <v>3</v>
      </c>
      <c r="D2280">
        <v>2135</v>
      </c>
      <c r="E2280" t="s">
        <v>651</v>
      </c>
      <c r="F2280">
        <v>2.92</v>
      </c>
      <c r="G2280" t="s">
        <v>623</v>
      </c>
      <c r="H2280" s="1">
        <v>46190.526076388887</v>
      </c>
      <c r="I2280" t="s">
        <v>639</v>
      </c>
      <c r="J2280">
        <v>2.92</v>
      </c>
      <c r="K2280">
        <v>0</v>
      </c>
    </row>
    <row r="2281" spans="1:11" x14ac:dyDescent="0.3">
      <c r="A2281">
        <v>2280</v>
      </c>
      <c r="B2281">
        <v>156</v>
      </c>
      <c r="C2281">
        <v>4</v>
      </c>
      <c r="D2281">
        <v>2135</v>
      </c>
      <c r="E2281" t="s">
        <v>649</v>
      </c>
      <c r="F2281">
        <v>-2.92</v>
      </c>
      <c r="G2281" t="s">
        <v>741</v>
      </c>
      <c r="H2281" s="1">
        <v>46190.567743055559</v>
      </c>
      <c r="I2281" t="s">
        <v>639</v>
      </c>
      <c r="J2281">
        <v>0</v>
      </c>
      <c r="K2281">
        <v>0</v>
      </c>
    </row>
    <row r="2282" spans="1:11" x14ac:dyDescent="0.3">
      <c r="A2282">
        <v>2281</v>
      </c>
      <c r="B2282">
        <v>158</v>
      </c>
      <c r="C2282">
        <v>2</v>
      </c>
      <c r="D2282">
        <v>2136</v>
      </c>
      <c r="E2282" t="s">
        <v>651</v>
      </c>
      <c r="F2282">
        <v>2.95</v>
      </c>
      <c r="G2282" t="s">
        <v>623</v>
      </c>
      <c r="H2282" s="1">
        <v>46190.665196759262</v>
      </c>
      <c r="I2282" t="s">
        <v>639</v>
      </c>
      <c r="J2282">
        <v>2.95</v>
      </c>
      <c r="K2282">
        <v>0</v>
      </c>
    </row>
    <row r="2283" spans="1:11" x14ac:dyDescent="0.3">
      <c r="A2283">
        <v>2282</v>
      </c>
      <c r="B2283">
        <v>285</v>
      </c>
      <c r="C2283">
        <v>2</v>
      </c>
      <c r="D2283">
        <v>2137</v>
      </c>
      <c r="E2283" t="s">
        <v>651</v>
      </c>
      <c r="F2283">
        <v>4</v>
      </c>
      <c r="G2283" t="s">
        <v>623</v>
      </c>
      <c r="H2283" s="1">
        <v>46190.721678240741</v>
      </c>
      <c r="I2283" t="s">
        <v>639</v>
      </c>
      <c r="J2283">
        <v>4</v>
      </c>
      <c r="K2283">
        <v>0</v>
      </c>
    </row>
    <row r="2284" spans="1:11" x14ac:dyDescent="0.3">
      <c r="A2284">
        <v>2283</v>
      </c>
      <c r="B2284">
        <v>117</v>
      </c>
      <c r="C2284">
        <v>4</v>
      </c>
      <c r="D2284">
        <v>2138</v>
      </c>
      <c r="E2284" t="s">
        <v>651</v>
      </c>
      <c r="F2284">
        <v>11.94</v>
      </c>
      <c r="G2284" t="s">
        <v>623</v>
      </c>
      <c r="H2284" s="1">
        <v>46190.730416666665</v>
      </c>
      <c r="I2284" t="s">
        <v>639</v>
      </c>
      <c r="J2284">
        <v>11.94</v>
      </c>
      <c r="K2284">
        <v>0</v>
      </c>
    </row>
    <row r="2285" spans="1:11" x14ac:dyDescent="0.3">
      <c r="A2285">
        <v>2284</v>
      </c>
      <c r="B2285">
        <v>250</v>
      </c>
      <c r="C2285">
        <v>5</v>
      </c>
      <c r="D2285">
        <v>2139</v>
      </c>
      <c r="E2285" t="s">
        <v>651</v>
      </c>
      <c r="F2285">
        <v>12.15</v>
      </c>
      <c r="G2285" t="s">
        <v>623</v>
      </c>
      <c r="H2285" s="1">
        <v>46190.742847222224</v>
      </c>
      <c r="I2285" t="s">
        <v>639</v>
      </c>
      <c r="J2285">
        <v>12.15</v>
      </c>
      <c r="K2285">
        <v>0</v>
      </c>
    </row>
    <row r="2286" spans="1:11" x14ac:dyDescent="0.3">
      <c r="A2286">
        <v>2285</v>
      </c>
      <c r="B2286">
        <v>187</v>
      </c>
      <c r="C2286">
        <v>3</v>
      </c>
      <c r="D2286">
        <v>2140</v>
      </c>
      <c r="E2286" t="s">
        <v>651</v>
      </c>
      <c r="F2286">
        <v>3.24</v>
      </c>
      <c r="G2286" t="s">
        <v>623</v>
      </c>
      <c r="H2286" s="1">
        <v>46190.75372685185</v>
      </c>
      <c r="I2286" t="s">
        <v>639</v>
      </c>
      <c r="J2286">
        <v>3.24</v>
      </c>
      <c r="K2286">
        <v>0</v>
      </c>
    </row>
    <row r="2287" spans="1:11" x14ac:dyDescent="0.3">
      <c r="A2287">
        <v>2286</v>
      </c>
      <c r="B2287">
        <v>25</v>
      </c>
      <c r="C2287">
        <v>2</v>
      </c>
      <c r="D2287">
        <v>2141</v>
      </c>
      <c r="E2287" t="s">
        <v>651</v>
      </c>
      <c r="F2287">
        <v>6.81</v>
      </c>
      <c r="G2287" t="s">
        <v>623</v>
      </c>
      <c r="H2287" s="1">
        <v>46190.809398148151</v>
      </c>
      <c r="I2287" t="s">
        <v>639</v>
      </c>
      <c r="J2287">
        <v>6.81</v>
      </c>
      <c r="K2287">
        <v>0</v>
      </c>
    </row>
    <row r="2288" spans="1:11" x14ac:dyDescent="0.3">
      <c r="A2288">
        <v>2287</v>
      </c>
      <c r="B2288">
        <v>269</v>
      </c>
      <c r="C2288">
        <v>3</v>
      </c>
      <c r="D2288">
        <v>2142</v>
      </c>
      <c r="E2288" t="s">
        <v>651</v>
      </c>
      <c r="F2288">
        <v>14.61</v>
      </c>
      <c r="G2288" t="s">
        <v>623</v>
      </c>
      <c r="H2288" s="1">
        <v>46191.373518518521</v>
      </c>
      <c r="I2288" t="s">
        <v>639</v>
      </c>
      <c r="J2288">
        <v>14.61</v>
      </c>
      <c r="K2288">
        <v>0</v>
      </c>
    </row>
    <row r="2289" spans="1:11" x14ac:dyDescent="0.3">
      <c r="A2289">
        <v>2288</v>
      </c>
      <c r="B2289">
        <v>39</v>
      </c>
      <c r="C2289">
        <v>2</v>
      </c>
      <c r="D2289">
        <v>2143</v>
      </c>
      <c r="E2289" t="s">
        <v>651</v>
      </c>
      <c r="F2289">
        <v>26.89</v>
      </c>
      <c r="G2289" t="s">
        <v>623</v>
      </c>
      <c r="H2289" s="1">
        <v>46191.407025462962</v>
      </c>
      <c r="I2289" t="s">
        <v>639</v>
      </c>
      <c r="J2289">
        <v>26.89</v>
      </c>
      <c r="K2289">
        <v>0</v>
      </c>
    </row>
    <row r="2290" spans="1:11" x14ac:dyDescent="0.3">
      <c r="A2290">
        <v>2289</v>
      </c>
      <c r="B2290">
        <v>52</v>
      </c>
      <c r="C2290">
        <v>2</v>
      </c>
      <c r="D2290">
        <v>2144</v>
      </c>
      <c r="E2290" t="s">
        <v>651</v>
      </c>
      <c r="F2290">
        <v>2.16</v>
      </c>
      <c r="G2290" t="s">
        <v>623</v>
      </c>
      <c r="H2290" s="1">
        <v>46191.421064814815</v>
      </c>
      <c r="I2290" t="s">
        <v>639</v>
      </c>
      <c r="J2290">
        <v>2.16</v>
      </c>
      <c r="K2290">
        <v>0</v>
      </c>
    </row>
    <row r="2291" spans="1:11" x14ac:dyDescent="0.3">
      <c r="A2291">
        <v>2290</v>
      </c>
      <c r="B2291">
        <v>229</v>
      </c>
      <c r="C2291">
        <v>4</v>
      </c>
      <c r="D2291">
        <v>2145</v>
      </c>
      <c r="E2291" t="s">
        <v>651</v>
      </c>
      <c r="F2291">
        <v>9.9</v>
      </c>
      <c r="G2291" t="s">
        <v>623</v>
      </c>
      <c r="H2291" s="1">
        <v>46191.42491898148</v>
      </c>
      <c r="I2291" t="s">
        <v>639</v>
      </c>
      <c r="J2291">
        <v>9.9</v>
      </c>
      <c r="K2291">
        <v>0</v>
      </c>
    </row>
    <row r="2292" spans="1:11" x14ac:dyDescent="0.3">
      <c r="A2292">
        <v>2291</v>
      </c>
      <c r="B2292">
        <v>243</v>
      </c>
      <c r="C2292">
        <v>2</v>
      </c>
      <c r="D2292">
        <v>2146</v>
      </c>
      <c r="E2292" t="s">
        <v>651</v>
      </c>
      <c r="F2292">
        <v>3.06</v>
      </c>
      <c r="G2292" t="s">
        <v>623</v>
      </c>
      <c r="H2292" s="1">
        <v>46191.472060185188</v>
      </c>
      <c r="I2292" t="s">
        <v>639</v>
      </c>
      <c r="J2292">
        <v>3.06</v>
      </c>
      <c r="K2292">
        <v>0</v>
      </c>
    </row>
    <row r="2293" spans="1:11" x14ac:dyDescent="0.3">
      <c r="A2293">
        <v>2292</v>
      </c>
      <c r="B2293">
        <v>134</v>
      </c>
      <c r="C2293">
        <v>5</v>
      </c>
      <c r="D2293">
        <v>2147</v>
      </c>
      <c r="E2293" t="s">
        <v>651</v>
      </c>
      <c r="F2293">
        <v>16.52</v>
      </c>
      <c r="G2293" t="s">
        <v>623</v>
      </c>
      <c r="H2293" s="1">
        <v>46191.53328703704</v>
      </c>
      <c r="I2293" t="s">
        <v>639</v>
      </c>
      <c r="J2293">
        <v>16.52</v>
      </c>
      <c r="K2293">
        <v>0</v>
      </c>
    </row>
    <row r="2294" spans="1:11" x14ac:dyDescent="0.3">
      <c r="A2294">
        <v>2293</v>
      </c>
      <c r="B2294">
        <v>137</v>
      </c>
      <c r="C2294">
        <v>5</v>
      </c>
      <c r="D2294">
        <v>2148</v>
      </c>
      <c r="E2294" t="s">
        <v>651</v>
      </c>
      <c r="F2294">
        <v>2.95</v>
      </c>
      <c r="G2294" t="s">
        <v>623</v>
      </c>
      <c r="H2294" s="1">
        <v>46191.55128472222</v>
      </c>
      <c r="I2294" t="s">
        <v>639</v>
      </c>
      <c r="J2294">
        <v>2.95</v>
      </c>
      <c r="K2294">
        <v>0</v>
      </c>
    </row>
    <row r="2295" spans="1:11" x14ac:dyDescent="0.3">
      <c r="A2295">
        <v>2294</v>
      </c>
      <c r="B2295">
        <v>104</v>
      </c>
      <c r="C2295">
        <v>4</v>
      </c>
      <c r="D2295">
        <v>2149</v>
      </c>
      <c r="E2295" t="s">
        <v>651</v>
      </c>
      <c r="F2295">
        <v>22.23</v>
      </c>
      <c r="G2295" t="s">
        <v>623</v>
      </c>
      <c r="H2295" s="1">
        <v>46191.658078703702</v>
      </c>
      <c r="I2295" t="s">
        <v>639</v>
      </c>
      <c r="J2295">
        <v>22.23</v>
      </c>
      <c r="K2295">
        <v>0</v>
      </c>
    </row>
    <row r="2296" spans="1:11" x14ac:dyDescent="0.3">
      <c r="A2296">
        <v>2295</v>
      </c>
      <c r="B2296">
        <v>48</v>
      </c>
      <c r="C2296">
        <v>5</v>
      </c>
      <c r="D2296">
        <v>2150</v>
      </c>
      <c r="E2296" t="s">
        <v>651</v>
      </c>
      <c r="F2296">
        <v>13.53</v>
      </c>
      <c r="G2296" t="s">
        <v>623</v>
      </c>
      <c r="H2296" s="1">
        <v>46191.695694444446</v>
      </c>
      <c r="I2296" t="s">
        <v>639</v>
      </c>
      <c r="J2296">
        <v>13.53</v>
      </c>
      <c r="K2296">
        <v>0</v>
      </c>
    </row>
    <row r="2297" spans="1:11" x14ac:dyDescent="0.3">
      <c r="A2297">
        <v>2296</v>
      </c>
      <c r="B2297">
        <v>246</v>
      </c>
      <c r="C2297">
        <v>4</v>
      </c>
      <c r="D2297">
        <v>2151</v>
      </c>
      <c r="E2297" t="s">
        <v>651</v>
      </c>
      <c r="F2297">
        <v>3.06</v>
      </c>
      <c r="G2297" t="s">
        <v>623</v>
      </c>
      <c r="H2297" s="1">
        <v>46191.724386574075</v>
      </c>
      <c r="I2297" t="s">
        <v>639</v>
      </c>
      <c r="J2297">
        <v>3.06</v>
      </c>
      <c r="K2297">
        <v>0</v>
      </c>
    </row>
    <row r="2298" spans="1:11" x14ac:dyDescent="0.3">
      <c r="A2298">
        <v>2297</v>
      </c>
      <c r="B2298">
        <v>269</v>
      </c>
      <c r="C2298">
        <v>5</v>
      </c>
      <c r="D2298">
        <v>2142</v>
      </c>
      <c r="E2298" t="s">
        <v>649</v>
      </c>
      <c r="F2298">
        <v>-14.61</v>
      </c>
      <c r="G2298" t="s">
        <v>742</v>
      </c>
      <c r="H2298" s="1">
        <v>46191.873518518521</v>
      </c>
      <c r="I2298" t="s">
        <v>639</v>
      </c>
      <c r="J2298">
        <v>0</v>
      </c>
      <c r="K2298">
        <v>0</v>
      </c>
    </row>
    <row r="2299" spans="1:11" x14ac:dyDescent="0.3">
      <c r="A2299">
        <v>2298</v>
      </c>
      <c r="B2299">
        <v>232</v>
      </c>
      <c r="C2299">
        <v>2</v>
      </c>
      <c r="D2299">
        <v>2152</v>
      </c>
      <c r="E2299" t="s">
        <v>651</v>
      </c>
      <c r="F2299">
        <v>8</v>
      </c>
      <c r="G2299" t="s">
        <v>623</v>
      </c>
      <c r="H2299" s="1">
        <v>46192.477951388886</v>
      </c>
      <c r="I2299" t="s">
        <v>639</v>
      </c>
      <c r="J2299">
        <v>8</v>
      </c>
      <c r="K2299">
        <v>0</v>
      </c>
    </row>
    <row r="2300" spans="1:11" x14ac:dyDescent="0.3">
      <c r="A2300">
        <v>2299</v>
      </c>
      <c r="B2300">
        <v>65</v>
      </c>
      <c r="C2300">
        <v>5</v>
      </c>
      <c r="D2300">
        <v>2153</v>
      </c>
      <c r="E2300" t="s">
        <v>651</v>
      </c>
      <c r="F2300">
        <v>2.5499999999999998</v>
      </c>
      <c r="G2300" t="s">
        <v>623</v>
      </c>
      <c r="H2300" s="1">
        <v>46192.514189814814</v>
      </c>
      <c r="I2300" t="s">
        <v>639</v>
      </c>
      <c r="J2300">
        <v>2.5499999999999998</v>
      </c>
      <c r="K2300">
        <v>0</v>
      </c>
    </row>
    <row r="2301" spans="1:11" x14ac:dyDescent="0.3">
      <c r="A2301">
        <v>2300</v>
      </c>
      <c r="B2301">
        <v>156</v>
      </c>
      <c r="C2301">
        <v>5</v>
      </c>
      <c r="D2301">
        <v>2154</v>
      </c>
      <c r="E2301" t="s">
        <v>651</v>
      </c>
      <c r="F2301">
        <v>3.02</v>
      </c>
      <c r="G2301" t="s">
        <v>623</v>
      </c>
      <c r="H2301" s="1">
        <v>46192.656527777777</v>
      </c>
      <c r="I2301" t="s">
        <v>639</v>
      </c>
      <c r="J2301">
        <v>3.02</v>
      </c>
      <c r="K2301">
        <v>0</v>
      </c>
    </row>
    <row r="2302" spans="1:11" x14ac:dyDescent="0.3">
      <c r="A2302">
        <v>2301</v>
      </c>
      <c r="B2302">
        <v>197</v>
      </c>
      <c r="C2302">
        <v>5</v>
      </c>
      <c r="D2302">
        <v>2155</v>
      </c>
      <c r="E2302" t="s">
        <v>651</v>
      </c>
      <c r="F2302">
        <v>13.72</v>
      </c>
      <c r="G2302" t="s">
        <v>623</v>
      </c>
      <c r="H2302" s="1">
        <v>46192.688437500001</v>
      </c>
      <c r="I2302" t="s">
        <v>639</v>
      </c>
      <c r="J2302">
        <v>13.72</v>
      </c>
      <c r="K2302">
        <v>0</v>
      </c>
    </row>
    <row r="2303" spans="1:11" x14ac:dyDescent="0.3">
      <c r="A2303">
        <v>2302</v>
      </c>
      <c r="B2303">
        <v>282</v>
      </c>
      <c r="C2303">
        <v>3</v>
      </c>
      <c r="D2303">
        <v>2156</v>
      </c>
      <c r="E2303" t="s">
        <v>651</v>
      </c>
      <c r="F2303">
        <v>16.059999999999999</v>
      </c>
      <c r="G2303" t="s">
        <v>623</v>
      </c>
      <c r="H2303" s="1">
        <v>46193.351412037038</v>
      </c>
      <c r="I2303" t="s">
        <v>639</v>
      </c>
      <c r="J2303">
        <v>16.059999999999999</v>
      </c>
      <c r="K2303">
        <v>0</v>
      </c>
    </row>
    <row r="2304" spans="1:11" x14ac:dyDescent="0.3">
      <c r="A2304">
        <v>2303</v>
      </c>
      <c r="B2304">
        <v>201</v>
      </c>
      <c r="C2304">
        <v>3</v>
      </c>
      <c r="D2304">
        <v>2157</v>
      </c>
      <c r="E2304" t="s">
        <v>651</v>
      </c>
      <c r="F2304">
        <v>2.06</v>
      </c>
      <c r="G2304" t="s">
        <v>623</v>
      </c>
      <c r="H2304" s="1">
        <v>46193.463877314818</v>
      </c>
      <c r="I2304" t="s">
        <v>639</v>
      </c>
      <c r="J2304">
        <v>2.06</v>
      </c>
      <c r="K2304">
        <v>0</v>
      </c>
    </row>
    <row r="2305" spans="1:11" x14ac:dyDescent="0.3">
      <c r="A2305">
        <v>2304</v>
      </c>
      <c r="B2305">
        <v>107</v>
      </c>
      <c r="C2305">
        <v>4</v>
      </c>
      <c r="D2305">
        <v>2158</v>
      </c>
      <c r="E2305" t="s">
        <v>651</v>
      </c>
      <c r="F2305">
        <v>3.85</v>
      </c>
      <c r="G2305" t="s">
        <v>623</v>
      </c>
      <c r="H2305" s="1">
        <v>46193.609270833331</v>
      </c>
      <c r="I2305" t="s">
        <v>639</v>
      </c>
      <c r="J2305">
        <v>3.85</v>
      </c>
      <c r="K2305">
        <v>0</v>
      </c>
    </row>
    <row r="2306" spans="1:11" x14ac:dyDescent="0.3">
      <c r="A2306">
        <v>2305</v>
      </c>
      <c r="B2306">
        <v>297</v>
      </c>
      <c r="C2306">
        <v>5</v>
      </c>
      <c r="D2306">
        <v>2159</v>
      </c>
      <c r="E2306" t="s">
        <v>651</v>
      </c>
      <c r="F2306">
        <v>11.46</v>
      </c>
      <c r="G2306" t="s">
        <v>623</v>
      </c>
      <c r="H2306" s="1">
        <v>46193.649907407409</v>
      </c>
      <c r="I2306" t="s">
        <v>639</v>
      </c>
      <c r="J2306">
        <v>11.46</v>
      </c>
      <c r="K2306">
        <v>0</v>
      </c>
    </row>
    <row r="2307" spans="1:11" x14ac:dyDescent="0.3">
      <c r="A2307">
        <v>2306</v>
      </c>
      <c r="B2307">
        <v>134</v>
      </c>
      <c r="C2307">
        <v>3</v>
      </c>
      <c r="D2307">
        <v>2160</v>
      </c>
      <c r="E2307" t="s">
        <v>651</v>
      </c>
      <c r="F2307">
        <v>20.39</v>
      </c>
      <c r="G2307" t="s">
        <v>623</v>
      </c>
      <c r="H2307" s="1">
        <v>46193.753125000003</v>
      </c>
      <c r="I2307" t="s">
        <v>639</v>
      </c>
      <c r="J2307">
        <v>20.39</v>
      </c>
      <c r="K2307">
        <v>0</v>
      </c>
    </row>
    <row r="2308" spans="1:11" x14ac:dyDescent="0.3">
      <c r="A2308">
        <v>2307</v>
      </c>
      <c r="B2308">
        <v>261</v>
      </c>
      <c r="C2308">
        <v>5</v>
      </c>
      <c r="D2308">
        <v>2161</v>
      </c>
      <c r="E2308" t="s">
        <v>651</v>
      </c>
      <c r="F2308">
        <v>9.36</v>
      </c>
      <c r="G2308" t="s">
        <v>623</v>
      </c>
      <c r="H2308" s="1">
        <v>46193.755185185182</v>
      </c>
      <c r="I2308" t="s">
        <v>639</v>
      </c>
      <c r="J2308">
        <v>9.36</v>
      </c>
      <c r="K2308">
        <v>0</v>
      </c>
    </row>
    <row r="2309" spans="1:11" x14ac:dyDescent="0.3">
      <c r="A2309">
        <v>2308</v>
      </c>
      <c r="B2309">
        <v>134</v>
      </c>
      <c r="C2309">
        <v>3</v>
      </c>
      <c r="D2309">
        <v>2162</v>
      </c>
      <c r="E2309" t="s">
        <v>657</v>
      </c>
      <c r="F2309">
        <v>64.45</v>
      </c>
      <c r="G2309" t="s">
        <v>623</v>
      </c>
      <c r="H2309" s="1">
        <v>46193.770532407405</v>
      </c>
      <c r="I2309" t="s">
        <v>639</v>
      </c>
      <c r="J2309">
        <v>0</v>
      </c>
      <c r="K2309">
        <v>64.45</v>
      </c>
    </row>
    <row r="2310" spans="1:11" x14ac:dyDescent="0.3">
      <c r="A2310">
        <v>2309</v>
      </c>
      <c r="B2310">
        <v>62</v>
      </c>
      <c r="C2310">
        <v>2</v>
      </c>
      <c r="D2310">
        <v>2163</v>
      </c>
      <c r="E2310" t="s">
        <v>651</v>
      </c>
      <c r="F2310">
        <v>2.42</v>
      </c>
      <c r="G2310" t="s">
        <v>623</v>
      </c>
      <c r="H2310" s="1">
        <v>46194.412453703706</v>
      </c>
      <c r="I2310" t="s">
        <v>639</v>
      </c>
      <c r="J2310">
        <v>2.42</v>
      </c>
      <c r="K2310">
        <v>0</v>
      </c>
    </row>
    <row r="2311" spans="1:11" x14ac:dyDescent="0.3">
      <c r="A2311">
        <v>2310</v>
      </c>
      <c r="B2311">
        <v>134</v>
      </c>
      <c r="C2311">
        <v>4</v>
      </c>
      <c r="D2311">
        <v>2164</v>
      </c>
      <c r="E2311" t="s">
        <v>651</v>
      </c>
      <c r="F2311">
        <v>10.88</v>
      </c>
      <c r="G2311" t="s">
        <v>623</v>
      </c>
      <c r="H2311" s="1">
        <v>46194.565833333334</v>
      </c>
      <c r="I2311" t="s">
        <v>639</v>
      </c>
      <c r="J2311">
        <v>10.88</v>
      </c>
      <c r="K2311">
        <v>0</v>
      </c>
    </row>
    <row r="2312" spans="1:11" x14ac:dyDescent="0.3">
      <c r="A2312">
        <v>2311</v>
      </c>
      <c r="B2312">
        <v>86</v>
      </c>
      <c r="C2312">
        <v>5</v>
      </c>
      <c r="D2312">
        <v>2165</v>
      </c>
      <c r="E2312" t="s">
        <v>651</v>
      </c>
      <c r="F2312">
        <v>3.46</v>
      </c>
      <c r="G2312" t="s">
        <v>623</v>
      </c>
      <c r="H2312" s="1">
        <v>46195.360555555555</v>
      </c>
      <c r="I2312" t="s">
        <v>639</v>
      </c>
      <c r="J2312">
        <v>3.46</v>
      </c>
      <c r="K2312">
        <v>0</v>
      </c>
    </row>
    <row r="2313" spans="1:11" x14ac:dyDescent="0.3">
      <c r="A2313">
        <v>2312</v>
      </c>
      <c r="B2313">
        <v>128</v>
      </c>
      <c r="C2313">
        <v>2</v>
      </c>
      <c r="D2313">
        <v>2166</v>
      </c>
      <c r="E2313" t="s">
        <v>651</v>
      </c>
      <c r="F2313">
        <v>2.21</v>
      </c>
      <c r="G2313" t="s">
        <v>623</v>
      </c>
      <c r="H2313" s="1">
        <v>46195.412662037037</v>
      </c>
      <c r="I2313" t="s">
        <v>639</v>
      </c>
      <c r="J2313">
        <v>2.21</v>
      </c>
      <c r="K2313">
        <v>0</v>
      </c>
    </row>
    <row r="2314" spans="1:11" x14ac:dyDescent="0.3">
      <c r="A2314">
        <v>2313</v>
      </c>
      <c r="B2314">
        <v>210</v>
      </c>
      <c r="C2314">
        <v>4</v>
      </c>
      <c r="D2314">
        <v>2167</v>
      </c>
      <c r="E2314" t="s">
        <v>651</v>
      </c>
      <c r="F2314">
        <v>2.94</v>
      </c>
      <c r="G2314" t="s">
        <v>623</v>
      </c>
      <c r="H2314" s="1">
        <v>46195.419629629629</v>
      </c>
      <c r="I2314" t="s">
        <v>639</v>
      </c>
      <c r="J2314">
        <v>2.94</v>
      </c>
      <c r="K2314">
        <v>0</v>
      </c>
    </row>
    <row r="2315" spans="1:11" x14ac:dyDescent="0.3">
      <c r="A2315">
        <v>2314</v>
      </c>
      <c r="B2315">
        <v>61</v>
      </c>
      <c r="C2315">
        <v>5</v>
      </c>
      <c r="D2315">
        <v>2168</v>
      </c>
      <c r="E2315" t="s">
        <v>651</v>
      </c>
      <c r="F2315">
        <v>8.36</v>
      </c>
      <c r="G2315" t="s">
        <v>623</v>
      </c>
      <c r="H2315" s="1">
        <v>46195.487743055557</v>
      </c>
      <c r="I2315" t="s">
        <v>639</v>
      </c>
      <c r="J2315">
        <v>8.36</v>
      </c>
      <c r="K2315">
        <v>0</v>
      </c>
    </row>
    <row r="2316" spans="1:11" x14ac:dyDescent="0.3">
      <c r="A2316">
        <v>2315</v>
      </c>
      <c r="B2316">
        <v>263</v>
      </c>
      <c r="C2316">
        <v>4</v>
      </c>
      <c r="D2316">
        <v>2169</v>
      </c>
      <c r="E2316" t="s">
        <v>651</v>
      </c>
      <c r="F2316">
        <v>2.25</v>
      </c>
      <c r="G2316" t="s">
        <v>623</v>
      </c>
      <c r="H2316" s="1">
        <v>46195.637685185182</v>
      </c>
      <c r="I2316" t="s">
        <v>639</v>
      </c>
      <c r="J2316">
        <v>2.25</v>
      </c>
      <c r="K2316">
        <v>0</v>
      </c>
    </row>
    <row r="2317" spans="1:11" x14ac:dyDescent="0.3">
      <c r="A2317">
        <v>2316</v>
      </c>
      <c r="B2317">
        <v>146</v>
      </c>
      <c r="C2317">
        <v>5</v>
      </c>
      <c r="D2317">
        <v>2170</v>
      </c>
      <c r="E2317" t="s">
        <v>651</v>
      </c>
      <c r="F2317">
        <v>2.93</v>
      </c>
      <c r="G2317" t="s">
        <v>623</v>
      </c>
      <c r="H2317" s="1">
        <v>46195.680046296293</v>
      </c>
      <c r="I2317" t="s">
        <v>639</v>
      </c>
      <c r="J2317">
        <v>2.93</v>
      </c>
      <c r="K2317">
        <v>0</v>
      </c>
    </row>
    <row r="2318" spans="1:11" x14ac:dyDescent="0.3">
      <c r="A2318">
        <v>2317</v>
      </c>
      <c r="B2318">
        <v>87</v>
      </c>
      <c r="C2318">
        <v>3</v>
      </c>
      <c r="D2318">
        <v>2171</v>
      </c>
      <c r="E2318" t="s">
        <v>651</v>
      </c>
      <c r="F2318">
        <v>10.039999999999999</v>
      </c>
      <c r="G2318" t="s">
        <v>623</v>
      </c>
      <c r="H2318" s="1">
        <v>46196.384548611109</v>
      </c>
      <c r="I2318" t="s">
        <v>639</v>
      </c>
      <c r="J2318">
        <v>10.039999999999999</v>
      </c>
      <c r="K2318">
        <v>0</v>
      </c>
    </row>
    <row r="2319" spans="1:11" x14ac:dyDescent="0.3">
      <c r="A2319">
        <v>2318</v>
      </c>
      <c r="B2319">
        <v>255</v>
      </c>
      <c r="C2319">
        <v>4</v>
      </c>
      <c r="D2319">
        <v>2172</v>
      </c>
      <c r="E2319" t="s">
        <v>651</v>
      </c>
      <c r="F2319">
        <v>3.87</v>
      </c>
      <c r="G2319" t="s">
        <v>623</v>
      </c>
      <c r="H2319" s="1">
        <v>46196.41815972222</v>
      </c>
      <c r="I2319" t="s">
        <v>639</v>
      </c>
      <c r="J2319">
        <v>3.87</v>
      </c>
      <c r="K2319">
        <v>0</v>
      </c>
    </row>
    <row r="2320" spans="1:11" x14ac:dyDescent="0.3">
      <c r="A2320">
        <v>2319</v>
      </c>
      <c r="B2320">
        <v>134</v>
      </c>
      <c r="C2320">
        <v>2</v>
      </c>
      <c r="D2320">
        <v>2173</v>
      </c>
      <c r="E2320" t="s">
        <v>651</v>
      </c>
      <c r="F2320">
        <v>8.66</v>
      </c>
      <c r="G2320" t="s">
        <v>623</v>
      </c>
      <c r="H2320" s="1">
        <v>46196.42386574074</v>
      </c>
      <c r="I2320" t="s">
        <v>639</v>
      </c>
      <c r="J2320">
        <v>8.66</v>
      </c>
      <c r="K2320">
        <v>0</v>
      </c>
    </row>
    <row r="2321" spans="1:11" x14ac:dyDescent="0.3">
      <c r="A2321">
        <v>2320</v>
      </c>
      <c r="B2321">
        <v>106</v>
      </c>
      <c r="C2321">
        <v>4</v>
      </c>
      <c r="D2321">
        <v>2174</v>
      </c>
      <c r="E2321" t="s">
        <v>651</v>
      </c>
      <c r="F2321">
        <v>7.28</v>
      </c>
      <c r="G2321" t="s">
        <v>623</v>
      </c>
      <c r="H2321" s="1">
        <v>46196.45076388889</v>
      </c>
      <c r="I2321" t="s">
        <v>639</v>
      </c>
      <c r="J2321">
        <v>7.28</v>
      </c>
      <c r="K2321">
        <v>0</v>
      </c>
    </row>
    <row r="2322" spans="1:11" x14ac:dyDescent="0.3">
      <c r="A2322">
        <v>2321</v>
      </c>
      <c r="B2322">
        <v>243</v>
      </c>
      <c r="C2322">
        <v>3</v>
      </c>
      <c r="D2322">
        <v>2175</v>
      </c>
      <c r="E2322" t="s">
        <v>651</v>
      </c>
      <c r="F2322">
        <v>2.5</v>
      </c>
      <c r="G2322" t="s">
        <v>623</v>
      </c>
      <c r="H2322" s="1">
        <v>46196.484247685185</v>
      </c>
      <c r="I2322" t="s">
        <v>639</v>
      </c>
      <c r="J2322">
        <v>2.5</v>
      </c>
      <c r="K2322">
        <v>0</v>
      </c>
    </row>
    <row r="2323" spans="1:11" x14ac:dyDescent="0.3">
      <c r="A2323">
        <v>2322</v>
      </c>
      <c r="B2323">
        <v>128</v>
      </c>
      <c r="C2323">
        <v>3</v>
      </c>
      <c r="D2323">
        <v>2176</v>
      </c>
      <c r="E2323" t="s">
        <v>651</v>
      </c>
      <c r="F2323">
        <v>1.9</v>
      </c>
      <c r="G2323" t="s">
        <v>623</v>
      </c>
      <c r="H2323" s="1">
        <v>46196.485625000001</v>
      </c>
      <c r="I2323" t="s">
        <v>639</v>
      </c>
      <c r="J2323">
        <v>1.9</v>
      </c>
      <c r="K2323">
        <v>0</v>
      </c>
    </row>
    <row r="2324" spans="1:11" x14ac:dyDescent="0.3">
      <c r="A2324">
        <v>2323</v>
      </c>
      <c r="B2324">
        <v>200</v>
      </c>
      <c r="C2324">
        <v>3</v>
      </c>
      <c r="D2324">
        <v>2177</v>
      </c>
      <c r="E2324" t="s">
        <v>651</v>
      </c>
      <c r="F2324">
        <v>3.17</v>
      </c>
      <c r="G2324" t="s">
        <v>623</v>
      </c>
      <c r="H2324" s="1">
        <v>46196.563657407409</v>
      </c>
      <c r="I2324" t="s">
        <v>639</v>
      </c>
      <c r="J2324">
        <v>3.17</v>
      </c>
      <c r="K2324">
        <v>0</v>
      </c>
    </row>
    <row r="2325" spans="1:11" x14ac:dyDescent="0.3">
      <c r="A2325">
        <v>2324</v>
      </c>
      <c r="B2325">
        <v>278</v>
      </c>
      <c r="C2325">
        <v>3</v>
      </c>
      <c r="D2325">
        <v>2178</v>
      </c>
      <c r="E2325" t="s">
        <v>651</v>
      </c>
      <c r="F2325">
        <v>18.16</v>
      </c>
      <c r="G2325" t="s">
        <v>623</v>
      </c>
      <c r="H2325" s="1">
        <v>46196.646574074075</v>
      </c>
      <c r="I2325" t="s">
        <v>639</v>
      </c>
      <c r="J2325">
        <v>18.16</v>
      </c>
      <c r="K2325">
        <v>0</v>
      </c>
    </row>
    <row r="2326" spans="1:11" x14ac:dyDescent="0.3">
      <c r="A2326">
        <v>2325</v>
      </c>
      <c r="B2326">
        <v>278</v>
      </c>
      <c r="C2326">
        <v>2</v>
      </c>
      <c r="D2326">
        <v>2179</v>
      </c>
      <c r="E2326" t="s">
        <v>651</v>
      </c>
      <c r="F2326">
        <v>10.66</v>
      </c>
      <c r="G2326" t="s">
        <v>623</v>
      </c>
      <c r="H2326" s="1">
        <v>46197.309548611112</v>
      </c>
      <c r="I2326" t="s">
        <v>639</v>
      </c>
      <c r="J2326">
        <v>10.66</v>
      </c>
      <c r="K2326">
        <v>0</v>
      </c>
    </row>
    <row r="2327" spans="1:11" x14ac:dyDescent="0.3">
      <c r="A2327">
        <v>2326</v>
      </c>
      <c r="B2327">
        <v>96</v>
      </c>
      <c r="C2327">
        <v>2</v>
      </c>
      <c r="D2327">
        <v>2180</v>
      </c>
      <c r="E2327" t="s">
        <v>651</v>
      </c>
      <c r="F2327">
        <v>12.65</v>
      </c>
      <c r="G2327" t="s">
        <v>623</v>
      </c>
      <c r="H2327" s="1">
        <v>46197.608726851853</v>
      </c>
      <c r="I2327" t="s">
        <v>639</v>
      </c>
      <c r="J2327">
        <v>12.65</v>
      </c>
      <c r="K2327">
        <v>0</v>
      </c>
    </row>
    <row r="2328" spans="1:11" x14ac:dyDescent="0.3">
      <c r="A2328">
        <v>2327</v>
      </c>
      <c r="B2328">
        <v>41</v>
      </c>
      <c r="C2328">
        <v>4</v>
      </c>
      <c r="D2328">
        <v>2181</v>
      </c>
      <c r="E2328" t="s">
        <v>651</v>
      </c>
      <c r="F2328">
        <v>18.579999999999998</v>
      </c>
      <c r="G2328" t="s">
        <v>623</v>
      </c>
      <c r="H2328" s="1">
        <v>46197.685891203706</v>
      </c>
      <c r="I2328" t="s">
        <v>639</v>
      </c>
      <c r="J2328">
        <v>18.579999999999998</v>
      </c>
      <c r="K2328">
        <v>0</v>
      </c>
    </row>
    <row r="2329" spans="1:11" x14ac:dyDescent="0.3">
      <c r="A2329">
        <v>2328</v>
      </c>
      <c r="B2329">
        <v>101</v>
      </c>
      <c r="C2329">
        <v>2</v>
      </c>
      <c r="D2329">
        <v>2182</v>
      </c>
      <c r="E2329" t="s">
        <v>651</v>
      </c>
      <c r="F2329">
        <v>4.72</v>
      </c>
      <c r="G2329" t="s">
        <v>623</v>
      </c>
      <c r="H2329" s="1">
        <v>46198.310347222221</v>
      </c>
      <c r="I2329" t="s">
        <v>639</v>
      </c>
      <c r="J2329">
        <v>4.72</v>
      </c>
      <c r="K2329">
        <v>0</v>
      </c>
    </row>
    <row r="2330" spans="1:11" x14ac:dyDescent="0.3">
      <c r="A2330">
        <v>2329</v>
      </c>
      <c r="B2330">
        <v>304</v>
      </c>
      <c r="C2330">
        <v>5</v>
      </c>
      <c r="D2330">
        <v>2183</v>
      </c>
      <c r="E2330" t="s">
        <v>651</v>
      </c>
      <c r="F2330">
        <v>1.91</v>
      </c>
      <c r="G2330" t="s">
        <v>623</v>
      </c>
      <c r="H2330" s="1">
        <v>46198.399953703702</v>
      </c>
      <c r="I2330" t="s">
        <v>639</v>
      </c>
      <c r="J2330">
        <v>1.91</v>
      </c>
      <c r="K2330">
        <v>0</v>
      </c>
    </row>
    <row r="2331" spans="1:11" x14ac:dyDescent="0.3">
      <c r="A2331">
        <v>2330</v>
      </c>
      <c r="B2331">
        <v>245</v>
      </c>
      <c r="C2331">
        <v>5</v>
      </c>
      <c r="D2331">
        <v>2184</v>
      </c>
      <c r="E2331" t="s">
        <v>651</v>
      </c>
      <c r="F2331">
        <v>3.38</v>
      </c>
      <c r="G2331" t="s">
        <v>623</v>
      </c>
      <c r="H2331" s="1">
        <v>46198.432488425926</v>
      </c>
      <c r="I2331" t="s">
        <v>639</v>
      </c>
      <c r="J2331">
        <v>3.38</v>
      </c>
      <c r="K2331">
        <v>0</v>
      </c>
    </row>
    <row r="2332" spans="1:11" x14ac:dyDescent="0.3">
      <c r="A2332">
        <v>2331</v>
      </c>
      <c r="B2332">
        <v>126</v>
      </c>
      <c r="C2332">
        <v>4</v>
      </c>
      <c r="D2332">
        <v>2185</v>
      </c>
      <c r="E2332" t="s">
        <v>651</v>
      </c>
      <c r="F2332">
        <v>11.5</v>
      </c>
      <c r="G2332" t="s">
        <v>623</v>
      </c>
      <c r="H2332" s="1">
        <v>46198.439131944448</v>
      </c>
      <c r="I2332" t="s">
        <v>639</v>
      </c>
      <c r="J2332">
        <v>11.5</v>
      </c>
      <c r="K2332">
        <v>0</v>
      </c>
    </row>
    <row r="2333" spans="1:11" x14ac:dyDescent="0.3">
      <c r="A2333">
        <v>2332</v>
      </c>
      <c r="B2333">
        <v>65</v>
      </c>
      <c r="C2333">
        <v>2</v>
      </c>
      <c r="D2333">
        <v>2186</v>
      </c>
      <c r="E2333" t="s">
        <v>651</v>
      </c>
      <c r="F2333">
        <v>2.3199999999999998</v>
      </c>
      <c r="G2333" t="s">
        <v>623</v>
      </c>
      <c r="H2333" s="1">
        <v>46198.472604166665</v>
      </c>
      <c r="I2333" t="s">
        <v>639</v>
      </c>
      <c r="J2333">
        <v>2.3199999999999998</v>
      </c>
      <c r="K2333">
        <v>0</v>
      </c>
    </row>
    <row r="2334" spans="1:11" x14ac:dyDescent="0.3">
      <c r="A2334">
        <v>2333</v>
      </c>
      <c r="B2334">
        <v>183</v>
      </c>
      <c r="C2334">
        <v>5</v>
      </c>
      <c r="D2334">
        <v>2187</v>
      </c>
      <c r="E2334" t="s">
        <v>651</v>
      </c>
      <c r="F2334">
        <v>12.48</v>
      </c>
      <c r="G2334" t="s">
        <v>623</v>
      </c>
      <c r="H2334" s="1">
        <v>46198.529664351852</v>
      </c>
      <c r="I2334" t="s">
        <v>639</v>
      </c>
      <c r="J2334">
        <v>12.48</v>
      </c>
      <c r="K2334">
        <v>0</v>
      </c>
    </row>
    <row r="2335" spans="1:11" x14ac:dyDescent="0.3">
      <c r="A2335">
        <v>2334</v>
      </c>
      <c r="B2335">
        <v>125</v>
      </c>
      <c r="C2335">
        <v>2</v>
      </c>
      <c r="D2335">
        <v>2188</v>
      </c>
      <c r="E2335" t="s">
        <v>651</v>
      </c>
      <c r="F2335">
        <v>4.0999999999999996</v>
      </c>
      <c r="G2335" t="s">
        <v>623</v>
      </c>
      <c r="H2335" s="1">
        <v>46198.602743055555</v>
      </c>
      <c r="I2335" t="s">
        <v>639</v>
      </c>
      <c r="J2335">
        <v>4.0999999999999996</v>
      </c>
      <c r="K2335">
        <v>0</v>
      </c>
    </row>
    <row r="2336" spans="1:11" x14ac:dyDescent="0.3">
      <c r="A2336">
        <v>2335</v>
      </c>
      <c r="B2336">
        <v>134</v>
      </c>
      <c r="C2336">
        <v>4</v>
      </c>
      <c r="D2336">
        <v>2189</v>
      </c>
      <c r="E2336" t="s">
        <v>651</v>
      </c>
      <c r="F2336">
        <v>22</v>
      </c>
      <c r="G2336" t="s">
        <v>623</v>
      </c>
      <c r="H2336" s="1">
        <v>46198.658703703702</v>
      </c>
      <c r="I2336" t="s">
        <v>639</v>
      </c>
      <c r="J2336">
        <v>22</v>
      </c>
      <c r="K2336">
        <v>0</v>
      </c>
    </row>
    <row r="2337" spans="1:11" x14ac:dyDescent="0.3">
      <c r="A2337">
        <v>2336</v>
      </c>
      <c r="B2337">
        <v>141</v>
      </c>
      <c r="C2337">
        <v>5</v>
      </c>
      <c r="D2337">
        <v>2190</v>
      </c>
      <c r="E2337" t="s">
        <v>657</v>
      </c>
      <c r="F2337">
        <v>77.78</v>
      </c>
      <c r="G2337" t="s">
        <v>623</v>
      </c>
      <c r="H2337" s="1">
        <v>46198.670416666668</v>
      </c>
      <c r="I2337" t="s">
        <v>639</v>
      </c>
      <c r="J2337">
        <v>0</v>
      </c>
      <c r="K2337">
        <v>77.78</v>
      </c>
    </row>
    <row r="2338" spans="1:11" x14ac:dyDescent="0.3">
      <c r="A2338">
        <v>2337</v>
      </c>
      <c r="B2338">
        <v>271</v>
      </c>
      <c r="C2338">
        <v>3</v>
      </c>
      <c r="D2338">
        <v>2191</v>
      </c>
      <c r="E2338" t="s">
        <v>651</v>
      </c>
      <c r="F2338">
        <v>4.83</v>
      </c>
      <c r="G2338" t="s">
        <v>623</v>
      </c>
      <c r="H2338" s="1">
        <v>46198.676724537036</v>
      </c>
      <c r="I2338" t="s">
        <v>639</v>
      </c>
      <c r="J2338">
        <v>4.83</v>
      </c>
      <c r="K2338">
        <v>0</v>
      </c>
    </row>
    <row r="2339" spans="1:11" x14ac:dyDescent="0.3">
      <c r="A2339">
        <v>2338</v>
      </c>
      <c r="B2339">
        <v>128</v>
      </c>
      <c r="C2339">
        <v>5</v>
      </c>
      <c r="D2339">
        <v>2192</v>
      </c>
      <c r="E2339" t="s">
        <v>651</v>
      </c>
      <c r="F2339">
        <v>3.53</v>
      </c>
      <c r="G2339" t="s">
        <v>623</v>
      </c>
      <c r="H2339" s="1">
        <v>46198.693124999998</v>
      </c>
      <c r="I2339" t="s">
        <v>639</v>
      </c>
      <c r="J2339">
        <v>3.53</v>
      </c>
      <c r="K2339">
        <v>0</v>
      </c>
    </row>
    <row r="2340" spans="1:11" x14ac:dyDescent="0.3">
      <c r="A2340">
        <v>2339</v>
      </c>
      <c r="B2340">
        <v>170</v>
      </c>
      <c r="C2340">
        <v>5</v>
      </c>
      <c r="D2340">
        <v>2193</v>
      </c>
      <c r="E2340" t="s">
        <v>651</v>
      </c>
      <c r="F2340">
        <v>14.4</v>
      </c>
      <c r="G2340" t="s">
        <v>623</v>
      </c>
      <c r="H2340" s="1">
        <v>46198.701874999999</v>
      </c>
      <c r="I2340" t="s">
        <v>639</v>
      </c>
      <c r="J2340">
        <v>14.4</v>
      </c>
      <c r="K2340">
        <v>0</v>
      </c>
    </row>
    <row r="2341" spans="1:11" x14ac:dyDescent="0.3">
      <c r="A2341">
        <v>2340</v>
      </c>
      <c r="B2341">
        <v>128</v>
      </c>
      <c r="C2341">
        <v>2</v>
      </c>
      <c r="D2341">
        <v>2194</v>
      </c>
      <c r="E2341" t="s">
        <v>651</v>
      </c>
      <c r="F2341">
        <v>2.4500000000000002</v>
      </c>
      <c r="G2341" t="s">
        <v>623</v>
      </c>
      <c r="H2341" s="1">
        <v>46198.722546296296</v>
      </c>
      <c r="I2341" t="s">
        <v>639</v>
      </c>
      <c r="J2341">
        <v>2.4500000000000002</v>
      </c>
      <c r="K2341">
        <v>0</v>
      </c>
    </row>
    <row r="2342" spans="1:11" x14ac:dyDescent="0.3">
      <c r="A2342">
        <v>2341</v>
      </c>
      <c r="B2342">
        <v>128</v>
      </c>
      <c r="C2342">
        <v>5</v>
      </c>
      <c r="D2342">
        <v>2195</v>
      </c>
      <c r="E2342" t="s">
        <v>651</v>
      </c>
      <c r="F2342">
        <v>2.02</v>
      </c>
      <c r="G2342" t="s">
        <v>623</v>
      </c>
      <c r="H2342" s="1">
        <v>46198.818865740737</v>
      </c>
      <c r="I2342" t="s">
        <v>639</v>
      </c>
      <c r="J2342">
        <v>2.02</v>
      </c>
      <c r="K2342">
        <v>0</v>
      </c>
    </row>
    <row r="2343" spans="1:11" x14ac:dyDescent="0.3">
      <c r="A2343">
        <v>2342</v>
      </c>
      <c r="B2343">
        <v>127</v>
      </c>
      <c r="C2343">
        <v>4</v>
      </c>
      <c r="D2343">
        <v>2196</v>
      </c>
      <c r="E2343" t="s">
        <v>651</v>
      </c>
      <c r="F2343">
        <v>9.3699999999999992</v>
      </c>
      <c r="G2343" t="s">
        <v>623</v>
      </c>
      <c r="H2343" s="1">
        <v>46199.352800925924</v>
      </c>
      <c r="I2343" t="s">
        <v>639</v>
      </c>
      <c r="J2343">
        <v>9.3699999999999992</v>
      </c>
      <c r="K2343">
        <v>0</v>
      </c>
    </row>
    <row r="2344" spans="1:11" x14ac:dyDescent="0.3">
      <c r="A2344">
        <v>2343</v>
      </c>
      <c r="B2344">
        <v>16</v>
      </c>
      <c r="C2344">
        <v>5</v>
      </c>
      <c r="D2344">
        <v>2197</v>
      </c>
      <c r="E2344" t="s">
        <v>651</v>
      </c>
      <c r="F2344">
        <v>13.51</v>
      </c>
      <c r="G2344" t="s">
        <v>623</v>
      </c>
      <c r="H2344" s="1">
        <v>46199.454664351855</v>
      </c>
      <c r="I2344" t="s">
        <v>639</v>
      </c>
      <c r="J2344">
        <v>13.51</v>
      </c>
      <c r="K2344">
        <v>0</v>
      </c>
    </row>
    <row r="2345" spans="1:11" x14ac:dyDescent="0.3">
      <c r="A2345">
        <v>2344</v>
      </c>
      <c r="B2345">
        <v>221</v>
      </c>
      <c r="C2345">
        <v>2</v>
      </c>
      <c r="D2345">
        <v>2198</v>
      </c>
      <c r="E2345" t="s">
        <v>657</v>
      </c>
      <c r="F2345">
        <v>193.75</v>
      </c>
      <c r="G2345" t="s">
        <v>623</v>
      </c>
      <c r="H2345" s="1">
        <v>46199.587152777778</v>
      </c>
      <c r="I2345" t="s">
        <v>639</v>
      </c>
      <c r="J2345">
        <v>0</v>
      </c>
      <c r="K2345">
        <v>193.75</v>
      </c>
    </row>
    <row r="2346" spans="1:11" x14ac:dyDescent="0.3">
      <c r="A2346">
        <v>2345</v>
      </c>
      <c r="B2346">
        <v>156</v>
      </c>
      <c r="C2346">
        <v>2</v>
      </c>
      <c r="D2346">
        <v>2199</v>
      </c>
      <c r="E2346" t="s">
        <v>657</v>
      </c>
      <c r="F2346">
        <v>55.22</v>
      </c>
      <c r="G2346" t="s">
        <v>623</v>
      </c>
      <c r="H2346" s="1">
        <v>46199.592291666668</v>
      </c>
      <c r="I2346" t="s">
        <v>639</v>
      </c>
      <c r="J2346">
        <v>0</v>
      </c>
      <c r="K2346">
        <v>55.22</v>
      </c>
    </row>
    <row r="2347" spans="1:11" x14ac:dyDescent="0.3">
      <c r="A2347">
        <v>2346</v>
      </c>
      <c r="B2347">
        <v>47</v>
      </c>
      <c r="C2347">
        <v>4</v>
      </c>
      <c r="D2347">
        <v>2200</v>
      </c>
      <c r="E2347" t="s">
        <v>651</v>
      </c>
      <c r="F2347">
        <v>2.33</v>
      </c>
      <c r="G2347" t="s">
        <v>623</v>
      </c>
      <c r="H2347" s="1">
        <v>46199.669340277775</v>
      </c>
      <c r="I2347" t="s">
        <v>639</v>
      </c>
      <c r="J2347">
        <v>2.33</v>
      </c>
      <c r="K2347">
        <v>0</v>
      </c>
    </row>
    <row r="2348" spans="1:11" x14ac:dyDescent="0.3">
      <c r="A2348">
        <v>2347</v>
      </c>
      <c r="B2348">
        <v>221</v>
      </c>
      <c r="C2348">
        <v>5</v>
      </c>
      <c r="D2348">
        <v>2198</v>
      </c>
      <c r="E2348" t="s">
        <v>649</v>
      </c>
      <c r="F2348">
        <v>193.75</v>
      </c>
      <c r="G2348" t="s">
        <v>743</v>
      </c>
      <c r="H2348" s="1">
        <v>46199.670486111114</v>
      </c>
      <c r="I2348" t="s">
        <v>639</v>
      </c>
      <c r="J2348">
        <v>0</v>
      </c>
      <c r="K2348">
        <v>0</v>
      </c>
    </row>
    <row r="2349" spans="1:11" x14ac:dyDescent="0.3">
      <c r="A2349">
        <v>2348</v>
      </c>
      <c r="B2349">
        <v>128</v>
      </c>
      <c r="C2349">
        <v>2</v>
      </c>
      <c r="D2349">
        <v>2201</v>
      </c>
      <c r="E2349" t="s">
        <v>651</v>
      </c>
      <c r="F2349">
        <v>1.57</v>
      </c>
      <c r="G2349" t="s">
        <v>623</v>
      </c>
      <c r="H2349" s="1">
        <v>46200.372928240744</v>
      </c>
      <c r="I2349" t="s">
        <v>639</v>
      </c>
      <c r="J2349">
        <v>1.57</v>
      </c>
      <c r="K2349">
        <v>0</v>
      </c>
    </row>
    <row r="2350" spans="1:11" x14ac:dyDescent="0.3">
      <c r="A2350">
        <v>2349</v>
      </c>
      <c r="B2350">
        <v>48</v>
      </c>
      <c r="C2350">
        <v>5</v>
      </c>
      <c r="D2350">
        <v>2202</v>
      </c>
      <c r="E2350" t="s">
        <v>651</v>
      </c>
      <c r="F2350">
        <v>10.17</v>
      </c>
      <c r="G2350" t="s">
        <v>623</v>
      </c>
      <c r="H2350" s="1">
        <v>46200.473043981481</v>
      </c>
      <c r="I2350" t="s">
        <v>639</v>
      </c>
      <c r="J2350">
        <v>10.17</v>
      </c>
      <c r="K2350">
        <v>0</v>
      </c>
    </row>
    <row r="2351" spans="1:11" x14ac:dyDescent="0.3">
      <c r="A2351">
        <v>2350</v>
      </c>
      <c r="B2351">
        <v>254</v>
      </c>
      <c r="C2351">
        <v>4</v>
      </c>
      <c r="D2351">
        <v>2203</v>
      </c>
      <c r="E2351" t="s">
        <v>651</v>
      </c>
      <c r="F2351">
        <v>17.95</v>
      </c>
      <c r="G2351" t="s">
        <v>623</v>
      </c>
      <c r="H2351" s="1">
        <v>46200.615324074075</v>
      </c>
      <c r="I2351" t="s">
        <v>639</v>
      </c>
      <c r="J2351">
        <v>17.95</v>
      </c>
      <c r="K2351">
        <v>0</v>
      </c>
    </row>
    <row r="2352" spans="1:11" x14ac:dyDescent="0.3">
      <c r="A2352">
        <v>2351</v>
      </c>
      <c r="B2352">
        <v>246</v>
      </c>
      <c r="C2352">
        <v>3</v>
      </c>
      <c r="D2352">
        <v>2204</v>
      </c>
      <c r="E2352" t="s">
        <v>651</v>
      </c>
      <c r="F2352">
        <v>3.19</v>
      </c>
      <c r="G2352" t="s">
        <v>623</v>
      </c>
      <c r="H2352" s="1">
        <v>46200.642951388887</v>
      </c>
      <c r="I2352" t="s">
        <v>639</v>
      </c>
      <c r="J2352">
        <v>3.19</v>
      </c>
      <c r="K2352">
        <v>0</v>
      </c>
    </row>
    <row r="2353" spans="1:11" x14ac:dyDescent="0.3">
      <c r="A2353">
        <v>2352</v>
      </c>
      <c r="B2353">
        <v>250</v>
      </c>
      <c r="C2353">
        <v>4</v>
      </c>
      <c r="D2353">
        <v>2205</v>
      </c>
      <c r="E2353" t="s">
        <v>651</v>
      </c>
      <c r="F2353">
        <v>22</v>
      </c>
      <c r="G2353" t="s">
        <v>623</v>
      </c>
      <c r="H2353" s="1">
        <v>46200.651365740741</v>
      </c>
      <c r="I2353" t="s">
        <v>639</v>
      </c>
      <c r="J2353">
        <v>22</v>
      </c>
      <c r="K2353">
        <v>0</v>
      </c>
    </row>
    <row r="2354" spans="1:11" x14ac:dyDescent="0.3">
      <c r="A2354">
        <v>2353</v>
      </c>
      <c r="B2354">
        <v>128</v>
      </c>
      <c r="C2354">
        <v>4</v>
      </c>
      <c r="D2354">
        <v>2195</v>
      </c>
      <c r="E2354" t="s">
        <v>649</v>
      </c>
      <c r="F2354">
        <v>-2.02</v>
      </c>
      <c r="G2354" t="s">
        <v>744</v>
      </c>
      <c r="H2354" s="1">
        <v>46200.652199074073</v>
      </c>
      <c r="I2354" t="s">
        <v>639</v>
      </c>
      <c r="J2354">
        <v>0</v>
      </c>
      <c r="K2354">
        <v>0</v>
      </c>
    </row>
    <row r="2355" spans="1:11" x14ac:dyDescent="0.3">
      <c r="A2355">
        <v>2354</v>
      </c>
      <c r="B2355">
        <v>139</v>
      </c>
      <c r="C2355">
        <v>3</v>
      </c>
      <c r="D2355">
        <v>2206</v>
      </c>
      <c r="E2355" t="s">
        <v>651</v>
      </c>
      <c r="F2355">
        <v>8.26</v>
      </c>
      <c r="G2355" t="s">
        <v>623</v>
      </c>
      <c r="H2355" s="1">
        <v>46200.714386574073</v>
      </c>
      <c r="I2355" t="s">
        <v>639</v>
      </c>
      <c r="J2355">
        <v>8.26</v>
      </c>
      <c r="K2355">
        <v>0</v>
      </c>
    </row>
    <row r="2356" spans="1:11" x14ac:dyDescent="0.3">
      <c r="A2356">
        <v>2355</v>
      </c>
      <c r="B2356">
        <v>16</v>
      </c>
      <c r="C2356">
        <v>2</v>
      </c>
      <c r="D2356">
        <v>2207</v>
      </c>
      <c r="E2356" t="s">
        <v>651</v>
      </c>
      <c r="F2356">
        <v>13</v>
      </c>
      <c r="G2356" t="s">
        <v>623</v>
      </c>
      <c r="H2356" s="1">
        <v>46200.752013888887</v>
      </c>
      <c r="I2356" t="s">
        <v>639</v>
      </c>
      <c r="J2356">
        <v>13</v>
      </c>
      <c r="K2356">
        <v>0</v>
      </c>
    </row>
    <row r="2357" spans="1:11" x14ac:dyDescent="0.3">
      <c r="A2357">
        <v>2356</v>
      </c>
      <c r="B2357">
        <v>128</v>
      </c>
      <c r="C2357">
        <v>2</v>
      </c>
      <c r="D2357">
        <v>2208</v>
      </c>
      <c r="E2357" t="s">
        <v>651</v>
      </c>
      <c r="F2357">
        <v>4.28</v>
      </c>
      <c r="G2357" t="s">
        <v>623</v>
      </c>
      <c r="H2357" s="1">
        <v>46200.793414351851</v>
      </c>
      <c r="I2357" t="s">
        <v>639</v>
      </c>
      <c r="J2357">
        <v>4.28</v>
      </c>
      <c r="K2357">
        <v>0</v>
      </c>
    </row>
    <row r="2358" spans="1:11" x14ac:dyDescent="0.3">
      <c r="A2358">
        <v>2357</v>
      </c>
      <c r="B2358">
        <v>6</v>
      </c>
      <c r="C2358">
        <v>4</v>
      </c>
      <c r="D2358">
        <v>2209</v>
      </c>
      <c r="E2358" t="s">
        <v>651</v>
      </c>
      <c r="F2358">
        <v>3.76</v>
      </c>
      <c r="G2358" t="s">
        <v>623</v>
      </c>
      <c r="H2358" s="1">
        <v>46201.424837962964</v>
      </c>
      <c r="I2358" t="s">
        <v>639</v>
      </c>
      <c r="J2358">
        <v>3.76</v>
      </c>
      <c r="K2358">
        <v>0</v>
      </c>
    </row>
    <row r="2359" spans="1:11" x14ac:dyDescent="0.3">
      <c r="A2359">
        <v>2358</v>
      </c>
      <c r="B2359">
        <v>16</v>
      </c>
      <c r="C2359">
        <v>2</v>
      </c>
      <c r="D2359">
        <v>2207</v>
      </c>
      <c r="E2359" t="s">
        <v>649</v>
      </c>
      <c r="F2359">
        <v>-13</v>
      </c>
      <c r="G2359" t="s">
        <v>745</v>
      </c>
      <c r="H2359" s="1">
        <v>46201.710347222222</v>
      </c>
      <c r="I2359" t="s">
        <v>639</v>
      </c>
      <c r="J2359">
        <v>0</v>
      </c>
      <c r="K2359">
        <v>0</v>
      </c>
    </row>
    <row r="2360" spans="1:11" x14ac:dyDescent="0.3">
      <c r="A2360">
        <v>2359</v>
      </c>
      <c r="B2360">
        <v>250</v>
      </c>
      <c r="C2360">
        <v>4</v>
      </c>
      <c r="D2360">
        <v>2210</v>
      </c>
      <c r="E2360" t="s">
        <v>651</v>
      </c>
      <c r="F2360">
        <v>14.36</v>
      </c>
      <c r="G2360" t="s">
        <v>623</v>
      </c>
      <c r="H2360" s="1">
        <v>46201.77983796296</v>
      </c>
      <c r="I2360" t="s">
        <v>639</v>
      </c>
      <c r="J2360">
        <v>14.36</v>
      </c>
      <c r="K2360">
        <v>0</v>
      </c>
    </row>
    <row r="2361" spans="1:11" x14ac:dyDescent="0.3">
      <c r="A2361">
        <v>2360</v>
      </c>
      <c r="B2361">
        <v>250</v>
      </c>
      <c r="C2361">
        <v>4</v>
      </c>
      <c r="D2361">
        <v>2211</v>
      </c>
      <c r="E2361" t="s">
        <v>651</v>
      </c>
      <c r="F2361">
        <v>9.76</v>
      </c>
      <c r="G2361" t="s">
        <v>623</v>
      </c>
      <c r="H2361" s="1">
        <v>46202.405289351853</v>
      </c>
      <c r="I2361" t="s">
        <v>639</v>
      </c>
      <c r="J2361">
        <v>9.76</v>
      </c>
      <c r="K2361">
        <v>0</v>
      </c>
    </row>
    <row r="2362" spans="1:11" x14ac:dyDescent="0.3">
      <c r="A2362">
        <v>2361</v>
      </c>
      <c r="B2362">
        <v>91</v>
      </c>
      <c r="C2362">
        <v>5</v>
      </c>
      <c r="D2362">
        <v>2212</v>
      </c>
      <c r="E2362" t="s">
        <v>651</v>
      </c>
      <c r="F2362">
        <v>2.82</v>
      </c>
      <c r="G2362" t="s">
        <v>623</v>
      </c>
      <c r="H2362" s="1">
        <v>46202.447974537034</v>
      </c>
      <c r="I2362" t="s">
        <v>639</v>
      </c>
      <c r="J2362">
        <v>2.82</v>
      </c>
      <c r="K2362">
        <v>0</v>
      </c>
    </row>
    <row r="2363" spans="1:11" x14ac:dyDescent="0.3">
      <c r="A2363">
        <v>2362</v>
      </c>
      <c r="B2363">
        <v>229</v>
      </c>
      <c r="C2363">
        <v>2</v>
      </c>
      <c r="D2363">
        <v>2213</v>
      </c>
      <c r="E2363" t="s">
        <v>651</v>
      </c>
      <c r="F2363">
        <v>6.46</v>
      </c>
      <c r="G2363" t="s">
        <v>623</v>
      </c>
      <c r="H2363" s="1">
        <v>46202.511006944442</v>
      </c>
      <c r="I2363" t="s">
        <v>639</v>
      </c>
      <c r="J2363">
        <v>6.46</v>
      </c>
      <c r="K2363">
        <v>0</v>
      </c>
    </row>
    <row r="2364" spans="1:11" x14ac:dyDescent="0.3">
      <c r="A2364">
        <v>2363</v>
      </c>
      <c r="B2364">
        <v>156</v>
      </c>
      <c r="C2364">
        <v>3</v>
      </c>
      <c r="D2364">
        <v>2214</v>
      </c>
      <c r="E2364" t="s">
        <v>651</v>
      </c>
      <c r="F2364">
        <v>1.98</v>
      </c>
      <c r="G2364" t="s">
        <v>623</v>
      </c>
      <c r="H2364" s="1">
        <v>46202.561030092591</v>
      </c>
      <c r="I2364" t="s">
        <v>639</v>
      </c>
      <c r="J2364">
        <v>1.98</v>
      </c>
      <c r="K2364">
        <v>0</v>
      </c>
    </row>
    <row r="2365" spans="1:11" x14ac:dyDescent="0.3">
      <c r="A2365">
        <v>2364</v>
      </c>
      <c r="B2365">
        <v>294</v>
      </c>
      <c r="C2365">
        <v>3</v>
      </c>
      <c r="D2365">
        <v>2215</v>
      </c>
      <c r="E2365" t="s">
        <v>651</v>
      </c>
      <c r="F2365">
        <v>2.86</v>
      </c>
      <c r="G2365" t="s">
        <v>623</v>
      </c>
      <c r="H2365" s="1">
        <v>46202.570787037039</v>
      </c>
      <c r="I2365" t="s">
        <v>639</v>
      </c>
      <c r="J2365">
        <v>2.86</v>
      </c>
      <c r="K2365">
        <v>0</v>
      </c>
    </row>
    <row r="2366" spans="1:11" x14ac:dyDescent="0.3">
      <c r="A2366">
        <v>2365</v>
      </c>
      <c r="B2366">
        <v>132</v>
      </c>
      <c r="C2366">
        <v>2</v>
      </c>
      <c r="D2366">
        <v>2216</v>
      </c>
      <c r="E2366" t="s">
        <v>651</v>
      </c>
      <c r="F2366">
        <v>26.58</v>
      </c>
      <c r="G2366" t="s">
        <v>623</v>
      </c>
      <c r="H2366" s="1">
        <v>46202.713946759257</v>
      </c>
      <c r="I2366" t="s">
        <v>639</v>
      </c>
      <c r="J2366">
        <v>26.58</v>
      </c>
      <c r="K2366">
        <v>0</v>
      </c>
    </row>
    <row r="2367" spans="1:11" x14ac:dyDescent="0.3">
      <c r="A2367">
        <v>2366</v>
      </c>
      <c r="B2367">
        <v>163</v>
      </c>
      <c r="C2367">
        <v>5</v>
      </c>
      <c r="D2367">
        <v>2217</v>
      </c>
      <c r="E2367" t="s">
        <v>651</v>
      </c>
      <c r="F2367">
        <v>1.28</v>
      </c>
      <c r="G2367" t="s">
        <v>623</v>
      </c>
      <c r="H2367" s="1">
        <v>46202.790081018517</v>
      </c>
      <c r="I2367" t="s">
        <v>639</v>
      </c>
      <c r="J2367">
        <v>1.28</v>
      </c>
      <c r="K2367">
        <v>0</v>
      </c>
    </row>
    <row r="2368" spans="1:11" x14ac:dyDescent="0.3">
      <c r="A2368">
        <v>2367</v>
      </c>
      <c r="B2368">
        <v>44</v>
      </c>
      <c r="C2368">
        <v>5</v>
      </c>
      <c r="D2368">
        <v>2218</v>
      </c>
      <c r="E2368" t="s">
        <v>651</v>
      </c>
      <c r="F2368">
        <v>2.14</v>
      </c>
      <c r="G2368" t="s">
        <v>623</v>
      </c>
      <c r="H2368" s="1">
        <v>46203.378865740742</v>
      </c>
      <c r="I2368" t="s">
        <v>639</v>
      </c>
      <c r="J2368">
        <v>2.14</v>
      </c>
      <c r="K2368">
        <v>0</v>
      </c>
    </row>
    <row r="2369" spans="1:11" x14ac:dyDescent="0.3">
      <c r="A2369">
        <v>2368</v>
      </c>
      <c r="B2369">
        <v>264</v>
      </c>
      <c r="C2369">
        <v>3</v>
      </c>
      <c r="D2369">
        <v>2219</v>
      </c>
      <c r="E2369" t="s">
        <v>651</v>
      </c>
      <c r="F2369">
        <v>17.93</v>
      </c>
      <c r="G2369" t="s">
        <v>623</v>
      </c>
      <c r="H2369" s="1">
        <v>46203.447152777779</v>
      </c>
      <c r="I2369" t="s">
        <v>639</v>
      </c>
      <c r="J2369">
        <v>17.93</v>
      </c>
      <c r="K2369">
        <v>0</v>
      </c>
    </row>
    <row r="2370" spans="1:11" x14ac:dyDescent="0.3">
      <c r="A2370">
        <v>2369</v>
      </c>
      <c r="B2370">
        <v>190</v>
      </c>
      <c r="C2370">
        <v>3</v>
      </c>
      <c r="D2370">
        <v>2220</v>
      </c>
      <c r="E2370" t="s">
        <v>651</v>
      </c>
      <c r="F2370">
        <v>24.88</v>
      </c>
      <c r="G2370" t="s">
        <v>623</v>
      </c>
      <c r="H2370" s="1">
        <v>46203.492384259262</v>
      </c>
      <c r="I2370" t="s">
        <v>639</v>
      </c>
      <c r="J2370">
        <v>24.88</v>
      </c>
      <c r="K2370">
        <v>0</v>
      </c>
    </row>
    <row r="2371" spans="1:11" x14ac:dyDescent="0.3">
      <c r="A2371">
        <v>2370</v>
      </c>
      <c r="B2371">
        <v>16</v>
      </c>
      <c r="C2371">
        <v>3</v>
      </c>
      <c r="D2371">
        <v>2221</v>
      </c>
      <c r="E2371" t="s">
        <v>651</v>
      </c>
      <c r="F2371">
        <v>17.04</v>
      </c>
      <c r="G2371" t="s">
        <v>623</v>
      </c>
      <c r="H2371" s="1">
        <v>46203.521874999999</v>
      </c>
      <c r="I2371" t="s">
        <v>639</v>
      </c>
      <c r="J2371">
        <v>17.04</v>
      </c>
      <c r="K2371">
        <v>0</v>
      </c>
    </row>
    <row r="2372" spans="1:11" x14ac:dyDescent="0.3">
      <c r="A2372">
        <v>2371</v>
      </c>
      <c r="B2372">
        <v>185</v>
      </c>
      <c r="C2372">
        <v>2</v>
      </c>
      <c r="D2372">
        <v>2222</v>
      </c>
      <c r="E2372" t="s">
        <v>651</v>
      </c>
      <c r="F2372">
        <v>6.03</v>
      </c>
      <c r="G2372" t="s">
        <v>623</v>
      </c>
      <c r="H2372" s="1">
        <v>46203.627905092595</v>
      </c>
      <c r="I2372" t="s">
        <v>639</v>
      </c>
      <c r="J2372">
        <v>6.03</v>
      </c>
      <c r="K2372">
        <v>0</v>
      </c>
    </row>
    <row r="2373" spans="1:11" x14ac:dyDescent="0.3">
      <c r="A2373">
        <v>2372</v>
      </c>
      <c r="B2373">
        <v>36</v>
      </c>
      <c r="C2373">
        <v>4</v>
      </c>
      <c r="D2373">
        <v>2223</v>
      </c>
      <c r="E2373" t="s">
        <v>651</v>
      </c>
      <c r="F2373">
        <v>23.55</v>
      </c>
      <c r="G2373" t="s">
        <v>623</v>
      </c>
      <c r="H2373" s="1">
        <v>46203.693807870368</v>
      </c>
      <c r="I2373" t="s">
        <v>639</v>
      </c>
      <c r="J2373">
        <v>23.55</v>
      </c>
      <c r="K2373">
        <v>0</v>
      </c>
    </row>
    <row r="2374" spans="1:11" x14ac:dyDescent="0.3">
      <c r="A2374">
        <v>2373</v>
      </c>
      <c r="B2374">
        <v>134</v>
      </c>
      <c r="C2374">
        <v>5</v>
      </c>
      <c r="D2374">
        <v>2224</v>
      </c>
      <c r="E2374" t="s">
        <v>651</v>
      </c>
      <c r="F2374">
        <v>9.09</v>
      </c>
      <c r="G2374" t="s">
        <v>623</v>
      </c>
      <c r="H2374" s="1">
        <v>46203.728206018517</v>
      </c>
      <c r="I2374" t="s">
        <v>639</v>
      </c>
      <c r="J2374">
        <v>9.09</v>
      </c>
      <c r="K2374">
        <v>0</v>
      </c>
    </row>
    <row r="2375" spans="1:11" x14ac:dyDescent="0.3">
      <c r="A2375">
        <v>2374</v>
      </c>
      <c r="B2375">
        <v>73</v>
      </c>
      <c r="C2375">
        <v>3</v>
      </c>
      <c r="D2375">
        <v>2225</v>
      </c>
      <c r="E2375" t="s">
        <v>651</v>
      </c>
      <c r="F2375">
        <v>5.09</v>
      </c>
      <c r="G2375" t="s">
        <v>623</v>
      </c>
      <c r="H2375" s="1">
        <v>46203.739062499997</v>
      </c>
      <c r="I2375" t="s">
        <v>639</v>
      </c>
      <c r="J2375">
        <v>5.09</v>
      </c>
      <c r="K2375">
        <v>0</v>
      </c>
    </row>
    <row r="2376" spans="1:11" x14ac:dyDescent="0.3">
      <c r="A2376">
        <v>2375</v>
      </c>
      <c r="B2376">
        <v>235</v>
      </c>
      <c r="C2376">
        <v>2</v>
      </c>
      <c r="D2376">
        <v>2226</v>
      </c>
      <c r="E2376" t="s">
        <v>651</v>
      </c>
      <c r="F2376">
        <v>3.54</v>
      </c>
      <c r="G2376" t="s">
        <v>623</v>
      </c>
      <c r="H2376" s="1">
        <v>46203.766631944447</v>
      </c>
      <c r="I2376" t="s">
        <v>639</v>
      </c>
      <c r="J2376">
        <v>3.54</v>
      </c>
      <c r="K2376">
        <v>0</v>
      </c>
    </row>
    <row r="2377" spans="1:11" x14ac:dyDescent="0.3">
      <c r="A2377">
        <v>2376</v>
      </c>
      <c r="B2377">
        <v>38</v>
      </c>
      <c r="C2377">
        <v>4</v>
      </c>
      <c r="D2377">
        <v>2227</v>
      </c>
      <c r="E2377" t="s">
        <v>651</v>
      </c>
      <c r="F2377">
        <v>3.84</v>
      </c>
      <c r="G2377" t="s">
        <v>623</v>
      </c>
      <c r="H2377" s="1">
        <v>46204.31622685185</v>
      </c>
      <c r="I2377" t="s">
        <v>640</v>
      </c>
      <c r="J2377">
        <v>3.84</v>
      </c>
      <c r="K2377">
        <v>0</v>
      </c>
    </row>
    <row r="2378" spans="1:11" x14ac:dyDescent="0.3">
      <c r="A2378">
        <v>2377</v>
      </c>
      <c r="B2378">
        <v>100</v>
      </c>
      <c r="C2378">
        <v>4</v>
      </c>
      <c r="D2378">
        <v>2228</v>
      </c>
      <c r="E2378" t="s">
        <v>651</v>
      </c>
      <c r="F2378">
        <v>24.82</v>
      </c>
      <c r="G2378" t="s">
        <v>623</v>
      </c>
      <c r="H2378" s="1">
        <v>46204.357152777775</v>
      </c>
      <c r="I2378" t="s">
        <v>640</v>
      </c>
      <c r="J2378">
        <v>24.82</v>
      </c>
      <c r="K2378">
        <v>0</v>
      </c>
    </row>
    <row r="2379" spans="1:11" x14ac:dyDescent="0.3">
      <c r="A2379">
        <v>2378</v>
      </c>
      <c r="B2379">
        <v>302</v>
      </c>
      <c r="C2379">
        <v>5</v>
      </c>
      <c r="D2379">
        <v>2229</v>
      </c>
      <c r="E2379" t="s">
        <v>651</v>
      </c>
      <c r="F2379">
        <v>1.62</v>
      </c>
      <c r="G2379" t="s">
        <v>623</v>
      </c>
      <c r="H2379" s="1">
        <v>46204.383240740739</v>
      </c>
      <c r="I2379" t="s">
        <v>640</v>
      </c>
      <c r="J2379">
        <v>1.62</v>
      </c>
      <c r="K2379">
        <v>0</v>
      </c>
    </row>
    <row r="2380" spans="1:11" x14ac:dyDescent="0.3">
      <c r="A2380">
        <v>2379</v>
      </c>
      <c r="B2380">
        <v>210</v>
      </c>
      <c r="C2380">
        <v>5</v>
      </c>
      <c r="D2380">
        <v>2230</v>
      </c>
      <c r="E2380" t="s">
        <v>651</v>
      </c>
      <c r="F2380">
        <v>2.54</v>
      </c>
      <c r="G2380" t="s">
        <v>623</v>
      </c>
      <c r="H2380" s="1">
        <v>46204.492013888892</v>
      </c>
      <c r="I2380" t="s">
        <v>640</v>
      </c>
      <c r="J2380">
        <v>2.54</v>
      </c>
      <c r="K2380">
        <v>0</v>
      </c>
    </row>
    <row r="2381" spans="1:11" x14ac:dyDescent="0.3">
      <c r="A2381">
        <v>2380</v>
      </c>
      <c r="B2381">
        <v>48</v>
      </c>
      <c r="C2381">
        <v>2</v>
      </c>
      <c r="D2381">
        <v>2231</v>
      </c>
      <c r="E2381" t="s">
        <v>651</v>
      </c>
      <c r="F2381">
        <v>10.29</v>
      </c>
      <c r="G2381" t="s">
        <v>623</v>
      </c>
      <c r="H2381" s="1">
        <v>46204.662164351852</v>
      </c>
      <c r="I2381" t="s">
        <v>640</v>
      </c>
      <c r="J2381">
        <v>10.29</v>
      </c>
      <c r="K2381">
        <v>0</v>
      </c>
    </row>
    <row r="2382" spans="1:11" x14ac:dyDescent="0.3">
      <c r="A2382">
        <v>2381</v>
      </c>
      <c r="B2382">
        <v>44</v>
      </c>
      <c r="C2382">
        <v>4</v>
      </c>
      <c r="D2382">
        <v>2232</v>
      </c>
      <c r="E2382" t="s">
        <v>651</v>
      </c>
      <c r="F2382">
        <v>5.44</v>
      </c>
      <c r="G2382" t="s">
        <v>623</v>
      </c>
      <c r="H2382" s="1">
        <v>46204.697638888887</v>
      </c>
      <c r="I2382" t="s">
        <v>640</v>
      </c>
      <c r="J2382">
        <v>5.44</v>
      </c>
      <c r="K2382">
        <v>0</v>
      </c>
    </row>
    <row r="2383" spans="1:11" x14ac:dyDescent="0.3">
      <c r="A2383">
        <v>2382</v>
      </c>
      <c r="B2383">
        <v>250</v>
      </c>
      <c r="C2383">
        <v>4</v>
      </c>
      <c r="D2383">
        <v>2233</v>
      </c>
      <c r="E2383" t="s">
        <v>651</v>
      </c>
      <c r="F2383">
        <v>8.43</v>
      </c>
      <c r="G2383" t="s">
        <v>623</v>
      </c>
      <c r="H2383" s="1">
        <v>46204.718287037038</v>
      </c>
      <c r="I2383" t="s">
        <v>640</v>
      </c>
      <c r="J2383">
        <v>8.43</v>
      </c>
      <c r="K2383">
        <v>0</v>
      </c>
    </row>
    <row r="2384" spans="1:11" x14ac:dyDescent="0.3">
      <c r="A2384">
        <v>2383</v>
      </c>
      <c r="B2384">
        <v>134</v>
      </c>
      <c r="C2384">
        <v>4</v>
      </c>
      <c r="D2384">
        <v>2234</v>
      </c>
      <c r="E2384" t="s">
        <v>651</v>
      </c>
      <c r="F2384">
        <v>9.06</v>
      </c>
      <c r="G2384" t="s">
        <v>623</v>
      </c>
      <c r="H2384" s="1">
        <v>46204.775011574071</v>
      </c>
      <c r="I2384" t="s">
        <v>640</v>
      </c>
      <c r="J2384">
        <v>9.06</v>
      </c>
      <c r="K2384">
        <v>0</v>
      </c>
    </row>
    <row r="2385" spans="1:11" x14ac:dyDescent="0.3">
      <c r="A2385">
        <v>2384</v>
      </c>
      <c r="B2385">
        <v>134</v>
      </c>
      <c r="C2385">
        <v>5</v>
      </c>
      <c r="D2385">
        <v>2235</v>
      </c>
      <c r="E2385" t="s">
        <v>651</v>
      </c>
      <c r="F2385">
        <v>6.35</v>
      </c>
      <c r="G2385" t="s">
        <v>623</v>
      </c>
      <c r="H2385" s="1">
        <v>46204.804062499999</v>
      </c>
      <c r="I2385" t="s">
        <v>640</v>
      </c>
      <c r="J2385">
        <v>6.35</v>
      </c>
      <c r="K2385">
        <v>0</v>
      </c>
    </row>
    <row r="2386" spans="1:11" x14ac:dyDescent="0.3">
      <c r="A2386">
        <v>2385</v>
      </c>
      <c r="B2386">
        <v>179</v>
      </c>
      <c r="C2386">
        <v>5</v>
      </c>
      <c r="D2386">
        <v>2236</v>
      </c>
      <c r="E2386" t="s">
        <v>651</v>
      </c>
      <c r="F2386">
        <v>14.1</v>
      </c>
      <c r="G2386" t="s">
        <v>623</v>
      </c>
      <c r="H2386" s="1">
        <v>46205.353935185187</v>
      </c>
      <c r="I2386" t="s">
        <v>640</v>
      </c>
      <c r="J2386">
        <v>14.1</v>
      </c>
      <c r="K2386">
        <v>0</v>
      </c>
    </row>
    <row r="2387" spans="1:11" x14ac:dyDescent="0.3">
      <c r="A2387">
        <v>2386</v>
      </c>
      <c r="B2387">
        <v>250</v>
      </c>
      <c r="C2387">
        <v>3</v>
      </c>
      <c r="D2387">
        <v>2237</v>
      </c>
      <c r="E2387" t="s">
        <v>651</v>
      </c>
      <c r="F2387">
        <v>5.21</v>
      </c>
      <c r="G2387" t="s">
        <v>623</v>
      </c>
      <c r="H2387" s="1">
        <v>46205.635208333333</v>
      </c>
      <c r="I2387" t="s">
        <v>640</v>
      </c>
      <c r="J2387">
        <v>5.21</v>
      </c>
      <c r="K2387">
        <v>0</v>
      </c>
    </row>
    <row r="2388" spans="1:11" x14ac:dyDescent="0.3">
      <c r="A2388">
        <v>2387</v>
      </c>
      <c r="B2388">
        <v>172</v>
      </c>
      <c r="C2388">
        <v>5</v>
      </c>
      <c r="D2388">
        <v>2238</v>
      </c>
      <c r="E2388" t="s">
        <v>651</v>
      </c>
      <c r="F2388">
        <v>2.9</v>
      </c>
      <c r="G2388" t="s">
        <v>623</v>
      </c>
      <c r="H2388" s="1">
        <v>46205.638148148151</v>
      </c>
      <c r="I2388" t="s">
        <v>640</v>
      </c>
      <c r="J2388">
        <v>2.9</v>
      </c>
      <c r="K2388">
        <v>0</v>
      </c>
    </row>
    <row r="2389" spans="1:11" x14ac:dyDescent="0.3">
      <c r="A2389">
        <v>2388</v>
      </c>
      <c r="B2389">
        <v>65</v>
      </c>
      <c r="C2389">
        <v>3</v>
      </c>
      <c r="D2389">
        <v>2239</v>
      </c>
      <c r="E2389" t="s">
        <v>651</v>
      </c>
      <c r="F2389">
        <v>3.48</v>
      </c>
      <c r="G2389" t="s">
        <v>623</v>
      </c>
      <c r="H2389" s="1">
        <v>46205.680555555555</v>
      </c>
      <c r="I2389" t="s">
        <v>640</v>
      </c>
      <c r="J2389">
        <v>3.48</v>
      </c>
      <c r="K2389">
        <v>0</v>
      </c>
    </row>
    <row r="2390" spans="1:11" x14ac:dyDescent="0.3">
      <c r="A2390">
        <v>2389</v>
      </c>
      <c r="B2390">
        <v>250</v>
      </c>
      <c r="C2390">
        <v>3</v>
      </c>
      <c r="D2390">
        <v>2240</v>
      </c>
      <c r="E2390" t="s">
        <v>651</v>
      </c>
      <c r="F2390">
        <v>6.67</v>
      </c>
      <c r="G2390" t="s">
        <v>623</v>
      </c>
      <c r="H2390" s="1">
        <v>46205.684861111113</v>
      </c>
      <c r="I2390" t="s">
        <v>640</v>
      </c>
      <c r="J2390">
        <v>6.67</v>
      </c>
      <c r="K2390">
        <v>0</v>
      </c>
    </row>
    <row r="2391" spans="1:11" x14ac:dyDescent="0.3">
      <c r="A2391">
        <v>2390</v>
      </c>
      <c r="B2391">
        <v>48</v>
      </c>
      <c r="C2391">
        <v>2</v>
      </c>
      <c r="D2391">
        <v>2241</v>
      </c>
      <c r="E2391" t="s">
        <v>651</v>
      </c>
      <c r="F2391">
        <v>7.2</v>
      </c>
      <c r="G2391" t="s">
        <v>623</v>
      </c>
      <c r="H2391" s="1">
        <v>46205.691342592596</v>
      </c>
      <c r="I2391" t="s">
        <v>640</v>
      </c>
      <c r="J2391">
        <v>7.2</v>
      </c>
      <c r="K2391">
        <v>0</v>
      </c>
    </row>
    <row r="2392" spans="1:11" x14ac:dyDescent="0.3">
      <c r="A2392">
        <v>2391</v>
      </c>
      <c r="B2392">
        <v>277</v>
      </c>
      <c r="C2392">
        <v>3</v>
      </c>
      <c r="D2392">
        <v>2242</v>
      </c>
      <c r="E2392" t="s">
        <v>651</v>
      </c>
      <c r="F2392">
        <v>14.36</v>
      </c>
      <c r="G2392" t="s">
        <v>623</v>
      </c>
      <c r="H2392" s="1">
        <v>46206.359594907408</v>
      </c>
      <c r="I2392" t="s">
        <v>640</v>
      </c>
      <c r="J2392">
        <v>14.36</v>
      </c>
      <c r="K2392">
        <v>0</v>
      </c>
    </row>
    <row r="2393" spans="1:11" x14ac:dyDescent="0.3">
      <c r="A2393">
        <v>2392</v>
      </c>
      <c r="B2393">
        <v>202</v>
      </c>
      <c r="C2393">
        <v>3</v>
      </c>
      <c r="D2393">
        <v>2243</v>
      </c>
      <c r="E2393" t="s">
        <v>651</v>
      </c>
      <c r="F2393">
        <v>3.91</v>
      </c>
      <c r="G2393" t="s">
        <v>623</v>
      </c>
      <c r="H2393" s="1">
        <v>46206.381967592592</v>
      </c>
      <c r="I2393" t="s">
        <v>640</v>
      </c>
      <c r="J2393">
        <v>3.91</v>
      </c>
      <c r="K2393">
        <v>0</v>
      </c>
    </row>
    <row r="2394" spans="1:11" x14ac:dyDescent="0.3">
      <c r="A2394">
        <v>2393</v>
      </c>
      <c r="B2394">
        <v>183</v>
      </c>
      <c r="C2394">
        <v>4</v>
      </c>
      <c r="D2394">
        <v>2244</v>
      </c>
      <c r="E2394" t="s">
        <v>651</v>
      </c>
      <c r="F2394">
        <v>12.1</v>
      </c>
      <c r="G2394" t="s">
        <v>623</v>
      </c>
      <c r="H2394" s="1">
        <v>46206.389004629629</v>
      </c>
      <c r="I2394" t="s">
        <v>640</v>
      </c>
      <c r="J2394">
        <v>12.1</v>
      </c>
      <c r="K2394">
        <v>0</v>
      </c>
    </row>
    <row r="2395" spans="1:11" x14ac:dyDescent="0.3">
      <c r="A2395">
        <v>2394</v>
      </c>
      <c r="B2395">
        <v>250</v>
      </c>
      <c r="C2395">
        <v>2</v>
      </c>
      <c r="D2395">
        <v>2245</v>
      </c>
      <c r="E2395" t="s">
        <v>657</v>
      </c>
      <c r="F2395">
        <v>64.25</v>
      </c>
      <c r="G2395" t="s">
        <v>623</v>
      </c>
      <c r="H2395" s="1">
        <v>46206.45171296296</v>
      </c>
      <c r="I2395" t="s">
        <v>640</v>
      </c>
      <c r="J2395">
        <v>0</v>
      </c>
      <c r="K2395">
        <v>64.25</v>
      </c>
    </row>
    <row r="2396" spans="1:11" x14ac:dyDescent="0.3">
      <c r="A2396">
        <v>2395</v>
      </c>
      <c r="B2396">
        <v>101</v>
      </c>
      <c r="C2396">
        <v>4</v>
      </c>
      <c r="D2396">
        <v>2246</v>
      </c>
      <c r="E2396" t="s">
        <v>651</v>
      </c>
      <c r="F2396">
        <v>5.25</v>
      </c>
      <c r="G2396" t="s">
        <v>623</v>
      </c>
      <c r="H2396" s="1">
        <v>46206.498622685183</v>
      </c>
      <c r="I2396" t="s">
        <v>640</v>
      </c>
      <c r="J2396">
        <v>5.25</v>
      </c>
      <c r="K2396">
        <v>0</v>
      </c>
    </row>
    <row r="2397" spans="1:11" x14ac:dyDescent="0.3">
      <c r="A2397">
        <v>2396</v>
      </c>
      <c r="B2397">
        <v>128</v>
      </c>
      <c r="C2397">
        <v>4</v>
      </c>
      <c r="D2397">
        <v>2247</v>
      </c>
      <c r="E2397" t="s">
        <v>651</v>
      </c>
      <c r="F2397">
        <v>1.87</v>
      </c>
      <c r="G2397" t="s">
        <v>623</v>
      </c>
      <c r="H2397" s="1">
        <v>46206.631689814814</v>
      </c>
      <c r="I2397" t="s">
        <v>640</v>
      </c>
      <c r="J2397">
        <v>1.87</v>
      </c>
      <c r="K2397">
        <v>0</v>
      </c>
    </row>
    <row r="2398" spans="1:11" x14ac:dyDescent="0.3">
      <c r="A2398">
        <v>2397</v>
      </c>
      <c r="B2398">
        <v>134</v>
      </c>
      <c r="C2398">
        <v>5</v>
      </c>
      <c r="D2398">
        <v>2248</v>
      </c>
      <c r="E2398" t="s">
        <v>651</v>
      </c>
      <c r="F2398">
        <v>14.02</v>
      </c>
      <c r="G2398" t="s">
        <v>623</v>
      </c>
      <c r="H2398" s="1">
        <v>46206.683368055557</v>
      </c>
      <c r="I2398" t="s">
        <v>640</v>
      </c>
      <c r="J2398">
        <v>14.02</v>
      </c>
      <c r="K2398">
        <v>0</v>
      </c>
    </row>
    <row r="2399" spans="1:11" x14ac:dyDescent="0.3">
      <c r="A2399">
        <v>2398</v>
      </c>
      <c r="B2399">
        <v>229</v>
      </c>
      <c r="C2399">
        <v>4</v>
      </c>
      <c r="D2399">
        <v>2249</v>
      </c>
      <c r="E2399" t="s">
        <v>651</v>
      </c>
      <c r="F2399">
        <v>6.55</v>
      </c>
      <c r="G2399" t="s">
        <v>623</v>
      </c>
      <c r="H2399" s="1">
        <v>46206.695127314815</v>
      </c>
      <c r="I2399" t="s">
        <v>640</v>
      </c>
      <c r="J2399">
        <v>6.55</v>
      </c>
      <c r="K2399">
        <v>0</v>
      </c>
    </row>
    <row r="2400" spans="1:11" x14ac:dyDescent="0.3">
      <c r="A2400">
        <v>2399</v>
      </c>
      <c r="B2400">
        <v>47</v>
      </c>
      <c r="C2400">
        <v>2</v>
      </c>
      <c r="D2400">
        <v>2250</v>
      </c>
      <c r="E2400" t="s">
        <v>657</v>
      </c>
      <c r="F2400">
        <v>46.36</v>
      </c>
      <c r="G2400" t="s">
        <v>623</v>
      </c>
      <c r="H2400" s="1">
        <v>46206.759131944447</v>
      </c>
      <c r="I2400" t="s">
        <v>640</v>
      </c>
      <c r="J2400">
        <v>0</v>
      </c>
      <c r="K2400">
        <v>46.36</v>
      </c>
    </row>
    <row r="2401" spans="1:11" x14ac:dyDescent="0.3">
      <c r="A2401">
        <v>2400</v>
      </c>
      <c r="B2401">
        <v>175</v>
      </c>
      <c r="C2401">
        <v>2</v>
      </c>
      <c r="D2401">
        <v>2251</v>
      </c>
      <c r="E2401" t="s">
        <v>651</v>
      </c>
      <c r="F2401">
        <v>2.82</v>
      </c>
      <c r="G2401" t="s">
        <v>623</v>
      </c>
      <c r="H2401" s="1">
        <v>46206.809374999997</v>
      </c>
      <c r="I2401" t="s">
        <v>640</v>
      </c>
      <c r="J2401">
        <v>2.82</v>
      </c>
      <c r="K2401">
        <v>0</v>
      </c>
    </row>
    <row r="2402" spans="1:11" x14ac:dyDescent="0.3">
      <c r="A2402">
        <v>2401</v>
      </c>
      <c r="B2402">
        <v>128</v>
      </c>
      <c r="C2402">
        <v>3</v>
      </c>
      <c r="D2402">
        <v>2252</v>
      </c>
      <c r="E2402" t="s">
        <v>651</v>
      </c>
      <c r="F2402">
        <v>5.1100000000000003</v>
      </c>
      <c r="G2402" t="s">
        <v>623</v>
      </c>
      <c r="H2402" s="1">
        <v>46207.297002314815</v>
      </c>
      <c r="I2402" t="s">
        <v>640</v>
      </c>
      <c r="J2402">
        <v>5.1100000000000003</v>
      </c>
      <c r="K2402">
        <v>0</v>
      </c>
    </row>
    <row r="2403" spans="1:11" x14ac:dyDescent="0.3">
      <c r="A2403">
        <v>2402</v>
      </c>
      <c r="B2403">
        <v>175</v>
      </c>
      <c r="C2403">
        <v>2</v>
      </c>
      <c r="D2403">
        <v>2253</v>
      </c>
      <c r="E2403" t="s">
        <v>651</v>
      </c>
      <c r="F2403">
        <v>2.67</v>
      </c>
      <c r="G2403" t="s">
        <v>623</v>
      </c>
      <c r="H2403" s="1">
        <v>46207.303148148145</v>
      </c>
      <c r="I2403" t="s">
        <v>640</v>
      </c>
      <c r="J2403">
        <v>2.67</v>
      </c>
      <c r="K2403">
        <v>0</v>
      </c>
    </row>
    <row r="2404" spans="1:11" x14ac:dyDescent="0.3">
      <c r="A2404">
        <v>2403</v>
      </c>
      <c r="B2404">
        <v>213</v>
      </c>
      <c r="C2404">
        <v>3</v>
      </c>
      <c r="D2404">
        <v>2254</v>
      </c>
      <c r="E2404" t="s">
        <v>651</v>
      </c>
      <c r="F2404">
        <v>16.05</v>
      </c>
      <c r="G2404" t="s">
        <v>623</v>
      </c>
      <c r="H2404" s="1">
        <v>46207.331192129626</v>
      </c>
      <c r="I2404" t="s">
        <v>640</v>
      </c>
      <c r="J2404">
        <v>16.05</v>
      </c>
      <c r="K2404">
        <v>0</v>
      </c>
    </row>
    <row r="2405" spans="1:11" x14ac:dyDescent="0.3">
      <c r="A2405">
        <v>2404</v>
      </c>
      <c r="B2405">
        <v>106</v>
      </c>
      <c r="C2405">
        <v>2</v>
      </c>
      <c r="D2405">
        <v>2255</v>
      </c>
      <c r="E2405" t="s">
        <v>651</v>
      </c>
      <c r="F2405">
        <v>5.84</v>
      </c>
      <c r="G2405" t="s">
        <v>623</v>
      </c>
      <c r="H2405" s="1">
        <v>46207.389224537037</v>
      </c>
      <c r="I2405" t="s">
        <v>640</v>
      </c>
      <c r="J2405">
        <v>5.84</v>
      </c>
      <c r="K2405">
        <v>0</v>
      </c>
    </row>
    <row r="2406" spans="1:11" x14ac:dyDescent="0.3">
      <c r="A2406">
        <v>2405</v>
      </c>
      <c r="B2406">
        <v>128</v>
      </c>
      <c r="C2406">
        <v>5</v>
      </c>
      <c r="D2406">
        <v>2256</v>
      </c>
      <c r="E2406" t="s">
        <v>651</v>
      </c>
      <c r="F2406">
        <v>2.99</v>
      </c>
      <c r="G2406" t="s">
        <v>623</v>
      </c>
      <c r="H2406" s="1">
        <v>46207.638541666667</v>
      </c>
      <c r="I2406" t="s">
        <v>640</v>
      </c>
      <c r="J2406">
        <v>2.99</v>
      </c>
      <c r="K2406">
        <v>0</v>
      </c>
    </row>
    <row r="2407" spans="1:11" x14ac:dyDescent="0.3">
      <c r="A2407">
        <v>2406</v>
      </c>
      <c r="B2407">
        <v>244</v>
      </c>
      <c r="C2407">
        <v>3</v>
      </c>
      <c r="D2407">
        <v>2257</v>
      </c>
      <c r="E2407" t="s">
        <v>651</v>
      </c>
      <c r="F2407">
        <v>7.27</v>
      </c>
      <c r="G2407" t="s">
        <v>623</v>
      </c>
      <c r="H2407" s="1">
        <v>46207.641562500001</v>
      </c>
      <c r="I2407" t="s">
        <v>640</v>
      </c>
      <c r="J2407">
        <v>7.27</v>
      </c>
      <c r="K2407">
        <v>0</v>
      </c>
    </row>
    <row r="2408" spans="1:11" x14ac:dyDescent="0.3">
      <c r="A2408">
        <v>2407</v>
      </c>
      <c r="B2408">
        <v>243</v>
      </c>
      <c r="C2408">
        <v>2</v>
      </c>
      <c r="D2408">
        <v>2258</v>
      </c>
      <c r="E2408" t="s">
        <v>657</v>
      </c>
      <c r="F2408">
        <v>13.39</v>
      </c>
      <c r="G2408" t="s">
        <v>623</v>
      </c>
      <c r="H2408" s="1">
        <v>46207.694479166668</v>
      </c>
      <c r="I2408" t="s">
        <v>640</v>
      </c>
      <c r="J2408">
        <v>0</v>
      </c>
      <c r="K2408">
        <v>13.39</v>
      </c>
    </row>
    <row r="2409" spans="1:11" x14ac:dyDescent="0.3">
      <c r="A2409">
        <v>2408</v>
      </c>
      <c r="B2409">
        <v>48</v>
      </c>
      <c r="C2409">
        <v>3</v>
      </c>
      <c r="D2409">
        <v>2259</v>
      </c>
      <c r="E2409" t="s">
        <v>651</v>
      </c>
      <c r="F2409">
        <v>8.06</v>
      </c>
      <c r="G2409" t="s">
        <v>623</v>
      </c>
      <c r="H2409" s="1">
        <v>46207.718622685185</v>
      </c>
      <c r="I2409" t="s">
        <v>640</v>
      </c>
      <c r="J2409">
        <v>8.06</v>
      </c>
      <c r="K2409">
        <v>0</v>
      </c>
    </row>
    <row r="2410" spans="1:11" x14ac:dyDescent="0.3">
      <c r="A2410">
        <v>2409</v>
      </c>
      <c r="B2410">
        <v>70</v>
      </c>
      <c r="C2410">
        <v>3</v>
      </c>
      <c r="D2410">
        <v>2260</v>
      </c>
      <c r="E2410" t="s">
        <v>651</v>
      </c>
      <c r="F2410">
        <v>28.72</v>
      </c>
      <c r="G2410" t="s">
        <v>623</v>
      </c>
      <c r="H2410" s="1">
        <v>46207.832731481481</v>
      </c>
      <c r="I2410" t="s">
        <v>640</v>
      </c>
      <c r="J2410">
        <v>28.72</v>
      </c>
      <c r="K2410">
        <v>0</v>
      </c>
    </row>
    <row r="2411" spans="1:11" x14ac:dyDescent="0.3">
      <c r="A2411">
        <v>2410</v>
      </c>
      <c r="B2411">
        <v>147</v>
      </c>
      <c r="C2411">
        <v>2</v>
      </c>
      <c r="D2411">
        <v>2261</v>
      </c>
      <c r="E2411" t="s">
        <v>651</v>
      </c>
      <c r="F2411">
        <v>9.66</v>
      </c>
      <c r="G2411" t="s">
        <v>623</v>
      </c>
      <c r="H2411" s="1">
        <v>46208.294803240744</v>
      </c>
      <c r="I2411" t="s">
        <v>640</v>
      </c>
      <c r="J2411">
        <v>9.66</v>
      </c>
      <c r="K2411">
        <v>0</v>
      </c>
    </row>
    <row r="2412" spans="1:11" x14ac:dyDescent="0.3">
      <c r="A2412">
        <v>2411</v>
      </c>
      <c r="B2412">
        <v>147</v>
      </c>
      <c r="C2412">
        <v>5</v>
      </c>
      <c r="D2412">
        <v>2261</v>
      </c>
      <c r="E2412" t="s">
        <v>649</v>
      </c>
      <c r="F2412">
        <v>-9.66</v>
      </c>
      <c r="G2412" t="s">
        <v>746</v>
      </c>
      <c r="H2412" s="1">
        <v>46208.586469907408</v>
      </c>
      <c r="I2412" t="s">
        <v>640</v>
      </c>
      <c r="J2412">
        <v>0</v>
      </c>
      <c r="K2412">
        <v>0</v>
      </c>
    </row>
    <row r="2413" spans="1:11" x14ac:dyDescent="0.3">
      <c r="A2413">
        <v>2412</v>
      </c>
      <c r="B2413">
        <v>184</v>
      </c>
      <c r="C2413">
        <v>5</v>
      </c>
      <c r="D2413">
        <v>2262</v>
      </c>
      <c r="E2413" t="s">
        <v>651</v>
      </c>
      <c r="F2413">
        <v>22</v>
      </c>
      <c r="G2413" t="s">
        <v>623</v>
      </c>
      <c r="H2413" s="1">
        <v>46208.629328703704</v>
      </c>
      <c r="I2413" t="s">
        <v>640</v>
      </c>
      <c r="J2413">
        <v>22</v>
      </c>
      <c r="K2413">
        <v>0</v>
      </c>
    </row>
    <row r="2414" spans="1:11" x14ac:dyDescent="0.3">
      <c r="A2414">
        <v>2413</v>
      </c>
      <c r="B2414">
        <v>90</v>
      </c>
      <c r="C2414">
        <v>4</v>
      </c>
      <c r="D2414">
        <v>2263</v>
      </c>
      <c r="E2414" t="s">
        <v>651</v>
      </c>
      <c r="F2414">
        <v>20.49</v>
      </c>
      <c r="G2414" t="s">
        <v>623</v>
      </c>
      <c r="H2414" s="1">
        <v>46208.630682870367</v>
      </c>
      <c r="I2414" t="s">
        <v>640</v>
      </c>
      <c r="J2414">
        <v>20.49</v>
      </c>
      <c r="K2414">
        <v>0</v>
      </c>
    </row>
    <row r="2415" spans="1:11" x14ac:dyDescent="0.3">
      <c r="A2415">
        <v>2414</v>
      </c>
      <c r="B2415">
        <v>117</v>
      </c>
      <c r="C2415">
        <v>3</v>
      </c>
      <c r="D2415">
        <v>2264</v>
      </c>
      <c r="E2415" t="s">
        <v>651</v>
      </c>
      <c r="F2415">
        <v>5.82</v>
      </c>
      <c r="G2415" t="s">
        <v>623</v>
      </c>
      <c r="H2415" s="1">
        <v>46208.638483796298</v>
      </c>
      <c r="I2415" t="s">
        <v>640</v>
      </c>
      <c r="J2415">
        <v>5.82</v>
      </c>
      <c r="K2415">
        <v>0</v>
      </c>
    </row>
    <row r="2416" spans="1:11" x14ac:dyDescent="0.3">
      <c r="A2416">
        <v>2415</v>
      </c>
      <c r="B2416">
        <v>134</v>
      </c>
      <c r="C2416">
        <v>3</v>
      </c>
      <c r="D2416">
        <v>2265</v>
      </c>
      <c r="E2416" t="s">
        <v>651</v>
      </c>
      <c r="F2416">
        <v>14.23</v>
      </c>
      <c r="G2416" t="s">
        <v>623</v>
      </c>
      <c r="H2416" s="1">
        <v>46209.356840277775</v>
      </c>
      <c r="I2416" t="s">
        <v>640</v>
      </c>
      <c r="J2416">
        <v>14.23</v>
      </c>
      <c r="K2416">
        <v>0</v>
      </c>
    </row>
    <row r="2417" spans="1:11" x14ac:dyDescent="0.3">
      <c r="A2417">
        <v>2416</v>
      </c>
      <c r="B2417">
        <v>137</v>
      </c>
      <c r="C2417">
        <v>3</v>
      </c>
      <c r="D2417">
        <v>2266</v>
      </c>
      <c r="E2417" t="s">
        <v>651</v>
      </c>
      <c r="F2417">
        <v>4.7300000000000004</v>
      </c>
      <c r="G2417" t="s">
        <v>623</v>
      </c>
      <c r="H2417" s="1">
        <v>46209.523645833331</v>
      </c>
      <c r="I2417" t="s">
        <v>640</v>
      </c>
      <c r="J2417">
        <v>4.7300000000000004</v>
      </c>
      <c r="K2417">
        <v>0</v>
      </c>
    </row>
    <row r="2418" spans="1:11" x14ac:dyDescent="0.3">
      <c r="A2418">
        <v>2417</v>
      </c>
      <c r="B2418">
        <v>70</v>
      </c>
      <c r="C2418">
        <v>3</v>
      </c>
      <c r="D2418">
        <v>2260</v>
      </c>
      <c r="E2418" t="s">
        <v>649</v>
      </c>
      <c r="F2418">
        <v>-28.72</v>
      </c>
      <c r="G2418" t="s">
        <v>747</v>
      </c>
      <c r="H2418" s="1">
        <v>46209.666064814817</v>
      </c>
      <c r="I2418" t="s">
        <v>640</v>
      </c>
      <c r="J2418">
        <v>0</v>
      </c>
      <c r="K2418">
        <v>0</v>
      </c>
    </row>
    <row r="2419" spans="1:11" x14ac:dyDescent="0.3">
      <c r="A2419">
        <v>2418</v>
      </c>
      <c r="B2419">
        <v>263</v>
      </c>
      <c r="C2419">
        <v>2</v>
      </c>
      <c r="D2419">
        <v>2267</v>
      </c>
      <c r="E2419" t="s">
        <v>651</v>
      </c>
      <c r="F2419">
        <v>3.56</v>
      </c>
      <c r="G2419" t="s">
        <v>623</v>
      </c>
      <c r="H2419" s="1">
        <v>46210.383564814816</v>
      </c>
      <c r="I2419" t="s">
        <v>640</v>
      </c>
      <c r="J2419">
        <v>3.56</v>
      </c>
      <c r="K2419">
        <v>0</v>
      </c>
    </row>
    <row r="2420" spans="1:11" x14ac:dyDescent="0.3">
      <c r="A2420">
        <v>2419</v>
      </c>
      <c r="B2420">
        <v>51</v>
      </c>
      <c r="C2420">
        <v>3</v>
      </c>
      <c r="D2420">
        <v>2268</v>
      </c>
      <c r="E2420" t="s">
        <v>651</v>
      </c>
      <c r="F2420">
        <v>13.09</v>
      </c>
      <c r="G2420" t="s">
        <v>623</v>
      </c>
      <c r="H2420" s="1">
        <v>46210.404826388891</v>
      </c>
      <c r="I2420" t="s">
        <v>640</v>
      </c>
      <c r="J2420">
        <v>13.09</v>
      </c>
      <c r="K2420">
        <v>0</v>
      </c>
    </row>
    <row r="2421" spans="1:11" x14ac:dyDescent="0.3">
      <c r="A2421">
        <v>2420</v>
      </c>
      <c r="B2421">
        <v>36</v>
      </c>
      <c r="C2421">
        <v>2</v>
      </c>
      <c r="D2421">
        <v>2269</v>
      </c>
      <c r="E2421" t="s">
        <v>651</v>
      </c>
      <c r="F2421">
        <v>13.84</v>
      </c>
      <c r="G2421" t="s">
        <v>623</v>
      </c>
      <c r="H2421" s="1">
        <v>46210.463391203702</v>
      </c>
      <c r="I2421" t="s">
        <v>640</v>
      </c>
      <c r="J2421">
        <v>13.84</v>
      </c>
      <c r="K2421">
        <v>0</v>
      </c>
    </row>
    <row r="2422" spans="1:11" x14ac:dyDescent="0.3">
      <c r="A2422">
        <v>2421</v>
      </c>
      <c r="B2422">
        <v>252</v>
      </c>
      <c r="C2422">
        <v>4</v>
      </c>
      <c r="D2422">
        <v>2270</v>
      </c>
      <c r="E2422" t="s">
        <v>651</v>
      </c>
      <c r="F2422">
        <v>2.2400000000000002</v>
      </c>
      <c r="G2422" t="s">
        <v>623</v>
      </c>
      <c r="H2422" s="1">
        <v>46210.573900462965</v>
      </c>
      <c r="I2422" t="s">
        <v>640</v>
      </c>
      <c r="J2422">
        <v>2.2400000000000002</v>
      </c>
      <c r="K2422">
        <v>0</v>
      </c>
    </row>
    <row r="2423" spans="1:11" x14ac:dyDescent="0.3">
      <c r="A2423">
        <v>2422</v>
      </c>
      <c r="B2423">
        <v>156</v>
      </c>
      <c r="C2423">
        <v>5</v>
      </c>
      <c r="D2423">
        <v>2271</v>
      </c>
      <c r="E2423" t="s">
        <v>651</v>
      </c>
      <c r="F2423">
        <v>2.41</v>
      </c>
      <c r="G2423" t="s">
        <v>623</v>
      </c>
      <c r="H2423" s="1">
        <v>46210.65247685185</v>
      </c>
      <c r="I2423" t="s">
        <v>640</v>
      </c>
      <c r="J2423">
        <v>2.41</v>
      </c>
      <c r="K2423">
        <v>0</v>
      </c>
    </row>
    <row r="2424" spans="1:11" x14ac:dyDescent="0.3">
      <c r="A2424">
        <v>2423</v>
      </c>
      <c r="B2424">
        <v>128</v>
      </c>
      <c r="C2424">
        <v>2</v>
      </c>
      <c r="D2424">
        <v>2272</v>
      </c>
      <c r="E2424" t="s">
        <v>651</v>
      </c>
      <c r="F2424">
        <v>4.16</v>
      </c>
      <c r="G2424" t="s">
        <v>623</v>
      </c>
      <c r="H2424" s="1">
        <v>46211.341585648152</v>
      </c>
      <c r="I2424" t="s">
        <v>640</v>
      </c>
      <c r="J2424">
        <v>4.16</v>
      </c>
      <c r="K2424">
        <v>0</v>
      </c>
    </row>
    <row r="2425" spans="1:11" x14ac:dyDescent="0.3">
      <c r="A2425">
        <v>2424</v>
      </c>
      <c r="B2425">
        <v>128</v>
      </c>
      <c r="C2425">
        <v>4</v>
      </c>
      <c r="D2425">
        <v>2273</v>
      </c>
      <c r="E2425" t="s">
        <v>651</v>
      </c>
      <c r="F2425">
        <v>3.01</v>
      </c>
      <c r="G2425" t="s">
        <v>623</v>
      </c>
      <c r="H2425" s="1">
        <v>46211.377696759257</v>
      </c>
      <c r="I2425" t="s">
        <v>640</v>
      </c>
      <c r="J2425">
        <v>3.01</v>
      </c>
      <c r="K2425">
        <v>0</v>
      </c>
    </row>
    <row r="2426" spans="1:11" x14ac:dyDescent="0.3">
      <c r="A2426">
        <v>2425</v>
      </c>
      <c r="B2426">
        <v>244</v>
      </c>
      <c r="C2426">
        <v>5</v>
      </c>
      <c r="D2426">
        <v>2274</v>
      </c>
      <c r="E2426" t="s">
        <v>651</v>
      </c>
      <c r="F2426">
        <v>21.79</v>
      </c>
      <c r="G2426" t="s">
        <v>623</v>
      </c>
      <c r="H2426" s="1">
        <v>46211.671053240738</v>
      </c>
      <c r="I2426" t="s">
        <v>640</v>
      </c>
      <c r="J2426">
        <v>21.79</v>
      </c>
      <c r="K2426">
        <v>0</v>
      </c>
    </row>
    <row r="2427" spans="1:11" x14ac:dyDescent="0.3">
      <c r="A2427">
        <v>2426</v>
      </c>
      <c r="B2427">
        <v>134</v>
      </c>
      <c r="C2427">
        <v>4</v>
      </c>
      <c r="D2427">
        <v>2275</v>
      </c>
      <c r="E2427" t="s">
        <v>651</v>
      </c>
      <c r="F2427">
        <v>5.97</v>
      </c>
      <c r="G2427" t="s">
        <v>623</v>
      </c>
      <c r="H2427" s="1">
        <v>46211.684282407405</v>
      </c>
      <c r="I2427" t="s">
        <v>640</v>
      </c>
      <c r="J2427">
        <v>5.97</v>
      </c>
      <c r="K2427">
        <v>0</v>
      </c>
    </row>
    <row r="2428" spans="1:11" x14ac:dyDescent="0.3">
      <c r="A2428">
        <v>2427</v>
      </c>
      <c r="B2428">
        <v>190</v>
      </c>
      <c r="C2428">
        <v>4</v>
      </c>
      <c r="D2428">
        <v>2276</v>
      </c>
      <c r="E2428" t="s">
        <v>651</v>
      </c>
      <c r="F2428">
        <v>17.28</v>
      </c>
      <c r="G2428" t="s">
        <v>623</v>
      </c>
      <c r="H2428" s="1">
        <v>46211.700104166666</v>
      </c>
      <c r="I2428" t="s">
        <v>640</v>
      </c>
      <c r="J2428">
        <v>17.28</v>
      </c>
      <c r="K2428">
        <v>0</v>
      </c>
    </row>
    <row r="2429" spans="1:11" x14ac:dyDescent="0.3">
      <c r="A2429">
        <v>2428</v>
      </c>
      <c r="B2429">
        <v>190</v>
      </c>
      <c r="C2429">
        <v>4</v>
      </c>
      <c r="D2429">
        <v>2276</v>
      </c>
      <c r="E2429" t="s">
        <v>649</v>
      </c>
      <c r="F2429">
        <v>-17.28</v>
      </c>
      <c r="G2429" t="s">
        <v>748</v>
      </c>
      <c r="H2429" s="1">
        <v>46211.741770833331</v>
      </c>
      <c r="I2429" t="s">
        <v>640</v>
      </c>
      <c r="J2429">
        <v>0</v>
      </c>
      <c r="K2429">
        <v>0</v>
      </c>
    </row>
    <row r="2430" spans="1:11" x14ac:dyDescent="0.3">
      <c r="A2430">
        <v>2429</v>
      </c>
      <c r="B2430">
        <v>48</v>
      </c>
      <c r="C2430">
        <v>4</v>
      </c>
      <c r="D2430">
        <v>2277</v>
      </c>
      <c r="E2430" t="s">
        <v>651</v>
      </c>
      <c r="F2430">
        <v>8.76</v>
      </c>
      <c r="G2430" t="s">
        <v>623</v>
      </c>
      <c r="H2430" s="1">
        <v>46211.76390046296</v>
      </c>
      <c r="I2430" t="s">
        <v>640</v>
      </c>
      <c r="J2430">
        <v>8.76</v>
      </c>
      <c r="K2430">
        <v>0</v>
      </c>
    </row>
    <row r="2431" spans="1:11" x14ac:dyDescent="0.3">
      <c r="A2431">
        <v>2430</v>
      </c>
      <c r="B2431">
        <v>128</v>
      </c>
      <c r="C2431">
        <v>2</v>
      </c>
      <c r="D2431">
        <v>2278</v>
      </c>
      <c r="E2431" t="s">
        <v>651</v>
      </c>
      <c r="F2431">
        <v>1.72</v>
      </c>
      <c r="G2431" t="s">
        <v>623</v>
      </c>
      <c r="H2431" s="1">
        <v>46211.806307870371</v>
      </c>
      <c r="I2431" t="s">
        <v>640</v>
      </c>
      <c r="J2431">
        <v>1.72</v>
      </c>
      <c r="K2431">
        <v>0</v>
      </c>
    </row>
    <row r="2432" spans="1:11" x14ac:dyDescent="0.3">
      <c r="A2432">
        <v>2431</v>
      </c>
      <c r="B2432">
        <v>171</v>
      </c>
      <c r="C2432">
        <v>3</v>
      </c>
      <c r="D2432">
        <v>2279</v>
      </c>
      <c r="E2432" t="s">
        <v>651</v>
      </c>
      <c r="F2432">
        <v>9.34</v>
      </c>
      <c r="G2432" t="s">
        <v>623</v>
      </c>
      <c r="H2432" s="1">
        <v>46211.826840277776</v>
      </c>
      <c r="I2432" t="s">
        <v>640</v>
      </c>
      <c r="J2432">
        <v>9.34</v>
      </c>
      <c r="K2432">
        <v>0</v>
      </c>
    </row>
    <row r="2433" spans="1:11" x14ac:dyDescent="0.3">
      <c r="A2433">
        <v>2432</v>
      </c>
      <c r="B2433">
        <v>190</v>
      </c>
      <c r="C2433">
        <v>3</v>
      </c>
      <c r="D2433">
        <v>2280</v>
      </c>
      <c r="E2433" t="s">
        <v>651</v>
      </c>
      <c r="F2433">
        <v>30</v>
      </c>
      <c r="G2433" t="s">
        <v>623</v>
      </c>
      <c r="H2433" s="1">
        <v>46212.329259259262</v>
      </c>
      <c r="I2433" t="s">
        <v>640</v>
      </c>
      <c r="J2433">
        <v>30</v>
      </c>
      <c r="K2433">
        <v>0</v>
      </c>
    </row>
    <row r="2434" spans="1:11" x14ac:dyDescent="0.3">
      <c r="A2434">
        <v>2433</v>
      </c>
      <c r="B2434">
        <v>154</v>
      </c>
      <c r="C2434">
        <v>2</v>
      </c>
      <c r="D2434">
        <v>2281</v>
      </c>
      <c r="E2434" t="s">
        <v>651</v>
      </c>
      <c r="F2434">
        <v>5</v>
      </c>
      <c r="G2434" t="s">
        <v>623</v>
      </c>
      <c r="H2434" s="1">
        <v>46212.340405092589</v>
      </c>
      <c r="I2434" t="s">
        <v>640</v>
      </c>
      <c r="J2434">
        <v>5</v>
      </c>
      <c r="K2434">
        <v>0</v>
      </c>
    </row>
    <row r="2435" spans="1:11" x14ac:dyDescent="0.3">
      <c r="A2435">
        <v>2434</v>
      </c>
      <c r="B2435">
        <v>70</v>
      </c>
      <c r="C2435">
        <v>2</v>
      </c>
      <c r="D2435">
        <v>2282</v>
      </c>
      <c r="E2435" t="s">
        <v>657</v>
      </c>
      <c r="F2435">
        <v>88.66</v>
      </c>
      <c r="G2435" t="s">
        <v>623</v>
      </c>
      <c r="H2435" s="1">
        <v>46212.407719907409</v>
      </c>
      <c r="I2435" t="s">
        <v>640</v>
      </c>
      <c r="J2435">
        <v>0</v>
      </c>
      <c r="K2435">
        <v>88.66</v>
      </c>
    </row>
    <row r="2436" spans="1:11" x14ac:dyDescent="0.3">
      <c r="A2436">
        <v>2435</v>
      </c>
      <c r="B2436">
        <v>183</v>
      </c>
      <c r="C2436">
        <v>5</v>
      </c>
      <c r="D2436">
        <v>2283</v>
      </c>
      <c r="E2436" t="s">
        <v>651</v>
      </c>
      <c r="F2436">
        <v>5.34</v>
      </c>
      <c r="G2436" t="s">
        <v>623</v>
      </c>
      <c r="H2436" s="1">
        <v>46212.441111111111</v>
      </c>
      <c r="I2436" t="s">
        <v>640</v>
      </c>
      <c r="J2436">
        <v>5.34</v>
      </c>
      <c r="K2436">
        <v>0</v>
      </c>
    </row>
    <row r="2437" spans="1:11" x14ac:dyDescent="0.3">
      <c r="A2437">
        <v>2436</v>
      </c>
      <c r="B2437">
        <v>128</v>
      </c>
      <c r="C2437">
        <v>2</v>
      </c>
      <c r="D2437">
        <v>2284</v>
      </c>
      <c r="E2437" t="s">
        <v>651</v>
      </c>
      <c r="F2437">
        <v>3.63</v>
      </c>
      <c r="G2437" t="s">
        <v>623</v>
      </c>
      <c r="H2437" s="1">
        <v>46212.447546296295</v>
      </c>
      <c r="I2437" t="s">
        <v>640</v>
      </c>
      <c r="J2437">
        <v>3.63</v>
      </c>
      <c r="K2437">
        <v>0</v>
      </c>
    </row>
    <row r="2438" spans="1:11" x14ac:dyDescent="0.3">
      <c r="A2438">
        <v>2437</v>
      </c>
      <c r="B2438">
        <v>80</v>
      </c>
      <c r="C2438">
        <v>5</v>
      </c>
      <c r="D2438">
        <v>2285</v>
      </c>
      <c r="E2438" t="s">
        <v>651</v>
      </c>
      <c r="F2438">
        <v>2.41</v>
      </c>
      <c r="G2438" t="s">
        <v>623</v>
      </c>
      <c r="H2438" s="1">
        <v>46212.469907407409</v>
      </c>
      <c r="I2438" t="s">
        <v>640</v>
      </c>
      <c r="J2438">
        <v>2.41</v>
      </c>
      <c r="K2438">
        <v>0</v>
      </c>
    </row>
    <row r="2439" spans="1:11" x14ac:dyDescent="0.3">
      <c r="A2439">
        <v>2438</v>
      </c>
      <c r="B2439">
        <v>205</v>
      </c>
      <c r="C2439">
        <v>2</v>
      </c>
      <c r="D2439">
        <v>2286</v>
      </c>
      <c r="E2439" t="s">
        <v>651</v>
      </c>
      <c r="F2439">
        <v>5.0199999999999996</v>
      </c>
      <c r="G2439" t="s">
        <v>623</v>
      </c>
      <c r="H2439" s="1">
        <v>46212.559479166666</v>
      </c>
      <c r="I2439" t="s">
        <v>640</v>
      </c>
      <c r="J2439">
        <v>5.0199999999999996</v>
      </c>
      <c r="K2439">
        <v>0</v>
      </c>
    </row>
    <row r="2440" spans="1:11" x14ac:dyDescent="0.3">
      <c r="A2440">
        <v>2439</v>
      </c>
      <c r="B2440">
        <v>87</v>
      </c>
      <c r="C2440">
        <v>3</v>
      </c>
      <c r="D2440">
        <v>2287</v>
      </c>
      <c r="E2440" t="s">
        <v>651</v>
      </c>
      <c r="F2440">
        <v>4.05</v>
      </c>
      <c r="G2440" t="s">
        <v>623</v>
      </c>
      <c r="H2440" s="1">
        <v>46212.656504629631</v>
      </c>
      <c r="I2440" t="s">
        <v>640</v>
      </c>
      <c r="J2440">
        <v>4.05</v>
      </c>
      <c r="K2440">
        <v>0</v>
      </c>
    </row>
    <row r="2441" spans="1:11" x14ac:dyDescent="0.3">
      <c r="A2441">
        <v>2440</v>
      </c>
      <c r="B2441">
        <v>103</v>
      </c>
      <c r="C2441">
        <v>4</v>
      </c>
      <c r="D2441">
        <v>2288</v>
      </c>
      <c r="E2441" t="s">
        <v>651</v>
      </c>
      <c r="F2441">
        <v>1.98</v>
      </c>
      <c r="G2441" t="s">
        <v>623</v>
      </c>
      <c r="H2441" s="1">
        <v>46212.68650462963</v>
      </c>
      <c r="I2441" t="s">
        <v>640</v>
      </c>
      <c r="J2441">
        <v>1.98</v>
      </c>
      <c r="K2441">
        <v>0</v>
      </c>
    </row>
    <row r="2442" spans="1:11" x14ac:dyDescent="0.3">
      <c r="A2442">
        <v>2441</v>
      </c>
      <c r="B2442">
        <v>150</v>
      </c>
      <c r="C2442">
        <v>2</v>
      </c>
      <c r="D2442">
        <v>2289</v>
      </c>
      <c r="E2442" t="s">
        <v>657</v>
      </c>
      <c r="F2442">
        <v>49.57</v>
      </c>
      <c r="G2442" t="s">
        <v>623</v>
      </c>
      <c r="H2442" s="1">
        <v>46212.734537037039</v>
      </c>
      <c r="I2442" t="s">
        <v>640</v>
      </c>
      <c r="J2442">
        <v>0</v>
      </c>
      <c r="K2442">
        <v>49.57</v>
      </c>
    </row>
    <row r="2443" spans="1:11" x14ac:dyDescent="0.3">
      <c r="A2443">
        <v>2442</v>
      </c>
      <c r="B2443">
        <v>285</v>
      </c>
      <c r="C2443">
        <v>2</v>
      </c>
      <c r="D2443">
        <v>2290</v>
      </c>
      <c r="E2443" t="s">
        <v>651</v>
      </c>
      <c r="F2443">
        <v>2.76</v>
      </c>
      <c r="G2443" t="s">
        <v>623</v>
      </c>
      <c r="H2443" s="1">
        <v>46212.75199074074</v>
      </c>
      <c r="I2443" t="s">
        <v>640</v>
      </c>
      <c r="J2443">
        <v>2.76</v>
      </c>
      <c r="K2443">
        <v>0</v>
      </c>
    </row>
    <row r="2444" spans="1:11" x14ac:dyDescent="0.3">
      <c r="A2444">
        <v>2443</v>
      </c>
      <c r="B2444">
        <v>66</v>
      </c>
      <c r="C2444">
        <v>2</v>
      </c>
      <c r="D2444">
        <v>2291</v>
      </c>
      <c r="E2444" t="s">
        <v>651</v>
      </c>
      <c r="F2444">
        <v>8.76</v>
      </c>
      <c r="G2444" t="s">
        <v>623</v>
      </c>
      <c r="H2444" s="1">
        <v>46213.387939814813</v>
      </c>
      <c r="I2444" t="s">
        <v>640</v>
      </c>
      <c r="J2444">
        <v>8.76</v>
      </c>
      <c r="K2444">
        <v>0</v>
      </c>
    </row>
    <row r="2445" spans="1:11" x14ac:dyDescent="0.3">
      <c r="A2445">
        <v>2444</v>
      </c>
      <c r="B2445">
        <v>250</v>
      </c>
      <c r="C2445">
        <v>4</v>
      </c>
      <c r="D2445">
        <v>2292</v>
      </c>
      <c r="E2445" t="s">
        <v>651</v>
      </c>
      <c r="F2445">
        <v>13.36</v>
      </c>
      <c r="G2445" t="s">
        <v>623</v>
      </c>
      <c r="H2445" s="1">
        <v>46213.389837962961</v>
      </c>
      <c r="I2445" t="s">
        <v>640</v>
      </c>
      <c r="J2445">
        <v>13.36</v>
      </c>
      <c r="K2445">
        <v>0</v>
      </c>
    </row>
    <row r="2446" spans="1:11" x14ac:dyDescent="0.3">
      <c r="A2446">
        <v>2445</v>
      </c>
      <c r="B2446">
        <v>285</v>
      </c>
      <c r="C2446">
        <v>4</v>
      </c>
      <c r="D2446">
        <v>2293</v>
      </c>
      <c r="E2446" t="s">
        <v>651</v>
      </c>
      <c r="F2446">
        <v>2.56</v>
      </c>
      <c r="G2446" t="s">
        <v>623</v>
      </c>
      <c r="H2446" s="1">
        <v>46213.609444444446</v>
      </c>
      <c r="I2446" t="s">
        <v>640</v>
      </c>
      <c r="J2446">
        <v>2.56</v>
      </c>
      <c r="K2446">
        <v>0</v>
      </c>
    </row>
    <row r="2447" spans="1:11" x14ac:dyDescent="0.3">
      <c r="A2447">
        <v>2446</v>
      </c>
      <c r="B2447">
        <v>250</v>
      </c>
      <c r="C2447">
        <v>2</v>
      </c>
      <c r="D2447">
        <v>2294</v>
      </c>
      <c r="E2447" t="s">
        <v>651</v>
      </c>
      <c r="F2447">
        <v>17.79</v>
      </c>
      <c r="G2447" t="s">
        <v>623</v>
      </c>
      <c r="H2447" s="1">
        <v>46213.629849537036</v>
      </c>
      <c r="I2447" t="s">
        <v>640</v>
      </c>
      <c r="J2447">
        <v>17.79</v>
      </c>
      <c r="K2447">
        <v>0</v>
      </c>
    </row>
    <row r="2448" spans="1:11" x14ac:dyDescent="0.3">
      <c r="A2448">
        <v>2447</v>
      </c>
      <c r="B2448">
        <v>150</v>
      </c>
      <c r="C2448">
        <v>5</v>
      </c>
      <c r="D2448">
        <v>2289</v>
      </c>
      <c r="E2448" t="s">
        <v>649</v>
      </c>
      <c r="F2448">
        <v>49.57</v>
      </c>
      <c r="G2448" t="s">
        <v>749</v>
      </c>
      <c r="H2448" s="1">
        <v>46214.109537037039</v>
      </c>
      <c r="I2448" t="s">
        <v>640</v>
      </c>
      <c r="J2448">
        <v>0</v>
      </c>
      <c r="K2448">
        <v>0</v>
      </c>
    </row>
    <row r="2449" spans="1:11" x14ac:dyDescent="0.3">
      <c r="A2449">
        <v>2448</v>
      </c>
      <c r="B2449">
        <v>183</v>
      </c>
      <c r="C2449">
        <v>2</v>
      </c>
      <c r="D2449">
        <v>2295</v>
      </c>
      <c r="E2449" t="s">
        <v>651</v>
      </c>
      <c r="F2449">
        <v>13.83</v>
      </c>
      <c r="G2449" t="s">
        <v>623</v>
      </c>
      <c r="H2449" s="1">
        <v>46214.360729166663</v>
      </c>
      <c r="I2449" t="s">
        <v>640</v>
      </c>
      <c r="J2449">
        <v>13.83</v>
      </c>
      <c r="K2449">
        <v>0</v>
      </c>
    </row>
    <row r="2450" spans="1:11" x14ac:dyDescent="0.3">
      <c r="A2450">
        <v>2449</v>
      </c>
      <c r="B2450">
        <v>261</v>
      </c>
      <c r="C2450">
        <v>2</v>
      </c>
      <c r="D2450">
        <v>2296</v>
      </c>
      <c r="E2450" t="s">
        <v>651</v>
      </c>
      <c r="F2450">
        <v>4.38</v>
      </c>
      <c r="G2450" t="s">
        <v>623</v>
      </c>
      <c r="H2450" s="1">
        <v>46214.367592592593</v>
      </c>
      <c r="I2450" t="s">
        <v>640</v>
      </c>
      <c r="J2450">
        <v>4.38</v>
      </c>
      <c r="K2450">
        <v>0</v>
      </c>
    </row>
    <row r="2451" spans="1:11" x14ac:dyDescent="0.3">
      <c r="A2451">
        <v>2450</v>
      </c>
      <c r="B2451">
        <v>253</v>
      </c>
      <c r="C2451">
        <v>3</v>
      </c>
      <c r="D2451">
        <v>2297</v>
      </c>
      <c r="E2451" t="s">
        <v>651</v>
      </c>
      <c r="F2451">
        <v>4.13</v>
      </c>
      <c r="G2451" t="s">
        <v>623</v>
      </c>
      <c r="H2451" s="1">
        <v>46214.389201388891</v>
      </c>
      <c r="I2451" t="s">
        <v>640</v>
      </c>
      <c r="J2451">
        <v>4.13</v>
      </c>
      <c r="K2451">
        <v>0</v>
      </c>
    </row>
    <row r="2452" spans="1:11" x14ac:dyDescent="0.3">
      <c r="A2452">
        <v>2451</v>
      </c>
      <c r="B2452">
        <v>128</v>
      </c>
      <c r="C2452">
        <v>4</v>
      </c>
      <c r="D2452">
        <v>2298</v>
      </c>
      <c r="E2452" t="s">
        <v>651</v>
      </c>
      <c r="F2452">
        <v>2.87</v>
      </c>
      <c r="G2452" t="s">
        <v>623</v>
      </c>
      <c r="H2452" s="1">
        <v>46214.40552083333</v>
      </c>
      <c r="I2452" t="s">
        <v>640</v>
      </c>
      <c r="J2452">
        <v>2.87</v>
      </c>
      <c r="K2452">
        <v>0</v>
      </c>
    </row>
    <row r="2453" spans="1:11" x14ac:dyDescent="0.3">
      <c r="A2453">
        <v>2452</v>
      </c>
      <c r="B2453">
        <v>134</v>
      </c>
      <c r="C2453">
        <v>4</v>
      </c>
      <c r="D2453">
        <v>2299</v>
      </c>
      <c r="E2453" t="s">
        <v>651</v>
      </c>
      <c r="F2453">
        <v>18.649999999999999</v>
      </c>
      <c r="G2453" t="s">
        <v>623</v>
      </c>
      <c r="H2453" s="1">
        <v>46214.408449074072</v>
      </c>
      <c r="I2453" t="s">
        <v>640</v>
      </c>
      <c r="J2453">
        <v>18.649999999999999</v>
      </c>
      <c r="K2453">
        <v>0</v>
      </c>
    </row>
    <row r="2454" spans="1:11" x14ac:dyDescent="0.3">
      <c r="A2454">
        <v>2453</v>
      </c>
      <c r="B2454">
        <v>128</v>
      </c>
      <c r="C2454">
        <v>5</v>
      </c>
      <c r="D2454">
        <v>2300</v>
      </c>
      <c r="E2454" t="s">
        <v>651</v>
      </c>
      <c r="F2454">
        <v>3.66</v>
      </c>
      <c r="G2454" t="s">
        <v>623</v>
      </c>
      <c r="H2454" s="1">
        <v>46214.62122685185</v>
      </c>
      <c r="I2454" t="s">
        <v>640</v>
      </c>
      <c r="J2454">
        <v>3.66</v>
      </c>
      <c r="K2454">
        <v>0</v>
      </c>
    </row>
    <row r="2455" spans="1:11" x14ac:dyDescent="0.3">
      <c r="A2455">
        <v>2454</v>
      </c>
      <c r="B2455">
        <v>156</v>
      </c>
      <c r="C2455">
        <v>5</v>
      </c>
      <c r="D2455">
        <v>2301</v>
      </c>
      <c r="E2455" t="s">
        <v>651</v>
      </c>
      <c r="F2455">
        <v>4.08</v>
      </c>
      <c r="G2455" t="s">
        <v>623</v>
      </c>
      <c r="H2455" s="1">
        <v>46214.638425925928</v>
      </c>
      <c r="I2455" t="s">
        <v>640</v>
      </c>
      <c r="J2455">
        <v>4.08</v>
      </c>
      <c r="K2455">
        <v>0</v>
      </c>
    </row>
    <row r="2456" spans="1:11" x14ac:dyDescent="0.3">
      <c r="A2456">
        <v>2455</v>
      </c>
      <c r="B2456">
        <v>134</v>
      </c>
      <c r="C2456">
        <v>3</v>
      </c>
      <c r="D2456">
        <v>2302</v>
      </c>
      <c r="E2456" t="s">
        <v>651</v>
      </c>
      <c r="F2456">
        <v>7.17</v>
      </c>
      <c r="G2456" t="s">
        <v>623</v>
      </c>
      <c r="H2456" s="1">
        <v>46214.730624999997</v>
      </c>
      <c r="I2456" t="s">
        <v>640</v>
      </c>
      <c r="J2456">
        <v>7.17</v>
      </c>
      <c r="K2456">
        <v>0</v>
      </c>
    </row>
    <row r="2457" spans="1:11" x14ac:dyDescent="0.3">
      <c r="A2457">
        <v>2456</v>
      </c>
      <c r="B2457">
        <v>183</v>
      </c>
      <c r="C2457">
        <v>2</v>
      </c>
      <c r="D2457">
        <v>2295</v>
      </c>
      <c r="E2457" t="s">
        <v>649</v>
      </c>
      <c r="F2457">
        <v>-13.83</v>
      </c>
      <c r="G2457" t="s">
        <v>750</v>
      </c>
      <c r="H2457" s="1">
        <v>46214.860729166663</v>
      </c>
      <c r="I2457" t="s">
        <v>640</v>
      </c>
      <c r="J2457">
        <v>0</v>
      </c>
      <c r="K2457">
        <v>0</v>
      </c>
    </row>
    <row r="2458" spans="1:11" x14ac:dyDescent="0.3">
      <c r="A2458">
        <v>2457</v>
      </c>
      <c r="B2458">
        <v>156</v>
      </c>
      <c r="C2458">
        <v>2</v>
      </c>
      <c r="D2458">
        <v>2303</v>
      </c>
      <c r="E2458" t="s">
        <v>651</v>
      </c>
      <c r="F2458">
        <v>4.03</v>
      </c>
      <c r="G2458" t="s">
        <v>623</v>
      </c>
      <c r="H2458" s="1">
        <v>46215.410613425927</v>
      </c>
      <c r="I2458" t="s">
        <v>640</v>
      </c>
      <c r="J2458">
        <v>4.03</v>
      </c>
      <c r="K2458">
        <v>0</v>
      </c>
    </row>
    <row r="2459" spans="1:11" x14ac:dyDescent="0.3">
      <c r="A2459">
        <v>2458</v>
      </c>
      <c r="B2459">
        <v>128</v>
      </c>
      <c r="C2459">
        <v>3</v>
      </c>
      <c r="D2459">
        <v>2304</v>
      </c>
      <c r="E2459" t="s">
        <v>651</v>
      </c>
      <c r="F2459">
        <v>4.03</v>
      </c>
      <c r="G2459" t="s">
        <v>623</v>
      </c>
      <c r="H2459" s="1">
        <v>46215.443969907406</v>
      </c>
      <c r="I2459" t="s">
        <v>640</v>
      </c>
      <c r="J2459">
        <v>4.03</v>
      </c>
      <c r="K2459">
        <v>0</v>
      </c>
    </row>
    <row r="2460" spans="1:11" x14ac:dyDescent="0.3">
      <c r="A2460">
        <v>2459</v>
      </c>
      <c r="B2460">
        <v>299</v>
      </c>
      <c r="C2460">
        <v>5</v>
      </c>
      <c r="D2460">
        <v>2305</v>
      </c>
      <c r="E2460" t="s">
        <v>651</v>
      </c>
      <c r="F2460">
        <v>8.1999999999999993</v>
      </c>
      <c r="G2460" t="s">
        <v>623</v>
      </c>
      <c r="H2460" s="1">
        <v>46215.775625000002</v>
      </c>
      <c r="I2460" t="s">
        <v>640</v>
      </c>
      <c r="J2460">
        <v>8.1999999999999993</v>
      </c>
      <c r="K2460">
        <v>0</v>
      </c>
    </row>
    <row r="2461" spans="1:11" x14ac:dyDescent="0.3">
      <c r="A2461">
        <v>2460</v>
      </c>
      <c r="B2461">
        <v>253</v>
      </c>
      <c r="C2461">
        <v>3</v>
      </c>
      <c r="D2461">
        <v>2297</v>
      </c>
      <c r="E2461" t="s">
        <v>649</v>
      </c>
      <c r="F2461">
        <v>-4.13</v>
      </c>
      <c r="G2461" t="s">
        <v>751</v>
      </c>
      <c r="H2461" s="1">
        <v>46216.222534722219</v>
      </c>
      <c r="I2461" t="s">
        <v>640</v>
      </c>
      <c r="J2461">
        <v>0</v>
      </c>
      <c r="K2461">
        <v>0</v>
      </c>
    </row>
    <row r="2462" spans="1:11" x14ac:dyDescent="0.3">
      <c r="A2462">
        <v>2461</v>
      </c>
      <c r="B2462">
        <v>66</v>
      </c>
      <c r="C2462">
        <v>2</v>
      </c>
      <c r="D2462">
        <v>2306</v>
      </c>
      <c r="E2462" t="s">
        <v>651</v>
      </c>
      <c r="F2462">
        <v>12.65</v>
      </c>
      <c r="G2462" t="s">
        <v>623</v>
      </c>
      <c r="H2462" s="1">
        <v>46216.344895833332</v>
      </c>
      <c r="I2462" t="s">
        <v>640</v>
      </c>
      <c r="J2462">
        <v>12.65</v>
      </c>
      <c r="K2462">
        <v>0</v>
      </c>
    </row>
    <row r="2463" spans="1:11" x14ac:dyDescent="0.3">
      <c r="A2463">
        <v>2462</v>
      </c>
      <c r="B2463">
        <v>281</v>
      </c>
      <c r="C2463">
        <v>5</v>
      </c>
      <c r="D2463">
        <v>2307</v>
      </c>
      <c r="E2463" t="s">
        <v>651</v>
      </c>
      <c r="F2463">
        <v>12.71</v>
      </c>
      <c r="G2463" t="s">
        <v>623</v>
      </c>
      <c r="H2463" s="1">
        <v>46216.530081018522</v>
      </c>
      <c r="I2463" t="s">
        <v>640</v>
      </c>
      <c r="J2463">
        <v>12.71</v>
      </c>
      <c r="K2463">
        <v>0</v>
      </c>
    </row>
    <row r="2464" spans="1:11" x14ac:dyDescent="0.3">
      <c r="A2464">
        <v>2463</v>
      </c>
      <c r="B2464">
        <v>250</v>
      </c>
      <c r="C2464">
        <v>5</v>
      </c>
      <c r="D2464">
        <v>2308</v>
      </c>
      <c r="E2464" t="s">
        <v>651</v>
      </c>
      <c r="F2464">
        <v>9.11</v>
      </c>
      <c r="G2464" t="s">
        <v>623</v>
      </c>
      <c r="H2464" s="1">
        <v>46216.640682870369</v>
      </c>
      <c r="I2464" t="s">
        <v>640</v>
      </c>
      <c r="J2464">
        <v>9.11</v>
      </c>
      <c r="K2464">
        <v>0</v>
      </c>
    </row>
    <row r="2465" spans="1:11" x14ac:dyDescent="0.3">
      <c r="A2465">
        <v>2464</v>
      </c>
      <c r="B2465">
        <v>134</v>
      </c>
      <c r="C2465">
        <v>2</v>
      </c>
      <c r="D2465">
        <v>2309</v>
      </c>
      <c r="E2465" t="s">
        <v>651</v>
      </c>
      <c r="F2465">
        <v>7.47</v>
      </c>
      <c r="G2465" t="s">
        <v>623</v>
      </c>
      <c r="H2465" s="1">
        <v>46216.644259259258</v>
      </c>
      <c r="I2465" t="s">
        <v>640</v>
      </c>
      <c r="J2465">
        <v>7.47</v>
      </c>
      <c r="K2465">
        <v>0</v>
      </c>
    </row>
    <row r="2466" spans="1:11" x14ac:dyDescent="0.3">
      <c r="A2466">
        <v>2465</v>
      </c>
      <c r="B2466">
        <v>229</v>
      </c>
      <c r="C2466">
        <v>4</v>
      </c>
      <c r="D2466">
        <v>2310</v>
      </c>
      <c r="E2466" t="s">
        <v>657</v>
      </c>
      <c r="F2466">
        <v>85.43</v>
      </c>
      <c r="G2466" t="s">
        <v>623</v>
      </c>
      <c r="H2466" s="1">
        <v>46216.66777777778</v>
      </c>
      <c r="I2466" t="s">
        <v>640</v>
      </c>
      <c r="J2466">
        <v>0</v>
      </c>
      <c r="K2466">
        <v>85.43</v>
      </c>
    </row>
    <row r="2467" spans="1:11" x14ac:dyDescent="0.3">
      <c r="A2467">
        <v>2466</v>
      </c>
      <c r="B2467">
        <v>71</v>
      </c>
      <c r="C2467">
        <v>5</v>
      </c>
      <c r="D2467">
        <v>2311</v>
      </c>
      <c r="E2467" t="s">
        <v>651</v>
      </c>
      <c r="F2467">
        <v>2.37</v>
      </c>
      <c r="G2467" t="s">
        <v>623</v>
      </c>
      <c r="H2467" s="1">
        <v>46216.687094907407</v>
      </c>
      <c r="I2467" t="s">
        <v>640</v>
      </c>
      <c r="J2467">
        <v>2.37</v>
      </c>
      <c r="K2467">
        <v>0</v>
      </c>
    </row>
    <row r="2468" spans="1:11" x14ac:dyDescent="0.3">
      <c r="A2468">
        <v>2467</v>
      </c>
      <c r="B2468">
        <v>289</v>
      </c>
      <c r="C2468">
        <v>5</v>
      </c>
      <c r="D2468">
        <v>2312</v>
      </c>
      <c r="E2468" t="s">
        <v>651</v>
      </c>
      <c r="F2468">
        <v>10.8</v>
      </c>
      <c r="G2468" t="s">
        <v>623</v>
      </c>
      <c r="H2468" s="1">
        <v>46216.761377314811</v>
      </c>
      <c r="I2468" t="s">
        <v>640</v>
      </c>
      <c r="J2468">
        <v>10.8</v>
      </c>
      <c r="K2468">
        <v>0</v>
      </c>
    </row>
    <row r="2469" spans="1:11" x14ac:dyDescent="0.3">
      <c r="A2469">
        <v>2468</v>
      </c>
      <c r="B2469">
        <v>117</v>
      </c>
      <c r="C2469">
        <v>2</v>
      </c>
      <c r="D2469">
        <v>2313</v>
      </c>
      <c r="E2469" t="s">
        <v>651</v>
      </c>
      <c r="F2469">
        <v>16.16</v>
      </c>
      <c r="G2469" t="s">
        <v>623</v>
      </c>
      <c r="H2469" s="1">
        <v>46216.798680555556</v>
      </c>
      <c r="I2469" t="s">
        <v>640</v>
      </c>
      <c r="J2469">
        <v>16.16</v>
      </c>
      <c r="K2469">
        <v>0</v>
      </c>
    </row>
    <row r="2470" spans="1:11" x14ac:dyDescent="0.3">
      <c r="A2470">
        <v>2469</v>
      </c>
      <c r="B2470">
        <v>185</v>
      </c>
      <c r="C2470">
        <v>4</v>
      </c>
      <c r="D2470">
        <v>2314</v>
      </c>
      <c r="E2470" t="s">
        <v>651</v>
      </c>
      <c r="F2470">
        <v>8.09</v>
      </c>
      <c r="G2470" t="s">
        <v>623</v>
      </c>
      <c r="H2470" s="1">
        <v>46217.332037037035</v>
      </c>
      <c r="I2470" t="s">
        <v>640</v>
      </c>
      <c r="J2470">
        <v>8.09</v>
      </c>
      <c r="K2470">
        <v>0</v>
      </c>
    </row>
    <row r="2471" spans="1:11" x14ac:dyDescent="0.3">
      <c r="A2471">
        <v>2470</v>
      </c>
      <c r="B2471">
        <v>134</v>
      </c>
      <c r="C2471">
        <v>4</v>
      </c>
      <c r="D2471">
        <v>2315</v>
      </c>
      <c r="E2471" t="s">
        <v>657</v>
      </c>
      <c r="F2471">
        <v>129.61000000000001</v>
      </c>
      <c r="G2471" t="s">
        <v>623</v>
      </c>
      <c r="H2471" s="1">
        <v>46217.34480324074</v>
      </c>
      <c r="I2471" t="s">
        <v>640</v>
      </c>
      <c r="J2471">
        <v>0</v>
      </c>
      <c r="K2471">
        <v>129.61000000000001</v>
      </c>
    </row>
    <row r="2472" spans="1:11" x14ac:dyDescent="0.3">
      <c r="A2472">
        <v>2471</v>
      </c>
      <c r="B2472">
        <v>121</v>
      </c>
      <c r="C2472">
        <v>5</v>
      </c>
      <c r="D2472">
        <v>2316</v>
      </c>
      <c r="E2472" t="s">
        <v>651</v>
      </c>
      <c r="F2472">
        <v>1.51</v>
      </c>
      <c r="G2472" t="s">
        <v>623</v>
      </c>
      <c r="H2472" s="1">
        <v>46217.376793981479</v>
      </c>
      <c r="I2472" t="s">
        <v>640</v>
      </c>
      <c r="J2472">
        <v>1.51</v>
      </c>
      <c r="K2472">
        <v>0</v>
      </c>
    </row>
    <row r="2473" spans="1:11" x14ac:dyDescent="0.3">
      <c r="A2473">
        <v>2472</v>
      </c>
      <c r="B2473">
        <v>123</v>
      </c>
      <c r="C2473">
        <v>3</v>
      </c>
      <c r="D2473">
        <v>2317</v>
      </c>
      <c r="E2473" t="s">
        <v>651</v>
      </c>
      <c r="F2473">
        <v>4.03</v>
      </c>
      <c r="G2473" t="s">
        <v>623</v>
      </c>
      <c r="H2473" s="1">
        <v>46218.294444444444</v>
      </c>
      <c r="I2473" t="s">
        <v>640</v>
      </c>
      <c r="J2473">
        <v>4.03</v>
      </c>
      <c r="K2473">
        <v>0</v>
      </c>
    </row>
    <row r="2474" spans="1:11" x14ac:dyDescent="0.3">
      <c r="A2474">
        <v>2473</v>
      </c>
      <c r="B2474">
        <v>303</v>
      </c>
      <c r="C2474">
        <v>5</v>
      </c>
      <c r="D2474">
        <v>2318</v>
      </c>
      <c r="E2474" t="s">
        <v>651</v>
      </c>
      <c r="F2474">
        <v>2.42</v>
      </c>
      <c r="G2474" t="s">
        <v>623</v>
      </c>
      <c r="H2474" s="1">
        <v>46218.356747685182</v>
      </c>
      <c r="I2474" t="s">
        <v>640</v>
      </c>
      <c r="J2474">
        <v>2.42</v>
      </c>
      <c r="K2474">
        <v>0</v>
      </c>
    </row>
    <row r="2475" spans="1:11" x14ac:dyDescent="0.3">
      <c r="A2475">
        <v>2474</v>
      </c>
      <c r="B2475">
        <v>249</v>
      </c>
      <c r="C2475">
        <v>3</v>
      </c>
      <c r="D2475">
        <v>2319</v>
      </c>
      <c r="E2475" t="s">
        <v>651</v>
      </c>
      <c r="F2475">
        <v>4.03</v>
      </c>
      <c r="G2475" t="s">
        <v>623</v>
      </c>
      <c r="H2475" s="1">
        <v>46218.390729166669</v>
      </c>
      <c r="I2475" t="s">
        <v>640</v>
      </c>
      <c r="J2475">
        <v>4.03</v>
      </c>
      <c r="K2475">
        <v>0</v>
      </c>
    </row>
    <row r="2476" spans="1:11" x14ac:dyDescent="0.3">
      <c r="A2476">
        <v>2475</v>
      </c>
      <c r="B2476">
        <v>128</v>
      </c>
      <c r="C2476">
        <v>5</v>
      </c>
      <c r="D2476">
        <v>2320</v>
      </c>
      <c r="E2476" t="s">
        <v>651</v>
      </c>
      <c r="F2476">
        <v>5.25</v>
      </c>
      <c r="G2476" t="s">
        <v>623</v>
      </c>
      <c r="H2476" s="1">
        <v>46218.396122685182</v>
      </c>
      <c r="I2476" t="s">
        <v>640</v>
      </c>
      <c r="J2476">
        <v>5.25</v>
      </c>
      <c r="K2476">
        <v>0</v>
      </c>
    </row>
    <row r="2477" spans="1:11" x14ac:dyDescent="0.3">
      <c r="A2477">
        <v>2476</v>
      </c>
      <c r="B2477">
        <v>123</v>
      </c>
      <c r="C2477">
        <v>3</v>
      </c>
      <c r="D2477">
        <v>2317</v>
      </c>
      <c r="E2477" t="s">
        <v>649</v>
      </c>
      <c r="F2477">
        <v>-4.03</v>
      </c>
      <c r="G2477" t="s">
        <v>752</v>
      </c>
      <c r="H2477" s="1">
        <v>46218.419444444444</v>
      </c>
      <c r="I2477" t="s">
        <v>640</v>
      </c>
      <c r="J2477">
        <v>0</v>
      </c>
      <c r="K2477">
        <v>0</v>
      </c>
    </row>
    <row r="2478" spans="1:11" x14ac:dyDescent="0.3">
      <c r="A2478">
        <v>2477</v>
      </c>
      <c r="B2478">
        <v>250</v>
      </c>
      <c r="C2478">
        <v>2</v>
      </c>
      <c r="D2478">
        <v>2321</v>
      </c>
      <c r="E2478" t="s">
        <v>651</v>
      </c>
      <c r="F2478">
        <v>8.44</v>
      </c>
      <c r="G2478" t="s">
        <v>623</v>
      </c>
      <c r="H2478" s="1">
        <v>46218.484479166669</v>
      </c>
      <c r="I2478" t="s">
        <v>640</v>
      </c>
      <c r="J2478">
        <v>8.44</v>
      </c>
      <c r="K2478">
        <v>0</v>
      </c>
    </row>
    <row r="2479" spans="1:11" x14ac:dyDescent="0.3">
      <c r="A2479">
        <v>2478</v>
      </c>
      <c r="B2479">
        <v>250</v>
      </c>
      <c r="C2479">
        <v>5</v>
      </c>
      <c r="D2479">
        <v>2322</v>
      </c>
      <c r="E2479" t="s">
        <v>651</v>
      </c>
      <c r="F2479">
        <v>6.69</v>
      </c>
      <c r="G2479" t="s">
        <v>623</v>
      </c>
      <c r="H2479" s="1">
        <v>46218.520324074074</v>
      </c>
      <c r="I2479" t="s">
        <v>640</v>
      </c>
      <c r="J2479">
        <v>6.69</v>
      </c>
      <c r="K2479">
        <v>0</v>
      </c>
    </row>
    <row r="2480" spans="1:11" x14ac:dyDescent="0.3">
      <c r="A2480">
        <v>2479</v>
      </c>
      <c r="B2480">
        <v>200</v>
      </c>
      <c r="C2480">
        <v>4</v>
      </c>
      <c r="D2480">
        <v>2323</v>
      </c>
      <c r="E2480" t="s">
        <v>651</v>
      </c>
      <c r="F2480">
        <v>2.78</v>
      </c>
      <c r="G2480" t="s">
        <v>623</v>
      </c>
      <c r="H2480" s="1">
        <v>46218.61314814815</v>
      </c>
      <c r="I2480" t="s">
        <v>640</v>
      </c>
      <c r="J2480">
        <v>2.78</v>
      </c>
      <c r="K2480">
        <v>0</v>
      </c>
    </row>
    <row r="2481" spans="1:11" x14ac:dyDescent="0.3">
      <c r="A2481">
        <v>2480</v>
      </c>
      <c r="B2481">
        <v>285</v>
      </c>
      <c r="C2481">
        <v>4</v>
      </c>
      <c r="D2481">
        <v>2324</v>
      </c>
      <c r="E2481" t="s">
        <v>651</v>
      </c>
      <c r="F2481">
        <v>2.69</v>
      </c>
      <c r="G2481" t="s">
        <v>623</v>
      </c>
      <c r="H2481" s="1">
        <v>46218.636863425927</v>
      </c>
      <c r="I2481" t="s">
        <v>640</v>
      </c>
      <c r="J2481">
        <v>2.69</v>
      </c>
      <c r="K2481">
        <v>0</v>
      </c>
    </row>
    <row r="2482" spans="1:11" x14ac:dyDescent="0.3">
      <c r="A2482">
        <v>2481</v>
      </c>
      <c r="B2482">
        <v>259</v>
      </c>
      <c r="C2482">
        <v>5</v>
      </c>
      <c r="D2482">
        <v>2325</v>
      </c>
      <c r="E2482" t="s">
        <v>651</v>
      </c>
      <c r="F2482">
        <v>3.47</v>
      </c>
      <c r="G2482" t="s">
        <v>623</v>
      </c>
      <c r="H2482" s="1">
        <v>46218.691168981481</v>
      </c>
      <c r="I2482" t="s">
        <v>640</v>
      </c>
      <c r="J2482">
        <v>3.47</v>
      </c>
      <c r="K2482">
        <v>0</v>
      </c>
    </row>
    <row r="2483" spans="1:11" x14ac:dyDescent="0.3">
      <c r="A2483">
        <v>2482</v>
      </c>
      <c r="B2483">
        <v>281</v>
      </c>
      <c r="C2483">
        <v>5</v>
      </c>
      <c r="D2483">
        <v>2326</v>
      </c>
      <c r="E2483" t="s">
        <v>651</v>
      </c>
      <c r="F2483">
        <v>26.73</v>
      </c>
      <c r="G2483" t="s">
        <v>623</v>
      </c>
      <c r="H2483" s="1">
        <v>46218.704606481479</v>
      </c>
      <c r="I2483" t="s">
        <v>640</v>
      </c>
      <c r="J2483">
        <v>26.73</v>
      </c>
      <c r="K2483">
        <v>0</v>
      </c>
    </row>
    <row r="2484" spans="1:11" x14ac:dyDescent="0.3">
      <c r="A2484">
        <v>2483</v>
      </c>
      <c r="B2484">
        <v>267</v>
      </c>
      <c r="C2484">
        <v>5</v>
      </c>
      <c r="D2484">
        <v>2327</v>
      </c>
      <c r="E2484" t="s">
        <v>651</v>
      </c>
      <c r="F2484">
        <v>5.31</v>
      </c>
      <c r="G2484" t="s">
        <v>623</v>
      </c>
      <c r="H2484" s="1">
        <v>46218.740474537037</v>
      </c>
      <c r="I2484" t="s">
        <v>640</v>
      </c>
      <c r="J2484">
        <v>5.31</v>
      </c>
      <c r="K2484">
        <v>0</v>
      </c>
    </row>
    <row r="2485" spans="1:11" x14ac:dyDescent="0.3">
      <c r="A2485">
        <v>2484</v>
      </c>
      <c r="B2485">
        <v>128</v>
      </c>
      <c r="C2485">
        <v>5</v>
      </c>
      <c r="D2485">
        <v>2328</v>
      </c>
      <c r="E2485" t="s">
        <v>651</v>
      </c>
      <c r="F2485">
        <v>2.12</v>
      </c>
      <c r="G2485" t="s">
        <v>623</v>
      </c>
      <c r="H2485" s="1">
        <v>46219.299467592595</v>
      </c>
      <c r="I2485" t="s">
        <v>640</v>
      </c>
      <c r="J2485">
        <v>2.12</v>
      </c>
      <c r="K2485">
        <v>0</v>
      </c>
    </row>
    <row r="2486" spans="1:11" x14ac:dyDescent="0.3">
      <c r="A2486">
        <v>2485</v>
      </c>
      <c r="B2486">
        <v>137</v>
      </c>
      <c r="C2486">
        <v>3</v>
      </c>
      <c r="D2486">
        <v>2329</v>
      </c>
      <c r="E2486" t="s">
        <v>651</v>
      </c>
      <c r="F2486">
        <v>3.03</v>
      </c>
      <c r="G2486" t="s">
        <v>623</v>
      </c>
      <c r="H2486" s="1">
        <v>46219.348090277781</v>
      </c>
      <c r="I2486" t="s">
        <v>640</v>
      </c>
      <c r="J2486">
        <v>3.03</v>
      </c>
      <c r="K2486">
        <v>0</v>
      </c>
    </row>
    <row r="2487" spans="1:11" x14ac:dyDescent="0.3">
      <c r="A2487">
        <v>2486</v>
      </c>
      <c r="B2487">
        <v>18</v>
      </c>
      <c r="C2487">
        <v>4</v>
      </c>
      <c r="D2487">
        <v>2330</v>
      </c>
      <c r="E2487" t="s">
        <v>651</v>
      </c>
      <c r="F2487">
        <v>13.14</v>
      </c>
      <c r="G2487" t="s">
        <v>623</v>
      </c>
      <c r="H2487" s="1">
        <v>46219.382708333331</v>
      </c>
      <c r="I2487" t="s">
        <v>640</v>
      </c>
      <c r="J2487">
        <v>13.14</v>
      </c>
      <c r="K2487">
        <v>0</v>
      </c>
    </row>
    <row r="2488" spans="1:11" x14ac:dyDescent="0.3">
      <c r="A2488">
        <v>2487</v>
      </c>
      <c r="B2488">
        <v>229</v>
      </c>
      <c r="C2488">
        <v>4</v>
      </c>
      <c r="D2488">
        <v>2331</v>
      </c>
      <c r="E2488" t="s">
        <v>657</v>
      </c>
      <c r="F2488">
        <v>40.119999999999997</v>
      </c>
      <c r="G2488" t="s">
        <v>623</v>
      </c>
      <c r="H2488" s="1">
        <v>46219.396018518521</v>
      </c>
      <c r="I2488" t="s">
        <v>640</v>
      </c>
      <c r="J2488">
        <v>0</v>
      </c>
      <c r="K2488">
        <v>40.119999999999997</v>
      </c>
    </row>
    <row r="2489" spans="1:11" x14ac:dyDescent="0.3">
      <c r="A2489">
        <v>2488</v>
      </c>
      <c r="B2489">
        <v>98</v>
      </c>
      <c r="C2489">
        <v>5</v>
      </c>
      <c r="D2489">
        <v>2332</v>
      </c>
      <c r="E2489" t="s">
        <v>651</v>
      </c>
      <c r="F2489">
        <v>6.75</v>
      </c>
      <c r="G2489" t="s">
        <v>623</v>
      </c>
      <c r="H2489" s="1">
        <v>46219.569490740738</v>
      </c>
      <c r="I2489" t="s">
        <v>640</v>
      </c>
      <c r="J2489">
        <v>6.75</v>
      </c>
      <c r="K2489">
        <v>0</v>
      </c>
    </row>
    <row r="2490" spans="1:11" x14ac:dyDescent="0.3">
      <c r="A2490">
        <v>2489</v>
      </c>
      <c r="B2490">
        <v>250</v>
      </c>
      <c r="C2490">
        <v>2</v>
      </c>
      <c r="D2490">
        <v>2333</v>
      </c>
      <c r="E2490" t="s">
        <v>651</v>
      </c>
      <c r="F2490">
        <v>5.16</v>
      </c>
      <c r="G2490" t="s">
        <v>623</v>
      </c>
      <c r="H2490" s="1">
        <v>46219.690717592595</v>
      </c>
      <c r="I2490" t="s">
        <v>640</v>
      </c>
      <c r="J2490">
        <v>5.16</v>
      </c>
      <c r="K2490">
        <v>0</v>
      </c>
    </row>
    <row r="2491" spans="1:11" x14ac:dyDescent="0.3">
      <c r="A2491">
        <v>2490</v>
      </c>
      <c r="B2491">
        <v>128</v>
      </c>
      <c r="C2491">
        <v>4</v>
      </c>
      <c r="D2491">
        <v>2334</v>
      </c>
      <c r="E2491" t="s">
        <v>651</v>
      </c>
      <c r="F2491">
        <v>2.02</v>
      </c>
      <c r="G2491" t="s">
        <v>623</v>
      </c>
      <c r="H2491" s="1">
        <v>46219.707812499997</v>
      </c>
      <c r="I2491" t="s">
        <v>640</v>
      </c>
      <c r="J2491">
        <v>2.02</v>
      </c>
      <c r="K2491">
        <v>0</v>
      </c>
    </row>
    <row r="2492" spans="1:11" x14ac:dyDescent="0.3">
      <c r="A2492">
        <v>2491</v>
      </c>
      <c r="B2492">
        <v>243</v>
      </c>
      <c r="C2492">
        <v>5</v>
      </c>
      <c r="D2492">
        <v>2335</v>
      </c>
      <c r="E2492" t="s">
        <v>651</v>
      </c>
      <c r="F2492">
        <v>5.81</v>
      </c>
      <c r="G2492" t="s">
        <v>623</v>
      </c>
      <c r="H2492" s="1">
        <v>46220.369016203702</v>
      </c>
      <c r="I2492" t="s">
        <v>640</v>
      </c>
      <c r="J2492">
        <v>5.81</v>
      </c>
      <c r="K2492">
        <v>0</v>
      </c>
    </row>
    <row r="2493" spans="1:11" x14ac:dyDescent="0.3">
      <c r="A2493">
        <v>2492</v>
      </c>
      <c r="B2493">
        <v>137</v>
      </c>
      <c r="C2493">
        <v>5</v>
      </c>
      <c r="D2493">
        <v>2336</v>
      </c>
      <c r="E2493" t="s">
        <v>651</v>
      </c>
      <c r="F2493">
        <v>3.31</v>
      </c>
      <c r="G2493" t="s">
        <v>623</v>
      </c>
      <c r="H2493" s="1">
        <v>46220.505370370367</v>
      </c>
      <c r="I2493" t="s">
        <v>640</v>
      </c>
      <c r="J2493">
        <v>3.31</v>
      </c>
      <c r="K2493">
        <v>0</v>
      </c>
    </row>
    <row r="2494" spans="1:11" x14ac:dyDescent="0.3">
      <c r="A2494">
        <v>2493</v>
      </c>
      <c r="B2494">
        <v>134</v>
      </c>
      <c r="C2494">
        <v>4</v>
      </c>
      <c r="D2494">
        <v>2337</v>
      </c>
      <c r="E2494" t="s">
        <v>651</v>
      </c>
      <c r="F2494">
        <v>6.01</v>
      </c>
      <c r="G2494" t="s">
        <v>623</v>
      </c>
      <c r="H2494" s="1">
        <v>46220.536053240743</v>
      </c>
      <c r="I2494" t="s">
        <v>640</v>
      </c>
      <c r="J2494">
        <v>6.01</v>
      </c>
      <c r="K2494">
        <v>0</v>
      </c>
    </row>
    <row r="2495" spans="1:11" x14ac:dyDescent="0.3">
      <c r="A2495">
        <v>2494</v>
      </c>
      <c r="B2495">
        <v>48</v>
      </c>
      <c r="C2495">
        <v>2</v>
      </c>
      <c r="D2495">
        <v>2338</v>
      </c>
      <c r="E2495" t="s">
        <v>651</v>
      </c>
      <c r="F2495">
        <v>4.6500000000000004</v>
      </c>
      <c r="G2495" t="s">
        <v>623</v>
      </c>
      <c r="H2495" s="1">
        <v>46220.668194444443</v>
      </c>
      <c r="I2495" t="s">
        <v>640</v>
      </c>
      <c r="J2495">
        <v>4.6500000000000004</v>
      </c>
      <c r="K2495">
        <v>0</v>
      </c>
    </row>
    <row r="2496" spans="1:11" x14ac:dyDescent="0.3">
      <c r="A2496">
        <v>2495</v>
      </c>
      <c r="B2496">
        <v>18</v>
      </c>
      <c r="C2496">
        <v>5</v>
      </c>
      <c r="D2496">
        <v>2339</v>
      </c>
      <c r="E2496" t="s">
        <v>651</v>
      </c>
      <c r="F2496">
        <v>10.3</v>
      </c>
      <c r="G2496" t="s">
        <v>623</v>
      </c>
      <c r="H2496" s="1">
        <v>46220.767789351848</v>
      </c>
      <c r="I2496" t="s">
        <v>640</v>
      </c>
      <c r="J2496">
        <v>10.3</v>
      </c>
      <c r="K2496">
        <v>0</v>
      </c>
    </row>
    <row r="2497" spans="1:11" x14ac:dyDescent="0.3">
      <c r="A2497">
        <v>2496</v>
      </c>
      <c r="B2497">
        <v>128</v>
      </c>
      <c r="C2497">
        <v>4</v>
      </c>
      <c r="D2497">
        <v>2340</v>
      </c>
      <c r="E2497" t="s">
        <v>651</v>
      </c>
      <c r="F2497">
        <v>3.55</v>
      </c>
      <c r="G2497" t="s">
        <v>623</v>
      </c>
      <c r="H2497" s="1">
        <v>46220.811574074076</v>
      </c>
      <c r="I2497" t="s">
        <v>640</v>
      </c>
      <c r="J2497">
        <v>3.55</v>
      </c>
      <c r="K2497">
        <v>0</v>
      </c>
    </row>
    <row r="2498" spans="1:11" x14ac:dyDescent="0.3">
      <c r="A2498">
        <v>2497</v>
      </c>
      <c r="B2498">
        <v>133</v>
      </c>
      <c r="C2498">
        <v>5</v>
      </c>
      <c r="D2498">
        <v>2341</v>
      </c>
      <c r="E2498" t="s">
        <v>651</v>
      </c>
      <c r="F2498">
        <v>7.9</v>
      </c>
      <c r="G2498" t="s">
        <v>623</v>
      </c>
      <c r="H2498" s="1">
        <v>46221.339861111112</v>
      </c>
      <c r="I2498" t="s">
        <v>640</v>
      </c>
      <c r="J2498">
        <v>7.9</v>
      </c>
      <c r="K2498">
        <v>0</v>
      </c>
    </row>
    <row r="2499" spans="1:11" x14ac:dyDescent="0.3">
      <c r="A2499">
        <v>2498</v>
      </c>
      <c r="B2499">
        <v>227</v>
      </c>
      <c r="C2499">
        <v>2</v>
      </c>
      <c r="D2499">
        <v>2342</v>
      </c>
      <c r="E2499" t="s">
        <v>651</v>
      </c>
      <c r="F2499">
        <v>3.04</v>
      </c>
      <c r="G2499" t="s">
        <v>623</v>
      </c>
      <c r="H2499" s="1">
        <v>46221.423113425924</v>
      </c>
      <c r="I2499" t="s">
        <v>640</v>
      </c>
      <c r="J2499">
        <v>3.04</v>
      </c>
      <c r="K2499">
        <v>0</v>
      </c>
    </row>
    <row r="2500" spans="1:11" x14ac:dyDescent="0.3">
      <c r="A2500">
        <v>2499</v>
      </c>
      <c r="B2500">
        <v>43</v>
      </c>
      <c r="C2500">
        <v>3</v>
      </c>
      <c r="D2500">
        <v>2343</v>
      </c>
      <c r="E2500" t="s">
        <v>651</v>
      </c>
      <c r="F2500">
        <v>7.98</v>
      </c>
      <c r="G2500" t="s">
        <v>623</v>
      </c>
      <c r="H2500" s="1">
        <v>46221.676898148151</v>
      </c>
      <c r="I2500" t="s">
        <v>640</v>
      </c>
      <c r="J2500">
        <v>7.98</v>
      </c>
      <c r="K2500">
        <v>0</v>
      </c>
    </row>
    <row r="2501" spans="1:11" x14ac:dyDescent="0.3">
      <c r="A2501">
        <v>2500</v>
      </c>
      <c r="B2501">
        <v>123</v>
      </c>
      <c r="C2501">
        <v>5</v>
      </c>
      <c r="D2501">
        <v>2344</v>
      </c>
      <c r="E2501" t="s">
        <v>651</v>
      </c>
      <c r="F2501">
        <v>2.88</v>
      </c>
      <c r="G2501" t="s">
        <v>623</v>
      </c>
      <c r="H2501" s="1">
        <v>46221.740567129629</v>
      </c>
      <c r="I2501" t="s">
        <v>640</v>
      </c>
      <c r="J2501">
        <v>2.88</v>
      </c>
      <c r="K2501">
        <v>0</v>
      </c>
    </row>
    <row r="2502" spans="1:11" x14ac:dyDescent="0.3">
      <c r="A2502">
        <v>2501</v>
      </c>
      <c r="B2502">
        <v>263</v>
      </c>
      <c r="C2502">
        <v>4</v>
      </c>
      <c r="D2502">
        <v>2345</v>
      </c>
      <c r="E2502" t="s">
        <v>651</v>
      </c>
      <c r="F2502">
        <v>1.28</v>
      </c>
      <c r="G2502" t="s">
        <v>623</v>
      </c>
      <c r="H2502" s="1">
        <v>46222.365347222221</v>
      </c>
      <c r="I2502" t="s">
        <v>640</v>
      </c>
      <c r="J2502">
        <v>1.28</v>
      </c>
      <c r="K2502">
        <v>0</v>
      </c>
    </row>
    <row r="2503" spans="1:11" x14ac:dyDescent="0.3">
      <c r="A2503">
        <v>2502</v>
      </c>
      <c r="B2503">
        <v>134</v>
      </c>
      <c r="C2503">
        <v>3</v>
      </c>
      <c r="D2503">
        <v>2346</v>
      </c>
      <c r="E2503" t="s">
        <v>651</v>
      </c>
      <c r="F2503">
        <v>11.34</v>
      </c>
      <c r="G2503" t="s">
        <v>623</v>
      </c>
      <c r="H2503" s="1">
        <v>46222.37127314815</v>
      </c>
      <c r="I2503" t="s">
        <v>640</v>
      </c>
      <c r="J2503">
        <v>11.34</v>
      </c>
      <c r="K2503">
        <v>0</v>
      </c>
    </row>
    <row r="2504" spans="1:11" x14ac:dyDescent="0.3">
      <c r="A2504">
        <v>2503</v>
      </c>
      <c r="B2504">
        <v>197</v>
      </c>
      <c r="C2504">
        <v>4</v>
      </c>
      <c r="D2504">
        <v>2347</v>
      </c>
      <c r="E2504" t="s">
        <v>651</v>
      </c>
      <c r="F2504">
        <v>8.68</v>
      </c>
      <c r="G2504" t="s">
        <v>623</v>
      </c>
      <c r="H2504" s="1">
        <v>46222.375462962962</v>
      </c>
      <c r="I2504" t="s">
        <v>640</v>
      </c>
      <c r="J2504">
        <v>8.68</v>
      </c>
      <c r="K2504">
        <v>0</v>
      </c>
    </row>
    <row r="2505" spans="1:11" x14ac:dyDescent="0.3">
      <c r="A2505">
        <v>2504</v>
      </c>
      <c r="B2505">
        <v>128</v>
      </c>
      <c r="C2505">
        <v>3</v>
      </c>
      <c r="D2505">
        <v>2348</v>
      </c>
      <c r="E2505" t="s">
        <v>651</v>
      </c>
      <c r="F2505">
        <v>3.83</v>
      </c>
      <c r="G2505" t="s">
        <v>623</v>
      </c>
      <c r="H2505" s="1">
        <v>46223.383935185186</v>
      </c>
      <c r="I2505" t="s">
        <v>640</v>
      </c>
      <c r="J2505">
        <v>3.83</v>
      </c>
      <c r="K2505">
        <v>0</v>
      </c>
    </row>
    <row r="2506" spans="1:11" x14ac:dyDescent="0.3">
      <c r="A2506">
        <v>2505</v>
      </c>
      <c r="B2506">
        <v>128</v>
      </c>
      <c r="C2506">
        <v>5</v>
      </c>
      <c r="D2506">
        <v>2349</v>
      </c>
      <c r="E2506" t="s">
        <v>651</v>
      </c>
      <c r="F2506">
        <v>3.96</v>
      </c>
      <c r="G2506" t="s">
        <v>623</v>
      </c>
      <c r="H2506" s="1">
        <v>46223.442037037035</v>
      </c>
      <c r="I2506" t="s">
        <v>640</v>
      </c>
      <c r="J2506">
        <v>3.96</v>
      </c>
      <c r="K2506">
        <v>0</v>
      </c>
    </row>
    <row r="2507" spans="1:11" x14ac:dyDescent="0.3">
      <c r="A2507">
        <v>2506</v>
      </c>
      <c r="B2507">
        <v>136</v>
      </c>
      <c r="C2507">
        <v>4</v>
      </c>
      <c r="D2507">
        <v>2350</v>
      </c>
      <c r="E2507" t="s">
        <v>651</v>
      </c>
      <c r="F2507">
        <v>5.69</v>
      </c>
      <c r="G2507" t="s">
        <v>623</v>
      </c>
      <c r="H2507" s="1">
        <v>46223.4453125</v>
      </c>
      <c r="I2507" t="s">
        <v>640</v>
      </c>
      <c r="J2507">
        <v>5.69</v>
      </c>
      <c r="K2507">
        <v>0</v>
      </c>
    </row>
    <row r="2508" spans="1:11" x14ac:dyDescent="0.3">
      <c r="A2508">
        <v>2507</v>
      </c>
      <c r="B2508">
        <v>224</v>
      </c>
      <c r="C2508">
        <v>5</v>
      </c>
      <c r="D2508">
        <v>2351</v>
      </c>
      <c r="E2508" t="s">
        <v>651</v>
      </c>
      <c r="F2508">
        <v>5.18</v>
      </c>
      <c r="G2508" t="s">
        <v>623</v>
      </c>
      <c r="H2508" s="1">
        <v>46223.490960648145</v>
      </c>
      <c r="I2508" t="s">
        <v>640</v>
      </c>
      <c r="J2508">
        <v>5.18</v>
      </c>
      <c r="K2508">
        <v>0</v>
      </c>
    </row>
    <row r="2509" spans="1:11" x14ac:dyDescent="0.3">
      <c r="A2509">
        <v>2508</v>
      </c>
      <c r="B2509">
        <v>137</v>
      </c>
      <c r="C2509">
        <v>5</v>
      </c>
      <c r="D2509">
        <v>2352</v>
      </c>
      <c r="E2509" t="s">
        <v>651</v>
      </c>
      <c r="F2509">
        <v>3.51</v>
      </c>
      <c r="G2509" t="s">
        <v>623</v>
      </c>
      <c r="H2509" s="1">
        <v>46223.56108796296</v>
      </c>
      <c r="I2509" t="s">
        <v>640</v>
      </c>
      <c r="J2509">
        <v>3.51</v>
      </c>
      <c r="K2509">
        <v>0</v>
      </c>
    </row>
    <row r="2510" spans="1:11" x14ac:dyDescent="0.3">
      <c r="A2510">
        <v>2509</v>
      </c>
      <c r="B2510">
        <v>134</v>
      </c>
      <c r="C2510">
        <v>5</v>
      </c>
      <c r="D2510">
        <v>2353</v>
      </c>
      <c r="E2510" t="s">
        <v>651</v>
      </c>
      <c r="F2510">
        <v>11.53</v>
      </c>
      <c r="G2510" t="s">
        <v>623</v>
      </c>
      <c r="H2510" s="1">
        <v>46223.637002314812</v>
      </c>
      <c r="I2510" t="s">
        <v>640</v>
      </c>
      <c r="J2510">
        <v>11.53</v>
      </c>
      <c r="K2510">
        <v>0</v>
      </c>
    </row>
    <row r="2511" spans="1:11" x14ac:dyDescent="0.3">
      <c r="A2511">
        <v>2510</v>
      </c>
      <c r="B2511">
        <v>134</v>
      </c>
      <c r="C2511">
        <v>2</v>
      </c>
      <c r="D2511">
        <v>2354</v>
      </c>
      <c r="E2511" t="s">
        <v>651</v>
      </c>
      <c r="F2511">
        <v>7.43</v>
      </c>
      <c r="G2511" t="s">
        <v>623</v>
      </c>
      <c r="H2511" s="1">
        <v>46224.426516203705</v>
      </c>
      <c r="I2511" t="s">
        <v>640</v>
      </c>
      <c r="J2511">
        <v>7.43</v>
      </c>
      <c r="K2511">
        <v>0</v>
      </c>
    </row>
    <row r="2512" spans="1:11" x14ac:dyDescent="0.3">
      <c r="A2512">
        <v>2511</v>
      </c>
      <c r="B2512">
        <v>170</v>
      </c>
      <c r="C2512">
        <v>4</v>
      </c>
      <c r="D2512">
        <v>2355</v>
      </c>
      <c r="E2512" t="s">
        <v>651</v>
      </c>
      <c r="F2512">
        <v>21.6</v>
      </c>
      <c r="G2512" t="s">
        <v>623</v>
      </c>
      <c r="H2512" s="1">
        <v>46224.427615740744</v>
      </c>
      <c r="I2512" t="s">
        <v>640</v>
      </c>
      <c r="J2512">
        <v>21.6</v>
      </c>
      <c r="K2512">
        <v>0</v>
      </c>
    </row>
    <row r="2513" spans="1:11" x14ac:dyDescent="0.3">
      <c r="A2513">
        <v>2512</v>
      </c>
      <c r="B2513">
        <v>106</v>
      </c>
      <c r="C2513">
        <v>4</v>
      </c>
      <c r="D2513">
        <v>2356</v>
      </c>
      <c r="E2513" t="s">
        <v>651</v>
      </c>
      <c r="F2513">
        <v>8.82</v>
      </c>
      <c r="G2513" t="s">
        <v>623</v>
      </c>
      <c r="H2513" s="1">
        <v>46224.447685185187</v>
      </c>
      <c r="I2513" t="s">
        <v>640</v>
      </c>
      <c r="J2513">
        <v>8.82</v>
      </c>
      <c r="K2513">
        <v>0</v>
      </c>
    </row>
    <row r="2514" spans="1:11" x14ac:dyDescent="0.3">
      <c r="A2514">
        <v>2513</v>
      </c>
      <c r="B2514">
        <v>150</v>
      </c>
      <c r="C2514">
        <v>3</v>
      </c>
      <c r="D2514">
        <v>2357</v>
      </c>
      <c r="E2514" t="s">
        <v>651</v>
      </c>
      <c r="F2514">
        <v>8.2200000000000006</v>
      </c>
      <c r="G2514" t="s">
        <v>623</v>
      </c>
      <c r="H2514" s="1">
        <v>46224.4762962963</v>
      </c>
      <c r="I2514" t="s">
        <v>640</v>
      </c>
      <c r="J2514">
        <v>8.2200000000000006</v>
      </c>
      <c r="K2514">
        <v>0</v>
      </c>
    </row>
    <row r="2515" spans="1:11" x14ac:dyDescent="0.3">
      <c r="A2515">
        <v>2514</v>
      </c>
      <c r="B2515">
        <v>250</v>
      </c>
      <c r="C2515">
        <v>4</v>
      </c>
      <c r="D2515">
        <v>2358</v>
      </c>
      <c r="E2515" t="s">
        <v>651</v>
      </c>
      <c r="F2515">
        <v>5.92</v>
      </c>
      <c r="G2515" t="s">
        <v>623</v>
      </c>
      <c r="H2515" s="1">
        <v>46224.505543981482</v>
      </c>
      <c r="I2515" t="s">
        <v>640</v>
      </c>
      <c r="J2515">
        <v>5.92</v>
      </c>
      <c r="K2515">
        <v>0</v>
      </c>
    </row>
    <row r="2516" spans="1:11" x14ac:dyDescent="0.3">
      <c r="A2516">
        <v>2515</v>
      </c>
      <c r="B2516">
        <v>184</v>
      </c>
      <c r="C2516">
        <v>2</v>
      </c>
      <c r="D2516">
        <v>2359</v>
      </c>
      <c r="E2516" t="s">
        <v>651</v>
      </c>
      <c r="F2516">
        <v>5.32</v>
      </c>
      <c r="G2516" t="s">
        <v>623</v>
      </c>
      <c r="H2516" s="1">
        <v>46224.554120370369</v>
      </c>
      <c r="I2516" t="s">
        <v>640</v>
      </c>
      <c r="J2516">
        <v>5.32</v>
      </c>
      <c r="K2516">
        <v>0</v>
      </c>
    </row>
    <row r="2517" spans="1:11" x14ac:dyDescent="0.3">
      <c r="A2517">
        <v>2516</v>
      </c>
      <c r="B2517">
        <v>128</v>
      </c>
      <c r="C2517">
        <v>5</v>
      </c>
      <c r="D2517">
        <v>2349</v>
      </c>
      <c r="E2517" t="s">
        <v>649</v>
      </c>
      <c r="F2517">
        <v>-3.96</v>
      </c>
      <c r="G2517" t="s">
        <v>753</v>
      </c>
      <c r="H2517" s="1">
        <v>46224.608703703707</v>
      </c>
      <c r="I2517" t="s">
        <v>640</v>
      </c>
      <c r="J2517">
        <v>0</v>
      </c>
      <c r="K2517">
        <v>0</v>
      </c>
    </row>
    <row r="2518" spans="1:11" x14ac:dyDescent="0.3">
      <c r="A2518">
        <v>2517</v>
      </c>
      <c r="B2518">
        <v>250</v>
      </c>
      <c r="C2518">
        <v>4</v>
      </c>
      <c r="D2518">
        <v>2360</v>
      </c>
      <c r="E2518" t="s">
        <v>651</v>
      </c>
      <c r="F2518">
        <v>17.75</v>
      </c>
      <c r="G2518" t="s">
        <v>623</v>
      </c>
      <c r="H2518" s="1">
        <v>46224.634305555555</v>
      </c>
      <c r="I2518" t="s">
        <v>640</v>
      </c>
      <c r="J2518">
        <v>17.75</v>
      </c>
      <c r="K2518">
        <v>0</v>
      </c>
    </row>
    <row r="2519" spans="1:11" x14ac:dyDescent="0.3">
      <c r="A2519">
        <v>2518</v>
      </c>
      <c r="B2519">
        <v>261</v>
      </c>
      <c r="C2519">
        <v>3</v>
      </c>
      <c r="D2519">
        <v>2361</v>
      </c>
      <c r="E2519" t="s">
        <v>651</v>
      </c>
      <c r="F2519">
        <v>7.56</v>
      </c>
      <c r="G2519" t="s">
        <v>623</v>
      </c>
      <c r="H2519" s="1">
        <v>46224.759456018517</v>
      </c>
      <c r="I2519" t="s">
        <v>640</v>
      </c>
      <c r="J2519">
        <v>7.56</v>
      </c>
      <c r="K2519">
        <v>0</v>
      </c>
    </row>
    <row r="2520" spans="1:11" x14ac:dyDescent="0.3">
      <c r="A2520">
        <v>2519</v>
      </c>
      <c r="B2520">
        <v>134</v>
      </c>
      <c r="C2520">
        <v>3</v>
      </c>
      <c r="D2520">
        <v>2362</v>
      </c>
      <c r="E2520" t="s">
        <v>651</v>
      </c>
      <c r="F2520">
        <v>10.4</v>
      </c>
      <c r="G2520" t="s">
        <v>623</v>
      </c>
      <c r="H2520" s="1">
        <v>46224.768113425926</v>
      </c>
      <c r="I2520" t="s">
        <v>640</v>
      </c>
      <c r="J2520">
        <v>10.4</v>
      </c>
      <c r="K2520">
        <v>0</v>
      </c>
    </row>
    <row r="2521" spans="1:11" x14ac:dyDescent="0.3">
      <c r="A2521">
        <v>2520</v>
      </c>
      <c r="B2521">
        <v>128</v>
      </c>
      <c r="C2521">
        <v>2</v>
      </c>
      <c r="D2521">
        <v>2363</v>
      </c>
      <c r="E2521" t="s">
        <v>651</v>
      </c>
      <c r="F2521">
        <v>2.4500000000000002</v>
      </c>
      <c r="G2521" t="s">
        <v>623</v>
      </c>
      <c r="H2521" s="1">
        <v>46225.399004629631</v>
      </c>
      <c r="I2521" t="s">
        <v>640</v>
      </c>
      <c r="J2521">
        <v>2.4500000000000002</v>
      </c>
      <c r="K2521">
        <v>0</v>
      </c>
    </row>
    <row r="2522" spans="1:11" x14ac:dyDescent="0.3">
      <c r="A2522">
        <v>2521</v>
      </c>
      <c r="B2522">
        <v>230</v>
      </c>
      <c r="C2522">
        <v>5</v>
      </c>
      <c r="D2522">
        <v>2364</v>
      </c>
      <c r="E2522" t="s">
        <v>651</v>
      </c>
      <c r="F2522">
        <v>27.15</v>
      </c>
      <c r="G2522" t="s">
        <v>623</v>
      </c>
      <c r="H2522" s="1">
        <v>46225.52652777778</v>
      </c>
      <c r="I2522" t="s">
        <v>640</v>
      </c>
      <c r="J2522">
        <v>27.15</v>
      </c>
      <c r="K2522">
        <v>0</v>
      </c>
    </row>
    <row r="2523" spans="1:11" x14ac:dyDescent="0.3">
      <c r="A2523">
        <v>2522</v>
      </c>
      <c r="B2523">
        <v>106</v>
      </c>
      <c r="C2523">
        <v>4</v>
      </c>
      <c r="D2523">
        <v>2365</v>
      </c>
      <c r="E2523" t="s">
        <v>651</v>
      </c>
      <c r="F2523">
        <v>13.99</v>
      </c>
      <c r="G2523" t="s">
        <v>623</v>
      </c>
      <c r="H2523" s="1">
        <v>46225.540069444447</v>
      </c>
      <c r="I2523" t="s">
        <v>640</v>
      </c>
      <c r="J2523">
        <v>13.99</v>
      </c>
      <c r="K2523">
        <v>0</v>
      </c>
    </row>
    <row r="2524" spans="1:11" x14ac:dyDescent="0.3">
      <c r="A2524">
        <v>2523</v>
      </c>
      <c r="B2524">
        <v>134</v>
      </c>
      <c r="C2524">
        <v>5</v>
      </c>
      <c r="D2524">
        <v>2366</v>
      </c>
      <c r="E2524" t="s">
        <v>651</v>
      </c>
      <c r="F2524">
        <v>9</v>
      </c>
      <c r="G2524" t="s">
        <v>623</v>
      </c>
      <c r="H2524" s="1">
        <v>46225.626481481479</v>
      </c>
      <c r="I2524" t="s">
        <v>640</v>
      </c>
      <c r="J2524">
        <v>9</v>
      </c>
      <c r="K2524">
        <v>0</v>
      </c>
    </row>
    <row r="2525" spans="1:11" x14ac:dyDescent="0.3">
      <c r="A2525">
        <v>2524</v>
      </c>
      <c r="B2525">
        <v>39</v>
      </c>
      <c r="C2525">
        <v>2</v>
      </c>
      <c r="D2525">
        <v>2367</v>
      </c>
      <c r="E2525" t="s">
        <v>651</v>
      </c>
      <c r="F2525">
        <v>18.73</v>
      </c>
      <c r="G2525" t="s">
        <v>623</v>
      </c>
      <c r="H2525" s="1">
        <v>46225.666261574072</v>
      </c>
      <c r="I2525" t="s">
        <v>640</v>
      </c>
      <c r="J2525">
        <v>18.73</v>
      </c>
      <c r="K2525">
        <v>0</v>
      </c>
    </row>
    <row r="2526" spans="1:11" x14ac:dyDescent="0.3">
      <c r="A2526">
        <v>2525</v>
      </c>
      <c r="B2526">
        <v>250</v>
      </c>
      <c r="C2526">
        <v>5</v>
      </c>
      <c r="D2526">
        <v>2368</v>
      </c>
      <c r="E2526" t="s">
        <v>651</v>
      </c>
      <c r="F2526">
        <v>8.4499999999999993</v>
      </c>
      <c r="G2526" t="s">
        <v>623</v>
      </c>
      <c r="H2526" s="1">
        <v>46225.747476851851</v>
      </c>
      <c r="I2526" t="s">
        <v>640</v>
      </c>
      <c r="J2526">
        <v>8.4499999999999993</v>
      </c>
      <c r="K2526">
        <v>0</v>
      </c>
    </row>
    <row r="2527" spans="1:11" x14ac:dyDescent="0.3">
      <c r="A2527">
        <v>2526</v>
      </c>
      <c r="B2527">
        <v>66</v>
      </c>
      <c r="C2527">
        <v>4</v>
      </c>
      <c r="D2527">
        <v>2369</v>
      </c>
      <c r="E2527" t="s">
        <v>651</v>
      </c>
      <c r="F2527">
        <v>10.35</v>
      </c>
      <c r="G2527" t="s">
        <v>623</v>
      </c>
      <c r="H2527" s="1">
        <v>46225.821712962963</v>
      </c>
      <c r="I2527" t="s">
        <v>640</v>
      </c>
      <c r="J2527">
        <v>10.35</v>
      </c>
      <c r="K2527">
        <v>0</v>
      </c>
    </row>
    <row r="2528" spans="1:11" x14ac:dyDescent="0.3">
      <c r="A2528">
        <v>2527</v>
      </c>
      <c r="B2528">
        <v>121</v>
      </c>
      <c r="C2528">
        <v>5</v>
      </c>
      <c r="D2528">
        <v>2370</v>
      </c>
      <c r="E2528" t="s">
        <v>651</v>
      </c>
      <c r="F2528">
        <v>2.2999999999999998</v>
      </c>
      <c r="G2528" t="s">
        <v>623</v>
      </c>
      <c r="H2528" s="1">
        <v>46226.428206018521</v>
      </c>
      <c r="I2528" t="s">
        <v>640</v>
      </c>
      <c r="J2528">
        <v>2.2999999999999998</v>
      </c>
      <c r="K2528">
        <v>0</v>
      </c>
    </row>
    <row r="2529" spans="1:11" x14ac:dyDescent="0.3">
      <c r="A2529">
        <v>2528</v>
      </c>
      <c r="B2529">
        <v>128</v>
      </c>
      <c r="C2529">
        <v>4</v>
      </c>
      <c r="D2529">
        <v>2371</v>
      </c>
      <c r="E2529" t="s">
        <v>651</v>
      </c>
      <c r="F2529">
        <v>2.4700000000000002</v>
      </c>
      <c r="G2529" t="s">
        <v>623</v>
      </c>
      <c r="H2529" s="1">
        <v>46226.567245370374</v>
      </c>
      <c r="I2529" t="s">
        <v>640</v>
      </c>
      <c r="J2529">
        <v>2.4700000000000002</v>
      </c>
      <c r="K2529">
        <v>0</v>
      </c>
    </row>
    <row r="2530" spans="1:11" x14ac:dyDescent="0.3">
      <c r="A2530">
        <v>2529</v>
      </c>
      <c r="B2530">
        <v>233</v>
      </c>
      <c r="C2530">
        <v>3</v>
      </c>
      <c r="D2530">
        <v>2372</v>
      </c>
      <c r="E2530" t="s">
        <v>651</v>
      </c>
      <c r="F2530">
        <v>9.5</v>
      </c>
      <c r="G2530" t="s">
        <v>623</v>
      </c>
      <c r="H2530" s="1">
        <v>46227.293483796297</v>
      </c>
      <c r="I2530" t="s">
        <v>640</v>
      </c>
      <c r="J2530">
        <v>9.5</v>
      </c>
      <c r="K2530">
        <v>0</v>
      </c>
    </row>
    <row r="2531" spans="1:11" x14ac:dyDescent="0.3">
      <c r="A2531">
        <v>2530</v>
      </c>
      <c r="B2531">
        <v>137</v>
      </c>
      <c r="C2531">
        <v>5</v>
      </c>
      <c r="D2531">
        <v>2373</v>
      </c>
      <c r="E2531" t="s">
        <v>651</v>
      </c>
      <c r="F2531">
        <v>2.2799999999999998</v>
      </c>
      <c r="G2531" t="s">
        <v>623</v>
      </c>
      <c r="H2531" s="1">
        <v>46227.393136574072</v>
      </c>
      <c r="I2531" t="s">
        <v>640</v>
      </c>
      <c r="J2531">
        <v>2.2799999999999998</v>
      </c>
      <c r="K2531">
        <v>0</v>
      </c>
    </row>
    <row r="2532" spans="1:11" x14ac:dyDescent="0.3">
      <c r="A2532">
        <v>2531</v>
      </c>
      <c r="B2532">
        <v>86</v>
      </c>
      <c r="C2532">
        <v>2</v>
      </c>
      <c r="D2532">
        <v>2374</v>
      </c>
      <c r="E2532" t="s">
        <v>651</v>
      </c>
      <c r="F2532">
        <v>1.1499999999999999</v>
      </c>
      <c r="G2532" t="s">
        <v>623</v>
      </c>
      <c r="H2532" s="1">
        <v>46227.617164351854</v>
      </c>
      <c r="I2532" t="s">
        <v>640</v>
      </c>
      <c r="J2532">
        <v>1.1499999999999999</v>
      </c>
      <c r="K2532">
        <v>0</v>
      </c>
    </row>
    <row r="2533" spans="1:11" x14ac:dyDescent="0.3">
      <c r="A2533">
        <v>2532</v>
      </c>
      <c r="B2533">
        <v>86</v>
      </c>
      <c r="C2533">
        <v>2</v>
      </c>
      <c r="D2533">
        <v>2375</v>
      </c>
      <c r="E2533" t="s">
        <v>651</v>
      </c>
      <c r="F2533">
        <v>4.58</v>
      </c>
      <c r="G2533" t="s">
        <v>623</v>
      </c>
      <c r="H2533" s="1">
        <v>46227.629328703704</v>
      </c>
      <c r="I2533" t="s">
        <v>640</v>
      </c>
      <c r="J2533">
        <v>4.58</v>
      </c>
      <c r="K2533">
        <v>0</v>
      </c>
    </row>
    <row r="2534" spans="1:11" x14ac:dyDescent="0.3">
      <c r="A2534">
        <v>2533</v>
      </c>
      <c r="B2534">
        <v>223</v>
      </c>
      <c r="C2534">
        <v>3</v>
      </c>
      <c r="D2534">
        <v>2376</v>
      </c>
      <c r="E2534" t="s">
        <v>651</v>
      </c>
      <c r="F2534">
        <v>2.4700000000000002</v>
      </c>
      <c r="G2534" t="s">
        <v>623</v>
      </c>
      <c r="H2534" s="1">
        <v>46227.731851851851</v>
      </c>
      <c r="I2534" t="s">
        <v>640</v>
      </c>
      <c r="J2534">
        <v>2.4700000000000002</v>
      </c>
      <c r="K2534">
        <v>0</v>
      </c>
    </row>
    <row r="2535" spans="1:11" x14ac:dyDescent="0.3">
      <c r="A2535">
        <v>2534</v>
      </c>
      <c r="B2535">
        <v>50</v>
      </c>
      <c r="C2535">
        <v>5</v>
      </c>
      <c r="D2535">
        <v>2377</v>
      </c>
      <c r="E2535" t="s">
        <v>651</v>
      </c>
      <c r="F2535">
        <v>5.84</v>
      </c>
      <c r="G2535" t="s">
        <v>623</v>
      </c>
      <c r="H2535" s="1">
        <v>46227.744803240741</v>
      </c>
      <c r="I2535" t="s">
        <v>640</v>
      </c>
      <c r="J2535">
        <v>5.84</v>
      </c>
      <c r="K2535">
        <v>0</v>
      </c>
    </row>
    <row r="2536" spans="1:11" x14ac:dyDescent="0.3">
      <c r="A2536">
        <v>2535</v>
      </c>
      <c r="B2536">
        <v>65</v>
      </c>
      <c r="C2536">
        <v>4</v>
      </c>
      <c r="D2536">
        <v>2378</v>
      </c>
      <c r="E2536" t="s">
        <v>651</v>
      </c>
      <c r="F2536">
        <v>2.29</v>
      </c>
      <c r="G2536" t="s">
        <v>623</v>
      </c>
      <c r="H2536" s="1">
        <v>46228.336226851854</v>
      </c>
      <c r="I2536" t="s">
        <v>640</v>
      </c>
      <c r="J2536">
        <v>2.29</v>
      </c>
      <c r="K2536">
        <v>0</v>
      </c>
    </row>
    <row r="2537" spans="1:11" x14ac:dyDescent="0.3">
      <c r="A2537">
        <v>2536</v>
      </c>
      <c r="B2537">
        <v>285</v>
      </c>
      <c r="C2537">
        <v>5</v>
      </c>
      <c r="D2537">
        <v>2379</v>
      </c>
      <c r="E2537" t="s">
        <v>651</v>
      </c>
      <c r="F2537">
        <v>2.59</v>
      </c>
      <c r="G2537" t="s">
        <v>623</v>
      </c>
      <c r="H2537" s="1">
        <v>46228.374525462961</v>
      </c>
      <c r="I2537" t="s">
        <v>640</v>
      </c>
      <c r="J2537">
        <v>2.59</v>
      </c>
      <c r="K2537">
        <v>0</v>
      </c>
    </row>
    <row r="2538" spans="1:11" x14ac:dyDescent="0.3">
      <c r="A2538">
        <v>2537</v>
      </c>
      <c r="B2538">
        <v>39</v>
      </c>
      <c r="C2538">
        <v>2</v>
      </c>
      <c r="D2538">
        <v>2380</v>
      </c>
      <c r="E2538" t="s">
        <v>651</v>
      </c>
      <c r="F2538">
        <v>25.48</v>
      </c>
      <c r="G2538" t="s">
        <v>623</v>
      </c>
      <c r="H2538" s="1">
        <v>46228.377604166664</v>
      </c>
      <c r="I2538" t="s">
        <v>640</v>
      </c>
      <c r="J2538">
        <v>25.48</v>
      </c>
      <c r="K2538">
        <v>0</v>
      </c>
    </row>
    <row r="2539" spans="1:11" x14ac:dyDescent="0.3">
      <c r="A2539">
        <v>2538</v>
      </c>
      <c r="B2539">
        <v>137</v>
      </c>
      <c r="C2539">
        <v>5</v>
      </c>
      <c r="D2539">
        <v>2381</v>
      </c>
      <c r="E2539" t="s">
        <v>657</v>
      </c>
      <c r="F2539">
        <v>14.06</v>
      </c>
      <c r="G2539" t="s">
        <v>623</v>
      </c>
      <c r="H2539" s="1">
        <v>46228.40966435185</v>
      </c>
      <c r="I2539" t="s">
        <v>640</v>
      </c>
      <c r="J2539">
        <v>0</v>
      </c>
      <c r="K2539">
        <v>14.06</v>
      </c>
    </row>
    <row r="2540" spans="1:11" x14ac:dyDescent="0.3">
      <c r="A2540">
        <v>2539</v>
      </c>
      <c r="B2540">
        <v>250</v>
      </c>
      <c r="C2540">
        <v>4</v>
      </c>
      <c r="D2540">
        <v>2382</v>
      </c>
      <c r="E2540" t="s">
        <v>651</v>
      </c>
      <c r="F2540">
        <v>7.68</v>
      </c>
      <c r="G2540" t="s">
        <v>623</v>
      </c>
      <c r="H2540" s="1">
        <v>46228.423182870371</v>
      </c>
      <c r="I2540" t="s">
        <v>640</v>
      </c>
      <c r="J2540">
        <v>7.68</v>
      </c>
      <c r="K2540">
        <v>0</v>
      </c>
    </row>
    <row r="2541" spans="1:11" x14ac:dyDescent="0.3">
      <c r="A2541">
        <v>2540</v>
      </c>
      <c r="B2541">
        <v>106</v>
      </c>
      <c r="C2541">
        <v>3</v>
      </c>
      <c r="D2541">
        <v>2383</v>
      </c>
      <c r="E2541" t="s">
        <v>651</v>
      </c>
      <c r="F2541">
        <v>10.45</v>
      </c>
      <c r="G2541" t="s">
        <v>623</v>
      </c>
      <c r="H2541" s="1">
        <v>46228.481805555559</v>
      </c>
      <c r="I2541" t="s">
        <v>640</v>
      </c>
      <c r="J2541">
        <v>10.45</v>
      </c>
      <c r="K2541">
        <v>0</v>
      </c>
    </row>
    <row r="2542" spans="1:11" x14ac:dyDescent="0.3">
      <c r="A2542">
        <v>2541</v>
      </c>
      <c r="B2542">
        <v>229</v>
      </c>
      <c r="C2542">
        <v>3</v>
      </c>
      <c r="D2542">
        <v>2384</v>
      </c>
      <c r="E2542" t="s">
        <v>651</v>
      </c>
      <c r="F2542">
        <v>8.17</v>
      </c>
      <c r="G2542" t="s">
        <v>623</v>
      </c>
      <c r="H2542" s="1">
        <v>46228.486296296294</v>
      </c>
      <c r="I2542" t="s">
        <v>640</v>
      </c>
      <c r="J2542">
        <v>8.17</v>
      </c>
      <c r="K2542">
        <v>0</v>
      </c>
    </row>
    <row r="2543" spans="1:11" x14ac:dyDescent="0.3">
      <c r="A2543">
        <v>2542</v>
      </c>
      <c r="B2543">
        <v>229</v>
      </c>
      <c r="C2543">
        <v>3</v>
      </c>
      <c r="D2543">
        <v>2385</v>
      </c>
      <c r="E2543" t="s">
        <v>651</v>
      </c>
      <c r="F2543">
        <v>11.03</v>
      </c>
      <c r="G2543" t="s">
        <v>623</v>
      </c>
      <c r="H2543" s="1">
        <v>46228.494120370371</v>
      </c>
      <c r="I2543" t="s">
        <v>640</v>
      </c>
      <c r="J2543">
        <v>11.03</v>
      </c>
      <c r="K2543">
        <v>0</v>
      </c>
    </row>
    <row r="2544" spans="1:11" x14ac:dyDescent="0.3">
      <c r="A2544">
        <v>2543</v>
      </c>
      <c r="B2544">
        <v>250</v>
      </c>
      <c r="C2544">
        <v>2</v>
      </c>
      <c r="D2544">
        <v>2386</v>
      </c>
      <c r="E2544" t="s">
        <v>657</v>
      </c>
      <c r="F2544">
        <v>116.8</v>
      </c>
      <c r="G2544" t="s">
        <v>623</v>
      </c>
      <c r="H2544" s="1">
        <v>46228.49894675926</v>
      </c>
      <c r="I2544" t="s">
        <v>640</v>
      </c>
      <c r="J2544">
        <v>0</v>
      </c>
      <c r="K2544">
        <v>116.8</v>
      </c>
    </row>
    <row r="2545" spans="1:11" x14ac:dyDescent="0.3">
      <c r="A2545">
        <v>2544</v>
      </c>
      <c r="B2545">
        <v>65</v>
      </c>
      <c r="C2545">
        <v>4</v>
      </c>
      <c r="D2545">
        <v>2387</v>
      </c>
      <c r="E2545" t="s">
        <v>651</v>
      </c>
      <c r="F2545">
        <v>2.95</v>
      </c>
      <c r="G2545" t="s">
        <v>623</v>
      </c>
      <c r="H2545" s="1">
        <v>46228.505706018521</v>
      </c>
      <c r="I2545" t="s">
        <v>640</v>
      </c>
      <c r="J2545">
        <v>2.95</v>
      </c>
      <c r="K2545">
        <v>0</v>
      </c>
    </row>
    <row r="2546" spans="1:11" x14ac:dyDescent="0.3">
      <c r="A2546">
        <v>2545</v>
      </c>
      <c r="B2546">
        <v>56</v>
      </c>
      <c r="C2546">
        <v>3</v>
      </c>
      <c r="D2546">
        <v>2388</v>
      </c>
      <c r="E2546" t="s">
        <v>651</v>
      </c>
      <c r="F2546">
        <v>4.57</v>
      </c>
      <c r="G2546" t="s">
        <v>623</v>
      </c>
      <c r="H2546" s="1">
        <v>46228.54409722222</v>
      </c>
      <c r="I2546" t="s">
        <v>640</v>
      </c>
      <c r="J2546">
        <v>4.57</v>
      </c>
      <c r="K2546">
        <v>0</v>
      </c>
    </row>
    <row r="2547" spans="1:11" x14ac:dyDescent="0.3">
      <c r="A2547">
        <v>2546</v>
      </c>
      <c r="B2547">
        <v>72</v>
      </c>
      <c r="C2547">
        <v>5</v>
      </c>
      <c r="D2547">
        <v>2389</v>
      </c>
      <c r="E2547" t="s">
        <v>651</v>
      </c>
      <c r="F2547">
        <v>2.08</v>
      </c>
      <c r="G2547" t="s">
        <v>623</v>
      </c>
      <c r="H2547" s="1">
        <v>46228.60056712963</v>
      </c>
      <c r="I2547" t="s">
        <v>640</v>
      </c>
      <c r="J2547">
        <v>2.08</v>
      </c>
      <c r="K2547">
        <v>0</v>
      </c>
    </row>
    <row r="2548" spans="1:11" x14ac:dyDescent="0.3">
      <c r="A2548">
        <v>2547</v>
      </c>
      <c r="B2548">
        <v>250</v>
      </c>
      <c r="C2548">
        <v>2</v>
      </c>
      <c r="D2548">
        <v>2390</v>
      </c>
      <c r="E2548" t="s">
        <v>651</v>
      </c>
      <c r="F2548">
        <v>4.09</v>
      </c>
      <c r="G2548" t="s">
        <v>623</v>
      </c>
      <c r="H2548" s="1">
        <v>46228.708703703705</v>
      </c>
      <c r="I2548" t="s">
        <v>640</v>
      </c>
      <c r="J2548">
        <v>4.09</v>
      </c>
      <c r="K2548">
        <v>0</v>
      </c>
    </row>
    <row r="2549" spans="1:11" x14ac:dyDescent="0.3">
      <c r="A2549">
        <v>2548</v>
      </c>
      <c r="B2549">
        <v>285</v>
      </c>
      <c r="C2549">
        <v>2</v>
      </c>
      <c r="D2549">
        <v>2391</v>
      </c>
      <c r="E2549" t="s">
        <v>651</v>
      </c>
      <c r="F2549">
        <v>5.77</v>
      </c>
      <c r="G2549" t="s">
        <v>623</v>
      </c>
      <c r="H2549" s="1">
        <v>46228.711041666669</v>
      </c>
      <c r="I2549" t="s">
        <v>640</v>
      </c>
      <c r="J2549">
        <v>5.77</v>
      </c>
      <c r="K2549">
        <v>0</v>
      </c>
    </row>
    <row r="2550" spans="1:11" x14ac:dyDescent="0.3">
      <c r="A2550">
        <v>2549</v>
      </c>
      <c r="B2550">
        <v>75</v>
      </c>
      <c r="C2550">
        <v>2</v>
      </c>
      <c r="D2550">
        <v>2392</v>
      </c>
      <c r="E2550" t="s">
        <v>651</v>
      </c>
      <c r="F2550">
        <v>10.95</v>
      </c>
      <c r="G2550" t="s">
        <v>623</v>
      </c>
      <c r="H2550" s="1">
        <v>46228.749652777777</v>
      </c>
      <c r="I2550" t="s">
        <v>640</v>
      </c>
      <c r="J2550">
        <v>10.95</v>
      </c>
      <c r="K2550">
        <v>0</v>
      </c>
    </row>
    <row r="2551" spans="1:11" x14ac:dyDescent="0.3">
      <c r="A2551">
        <v>2550</v>
      </c>
      <c r="B2551">
        <v>91</v>
      </c>
      <c r="C2551">
        <v>3</v>
      </c>
      <c r="D2551">
        <v>2393</v>
      </c>
      <c r="E2551" t="s">
        <v>651</v>
      </c>
      <c r="F2551">
        <v>1.39</v>
      </c>
      <c r="G2551" t="s">
        <v>623</v>
      </c>
      <c r="H2551" s="1">
        <v>46229.391747685186</v>
      </c>
      <c r="I2551" t="s">
        <v>640</v>
      </c>
      <c r="J2551">
        <v>1.39</v>
      </c>
      <c r="K2551">
        <v>0</v>
      </c>
    </row>
    <row r="2552" spans="1:11" x14ac:dyDescent="0.3">
      <c r="A2552">
        <v>2551</v>
      </c>
      <c r="B2552">
        <v>185</v>
      </c>
      <c r="C2552">
        <v>2</v>
      </c>
      <c r="D2552">
        <v>2394</v>
      </c>
      <c r="E2552" t="s">
        <v>651</v>
      </c>
      <c r="F2552">
        <v>4.1100000000000003</v>
      </c>
      <c r="G2552" t="s">
        <v>623</v>
      </c>
      <c r="H2552" s="1">
        <v>46229.453877314816</v>
      </c>
      <c r="I2552" t="s">
        <v>640</v>
      </c>
      <c r="J2552">
        <v>4.1100000000000003</v>
      </c>
      <c r="K2552">
        <v>0</v>
      </c>
    </row>
    <row r="2553" spans="1:11" x14ac:dyDescent="0.3">
      <c r="A2553">
        <v>2552</v>
      </c>
      <c r="B2553">
        <v>87</v>
      </c>
      <c r="C2553">
        <v>4</v>
      </c>
      <c r="D2553">
        <v>2395</v>
      </c>
      <c r="E2553" t="s">
        <v>651</v>
      </c>
      <c r="F2553">
        <v>13.99</v>
      </c>
      <c r="G2553" t="s">
        <v>623</v>
      </c>
      <c r="H2553" s="1">
        <v>46229.608935185184</v>
      </c>
      <c r="I2553" t="s">
        <v>640</v>
      </c>
      <c r="J2553">
        <v>13.99</v>
      </c>
      <c r="K2553">
        <v>0</v>
      </c>
    </row>
    <row r="2554" spans="1:11" x14ac:dyDescent="0.3">
      <c r="A2554">
        <v>2553</v>
      </c>
      <c r="B2554">
        <v>145</v>
      </c>
      <c r="C2554">
        <v>2</v>
      </c>
      <c r="D2554">
        <v>2396</v>
      </c>
      <c r="E2554" t="s">
        <v>651</v>
      </c>
      <c r="F2554">
        <v>21.41</v>
      </c>
      <c r="G2554" t="s">
        <v>623</v>
      </c>
      <c r="H2554" s="1">
        <v>46229.627349537041</v>
      </c>
      <c r="I2554" t="s">
        <v>640</v>
      </c>
      <c r="J2554">
        <v>21.41</v>
      </c>
      <c r="K2554">
        <v>0</v>
      </c>
    </row>
    <row r="2555" spans="1:11" x14ac:dyDescent="0.3">
      <c r="A2555">
        <v>2554</v>
      </c>
      <c r="B2555">
        <v>185</v>
      </c>
      <c r="C2555">
        <v>4</v>
      </c>
      <c r="D2555">
        <v>2397</v>
      </c>
      <c r="E2555" t="s">
        <v>651</v>
      </c>
      <c r="F2555">
        <v>22</v>
      </c>
      <c r="G2555" t="s">
        <v>623</v>
      </c>
      <c r="H2555" s="1">
        <v>46229.674756944441</v>
      </c>
      <c r="I2555" t="s">
        <v>640</v>
      </c>
      <c r="J2555">
        <v>22</v>
      </c>
      <c r="K2555">
        <v>0</v>
      </c>
    </row>
    <row r="2556" spans="1:11" x14ac:dyDescent="0.3">
      <c r="A2556">
        <v>2555</v>
      </c>
      <c r="B2556">
        <v>76</v>
      </c>
      <c r="C2556">
        <v>2</v>
      </c>
      <c r="D2556">
        <v>2398</v>
      </c>
      <c r="E2556" t="s">
        <v>651</v>
      </c>
      <c r="F2556">
        <v>9.86</v>
      </c>
      <c r="G2556" t="s">
        <v>623</v>
      </c>
      <c r="H2556" s="1">
        <v>46229.73773148148</v>
      </c>
      <c r="I2556" t="s">
        <v>640</v>
      </c>
      <c r="J2556">
        <v>9.86</v>
      </c>
      <c r="K2556">
        <v>0</v>
      </c>
    </row>
    <row r="2557" spans="1:11" x14ac:dyDescent="0.3">
      <c r="A2557">
        <v>2556</v>
      </c>
      <c r="B2557">
        <v>250</v>
      </c>
      <c r="C2557">
        <v>3</v>
      </c>
      <c r="D2557">
        <v>2399</v>
      </c>
      <c r="E2557" t="s">
        <v>651</v>
      </c>
      <c r="F2557">
        <v>19.920000000000002</v>
      </c>
      <c r="G2557" t="s">
        <v>623</v>
      </c>
      <c r="H2557" s="1">
        <v>46229.771840277775</v>
      </c>
      <c r="I2557" t="s">
        <v>640</v>
      </c>
      <c r="J2557">
        <v>19.920000000000002</v>
      </c>
      <c r="K2557">
        <v>0</v>
      </c>
    </row>
    <row r="2558" spans="1:11" x14ac:dyDescent="0.3">
      <c r="A2558">
        <v>2557</v>
      </c>
      <c r="B2558">
        <v>150</v>
      </c>
      <c r="C2558">
        <v>4</v>
      </c>
      <c r="D2558">
        <v>2400</v>
      </c>
      <c r="E2558" t="s">
        <v>651</v>
      </c>
      <c r="F2558">
        <v>8.7899999999999991</v>
      </c>
      <c r="G2558" t="s">
        <v>623</v>
      </c>
      <c r="H2558" s="1">
        <v>46229.789699074077</v>
      </c>
      <c r="I2558" t="s">
        <v>640</v>
      </c>
      <c r="J2558">
        <v>8.7899999999999991</v>
      </c>
      <c r="K2558">
        <v>0</v>
      </c>
    </row>
    <row r="2559" spans="1:11" x14ac:dyDescent="0.3">
      <c r="A2559">
        <v>2558</v>
      </c>
      <c r="B2559">
        <v>214</v>
      </c>
      <c r="C2559">
        <v>5</v>
      </c>
      <c r="D2559">
        <v>2401</v>
      </c>
      <c r="E2559" t="s">
        <v>651</v>
      </c>
      <c r="F2559">
        <v>2.79</v>
      </c>
      <c r="G2559" t="s">
        <v>623</v>
      </c>
      <c r="H2559" s="1">
        <v>46230.344837962963</v>
      </c>
      <c r="I2559" t="s">
        <v>640</v>
      </c>
      <c r="J2559">
        <v>2.79</v>
      </c>
      <c r="K2559">
        <v>0</v>
      </c>
    </row>
    <row r="2560" spans="1:11" x14ac:dyDescent="0.3">
      <c r="A2560">
        <v>2559</v>
      </c>
      <c r="B2560">
        <v>216</v>
      </c>
      <c r="C2560">
        <v>3</v>
      </c>
      <c r="D2560">
        <v>2402</v>
      </c>
      <c r="E2560" t="s">
        <v>651</v>
      </c>
      <c r="F2560">
        <v>2.4700000000000002</v>
      </c>
      <c r="G2560" t="s">
        <v>623</v>
      </c>
      <c r="H2560" s="1">
        <v>46230.372349537036</v>
      </c>
      <c r="I2560" t="s">
        <v>640</v>
      </c>
      <c r="J2560">
        <v>2.4700000000000002</v>
      </c>
      <c r="K2560">
        <v>0</v>
      </c>
    </row>
    <row r="2561" spans="1:11" x14ac:dyDescent="0.3">
      <c r="A2561">
        <v>2560</v>
      </c>
      <c r="B2561">
        <v>241</v>
      </c>
      <c r="C2561">
        <v>4</v>
      </c>
      <c r="D2561">
        <v>2403</v>
      </c>
      <c r="E2561" t="s">
        <v>651</v>
      </c>
      <c r="F2561">
        <v>3.13</v>
      </c>
      <c r="G2561" t="s">
        <v>623</v>
      </c>
      <c r="H2561" s="1">
        <v>46230.445185185185</v>
      </c>
      <c r="I2561" t="s">
        <v>640</v>
      </c>
      <c r="J2561">
        <v>3.13</v>
      </c>
      <c r="K2561">
        <v>0</v>
      </c>
    </row>
    <row r="2562" spans="1:11" x14ac:dyDescent="0.3">
      <c r="A2562">
        <v>2561</v>
      </c>
      <c r="B2562">
        <v>24</v>
      </c>
      <c r="C2562">
        <v>2</v>
      </c>
      <c r="D2562">
        <v>2404</v>
      </c>
      <c r="E2562" t="s">
        <v>651</v>
      </c>
      <c r="F2562">
        <v>20.83</v>
      </c>
      <c r="G2562" t="s">
        <v>623</v>
      </c>
      <c r="H2562" s="1">
        <v>46230.538819444446</v>
      </c>
      <c r="I2562" t="s">
        <v>640</v>
      </c>
      <c r="J2562">
        <v>20.83</v>
      </c>
      <c r="K2562">
        <v>0</v>
      </c>
    </row>
    <row r="2563" spans="1:11" x14ac:dyDescent="0.3">
      <c r="A2563">
        <v>2562</v>
      </c>
      <c r="B2563">
        <v>84</v>
      </c>
      <c r="C2563">
        <v>3</v>
      </c>
      <c r="D2563">
        <v>2405</v>
      </c>
      <c r="E2563" t="s">
        <v>651</v>
      </c>
      <c r="F2563">
        <v>4.87</v>
      </c>
      <c r="G2563" t="s">
        <v>623</v>
      </c>
      <c r="H2563" s="1">
        <v>46230.568483796298</v>
      </c>
      <c r="I2563" t="s">
        <v>640</v>
      </c>
      <c r="J2563">
        <v>4.87</v>
      </c>
      <c r="K2563">
        <v>0</v>
      </c>
    </row>
    <row r="2564" spans="1:11" x14ac:dyDescent="0.3">
      <c r="A2564">
        <v>2563</v>
      </c>
      <c r="B2564">
        <v>136</v>
      </c>
      <c r="C2564">
        <v>2</v>
      </c>
      <c r="D2564">
        <v>2406</v>
      </c>
      <c r="E2564" t="s">
        <v>651</v>
      </c>
      <c r="F2564">
        <v>9.09</v>
      </c>
      <c r="G2564" t="s">
        <v>623</v>
      </c>
      <c r="H2564" s="1">
        <v>46230.619386574072</v>
      </c>
      <c r="I2564" t="s">
        <v>640</v>
      </c>
      <c r="J2564">
        <v>9.09</v>
      </c>
      <c r="K2564">
        <v>0</v>
      </c>
    </row>
    <row r="2565" spans="1:11" x14ac:dyDescent="0.3">
      <c r="A2565">
        <v>2564</v>
      </c>
      <c r="B2565">
        <v>124</v>
      </c>
      <c r="C2565">
        <v>3</v>
      </c>
      <c r="D2565">
        <v>2407</v>
      </c>
      <c r="E2565" t="s">
        <v>651</v>
      </c>
      <c r="F2565">
        <v>2.27</v>
      </c>
      <c r="G2565" t="s">
        <v>623</v>
      </c>
      <c r="H2565" s="1">
        <v>46230.631018518521</v>
      </c>
      <c r="I2565" t="s">
        <v>640</v>
      </c>
      <c r="J2565">
        <v>2.27</v>
      </c>
      <c r="K2565">
        <v>0</v>
      </c>
    </row>
    <row r="2566" spans="1:11" x14ac:dyDescent="0.3">
      <c r="A2566">
        <v>2565</v>
      </c>
      <c r="B2566">
        <v>137</v>
      </c>
      <c r="C2566">
        <v>2</v>
      </c>
      <c r="D2566">
        <v>2408</v>
      </c>
      <c r="E2566" t="s">
        <v>651</v>
      </c>
      <c r="F2566">
        <v>4.55</v>
      </c>
      <c r="G2566" t="s">
        <v>623</v>
      </c>
      <c r="H2566" s="1">
        <v>46230.640972222223</v>
      </c>
      <c r="I2566" t="s">
        <v>640</v>
      </c>
      <c r="J2566">
        <v>4.55</v>
      </c>
      <c r="K2566">
        <v>0</v>
      </c>
    </row>
    <row r="2567" spans="1:11" x14ac:dyDescent="0.3">
      <c r="A2567">
        <v>2566</v>
      </c>
      <c r="B2567">
        <v>52</v>
      </c>
      <c r="C2567">
        <v>2</v>
      </c>
      <c r="D2567">
        <v>2409</v>
      </c>
      <c r="E2567" t="s">
        <v>651</v>
      </c>
      <c r="F2567">
        <v>3.95</v>
      </c>
      <c r="G2567" t="s">
        <v>623</v>
      </c>
      <c r="H2567" s="1">
        <v>46230.827824074076</v>
      </c>
      <c r="I2567" t="s">
        <v>640</v>
      </c>
      <c r="J2567">
        <v>3.95</v>
      </c>
      <c r="K2567">
        <v>0</v>
      </c>
    </row>
    <row r="2568" spans="1:11" x14ac:dyDescent="0.3">
      <c r="A2568">
        <v>2567</v>
      </c>
      <c r="B2568">
        <v>128</v>
      </c>
      <c r="C2568">
        <v>2</v>
      </c>
      <c r="D2568">
        <v>2410</v>
      </c>
      <c r="E2568" t="s">
        <v>651</v>
      </c>
      <c r="F2568">
        <v>2.96</v>
      </c>
      <c r="G2568" t="s">
        <v>623</v>
      </c>
      <c r="H2568" s="1">
        <v>46231.331678240742</v>
      </c>
      <c r="I2568" t="s">
        <v>640</v>
      </c>
      <c r="J2568">
        <v>2.96</v>
      </c>
      <c r="K2568">
        <v>0</v>
      </c>
    </row>
    <row r="2569" spans="1:11" x14ac:dyDescent="0.3">
      <c r="A2569">
        <v>2568</v>
      </c>
      <c r="B2569">
        <v>190</v>
      </c>
      <c r="C2569">
        <v>2</v>
      </c>
      <c r="D2569">
        <v>2411</v>
      </c>
      <c r="E2569" t="s">
        <v>651</v>
      </c>
      <c r="F2569">
        <v>9.1199999999999992</v>
      </c>
      <c r="G2569" t="s">
        <v>623</v>
      </c>
      <c r="H2569" s="1">
        <v>46231.33252314815</v>
      </c>
      <c r="I2569" t="s">
        <v>640</v>
      </c>
      <c r="J2569">
        <v>9.1199999999999992</v>
      </c>
      <c r="K2569">
        <v>0</v>
      </c>
    </row>
    <row r="2570" spans="1:11" x14ac:dyDescent="0.3">
      <c r="A2570">
        <v>2569</v>
      </c>
      <c r="B2570">
        <v>114</v>
      </c>
      <c r="C2570">
        <v>5</v>
      </c>
      <c r="D2570">
        <v>2412</v>
      </c>
      <c r="E2570" t="s">
        <v>651</v>
      </c>
      <c r="F2570">
        <v>17.559999999999999</v>
      </c>
      <c r="G2570" t="s">
        <v>623</v>
      </c>
      <c r="H2570" s="1">
        <v>46231.603402777779</v>
      </c>
      <c r="I2570" t="s">
        <v>640</v>
      </c>
      <c r="J2570">
        <v>17.559999999999999</v>
      </c>
      <c r="K2570">
        <v>0</v>
      </c>
    </row>
    <row r="2571" spans="1:11" x14ac:dyDescent="0.3">
      <c r="A2571">
        <v>2570</v>
      </c>
      <c r="B2571">
        <v>297</v>
      </c>
      <c r="C2571">
        <v>5</v>
      </c>
      <c r="D2571">
        <v>2413</v>
      </c>
      <c r="E2571" t="s">
        <v>651</v>
      </c>
      <c r="F2571">
        <v>6.31</v>
      </c>
      <c r="G2571" t="s">
        <v>623</v>
      </c>
      <c r="H2571" s="1">
        <v>46231.705543981479</v>
      </c>
      <c r="I2571" t="s">
        <v>640</v>
      </c>
      <c r="J2571">
        <v>6.31</v>
      </c>
      <c r="K2571">
        <v>0</v>
      </c>
    </row>
    <row r="2572" spans="1:11" x14ac:dyDescent="0.3">
      <c r="A2572">
        <v>2571</v>
      </c>
      <c r="B2572">
        <v>250</v>
      </c>
      <c r="C2572">
        <v>5</v>
      </c>
      <c r="D2572">
        <v>2414</v>
      </c>
      <c r="E2572" t="s">
        <v>657</v>
      </c>
      <c r="F2572">
        <v>64.58</v>
      </c>
      <c r="G2572" t="s">
        <v>623</v>
      </c>
      <c r="H2572" s="1">
        <v>46231.711712962962</v>
      </c>
      <c r="I2572" t="s">
        <v>640</v>
      </c>
      <c r="J2572">
        <v>0</v>
      </c>
      <c r="K2572">
        <v>64.58</v>
      </c>
    </row>
    <row r="2573" spans="1:11" x14ac:dyDescent="0.3">
      <c r="A2573">
        <v>2572</v>
      </c>
      <c r="B2573">
        <v>278</v>
      </c>
      <c r="C2573">
        <v>2</v>
      </c>
      <c r="D2573">
        <v>2415</v>
      </c>
      <c r="E2573" t="s">
        <v>651</v>
      </c>
      <c r="F2573">
        <v>30</v>
      </c>
      <c r="G2573" t="s">
        <v>623</v>
      </c>
      <c r="H2573" s="1">
        <v>46231.712222222224</v>
      </c>
      <c r="I2573" t="s">
        <v>640</v>
      </c>
      <c r="J2573">
        <v>30</v>
      </c>
      <c r="K2573">
        <v>0</v>
      </c>
    </row>
    <row r="2574" spans="1:11" x14ac:dyDescent="0.3">
      <c r="A2574">
        <v>2573</v>
      </c>
      <c r="B2574">
        <v>128</v>
      </c>
      <c r="C2574">
        <v>4</v>
      </c>
      <c r="D2574">
        <v>2416</v>
      </c>
      <c r="E2574" t="s">
        <v>651</v>
      </c>
      <c r="F2574">
        <v>5.07</v>
      </c>
      <c r="G2574" t="s">
        <v>623</v>
      </c>
      <c r="H2574" s="1">
        <v>46231.721134259256</v>
      </c>
      <c r="I2574" t="s">
        <v>640</v>
      </c>
      <c r="J2574">
        <v>5.07</v>
      </c>
      <c r="K2574">
        <v>0</v>
      </c>
    </row>
    <row r="2575" spans="1:11" x14ac:dyDescent="0.3">
      <c r="A2575">
        <v>2574</v>
      </c>
      <c r="B2575">
        <v>128</v>
      </c>
      <c r="C2575">
        <v>2</v>
      </c>
      <c r="D2575">
        <v>2417</v>
      </c>
      <c r="E2575" t="s">
        <v>651</v>
      </c>
      <c r="F2575">
        <v>3.22</v>
      </c>
      <c r="G2575" t="s">
        <v>623</v>
      </c>
      <c r="H2575" s="1">
        <v>46231.756388888891</v>
      </c>
      <c r="I2575" t="s">
        <v>640</v>
      </c>
      <c r="J2575">
        <v>3.22</v>
      </c>
      <c r="K2575">
        <v>0</v>
      </c>
    </row>
    <row r="2576" spans="1:11" x14ac:dyDescent="0.3">
      <c r="A2576">
        <v>2575</v>
      </c>
      <c r="B2576">
        <v>128</v>
      </c>
      <c r="C2576">
        <v>3</v>
      </c>
      <c r="D2576">
        <v>2410</v>
      </c>
      <c r="E2576" t="s">
        <v>649</v>
      </c>
      <c r="F2576">
        <v>-2.96</v>
      </c>
      <c r="G2576" t="s">
        <v>754</v>
      </c>
      <c r="H2576" s="1">
        <v>46231.998344907406</v>
      </c>
      <c r="I2576" t="s">
        <v>640</v>
      </c>
      <c r="J2576">
        <v>0</v>
      </c>
      <c r="K2576">
        <v>0</v>
      </c>
    </row>
    <row r="2577" spans="1:11" x14ac:dyDescent="0.3">
      <c r="A2577">
        <v>2576</v>
      </c>
      <c r="B2577">
        <v>250</v>
      </c>
      <c r="C2577">
        <v>5</v>
      </c>
      <c r="D2577">
        <v>2414</v>
      </c>
      <c r="E2577" t="s">
        <v>649</v>
      </c>
      <c r="F2577">
        <v>64.58</v>
      </c>
      <c r="G2577" t="s">
        <v>755</v>
      </c>
      <c r="H2577" s="1">
        <v>46232.253379629627</v>
      </c>
      <c r="I2577" t="s">
        <v>640</v>
      </c>
      <c r="J2577">
        <v>0</v>
      </c>
      <c r="K2577">
        <v>0</v>
      </c>
    </row>
    <row r="2578" spans="1:11" x14ac:dyDescent="0.3">
      <c r="A2578">
        <v>2577</v>
      </c>
      <c r="B2578">
        <v>285</v>
      </c>
      <c r="C2578">
        <v>5</v>
      </c>
      <c r="D2578">
        <v>2418</v>
      </c>
      <c r="E2578" t="s">
        <v>651</v>
      </c>
      <c r="F2578">
        <v>2.37</v>
      </c>
      <c r="G2578" t="s">
        <v>623</v>
      </c>
      <c r="H2578" s="1">
        <v>46232.358182870368</v>
      </c>
      <c r="I2578" t="s">
        <v>640</v>
      </c>
      <c r="J2578">
        <v>2.37</v>
      </c>
      <c r="K2578">
        <v>0</v>
      </c>
    </row>
    <row r="2579" spans="1:11" x14ac:dyDescent="0.3">
      <c r="A2579">
        <v>2578</v>
      </c>
      <c r="B2579">
        <v>75</v>
      </c>
      <c r="C2579">
        <v>5</v>
      </c>
      <c r="D2579">
        <v>2419</v>
      </c>
      <c r="E2579" t="s">
        <v>651</v>
      </c>
      <c r="F2579">
        <v>7.53</v>
      </c>
      <c r="G2579" t="s">
        <v>623</v>
      </c>
      <c r="H2579" s="1">
        <v>46232.393321759257</v>
      </c>
      <c r="I2579" t="s">
        <v>640</v>
      </c>
      <c r="J2579">
        <v>7.53</v>
      </c>
      <c r="K2579">
        <v>0</v>
      </c>
    </row>
    <row r="2580" spans="1:11" x14ac:dyDescent="0.3">
      <c r="A2580">
        <v>2579</v>
      </c>
      <c r="B2580">
        <v>285</v>
      </c>
      <c r="C2580">
        <v>3</v>
      </c>
      <c r="D2580">
        <v>2420</v>
      </c>
      <c r="E2580" t="s">
        <v>657</v>
      </c>
      <c r="F2580">
        <v>21.91</v>
      </c>
      <c r="G2580" t="s">
        <v>623</v>
      </c>
      <c r="H2580" s="1">
        <v>46232.426898148151</v>
      </c>
      <c r="I2580" t="s">
        <v>640</v>
      </c>
      <c r="J2580">
        <v>0</v>
      </c>
      <c r="K2580">
        <v>21.91</v>
      </c>
    </row>
    <row r="2581" spans="1:11" x14ac:dyDescent="0.3">
      <c r="A2581">
        <v>2580</v>
      </c>
      <c r="B2581">
        <v>134</v>
      </c>
      <c r="C2581">
        <v>4</v>
      </c>
      <c r="D2581">
        <v>2421</v>
      </c>
      <c r="E2581" t="s">
        <v>657</v>
      </c>
      <c r="F2581">
        <v>91.44</v>
      </c>
      <c r="G2581" t="s">
        <v>623</v>
      </c>
      <c r="H2581" s="1">
        <v>46232.458402777775</v>
      </c>
      <c r="I2581" t="s">
        <v>640</v>
      </c>
      <c r="J2581">
        <v>0</v>
      </c>
      <c r="K2581">
        <v>91.44</v>
      </c>
    </row>
    <row r="2582" spans="1:11" x14ac:dyDescent="0.3">
      <c r="A2582">
        <v>2581</v>
      </c>
      <c r="B2582">
        <v>128</v>
      </c>
      <c r="C2582">
        <v>2</v>
      </c>
      <c r="D2582">
        <v>2422</v>
      </c>
      <c r="E2582" t="s">
        <v>651</v>
      </c>
      <c r="F2582">
        <v>2.6</v>
      </c>
      <c r="G2582" t="s">
        <v>623</v>
      </c>
      <c r="H2582" s="1">
        <v>46232.58935185185</v>
      </c>
      <c r="I2582" t="s">
        <v>640</v>
      </c>
      <c r="J2582">
        <v>2.6</v>
      </c>
      <c r="K2582">
        <v>0</v>
      </c>
    </row>
    <row r="2583" spans="1:11" x14ac:dyDescent="0.3">
      <c r="A2583">
        <v>2582</v>
      </c>
      <c r="B2583">
        <v>117</v>
      </c>
      <c r="C2583">
        <v>3</v>
      </c>
      <c r="D2583">
        <v>2423</v>
      </c>
      <c r="E2583" t="s">
        <v>651</v>
      </c>
      <c r="F2583">
        <v>3.7</v>
      </c>
      <c r="G2583" t="s">
        <v>623</v>
      </c>
      <c r="H2583" s="1">
        <v>46232.735567129632</v>
      </c>
      <c r="I2583" t="s">
        <v>640</v>
      </c>
      <c r="J2583">
        <v>3.7</v>
      </c>
      <c r="K2583">
        <v>0</v>
      </c>
    </row>
    <row r="2584" spans="1:11" x14ac:dyDescent="0.3">
      <c r="A2584">
        <v>2583</v>
      </c>
      <c r="B2584">
        <v>80</v>
      </c>
      <c r="C2584">
        <v>5</v>
      </c>
      <c r="D2584">
        <v>2424</v>
      </c>
      <c r="E2584" t="s">
        <v>651</v>
      </c>
      <c r="F2584">
        <v>3.16</v>
      </c>
      <c r="G2584" t="s">
        <v>623</v>
      </c>
      <c r="H2584" s="1">
        <v>46232.764884259261</v>
      </c>
      <c r="I2584" t="s">
        <v>640</v>
      </c>
      <c r="J2584">
        <v>3.16</v>
      </c>
      <c r="K2584">
        <v>0</v>
      </c>
    </row>
    <row r="2585" spans="1:11" x14ac:dyDescent="0.3">
      <c r="A2585">
        <v>2584</v>
      </c>
      <c r="B2585">
        <v>44</v>
      </c>
      <c r="C2585">
        <v>3</v>
      </c>
      <c r="D2585">
        <v>2425</v>
      </c>
      <c r="E2585" t="s">
        <v>651</v>
      </c>
      <c r="F2585">
        <v>2.38</v>
      </c>
      <c r="G2585" t="s">
        <v>623</v>
      </c>
      <c r="H2585" s="1">
        <v>46233.449386574073</v>
      </c>
      <c r="I2585" t="s">
        <v>640</v>
      </c>
      <c r="J2585">
        <v>2.38</v>
      </c>
      <c r="K2585">
        <v>0</v>
      </c>
    </row>
    <row r="2586" spans="1:11" x14ac:dyDescent="0.3">
      <c r="A2586">
        <v>2585</v>
      </c>
      <c r="B2586">
        <v>225</v>
      </c>
      <c r="C2586">
        <v>5</v>
      </c>
      <c r="D2586">
        <v>2426</v>
      </c>
      <c r="E2586" t="s">
        <v>651</v>
      </c>
      <c r="F2586">
        <v>2.02</v>
      </c>
      <c r="G2586" t="s">
        <v>623</v>
      </c>
      <c r="H2586" s="1">
        <v>46233.452118055553</v>
      </c>
      <c r="I2586" t="s">
        <v>640</v>
      </c>
      <c r="J2586">
        <v>2.02</v>
      </c>
      <c r="K2586">
        <v>0</v>
      </c>
    </row>
    <row r="2587" spans="1:11" x14ac:dyDescent="0.3">
      <c r="A2587">
        <v>2586</v>
      </c>
      <c r="B2587">
        <v>279</v>
      </c>
      <c r="C2587">
        <v>3</v>
      </c>
      <c r="D2587">
        <v>2427</v>
      </c>
      <c r="E2587" t="s">
        <v>651</v>
      </c>
      <c r="F2587">
        <v>23.07</v>
      </c>
      <c r="G2587" t="s">
        <v>623</v>
      </c>
      <c r="H2587" s="1">
        <v>46233.602800925924</v>
      </c>
      <c r="I2587" t="s">
        <v>640</v>
      </c>
      <c r="J2587">
        <v>23.07</v>
      </c>
      <c r="K2587">
        <v>0</v>
      </c>
    </row>
    <row r="2588" spans="1:11" x14ac:dyDescent="0.3">
      <c r="A2588">
        <v>2587</v>
      </c>
      <c r="B2588">
        <v>192</v>
      </c>
      <c r="C2588">
        <v>4</v>
      </c>
      <c r="D2588">
        <v>2428</v>
      </c>
      <c r="E2588" t="s">
        <v>651</v>
      </c>
      <c r="F2588">
        <v>3.26</v>
      </c>
      <c r="G2588" t="s">
        <v>623</v>
      </c>
      <c r="H2588" s="1">
        <v>46233.61273148148</v>
      </c>
      <c r="I2588" t="s">
        <v>640</v>
      </c>
      <c r="J2588">
        <v>3.26</v>
      </c>
      <c r="K2588">
        <v>0</v>
      </c>
    </row>
    <row r="2589" spans="1:11" x14ac:dyDescent="0.3">
      <c r="A2589">
        <v>2588</v>
      </c>
      <c r="B2589">
        <v>50</v>
      </c>
      <c r="C2589">
        <v>2</v>
      </c>
      <c r="D2589">
        <v>2429</v>
      </c>
      <c r="E2589" t="s">
        <v>651</v>
      </c>
      <c r="F2589">
        <v>9.15</v>
      </c>
      <c r="G2589" t="s">
        <v>623</v>
      </c>
      <c r="H2589" s="1">
        <v>46233.633530092593</v>
      </c>
      <c r="I2589" t="s">
        <v>640</v>
      </c>
      <c r="J2589">
        <v>9.15</v>
      </c>
      <c r="K2589">
        <v>0</v>
      </c>
    </row>
    <row r="2590" spans="1:11" x14ac:dyDescent="0.3">
      <c r="A2590">
        <v>2589</v>
      </c>
      <c r="B2590">
        <v>195</v>
      </c>
      <c r="C2590">
        <v>3</v>
      </c>
      <c r="D2590">
        <v>2430</v>
      </c>
      <c r="E2590" t="s">
        <v>651</v>
      </c>
      <c r="F2590">
        <v>19.04</v>
      </c>
      <c r="G2590" t="s">
        <v>623</v>
      </c>
      <c r="H2590" s="1">
        <v>46233.633831018517</v>
      </c>
      <c r="I2590" t="s">
        <v>640</v>
      </c>
      <c r="J2590">
        <v>19.04</v>
      </c>
      <c r="K2590">
        <v>0</v>
      </c>
    </row>
    <row r="2591" spans="1:11" x14ac:dyDescent="0.3">
      <c r="A2591">
        <v>2590</v>
      </c>
      <c r="B2591">
        <v>156</v>
      </c>
      <c r="C2591">
        <v>3</v>
      </c>
      <c r="D2591">
        <v>2431</v>
      </c>
      <c r="E2591" t="s">
        <v>651</v>
      </c>
      <c r="F2591">
        <v>2.27</v>
      </c>
      <c r="G2591" t="s">
        <v>623</v>
      </c>
      <c r="H2591" s="1">
        <v>46233.683587962965</v>
      </c>
      <c r="I2591" t="s">
        <v>640</v>
      </c>
      <c r="J2591">
        <v>2.27</v>
      </c>
      <c r="K2591">
        <v>0</v>
      </c>
    </row>
    <row r="2592" spans="1:11" x14ac:dyDescent="0.3">
      <c r="A2592">
        <v>2591</v>
      </c>
      <c r="B2592">
        <v>67</v>
      </c>
      <c r="C2592">
        <v>3</v>
      </c>
      <c r="D2592">
        <v>2432</v>
      </c>
      <c r="E2592" t="s">
        <v>651</v>
      </c>
      <c r="F2592">
        <v>2.73</v>
      </c>
      <c r="G2592" t="s">
        <v>623</v>
      </c>
      <c r="H2592" s="1">
        <v>46233.710428240738</v>
      </c>
      <c r="I2592" t="s">
        <v>640</v>
      </c>
      <c r="J2592">
        <v>2.73</v>
      </c>
      <c r="K2592">
        <v>0</v>
      </c>
    </row>
    <row r="2593" spans="1:11" x14ac:dyDescent="0.3">
      <c r="A2593">
        <v>2592</v>
      </c>
      <c r="B2593">
        <v>128</v>
      </c>
      <c r="C2593">
        <v>4</v>
      </c>
      <c r="D2593">
        <v>2433</v>
      </c>
      <c r="E2593" t="s">
        <v>651</v>
      </c>
      <c r="F2593">
        <v>3.12</v>
      </c>
      <c r="G2593" t="s">
        <v>623</v>
      </c>
      <c r="H2593" s="1">
        <v>46233.737708333334</v>
      </c>
      <c r="I2593" t="s">
        <v>640</v>
      </c>
      <c r="J2593">
        <v>3.12</v>
      </c>
      <c r="K2593">
        <v>0</v>
      </c>
    </row>
    <row r="2594" spans="1:11" x14ac:dyDescent="0.3">
      <c r="A2594">
        <v>2593</v>
      </c>
      <c r="B2594">
        <v>75</v>
      </c>
      <c r="C2594">
        <v>5</v>
      </c>
      <c r="D2594">
        <v>2434</v>
      </c>
      <c r="E2594" t="s">
        <v>651</v>
      </c>
      <c r="F2594">
        <v>4.08</v>
      </c>
      <c r="G2594" t="s">
        <v>623</v>
      </c>
      <c r="H2594" s="1">
        <v>46234.338888888888</v>
      </c>
      <c r="I2594" t="s">
        <v>640</v>
      </c>
      <c r="J2594">
        <v>4.08</v>
      </c>
      <c r="K2594">
        <v>0</v>
      </c>
    </row>
    <row r="2595" spans="1:11" x14ac:dyDescent="0.3">
      <c r="A2595">
        <v>2594</v>
      </c>
      <c r="B2595">
        <v>75</v>
      </c>
      <c r="C2595">
        <v>2</v>
      </c>
      <c r="D2595">
        <v>2435</v>
      </c>
      <c r="E2595" t="s">
        <v>651</v>
      </c>
      <c r="F2595">
        <v>8.61</v>
      </c>
      <c r="G2595" t="s">
        <v>623</v>
      </c>
      <c r="H2595" s="1">
        <v>46234.433344907404</v>
      </c>
      <c r="I2595" t="s">
        <v>640</v>
      </c>
      <c r="J2595">
        <v>8.61</v>
      </c>
      <c r="K2595">
        <v>0</v>
      </c>
    </row>
    <row r="2596" spans="1:11" x14ac:dyDescent="0.3">
      <c r="A2596">
        <v>2595</v>
      </c>
      <c r="B2596">
        <v>198</v>
      </c>
      <c r="C2596">
        <v>5</v>
      </c>
      <c r="D2596">
        <v>2436</v>
      </c>
      <c r="E2596" t="s">
        <v>651</v>
      </c>
      <c r="F2596">
        <v>2.06</v>
      </c>
      <c r="G2596" t="s">
        <v>623</v>
      </c>
      <c r="H2596" s="1">
        <v>46234.748495370368</v>
      </c>
      <c r="I2596" t="s">
        <v>640</v>
      </c>
      <c r="J2596">
        <v>2.06</v>
      </c>
      <c r="K2596">
        <v>0</v>
      </c>
    </row>
    <row r="2597" spans="1:11" x14ac:dyDescent="0.3">
      <c r="A2597">
        <v>2596</v>
      </c>
      <c r="B2597">
        <v>198</v>
      </c>
      <c r="C2597">
        <v>2</v>
      </c>
      <c r="D2597">
        <v>2436</v>
      </c>
      <c r="E2597" t="s">
        <v>649</v>
      </c>
      <c r="F2597">
        <v>-2.06</v>
      </c>
      <c r="G2597" t="s">
        <v>756</v>
      </c>
      <c r="H2597" s="1">
        <v>46235.040162037039</v>
      </c>
      <c r="I2597" t="s">
        <v>641</v>
      </c>
      <c r="J2597">
        <v>0</v>
      </c>
      <c r="K2597">
        <v>0</v>
      </c>
    </row>
    <row r="2598" spans="1:11" x14ac:dyDescent="0.3">
      <c r="A2598">
        <v>2597</v>
      </c>
      <c r="B2598">
        <v>145</v>
      </c>
      <c r="C2598">
        <v>4</v>
      </c>
      <c r="D2598">
        <v>2437</v>
      </c>
      <c r="E2598" t="s">
        <v>651</v>
      </c>
      <c r="F2598">
        <v>23.94</v>
      </c>
      <c r="G2598" t="s">
        <v>623</v>
      </c>
      <c r="H2598" s="1">
        <v>46235.444895833331</v>
      </c>
      <c r="I2598" t="s">
        <v>641</v>
      </c>
      <c r="J2598">
        <v>23.94</v>
      </c>
      <c r="K2598">
        <v>0</v>
      </c>
    </row>
    <row r="2599" spans="1:11" x14ac:dyDescent="0.3">
      <c r="A2599">
        <v>2598</v>
      </c>
      <c r="B2599">
        <v>243</v>
      </c>
      <c r="C2599">
        <v>4</v>
      </c>
      <c r="D2599">
        <v>2438</v>
      </c>
      <c r="E2599" t="s">
        <v>651</v>
      </c>
      <c r="F2599">
        <v>4.5999999999999996</v>
      </c>
      <c r="G2599" t="s">
        <v>623</v>
      </c>
      <c r="H2599" s="1">
        <v>46235.45758101852</v>
      </c>
      <c r="I2599" t="s">
        <v>641</v>
      </c>
      <c r="J2599">
        <v>4.5999999999999996</v>
      </c>
      <c r="K2599">
        <v>0</v>
      </c>
    </row>
    <row r="2600" spans="1:11" x14ac:dyDescent="0.3">
      <c r="A2600">
        <v>2599</v>
      </c>
      <c r="B2600">
        <v>134</v>
      </c>
      <c r="C2600">
        <v>5</v>
      </c>
      <c r="D2600">
        <v>2439</v>
      </c>
      <c r="E2600" t="s">
        <v>651</v>
      </c>
      <c r="F2600">
        <v>6.17</v>
      </c>
      <c r="G2600" t="s">
        <v>623</v>
      </c>
      <c r="H2600" s="1">
        <v>46235.627083333333</v>
      </c>
      <c r="I2600" t="s">
        <v>641</v>
      </c>
      <c r="J2600">
        <v>6.17</v>
      </c>
      <c r="K2600">
        <v>0</v>
      </c>
    </row>
    <row r="2601" spans="1:11" x14ac:dyDescent="0.3">
      <c r="A2601">
        <v>2600</v>
      </c>
      <c r="B2601">
        <v>244</v>
      </c>
      <c r="C2601">
        <v>5</v>
      </c>
      <c r="D2601">
        <v>2440</v>
      </c>
      <c r="E2601" t="s">
        <v>651</v>
      </c>
      <c r="F2601">
        <v>4.93</v>
      </c>
      <c r="G2601" t="s">
        <v>623</v>
      </c>
      <c r="H2601" s="1">
        <v>46235.677245370367</v>
      </c>
      <c r="I2601" t="s">
        <v>641</v>
      </c>
      <c r="J2601">
        <v>4.93</v>
      </c>
      <c r="K2601">
        <v>0</v>
      </c>
    </row>
    <row r="2602" spans="1:11" x14ac:dyDescent="0.3">
      <c r="A2602">
        <v>2601</v>
      </c>
      <c r="B2602">
        <v>136</v>
      </c>
      <c r="C2602">
        <v>2</v>
      </c>
      <c r="D2602">
        <v>2441</v>
      </c>
      <c r="E2602" t="s">
        <v>651</v>
      </c>
      <c r="F2602">
        <v>12.08</v>
      </c>
      <c r="G2602" t="s">
        <v>623</v>
      </c>
      <c r="H2602" s="1">
        <v>46235.763807870368</v>
      </c>
      <c r="I2602" t="s">
        <v>641</v>
      </c>
      <c r="J2602">
        <v>12.08</v>
      </c>
      <c r="K2602">
        <v>0</v>
      </c>
    </row>
    <row r="2603" spans="1:11" x14ac:dyDescent="0.3">
      <c r="A2603">
        <v>2602</v>
      </c>
      <c r="B2603">
        <v>230</v>
      </c>
      <c r="C2603">
        <v>4</v>
      </c>
      <c r="D2603">
        <v>2442</v>
      </c>
      <c r="E2603" t="s">
        <v>651</v>
      </c>
      <c r="F2603">
        <v>24.26</v>
      </c>
      <c r="G2603" t="s">
        <v>623</v>
      </c>
      <c r="H2603" s="1">
        <v>46235.772488425922</v>
      </c>
      <c r="I2603" t="s">
        <v>641</v>
      </c>
      <c r="J2603">
        <v>24.26</v>
      </c>
      <c r="K2603">
        <v>0</v>
      </c>
    </row>
    <row r="2604" spans="1:11" x14ac:dyDescent="0.3">
      <c r="A2604">
        <v>2603</v>
      </c>
      <c r="B2604">
        <v>21</v>
      </c>
      <c r="C2604">
        <v>5</v>
      </c>
      <c r="D2604">
        <v>2443</v>
      </c>
      <c r="E2604" t="s">
        <v>651</v>
      </c>
      <c r="F2604">
        <v>3.02</v>
      </c>
      <c r="G2604" t="s">
        <v>623</v>
      </c>
      <c r="H2604" s="1">
        <v>46236.542916666665</v>
      </c>
      <c r="I2604" t="s">
        <v>641</v>
      </c>
      <c r="J2604">
        <v>3.02</v>
      </c>
      <c r="K2604">
        <v>0</v>
      </c>
    </row>
    <row r="2605" spans="1:11" x14ac:dyDescent="0.3">
      <c r="A2605">
        <v>2604</v>
      </c>
      <c r="B2605">
        <v>304</v>
      </c>
      <c r="C2605">
        <v>3</v>
      </c>
      <c r="D2605">
        <v>2444</v>
      </c>
      <c r="E2605" t="s">
        <v>651</v>
      </c>
      <c r="F2605">
        <v>3</v>
      </c>
      <c r="G2605" t="s">
        <v>623</v>
      </c>
      <c r="H2605" s="1">
        <v>46236.648506944446</v>
      </c>
      <c r="I2605" t="s">
        <v>641</v>
      </c>
      <c r="J2605">
        <v>3</v>
      </c>
      <c r="K2605">
        <v>0</v>
      </c>
    </row>
    <row r="2606" spans="1:11" x14ac:dyDescent="0.3">
      <c r="A2606">
        <v>2605</v>
      </c>
      <c r="B2606">
        <v>250</v>
      </c>
      <c r="C2606">
        <v>4</v>
      </c>
      <c r="D2606">
        <v>2445</v>
      </c>
      <c r="E2606" t="s">
        <v>651</v>
      </c>
      <c r="F2606">
        <v>7.6</v>
      </c>
      <c r="G2606" t="s">
        <v>623</v>
      </c>
      <c r="H2606" s="1">
        <v>46237.364733796298</v>
      </c>
      <c r="I2606" t="s">
        <v>641</v>
      </c>
      <c r="J2606">
        <v>7.6</v>
      </c>
      <c r="K2606">
        <v>0</v>
      </c>
    </row>
    <row r="2607" spans="1:11" x14ac:dyDescent="0.3">
      <c r="A2607">
        <v>2606</v>
      </c>
      <c r="B2607">
        <v>250</v>
      </c>
      <c r="C2607">
        <v>5</v>
      </c>
      <c r="D2607">
        <v>2446</v>
      </c>
      <c r="E2607" t="s">
        <v>651</v>
      </c>
      <c r="F2607">
        <v>10.09</v>
      </c>
      <c r="G2607" t="s">
        <v>623</v>
      </c>
      <c r="H2607" s="1">
        <v>46237.371701388889</v>
      </c>
      <c r="I2607" t="s">
        <v>641</v>
      </c>
      <c r="J2607">
        <v>10.09</v>
      </c>
      <c r="K2607">
        <v>0</v>
      </c>
    </row>
    <row r="2608" spans="1:11" x14ac:dyDescent="0.3">
      <c r="A2608">
        <v>2607</v>
      </c>
      <c r="B2608">
        <v>250</v>
      </c>
      <c r="C2608">
        <v>2</v>
      </c>
      <c r="D2608">
        <v>2445</v>
      </c>
      <c r="E2608" t="s">
        <v>649</v>
      </c>
      <c r="F2608">
        <v>-7.6</v>
      </c>
      <c r="G2608" t="s">
        <v>757</v>
      </c>
      <c r="H2608" s="1">
        <v>46237.406400462962</v>
      </c>
      <c r="I2608" t="s">
        <v>641</v>
      </c>
      <c r="J2608">
        <v>0</v>
      </c>
      <c r="K2608">
        <v>0</v>
      </c>
    </row>
    <row r="2609" spans="1:11" x14ac:dyDescent="0.3">
      <c r="A2609">
        <v>2608</v>
      </c>
      <c r="B2609">
        <v>304</v>
      </c>
      <c r="C2609">
        <v>4</v>
      </c>
      <c r="D2609">
        <v>2444</v>
      </c>
      <c r="E2609" t="s">
        <v>649</v>
      </c>
      <c r="F2609">
        <v>-3</v>
      </c>
      <c r="G2609" t="s">
        <v>758</v>
      </c>
      <c r="H2609" s="1">
        <v>46237.44017361111</v>
      </c>
      <c r="I2609" t="s">
        <v>641</v>
      </c>
      <c r="J2609">
        <v>0</v>
      </c>
      <c r="K2609">
        <v>0</v>
      </c>
    </row>
    <row r="2610" spans="1:11" x14ac:dyDescent="0.3">
      <c r="A2610">
        <v>2609</v>
      </c>
      <c r="B2610">
        <v>250</v>
      </c>
      <c r="C2610">
        <v>3</v>
      </c>
      <c r="D2610">
        <v>2447</v>
      </c>
      <c r="E2610" t="s">
        <v>651</v>
      </c>
      <c r="F2610">
        <v>15.07</v>
      </c>
      <c r="G2610" t="s">
        <v>623</v>
      </c>
      <c r="H2610" s="1">
        <v>46237.448877314811</v>
      </c>
      <c r="I2610" t="s">
        <v>641</v>
      </c>
      <c r="J2610">
        <v>15.07</v>
      </c>
      <c r="K2610">
        <v>0</v>
      </c>
    </row>
    <row r="2611" spans="1:11" x14ac:dyDescent="0.3">
      <c r="A2611">
        <v>2610</v>
      </c>
      <c r="B2611">
        <v>136</v>
      </c>
      <c r="C2611">
        <v>3</v>
      </c>
      <c r="D2611">
        <v>2448</v>
      </c>
      <c r="E2611" t="s">
        <v>651</v>
      </c>
      <c r="F2611">
        <v>13.1</v>
      </c>
      <c r="G2611" t="s">
        <v>623</v>
      </c>
      <c r="H2611" s="1">
        <v>46237.452430555553</v>
      </c>
      <c r="I2611" t="s">
        <v>641</v>
      </c>
      <c r="J2611">
        <v>13.1</v>
      </c>
      <c r="K2611">
        <v>0</v>
      </c>
    </row>
    <row r="2612" spans="1:11" x14ac:dyDescent="0.3">
      <c r="A2612">
        <v>2611</v>
      </c>
      <c r="B2612">
        <v>252</v>
      </c>
      <c r="C2612">
        <v>3</v>
      </c>
      <c r="D2612">
        <v>2449</v>
      </c>
      <c r="E2612" t="s">
        <v>651</v>
      </c>
      <c r="F2612">
        <v>2.61</v>
      </c>
      <c r="G2612" t="s">
        <v>623</v>
      </c>
      <c r="H2612" s="1">
        <v>46237.656736111108</v>
      </c>
      <c r="I2612" t="s">
        <v>641</v>
      </c>
      <c r="J2612">
        <v>2.61</v>
      </c>
      <c r="K2612">
        <v>0</v>
      </c>
    </row>
    <row r="2613" spans="1:11" x14ac:dyDescent="0.3">
      <c r="A2613">
        <v>2612</v>
      </c>
      <c r="B2613">
        <v>32</v>
      </c>
      <c r="C2613">
        <v>2</v>
      </c>
      <c r="D2613">
        <v>2450</v>
      </c>
      <c r="E2613" t="s">
        <v>651</v>
      </c>
      <c r="F2613">
        <v>4.45</v>
      </c>
      <c r="G2613" t="s">
        <v>623</v>
      </c>
      <c r="H2613" s="1">
        <v>46237.725266203706</v>
      </c>
      <c r="I2613" t="s">
        <v>641</v>
      </c>
      <c r="J2613">
        <v>4.45</v>
      </c>
      <c r="K2613">
        <v>0</v>
      </c>
    </row>
    <row r="2614" spans="1:11" x14ac:dyDescent="0.3">
      <c r="A2614">
        <v>2613</v>
      </c>
      <c r="B2614">
        <v>221</v>
      </c>
      <c r="C2614">
        <v>3</v>
      </c>
      <c r="D2614">
        <v>2451</v>
      </c>
      <c r="E2614" t="s">
        <v>651</v>
      </c>
      <c r="F2614">
        <v>9.2899999999999991</v>
      </c>
      <c r="G2614" t="s">
        <v>623</v>
      </c>
      <c r="H2614" s="1">
        <v>46238.341319444444</v>
      </c>
      <c r="I2614" t="s">
        <v>641</v>
      </c>
      <c r="J2614">
        <v>9.2899999999999991</v>
      </c>
      <c r="K2614">
        <v>0</v>
      </c>
    </row>
    <row r="2615" spans="1:11" x14ac:dyDescent="0.3">
      <c r="A2615">
        <v>2614</v>
      </c>
      <c r="B2615">
        <v>128</v>
      </c>
      <c r="C2615">
        <v>4</v>
      </c>
      <c r="D2615">
        <v>2452</v>
      </c>
      <c r="E2615" t="s">
        <v>651</v>
      </c>
      <c r="F2615">
        <v>1.29</v>
      </c>
      <c r="G2615" t="s">
        <v>623</v>
      </c>
      <c r="H2615" s="1">
        <v>46238.407997685186</v>
      </c>
      <c r="I2615" t="s">
        <v>641</v>
      </c>
      <c r="J2615">
        <v>1.29</v>
      </c>
      <c r="K2615">
        <v>0</v>
      </c>
    </row>
    <row r="2616" spans="1:11" x14ac:dyDescent="0.3">
      <c r="A2616">
        <v>2615</v>
      </c>
      <c r="B2616">
        <v>250</v>
      </c>
      <c r="C2616">
        <v>3</v>
      </c>
      <c r="D2616">
        <v>2453</v>
      </c>
      <c r="E2616" t="s">
        <v>651</v>
      </c>
      <c r="F2616">
        <v>10.55</v>
      </c>
      <c r="G2616" t="s">
        <v>623</v>
      </c>
      <c r="H2616" s="1">
        <v>46238.420370370368</v>
      </c>
      <c r="I2616" t="s">
        <v>641</v>
      </c>
      <c r="J2616">
        <v>10.55</v>
      </c>
      <c r="K2616">
        <v>0</v>
      </c>
    </row>
    <row r="2617" spans="1:11" x14ac:dyDescent="0.3">
      <c r="A2617">
        <v>2616</v>
      </c>
      <c r="B2617">
        <v>229</v>
      </c>
      <c r="C2617">
        <v>4</v>
      </c>
      <c r="D2617">
        <v>2454</v>
      </c>
      <c r="E2617" t="s">
        <v>651</v>
      </c>
      <c r="F2617">
        <v>15.23</v>
      </c>
      <c r="G2617" t="s">
        <v>623</v>
      </c>
      <c r="H2617" s="1">
        <v>46238.442418981482</v>
      </c>
      <c r="I2617" t="s">
        <v>641</v>
      </c>
      <c r="J2617">
        <v>15.23</v>
      </c>
      <c r="K2617">
        <v>0</v>
      </c>
    </row>
    <row r="2618" spans="1:11" x14ac:dyDescent="0.3">
      <c r="A2618">
        <v>2617</v>
      </c>
      <c r="B2618">
        <v>134</v>
      </c>
      <c r="C2618">
        <v>5</v>
      </c>
      <c r="D2618">
        <v>2455</v>
      </c>
      <c r="E2618" t="s">
        <v>651</v>
      </c>
      <c r="F2618">
        <v>8.36</v>
      </c>
      <c r="G2618" t="s">
        <v>623</v>
      </c>
      <c r="H2618" s="1">
        <v>46238.446064814816</v>
      </c>
      <c r="I2618" t="s">
        <v>641</v>
      </c>
      <c r="J2618">
        <v>8.36</v>
      </c>
      <c r="K2618">
        <v>0</v>
      </c>
    </row>
    <row r="2619" spans="1:11" x14ac:dyDescent="0.3">
      <c r="A2619">
        <v>2618</v>
      </c>
      <c r="B2619">
        <v>268</v>
      </c>
      <c r="C2619">
        <v>5</v>
      </c>
      <c r="D2619">
        <v>2456</v>
      </c>
      <c r="E2619" t="s">
        <v>651</v>
      </c>
      <c r="F2619">
        <v>5.93</v>
      </c>
      <c r="G2619" t="s">
        <v>623</v>
      </c>
      <c r="H2619" s="1">
        <v>46238.505416666667</v>
      </c>
      <c r="I2619" t="s">
        <v>641</v>
      </c>
      <c r="J2619">
        <v>5.93</v>
      </c>
      <c r="K2619">
        <v>0</v>
      </c>
    </row>
    <row r="2620" spans="1:11" x14ac:dyDescent="0.3">
      <c r="A2620">
        <v>2619</v>
      </c>
      <c r="B2620">
        <v>133</v>
      </c>
      <c r="C2620">
        <v>5</v>
      </c>
      <c r="D2620">
        <v>2457</v>
      </c>
      <c r="E2620" t="s">
        <v>651</v>
      </c>
      <c r="F2620">
        <v>7.25</v>
      </c>
      <c r="G2620" t="s">
        <v>623</v>
      </c>
      <c r="H2620" s="1">
        <v>46238.52784722222</v>
      </c>
      <c r="I2620" t="s">
        <v>641</v>
      </c>
      <c r="J2620">
        <v>7.25</v>
      </c>
      <c r="K2620">
        <v>0</v>
      </c>
    </row>
    <row r="2621" spans="1:11" x14ac:dyDescent="0.3">
      <c r="A2621">
        <v>2620</v>
      </c>
      <c r="B2621">
        <v>138</v>
      </c>
      <c r="C2621">
        <v>2</v>
      </c>
      <c r="D2621">
        <v>2458</v>
      </c>
      <c r="E2621" t="s">
        <v>651</v>
      </c>
      <c r="F2621">
        <v>3.52</v>
      </c>
      <c r="G2621" t="s">
        <v>623</v>
      </c>
      <c r="H2621" s="1">
        <v>46238.618368055555</v>
      </c>
      <c r="I2621" t="s">
        <v>641</v>
      </c>
      <c r="J2621">
        <v>3.52</v>
      </c>
      <c r="K2621">
        <v>0</v>
      </c>
    </row>
    <row r="2622" spans="1:11" x14ac:dyDescent="0.3">
      <c r="A2622">
        <v>2621</v>
      </c>
      <c r="B2622">
        <v>136</v>
      </c>
      <c r="C2622">
        <v>4</v>
      </c>
      <c r="D2622">
        <v>2459</v>
      </c>
      <c r="E2622" t="s">
        <v>651</v>
      </c>
      <c r="F2622">
        <v>10.98</v>
      </c>
      <c r="G2622" t="s">
        <v>623</v>
      </c>
      <c r="H2622" s="1">
        <v>46238.688692129632</v>
      </c>
      <c r="I2622" t="s">
        <v>641</v>
      </c>
      <c r="J2622">
        <v>10.98</v>
      </c>
      <c r="K2622">
        <v>0</v>
      </c>
    </row>
    <row r="2623" spans="1:11" x14ac:dyDescent="0.3">
      <c r="A2623">
        <v>2622</v>
      </c>
      <c r="B2623">
        <v>128</v>
      </c>
      <c r="C2623">
        <v>2</v>
      </c>
      <c r="D2623">
        <v>2460</v>
      </c>
      <c r="E2623" t="s">
        <v>651</v>
      </c>
      <c r="F2623">
        <v>5.79</v>
      </c>
      <c r="G2623" t="s">
        <v>623</v>
      </c>
      <c r="H2623" s="1">
        <v>46238.689513888887</v>
      </c>
      <c r="I2623" t="s">
        <v>641</v>
      </c>
      <c r="J2623">
        <v>5.79</v>
      </c>
      <c r="K2623">
        <v>0</v>
      </c>
    </row>
    <row r="2624" spans="1:11" x14ac:dyDescent="0.3">
      <c r="A2624">
        <v>2623</v>
      </c>
      <c r="B2624">
        <v>136</v>
      </c>
      <c r="C2624">
        <v>5</v>
      </c>
      <c r="D2624">
        <v>2461</v>
      </c>
      <c r="E2624" t="s">
        <v>651</v>
      </c>
      <c r="F2624">
        <v>5.0999999999999996</v>
      </c>
      <c r="G2624" t="s">
        <v>623</v>
      </c>
      <c r="H2624" s="1">
        <v>46238.691921296297</v>
      </c>
      <c r="I2624" t="s">
        <v>641</v>
      </c>
      <c r="J2624">
        <v>5.0999999999999996</v>
      </c>
      <c r="K2624">
        <v>0</v>
      </c>
    </row>
    <row r="2625" spans="1:11" x14ac:dyDescent="0.3">
      <c r="A2625">
        <v>2624</v>
      </c>
      <c r="B2625">
        <v>141</v>
      </c>
      <c r="C2625">
        <v>2</v>
      </c>
      <c r="D2625">
        <v>2462</v>
      </c>
      <c r="E2625" t="s">
        <v>651</v>
      </c>
      <c r="F2625">
        <v>5.18</v>
      </c>
      <c r="G2625" t="s">
        <v>623</v>
      </c>
      <c r="H2625" s="1">
        <v>46238.721284722225</v>
      </c>
      <c r="I2625" t="s">
        <v>641</v>
      </c>
      <c r="J2625">
        <v>5.18</v>
      </c>
      <c r="K2625">
        <v>0</v>
      </c>
    </row>
    <row r="2626" spans="1:11" x14ac:dyDescent="0.3">
      <c r="A2626">
        <v>2625</v>
      </c>
      <c r="B2626">
        <v>134</v>
      </c>
      <c r="C2626">
        <v>2</v>
      </c>
      <c r="D2626">
        <v>2463</v>
      </c>
      <c r="E2626" t="s">
        <v>651</v>
      </c>
      <c r="F2626">
        <v>5.85</v>
      </c>
      <c r="G2626" t="s">
        <v>623</v>
      </c>
      <c r="H2626" s="1">
        <v>46238.770208333335</v>
      </c>
      <c r="I2626" t="s">
        <v>641</v>
      </c>
      <c r="J2626">
        <v>5.85</v>
      </c>
      <c r="K2626">
        <v>0</v>
      </c>
    </row>
    <row r="2627" spans="1:11" x14ac:dyDescent="0.3">
      <c r="A2627">
        <v>2626</v>
      </c>
      <c r="B2627">
        <v>197</v>
      </c>
      <c r="C2627">
        <v>3</v>
      </c>
      <c r="D2627">
        <v>2464</v>
      </c>
      <c r="E2627" t="s">
        <v>651</v>
      </c>
      <c r="F2627">
        <v>5.84</v>
      </c>
      <c r="G2627" t="s">
        <v>623</v>
      </c>
      <c r="H2627" s="1">
        <v>46239.295011574075</v>
      </c>
      <c r="I2627" t="s">
        <v>641</v>
      </c>
      <c r="J2627">
        <v>5.84</v>
      </c>
      <c r="K2627">
        <v>0</v>
      </c>
    </row>
    <row r="2628" spans="1:11" x14ac:dyDescent="0.3">
      <c r="A2628">
        <v>2627</v>
      </c>
      <c r="B2628">
        <v>40</v>
      </c>
      <c r="C2628">
        <v>4</v>
      </c>
      <c r="D2628">
        <v>2465</v>
      </c>
      <c r="E2628" t="s">
        <v>651</v>
      </c>
      <c r="F2628">
        <v>9.41</v>
      </c>
      <c r="G2628" t="s">
        <v>623</v>
      </c>
      <c r="H2628" s="1">
        <v>46239.405844907407</v>
      </c>
      <c r="I2628" t="s">
        <v>641</v>
      </c>
      <c r="J2628">
        <v>9.41</v>
      </c>
      <c r="K2628">
        <v>0</v>
      </c>
    </row>
    <row r="2629" spans="1:11" x14ac:dyDescent="0.3">
      <c r="A2629">
        <v>2628</v>
      </c>
      <c r="B2629">
        <v>192</v>
      </c>
      <c r="C2629">
        <v>3</v>
      </c>
      <c r="D2629">
        <v>2466</v>
      </c>
      <c r="E2629" t="s">
        <v>657</v>
      </c>
      <c r="F2629">
        <v>25.25</v>
      </c>
      <c r="G2629" t="s">
        <v>623</v>
      </c>
      <c r="H2629" s="1">
        <v>46239.448078703703</v>
      </c>
      <c r="I2629" t="s">
        <v>641</v>
      </c>
      <c r="J2629">
        <v>0</v>
      </c>
      <c r="K2629">
        <v>25.25</v>
      </c>
    </row>
    <row r="2630" spans="1:11" x14ac:dyDescent="0.3">
      <c r="A2630">
        <v>2629</v>
      </c>
      <c r="B2630">
        <v>193</v>
      </c>
      <c r="C2630">
        <v>3</v>
      </c>
      <c r="D2630">
        <v>2467</v>
      </c>
      <c r="E2630" t="s">
        <v>651</v>
      </c>
      <c r="F2630">
        <v>10.84</v>
      </c>
      <c r="G2630" t="s">
        <v>623</v>
      </c>
      <c r="H2630" s="1">
        <v>46239.542349537034</v>
      </c>
      <c r="I2630" t="s">
        <v>641</v>
      </c>
      <c r="J2630">
        <v>10.84</v>
      </c>
      <c r="K2630">
        <v>0</v>
      </c>
    </row>
    <row r="2631" spans="1:11" x14ac:dyDescent="0.3">
      <c r="A2631">
        <v>2630</v>
      </c>
      <c r="B2631">
        <v>82</v>
      </c>
      <c r="C2631">
        <v>4</v>
      </c>
      <c r="D2631">
        <v>2468</v>
      </c>
      <c r="E2631" t="s">
        <v>651</v>
      </c>
      <c r="F2631">
        <v>5.64</v>
      </c>
      <c r="G2631" t="s">
        <v>623</v>
      </c>
      <c r="H2631" s="1">
        <v>46239.619270833333</v>
      </c>
      <c r="I2631" t="s">
        <v>641</v>
      </c>
      <c r="J2631">
        <v>5.64</v>
      </c>
      <c r="K2631">
        <v>0</v>
      </c>
    </row>
    <row r="2632" spans="1:11" x14ac:dyDescent="0.3">
      <c r="A2632">
        <v>2631</v>
      </c>
      <c r="B2632">
        <v>18</v>
      </c>
      <c r="C2632">
        <v>3</v>
      </c>
      <c r="D2632">
        <v>2469</v>
      </c>
      <c r="E2632" t="s">
        <v>651</v>
      </c>
      <c r="F2632">
        <v>13.77</v>
      </c>
      <c r="G2632" t="s">
        <v>623</v>
      </c>
      <c r="H2632" s="1">
        <v>46239.633958333332</v>
      </c>
      <c r="I2632" t="s">
        <v>641</v>
      </c>
      <c r="J2632">
        <v>13.77</v>
      </c>
      <c r="K2632">
        <v>0</v>
      </c>
    </row>
    <row r="2633" spans="1:11" x14ac:dyDescent="0.3">
      <c r="A2633">
        <v>2632</v>
      </c>
      <c r="B2633">
        <v>201</v>
      </c>
      <c r="C2633">
        <v>5</v>
      </c>
      <c r="D2633">
        <v>2470</v>
      </c>
      <c r="E2633" t="s">
        <v>651</v>
      </c>
      <c r="F2633">
        <v>3.04</v>
      </c>
      <c r="G2633" t="s">
        <v>623</v>
      </c>
      <c r="H2633" s="1">
        <v>46239.636944444443</v>
      </c>
      <c r="I2633" t="s">
        <v>641</v>
      </c>
      <c r="J2633">
        <v>3.04</v>
      </c>
      <c r="K2633">
        <v>0</v>
      </c>
    </row>
    <row r="2634" spans="1:11" x14ac:dyDescent="0.3">
      <c r="A2634">
        <v>2633</v>
      </c>
      <c r="B2634">
        <v>128</v>
      </c>
      <c r="C2634">
        <v>5</v>
      </c>
      <c r="D2634">
        <v>2471</v>
      </c>
      <c r="E2634" t="s">
        <v>657</v>
      </c>
      <c r="F2634">
        <v>30.98</v>
      </c>
      <c r="G2634" t="s">
        <v>623</v>
      </c>
      <c r="H2634" s="1">
        <v>46239.650879629633</v>
      </c>
      <c r="I2634" t="s">
        <v>641</v>
      </c>
      <c r="J2634">
        <v>0</v>
      </c>
      <c r="K2634">
        <v>30.98</v>
      </c>
    </row>
    <row r="2635" spans="1:11" x14ac:dyDescent="0.3">
      <c r="A2635">
        <v>2634</v>
      </c>
      <c r="B2635">
        <v>137</v>
      </c>
      <c r="C2635">
        <v>2</v>
      </c>
      <c r="D2635">
        <v>2472</v>
      </c>
      <c r="E2635" t="s">
        <v>651</v>
      </c>
      <c r="F2635">
        <v>2.95</v>
      </c>
      <c r="G2635" t="s">
        <v>623</v>
      </c>
      <c r="H2635" s="1">
        <v>46239.756956018522</v>
      </c>
      <c r="I2635" t="s">
        <v>641</v>
      </c>
      <c r="J2635">
        <v>2.95</v>
      </c>
      <c r="K2635">
        <v>0</v>
      </c>
    </row>
    <row r="2636" spans="1:11" x14ac:dyDescent="0.3">
      <c r="A2636">
        <v>2635</v>
      </c>
      <c r="B2636">
        <v>134</v>
      </c>
      <c r="C2636">
        <v>2</v>
      </c>
      <c r="D2636">
        <v>2473</v>
      </c>
      <c r="E2636" t="s">
        <v>651</v>
      </c>
      <c r="F2636">
        <v>7.16</v>
      </c>
      <c r="G2636" t="s">
        <v>623</v>
      </c>
      <c r="H2636" s="1">
        <v>46239.814363425925</v>
      </c>
      <c r="I2636" t="s">
        <v>641</v>
      </c>
      <c r="J2636">
        <v>7.16</v>
      </c>
      <c r="K2636">
        <v>0</v>
      </c>
    </row>
    <row r="2637" spans="1:11" x14ac:dyDescent="0.3">
      <c r="A2637">
        <v>2636</v>
      </c>
      <c r="B2637">
        <v>131</v>
      </c>
      <c r="C2637">
        <v>2</v>
      </c>
      <c r="D2637">
        <v>2474</v>
      </c>
      <c r="E2637" t="s">
        <v>651</v>
      </c>
      <c r="F2637">
        <v>23.86</v>
      </c>
      <c r="G2637" t="s">
        <v>623</v>
      </c>
      <c r="H2637" s="1">
        <v>46240.486585648148</v>
      </c>
      <c r="I2637" t="s">
        <v>641</v>
      </c>
      <c r="J2637">
        <v>23.86</v>
      </c>
      <c r="K2637">
        <v>0</v>
      </c>
    </row>
    <row r="2638" spans="1:11" x14ac:dyDescent="0.3">
      <c r="A2638">
        <v>2637</v>
      </c>
      <c r="B2638">
        <v>136</v>
      </c>
      <c r="C2638">
        <v>4</v>
      </c>
      <c r="D2638">
        <v>2475</v>
      </c>
      <c r="E2638" t="s">
        <v>651</v>
      </c>
      <c r="F2638">
        <v>14.86</v>
      </c>
      <c r="G2638" t="s">
        <v>623</v>
      </c>
      <c r="H2638" s="1">
        <v>46240.654756944445</v>
      </c>
      <c r="I2638" t="s">
        <v>641</v>
      </c>
      <c r="J2638">
        <v>14.86</v>
      </c>
      <c r="K2638">
        <v>0</v>
      </c>
    </row>
    <row r="2639" spans="1:11" x14ac:dyDescent="0.3">
      <c r="A2639">
        <v>2638</v>
      </c>
      <c r="B2639">
        <v>39</v>
      </c>
      <c r="C2639">
        <v>4</v>
      </c>
      <c r="D2639">
        <v>2476</v>
      </c>
      <c r="E2639" t="s">
        <v>651</v>
      </c>
      <c r="F2639">
        <v>17.89</v>
      </c>
      <c r="G2639" t="s">
        <v>623</v>
      </c>
      <c r="H2639" s="1">
        <v>46240.689942129633</v>
      </c>
      <c r="I2639" t="s">
        <v>641</v>
      </c>
      <c r="J2639">
        <v>17.89</v>
      </c>
      <c r="K2639">
        <v>0</v>
      </c>
    </row>
    <row r="2640" spans="1:11" x14ac:dyDescent="0.3">
      <c r="A2640">
        <v>2639</v>
      </c>
      <c r="B2640">
        <v>305</v>
      </c>
      <c r="C2640">
        <v>5</v>
      </c>
      <c r="D2640">
        <v>2477</v>
      </c>
      <c r="E2640" t="s">
        <v>651</v>
      </c>
      <c r="F2640">
        <v>2.92</v>
      </c>
      <c r="G2640" t="s">
        <v>623</v>
      </c>
      <c r="H2640" s="1">
        <v>46241.35533564815</v>
      </c>
      <c r="I2640" t="s">
        <v>641</v>
      </c>
      <c r="J2640">
        <v>2.92</v>
      </c>
      <c r="K2640">
        <v>0</v>
      </c>
    </row>
    <row r="2641" spans="1:11" x14ac:dyDescent="0.3">
      <c r="A2641">
        <v>2640</v>
      </c>
      <c r="B2641">
        <v>247</v>
      </c>
      <c r="C2641">
        <v>3</v>
      </c>
      <c r="D2641">
        <v>2478</v>
      </c>
      <c r="E2641" t="s">
        <v>651</v>
      </c>
      <c r="F2641">
        <v>2.67</v>
      </c>
      <c r="G2641" t="s">
        <v>623</v>
      </c>
      <c r="H2641" s="1">
        <v>46241.360532407409</v>
      </c>
      <c r="I2641" t="s">
        <v>641</v>
      </c>
      <c r="J2641">
        <v>2.67</v>
      </c>
      <c r="K2641">
        <v>0</v>
      </c>
    </row>
    <row r="2642" spans="1:11" x14ac:dyDescent="0.3">
      <c r="A2642">
        <v>2641</v>
      </c>
      <c r="B2642">
        <v>122</v>
      </c>
      <c r="C2642">
        <v>2</v>
      </c>
      <c r="D2642">
        <v>2479</v>
      </c>
      <c r="E2642" t="s">
        <v>651</v>
      </c>
      <c r="F2642">
        <v>18.670000000000002</v>
      </c>
      <c r="G2642" t="s">
        <v>623</v>
      </c>
      <c r="H2642" s="1">
        <v>46241.383437500001</v>
      </c>
      <c r="I2642" t="s">
        <v>641</v>
      </c>
      <c r="J2642">
        <v>18.670000000000002</v>
      </c>
      <c r="K2642">
        <v>0</v>
      </c>
    </row>
    <row r="2643" spans="1:11" x14ac:dyDescent="0.3">
      <c r="A2643">
        <v>2642</v>
      </c>
      <c r="B2643">
        <v>128</v>
      </c>
      <c r="C2643">
        <v>2</v>
      </c>
      <c r="D2643">
        <v>2480</v>
      </c>
      <c r="E2643" t="s">
        <v>651</v>
      </c>
      <c r="F2643">
        <v>3.69</v>
      </c>
      <c r="G2643" t="s">
        <v>623</v>
      </c>
      <c r="H2643" s="1">
        <v>46241.468182870369</v>
      </c>
      <c r="I2643" t="s">
        <v>641</v>
      </c>
      <c r="J2643">
        <v>3.69</v>
      </c>
      <c r="K2643">
        <v>0</v>
      </c>
    </row>
    <row r="2644" spans="1:11" x14ac:dyDescent="0.3">
      <c r="A2644">
        <v>2643</v>
      </c>
      <c r="B2644">
        <v>16</v>
      </c>
      <c r="C2644">
        <v>3</v>
      </c>
      <c r="D2644">
        <v>2481</v>
      </c>
      <c r="E2644" t="s">
        <v>651</v>
      </c>
      <c r="F2644">
        <v>18.690000000000001</v>
      </c>
      <c r="G2644" t="s">
        <v>623</v>
      </c>
      <c r="H2644" s="1">
        <v>46241.521481481483</v>
      </c>
      <c r="I2644" t="s">
        <v>641</v>
      </c>
      <c r="J2644">
        <v>18.690000000000001</v>
      </c>
      <c r="K2644">
        <v>0</v>
      </c>
    </row>
    <row r="2645" spans="1:11" x14ac:dyDescent="0.3">
      <c r="A2645">
        <v>2644</v>
      </c>
      <c r="B2645">
        <v>297</v>
      </c>
      <c r="C2645">
        <v>5</v>
      </c>
      <c r="D2645">
        <v>2482</v>
      </c>
      <c r="E2645" t="s">
        <v>651</v>
      </c>
      <c r="F2645">
        <v>5.84</v>
      </c>
      <c r="G2645" t="s">
        <v>623</v>
      </c>
      <c r="H2645" s="1">
        <v>46241.543738425928</v>
      </c>
      <c r="I2645" t="s">
        <v>641</v>
      </c>
      <c r="J2645">
        <v>5.84</v>
      </c>
      <c r="K2645">
        <v>0</v>
      </c>
    </row>
    <row r="2646" spans="1:11" x14ac:dyDescent="0.3">
      <c r="A2646">
        <v>2645</v>
      </c>
      <c r="B2646">
        <v>128</v>
      </c>
      <c r="C2646">
        <v>3</v>
      </c>
      <c r="D2646">
        <v>2483</v>
      </c>
      <c r="E2646" t="s">
        <v>657</v>
      </c>
      <c r="F2646">
        <v>46.15</v>
      </c>
      <c r="G2646" t="s">
        <v>623</v>
      </c>
      <c r="H2646" s="1">
        <v>46241.548657407409</v>
      </c>
      <c r="I2646" t="s">
        <v>641</v>
      </c>
      <c r="J2646">
        <v>0</v>
      </c>
      <c r="K2646">
        <v>46.15</v>
      </c>
    </row>
    <row r="2647" spans="1:11" x14ac:dyDescent="0.3">
      <c r="A2647">
        <v>2646</v>
      </c>
      <c r="B2647">
        <v>128</v>
      </c>
      <c r="C2647">
        <v>2</v>
      </c>
      <c r="D2647">
        <v>2484</v>
      </c>
      <c r="E2647" t="s">
        <v>651</v>
      </c>
      <c r="F2647">
        <v>2.54</v>
      </c>
      <c r="G2647" t="s">
        <v>623</v>
      </c>
      <c r="H2647" s="1">
        <v>46241.644189814811</v>
      </c>
      <c r="I2647" t="s">
        <v>641</v>
      </c>
      <c r="J2647">
        <v>2.54</v>
      </c>
      <c r="K2647">
        <v>0</v>
      </c>
    </row>
    <row r="2648" spans="1:11" x14ac:dyDescent="0.3">
      <c r="A2648">
        <v>2647</v>
      </c>
      <c r="B2648">
        <v>128</v>
      </c>
      <c r="C2648">
        <v>5</v>
      </c>
      <c r="D2648">
        <v>2485</v>
      </c>
      <c r="E2648" t="s">
        <v>651</v>
      </c>
      <c r="F2648">
        <v>2.4500000000000002</v>
      </c>
      <c r="G2648" t="s">
        <v>623</v>
      </c>
      <c r="H2648" s="1">
        <v>46242.314791666664</v>
      </c>
      <c r="I2648" t="s">
        <v>641</v>
      </c>
      <c r="J2648">
        <v>2.4500000000000002</v>
      </c>
      <c r="K2648">
        <v>0</v>
      </c>
    </row>
    <row r="2649" spans="1:11" x14ac:dyDescent="0.3">
      <c r="A2649">
        <v>2648</v>
      </c>
      <c r="B2649">
        <v>128</v>
      </c>
      <c r="C2649">
        <v>5</v>
      </c>
      <c r="D2649">
        <v>2486</v>
      </c>
      <c r="E2649" t="s">
        <v>651</v>
      </c>
      <c r="F2649">
        <v>7.22</v>
      </c>
      <c r="G2649" t="s">
        <v>623</v>
      </c>
      <c r="H2649" s="1">
        <v>46242.359907407408</v>
      </c>
      <c r="I2649" t="s">
        <v>641</v>
      </c>
      <c r="J2649">
        <v>7.22</v>
      </c>
      <c r="K2649">
        <v>0</v>
      </c>
    </row>
    <row r="2650" spans="1:11" x14ac:dyDescent="0.3">
      <c r="A2650">
        <v>2649</v>
      </c>
      <c r="B2650">
        <v>36</v>
      </c>
      <c r="C2650">
        <v>3</v>
      </c>
      <c r="D2650">
        <v>2487</v>
      </c>
      <c r="E2650" t="s">
        <v>651</v>
      </c>
      <c r="F2650">
        <v>14.93</v>
      </c>
      <c r="G2650" t="s">
        <v>623</v>
      </c>
      <c r="H2650" s="1">
        <v>46242.454236111109</v>
      </c>
      <c r="I2650" t="s">
        <v>641</v>
      </c>
      <c r="J2650">
        <v>14.93</v>
      </c>
      <c r="K2650">
        <v>0</v>
      </c>
    </row>
    <row r="2651" spans="1:11" x14ac:dyDescent="0.3">
      <c r="A2651">
        <v>2650</v>
      </c>
      <c r="B2651">
        <v>128</v>
      </c>
      <c r="C2651">
        <v>5</v>
      </c>
      <c r="D2651">
        <v>2488</v>
      </c>
      <c r="E2651" t="s">
        <v>651</v>
      </c>
      <c r="F2651">
        <v>2.98</v>
      </c>
      <c r="G2651" t="s">
        <v>623</v>
      </c>
      <c r="H2651" s="1">
        <v>46242.471250000002</v>
      </c>
      <c r="I2651" t="s">
        <v>641</v>
      </c>
      <c r="J2651">
        <v>2.98</v>
      </c>
      <c r="K2651">
        <v>0</v>
      </c>
    </row>
    <row r="2652" spans="1:11" x14ac:dyDescent="0.3">
      <c r="A2652">
        <v>2651</v>
      </c>
      <c r="B2652">
        <v>75</v>
      </c>
      <c r="C2652">
        <v>3</v>
      </c>
      <c r="D2652">
        <v>2489</v>
      </c>
      <c r="E2652" t="s">
        <v>651</v>
      </c>
      <c r="F2652">
        <v>10.17</v>
      </c>
      <c r="G2652" t="s">
        <v>623</v>
      </c>
      <c r="H2652" s="1">
        <v>46242.495798611111</v>
      </c>
      <c r="I2652" t="s">
        <v>641</v>
      </c>
      <c r="J2652">
        <v>10.17</v>
      </c>
      <c r="K2652">
        <v>0</v>
      </c>
    </row>
    <row r="2653" spans="1:11" x14ac:dyDescent="0.3">
      <c r="A2653">
        <v>2652</v>
      </c>
      <c r="B2653">
        <v>76</v>
      </c>
      <c r="C2653">
        <v>4</v>
      </c>
      <c r="D2653">
        <v>2490</v>
      </c>
      <c r="E2653" t="s">
        <v>651</v>
      </c>
      <c r="F2653">
        <v>12.82</v>
      </c>
      <c r="G2653" t="s">
        <v>623</v>
      </c>
      <c r="H2653" s="1">
        <v>46242.612928240742</v>
      </c>
      <c r="I2653" t="s">
        <v>641</v>
      </c>
      <c r="J2653">
        <v>12.82</v>
      </c>
      <c r="K2653">
        <v>0</v>
      </c>
    </row>
    <row r="2654" spans="1:11" x14ac:dyDescent="0.3">
      <c r="A2654">
        <v>2653</v>
      </c>
      <c r="B2654">
        <v>75</v>
      </c>
      <c r="C2654">
        <v>5</v>
      </c>
      <c r="D2654">
        <v>2491</v>
      </c>
      <c r="E2654" t="s">
        <v>651</v>
      </c>
      <c r="F2654">
        <v>7.89</v>
      </c>
      <c r="G2654" t="s">
        <v>623</v>
      </c>
      <c r="H2654" s="1">
        <v>46242.646678240744</v>
      </c>
      <c r="I2654" t="s">
        <v>641</v>
      </c>
      <c r="J2654">
        <v>7.89</v>
      </c>
      <c r="K2654">
        <v>0</v>
      </c>
    </row>
    <row r="2655" spans="1:11" x14ac:dyDescent="0.3">
      <c r="A2655">
        <v>2654</v>
      </c>
      <c r="B2655">
        <v>156</v>
      </c>
      <c r="C2655">
        <v>2</v>
      </c>
      <c r="D2655">
        <v>2492</v>
      </c>
      <c r="E2655" t="s">
        <v>651</v>
      </c>
      <c r="F2655">
        <v>2.78</v>
      </c>
      <c r="G2655" t="s">
        <v>623</v>
      </c>
      <c r="H2655" s="1">
        <v>46242.666412037041</v>
      </c>
      <c r="I2655" t="s">
        <v>641</v>
      </c>
      <c r="J2655">
        <v>2.78</v>
      </c>
      <c r="K2655">
        <v>0</v>
      </c>
    </row>
    <row r="2656" spans="1:11" x14ac:dyDescent="0.3">
      <c r="A2656">
        <v>2655</v>
      </c>
      <c r="B2656">
        <v>250</v>
      </c>
      <c r="C2656">
        <v>2</v>
      </c>
      <c r="D2656">
        <v>2493</v>
      </c>
      <c r="E2656" t="s">
        <v>657</v>
      </c>
      <c r="F2656">
        <v>65.66</v>
      </c>
      <c r="G2656" t="s">
        <v>623</v>
      </c>
      <c r="H2656" s="1">
        <v>46242.700381944444</v>
      </c>
      <c r="I2656" t="s">
        <v>641</v>
      </c>
      <c r="J2656">
        <v>0</v>
      </c>
      <c r="K2656">
        <v>65.66</v>
      </c>
    </row>
    <row r="2657" spans="1:11" x14ac:dyDescent="0.3">
      <c r="A2657">
        <v>2656</v>
      </c>
      <c r="B2657">
        <v>250</v>
      </c>
      <c r="C2657">
        <v>3</v>
      </c>
      <c r="D2657">
        <v>2494</v>
      </c>
      <c r="E2657" t="s">
        <v>651</v>
      </c>
      <c r="F2657">
        <v>8.5399999999999991</v>
      </c>
      <c r="G2657" t="s">
        <v>623</v>
      </c>
      <c r="H2657" s="1">
        <v>46242.712210648147</v>
      </c>
      <c r="I2657" t="s">
        <v>641</v>
      </c>
      <c r="J2657">
        <v>8.5399999999999991</v>
      </c>
      <c r="K2657">
        <v>0</v>
      </c>
    </row>
    <row r="2658" spans="1:11" x14ac:dyDescent="0.3">
      <c r="A2658">
        <v>2657</v>
      </c>
      <c r="B2658">
        <v>158</v>
      </c>
      <c r="C2658">
        <v>2</v>
      </c>
      <c r="D2658">
        <v>2495</v>
      </c>
      <c r="E2658" t="s">
        <v>651</v>
      </c>
      <c r="F2658">
        <v>2.5099999999999998</v>
      </c>
      <c r="G2658" t="s">
        <v>623</v>
      </c>
      <c r="H2658" s="1">
        <v>46242.731747685182</v>
      </c>
      <c r="I2658" t="s">
        <v>641</v>
      </c>
      <c r="J2658">
        <v>2.5099999999999998</v>
      </c>
      <c r="K2658">
        <v>0</v>
      </c>
    </row>
    <row r="2659" spans="1:11" x14ac:dyDescent="0.3">
      <c r="A2659">
        <v>2658</v>
      </c>
      <c r="B2659">
        <v>128</v>
      </c>
      <c r="C2659">
        <v>5</v>
      </c>
      <c r="D2659">
        <v>2480</v>
      </c>
      <c r="E2659" t="s">
        <v>649</v>
      </c>
      <c r="F2659">
        <v>-3.69</v>
      </c>
      <c r="G2659" t="s">
        <v>759</v>
      </c>
      <c r="H2659" s="1">
        <v>46242.926516203705</v>
      </c>
      <c r="I2659" t="s">
        <v>641</v>
      </c>
      <c r="J2659">
        <v>0</v>
      </c>
      <c r="K2659">
        <v>0</v>
      </c>
    </row>
    <row r="2660" spans="1:11" x14ac:dyDescent="0.3">
      <c r="A2660">
        <v>2659</v>
      </c>
      <c r="B2660">
        <v>294</v>
      </c>
      <c r="C2660">
        <v>3</v>
      </c>
      <c r="D2660">
        <v>2496</v>
      </c>
      <c r="E2660" t="s">
        <v>651</v>
      </c>
      <c r="F2660">
        <v>2.0099999999999998</v>
      </c>
      <c r="G2660" t="s">
        <v>623</v>
      </c>
      <c r="H2660" s="1">
        <v>46243.422511574077</v>
      </c>
      <c r="I2660" t="s">
        <v>641</v>
      </c>
      <c r="J2660">
        <v>2.0099999999999998</v>
      </c>
      <c r="K2660">
        <v>0</v>
      </c>
    </row>
    <row r="2661" spans="1:11" x14ac:dyDescent="0.3">
      <c r="A2661">
        <v>2660</v>
      </c>
      <c r="B2661">
        <v>110</v>
      </c>
      <c r="C2661">
        <v>5</v>
      </c>
      <c r="D2661">
        <v>2497</v>
      </c>
      <c r="E2661" t="s">
        <v>651</v>
      </c>
      <c r="F2661">
        <v>2.5099999999999998</v>
      </c>
      <c r="G2661" t="s">
        <v>623</v>
      </c>
      <c r="H2661" s="1">
        <v>46243.506828703707</v>
      </c>
      <c r="I2661" t="s">
        <v>641</v>
      </c>
      <c r="J2661">
        <v>2.5099999999999998</v>
      </c>
      <c r="K2661">
        <v>0</v>
      </c>
    </row>
    <row r="2662" spans="1:11" x14ac:dyDescent="0.3">
      <c r="A2662">
        <v>2661</v>
      </c>
      <c r="B2662">
        <v>128</v>
      </c>
      <c r="C2662">
        <v>3</v>
      </c>
      <c r="D2662">
        <v>2498</v>
      </c>
      <c r="E2662" t="s">
        <v>651</v>
      </c>
      <c r="F2662">
        <v>2.39</v>
      </c>
      <c r="G2662" t="s">
        <v>623</v>
      </c>
      <c r="H2662" s="1">
        <v>46243.550798611112</v>
      </c>
      <c r="I2662" t="s">
        <v>641</v>
      </c>
      <c r="J2662">
        <v>2.39</v>
      </c>
      <c r="K2662">
        <v>0</v>
      </c>
    </row>
    <row r="2663" spans="1:11" x14ac:dyDescent="0.3">
      <c r="A2663">
        <v>2662</v>
      </c>
      <c r="B2663">
        <v>128</v>
      </c>
      <c r="C2663">
        <v>4</v>
      </c>
      <c r="D2663">
        <v>2499</v>
      </c>
      <c r="E2663" t="s">
        <v>651</v>
      </c>
      <c r="F2663">
        <v>3.51</v>
      </c>
      <c r="G2663" t="s">
        <v>623</v>
      </c>
      <c r="H2663" s="1">
        <v>46243.594131944446</v>
      </c>
      <c r="I2663" t="s">
        <v>641</v>
      </c>
      <c r="J2663">
        <v>3.51</v>
      </c>
      <c r="K2663">
        <v>0</v>
      </c>
    </row>
    <row r="2664" spans="1:11" x14ac:dyDescent="0.3">
      <c r="A2664">
        <v>2663</v>
      </c>
      <c r="B2664">
        <v>285</v>
      </c>
      <c r="C2664">
        <v>2</v>
      </c>
      <c r="D2664">
        <v>2500</v>
      </c>
      <c r="E2664" t="s">
        <v>651</v>
      </c>
      <c r="F2664">
        <v>1.35</v>
      </c>
      <c r="G2664" t="s">
        <v>623</v>
      </c>
      <c r="H2664" s="1">
        <v>46243.642812500002</v>
      </c>
      <c r="I2664" t="s">
        <v>641</v>
      </c>
      <c r="J2664">
        <v>1.35</v>
      </c>
      <c r="K2664">
        <v>0</v>
      </c>
    </row>
    <row r="2665" spans="1:11" x14ac:dyDescent="0.3">
      <c r="A2665">
        <v>2664</v>
      </c>
      <c r="B2665">
        <v>145</v>
      </c>
      <c r="C2665">
        <v>3</v>
      </c>
      <c r="D2665">
        <v>2501</v>
      </c>
      <c r="E2665" t="s">
        <v>651</v>
      </c>
      <c r="F2665">
        <v>12.23</v>
      </c>
      <c r="G2665" t="s">
        <v>623</v>
      </c>
      <c r="H2665" s="1">
        <v>46243.734247685185</v>
      </c>
      <c r="I2665" t="s">
        <v>641</v>
      </c>
      <c r="J2665">
        <v>12.23</v>
      </c>
      <c r="K2665">
        <v>0</v>
      </c>
    </row>
    <row r="2666" spans="1:11" x14ac:dyDescent="0.3">
      <c r="A2666">
        <v>2665</v>
      </c>
      <c r="B2666">
        <v>134</v>
      </c>
      <c r="C2666">
        <v>3</v>
      </c>
      <c r="D2666">
        <v>2502</v>
      </c>
      <c r="E2666" t="s">
        <v>651</v>
      </c>
      <c r="F2666">
        <v>9.32</v>
      </c>
      <c r="G2666" t="s">
        <v>623</v>
      </c>
      <c r="H2666" s="1">
        <v>46243.741342592592</v>
      </c>
      <c r="I2666" t="s">
        <v>641</v>
      </c>
      <c r="J2666">
        <v>9.32</v>
      </c>
      <c r="K2666">
        <v>0</v>
      </c>
    </row>
    <row r="2667" spans="1:11" x14ac:dyDescent="0.3">
      <c r="A2667">
        <v>2666</v>
      </c>
      <c r="B2667">
        <v>16</v>
      </c>
      <c r="C2667">
        <v>3</v>
      </c>
      <c r="D2667">
        <v>2503</v>
      </c>
      <c r="E2667" t="s">
        <v>651</v>
      </c>
      <c r="F2667">
        <v>14.76</v>
      </c>
      <c r="G2667" t="s">
        <v>623</v>
      </c>
      <c r="H2667" s="1">
        <v>46244.338078703702</v>
      </c>
      <c r="I2667" t="s">
        <v>641</v>
      </c>
      <c r="J2667">
        <v>14.76</v>
      </c>
      <c r="K2667">
        <v>0</v>
      </c>
    </row>
    <row r="2668" spans="1:11" x14ac:dyDescent="0.3">
      <c r="A2668">
        <v>2667</v>
      </c>
      <c r="B2668">
        <v>229</v>
      </c>
      <c r="C2668">
        <v>5</v>
      </c>
      <c r="D2668">
        <v>2504</v>
      </c>
      <c r="E2668" t="s">
        <v>651</v>
      </c>
      <c r="F2668">
        <v>10.42</v>
      </c>
      <c r="G2668" t="s">
        <v>623</v>
      </c>
      <c r="H2668" s="1">
        <v>46244.357118055559</v>
      </c>
      <c r="I2668" t="s">
        <v>641</v>
      </c>
      <c r="J2668">
        <v>10.42</v>
      </c>
      <c r="K2668">
        <v>0</v>
      </c>
    </row>
    <row r="2669" spans="1:11" x14ac:dyDescent="0.3">
      <c r="A2669">
        <v>2668</v>
      </c>
      <c r="B2669">
        <v>189</v>
      </c>
      <c r="C2669">
        <v>2</v>
      </c>
      <c r="D2669">
        <v>2505</v>
      </c>
      <c r="E2669" t="s">
        <v>651</v>
      </c>
      <c r="F2669">
        <v>2.44</v>
      </c>
      <c r="G2669" t="s">
        <v>623</v>
      </c>
      <c r="H2669" s="1">
        <v>46244.588564814818</v>
      </c>
      <c r="I2669" t="s">
        <v>641</v>
      </c>
      <c r="J2669">
        <v>2.44</v>
      </c>
      <c r="K2669">
        <v>0</v>
      </c>
    </row>
    <row r="2670" spans="1:11" x14ac:dyDescent="0.3">
      <c r="A2670">
        <v>2669</v>
      </c>
      <c r="B2670">
        <v>134</v>
      </c>
      <c r="C2670">
        <v>2</v>
      </c>
      <c r="D2670">
        <v>2506</v>
      </c>
      <c r="E2670" t="s">
        <v>651</v>
      </c>
      <c r="F2670">
        <v>6.2</v>
      </c>
      <c r="G2670" t="s">
        <v>623</v>
      </c>
      <c r="H2670" s="1">
        <v>46244.627962962964</v>
      </c>
      <c r="I2670" t="s">
        <v>641</v>
      </c>
      <c r="J2670">
        <v>6.2</v>
      </c>
      <c r="K2670">
        <v>0</v>
      </c>
    </row>
    <row r="2671" spans="1:11" x14ac:dyDescent="0.3">
      <c r="A2671">
        <v>2670</v>
      </c>
      <c r="B2671">
        <v>150</v>
      </c>
      <c r="C2671">
        <v>3</v>
      </c>
      <c r="D2671">
        <v>2507</v>
      </c>
      <c r="E2671" t="s">
        <v>651</v>
      </c>
      <c r="F2671">
        <v>6.87</v>
      </c>
      <c r="G2671" t="s">
        <v>623</v>
      </c>
      <c r="H2671" s="1">
        <v>46244.660115740742</v>
      </c>
      <c r="I2671" t="s">
        <v>641</v>
      </c>
      <c r="J2671">
        <v>6.87</v>
      </c>
      <c r="K2671">
        <v>0</v>
      </c>
    </row>
    <row r="2672" spans="1:11" x14ac:dyDescent="0.3">
      <c r="A2672">
        <v>2671</v>
      </c>
      <c r="B2672">
        <v>294</v>
      </c>
      <c r="C2672">
        <v>4</v>
      </c>
      <c r="D2672">
        <v>2496</v>
      </c>
      <c r="E2672" t="s">
        <v>649</v>
      </c>
      <c r="F2672">
        <v>-2.0099999999999998</v>
      </c>
      <c r="G2672" t="s">
        <v>760</v>
      </c>
      <c r="H2672" s="1">
        <v>46244.672511574077</v>
      </c>
      <c r="I2672" t="s">
        <v>641</v>
      </c>
      <c r="J2672">
        <v>0</v>
      </c>
      <c r="K2672">
        <v>0</v>
      </c>
    </row>
    <row r="2673" spans="1:11" x14ac:dyDescent="0.3">
      <c r="A2673">
        <v>2672</v>
      </c>
      <c r="B2673">
        <v>128</v>
      </c>
      <c r="C2673">
        <v>3</v>
      </c>
      <c r="D2673">
        <v>2508</v>
      </c>
      <c r="E2673" t="s">
        <v>651</v>
      </c>
      <c r="F2673">
        <v>3.1</v>
      </c>
      <c r="G2673" t="s">
        <v>623</v>
      </c>
      <c r="H2673" s="1">
        <v>46245.301620370374</v>
      </c>
      <c r="I2673" t="s">
        <v>641</v>
      </c>
      <c r="J2673">
        <v>3.1</v>
      </c>
      <c r="K2673">
        <v>0</v>
      </c>
    </row>
    <row r="2674" spans="1:11" x14ac:dyDescent="0.3">
      <c r="A2674">
        <v>2673</v>
      </c>
      <c r="B2674">
        <v>213</v>
      </c>
      <c r="C2674">
        <v>3</v>
      </c>
      <c r="D2674">
        <v>2509</v>
      </c>
      <c r="E2674" t="s">
        <v>651</v>
      </c>
      <c r="F2674">
        <v>15.28</v>
      </c>
      <c r="G2674" t="s">
        <v>623</v>
      </c>
      <c r="H2674" s="1">
        <v>46245.334652777776</v>
      </c>
      <c r="I2674" t="s">
        <v>641</v>
      </c>
      <c r="J2674">
        <v>15.28</v>
      </c>
      <c r="K2674">
        <v>0</v>
      </c>
    </row>
    <row r="2675" spans="1:11" x14ac:dyDescent="0.3">
      <c r="A2675">
        <v>2674</v>
      </c>
      <c r="B2675">
        <v>246</v>
      </c>
      <c r="C2675">
        <v>4</v>
      </c>
      <c r="D2675">
        <v>2510</v>
      </c>
      <c r="E2675" t="s">
        <v>651</v>
      </c>
      <c r="F2675">
        <v>2.89</v>
      </c>
      <c r="G2675" t="s">
        <v>623</v>
      </c>
      <c r="H2675" s="1">
        <v>46245.369039351855</v>
      </c>
      <c r="I2675" t="s">
        <v>641</v>
      </c>
      <c r="J2675">
        <v>2.89</v>
      </c>
      <c r="K2675">
        <v>0</v>
      </c>
    </row>
    <row r="2676" spans="1:11" x14ac:dyDescent="0.3">
      <c r="A2676">
        <v>2675</v>
      </c>
      <c r="B2676">
        <v>289</v>
      </c>
      <c r="C2676">
        <v>4</v>
      </c>
      <c r="D2676">
        <v>2511</v>
      </c>
      <c r="E2676" t="s">
        <v>651</v>
      </c>
      <c r="F2676">
        <v>15.67</v>
      </c>
      <c r="G2676" t="s">
        <v>623</v>
      </c>
      <c r="H2676" s="1">
        <v>46245.388564814813</v>
      </c>
      <c r="I2676" t="s">
        <v>641</v>
      </c>
      <c r="J2676">
        <v>15.67</v>
      </c>
      <c r="K2676">
        <v>0</v>
      </c>
    </row>
    <row r="2677" spans="1:11" x14ac:dyDescent="0.3">
      <c r="A2677">
        <v>2676</v>
      </c>
      <c r="B2677">
        <v>29</v>
      </c>
      <c r="C2677">
        <v>5</v>
      </c>
      <c r="D2677">
        <v>2512</v>
      </c>
      <c r="E2677" t="s">
        <v>651</v>
      </c>
      <c r="F2677">
        <v>3.77</v>
      </c>
      <c r="G2677" t="s">
        <v>623</v>
      </c>
      <c r="H2677" s="1">
        <v>46245.491979166669</v>
      </c>
      <c r="I2677" t="s">
        <v>641</v>
      </c>
      <c r="J2677">
        <v>3.77</v>
      </c>
      <c r="K2677">
        <v>0</v>
      </c>
    </row>
    <row r="2678" spans="1:11" x14ac:dyDescent="0.3">
      <c r="A2678">
        <v>2677</v>
      </c>
      <c r="B2678">
        <v>37</v>
      </c>
      <c r="C2678">
        <v>4</v>
      </c>
      <c r="D2678">
        <v>2513</v>
      </c>
      <c r="E2678" t="s">
        <v>651</v>
      </c>
      <c r="F2678">
        <v>12.99</v>
      </c>
      <c r="G2678" t="s">
        <v>623</v>
      </c>
      <c r="H2678" s="1">
        <v>46245.531527777777</v>
      </c>
      <c r="I2678" t="s">
        <v>641</v>
      </c>
      <c r="J2678">
        <v>12.99</v>
      </c>
      <c r="K2678">
        <v>0</v>
      </c>
    </row>
    <row r="2679" spans="1:11" x14ac:dyDescent="0.3">
      <c r="A2679">
        <v>2678</v>
      </c>
      <c r="B2679">
        <v>285</v>
      </c>
      <c r="C2679">
        <v>3</v>
      </c>
      <c r="D2679">
        <v>2514</v>
      </c>
      <c r="E2679" t="s">
        <v>651</v>
      </c>
      <c r="F2679">
        <v>1.87</v>
      </c>
      <c r="G2679" t="s">
        <v>623</v>
      </c>
      <c r="H2679" s="1">
        <v>46245.631967592592</v>
      </c>
      <c r="I2679" t="s">
        <v>641</v>
      </c>
      <c r="J2679">
        <v>1.87</v>
      </c>
      <c r="K2679">
        <v>0</v>
      </c>
    </row>
    <row r="2680" spans="1:11" x14ac:dyDescent="0.3">
      <c r="A2680">
        <v>2679</v>
      </c>
      <c r="B2680">
        <v>285</v>
      </c>
      <c r="C2680">
        <v>5</v>
      </c>
      <c r="D2680">
        <v>2515</v>
      </c>
      <c r="E2680" t="s">
        <v>651</v>
      </c>
      <c r="F2680">
        <v>3.27</v>
      </c>
      <c r="G2680" t="s">
        <v>623</v>
      </c>
      <c r="H2680" s="1">
        <v>46245.717719907407</v>
      </c>
      <c r="I2680" t="s">
        <v>641</v>
      </c>
      <c r="J2680">
        <v>3.27</v>
      </c>
      <c r="K2680">
        <v>0</v>
      </c>
    </row>
    <row r="2681" spans="1:11" x14ac:dyDescent="0.3">
      <c r="A2681">
        <v>2680</v>
      </c>
      <c r="B2681">
        <v>134</v>
      </c>
      <c r="C2681">
        <v>3</v>
      </c>
      <c r="D2681">
        <v>2516</v>
      </c>
      <c r="E2681" t="s">
        <v>651</v>
      </c>
      <c r="F2681">
        <v>10.58</v>
      </c>
      <c r="G2681" t="s">
        <v>623</v>
      </c>
      <c r="H2681" s="1">
        <v>46246.37300925926</v>
      </c>
      <c r="I2681" t="s">
        <v>641</v>
      </c>
      <c r="J2681">
        <v>10.58</v>
      </c>
      <c r="K2681">
        <v>0</v>
      </c>
    </row>
    <row r="2682" spans="1:11" x14ac:dyDescent="0.3">
      <c r="A2682">
        <v>2681</v>
      </c>
      <c r="B2682">
        <v>65</v>
      </c>
      <c r="C2682">
        <v>5</v>
      </c>
      <c r="D2682">
        <v>2517</v>
      </c>
      <c r="E2682" t="s">
        <v>651</v>
      </c>
      <c r="F2682">
        <v>3.06</v>
      </c>
      <c r="G2682" t="s">
        <v>623</v>
      </c>
      <c r="H2682" s="1">
        <v>46246.410833333335</v>
      </c>
      <c r="I2682" t="s">
        <v>641</v>
      </c>
      <c r="J2682">
        <v>3.06</v>
      </c>
      <c r="K2682">
        <v>0</v>
      </c>
    </row>
    <row r="2683" spans="1:11" x14ac:dyDescent="0.3">
      <c r="A2683">
        <v>2682</v>
      </c>
      <c r="B2683">
        <v>128</v>
      </c>
      <c r="C2683">
        <v>3</v>
      </c>
      <c r="D2683">
        <v>2518</v>
      </c>
      <c r="E2683" t="s">
        <v>651</v>
      </c>
      <c r="F2683">
        <v>3.11</v>
      </c>
      <c r="G2683" t="s">
        <v>623</v>
      </c>
      <c r="H2683" s="1">
        <v>46246.637453703705</v>
      </c>
      <c r="I2683" t="s">
        <v>641</v>
      </c>
      <c r="J2683">
        <v>3.11</v>
      </c>
      <c r="K2683">
        <v>0</v>
      </c>
    </row>
    <row r="2684" spans="1:11" x14ac:dyDescent="0.3">
      <c r="A2684">
        <v>2683</v>
      </c>
      <c r="B2684">
        <v>128</v>
      </c>
      <c r="C2684">
        <v>3</v>
      </c>
      <c r="D2684">
        <v>2519</v>
      </c>
      <c r="E2684" t="s">
        <v>651</v>
      </c>
      <c r="F2684">
        <v>3.52</v>
      </c>
      <c r="G2684" t="s">
        <v>623</v>
      </c>
      <c r="H2684" s="1">
        <v>46246.80746527778</v>
      </c>
      <c r="I2684" t="s">
        <v>641</v>
      </c>
      <c r="J2684">
        <v>3.52</v>
      </c>
      <c r="K2684">
        <v>0</v>
      </c>
    </row>
    <row r="2685" spans="1:11" x14ac:dyDescent="0.3">
      <c r="A2685">
        <v>2684</v>
      </c>
      <c r="B2685">
        <v>87</v>
      </c>
      <c r="C2685">
        <v>3</v>
      </c>
      <c r="D2685">
        <v>2520</v>
      </c>
      <c r="E2685" t="s">
        <v>651</v>
      </c>
      <c r="F2685">
        <v>10.28</v>
      </c>
      <c r="G2685" t="s">
        <v>623</v>
      </c>
      <c r="H2685" s="1">
        <v>46246.808935185189</v>
      </c>
      <c r="I2685" t="s">
        <v>641</v>
      </c>
      <c r="J2685">
        <v>10.28</v>
      </c>
      <c r="K2685">
        <v>0</v>
      </c>
    </row>
    <row r="2686" spans="1:11" x14ac:dyDescent="0.3">
      <c r="A2686">
        <v>2685</v>
      </c>
      <c r="B2686">
        <v>156</v>
      </c>
      <c r="C2686">
        <v>2</v>
      </c>
      <c r="D2686">
        <v>2521</v>
      </c>
      <c r="E2686" t="s">
        <v>651</v>
      </c>
      <c r="F2686">
        <v>3.28</v>
      </c>
      <c r="G2686" t="s">
        <v>623</v>
      </c>
      <c r="H2686" s="1">
        <v>46247.322638888887</v>
      </c>
      <c r="I2686" t="s">
        <v>641</v>
      </c>
      <c r="J2686">
        <v>3.28</v>
      </c>
      <c r="K2686">
        <v>0</v>
      </c>
    </row>
    <row r="2687" spans="1:11" x14ac:dyDescent="0.3">
      <c r="A2687">
        <v>2686</v>
      </c>
      <c r="B2687">
        <v>171</v>
      </c>
      <c r="C2687">
        <v>4</v>
      </c>
      <c r="D2687">
        <v>2522</v>
      </c>
      <c r="E2687" t="s">
        <v>651</v>
      </c>
      <c r="F2687">
        <v>22</v>
      </c>
      <c r="G2687" t="s">
        <v>623</v>
      </c>
      <c r="H2687" s="1">
        <v>46247.404861111114</v>
      </c>
      <c r="I2687" t="s">
        <v>641</v>
      </c>
      <c r="J2687">
        <v>22</v>
      </c>
      <c r="K2687">
        <v>0</v>
      </c>
    </row>
    <row r="2688" spans="1:11" x14ac:dyDescent="0.3">
      <c r="A2688">
        <v>2687</v>
      </c>
      <c r="B2688">
        <v>51</v>
      </c>
      <c r="C2688">
        <v>3</v>
      </c>
      <c r="D2688">
        <v>2523</v>
      </c>
      <c r="E2688" t="s">
        <v>651</v>
      </c>
      <c r="F2688">
        <v>15.23</v>
      </c>
      <c r="G2688" t="s">
        <v>623</v>
      </c>
      <c r="H2688" s="1">
        <v>46247.435787037037</v>
      </c>
      <c r="I2688" t="s">
        <v>641</v>
      </c>
      <c r="J2688">
        <v>15.23</v>
      </c>
      <c r="K2688">
        <v>0</v>
      </c>
    </row>
    <row r="2689" spans="1:11" x14ac:dyDescent="0.3">
      <c r="A2689">
        <v>2688</v>
      </c>
      <c r="B2689">
        <v>238</v>
      </c>
      <c r="C2689">
        <v>5</v>
      </c>
      <c r="D2689">
        <v>2524</v>
      </c>
      <c r="E2689" t="s">
        <v>651</v>
      </c>
      <c r="F2689">
        <v>4.28</v>
      </c>
      <c r="G2689" t="s">
        <v>623</v>
      </c>
      <c r="H2689" s="1">
        <v>46247.657905092594</v>
      </c>
      <c r="I2689" t="s">
        <v>641</v>
      </c>
      <c r="J2689">
        <v>4.28</v>
      </c>
      <c r="K2689">
        <v>0</v>
      </c>
    </row>
    <row r="2690" spans="1:11" x14ac:dyDescent="0.3">
      <c r="A2690">
        <v>2689</v>
      </c>
      <c r="B2690">
        <v>80</v>
      </c>
      <c r="C2690">
        <v>4</v>
      </c>
      <c r="D2690">
        <v>2525</v>
      </c>
      <c r="E2690" t="s">
        <v>651</v>
      </c>
      <c r="F2690">
        <v>2.98</v>
      </c>
      <c r="G2690" t="s">
        <v>623</v>
      </c>
      <c r="H2690" s="1">
        <v>46247.77679398148</v>
      </c>
      <c r="I2690" t="s">
        <v>641</v>
      </c>
      <c r="J2690">
        <v>2.98</v>
      </c>
      <c r="K2690">
        <v>0</v>
      </c>
    </row>
    <row r="2691" spans="1:11" x14ac:dyDescent="0.3">
      <c r="A2691">
        <v>2690</v>
      </c>
      <c r="B2691">
        <v>86</v>
      </c>
      <c r="C2691">
        <v>5</v>
      </c>
      <c r="D2691">
        <v>2526</v>
      </c>
      <c r="E2691" t="s">
        <v>651</v>
      </c>
      <c r="F2691">
        <v>2.12</v>
      </c>
      <c r="G2691" t="s">
        <v>623</v>
      </c>
      <c r="H2691" s="1">
        <v>46247.802731481483</v>
      </c>
      <c r="I2691" t="s">
        <v>641</v>
      </c>
      <c r="J2691">
        <v>2.12</v>
      </c>
      <c r="K2691">
        <v>0</v>
      </c>
    </row>
    <row r="2692" spans="1:11" x14ac:dyDescent="0.3">
      <c r="A2692">
        <v>2691</v>
      </c>
      <c r="B2692">
        <v>131</v>
      </c>
      <c r="C2692">
        <v>2</v>
      </c>
      <c r="D2692">
        <v>2527</v>
      </c>
      <c r="E2692" t="s">
        <v>651</v>
      </c>
      <c r="F2692">
        <v>14.12</v>
      </c>
      <c r="G2692" t="s">
        <v>623</v>
      </c>
      <c r="H2692" s="1">
        <v>46248.2968287037</v>
      </c>
      <c r="I2692" t="s">
        <v>641</v>
      </c>
      <c r="J2692">
        <v>14.12</v>
      </c>
      <c r="K2692">
        <v>0</v>
      </c>
    </row>
    <row r="2693" spans="1:11" x14ac:dyDescent="0.3">
      <c r="A2693">
        <v>2692</v>
      </c>
      <c r="B2693">
        <v>213</v>
      </c>
      <c r="C2693">
        <v>5</v>
      </c>
      <c r="D2693">
        <v>2528</v>
      </c>
      <c r="E2693" t="s">
        <v>651</v>
      </c>
      <c r="F2693">
        <v>14.42</v>
      </c>
      <c r="G2693" t="s">
        <v>623</v>
      </c>
      <c r="H2693" s="1">
        <v>46248.332997685182</v>
      </c>
      <c r="I2693" t="s">
        <v>641</v>
      </c>
      <c r="J2693">
        <v>14.42</v>
      </c>
      <c r="K2693">
        <v>0</v>
      </c>
    </row>
    <row r="2694" spans="1:11" x14ac:dyDescent="0.3">
      <c r="A2694">
        <v>2693</v>
      </c>
      <c r="B2694">
        <v>75</v>
      </c>
      <c r="C2694">
        <v>3</v>
      </c>
      <c r="D2694">
        <v>2529</v>
      </c>
      <c r="E2694" t="s">
        <v>651</v>
      </c>
      <c r="F2694">
        <v>14.85</v>
      </c>
      <c r="G2694" t="s">
        <v>623</v>
      </c>
      <c r="H2694" s="1">
        <v>46248.371550925927</v>
      </c>
      <c r="I2694" t="s">
        <v>641</v>
      </c>
      <c r="J2694">
        <v>14.85</v>
      </c>
      <c r="K2694">
        <v>0</v>
      </c>
    </row>
    <row r="2695" spans="1:11" x14ac:dyDescent="0.3">
      <c r="A2695">
        <v>2694</v>
      </c>
      <c r="B2695">
        <v>128</v>
      </c>
      <c r="C2695">
        <v>5</v>
      </c>
      <c r="D2695">
        <v>2530</v>
      </c>
      <c r="E2695" t="s">
        <v>651</v>
      </c>
      <c r="F2695">
        <v>1.99</v>
      </c>
      <c r="G2695" t="s">
        <v>623</v>
      </c>
      <c r="H2695" s="1">
        <v>46248.449108796296</v>
      </c>
      <c r="I2695" t="s">
        <v>641</v>
      </c>
      <c r="J2695">
        <v>1.99</v>
      </c>
      <c r="K2695">
        <v>0</v>
      </c>
    </row>
    <row r="2696" spans="1:11" x14ac:dyDescent="0.3">
      <c r="A2696">
        <v>2695</v>
      </c>
      <c r="B2696">
        <v>128</v>
      </c>
      <c r="C2696">
        <v>4</v>
      </c>
      <c r="D2696">
        <v>2531</v>
      </c>
      <c r="E2696" t="s">
        <v>651</v>
      </c>
      <c r="F2696">
        <v>1.95</v>
      </c>
      <c r="G2696" t="s">
        <v>623</v>
      </c>
      <c r="H2696" s="1">
        <v>46248.652337962965</v>
      </c>
      <c r="I2696" t="s">
        <v>641</v>
      </c>
      <c r="J2696">
        <v>1.95</v>
      </c>
      <c r="K2696">
        <v>0</v>
      </c>
    </row>
    <row r="2697" spans="1:11" x14ac:dyDescent="0.3">
      <c r="A2697">
        <v>2696</v>
      </c>
      <c r="B2697">
        <v>285</v>
      </c>
      <c r="C2697">
        <v>4</v>
      </c>
      <c r="D2697">
        <v>2532</v>
      </c>
      <c r="E2697" t="s">
        <v>651</v>
      </c>
      <c r="F2697">
        <v>2.13</v>
      </c>
      <c r="G2697" t="s">
        <v>623</v>
      </c>
      <c r="H2697" s="1">
        <v>46248.681990740741</v>
      </c>
      <c r="I2697" t="s">
        <v>641</v>
      </c>
      <c r="J2697">
        <v>2.13</v>
      </c>
      <c r="K2697">
        <v>0</v>
      </c>
    </row>
    <row r="2698" spans="1:11" x14ac:dyDescent="0.3">
      <c r="A2698">
        <v>2697</v>
      </c>
      <c r="B2698">
        <v>57</v>
      </c>
      <c r="C2698">
        <v>2</v>
      </c>
      <c r="D2698">
        <v>2533</v>
      </c>
      <c r="E2698" t="s">
        <v>651</v>
      </c>
      <c r="F2698">
        <v>13.36</v>
      </c>
      <c r="G2698" t="s">
        <v>623</v>
      </c>
      <c r="H2698" s="1">
        <v>46248.684259259258</v>
      </c>
      <c r="I2698" t="s">
        <v>641</v>
      </c>
      <c r="J2698">
        <v>13.36</v>
      </c>
      <c r="K2698">
        <v>0</v>
      </c>
    </row>
    <row r="2699" spans="1:11" x14ac:dyDescent="0.3">
      <c r="A2699">
        <v>2698</v>
      </c>
      <c r="B2699">
        <v>134</v>
      </c>
      <c r="C2699">
        <v>3</v>
      </c>
      <c r="D2699">
        <v>2534</v>
      </c>
      <c r="E2699" t="s">
        <v>651</v>
      </c>
      <c r="F2699">
        <v>7.61</v>
      </c>
      <c r="G2699" t="s">
        <v>623</v>
      </c>
      <c r="H2699" s="1">
        <v>46248.69</v>
      </c>
      <c r="I2699" t="s">
        <v>641</v>
      </c>
      <c r="J2699">
        <v>7.61</v>
      </c>
      <c r="K2699">
        <v>0</v>
      </c>
    </row>
    <row r="2700" spans="1:11" x14ac:dyDescent="0.3">
      <c r="A2700">
        <v>2699</v>
      </c>
      <c r="B2700">
        <v>128</v>
      </c>
      <c r="C2700">
        <v>3</v>
      </c>
      <c r="D2700">
        <v>2535</v>
      </c>
      <c r="E2700" t="s">
        <v>651</v>
      </c>
      <c r="F2700">
        <v>1.44</v>
      </c>
      <c r="G2700" t="s">
        <v>623</v>
      </c>
      <c r="H2700" s="1">
        <v>46249.303877314815</v>
      </c>
      <c r="I2700" t="s">
        <v>641</v>
      </c>
      <c r="J2700">
        <v>1.44</v>
      </c>
      <c r="K2700">
        <v>0</v>
      </c>
    </row>
    <row r="2701" spans="1:11" x14ac:dyDescent="0.3">
      <c r="A2701">
        <v>2700</v>
      </c>
      <c r="B2701">
        <v>44</v>
      </c>
      <c r="C2701">
        <v>4</v>
      </c>
      <c r="D2701">
        <v>2536</v>
      </c>
      <c r="E2701" t="s">
        <v>657</v>
      </c>
      <c r="F2701">
        <v>33.03</v>
      </c>
      <c r="G2701" t="s">
        <v>623</v>
      </c>
      <c r="H2701" s="1">
        <v>46249.389039351852</v>
      </c>
      <c r="I2701" t="s">
        <v>641</v>
      </c>
      <c r="J2701">
        <v>0</v>
      </c>
      <c r="K2701">
        <v>33.03</v>
      </c>
    </row>
    <row r="2702" spans="1:11" x14ac:dyDescent="0.3">
      <c r="A2702">
        <v>2701</v>
      </c>
      <c r="B2702">
        <v>18</v>
      </c>
      <c r="C2702">
        <v>2</v>
      </c>
      <c r="D2702">
        <v>2537</v>
      </c>
      <c r="E2702" t="s">
        <v>657</v>
      </c>
      <c r="F2702">
        <v>146.24</v>
      </c>
      <c r="G2702" t="s">
        <v>623</v>
      </c>
      <c r="H2702" s="1">
        <v>46249.449733796297</v>
      </c>
      <c r="I2702" t="s">
        <v>641</v>
      </c>
      <c r="J2702">
        <v>0</v>
      </c>
      <c r="K2702">
        <v>146.24</v>
      </c>
    </row>
    <row r="2703" spans="1:11" x14ac:dyDescent="0.3">
      <c r="A2703">
        <v>2702</v>
      </c>
      <c r="B2703">
        <v>16</v>
      </c>
      <c r="C2703">
        <v>2</v>
      </c>
      <c r="D2703">
        <v>2538</v>
      </c>
      <c r="E2703" t="s">
        <v>651</v>
      </c>
      <c r="F2703">
        <v>21.72</v>
      </c>
      <c r="G2703" t="s">
        <v>623</v>
      </c>
      <c r="H2703" s="1">
        <v>46249.480439814812</v>
      </c>
      <c r="I2703" t="s">
        <v>641</v>
      </c>
      <c r="J2703">
        <v>21.72</v>
      </c>
      <c r="K2703">
        <v>0</v>
      </c>
    </row>
    <row r="2704" spans="1:11" x14ac:dyDescent="0.3">
      <c r="A2704">
        <v>2703</v>
      </c>
      <c r="B2704">
        <v>184</v>
      </c>
      <c r="C2704">
        <v>4</v>
      </c>
      <c r="D2704">
        <v>2539</v>
      </c>
      <c r="E2704" t="s">
        <v>651</v>
      </c>
      <c r="F2704">
        <v>5.2</v>
      </c>
      <c r="G2704" t="s">
        <v>623</v>
      </c>
      <c r="H2704" s="1">
        <v>46249.521273148152</v>
      </c>
      <c r="I2704" t="s">
        <v>641</v>
      </c>
      <c r="J2704">
        <v>5.2</v>
      </c>
      <c r="K2704">
        <v>0</v>
      </c>
    </row>
    <row r="2705" spans="1:11" x14ac:dyDescent="0.3">
      <c r="A2705">
        <v>2704</v>
      </c>
      <c r="B2705">
        <v>183</v>
      </c>
      <c r="C2705">
        <v>3</v>
      </c>
      <c r="D2705">
        <v>2540</v>
      </c>
      <c r="E2705" t="s">
        <v>651</v>
      </c>
      <c r="F2705">
        <v>11.35</v>
      </c>
      <c r="G2705" t="s">
        <v>623</v>
      </c>
      <c r="H2705" s="1">
        <v>46249.578356481485</v>
      </c>
      <c r="I2705" t="s">
        <v>641</v>
      </c>
      <c r="J2705">
        <v>11.35</v>
      </c>
      <c r="K2705">
        <v>0</v>
      </c>
    </row>
    <row r="2706" spans="1:11" x14ac:dyDescent="0.3">
      <c r="A2706">
        <v>2705</v>
      </c>
      <c r="B2706">
        <v>229</v>
      </c>
      <c r="C2706">
        <v>4</v>
      </c>
      <c r="D2706">
        <v>2541</v>
      </c>
      <c r="E2706" t="s">
        <v>651</v>
      </c>
      <c r="F2706">
        <v>22</v>
      </c>
      <c r="G2706" t="s">
        <v>623</v>
      </c>
      <c r="H2706" s="1">
        <v>46249.578888888886</v>
      </c>
      <c r="I2706" t="s">
        <v>641</v>
      </c>
      <c r="J2706">
        <v>22</v>
      </c>
      <c r="K2706">
        <v>0</v>
      </c>
    </row>
    <row r="2707" spans="1:11" x14ac:dyDescent="0.3">
      <c r="A2707">
        <v>2706</v>
      </c>
      <c r="B2707">
        <v>198</v>
      </c>
      <c r="C2707">
        <v>5</v>
      </c>
      <c r="D2707">
        <v>2542</v>
      </c>
      <c r="E2707" t="s">
        <v>651</v>
      </c>
      <c r="F2707">
        <v>4.34</v>
      </c>
      <c r="G2707" t="s">
        <v>623</v>
      </c>
      <c r="H2707" s="1">
        <v>46249.590138888889</v>
      </c>
      <c r="I2707" t="s">
        <v>641</v>
      </c>
      <c r="J2707">
        <v>4.34</v>
      </c>
      <c r="K2707">
        <v>0</v>
      </c>
    </row>
    <row r="2708" spans="1:11" x14ac:dyDescent="0.3">
      <c r="A2708">
        <v>2707</v>
      </c>
      <c r="B2708">
        <v>134</v>
      </c>
      <c r="C2708">
        <v>2</v>
      </c>
      <c r="D2708">
        <v>2543</v>
      </c>
      <c r="E2708" t="s">
        <v>651</v>
      </c>
      <c r="F2708">
        <v>4.9800000000000004</v>
      </c>
      <c r="G2708" t="s">
        <v>623</v>
      </c>
      <c r="H2708" s="1">
        <v>46249.618020833332</v>
      </c>
      <c r="I2708" t="s">
        <v>641</v>
      </c>
      <c r="J2708">
        <v>4.9800000000000004</v>
      </c>
      <c r="K2708">
        <v>0</v>
      </c>
    </row>
    <row r="2709" spans="1:11" x14ac:dyDescent="0.3">
      <c r="A2709">
        <v>2708</v>
      </c>
      <c r="B2709">
        <v>229</v>
      </c>
      <c r="C2709">
        <v>5</v>
      </c>
      <c r="D2709">
        <v>2541</v>
      </c>
      <c r="E2709" t="s">
        <v>649</v>
      </c>
      <c r="F2709">
        <v>-22</v>
      </c>
      <c r="G2709" t="s">
        <v>761</v>
      </c>
      <c r="H2709" s="1">
        <v>46250.120555555557</v>
      </c>
      <c r="I2709" t="s">
        <v>641</v>
      </c>
      <c r="J2709">
        <v>0</v>
      </c>
      <c r="K2709">
        <v>0</v>
      </c>
    </row>
    <row r="2710" spans="1:11" x14ac:dyDescent="0.3">
      <c r="A2710">
        <v>2709</v>
      </c>
      <c r="B2710">
        <v>233</v>
      </c>
      <c r="C2710">
        <v>5</v>
      </c>
      <c r="D2710">
        <v>2544</v>
      </c>
      <c r="E2710" t="s">
        <v>651</v>
      </c>
      <c r="F2710">
        <v>8.11</v>
      </c>
      <c r="G2710" t="s">
        <v>623</v>
      </c>
      <c r="H2710" s="1">
        <v>46250.605370370373</v>
      </c>
      <c r="I2710" t="s">
        <v>641</v>
      </c>
      <c r="J2710">
        <v>8.11</v>
      </c>
      <c r="K2710">
        <v>0</v>
      </c>
    </row>
    <row r="2711" spans="1:11" x14ac:dyDescent="0.3">
      <c r="A2711">
        <v>2710</v>
      </c>
      <c r="B2711">
        <v>18</v>
      </c>
      <c r="C2711">
        <v>5</v>
      </c>
      <c r="D2711">
        <v>2537</v>
      </c>
      <c r="E2711" t="s">
        <v>649</v>
      </c>
      <c r="F2711">
        <v>146.24</v>
      </c>
      <c r="G2711" t="s">
        <v>762</v>
      </c>
      <c r="H2711" s="1">
        <v>46250.949733796297</v>
      </c>
      <c r="I2711" t="s">
        <v>641</v>
      </c>
      <c r="J2711">
        <v>0</v>
      </c>
      <c r="K2711">
        <v>0</v>
      </c>
    </row>
    <row r="2712" spans="1:11" x14ac:dyDescent="0.3">
      <c r="A2712">
        <v>2711</v>
      </c>
      <c r="B2712">
        <v>244</v>
      </c>
      <c r="C2712">
        <v>3</v>
      </c>
      <c r="D2712">
        <v>2545</v>
      </c>
      <c r="E2712" t="s">
        <v>651</v>
      </c>
      <c r="F2712">
        <v>10.119999999999999</v>
      </c>
      <c r="G2712" t="s">
        <v>623</v>
      </c>
      <c r="H2712" s="1">
        <v>46251.303333333337</v>
      </c>
      <c r="I2712" t="s">
        <v>641</v>
      </c>
      <c r="J2712">
        <v>10.119999999999999</v>
      </c>
      <c r="K2712">
        <v>0</v>
      </c>
    </row>
    <row r="2713" spans="1:11" x14ac:dyDescent="0.3">
      <c r="A2713">
        <v>2712</v>
      </c>
      <c r="B2713">
        <v>200</v>
      </c>
      <c r="C2713">
        <v>4</v>
      </c>
      <c r="D2713">
        <v>2546</v>
      </c>
      <c r="E2713" t="s">
        <v>651</v>
      </c>
      <c r="F2713">
        <v>1.97</v>
      </c>
      <c r="G2713" t="s">
        <v>623</v>
      </c>
      <c r="H2713" s="1">
        <v>46251.310370370367</v>
      </c>
      <c r="I2713" t="s">
        <v>641</v>
      </c>
      <c r="J2713">
        <v>1.97</v>
      </c>
      <c r="K2713">
        <v>0</v>
      </c>
    </row>
    <row r="2714" spans="1:11" x14ac:dyDescent="0.3">
      <c r="A2714">
        <v>2713</v>
      </c>
      <c r="B2714">
        <v>232</v>
      </c>
      <c r="C2714">
        <v>2</v>
      </c>
      <c r="D2714">
        <v>2547</v>
      </c>
      <c r="E2714" t="s">
        <v>651</v>
      </c>
      <c r="F2714">
        <v>3.18</v>
      </c>
      <c r="G2714" t="s">
        <v>623</v>
      </c>
      <c r="H2714" s="1">
        <v>46251.570196759261</v>
      </c>
      <c r="I2714" t="s">
        <v>641</v>
      </c>
      <c r="J2714">
        <v>3.18</v>
      </c>
      <c r="K2714">
        <v>0</v>
      </c>
    </row>
    <row r="2715" spans="1:11" x14ac:dyDescent="0.3">
      <c r="A2715">
        <v>2714</v>
      </c>
      <c r="B2715">
        <v>245</v>
      </c>
      <c r="C2715">
        <v>5</v>
      </c>
      <c r="D2715">
        <v>2548</v>
      </c>
      <c r="E2715" t="s">
        <v>651</v>
      </c>
      <c r="F2715">
        <v>2.76</v>
      </c>
      <c r="G2715" t="s">
        <v>623</v>
      </c>
      <c r="H2715" s="1">
        <v>46251.684479166666</v>
      </c>
      <c r="I2715" t="s">
        <v>641</v>
      </c>
      <c r="J2715">
        <v>2.76</v>
      </c>
      <c r="K2715">
        <v>0</v>
      </c>
    </row>
    <row r="2716" spans="1:11" x14ac:dyDescent="0.3">
      <c r="A2716">
        <v>2715</v>
      </c>
      <c r="B2716">
        <v>14</v>
      </c>
      <c r="C2716">
        <v>3</v>
      </c>
      <c r="D2716">
        <v>2549</v>
      </c>
      <c r="E2716" t="s">
        <v>651</v>
      </c>
      <c r="F2716">
        <v>4.45</v>
      </c>
      <c r="G2716" t="s">
        <v>623</v>
      </c>
      <c r="H2716" s="1">
        <v>46252.375914351855</v>
      </c>
      <c r="I2716" t="s">
        <v>641</v>
      </c>
      <c r="J2716">
        <v>4.45</v>
      </c>
      <c r="K2716">
        <v>0</v>
      </c>
    </row>
    <row r="2717" spans="1:11" x14ac:dyDescent="0.3">
      <c r="A2717">
        <v>2716</v>
      </c>
      <c r="B2717">
        <v>128</v>
      </c>
      <c r="C2717">
        <v>5</v>
      </c>
      <c r="D2717">
        <v>2550</v>
      </c>
      <c r="E2717" t="s">
        <v>651</v>
      </c>
      <c r="F2717">
        <v>3.04</v>
      </c>
      <c r="G2717" t="s">
        <v>623</v>
      </c>
      <c r="H2717" s="1">
        <v>46252.468668981484</v>
      </c>
      <c r="I2717" t="s">
        <v>641</v>
      </c>
      <c r="J2717">
        <v>3.04</v>
      </c>
      <c r="K2717">
        <v>0</v>
      </c>
    </row>
    <row r="2718" spans="1:11" x14ac:dyDescent="0.3">
      <c r="A2718">
        <v>2717</v>
      </c>
      <c r="B2718">
        <v>91</v>
      </c>
      <c r="C2718">
        <v>4</v>
      </c>
      <c r="D2718">
        <v>2551</v>
      </c>
      <c r="E2718" t="s">
        <v>651</v>
      </c>
      <c r="F2718">
        <v>2.12</v>
      </c>
      <c r="G2718" t="s">
        <v>623</v>
      </c>
      <c r="H2718" s="1">
        <v>46252.628310185188</v>
      </c>
      <c r="I2718" t="s">
        <v>641</v>
      </c>
      <c r="J2718">
        <v>2.12</v>
      </c>
      <c r="K2718">
        <v>0</v>
      </c>
    </row>
    <row r="2719" spans="1:11" x14ac:dyDescent="0.3">
      <c r="A2719">
        <v>2718</v>
      </c>
      <c r="B2719">
        <v>156</v>
      </c>
      <c r="C2719">
        <v>5</v>
      </c>
      <c r="D2719">
        <v>2552</v>
      </c>
      <c r="E2719" t="s">
        <v>651</v>
      </c>
      <c r="F2719">
        <v>1.54</v>
      </c>
      <c r="G2719" t="s">
        <v>623</v>
      </c>
      <c r="H2719" s="1">
        <v>46252.658946759257</v>
      </c>
      <c r="I2719" t="s">
        <v>641</v>
      </c>
      <c r="J2719">
        <v>1.54</v>
      </c>
      <c r="K2719">
        <v>0</v>
      </c>
    </row>
    <row r="2720" spans="1:11" x14ac:dyDescent="0.3">
      <c r="A2720">
        <v>2719</v>
      </c>
      <c r="B2720">
        <v>162</v>
      </c>
      <c r="C2720">
        <v>3</v>
      </c>
      <c r="D2720">
        <v>2553</v>
      </c>
      <c r="E2720" t="s">
        <v>651</v>
      </c>
      <c r="F2720">
        <v>2.98</v>
      </c>
      <c r="G2720" t="s">
        <v>623</v>
      </c>
      <c r="H2720" s="1">
        <v>46252.723171296297</v>
      </c>
      <c r="I2720" t="s">
        <v>641</v>
      </c>
      <c r="J2720">
        <v>2.98</v>
      </c>
      <c r="K2720">
        <v>0</v>
      </c>
    </row>
    <row r="2721" spans="1:11" x14ac:dyDescent="0.3">
      <c r="A2721">
        <v>2720</v>
      </c>
      <c r="B2721">
        <v>38</v>
      </c>
      <c r="C2721">
        <v>4</v>
      </c>
      <c r="D2721">
        <v>2554</v>
      </c>
      <c r="E2721" t="s">
        <v>651</v>
      </c>
      <c r="F2721">
        <v>2.41</v>
      </c>
      <c r="G2721" t="s">
        <v>623</v>
      </c>
      <c r="H2721" s="1">
        <v>46253.319965277777</v>
      </c>
      <c r="I2721" t="s">
        <v>641</v>
      </c>
      <c r="J2721">
        <v>2.41</v>
      </c>
      <c r="K2721">
        <v>0</v>
      </c>
    </row>
    <row r="2722" spans="1:11" x14ac:dyDescent="0.3">
      <c r="A2722">
        <v>2721</v>
      </c>
      <c r="B2722">
        <v>128</v>
      </c>
      <c r="C2722">
        <v>5</v>
      </c>
      <c r="D2722">
        <v>2555</v>
      </c>
      <c r="E2722" t="s">
        <v>651</v>
      </c>
      <c r="F2722">
        <v>2.91</v>
      </c>
      <c r="G2722" t="s">
        <v>623</v>
      </c>
      <c r="H2722" s="1">
        <v>46253.348055555558</v>
      </c>
      <c r="I2722" t="s">
        <v>641</v>
      </c>
      <c r="J2722">
        <v>2.91</v>
      </c>
      <c r="K2722">
        <v>0</v>
      </c>
    </row>
    <row r="2723" spans="1:11" x14ac:dyDescent="0.3">
      <c r="A2723">
        <v>2722</v>
      </c>
      <c r="B2723">
        <v>185</v>
      </c>
      <c r="C2723">
        <v>4</v>
      </c>
      <c r="D2723">
        <v>2556</v>
      </c>
      <c r="E2723" t="s">
        <v>651</v>
      </c>
      <c r="F2723">
        <v>8.33</v>
      </c>
      <c r="G2723" t="s">
        <v>623</v>
      </c>
      <c r="H2723" s="1">
        <v>46253.353935185187</v>
      </c>
      <c r="I2723" t="s">
        <v>641</v>
      </c>
      <c r="J2723">
        <v>8.33</v>
      </c>
      <c r="K2723">
        <v>0</v>
      </c>
    </row>
    <row r="2724" spans="1:11" x14ac:dyDescent="0.3">
      <c r="A2724">
        <v>2723</v>
      </c>
      <c r="B2724">
        <v>75</v>
      </c>
      <c r="C2724">
        <v>2</v>
      </c>
      <c r="D2724">
        <v>2557</v>
      </c>
      <c r="E2724" t="s">
        <v>651</v>
      </c>
      <c r="F2724">
        <v>6.47</v>
      </c>
      <c r="G2724" t="s">
        <v>623</v>
      </c>
      <c r="H2724" s="1">
        <v>46253.388449074075</v>
      </c>
      <c r="I2724" t="s">
        <v>641</v>
      </c>
      <c r="J2724">
        <v>6.47</v>
      </c>
      <c r="K2724">
        <v>0</v>
      </c>
    </row>
    <row r="2725" spans="1:11" x14ac:dyDescent="0.3">
      <c r="A2725">
        <v>2724</v>
      </c>
      <c r="B2725">
        <v>243</v>
      </c>
      <c r="C2725">
        <v>2</v>
      </c>
      <c r="D2725">
        <v>2558</v>
      </c>
      <c r="E2725" t="s">
        <v>651</v>
      </c>
      <c r="F2725">
        <v>6.64</v>
      </c>
      <c r="G2725" t="s">
        <v>623</v>
      </c>
      <c r="H2725" s="1">
        <v>46253.688993055555</v>
      </c>
      <c r="I2725" t="s">
        <v>641</v>
      </c>
      <c r="J2725">
        <v>6.64</v>
      </c>
      <c r="K2725">
        <v>0</v>
      </c>
    </row>
    <row r="2726" spans="1:11" x14ac:dyDescent="0.3">
      <c r="A2726">
        <v>2725</v>
      </c>
      <c r="B2726">
        <v>235</v>
      </c>
      <c r="C2726">
        <v>2</v>
      </c>
      <c r="D2726">
        <v>2559</v>
      </c>
      <c r="E2726" t="s">
        <v>651</v>
      </c>
      <c r="F2726">
        <v>5.25</v>
      </c>
      <c r="G2726" t="s">
        <v>623</v>
      </c>
      <c r="H2726" s="1">
        <v>46253.692916666667</v>
      </c>
      <c r="I2726" t="s">
        <v>641</v>
      </c>
      <c r="J2726">
        <v>5.25</v>
      </c>
      <c r="K2726">
        <v>0</v>
      </c>
    </row>
    <row r="2727" spans="1:11" x14ac:dyDescent="0.3">
      <c r="A2727">
        <v>2726</v>
      </c>
      <c r="B2727">
        <v>157</v>
      </c>
      <c r="C2727">
        <v>4</v>
      </c>
      <c r="D2727">
        <v>2560</v>
      </c>
      <c r="E2727" t="s">
        <v>651</v>
      </c>
      <c r="F2727">
        <v>7.94</v>
      </c>
      <c r="G2727" t="s">
        <v>623</v>
      </c>
      <c r="H2727" s="1">
        <v>46253.717743055553</v>
      </c>
      <c r="I2727" t="s">
        <v>641</v>
      </c>
      <c r="J2727">
        <v>7.94</v>
      </c>
      <c r="K2727">
        <v>0</v>
      </c>
    </row>
    <row r="2728" spans="1:11" x14ac:dyDescent="0.3">
      <c r="A2728">
        <v>2727</v>
      </c>
      <c r="B2728">
        <v>75</v>
      </c>
      <c r="C2728">
        <v>2</v>
      </c>
      <c r="D2728">
        <v>2561</v>
      </c>
      <c r="E2728" t="s">
        <v>651</v>
      </c>
      <c r="F2728">
        <v>5.24</v>
      </c>
      <c r="G2728" t="s">
        <v>623</v>
      </c>
      <c r="H2728" s="1">
        <v>46253.747627314813</v>
      </c>
      <c r="I2728" t="s">
        <v>641</v>
      </c>
      <c r="J2728">
        <v>5.24</v>
      </c>
      <c r="K2728">
        <v>0</v>
      </c>
    </row>
    <row r="2729" spans="1:11" x14ac:dyDescent="0.3">
      <c r="A2729">
        <v>2728</v>
      </c>
      <c r="B2729">
        <v>86</v>
      </c>
      <c r="C2729">
        <v>3</v>
      </c>
      <c r="D2729">
        <v>2562</v>
      </c>
      <c r="E2729" t="s">
        <v>651</v>
      </c>
      <c r="F2729">
        <v>4.28</v>
      </c>
      <c r="G2729" t="s">
        <v>623</v>
      </c>
      <c r="H2729" s="1">
        <v>46254.340520833335</v>
      </c>
      <c r="I2729" t="s">
        <v>641</v>
      </c>
      <c r="J2729">
        <v>4.28</v>
      </c>
      <c r="K2729">
        <v>0</v>
      </c>
    </row>
    <row r="2730" spans="1:11" x14ac:dyDescent="0.3">
      <c r="A2730">
        <v>2729</v>
      </c>
      <c r="B2730">
        <v>268</v>
      </c>
      <c r="C2730">
        <v>2</v>
      </c>
      <c r="D2730">
        <v>2563</v>
      </c>
      <c r="E2730" t="s">
        <v>651</v>
      </c>
      <c r="F2730">
        <v>4.43</v>
      </c>
      <c r="G2730" t="s">
        <v>623</v>
      </c>
      <c r="H2730" s="1">
        <v>46254.362037037034</v>
      </c>
      <c r="I2730" t="s">
        <v>641</v>
      </c>
      <c r="J2730">
        <v>4.43</v>
      </c>
      <c r="K2730">
        <v>0</v>
      </c>
    </row>
    <row r="2731" spans="1:11" x14ac:dyDescent="0.3">
      <c r="A2731">
        <v>2730</v>
      </c>
      <c r="B2731">
        <v>128</v>
      </c>
      <c r="C2731">
        <v>5</v>
      </c>
      <c r="D2731">
        <v>2564</v>
      </c>
      <c r="E2731" t="s">
        <v>657</v>
      </c>
      <c r="F2731">
        <v>20.46</v>
      </c>
      <c r="G2731" t="s">
        <v>623</v>
      </c>
      <c r="H2731" s="1">
        <v>46254.400451388887</v>
      </c>
      <c r="I2731" t="s">
        <v>641</v>
      </c>
      <c r="J2731">
        <v>0</v>
      </c>
      <c r="K2731">
        <v>20.46</v>
      </c>
    </row>
    <row r="2732" spans="1:11" x14ac:dyDescent="0.3">
      <c r="A2732">
        <v>2731</v>
      </c>
      <c r="B2732">
        <v>128</v>
      </c>
      <c r="C2732">
        <v>2</v>
      </c>
      <c r="D2732">
        <v>2565</v>
      </c>
      <c r="E2732" t="s">
        <v>651</v>
      </c>
      <c r="F2732">
        <v>1.76</v>
      </c>
      <c r="G2732" t="s">
        <v>623</v>
      </c>
      <c r="H2732" s="1">
        <v>46254.402581018519</v>
      </c>
      <c r="I2732" t="s">
        <v>641</v>
      </c>
      <c r="J2732">
        <v>1.76</v>
      </c>
      <c r="K2732">
        <v>0</v>
      </c>
    </row>
    <row r="2733" spans="1:11" x14ac:dyDescent="0.3">
      <c r="A2733">
        <v>2732</v>
      </c>
      <c r="B2733">
        <v>11</v>
      </c>
      <c r="C2733">
        <v>5</v>
      </c>
      <c r="D2733">
        <v>2566</v>
      </c>
      <c r="E2733" t="s">
        <v>651</v>
      </c>
      <c r="F2733">
        <v>27.67</v>
      </c>
      <c r="G2733" t="s">
        <v>623</v>
      </c>
      <c r="H2733" s="1">
        <v>46254.437893518516</v>
      </c>
      <c r="I2733" t="s">
        <v>641</v>
      </c>
      <c r="J2733">
        <v>27.67</v>
      </c>
      <c r="K2733">
        <v>0</v>
      </c>
    </row>
    <row r="2734" spans="1:11" x14ac:dyDescent="0.3">
      <c r="A2734">
        <v>2733</v>
      </c>
      <c r="B2734">
        <v>268</v>
      </c>
      <c r="C2734">
        <v>3</v>
      </c>
      <c r="D2734">
        <v>2563</v>
      </c>
      <c r="E2734" t="s">
        <v>649</v>
      </c>
      <c r="F2734">
        <v>-4.43</v>
      </c>
      <c r="G2734" t="s">
        <v>763</v>
      </c>
      <c r="H2734" s="1">
        <v>46254.445370370369</v>
      </c>
      <c r="I2734" t="s">
        <v>641</v>
      </c>
      <c r="J2734">
        <v>0</v>
      </c>
      <c r="K2734">
        <v>0</v>
      </c>
    </row>
    <row r="2735" spans="1:11" x14ac:dyDescent="0.3">
      <c r="A2735">
        <v>2734</v>
      </c>
      <c r="B2735">
        <v>148</v>
      </c>
      <c r="C2735">
        <v>2</v>
      </c>
      <c r="D2735">
        <v>2567</v>
      </c>
      <c r="E2735" t="s">
        <v>651</v>
      </c>
      <c r="F2735">
        <v>2.2000000000000002</v>
      </c>
      <c r="G2735" t="s">
        <v>623</v>
      </c>
      <c r="H2735" s="1">
        <v>46254.619872685187</v>
      </c>
      <c r="I2735" t="s">
        <v>641</v>
      </c>
      <c r="J2735">
        <v>2.2000000000000002</v>
      </c>
      <c r="K2735">
        <v>0</v>
      </c>
    </row>
    <row r="2736" spans="1:11" x14ac:dyDescent="0.3">
      <c r="A2736">
        <v>2735</v>
      </c>
      <c r="B2736">
        <v>136</v>
      </c>
      <c r="C2736">
        <v>4</v>
      </c>
      <c r="D2736">
        <v>2568</v>
      </c>
      <c r="E2736" t="s">
        <v>651</v>
      </c>
      <c r="F2736">
        <v>6.9</v>
      </c>
      <c r="G2736" t="s">
        <v>623</v>
      </c>
      <c r="H2736" s="1">
        <v>46254.629317129627</v>
      </c>
      <c r="I2736" t="s">
        <v>641</v>
      </c>
      <c r="J2736">
        <v>6.9</v>
      </c>
      <c r="K2736">
        <v>0</v>
      </c>
    </row>
    <row r="2737" spans="1:11" x14ac:dyDescent="0.3">
      <c r="A2737">
        <v>2736</v>
      </c>
      <c r="B2737">
        <v>121</v>
      </c>
      <c r="C2737">
        <v>3</v>
      </c>
      <c r="D2737">
        <v>2569</v>
      </c>
      <c r="E2737" t="s">
        <v>651</v>
      </c>
      <c r="F2737">
        <v>4.8099999999999996</v>
      </c>
      <c r="G2737" t="s">
        <v>623</v>
      </c>
      <c r="H2737" s="1">
        <v>46255.386145833334</v>
      </c>
      <c r="I2737" t="s">
        <v>641</v>
      </c>
      <c r="J2737">
        <v>4.8099999999999996</v>
      </c>
      <c r="K2737">
        <v>0</v>
      </c>
    </row>
    <row r="2738" spans="1:11" x14ac:dyDescent="0.3">
      <c r="A2738">
        <v>2737</v>
      </c>
      <c r="B2738">
        <v>250</v>
      </c>
      <c r="C2738">
        <v>5</v>
      </c>
      <c r="D2738">
        <v>2570</v>
      </c>
      <c r="E2738" t="s">
        <v>651</v>
      </c>
      <c r="F2738">
        <v>13.41</v>
      </c>
      <c r="G2738" t="s">
        <v>623</v>
      </c>
      <c r="H2738" s="1">
        <v>46255.391504629632</v>
      </c>
      <c r="I2738" t="s">
        <v>641</v>
      </c>
      <c r="J2738">
        <v>13.41</v>
      </c>
      <c r="K2738">
        <v>0</v>
      </c>
    </row>
    <row r="2739" spans="1:11" x14ac:dyDescent="0.3">
      <c r="A2739">
        <v>2738</v>
      </c>
      <c r="B2739">
        <v>161</v>
      </c>
      <c r="C2739">
        <v>4</v>
      </c>
      <c r="D2739">
        <v>2571</v>
      </c>
      <c r="E2739" t="s">
        <v>651</v>
      </c>
      <c r="F2739">
        <v>9.84</v>
      </c>
      <c r="G2739" t="s">
        <v>623</v>
      </c>
      <c r="H2739" s="1">
        <v>46255.466631944444</v>
      </c>
      <c r="I2739" t="s">
        <v>641</v>
      </c>
      <c r="J2739">
        <v>9.84</v>
      </c>
      <c r="K2739">
        <v>0</v>
      </c>
    </row>
    <row r="2740" spans="1:11" x14ac:dyDescent="0.3">
      <c r="A2740">
        <v>2739</v>
      </c>
      <c r="B2740">
        <v>128</v>
      </c>
      <c r="C2740">
        <v>4</v>
      </c>
      <c r="D2740">
        <v>2572</v>
      </c>
      <c r="E2740" t="s">
        <v>651</v>
      </c>
      <c r="F2740">
        <v>4.0599999999999996</v>
      </c>
      <c r="G2740" t="s">
        <v>623</v>
      </c>
      <c r="H2740" s="1">
        <v>46255.485972222225</v>
      </c>
      <c r="I2740" t="s">
        <v>641</v>
      </c>
      <c r="J2740">
        <v>4.0599999999999996</v>
      </c>
      <c r="K2740">
        <v>0</v>
      </c>
    </row>
    <row r="2741" spans="1:11" x14ac:dyDescent="0.3">
      <c r="A2741">
        <v>2740</v>
      </c>
      <c r="B2741">
        <v>128</v>
      </c>
      <c r="C2741">
        <v>3</v>
      </c>
      <c r="D2741">
        <v>2573</v>
      </c>
      <c r="E2741" t="s">
        <v>651</v>
      </c>
      <c r="F2741">
        <v>2.4500000000000002</v>
      </c>
      <c r="G2741" t="s">
        <v>623</v>
      </c>
      <c r="H2741" s="1">
        <v>46255.52920138889</v>
      </c>
      <c r="I2741" t="s">
        <v>641</v>
      </c>
      <c r="J2741">
        <v>2.4500000000000002</v>
      </c>
      <c r="K2741">
        <v>0</v>
      </c>
    </row>
    <row r="2742" spans="1:11" x14ac:dyDescent="0.3">
      <c r="A2742">
        <v>2741</v>
      </c>
      <c r="B2742">
        <v>153</v>
      </c>
      <c r="C2742">
        <v>4</v>
      </c>
      <c r="D2742">
        <v>2574</v>
      </c>
      <c r="E2742" t="s">
        <v>651</v>
      </c>
      <c r="F2742">
        <v>6.89</v>
      </c>
      <c r="G2742" t="s">
        <v>623</v>
      </c>
      <c r="H2742" s="1">
        <v>46255.538657407407</v>
      </c>
      <c r="I2742" t="s">
        <v>641</v>
      </c>
      <c r="J2742">
        <v>6.89</v>
      </c>
      <c r="K2742">
        <v>0</v>
      </c>
    </row>
    <row r="2743" spans="1:11" x14ac:dyDescent="0.3">
      <c r="A2743">
        <v>2742</v>
      </c>
      <c r="B2743">
        <v>185</v>
      </c>
      <c r="C2743">
        <v>4</v>
      </c>
      <c r="D2743">
        <v>2575</v>
      </c>
      <c r="E2743" t="s">
        <v>651</v>
      </c>
      <c r="F2743">
        <v>16.14</v>
      </c>
      <c r="G2743" t="s">
        <v>623</v>
      </c>
      <c r="H2743" s="1">
        <v>46255.736435185187</v>
      </c>
      <c r="I2743" t="s">
        <v>641</v>
      </c>
      <c r="J2743">
        <v>16.14</v>
      </c>
      <c r="K2743">
        <v>0</v>
      </c>
    </row>
    <row r="2744" spans="1:11" x14ac:dyDescent="0.3">
      <c r="A2744">
        <v>2743</v>
      </c>
      <c r="B2744">
        <v>247</v>
      </c>
      <c r="C2744">
        <v>3</v>
      </c>
      <c r="D2744">
        <v>2576</v>
      </c>
      <c r="E2744" t="s">
        <v>651</v>
      </c>
      <c r="F2744">
        <v>3.57</v>
      </c>
      <c r="G2744" t="s">
        <v>623</v>
      </c>
      <c r="H2744" s="1">
        <v>46255.767870370371</v>
      </c>
      <c r="I2744" t="s">
        <v>641</v>
      </c>
      <c r="J2744">
        <v>3.57</v>
      </c>
      <c r="K2744">
        <v>0</v>
      </c>
    </row>
    <row r="2745" spans="1:11" x14ac:dyDescent="0.3">
      <c r="A2745">
        <v>2744</v>
      </c>
      <c r="B2745">
        <v>178</v>
      </c>
      <c r="C2745">
        <v>2</v>
      </c>
      <c r="D2745">
        <v>2577</v>
      </c>
      <c r="E2745" t="s">
        <v>651</v>
      </c>
      <c r="F2745">
        <v>30</v>
      </c>
      <c r="G2745" t="s">
        <v>623</v>
      </c>
      <c r="H2745" s="1">
        <v>46255.774641203701</v>
      </c>
      <c r="I2745" t="s">
        <v>641</v>
      </c>
      <c r="J2745">
        <v>30</v>
      </c>
      <c r="K2745">
        <v>0</v>
      </c>
    </row>
    <row r="2746" spans="1:11" x14ac:dyDescent="0.3">
      <c r="A2746">
        <v>2745</v>
      </c>
      <c r="B2746">
        <v>36</v>
      </c>
      <c r="C2746">
        <v>2</v>
      </c>
      <c r="D2746">
        <v>2578</v>
      </c>
      <c r="E2746" t="s">
        <v>657</v>
      </c>
      <c r="F2746">
        <v>165.62</v>
      </c>
      <c r="G2746" t="s">
        <v>623</v>
      </c>
      <c r="H2746" s="1">
        <v>46255.793043981481</v>
      </c>
      <c r="I2746" t="s">
        <v>641</v>
      </c>
      <c r="J2746">
        <v>0</v>
      </c>
      <c r="K2746">
        <v>165.62</v>
      </c>
    </row>
    <row r="2747" spans="1:11" x14ac:dyDescent="0.3">
      <c r="A2747">
        <v>2746</v>
      </c>
      <c r="B2747">
        <v>250</v>
      </c>
      <c r="C2747">
        <v>5</v>
      </c>
      <c r="D2747">
        <v>2579</v>
      </c>
      <c r="E2747" t="s">
        <v>651</v>
      </c>
      <c r="F2747">
        <v>11.98</v>
      </c>
      <c r="G2747" t="s">
        <v>623</v>
      </c>
      <c r="H2747" s="1">
        <v>46256.297638888886</v>
      </c>
      <c r="I2747" t="s">
        <v>641</v>
      </c>
      <c r="J2747">
        <v>11.98</v>
      </c>
      <c r="K2747">
        <v>0</v>
      </c>
    </row>
    <row r="2748" spans="1:11" x14ac:dyDescent="0.3">
      <c r="A2748">
        <v>2747</v>
      </c>
      <c r="B2748">
        <v>134</v>
      </c>
      <c r="C2748">
        <v>3</v>
      </c>
      <c r="D2748">
        <v>2580</v>
      </c>
      <c r="E2748" t="s">
        <v>651</v>
      </c>
      <c r="F2748">
        <v>17.54</v>
      </c>
      <c r="G2748" t="s">
        <v>623</v>
      </c>
      <c r="H2748" s="1">
        <v>46256.317326388889</v>
      </c>
      <c r="I2748" t="s">
        <v>641</v>
      </c>
      <c r="J2748">
        <v>17.54</v>
      </c>
      <c r="K2748">
        <v>0</v>
      </c>
    </row>
    <row r="2749" spans="1:11" x14ac:dyDescent="0.3">
      <c r="A2749">
        <v>2748</v>
      </c>
      <c r="B2749">
        <v>128</v>
      </c>
      <c r="C2749">
        <v>2</v>
      </c>
      <c r="D2749">
        <v>2581</v>
      </c>
      <c r="E2749" t="s">
        <v>651</v>
      </c>
      <c r="F2749">
        <v>2.23</v>
      </c>
      <c r="G2749" t="s">
        <v>623</v>
      </c>
      <c r="H2749" s="1">
        <v>46256.341909722221</v>
      </c>
      <c r="I2749" t="s">
        <v>641</v>
      </c>
      <c r="J2749">
        <v>2.23</v>
      </c>
      <c r="K2749">
        <v>0</v>
      </c>
    </row>
    <row r="2750" spans="1:11" x14ac:dyDescent="0.3">
      <c r="A2750">
        <v>2749</v>
      </c>
      <c r="B2750">
        <v>185</v>
      </c>
      <c r="C2750">
        <v>5</v>
      </c>
      <c r="D2750">
        <v>2582</v>
      </c>
      <c r="E2750" t="s">
        <v>651</v>
      </c>
      <c r="F2750">
        <v>17.32</v>
      </c>
      <c r="G2750" t="s">
        <v>623</v>
      </c>
      <c r="H2750" s="1">
        <v>46256.413530092592</v>
      </c>
      <c r="I2750" t="s">
        <v>641</v>
      </c>
      <c r="J2750">
        <v>17.32</v>
      </c>
      <c r="K2750">
        <v>0</v>
      </c>
    </row>
    <row r="2751" spans="1:11" x14ac:dyDescent="0.3">
      <c r="A2751">
        <v>2750</v>
      </c>
      <c r="B2751">
        <v>61</v>
      </c>
      <c r="C2751">
        <v>3</v>
      </c>
      <c r="D2751">
        <v>2583</v>
      </c>
      <c r="E2751" t="s">
        <v>651</v>
      </c>
      <c r="F2751">
        <v>6.22</v>
      </c>
      <c r="G2751" t="s">
        <v>623</v>
      </c>
      <c r="H2751" s="1">
        <v>46256.424722222226</v>
      </c>
      <c r="I2751" t="s">
        <v>641</v>
      </c>
      <c r="J2751">
        <v>6.22</v>
      </c>
      <c r="K2751">
        <v>0</v>
      </c>
    </row>
    <row r="2752" spans="1:11" x14ac:dyDescent="0.3">
      <c r="A2752">
        <v>2751</v>
      </c>
      <c r="B2752">
        <v>121</v>
      </c>
      <c r="C2752">
        <v>2</v>
      </c>
      <c r="D2752">
        <v>2584</v>
      </c>
      <c r="E2752" t="s">
        <v>651</v>
      </c>
      <c r="F2752">
        <v>4.1900000000000004</v>
      </c>
      <c r="G2752" t="s">
        <v>623</v>
      </c>
      <c r="H2752" s="1">
        <v>46256.425798611112</v>
      </c>
      <c r="I2752" t="s">
        <v>641</v>
      </c>
      <c r="J2752">
        <v>4.1900000000000004</v>
      </c>
      <c r="K2752">
        <v>0</v>
      </c>
    </row>
    <row r="2753" spans="1:11" x14ac:dyDescent="0.3">
      <c r="A2753">
        <v>2752</v>
      </c>
      <c r="B2753">
        <v>229</v>
      </c>
      <c r="C2753">
        <v>2</v>
      </c>
      <c r="D2753">
        <v>2585</v>
      </c>
      <c r="E2753" t="s">
        <v>651</v>
      </c>
      <c r="F2753">
        <v>14.84</v>
      </c>
      <c r="G2753" t="s">
        <v>623</v>
      </c>
      <c r="H2753" s="1">
        <v>46256.45380787037</v>
      </c>
      <c r="I2753" t="s">
        <v>641</v>
      </c>
      <c r="J2753">
        <v>14.84</v>
      </c>
      <c r="K2753">
        <v>0</v>
      </c>
    </row>
    <row r="2754" spans="1:11" x14ac:dyDescent="0.3">
      <c r="A2754">
        <v>2753</v>
      </c>
      <c r="B2754">
        <v>44</v>
      </c>
      <c r="C2754">
        <v>3</v>
      </c>
      <c r="D2754">
        <v>2586</v>
      </c>
      <c r="E2754" t="s">
        <v>651</v>
      </c>
      <c r="F2754">
        <v>1.67</v>
      </c>
      <c r="G2754" t="s">
        <v>623</v>
      </c>
      <c r="H2754" s="1">
        <v>46256.566145833334</v>
      </c>
      <c r="I2754" t="s">
        <v>641</v>
      </c>
      <c r="J2754">
        <v>1.67</v>
      </c>
      <c r="K2754">
        <v>0</v>
      </c>
    </row>
    <row r="2755" spans="1:11" x14ac:dyDescent="0.3">
      <c r="A2755">
        <v>2754</v>
      </c>
      <c r="B2755">
        <v>250</v>
      </c>
      <c r="C2755">
        <v>2</v>
      </c>
      <c r="D2755">
        <v>2587</v>
      </c>
      <c r="E2755" t="s">
        <v>651</v>
      </c>
      <c r="F2755">
        <v>11.71</v>
      </c>
      <c r="G2755" t="s">
        <v>623</v>
      </c>
      <c r="H2755" s="1">
        <v>46256.619293981479</v>
      </c>
      <c r="I2755" t="s">
        <v>641</v>
      </c>
      <c r="J2755">
        <v>11.71</v>
      </c>
      <c r="K2755">
        <v>0</v>
      </c>
    </row>
    <row r="2756" spans="1:11" x14ac:dyDescent="0.3">
      <c r="A2756">
        <v>2755</v>
      </c>
      <c r="B2756">
        <v>48</v>
      </c>
      <c r="C2756">
        <v>3</v>
      </c>
      <c r="D2756">
        <v>2588</v>
      </c>
      <c r="E2756" t="s">
        <v>651</v>
      </c>
      <c r="F2756">
        <v>6.3</v>
      </c>
      <c r="G2756" t="s">
        <v>623</v>
      </c>
      <c r="H2756" s="1">
        <v>46256.735208333332</v>
      </c>
      <c r="I2756" t="s">
        <v>641</v>
      </c>
      <c r="J2756">
        <v>6.3</v>
      </c>
      <c r="K2756">
        <v>0</v>
      </c>
    </row>
    <row r="2757" spans="1:11" x14ac:dyDescent="0.3">
      <c r="A2757">
        <v>2756</v>
      </c>
      <c r="B2757">
        <v>52</v>
      </c>
      <c r="C2757">
        <v>4</v>
      </c>
      <c r="D2757">
        <v>2589</v>
      </c>
      <c r="E2757" t="s">
        <v>651</v>
      </c>
      <c r="F2757">
        <v>1.87</v>
      </c>
      <c r="G2757" t="s">
        <v>623</v>
      </c>
      <c r="H2757" s="1">
        <v>46257.458518518521</v>
      </c>
      <c r="I2757" t="s">
        <v>641</v>
      </c>
      <c r="J2757">
        <v>1.87</v>
      </c>
      <c r="K2757">
        <v>0</v>
      </c>
    </row>
    <row r="2758" spans="1:11" x14ac:dyDescent="0.3">
      <c r="A2758">
        <v>2757</v>
      </c>
      <c r="B2758">
        <v>114</v>
      </c>
      <c r="C2758">
        <v>4</v>
      </c>
      <c r="D2758">
        <v>2590</v>
      </c>
      <c r="E2758" t="s">
        <v>651</v>
      </c>
      <c r="F2758">
        <v>22.26</v>
      </c>
      <c r="G2758" t="s">
        <v>623</v>
      </c>
      <c r="H2758" s="1">
        <v>46257.474756944444</v>
      </c>
      <c r="I2758" t="s">
        <v>641</v>
      </c>
      <c r="J2758">
        <v>22.26</v>
      </c>
      <c r="K2758">
        <v>0</v>
      </c>
    </row>
    <row r="2759" spans="1:11" x14ac:dyDescent="0.3">
      <c r="A2759">
        <v>2758</v>
      </c>
      <c r="B2759">
        <v>250</v>
      </c>
      <c r="C2759">
        <v>3</v>
      </c>
      <c r="D2759">
        <v>2591</v>
      </c>
      <c r="E2759" t="s">
        <v>651</v>
      </c>
      <c r="F2759">
        <v>12.76</v>
      </c>
      <c r="G2759" t="s">
        <v>623</v>
      </c>
      <c r="H2759" s="1">
        <v>46257.54210648148</v>
      </c>
      <c r="I2759" t="s">
        <v>641</v>
      </c>
      <c r="J2759">
        <v>12.76</v>
      </c>
      <c r="K2759">
        <v>0</v>
      </c>
    </row>
    <row r="2760" spans="1:11" x14ac:dyDescent="0.3">
      <c r="A2760">
        <v>2759</v>
      </c>
      <c r="B2760">
        <v>276</v>
      </c>
      <c r="C2760">
        <v>2</v>
      </c>
      <c r="D2760">
        <v>2592</v>
      </c>
      <c r="E2760" t="s">
        <v>651</v>
      </c>
      <c r="F2760">
        <v>2.97</v>
      </c>
      <c r="G2760" t="s">
        <v>623</v>
      </c>
      <c r="H2760" s="1">
        <v>46257.6246875</v>
      </c>
      <c r="I2760" t="s">
        <v>641</v>
      </c>
      <c r="J2760">
        <v>2.97</v>
      </c>
      <c r="K2760">
        <v>0</v>
      </c>
    </row>
    <row r="2761" spans="1:11" x14ac:dyDescent="0.3">
      <c r="A2761">
        <v>2760</v>
      </c>
      <c r="B2761">
        <v>133</v>
      </c>
      <c r="C2761">
        <v>3</v>
      </c>
      <c r="D2761">
        <v>2593</v>
      </c>
      <c r="E2761" t="s">
        <v>651</v>
      </c>
      <c r="F2761">
        <v>12.54</v>
      </c>
      <c r="G2761" t="s">
        <v>623</v>
      </c>
      <c r="H2761" s="1">
        <v>46257.657800925925</v>
      </c>
      <c r="I2761" t="s">
        <v>641</v>
      </c>
      <c r="J2761">
        <v>12.54</v>
      </c>
      <c r="K2761">
        <v>0</v>
      </c>
    </row>
    <row r="2762" spans="1:11" x14ac:dyDescent="0.3">
      <c r="A2762">
        <v>2761</v>
      </c>
      <c r="B2762">
        <v>230</v>
      </c>
      <c r="C2762">
        <v>5</v>
      </c>
      <c r="D2762">
        <v>2594</v>
      </c>
      <c r="E2762" t="s">
        <v>651</v>
      </c>
      <c r="F2762">
        <v>24.25</v>
      </c>
      <c r="G2762" t="s">
        <v>623</v>
      </c>
      <c r="H2762" s="1">
        <v>46257.677824074075</v>
      </c>
      <c r="I2762" t="s">
        <v>641</v>
      </c>
      <c r="J2762">
        <v>24.25</v>
      </c>
      <c r="K2762">
        <v>0</v>
      </c>
    </row>
    <row r="2763" spans="1:11" x14ac:dyDescent="0.3">
      <c r="A2763">
        <v>2762</v>
      </c>
      <c r="B2763">
        <v>134</v>
      </c>
      <c r="C2763">
        <v>4</v>
      </c>
      <c r="D2763">
        <v>2595</v>
      </c>
      <c r="E2763" t="s">
        <v>651</v>
      </c>
      <c r="F2763">
        <v>7.92</v>
      </c>
      <c r="G2763" t="s">
        <v>623</v>
      </c>
      <c r="H2763" s="1">
        <v>46258.357662037037</v>
      </c>
      <c r="I2763" t="s">
        <v>641</v>
      </c>
      <c r="J2763">
        <v>7.92</v>
      </c>
      <c r="K2763">
        <v>0</v>
      </c>
    </row>
    <row r="2764" spans="1:11" x14ac:dyDescent="0.3">
      <c r="A2764">
        <v>2763</v>
      </c>
      <c r="B2764">
        <v>293</v>
      </c>
      <c r="C2764">
        <v>4</v>
      </c>
      <c r="D2764">
        <v>2596</v>
      </c>
      <c r="E2764" t="s">
        <v>651</v>
      </c>
      <c r="F2764">
        <v>2.4500000000000002</v>
      </c>
      <c r="G2764" t="s">
        <v>623</v>
      </c>
      <c r="H2764" s="1">
        <v>46258.4137962963</v>
      </c>
      <c r="I2764" t="s">
        <v>641</v>
      </c>
      <c r="J2764">
        <v>2.4500000000000002</v>
      </c>
      <c r="K2764">
        <v>0</v>
      </c>
    </row>
    <row r="2765" spans="1:11" x14ac:dyDescent="0.3">
      <c r="A2765">
        <v>2764</v>
      </c>
      <c r="B2765">
        <v>229</v>
      </c>
      <c r="C2765">
        <v>5</v>
      </c>
      <c r="D2765">
        <v>2597</v>
      </c>
      <c r="E2765" t="s">
        <v>651</v>
      </c>
      <c r="F2765">
        <v>7.92</v>
      </c>
      <c r="G2765" t="s">
        <v>623</v>
      </c>
      <c r="H2765" s="1">
        <v>46258.545358796298</v>
      </c>
      <c r="I2765" t="s">
        <v>641</v>
      </c>
      <c r="J2765">
        <v>7.92</v>
      </c>
      <c r="K2765">
        <v>0</v>
      </c>
    </row>
    <row r="2766" spans="1:11" x14ac:dyDescent="0.3">
      <c r="A2766">
        <v>2765</v>
      </c>
      <c r="B2766">
        <v>62</v>
      </c>
      <c r="C2766">
        <v>4</v>
      </c>
      <c r="D2766">
        <v>2598</v>
      </c>
      <c r="E2766" t="s">
        <v>651</v>
      </c>
      <c r="F2766">
        <v>3.16</v>
      </c>
      <c r="G2766" t="s">
        <v>623</v>
      </c>
      <c r="H2766" s="1">
        <v>46258.663356481484</v>
      </c>
      <c r="I2766" t="s">
        <v>641</v>
      </c>
      <c r="J2766">
        <v>3.16</v>
      </c>
      <c r="K2766">
        <v>0</v>
      </c>
    </row>
    <row r="2767" spans="1:11" x14ac:dyDescent="0.3">
      <c r="A2767">
        <v>2766</v>
      </c>
      <c r="B2767">
        <v>134</v>
      </c>
      <c r="C2767">
        <v>5</v>
      </c>
      <c r="D2767">
        <v>2599</v>
      </c>
      <c r="E2767" t="s">
        <v>651</v>
      </c>
      <c r="F2767">
        <v>12.02</v>
      </c>
      <c r="G2767" t="s">
        <v>623</v>
      </c>
      <c r="H2767" s="1">
        <v>46258.667696759258</v>
      </c>
      <c r="I2767" t="s">
        <v>641</v>
      </c>
      <c r="J2767">
        <v>12.02</v>
      </c>
      <c r="K2767">
        <v>0</v>
      </c>
    </row>
    <row r="2768" spans="1:11" x14ac:dyDescent="0.3">
      <c r="A2768">
        <v>2767</v>
      </c>
      <c r="B2768">
        <v>205</v>
      </c>
      <c r="C2768">
        <v>5</v>
      </c>
      <c r="D2768">
        <v>2600</v>
      </c>
      <c r="E2768" t="s">
        <v>651</v>
      </c>
      <c r="F2768">
        <v>9.7100000000000009</v>
      </c>
      <c r="G2768" t="s">
        <v>623</v>
      </c>
      <c r="H2768" s="1">
        <v>46258.677314814813</v>
      </c>
      <c r="I2768" t="s">
        <v>641</v>
      </c>
      <c r="J2768">
        <v>9.7100000000000009</v>
      </c>
      <c r="K2768">
        <v>0</v>
      </c>
    </row>
    <row r="2769" spans="1:11" x14ac:dyDescent="0.3">
      <c r="A2769">
        <v>2768</v>
      </c>
      <c r="B2769">
        <v>285</v>
      </c>
      <c r="C2769">
        <v>5</v>
      </c>
      <c r="D2769">
        <v>2601</v>
      </c>
      <c r="E2769" t="s">
        <v>651</v>
      </c>
      <c r="F2769">
        <v>2.97</v>
      </c>
      <c r="G2769" t="s">
        <v>623</v>
      </c>
      <c r="H2769" s="1">
        <v>46258.744097222225</v>
      </c>
      <c r="I2769" t="s">
        <v>641</v>
      </c>
      <c r="J2769">
        <v>2.97</v>
      </c>
      <c r="K2769">
        <v>0</v>
      </c>
    </row>
    <row r="2770" spans="1:11" x14ac:dyDescent="0.3">
      <c r="A2770">
        <v>2769</v>
      </c>
      <c r="B2770">
        <v>229</v>
      </c>
      <c r="C2770">
        <v>5</v>
      </c>
      <c r="D2770">
        <v>2602</v>
      </c>
      <c r="E2770" t="s">
        <v>651</v>
      </c>
      <c r="F2770">
        <v>22</v>
      </c>
      <c r="G2770" t="s">
        <v>623</v>
      </c>
      <c r="H2770" s="1">
        <v>46259.38212962963</v>
      </c>
      <c r="I2770" t="s">
        <v>641</v>
      </c>
      <c r="J2770">
        <v>22</v>
      </c>
      <c r="K2770">
        <v>0</v>
      </c>
    </row>
    <row r="2771" spans="1:11" x14ac:dyDescent="0.3">
      <c r="A2771">
        <v>2770</v>
      </c>
      <c r="B2771">
        <v>134</v>
      </c>
      <c r="C2771">
        <v>4</v>
      </c>
      <c r="D2771">
        <v>2603</v>
      </c>
      <c r="E2771" t="s">
        <v>651</v>
      </c>
      <c r="F2771">
        <v>13.97</v>
      </c>
      <c r="G2771" t="s">
        <v>623</v>
      </c>
      <c r="H2771" s="1">
        <v>46259.44803240741</v>
      </c>
      <c r="I2771" t="s">
        <v>641</v>
      </c>
      <c r="J2771">
        <v>13.97</v>
      </c>
      <c r="K2771">
        <v>0</v>
      </c>
    </row>
    <row r="2772" spans="1:11" x14ac:dyDescent="0.3">
      <c r="A2772">
        <v>2771</v>
      </c>
      <c r="B2772">
        <v>176</v>
      </c>
      <c r="C2772">
        <v>3</v>
      </c>
      <c r="D2772">
        <v>2604</v>
      </c>
      <c r="E2772" t="s">
        <v>651</v>
      </c>
      <c r="F2772">
        <v>15.54</v>
      </c>
      <c r="G2772" t="s">
        <v>623</v>
      </c>
      <c r="H2772" s="1">
        <v>46259.466805555552</v>
      </c>
      <c r="I2772" t="s">
        <v>641</v>
      </c>
      <c r="J2772">
        <v>15.54</v>
      </c>
      <c r="K2772">
        <v>0</v>
      </c>
    </row>
    <row r="2773" spans="1:11" x14ac:dyDescent="0.3">
      <c r="A2773">
        <v>2772</v>
      </c>
      <c r="B2773">
        <v>136</v>
      </c>
      <c r="C2773">
        <v>4</v>
      </c>
      <c r="D2773">
        <v>2605</v>
      </c>
      <c r="E2773" t="s">
        <v>657</v>
      </c>
      <c r="F2773">
        <v>130.16</v>
      </c>
      <c r="G2773" t="s">
        <v>623</v>
      </c>
      <c r="H2773" s="1">
        <v>46259.609965277778</v>
      </c>
      <c r="I2773" t="s">
        <v>641</v>
      </c>
      <c r="J2773">
        <v>0</v>
      </c>
      <c r="K2773">
        <v>130.16</v>
      </c>
    </row>
    <row r="2774" spans="1:11" x14ac:dyDescent="0.3">
      <c r="A2774">
        <v>2773</v>
      </c>
      <c r="B2774">
        <v>134</v>
      </c>
      <c r="C2774">
        <v>4</v>
      </c>
      <c r="D2774">
        <v>2606</v>
      </c>
      <c r="E2774" t="s">
        <v>651</v>
      </c>
      <c r="F2774">
        <v>15.86</v>
      </c>
      <c r="G2774" t="s">
        <v>623</v>
      </c>
      <c r="H2774" s="1">
        <v>46259.678807870368</v>
      </c>
      <c r="I2774" t="s">
        <v>641</v>
      </c>
      <c r="J2774">
        <v>15.86</v>
      </c>
      <c r="K2774">
        <v>0</v>
      </c>
    </row>
    <row r="2775" spans="1:11" x14ac:dyDescent="0.3">
      <c r="A2775">
        <v>2774</v>
      </c>
      <c r="B2775">
        <v>156</v>
      </c>
      <c r="C2775">
        <v>2</v>
      </c>
      <c r="D2775">
        <v>2607</v>
      </c>
      <c r="E2775" t="s">
        <v>651</v>
      </c>
      <c r="F2775">
        <v>2.68</v>
      </c>
      <c r="G2775" t="s">
        <v>623</v>
      </c>
      <c r="H2775" s="1">
        <v>46260.370208333334</v>
      </c>
      <c r="I2775" t="s">
        <v>641</v>
      </c>
      <c r="J2775">
        <v>2.68</v>
      </c>
      <c r="K2775">
        <v>0</v>
      </c>
    </row>
    <row r="2776" spans="1:11" x14ac:dyDescent="0.3">
      <c r="A2776">
        <v>2775</v>
      </c>
      <c r="B2776">
        <v>134</v>
      </c>
      <c r="C2776">
        <v>3</v>
      </c>
      <c r="D2776">
        <v>2608</v>
      </c>
      <c r="E2776" t="s">
        <v>651</v>
      </c>
      <c r="F2776">
        <v>5.46</v>
      </c>
      <c r="G2776" t="s">
        <v>623</v>
      </c>
      <c r="H2776" s="1">
        <v>46260.376631944448</v>
      </c>
      <c r="I2776" t="s">
        <v>641</v>
      </c>
      <c r="J2776">
        <v>5.46</v>
      </c>
      <c r="K2776">
        <v>0</v>
      </c>
    </row>
    <row r="2777" spans="1:11" x14ac:dyDescent="0.3">
      <c r="A2777">
        <v>2776</v>
      </c>
      <c r="B2777">
        <v>134</v>
      </c>
      <c r="C2777">
        <v>4</v>
      </c>
      <c r="D2777">
        <v>2609</v>
      </c>
      <c r="E2777" t="s">
        <v>651</v>
      </c>
      <c r="F2777">
        <v>7.74</v>
      </c>
      <c r="G2777" t="s">
        <v>623</v>
      </c>
      <c r="H2777" s="1">
        <v>46260.39644675926</v>
      </c>
      <c r="I2777" t="s">
        <v>641</v>
      </c>
      <c r="J2777">
        <v>7.74</v>
      </c>
      <c r="K2777">
        <v>0</v>
      </c>
    </row>
    <row r="2778" spans="1:11" x14ac:dyDescent="0.3">
      <c r="A2778">
        <v>2777</v>
      </c>
      <c r="B2778">
        <v>134</v>
      </c>
      <c r="C2778">
        <v>3</v>
      </c>
      <c r="D2778">
        <v>2610</v>
      </c>
      <c r="E2778" t="s">
        <v>657</v>
      </c>
      <c r="F2778">
        <v>75.86</v>
      </c>
      <c r="G2778" t="s">
        <v>623</v>
      </c>
      <c r="H2778" s="1">
        <v>46260.41510416667</v>
      </c>
      <c r="I2778" t="s">
        <v>641</v>
      </c>
      <c r="J2778">
        <v>0</v>
      </c>
      <c r="K2778">
        <v>75.86</v>
      </c>
    </row>
    <row r="2779" spans="1:11" x14ac:dyDescent="0.3">
      <c r="A2779">
        <v>2778</v>
      </c>
      <c r="B2779">
        <v>134</v>
      </c>
      <c r="C2779">
        <v>2</v>
      </c>
      <c r="D2779">
        <v>2611</v>
      </c>
      <c r="E2779" t="s">
        <v>651</v>
      </c>
      <c r="F2779">
        <v>7.28</v>
      </c>
      <c r="G2779" t="s">
        <v>623</v>
      </c>
      <c r="H2779" s="1">
        <v>46260.448576388888</v>
      </c>
      <c r="I2779" t="s">
        <v>641</v>
      </c>
      <c r="J2779">
        <v>7.28</v>
      </c>
      <c r="K2779">
        <v>0</v>
      </c>
    </row>
    <row r="2780" spans="1:11" x14ac:dyDescent="0.3">
      <c r="A2780">
        <v>2779</v>
      </c>
      <c r="B2780">
        <v>133</v>
      </c>
      <c r="C2780">
        <v>4</v>
      </c>
      <c r="D2780">
        <v>2612</v>
      </c>
      <c r="E2780" t="s">
        <v>651</v>
      </c>
      <c r="F2780">
        <v>19.649999999999999</v>
      </c>
      <c r="G2780" t="s">
        <v>623</v>
      </c>
      <c r="H2780" s="1">
        <v>46260.625405092593</v>
      </c>
      <c r="I2780" t="s">
        <v>641</v>
      </c>
      <c r="J2780">
        <v>19.649999999999999</v>
      </c>
      <c r="K2780">
        <v>0</v>
      </c>
    </row>
    <row r="2781" spans="1:11" x14ac:dyDescent="0.3">
      <c r="A2781">
        <v>2780</v>
      </c>
      <c r="B2781">
        <v>130</v>
      </c>
      <c r="C2781">
        <v>5</v>
      </c>
      <c r="D2781">
        <v>2613</v>
      </c>
      <c r="E2781" t="s">
        <v>651</v>
      </c>
      <c r="F2781">
        <v>9.1</v>
      </c>
      <c r="G2781" t="s">
        <v>623</v>
      </c>
      <c r="H2781" s="1">
        <v>46260.708009259259</v>
      </c>
      <c r="I2781" t="s">
        <v>641</v>
      </c>
      <c r="J2781">
        <v>9.1</v>
      </c>
      <c r="K2781">
        <v>0</v>
      </c>
    </row>
    <row r="2782" spans="1:11" x14ac:dyDescent="0.3">
      <c r="A2782">
        <v>2781</v>
      </c>
      <c r="B2782">
        <v>134</v>
      </c>
      <c r="C2782">
        <v>5</v>
      </c>
      <c r="D2782">
        <v>2614</v>
      </c>
      <c r="E2782" t="s">
        <v>651</v>
      </c>
      <c r="F2782">
        <v>14.81</v>
      </c>
      <c r="G2782" t="s">
        <v>623</v>
      </c>
      <c r="H2782" s="1">
        <v>46260.814050925925</v>
      </c>
      <c r="I2782" t="s">
        <v>641</v>
      </c>
      <c r="J2782">
        <v>14.81</v>
      </c>
      <c r="K2782">
        <v>0</v>
      </c>
    </row>
    <row r="2783" spans="1:11" x14ac:dyDescent="0.3">
      <c r="A2783">
        <v>2782</v>
      </c>
      <c r="B2783">
        <v>134</v>
      </c>
      <c r="C2783">
        <v>4</v>
      </c>
      <c r="D2783">
        <v>2615</v>
      </c>
      <c r="E2783" t="s">
        <v>651</v>
      </c>
      <c r="F2783">
        <v>15.03</v>
      </c>
      <c r="G2783" t="s">
        <v>623</v>
      </c>
      <c r="H2783" s="1">
        <v>46261.412986111114</v>
      </c>
      <c r="I2783" t="s">
        <v>641</v>
      </c>
      <c r="J2783">
        <v>15.03</v>
      </c>
      <c r="K2783">
        <v>0</v>
      </c>
    </row>
    <row r="2784" spans="1:11" x14ac:dyDescent="0.3">
      <c r="A2784">
        <v>2783</v>
      </c>
      <c r="B2784">
        <v>134</v>
      </c>
      <c r="C2784">
        <v>3</v>
      </c>
      <c r="D2784">
        <v>2616</v>
      </c>
      <c r="E2784" t="s">
        <v>651</v>
      </c>
      <c r="F2784">
        <v>8.2200000000000006</v>
      </c>
      <c r="G2784" t="s">
        <v>623</v>
      </c>
      <c r="H2784" s="1">
        <v>46261.693749999999</v>
      </c>
      <c r="I2784" t="s">
        <v>641</v>
      </c>
      <c r="J2784">
        <v>8.2200000000000006</v>
      </c>
      <c r="K2784">
        <v>0</v>
      </c>
    </row>
    <row r="2785" spans="1:11" x14ac:dyDescent="0.3">
      <c r="A2785">
        <v>2784</v>
      </c>
      <c r="B2785">
        <v>128</v>
      </c>
      <c r="C2785">
        <v>2</v>
      </c>
      <c r="D2785">
        <v>2617</v>
      </c>
      <c r="E2785" t="s">
        <v>651</v>
      </c>
      <c r="F2785">
        <v>3.01</v>
      </c>
      <c r="G2785" t="s">
        <v>623</v>
      </c>
      <c r="H2785" s="1">
        <v>46261.69939814815</v>
      </c>
      <c r="I2785" t="s">
        <v>641</v>
      </c>
      <c r="J2785">
        <v>3.01</v>
      </c>
      <c r="K2785">
        <v>0</v>
      </c>
    </row>
    <row r="2786" spans="1:11" x14ac:dyDescent="0.3">
      <c r="A2786">
        <v>2785</v>
      </c>
      <c r="B2786">
        <v>75</v>
      </c>
      <c r="C2786">
        <v>5</v>
      </c>
      <c r="D2786">
        <v>2618</v>
      </c>
      <c r="E2786" t="s">
        <v>651</v>
      </c>
      <c r="F2786">
        <v>6.36</v>
      </c>
      <c r="G2786" t="s">
        <v>623</v>
      </c>
      <c r="H2786" s="1">
        <v>46262.407488425924</v>
      </c>
      <c r="I2786" t="s">
        <v>641</v>
      </c>
      <c r="J2786">
        <v>6.36</v>
      </c>
      <c r="K2786">
        <v>0</v>
      </c>
    </row>
    <row r="2787" spans="1:11" x14ac:dyDescent="0.3">
      <c r="A2787">
        <v>2786</v>
      </c>
      <c r="B2787">
        <v>156</v>
      </c>
      <c r="C2787">
        <v>5</v>
      </c>
      <c r="D2787">
        <v>2619</v>
      </c>
      <c r="E2787" t="s">
        <v>651</v>
      </c>
      <c r="F2787">
        <v>3.09</v>
      </c>
      <c r="G2787" t="s">
        <v>623</v>
      </c>
      <c r="H2787" s="1">
        <v>46262.412106481483</v>
      </c>
      <c r="I2787" t="s">
        <v>641</v>
      </c>
      <c r="J2787">
        <v>3.09</v>
      </c>
      <c r="K2787">
        <v>0</v>
      </c>
    </row>
    <row r="2788" spans="1:11" x14ac:dyDescent="0.3">
      <c r="A2788">
        <v>2787</v>
      </c>
      <c r="B2788">
        <v>35</v>
      </c>
      <c r="C2788">
        <v>4</v>
      </c>
      <c r="D2788">
        <v>2620</v>
      </c>
      <c r="E2788" t="s">
        <v>651</v>
      </c>
      <c r="F2788">
        <v>2.56</v>
      </c>
      <c r="G2788" t="s">
        <v>623</v>
      </c>
      <c r="H2788" s="1">
        <v>46262.471828703703</v>
      </c>
      <c r="I2788" t="s">
        <v>641</v>
      </c>
      <c r="J2788">
        <v>2.56</v>
      </c>
      <c r="K2788">
        <v>0</v>
      </c>
    </row>
    <row r="2789" spans="1:11" x14ac:dyDescent="0.3">
      <c r="A2789">
        <v>2788</v>
      </c>
      <c r="B2789">
        <v>134</v>
      </c>
      <c r="C2789">
        <v>4</v>
      </c>
      <c r="D2789">
        <v>2621</v>
      </c>
      <c r="E2789" t="s">
        <v>651</v>
      </c>
      <c r="F2789">
        <v>13.86</v>
      </c>
      <c r="G2789" t="s">
        <v>623</v>
      </c>
      <c r="H2789" s="1">
        <v>46262.549444444441</v>
      </c>
      <c r="I2789" t="s">
        <v>641</v>
      </c>
      <c r="J2789">
        <v>13.86</v>
      </c>
      <c r="K2789">
        <v>0</v>
      </c>
    </row>
    <row r="2790" spans="1:11" x14ac:dyDescent="0.3">
      <c r="A2790">
        <v>2789</v>
      </c>
      <c r="B2790">
        <v>80</v>
      </c>
      <c r="C2790">
        <v>3</v>
      </c>
      <c r="D2790">
        <v>2622</v>
      </c>
      <c r="E2790" t="s">
        <v>651</v>
      </c>
      <c r="F2790">
        <v>1.41</v>
      </c>
      <c r="G2790" t="s">
        <v>623</v>
      </c>
      <c r="H2790" s="1">
        <v>46262.584374999999</v>
      </c>
      <c r="I2790" t="s">
        <v>641</v>
      </c>
      <c r="J2790">
        <v>1.41</v>
      </c>
      <c r="K2790">
        <v>0</v>
      </c>
    </row>
    <row r="2791" spans="1:11" x14ac:dyDescent="0.3">
      <c r="A2791">
        <v>2790</v>
      </c>
      <c r="B2791">
        <v>218</v>
      </c>
      <c r="C2791">
        <v>4</v>
      </c>
      <c r="D2791">
        <v>2623</v>
      </c>
      <c r="E2791" t="s">
        <v>651</v>
      </c>
      <c r="F2791">
        <v>1.91</v>
      </c>
      <c r="G2791" t="s">
        <v>623</v>
      </c>
      <c r="H2791" s="1">
        <v>46262.68854166667</v>
      </c>
      <c r="I2791" t="s">
        <v>641</v>
      </c>
      <c r="J2791">
        <v>1.91</v>
      </c>
      <c r="K2791">
        <v>0</v>
      </c>
    </row>
    <row r="2792" spans="1:11" x14ac:dyDescent="0.3">
      <c r="A2792">
        <v>2791</v>
      </c>
      <c r="B2792">
        <v>91</v>
      </c>
      <c r="C2792">
        <v>4</v>
      </c>
      <c r="D2792">
        <v>2624</v>
      </c>
      <c r="E2792" t="s">
        <v>651</v>
      </c>
      <c r="F2792">
        <v>4.24</v>
      </c>
      <c r="G2792" t="s">
        <v>623</v>
      </c>
      <c r="H2792" s="1">
        <v>46263.355092592596</v>
      </c>
      <c r="I2792" t="s">
        <v>641</v>
      </c>
      <c r="J2792">
        <v>4.24</v>
      </c>
      <c r="K2792">
        <v>0</v>
      </c>
    </row>
    <row r="2793" spans="1:11" x14ac:dyDescent="0.3">
      <c r="A2793">
        <v>2792</v>
      </c>
      <c r="B2793">
        <v>128</v>
      </c>
      <c r="C2793">
        <v>4</v>
      </c>
      <c r="D2793">
        <v>2625</v>
      </c>
      <c r="E2793" t="s">
        <v>651</v>
      </c>
      <c r="F2793">
        <v>2.64</v>
      </c>
      <c r="G2793" t="s">
        <v>623</v>
      </c>
      <c r="H2793" s="1">
        <v>46263.375069444446</v>
      </c>
      <c r="I2793" t="s">
        <v>641</v>
      </c>
      <c r="J2793">
        <v>2.64</v>
      </c>
      <c r="K2793">
        <v>0</v>
      </c>
    </row>
    <row r="2794" spans="1:11" x14ac:dyDescent="0.3">
      <c r="A2794">
        <v>2793</v>
      </c>
      <c r="B2794">
        <v>16</v>
      </c>
      <c r="C2794">
        <v>5</v>
      </c>
      <c r="D2794">
        <v>2626</v>
      </c>
      <c r="E2794" t="s">
        <v>651</v>
      </c>
      <c r="F2794">
        <v>16.84</v>
      </c>
      <c r="G2794" t="s">
        <v>623</v>
      </c>
      <c r="H2794" s="1">
        <v>46263.377465277779</v>
      </c>
      <c r="I2794" t="s">
        <v>641</v>
      </c>
      <c r="J2794">
        <v>16.84</v>
      </c>
      <c r="K2794">
        <v>0</v>
      </c>
    </row>
    <row r="2795" spans="1:11" x14ac:dyDescent="0.3">
      <c r="A2795">
        <v>2794</v>
      </c>
      <c r="B2795">
        <v>128</v>
      </c>
      <c r="C2795">
        <v>2</v>
      </c>
      <c r="D2795">
        <v>2627</v>
      </c>
      <c r="E2795" t="s">
        <v>651</v>
      </c>
      <c r="F2795">
        <v>3.13</v>
      </c>
      <c r="G2795" t="s">
        <v>623</v>
      </c>
      <c r="H2795" s="1">
        <v>46263.387557870374</v>
      </c>
      <c r="I2795" t="s">
        <v>641</v>
      </c>
      <c r="J2795">
        <v>3.13</v>
      </c>
      <c r="K2795">
        <v>0</v>
      </c>
    </row>
    <row r="2796" spans="1:11" x14ac:dyDescent="0.3">
      <c r="A2796">
        <v>2795</v>
      </c>
      <c r="B2796">
        <v>195</v>
      </c>
      <c r="C2796">
        <v>5</v>
      </c>
      <c r="D2796">
        <v>2628</v>
      </c>
      <c r="E2796" t="s">
        <v>651</v>
      </c>
      <c r="F2796">
        <v>10.85</v>
      </c>
      <c r="G2796" t="s">
        <v>623</v>
      </c>
      <c r="H2796" s="1">
        <v>46263.666909722226</v>
      </c>
      <c r="I2796" t="s">
        <v>641</v>
      </c>
      <c r="J2796">
        <v>10.85</v>
      </c>
      <c r="K2796">
        <v>0</v>
      </c>
    </row>
    <row r="2797" spans="1:11" x14ac:dyDescent="0.3">
      <c r="A2797">
        <v>2796</v>
      </c>
      <c r="B2797">
        <v>207</v>
      </c>
      <c r="C2797">
        <v>3</v>
      </c>
      <c r="D2797">
        <v>2629</v>
      </c>
      <c r="E2797" t="s">
        <v>651</v>
      </c>
      <c r="F2797">
        <v>3.71</v>
      </c>
      <c r="G2797" t="s">
        <v>623</v>
      </c>
      <c r="H2797" s="1">
        <v>46263.775763888887</v>
      </c>
      <c r="I2797" t="s">
        <v>641</v>
      </c>
      <c r="J2797">
        <v>3.71</v>
      </c>
      <c r="K2797">
        <v>0</v>
      </c>
    </row>
    <row r="2798" spans="1:11" x14ac:dyDescent="0.3">
      <c r="A2798">
        <v>2797</v>
      </c>
      <c r="B2798">
        <v>136</v>
      </c>
      <c r="C2798">
        <v>4</v>
      </c>
      <c r="D2798">
        <v>2630</v>
      </c>
      <c r="E2798" t="s">
        <v>651</v>
      </c>
      <c r="F2798">
        <v>17.309999999999999</v>
      </c>
      <c r="G2798" t="s">
        <v>623</v>
      </c>
      <c r="H2798" s="1">
        <v>46264.344189814816</v>
      </c>
      <c r="I2798" t="s">
        <v>641</v>
      </c>
      <c r="J2798">
        <v>17.309999999999999</v>
      </c>
      <c r="K2798">
        <v>0</v>
      </c>
    </row>
    <row r="2799" spans="1:11" x14ac:dyDescent="0.3">
      <c r="A2799">
        <v>2798</v>
      </c>
      <c r="B2799">
        <v>137</v>
      </c>
      <c r="C2799">
        <v>2</v>
      </c>
      <c r="D2799">
        <v>2631</v>
      </c>
      <c r="E2799" t="s">
        <v>651</v>
      </c>
      <c r="F2799">
        <v>2.95</v>
      </c>
      <c r="G2799" t="s">
        <v>623</v>
      </c>
      <c r="H2799" s="1">
        <v>46264.384583333333</v>
      </c>
      <c r="I2799" t="s">
        <v>641</v>
      </c>
      <c r="J2799">
        <v>2.95</v>
      </c>
      <c r="K2799">
        <v>0</v>
      </c>
    </row>
    <row r="2800" spans="1:11" x14ac:dyDescent="0.3">
      <c r="A2800">
        <v>2799</v>
      </c>
      <c r="B2800">
        <v>245</v>
      </c>
      <c r="C2800">
        <v>4</v>
      </c>
      <c r="D2800">
        <v>2632</v>
      </c>
      <c r="E2800" t="s">
        <v>651</v>
      </c>
      <c r="F2800">
        <v>1.89</v>
      </c>
      <c r="G2800" t="s">
        <v>623</v>
      </c>
      <c r="H2800" s="1">
        <v>46264.391215277778</v>
      </c>
      <c r="I2800" t="s">
        <v>641</v>
      </c>
      <c r="J2800">
        <v>1.89</v>
      </c>
      <c r="K2800">
        <v>0</v>
      </c>
    </row>
    <row r="2801" spans="1:11" x14ac:dyDescent="0.3">
      <c r="A2801">
        <v>2800</v>
      </c>
      <c r="B2801">
        <v>48</v>
      </c>
      <c r="C2801">
        <v>2</v>
      </c>
      <c r="D2801">
        <v>2633</v>
      </c>
      <c r="E2801" t="s">
        <v>657</v>
      </c>
      <c r="F2801">
        <v>72.66</v>
      </c>
      <c r="G2801" t="s">
        <v>623</v>
      </c>
      <c r="H2801" s="1">
        <v>46265.455578703702</v>
      </c>
      <c r="I2801" t="s">
        <v>641</v>
      </c>
      <c r="J2801">
        <v>0</v>
      </c>
      <c r="K2801">
        <v>72.66</v>
      </c>
    </row>
    <row r="2802" spans="1:11" x14ac:dyDescent="0.3">
      <c r="A2802">
        <v>2801</v>
      </c>
      <c r="B2802">
        <v>293</v>
      </c>
      <c r="C2802">
        <v>5</v>
      </c>
      <c r="D2802">
        <v>2634</v>
      </c>
      <c r="E2802" t="s">
        <v>651</v>
      </c>
      <c r="F2802">
        <v>4.4800000000000004</v>
      </c>
      <c r="G2802" t="s">
        <v>623</v>
      </c>
      <c r="H2802" s="1">
        <v>46265.457604166666</v>
      </c>
      <c r="I2802" t="s">
        <v>641</v>
      </c>
      <c r="J2802">
        <v>4.4800000000000004</v>
      </c>
      <c r="K2802">
        <v>0</v>
      </c>
    </row>
    <row r="2803" spans="1:11" x14ac:dyDescent="0.3">
      <c r="A2803">
        <v>2802</v>
      </c>
      <c r="B2803">
        <v>16</v>
      </c>
      <c r="C2803">
        <v>3</v>
      </c>
      <c r="D2803">
        <v>2635</v>
      </c>
      <c r="E2803" t="s">
        <v>651</v>
      </c>
      <c r="F2803">
        <v>11.77</v>
      </c>
      <c r="G2803" t="s">
        <v>623</v>
      </c>
      <c r="H2803" s="1">
        <v>46265.50199074074</v>
      </c>
      <c r="I2803" t="s">
        <v>641</v>
      </c>
      <c r="J2803">
        <v>11.77</v>
      </c>
      <c r="K2803">
        <v>0</v>
      </c>
    </row>
    <row r="2804" spans="1:11" x14ac:dyDescent="0.3">
      <c r="A2804">
        <v>2803</v>
      </c>
      <c r="B2804">
        <v>231</v>
      </c>
      <c r="C2804">
        <v>2</v>
      </c>
      <c r="D2804">
        <v>2636</v>
      </c>
      <c r="E2804" t="s">
        <v>651</v>
      </c>
      <c r="F2804">
        <v>10.97</v>
      </c>
      <c r="G2804" t="s">
        <v>623</v>
      </c>
      <c r="H2804" s="1">
        <v>46265.608807870369</v>
      </c>
      <c r="I2804" t="s">
        <v>641</v>
      </c>
      <c r="J2804">
        <v>10.97</v>
      </c>
      <c r="K2804">
        <v>0</v>
      </c>
    </row>
    <row r="2805" spans="1:11" x14ac:dyDescent="0.3">
      <c r="A2805">
        <v>2804</v>
      </c>
      <c r="B2805">
        <v>250</v>
      </c>
      <c r="C2805">
        <v>4</v>
      </c>
      <c r="D2805">
        <v>2637</v>
      </c>
      <c r="E2805" t="s">
        <v>651</v>
      </c>
      <c r="F2805">
        <v>6</v>
      </c>
      <c r="G2805" t="s">
        <v>623</v>
      </c>
      <c r="H2805" s="1">
        <v>46265.667002314818</v>
      </c>
      <c r="I2805" t="s">
        <v>641</v>
      </c>
      <c r="J2805">
        <v>6</v>
      </c>
      <c r="K2805">
        <v>0</v>
      </c>
    </row>
    <row r="2806" spans="1:11" x14ac:dyDescent="0.3">
      <c r="A2806">
        <v>2805</v>
      </c>
      <c r="B2806">
        <v>172</v>
      </c>
      <c r="C2806">
        <v>4</v>
      </c>
      <c r="D2806">
        <v>2638</v>
      </c>
      <c r="E2806" t="s">
        <v>651</v>
      </c>
      <c r="F2806">
        <v>2.37</v>
      </c>
      <c r="G2806" t="s">
        <v>623</v>
      </c>
      <c r="H2806" s="1">
        <v>46265.683969907404</v>
      </c>
      <c r="I2806" t="s">
        <v>641</v>
      </c>
      <c r="J2806">
        <v>2.37</v>
      </c>
      <c r="K2806">
        <v>0</v>
      </c>
    </row>
    <row r="2807" spans="1:11" x14ac:dyDescent="0.3">
      <c r="A2807">
        <v>2806</v>
      </c>
      <c r="B2807">
        <v>44</v>
      </c>
      <c r="C2807">
        <v>4</v>
      </c>
      <c r="D2807">
        <v>2639</v>
      </c>
      <c r="E2807" t="s">
        <v>651</v>
      </c>
      <c r="F2807">
        <v>5.84</v>
      </c>
      <c r="G2807" t="s">
        <v>623</v>
      </c>
      <c r="H2807" s="1">
        <v>46265.687291666669</v>
      </c>
      <c r="I2807" t="s">
        <v>641</v>
      </c>
      <c r="J2807">
        <v>5.84</v>
      </c>
      <c r="K2807">
        <v>0</v>
      </c>
    </row>
    <row r="2808" spans="1:11" x14ac:dyDescent="0.3">
      <c r="A2808">
        <v>2807</v>
      </c>
      <c r="B2808">
        <v>123</v>
      </c>
      <c r="C2808">
        <v>2</v>
      </c>
      <c r="D2808">
        <v>2640</v>
      </c>
      <c r="E2808" t="s">
        <v>651</v>
      </c>
      <c r="F2808">
        <v>4.42</v>
      </c>
      <c r="G2808" t="s">
        <v>623</v>
      </c>
      <c r="H2808" s="1">
        <v>46265.697118055556</v>
      </c>
      <c r="I2808" t="s">
        <v>641</v>
      </c>
      <c r="J2808">
        <v>4.42</v>
      </c>
      <c r="K2808">
        <v>0</v>
      </c>
    </row>
    <row r="2809" spans="1:11" x14ac:dyDescent="0.3">
      <c r="A2809">
        <v>2808</v>
      </c>
      <c r="B2809">
        <v>117</v>
      </c>
      <c r="C2809">
        <v>3</v>
      </c>
      <c r="D2809">
        <v>2641</v>
      </c>
      <c r="E2809" t="s">
        <v>651</v>
      </c>
      <c r="F2809">
        <v>4.8600000000000003</v>
      </c>
      <c r="G2809" t="s">
        <v>623</v>
      </c>
      <c r="H2809" s="1">
        <v>46265.741099537037</v>
      </c>
      <c r="I2809" t="s">
        <v>641</v>
      </c>
      <c r="J2809">
        <v>4.8600000000000003</v>
      </c>
      <c r="K2809">
        <v>0</v>
      </c>
    </row>
    <row r="2810" spans="1:11" x14ac:dyDescent="0.3">
      <c r="A2810">
        <v>2809</v>
      </c>
      <c r="B2810">
        <v>250</v>
      </c>
      <c r="C2810">
        <v>2</v>
      </c>
      <c r="D2810">
        <v>2637</v>
      </c>
      <c r="E2810" t="s">
        <v>649</v>
      </c>
      <c r="F2810">
        <v>-6</v>
      </c>
      <c r="G2810" t="s">
        <v>764</v>
      </c>
      <c r="H2810" s="1">
        <v>46265.750335648147</v>
      </c>
      <c r="I2810" t="s">
        <v>641</v>
      </c>
      <c r="J2810">
        <v>0</v>
      </c>
      <c r="K2810">
        <v>0</v>
      </c>
    </row>
    <row r="2811" spans="1:11" x14ac:dyDescent="0.3">
      <c r="A2811">
        <v>2810</v>
      </c>
      <c r="B2811">
        <v>207</v>
      </c>
      <c r="C2811">
        <v>3</v>
      </c>
      <c r="D2811">
        <v>2642</v>
      </c>
      <c r="E2811" t="s">
        <v>651</v>
      </c>
      <c r="F2811">
        <v>0.93</v>
      </c>
      <c r="G2811" t="s">
        <v>623</v>
      </c>
      <c r="H2811" s="1">
        <v>46265.760752314818</v>
      </c>
      <c r="I2811" t="s">
        <v>641</v>
      </c>
      <c r="J2811">
        <v>0.93</v>
      </c>
      <c r="K2811">
        <v>0</v>
      </c>
    </row>
    <row r="2812" spans="1:11" x14ac:dyDescent="0.3">
      <c r="A2812">
        <v>2811</v>
      </c>
      <c r="B2812">
        <v>156</v>
      </c>
      <c r="C2812">
        <v>4</v>
      </c>
      <c r="D2812">
        <v>2643</v>
      </c>
      <c r="E2812" t="s">
        <v>651</v>
      </c>
      <c r="F2812">
        <v>3.16</v>
      </c>
      <c r="G2812" t="s">
        <v>623</v>
      </c>
      <c r="H2812" s="1">
        <v>46265.784710648149</v>
      </c>
      <c r="I2812" t="s">
        <v>641</v>
      </c>
      <c r="J2812">
        <v>3.16</v>
      </c>
      <c r="K2812">
        <v>0</v>
      </c>
    </row>
    <row r="2813" spans="1:11" x14ac:dyDescent="0.3">
      <c r="A2813">
        <v>2812</v>
      </c>
      <c r="B2813">
        <v>250</v>
      </c>
      <c r="C2813">
        <v>3</v>
      </c>
      <c r="D2813">
        <v>2644</v>
      </c>
      <c r="E2813" t="s">
        <v>651</v>
      </c>
      <c r="F2813">
        <v>6.69</v>
      </c>
      <c r="G2813" t="s">
        <v>623</v>
      </c>
      <c r="H2813" s="1">
        <v>46266.303032407406</v>
      </c>
      <c r="I2813" t="s">
        <v>642</v>
      </c>
      <c r="J2813">
        <v>6.69</v>
      </c>
      <c r="K2813">
        <v>0</v>
      </c>
    </row>
    <row r="2814" spans="1:11" x14ac:dyDescent="0.3">
      <c r="A2814">
        <v>2813</v>
      </c>
      <c r="B2814">
        <v>66</v>
      </c>
      <c r="C2814">
        <v>2</v>
      </c>
      <c r="D2814">
        <v>2645</v>
      </c>
      <c r="E2814" t="s">
        <v>651</v>
      </c>
      <c r="F2814">
        <v>15.22</v>
      </c>
      <c r="G2814" t="s">
        <v>623</v>
      </c>
      <c r="H2814" s="1">
        <v>46266.352870370371</v>
      </c>
      <c r="I2814" t="s">
        <v>642</v>
      </c>
      <c r="J2814">
        <v>15.22</v>
      </c>
      <c r="K2814">
        <v>0</v>
      </c>
    </row>
    <row r="2815" spans="1:11" x14ac:dyDescent="0.3">
      <c r="A2815">
        <v>2814</v>
      </c>
      <c r="B2815">
        <v>273</v>
      </c>
      <c r="C2815">
        <v>2</v>
      </c>
      <c r="D2815">
        <v>2646</v>
      </c>
      <c r="E2815" t="s">
        <v>651</v>
      </c>
      <c r="F2815">
        <v>3.23</v>
      </c>
      <c r="G2815" t="s">
        <v>623</v>
      </c>
      <c r="H2815" s="1">
        <v>46266.578657407408</v>
      </c>
      <c r="I2815" t="s">
        <v>642</v>
      </c>
      <c r="J2815">
        <v>3.23</v>
      </c>
      <c r="K2815">
        <v>0</v>
      </c>
    </row>
    <row r="2816" spans="1:11" x14ac:dyDescent="0.3">
      <c r="A2816">
        <v>2815</v>
      </c>
      <c r="B2816">
        <v>174</v>
      </c>
      <c r="C2816">
        <v>5</v>
      </c>
      <c r="D2816">
        <v>2647</v>
      </c>
      <c r="E2816" t="s">
        <v>651</v>
      </c>
      <c r="F2816">
        <v>3.91</v>
      </c>
      <c r="G2816" t="s">
        <v>623</v>
      </c>
      <c r="H2816" s="1">
        <v>46266.628541666665</v>
      </c>
      <c r="I2816" t="s">
        <v>642</v>
      </c>
      <c r="J2816">
        <v>3.91</v>
      </c>
      <c r="K2816">
        <v>0</v>
      </c>
    </row>
    <row r="2817" spans="1:11" x14ac:dyDescent="0.3">
      <c r="A2817">
        <v>2816</v>
      </c>
      <c r="B2817">
        <v>39</v>
      </c>
      <c r="C2817">
        <v>4</v>
      </c>
      <c r="D2817">
        <v>2648</v>
      </c>
      <c r="E2817" t="s">
        <v>651</v>
      </c>
      <c r="F2817">
        <v>28.24</v>
      </c>
      <c r="G2817" t="s">
        <v>623</v>
      </c>
      <c r="H2817" s="1">
        <v>46266.654965277776</v>
      </c>
      <c r="I2817" t="s">
        <v>642</v>
      </c>
      <c r="J2817">
        <v>28.24</v>
      </c>
      <c r="K2817">
        <v>0</v>
      </c>
    </row>
    <row r="2818" spans="1:11" x14ac:dyDescent="0.3">
      <c r="A2818">
        <v>2817</v>
      </c>
      <c r="B2818">
        <v>195</v>
      </c>
      <c r="C2818">
        <v>3</v>
      </c>
      <c r="D2818">
        <v>2649</v>
      </c>
      <c r="E2818" t="s">
        <v>651</v>
      </c>
      <c r="F2818">
        <v>29.27</v>
      </c>
      <c r="G2818" t="s">
        <v>623</v>
      </c>
      <c r="H2818" s="1">
        <v>46266.691851851851</v>
      </c>
      <c r="I2818" t="s">
        <v>642</v>
      </c>
      <c r="J2818">
        <v>29.27</v>
      </c>
      <c r="K2818">
        <v>0</v>
      </c>
    </row>
    <row r="2819" spans="1:11" x14ac:dyDescent="0.3">
      <c r="A2819">
        <v>2818</v>
      </c>
      <c r="B2819">
        <v>83</v>
      </c>
      <c r="C2819">
        <v>3</v>
      </c>
      <c r="D2819">
        <v>2650</v>
      </c>
      <c r="E2819" t="s">
        <v>651</v>
      </c>
      <c r="F2819">
        <v>4.63</v>
      </c>
      <c r="G2819" t="s">
        <v>623</v>
      </c>
      <c r="H2819" s="1">
        <v>46266.789305555554</v>
      </c>
      <c r="I2819" t="s">
        <v>642</v>
      </c>
      <c r="J2819">
        <v>4.63</v>
      </c>
      <c r="K2819">
        <v>0</v>
      </c>
    </row>
    <row r="2820" spans="1:11" x14ac:dyDescent="0.3">
      <c r="A2820">
        <v>2819</v>
      </c>
      <c r="B2820">
        <v>11</v>
      </c>
      <c r="C2820">
        <v>5</v>
      </c>
      <c r="D2820">
        <v>2651</v>
      </c>
      <c r="E2820" t="s">
        <v>651</v>
      </c>
      <c r="F2820">
        <v>18.829999999999998</v>
      </c>
      <c r="G2820" t="s">
        <v>623</v>
      </c>
      <c r="H2820" s="1">
        <v>46267.319907407407</v>
      </c>
      <c r="I2820" t="s">
        <v>642</v>
      </c>
      <c r="J2820">
        <v>18.829999999999998</v>
      </c>
      <c r="K2820">
        <v>0</v>
      </c>
    </row>
    <row r="2821" spans="1:11" x14ac:dyDescent="0.3">
      <c r="A2821">
        <v>2820</v>
      </c>
      <c r="B2821">
        <v>39</v>
      </c>
      <c r="C2821">
        <v>3</v>
      </c>
      <c r="D2821">
        <v>2652</v>
      </c>
      <c r="E2821" t="s">
        <v>651</v>
      </c>
      <c r="F2821">
        <v>19.38</v>
      </c>
      <c r="G2821" t="s">
        <v>623</v>
      </c>
      <c r="H2821" s="1">
        <v>46267.349490740744</v>
      </c>
      <c r="I2821" t="s">
        <v>642</v>
      </c>
      <c r="J2821">
        <v>19.38</v>
      </c>
      <c r="K2821">
        <v>0</v>
      </c>
    </row>
    <row r="2822" spans="1:11" x14ac:dyDescent="0.3">
      <c r="A2822">
        <v>2821</v>
      </c>
      <c r="B2822">
        <v>297</v>
      </c>
      <c r="C2822">
        <v>4</v>
      </c>
      <c r="D2822">
        <v>2653</v>
      </c>
      <c r="E2822" t="s">
        <v>651</v>
      </c>
      <c r="F2822">
        <v>8.5</v>
      </c>
      <c r="G2822" t="s">
        <v>623</v>
      </c>
      <c r="H2822" s="1">
        <v>46267.398900462962</v>
      </c>
      <c r="I2822" t="s">
        <v>642</v>
      </c>
      <c r="J2822">
        <v>8.5</v>
      </c>
      <c r="K2822">
        <v>0</v>
      </c>
    </row>
    <row r="2823" spans="1:11" x14ac:dyDescent="0.3">
      <c r="A2823">
        <v>2822</v>
      </c>
      <c r="B2823">
        <v>48</v>
      </c>
      <c r="C2823">
        <v>5</v>
      </c>
      <c r="D2823">
        <v>2654</v>
      </c>
      <c r="E2823" t="s">
        <v>651</v>
      </c>
      <c r="F2823">
        <v>10.8</v>
      </c>
      <c r="G2823" t="s">
        <v>623</v>
      </c>
      <c r="H2823" s="1">
        <v>46267.458715277775</v>
      </c>
      <c r="I2823" t="s">
        <v>642</v>
      </c>
      <c r="J2823">
        <v>10.8</v>
      </c>
      <c r="K2823">
        <v>0</v>
      </c>
    </row>
    <row r="2824" spans="1:11" x14ac:dyDescent="0.3">
      <c r="A2824">
        <v>2823</v>
      </c>
      <c r="B2824">
        <v>128</v>
      </c>
      <c r="C2824">
        <v>3</v>
      </c>
      <c r="D2824">
        <v>2655</v>
      </c>
      <c r="E2824" t="s">
        <v>651</v>
      </c>
      <c r="F2824">
        <v>2.21</v>
      </c>
      <c r="G2824" t="s">
        <v>623</v>
      </c>
      <c r="H2824" s="1">
        <v>46267.542928240742</v>
      </c>
      <c r="I2824" t="s">
        <v>642</v>
      </c>
      <c r="J2824">
        <v>2.21</v>
      </c>
      <c r="K2824">
        <v>0</v>
      </c>
    </row>
    <row r="2825" spans="1:11" x14ac:dyDescent="0.3">
      <c r="A2825">
        <v>2824</v>
      </c>
      <c r="B2825">
        <v>174</v>
      </c>
      <c r="C2825">
        <v>5</v>
      </c>
      <c r="D2825">
        <v>2647</v>
      </c>
      <c r="E2825" t="s">
        <v>649</v>
      </c>
      <c r="F2825">
        <v>-3.91</v>
      </c>
      <c r="G2825" t="s">
        <v>765</v>
      </c>
      <c r="H2825" s="1">
        <v>46267.711875000001</v>
      </c>
      <c r="I2825" t="s">
        <v>642</v>
      </c>
      <c r="J2825">
        <v>0</v>
      </c>
      <c r="K2825">
        <v>0</v>
      </c>
    </row>
    <row r="2826" spans="1:11" x14ac:dyDescent="0.3">
      <c r="A2826">
        <v>2825</v>
      </c>
      <c r="B2826">
        <v>285</v>
      </c>
      <c r="C2826">
        <v>4</v>
      </c>
      <c r="D2826">
        <v>2656</v>
      </c>
      <c r="E2826" t="s">
        <v>651</v>
      </c>
      <c r="F2826">
        <v>3.14</v>
      </c>
      <c r="G2826" t="s">
        <v>623</v>
      </c>
      <c r="H2826" s="1">
        <v>46267.744456018518</v>
      </c>
      <c r="I2826" t="s">
        <v>642</v>
      </c>
      <c r="J2826">
        <v>3.14</v>
      </c>
      <c r="K2826">
        <v>0</v>
      </c>
    </row>
    <row r="2827" spans="1:11" x14ac:dyDescent="0.3">
      <c r="A2827">
        <v>2826</v>
      </c>
      <c r="B2827">
        <v>183</v>
      </c>
      <c r="C2827">
        <v>2</v>
      </c>
      <c r="D2827">
        <v>2657</v>
      </c>
      <c r="E2827" t="s">
        <v>651</v>
      </c>
      <c r="F2827">
        <v>5.17</v>
      </c>
      <c r="G2827" t="s">
        <v>623</v>
      </c>
      <c r="H2827" s="1">
        <v>46267.750555555554</v>
      </c>
      <c r="I2827" t="s">
        <v>642</v>
      </c>
      <c r="J2827">
        <v>5.17</v>
      </c>
      <c r="K2827">
        <v>0</v>
      </c>
    </row>
    <row r="2828" spans="1:11" x14ac:dyDescent="0.3">
      <c r="A2828">
        <v>2827</v>
      </c>
      <c r="B2828">
        <v>295</v>
      </c>
      <c r="C2828">
        <v>5</v>
      </c>
      <c r="D2828">
        <v>2658</v>
      </c>
      <c r="E2828" t="s">
        <v>651</v>
      </c>
      <c r="F2828">
        <v>2.7</v>
      </c>
      <c r="G2828" t="s">
        <v>623</v>
      </c>
      <c r="H2828" s="1">
        <v>46267.793506944443</v>
      </c>
      <c r="I2828" t="s">
        <v>642</v>
      </c>
      <c r="J2828">
        <v>2.7</v>
      </c>
      <c r="K2828">
        <v>0</v>
      </c>
    </row>
    <row r="2829" spans="1:11" x14ac:dyDescent="0.3">
      <c r="A2829">
        <v>2828</v>
      </c>
      <c r="B2829">
        <v>277</v>
      </c>
      <c r="C2829">
        <v>5</v>
      </c>
      <c r="D2829">
        <v>2659</v>
      </c>
      <c r="E2829" t="s">
        <v>651</v>
      </c>
      <c r="F2829">
        <v>12.41</v>
      </c>
      <c r="G2829" t="s">
        <v>623</v>
      </c>
      <c r="H2829" s="1">
        <v>46268.333460648151</v>
      </c>
      <c r="I2829" t="s">
        <v>642</v>
      </c>
      <c r="J2829">
        <v>12.41</v>
      </c>
      <c r="K2829">
        <v>0</v>
      </c>
    </row>
    <row r="2830" spans="1:11" x14ac:dyDescent="0.3">
      <c r="A2830">
        <v>2829</v>
      </c>
      <c r="B2830">
        <v>134</v>
      </c>
      <c r="C2830">
        <v>2</v>
      </c>
      <c r="D2830">
        <v>2660</v>
      </c>
      <c r="E2830" t="s">
        <v>651</v>
      </c>
      <c r="F2830">
        <v>5.7</v>
      </c>
      <c r="G2830" t="s">
        <v>623</v>
      </c>
      <c r="H2830" s="1">
        <v>46268.340289351851</v>
      </c>
      <c r="I2830" t="s">
        <v>642</v>
      </c>
      <c r="J2830">
        <v>5.7</v>
      </c>
      <c r="K2830">
        <v>0</v>
      </c>
    </row>
    <row r="2831" spans="1:11" x14ac:dyDescent="0.3">
      <c r="A2831">
        <v>2830</v>
      </c>
      <c r="B2831">
        <v>75</v>
      </c>
      <c r="C2831">
        <v>4</v>
      </c>
      <c r="D2831">
        <v>2661</v>
      </c>
      <c r="E2831" t="s">
        <v>651</v>
      </c>
      <c r="F2831">
        <v>10.81</v>
      </c>
      <c r="G2831" t="s">
        <v>623</v>
      </c>
      <c r="H2831" s="1">
        <v>46268.432152777779</v>
      </c>
      <c r="I2831" t="s">
        <v>642</v>
      </c>
      <c r="J2831">
        <v>10.81</v>
      </c>
      <c r="K2831">
        <v>0</v>
      </c>
    </row>
    <row r="2832" spans="1:11" x14ac:dyDescent="0.3">
      <c r="A2832">
        <v>2831</v>
      </c>
      <c r="B2832">
        <v>55</v>
      </c>
      <c r="C2832">
        <v>4</v>
      </c>
      <c r="D2832">
        <v>2662</v>
      </c>
      <c r="E2832" t="s">
        <v>651</v>
      </c>
      <c r="F2832">
        <v>5.7</v>
      </c>
      <c r="G2832" t="s">
        <v>623</v>
      </c>
      <c r="H2832" s="1">
        <v>46268.499942129631</v>
      </c>
      <c r="I2832" t="s">
        <v>642</v>
      </c>
      <c r="J2832">
        <v>5.7</v>
      </c>
      <c r="K2832">
        <v>0</v>
      </c>
    </row>
    <row r="2833" spans="1:11" x14ac:dyDescent="0.3">
      <c r="A2833">
        <v>2832</v>
      </c>
      <c r="B2833">
        <v>48</v>
      </c>
      <c r="C2833">
        <v>4</v>
      </c>
      <c r="D2833">
        <v>2663</v>
      </c>
      <c r="E2833" t="s">
        <v>657</v>
      </c>
      <c r="F2833">
        <v>96.26</v>
      </c>
      <c r="G2833" t="s">
        <v>623</v>
      </c>
      <c r="H2833" s="1">
        <v>46268.552233796298</v>
      </c>
      <c r="I2833" t="s">
        <v>642</v>
      </c>
      <c r="J2833">
        <v>0</v>
      </c>
      <c r="K2833">
        <v>96.26</v>
      </c>
    </row>
    <row r="2834" spans="1:11" x14ac:dyDescent="0.3">
      <c r="A2834">
        <v>2833</v>
      </c>
      <c r="B2834">
        <v>134</v>
      </c>
      <c r="C2834">
        <v>3</v>
      </c>
      <c r="D2834">
        <v>2664</v>
      </c>
      <c r="E2834" t="s">
        <v>651</v>
      </c>
      <c r="F2834">
        <v>12.97</v>
      </c>
      <c r="G2834" t="s">
        <v>623</v>
      </c>
      <c r="H2834" s="1">
        <v>46268.664675925924</v>
      </c>
      <c r="I2834" t="s">
        <v>642</v>
      </c>
      <c r="J2834">
        <v>12.97</v>
      </c>
      <c r="K2834">
        <v>0</v>
      </c>
    </row>
    <row r="2835" spans="1:11" x14ac:dyDescent="0.3">
      <c r="A2835">
        <v>2834</v>
      </c>
      <c r="B2835">
        <v>291</v>
      </c>
      <c r="C2835">
        <v>5</v>
      </c>
      <c r="D2835">
        <v>2665</v>
      </c>
      <c r="E2835" t="s">
        <v>651</v>
      </c>
      <c r="F2835">
        <v>2.4700000000000002</v>
      </c>
      <c r="G2835" t="s">
        <v>623</v>
      </c>
      <c r="H2835" s="1">
        <v>46268.679467592592</v>
      </c>
      <c r="I2835" t="s">
        <v>642</v>
      </c>
      <c r="J2835">
        <v>2.4700000000000002</v>
      </c>
      <c r="K2835">
        <v>0</v>
      </c>
    </row>
    <row r="2836" spans="1:11" x14ac:dyDescent="0.3">
      <c r="A2836">
        <v>2835</v>
      </c>
      <c r="B2836">
        <v>21</v>
      </c>
      <c r="C2836">
        <v>5</v>
      </c>
      <c r="D2836">
        <v>2666</v>
      </c>
      <c r="E2836" t="s">
        <v>651</v>
      </c>
      <c r="F2836">
        <v>2.93</v>
      </c>
      <c r="G2836" t="s">
        <v>623</v>
      </c>
      <c r="H2836" s="1">
        <v>46268.685300925928</v>
      </c>
      <c r="I2836" t="s">
        <v>642</v>
      </c>
      <c r="J2836">
        <v>2.93</v>
      </c>
      <c r="K2836">
        <v>0</v>
      </c>
    </row>
    <row r="2837" spans="1:11" x14ac:dyDescent="0.3">
      <c r="A2837">
        <v>2836</v>
      </c>
      <c r="B2837">
        <v>186</v>
      </c>
      <c r="C2837">
        <v>5</v>
      </c>
      <c r="D2837">
        <v>2667</v>
      </c>
      <c r="E2837" t="s">
        <v>651</v>
      </c>
      <c r="F2837">
        <v>6.97</v>
      </c>
      <c r="G2837" t="s">
        <v>623</v>
      </c>
      <c r="H2837" s="1">
        <v>46269.310891203706</v>
      </c>
      <c r="I2837" t="s">
        <v>642</v>
      </c>
      <c r="J2837">
        <v>6.97</v>
      </c>
      <c r="K2837">
        <v>0</v>
      </c>
    </row>
    <row r="2838" spans="1:11" x14ac:dyDescent="0.3">
      <c r="A2838">
        <v>2837</v>
      </c>
      <c r="B2838">
        <v>128</v>
      </c>
      <c r="C2838">
        <v>4</v>
      </c>
      <c r="D2838">
        <v>2668</v>
      </c>
      <c r="E2838" t="s">
        <v>651</v>
      </c>
      <c r="F2838">
        <v>1.22</v>
      </c>
      <c r="G2838" t="s">
        <v>623</v>
      </c>
      <c r="H2838" s="1">
        <v>46269.345266203702</v>
      </c>
      <c r="I2838" t="s">
        <v>642</v>
      </c>
      <c r="J2838">
        <v>1.22</v>
      </c>
      <c r="K2838">
        <v>0</v>
      </c>
    </row>
    <row r="2839" spans="1:11" x14ac:dyDescent="0.3">
      <c r="A2839">
        <v>2838</v>
      </c>
      <c r="B2839">
        <v>181</v>
      </c>
      <c r="C2839">
        <v>4</v>
      </c>
      <c r="D2839">
        <v>2669</v>
      </c>
      <c r="E2839" t="s">
        <v>651</v>
      </c>
      <c r="F2839">
        <v>3.91</v>
      </c>
      <c r="G2839" t="s">
        <v>623</v>
      </c>
      <c r="H2839" s="1">
        <v>46269.347731481481</v>
      </c>
      <c r="I2839" t="s">
        <v>642</v>
      </c>
      <c r="J2839">
        <v>3.91</v>
      </c>
      <c r="K2839">
        <v>0</v>
      </c>
    </row>
    <row r="2840" spans="1:11" x14ac:dyDescent="0.3">
      <c r="A2840">
        <v>2839</v>
      </c>
      <c r="B2840">
        <v>75</v>
      </c>
      <c r="C2840">
        <v>4</v>
      </c>
      <c r="D2840">
        <v>2670</v>
      </c>
      <c r="E2840" t="s">
        <v>657</v>
      </c>
      <c r="F2840">
        <v>61.81</v>
      </c>
      <c r="G2840" t="s">
        <v>623</v>
      </c>
      <c r="H2840" s="1">
        <v>46269.417349537034</v>
      </c>
      <c r="I2840" t="s">
        <v>642</v>
      </c>
      <c r="J2840">
        <v>0</v>
      </c>
      <c r="K2840">
        <v>61.81</v>
      </c>
    </row>
    <row r="2841" spans="1:11" x14ac:dyDescent="0.3">
      <c r="A2841">
        <v>2840</v>
      </c>
      <c r="B2841">
        <v>246</v>
      </c>
      <c r="C2841">
        <v>2</v>
      </c>
      <c r="D2841">
        <v>2671</v>
      </c>
      <c r="E2841" t="s">
        <v>651</v>
      </c>
      <c r="F2841">
        <v>2.61</v>
      </c>
      <c r="G2841" t="s">
        <v>623</v>
      </c>
      <c r="H2841" s="1">
        <v>46269.43340277778</v>
      </c>
      <c r="I2841" t="s">
        <v>642</v>
      </c>
      <c r="J2841">
        <v>2.61</v>
      </c>
      <c r="K2841">
        <v>0</v>
      </c>
    </row>
    <row r="2842" spans="1:11" x14ac:dyDescent="0.3">
      <c r="A2842">
        <v>2841</v>
      </c>
      <c r="B2842">
        <v>299</v>
      </c>
      <c r="C2842">
        <v>5</v>
      </c>
      <c r="D2842">
        <v>2672</v>
      </c>
      <c r="E2842" t="s">
        <v>651</v>
      </c>
      <c r="F2842">
        <v>12.6</v>
      </c>
      <c r="G2842" t="s">
        <v>623</v>
      </c>
      <c r="H2842" s="1">
        <v>46269.483518518522</v>
      </c>
      <c r="I2842" t="s">
        <v>642</v>
      </c>
      <c r="J2842">
        <v>12.6</v>
      </c>
      <c r="K2842">
        <v>0</v>
      </c>
    </row>
    <row r="2843" spans="1:11" x14ac:dyDescent="0.3">
      <c r="A2843">
        <v>2842</v>
      </c>
      <c r="B2843">
        <v>134</v>
      </c>
      <c r="C2843">
        <v>2</v>
      </c>
      <c r="D2843">
        <v>2673</v>
      </c>
      <c r="E2843" t="s">
        <v>651</v>
      </c>
      <c r="F2843">
        <v>9.25</v>
      </c>
      <c r="G2843" t="s">
        <v>623</v>
      </c>
      <c r="H2843" s="1">
        <v>46269.500740740739</v>
      </c>
      <c r="I2843" t="s">
        <v>642</v>
      </c>
      <c r="J2843">
        <v>9.25</v>
      </c>
      <c r="K2843">
        <v>0</v>
      </c>
    </row>
    <row r="2844" spans="1:11" x14ac:dyDescent="0.3">
      <c r="A2844">
        <v>2843</v>
      </c>
      <c r="B2844">
        <v>136</v>
      </c>
      <c r="C2844">
        <v>4</v>
      </c>
      <c r="D2844">
        <v>2674</v>
      </c>
      <c r="E2844" t="s">
        <v>651</v>
      </c>
      <c r="F2844">
        <v>19.14</v>
      </c>
      <c r="G2844" t="s">
        <v>623</v>
      </c>
      <c r="H2844" s="1">
        <v>46269.535370370373</v>
      </c>
      <c r="I2844" t="s">
        <v>642</v>
      </c>
      <c r="J2844">
        <v>19.14</v>
      </c>
      <c r="K2844">
        <v>0</v>
      </c>
    </row>
    <row r="2845" spans="1:11" x14ac:dyDescent="0.3">
      <c r="A2845">
        <v>2844</v>
      </c>
      <c r="B2845">
        <v>128</v>
      </c>
      <c r="C2845">
        <v>2</v>
      </c>
      <c r="D2845">
        <v>2675</v>
      </c>
      <c r="E2845" t="s">
        <v>651</v>
      </c>
      <c r="F2845">
        <v>1.1000000000000001</v>
      </c>
      <c r="G2845" t="s">
        <v>623</v>
      </c>
      <c r="H2845" s="1">
        <v>46269.578587962962</v>
      </c>
      <c r="I2845" t="s">
        <v>642</v>
      </c>
      <c r="J2845">
        <v>1.1000000000000001</v>
      </c>
      <c r="K2845">
        <v>0</v>
      </c>
    </row>
    <row r="2846" spans="1:11" x14ac:dyDescent="0.3">
      <c r="A2846">
        <v>2845</v>
      </c>
      <c r="B2846">
        <v>250</v>
      </c>
      <c r="C2846">
        <v>2</v>
      </c>
      <c r="D2846">
        <v>2676</v>
      </c>
      <c r="E2846" t="s">
        <v>651</v>
      </c>
      <c r="F2846">
        <v>7.29</v>
      </c>
      <c r="G2846" t="s">
        <v>623</v>
      </c>
      <c r="H2846" s="1">
        <v>46269.649675925924</v>
      </c>
      <c r="I2846" t="s">
        <v>642</v>
      </c>
      <c r="J2846">
        <v>7.29</v>
      </c>
      <c r="K2846">
        <v>0</v>
      </c>
    </row>
    <row r="2847" spans="1:11" x14ac:dyDescent="0.3">
      <c r="A2847">
        <v>2846</v>
      </c>
      <c r="B2847">
        <v>114</v>
      </c>
      <c r="C2847">
        <v>3</v>
      </c>
      <c r="D2847">
        <v>2677</v>
      </c>
      <c r="E2847" t="s">
        <v>651</v>
      </c>
      <c r="F2847">
        <v>16.57</v>
      </c>
      <c r="G2847" t="s">
        <v>623</v>
      </c>
      <c r="H2847" s="1">
        <v>46269.685798611114</v>
      </c>
      <c r="I2847" t="s">
        <v>642</v>
      </c>
      <c r="J2847">
        <v>16.57</v>
      </c>
      <c r="K2847">
        <v>0</v>
      </c>
    </row>
    <row r="2848" spans="1:11" x14ac:dyDescent="0.3">
      <c r="A2848">
        <v>2847</v>
      </c>
      <c r="B2848">
        <v>75</v>
      </c>
      <c r="C2848">
        <v>2</v>
      </c>
      <c r="D2848">
        <v>2678</v>
      </c>
      <c r="E2848" t="s">
        <v>651</v>
      </c>
      <c r="F2848">
        <v>6.96</v>
      </c>
      <c r="G2848" t="s">
        <v>623</v>
      </c>
      <c r="H2848" s="1">
        <v>46269.703958333332</v>
      </c>
      <c r="I2848" t="s">
        <v>642</v>
      </c>
      <c r="J2848">
        <v>6.96</v>
      </c>
      <c r="K2848">
        <v>0</v>
      </c>
    </row>
    <row r="2849" spans="1:11" x14ac:dyDescent="0.3">
      <c r="A2849">
        <v>2848</v>
      </c>
      <c r="B2849">
        <v>65</v>
      </c>
      <c r="C2849">
        <v>2</v>
      </c>
      <c r="D2849">
        <v>2679</v>
      </c>
      <c r="E2849" t="s">
        <v>651</v>
      </c>
      <c r="F2849">
        <v>2</v>
      </c>
      <c r="G2849" t="s">
        <v>623</v>
      </c>
      <c r="H2849" s="1">
        <v>46269.711192129631</v>
      </c>
      <c r="I2849" t="s">
        <v>642</v>
      </c>
      <c r="J2849">
        <v>2</v>
      </c>
      <c r="K2849">
        <v>0</v>
      </c>
    </row>
    <row r="2850" spans="1:11" x14ac:dyDescent="0.3">
      <c r="A2850">
        <v>2849</v>
      </c>
      <c r="B2850">
        <v>238</v>
      </c>
      <c r="C2850">
        <v>3</v>
      </c>
      <c r="D2850">
        <v>2680</v>
      </c>
      <c r="E2850" t="s">
        <v>651</v>
      </c>
      <c r="F2850">
        <v>3.44</v>
      </c>
      <c r="G2850" t="s">
        <v>623</v>
      </c>
      <c r="H2850" s="1">
        <v>46269.727164351854</v>
      </c>
      <c r="I2850" t="s">
        <v>642</v>
      </c>
      <c r="J2850">
        <v>3.44</v>
      </c>
      <c r="K2850">
        <v>0</v>
      </c>
    </row>
    <row r="2851" spans="1:11" x14ac:dyDescent="0.3">
      <c r="A2851">
        <v>2850</v>
      </c>
      <c r="B2851">
        <v>128</v>
      </c>
      <c r="C2851">
        <v>4</v>
      </c>
      <c r="D2851">
        <v>2681</v>
      </c>
      <c r="E2851" t="s">
        <v>651</v>
      </c>
      <c r="F2851">
        <v>2.31</v>
      </c>
      <c r="G2851" t="s">
        <v>623</v>
      </c>
      <c r="H2851" s="1">
        <v>46270.385682870372</v>
      </c>
      <c r="I2851" t="s">
        <v>642</v>
      </c>
      <c r="J2851">
        <v>2.31</v>
      </c>
      <c r="K2851">
        <v>0</v>
      </c>
    </row>
    <row r="2852" spans="1:11" x14ac:dyDescent="0.3">
      <c r="A2852">
        <v>2851</v>
      </c>
      <c r="B2852">
        <v>134</v>
      </c>
      <c r="C2852">
        <v>5</v>
      </c>
      <c r="D2852">
        <v>2682</v>
      </c>
      <c r="E2852" t="s">
        <v>651</v>
      </c>
      <c r="F2852">
        <v>8.77</v>
      </c>
      <c r="G2852" t="s">
        <v>623</v>
      </c>
      <c r="H2852" s="1">
        <v>46270.454652777778</v>
      </c>
      <c r="I2852" t="s">
        <v>642</v>
      </c>
      <c r="J2852">
        <v>8.77</v>
      </c>
      <c r="K2852">
        <v>0</v>
      </c>
    </row>
    <row r="2853" spans="1:11" x14ac:dyDescent="0.3">
      <c r="A2853">
        <v>2852</v>
      </c>
      <c r="B2853">
        <v>137</v>
      </c>
      <c r="C2853">
        <v>2</v>
      </c>
      <c r="D2853">
        <v>2683</v>
      </c>
      <c r="E2853" t="s">
        <v>651</v>
      </c>
      <c r="F2853">
        <v>4.37</v>
      </c>
      <c r="G2853" t="s">
        <v>623</v>
      </c>
      <c r="H2853" s="1">
        <v>46270.570034722223</v>
      </c>
      <c r="I2853" t="s">
        <v>642</v>
      </c>
      <c r="J2853">
        <v>4.37</v>
      </c>
      <c r="K2853">
        <v>0</v>
      </c>
    </row>
    <row r="2854" spans="1:11" x14ac:dyDescent="0.3">
      <c r="A2854">
        <v>2853</v>
      </c>
      <c r="B2854">
        <v>250</v>
      </c>
      <c r="C2854">
        <v>3</v>
      </c>
      <c r="D2854">
        <v>2684</v>
      </c>
      <c r="E2854" t="s">
        <v>651</v>
      </c>
      <c r="F2854">
        <v>22</v>
      </c>
      <c r="G2854" t="s">
        <v>623</v>
      </c>
      <c r="H2854" s="1">
        <v>46270.624537037038</v>
      </c>
      <c r="I2854" t="s">
        <v>642</v>
      </c>
      <c r="J2854">
        <v>22</v>
      </c>
      <c r="K2854">
        <v>0</v>
      </c>
    </row>
    <row r="2855" spans="1:11" x14ac:dyDescent="0.3">
      <c r="A2855">
        <v>2854</v>
      </c>
      <c r="B2855">
        <v>137</v>
      </c>
      <c r="C2855">
        <v>5</v>
      </c>
      <c r="D2855">
        <v>2685</v>
      </c>
      <c r="E2855" t="s">
        <v>651</v>
      </c>
      <c r="F2855">
        <v>3.02</v>
      </c>
      <c r="G2855" t="s">
        <v>623</v>
      </c>
      <c r="H2855" s="1">
        <v>46270.640208333331</v>
      </c>
      <c r="I2855" t="s">
        <v>642</v>
      </c>
      <c r="J2855">
        <v>3.02</v>
      </c>
      <c r="K2855">
        <v>0</v>
      </c>
    </row>
    <row r="2856" spans="1:11" x14ac:dyDescent="0.3">
      <c r="A2856">
        <v>2855</v>
      </c>
      <c r="B2856">
        <v>75</v>
      </c>
      <c r="C2856">
        <v>5</v>
      </c>
      <c r="D2856">
        <v>2686</v>
      </c>
      <c r="E2856" t="s">
        <v>651</v>
      </c>
      <c r="F2856">
        <v>11.76</v>
      </c>
      <c r="G2856" t="s">
        <v>623</v>
      </c>
      <c r="H2856" s="1">
        <v>46270.671886574077</v>
      </c>
      <c r="I2856" t="s">
        <v>642</v>
      </c>
      <c r="J2856">
        <v>11.76</v>
      </c>
      <c r="K2856">
        <v>0</v>
      </c>
    </row>
    <row r="2857" spans="1:11" x14ac:dyDescent="0.3">
      <c r="A2857">
        <v>2856</v>
      </c>
      <c r="B2857">
        <v>243</v>
      </c>
      <c r="C2857">
        <v>4</v>
      </c>
      <c r="D2857">
        <v>2687</v>
      </c>
      <c r="E2857" t="s">
        <v>651</v>
      </c>
      <c r="F2857">
        <v>3.13</v>
      </c>
      <c r="G2857" t="s">
        <v>623</v>
      </c>
      <c r="H2857" s="1">
        <v>46270.675428240742</v>
      </c>
      <c r="I2857" t="s">
        <v>642</v>
      </c>
      <c r="J2857">
        <v>3.13</v>
      </c>
      <c r="K2857">
        <v>0</v>
      </c>
    </row>
    <row r="2858" spans="1:11" x14ac:dyDescent="0.3">
      <c r="A2858">
        <v>2857</v>
      </c>
      <c r="B2858">
        <v>181</v>
      </c>
      <c r="C2858">
        <v>5</v>
      </c>
      <c r="D2858">
        <v>2669</v>
      </c>
      <c r="E2858" t="s">
        <v>649</v>
      </c>
      <c r="F2858">
        <v>-3.91</v>
      </c>
      <c r="G2858" t="s">
        <v>766</v>
      </c>
      <c r="H2858" s="1">
        <v>46270.681064814817</v>
      </c>
      <c r="I2858" t="s">
        <v>642</v>
      </c>
      <c r="J2858">
        <v>0</v>
      </c>
      <c r="K2858">
        <v>0</v>
      </c>
    </row>
    <row r="2859" spans="1:11" x14ac:dyDescent="0.3">
      <c r="A2859">
        <v>2858</v>
      </c>
      <c r="B2859">
        <v>250</v>
      </c>
      <c r="C2859">
        <v>4</v>
      </c>
      <c r="D2859">
        <v>2688</v>
      </c>
      <c r="E2859" t="s">
        <v>651</v>
      </c>
      <c r="F2859">
        <v>8.27</v>
      </c>
      <c r="G2859" t="s">
        <v>623</v>
      </c>
      <c r="H2859" s="1">
        <v>46271.423113425924</v>
      </c>
      <c r="I2859" t="s">
        <v>642</v>
      </c>
      <c r="J2859">
        <v>8.27</v>
      </c>
      <c r="K2859">
        <v>0</v>
      </c>
    </row>
    <row r="2860" spans="1:11" x14ac:dyDescent="0.3">
      <c r="A2860">
        <v>2859</v>
      </c>
      <c r="B2860">
        <v>159</v>
      </c>
      <c r="C2860">
        <v>3</v>
      </c>
      <c r="D2860">
        <v>2689</v>
      </c>
      <c r="E2860" t="s">
        <v>651</v>
      </c>
      <c r="F2860">
        <v>2.12</v>
      </c>
      <c r="G2860" t="s">
        <v>623</v>
      </c>
      <c r="H2860" s="1">
        <v>46271.492384259262</v>
      </c>
      <c r="I2860" t="s">
        <v>642</v>
      </c>
      <c r="J2860">
        <v>2.12</v>
      </c>
      <c r="K2860">
        <v>0</v>
      </c>
    </row>
    <row r="2861" spans="1:11" x14ac:dyDescent="0.3">
      <c r="A2861">
        <v>2860</v>
      </c>
      <c r="B2861">
        <v>158</v>
      </c>
      <c r="C2861">
        <v>4</v>
      </c>
      <c r="D2861">
        <v>2690</v>
      </c>
      <c r="E2861" t="s">
        <v>651</v>
      </c>
      <c r="F2861">
        <v>4.04</v>
      </c>
      <c r="G2861" t="s">
        <v>623</v>
      </c>
      <c r="H2861" s="1">
        <v>46271.535810185182</v>
      </c>
      <c r="I2861" t="s">
        <v>642</v>
      </c>
      <c r="J2861">
        <v>4.04</v>
      </c>
      <c r="K2861">
        <v>0</v>
      </c>
    </row>
    <row r="2862" spans="1:11" x14ac:dyDescent="0.3">
      <c r="A2862">
        <v>2861</v>
      </c>
      <c r="B2862">
        <v>128</v>
      </c>
      <c r="C2862">
        <v>5</v>
      </c>
      <c r="D2862">
        <v>2691</v>
      </c>
      <c r="E2862" t="s">
        <v>651</v>
      </c>
      <c r="F2862">
        <v>3.5</v>
      </c>
      <c r="G2862" t="s">
        <v>623</v>
      </c>
      <c r="H2862" s="1">
        <v>46271.682812500003</v>
      </c>
      <c r="I2862" t="s">
        <v>642</v>
      </c>
      <c r="J2862">
        <v>3.5</v>
      </c>
      <c r="K2862">
        <v>0</v>
      </c>
    </row>
    <row r="2863" spans="1:11" x14ac:dyDescent="0.3">
      <c r="A2863">
        <v>2862</v>
      </c>
      <c r="B2863">
        <v>75</v>
      </c>
      <c r="C2863">
        <v>4</v>
      </c>
      <c r="D2863">
        <v>2692</v>
      </c>
      <c r="E2863" t="s">
        <v>651</v>
      </c>
      <c r="F2863">
        <v>4.67</v>
      </c>
      <c r="G2863" t="s">
        <v>623</v>
      </c>
      <c r="H2863" s="1">
        <v>46271.684594907405</v>
      </c>
      <c r="I2863" t="s">
        <v>642</v>
      </c>
      <c r="J2863">
        <v>4.67</v>
      </c>
      <c r="K2863">
        <v>0</v>
      </c>
    </row>
    <row r="2864" spans="1:11" x14ac:dyDescent="0.3">
      <c r="A2864">
        <v>2863</v>
      </c>
      <c r="B2864">
        <v>133</v>
      </c>
      <c r="C2864">
        <v>5</v>
      </c>
      <c r="D2864">
        <v>2693</v>
      </c>
      <c r="E2864" t="s">
        <v>651</v>
      </c>
      <c r="F2864">
        <v>12.88</v>
      </c>
      <c r="G2864" t="s">
        <v>623</v>
      </c>
      <c r="H2864" s="1">
        <v>46271.685312499998</v>
      </c>
      <c r="I2864" t="s">
        <v>642</v>
      </c>
      <c r="J2864">
        <v>12.88</v>
      </c>
      <c r="K2864">
        <v>0</v>
      </c>
    </row>
    <row r="2865" spans="1:11" x14ac:dyDescent="0.3">
      <c r="A2865">
        <v>2864</v>
      </c>
      <c r="B2865">
        <v>299</v>
      </c>
      <c r="C2865">
        <v>5</v>
      </c>
      <c r="D2865">
        <v>2694</v>
      </c>
      <c r="E2865" t="s">
        <v>651</v>
      </c>
      <c r="F2865">
        <v>4.7300000000000004</v>
      </c>
      <c r="G2865" t="s">
        <v>623</v>
      </c>
      <c r="H2865" s="1">
        <v>46271.691689814812</v>
      </c>
      <c r="I2865" t="s">
        <v>642</v>
      </c>
      <c r="J2865">
        <v>4.7300000000000004</v>
      </c>
      <c r="K2865">
        <v>0</v>
      </c>
    </row>
    <row r="2866" spans="1:11" x14ac:dyDescent="0.3">
      <c r="A2866">
        <v>2865</v>
      </c>
      <c r="B2866">
        <v>123</v>
      </c>
      <c r="C2866">
        <v>5</v>
      </c>
      <c r="D2866">
        <v>2695</v>
      </c>
      <c r="E2866" t="s">
        <v>651</v>
      </c>
      <c r="F2866">
        <v>2.6</v>
      </c>
      <c r="G2866" t="s">
        <v>623</v>
      </c>
      <c r="H2866" s="1">
        <v>46271.711550925924</v>
      </c>
      <c r="I2866" t="s">
        <v>642</v>
      </c>
      <c r="J2866">
        <v>2.6</v>
      </c>
      <c r="K2866">
        <v>0</v>
      </c>
    </row>
    <row r="2867" spans="1:11" x14ac:dyDescent="0.3">
      <c r="A2867">
        <v>2866</v>
      </c>
      <c r="B2867">
        <v>128</v>
      </c>
      <c r="C2867">
        <v>2</v>
      </c>
      <c r="D2867">
        <v>2696</v>
      </c>
      <c r="E2867" t="s">
        <v>651</v>
      </c>
      <c r="F2867">
        <v>1.34</v>
      </c>
      <c r="G2867" t="s">
        <v>623</v>
      </c>
      <c r="H2867" s="1">
        <v>46272.360891203702</v>
      </c>
      <c r="I2867" t="s">
        <v>642</v>
      </c>
      <c r="J2867">
        <v>1.34</v>
      </c>
      <c r="K2867">
        <v>0</v>
      </c>
    </row>
    <row r="2868" spans="1:11" x14ac:dyDescent="0.3">
      <c r="A2868">
        <v>2867</v>
      </c>
      <c r="B2868">
        <v>242</v>
      </c>
      <c r="C2868">
        <v>2</v>
      </c>
      <c r="D2868">
        <v>2697</v>
      </c>
      <c r="E2868" t="s">
        <v>651</v>
      </c>
      <c r="F2868">
        <v>4.12</v>
      </c>
      <c r="G2868" t="s">
        <v>623</v>
      </c>
      <c r="H2868" s="1">
        <v>46272.384456018517</v>
      </c>
      <c r="I2868" t="s">
        <v>642</v>
      </c>
      <c r="J2868">
        <v>4.12</v>
      </c>
      <c r="K2868">
        <v>0</v>
      </c>
    </row>
    <row r="2869" spans="1:11" x14ac:dyDescent="0.3">
      <c r="A2869">
        <v>2868</v>
      </c>
      <c r="B2869">
        <v>68</v>
      </c>
      <c r="C2869">
        <v>3</v>
      </c>
      <c r="D2869">
        <v>2698</v>
      </c>
      <c r="E2869" t="s">
        <v>651</v>
      </c>
      <c r="F2869">
        <v>5.78</v>
      </c>
      <c r="G2869" t="s">
        <v>623</v>
      </c>
      <c r="H2869" s="1">
        <v>46272.494756944441</v>
      </c>
      <c r="I2869" t="s">
        <v>642</v>
      </c>
      <c r="J2869">
        <v>5.78</v>
      </c>
      <c r="K2869">
        <v>0</v>
      </c>
    </row>
    <row r="2870" spans="1:11" x14ac:dyDescent="0.3">
      <c r="A2870">
        <v>2869</v>
      </c>
      <c r="B2870">
        <v>134</v>
      </c>
      <c r="C2870">
        <v>3</v>
      </c>
      <c r="D2870">
        <v>2699</v>
      </c>
      <c r="E2870" t="s">
        <v>651</v>
      </c>
      <c r="F2870">
        <v>10.7</v>
      </c>
      <c r="G2870" t="s">
        <v>623</v>
      </c>
      <c r="H2870" s="1">
        <v>46272.55</v>
      </c>
      <c r="I2870" t="s">
        <v>642</v>
      </c>
      <c r="J2870">
        <v>10.7</v>
      </c>
      <c r="K2870">
        <v>0</v>
      </c>
    </row>
    <row r="2871" spans="1:11" x14ac:dyDescent="0.3">
      <c r="A2871">
        <v>2870</v>
      </c>
      <c r="B2871">
        <v>162</v>
      </c>
      <c r="C2871">
        <v>2</v>
      </c>
      <c r="D2871">
        <v>2700</v>
      </c>
      <c r="E2871" t="s">
        <v>651</v>
      </c>
      <c r="F2871">
        <v>10.85</v>
      </c>
      <c r="G2871" t="s">
        <v>623</v>
      </c>
      <c r="H2871" s="1">
        <v>46272.63658564815</v>
      </c>
      <c r="I2871" t="s">
        <v>642</v>
      </c>
      <c r="J2871">
        <v>10.85</v>
      </c>
      <c r="K2871">
        <v>0</v>
      </c>
    </row>
    <row r="2872" spans="1:11" x14ac:dyDescent="0.3">
      <c r="A2872">
        <v>2871</v>
      </c>
      <c r="B2872">
        <v>229</v>
      </c>
      <c r="C2872">
        <v>5</v>
      </c>
      <c r="D2872">
        <v>2701</v>
      </c>
      <c r="E2872" t="s">
        <v>651</v>
      </c>
      <c r="F2872">
        <v>3.24</v>
      </c>
      <c r="G2872" t="s">
        <v>623</v>
      </c>
      <c r="H2872" s="1">
        <v>46272.66915509259</v>
      </c>
      <c r="I2872" t="s">
        <v>642</v>
      </c>
      <c r="J2872">
        <v>3.24</v>
      </c>
      <c r="K2872">
        <v>0</v>
      </c>
    </row>
    <row r="2873" spans="1:11" x14ac:dyDescent="0.3">
      <c r="A2873">
        <v>2872</v>
      </c>
      <c r="B2873">
        <v>133</v>
      </c>
      <c r="C2873">
        <v>3</v>
      </c>
      <c r="D2873">
        <v>2693</v>
      </c>
      <c r="E2873" t="s">
        <v>649</v>
      </c>
      <c r="F2873">
        <v>-12.88</v>
      </c>
      <c r="G2873" t="s">
        <v>767</v>
      </c>
      <c r="H2873" s="1">
        <v>46272.685312499998</v>
      </c>
      <c r="I2873" t="s">
        <v>642</v>
      </c>
      <c r="J2873">
        <v>0</v>
      </c>
      <c r="K2873">
        <v>0</v>
      </c>
    </row>
    <row r="2874" spans="1:11" x14ac:dyDescent="0.3">
      <c r="A2874">
        <v>2873</v>
      </c>
      <c r="B2874">
        <v>167</v>
      </c>
      <c r="C2874">
        <v>4</v>
      </c>
      <c r="D2874">
        <v>2702</v>
      </c>
      <c r="E2874" t="s">
        <v>651</v>
      </c>
      <c r="F2874">
        <v>4.41</v>
      </c>
      <c r="G2874" t="s">
        <v>623</v>
      </c>
      <c r="H2874" s="1">
        <v>46272.819432870368</v>
      </c>
      <c r="I2874" t="s">
        <v>642</v>
      </c>
      <c r="J2874">
        <v>4.41</v>
      </c>
      <c r="K2874">
        <v>0</v>
      </c>
    </row>
    <row r="2875" spans="1:11" x14ac:dyDescent="0.3">
      <c r="A2875">
        <v>2874</v>
      </c>
      <c r="B2875">
        <v>35</v>
      </c>
      <c r="C2875">
        <v>5</v>
      </c>
      <c r="D2875">
        <v>2703</v>
      </c>
      <c r="E2875" t="s">
        <v>651</v>
      </c>
      <c r="F2875">
        <v>3.45</v>
      </c>
      <c r="G2875" t="s">
        <v>623</v>
      </c>
      <c r="H2875" s="1">
        <v>46273.359386574077</v>
      </c>
      <c r="I2875" t="s">
        <v>642</v>
      </c>
      <c r="J2875">
        <v>3.45</v>
      </c>
      <c r="K2875">
        <v>0</v>
      </c>
    </row>
    <row r="2876" spans="1:11" x14ac:dyDescent="0.3">
      <c r="A2876">
        <v>2875</v>
      </c>
      <c r="B2876">
        <v>56</v>
      </c>
      <c r="C2876">
        <v>5</v>
      </c>
      <c r="D2876">
        <v>2704</v>
      </c>
      <c r="E2876" t="s">
        <v>651</v>
      </c>
      <c r="F2876">
        <v>8.44</v>
      </c>
      <c r="G2876" t="s">
        <v>623</v>
      </c>
      <c r="H2876" s="1">
        <v>46273.411770833336</v>
      </c>
      <c r="I2876" t="s">
        <v>642</v>
      </c>
      <c r="J2876">
        <v>8.44</v>
      </c>
      <c r="K2876">
        <v>0</v>
      </c>
    </row>
    <row r="2877" spans="1:11" x14ac:dyDescent="0.3">
      <c r="A2877">
        <v>2876</v>
      </c>
      <c r="B2877">
        <v>128</v>
      </c>
      <c r="C2877">
        <v>5</v>
      </c>
      <c r="D2877">
        <v>2705</v>
      </c>
      <c r="E2877" t="s">
        <v>651</v>
      </c>
      <c r="F2877">
        <v>1.29</v>
      </c>
      <c r="G2877" t="s">
        <v>623</v>
      </c>
      <c r="H2877" s="1">
        <v>46273.42114583333</v>
      </c>
      <c r="I2877" t="s">
        <v>642</v>
      </c>
      <c r="J2877">
        <v>1.29</v>
      </c>
      <c r="K2877">
        <v>0</v>
      </c>
    </row>
    <row r="2878" spans="1:11" x14ac:dyDescent="0.3">
      <c r="A2878">
        <v>2877</v>
      </c>
      <c r="B2878">
        <v>128</v>
      </c>
      <c r="C2878">
        <v>4</v>
      </c>
      <c r="D2878">
        <v>2706</v>
      </c>
      <c r="E2878" t="s">
        <v>651</v>
      </c>
      <c r="F2878">
        <v>3.9</v>
      </c>
      <c r="G2878" t="s">
        <v>623</v>
      </c>
      <c r="H2878" s="1">
        <v>46274.355486111112</v>
      </c>
      <c r="I2878" t="s">
        <v>642</v>
      </c>
      <c r="J2878">
        <v>3.9</v>
      </c>
      <c r="K2878">
        <v>0</v>
      </c>
    </row>
    <row r="2879" spans="1:11" x14ac:dyDescent="0.3">
      <c r="A2879">
        <v>2878</v>
      </c>
      <c r="B2879">
        <v>279</v>
      </c>
      <c r="C2879">
        <v>4</v>
      </c>
      <c r="D2879">
        <v>2707</v>
      </c>
      <c r="E2879" t="s">
        <v>651</v>
      </c>
      <c r="F2879">
        <v>20.64</v>
      </c>
      <c r="G2879" t="s">
        <v>623</v>
      </c>
      <c r="H2879" s="1">
        <v>46274.408136574071</v>
      </c>
      <c r="I2879" t="s">
        <v>642</v>
      </c>
      <c r="J2879">
        <v>20.64</v>
      </c>
      <c r="K2879">
        <v>0</v>
      </c>
    </row>
    <row r="2880" spans="1:11" x14ac:dyDescent="0.3">
      <c r="A2880">
        <v>2879</v>
      </c>
      <c r="B2880">
        <v>128</v>
      </c>
      <c r="C2880">
        <v>4</v>
      </c>
      <c r="D2880">
        <v>2708</v>
      </c>
      <c r="E2880" t="s">
        <v>651</v>
      </c>
      <c r="F2880">
        <v>2.16</v>
      </c>
      <c r="G2880" t="s">
        <v>623</v>
      </c>
      <c r="H2880" s="1">
        <v>46274.559328703705</v>
      </c>
      <c r="I2880" t="s">
        <v>642</v>
      </c>
      <c r="J2880">
        <v>2.16</v>
      </c>
      <c r="K2880">
        <v>0</v>
      </c>
    </row>
    <row r="2881" spans="1:11" x14ac:dyDescent="0.3">
      <c r="A2881">
        <v>2880</v>
      </c>
      <c r="B2881">
        <v>75</v>
      </c>
      <c r="C2881">
        <v>5</v>
      </c>
      <c r="D2881">
        <v>2709</v>
      </c>
      <c r="E2881" t="s">
        <v>651</v>
      </c>
      <c r="F2881">
        <v>8.6</v>
      </c>
      <c r="G2881" t="s">
        <v>623</v>
      </c>
      <c r="H2881" s="1">
        <v>46274.563310185185</v>
      </c>
      <c r="I2881" t="s">
        <v>642</v>
      </c>
      <c r="J2881">
        <v>8.6</v>
      </c>
      <c r="K2881">
        <v>0</v>
      </c>
    </row>
    <row r="2882" spans="1:11" x14ac:dyDescent="0.3">
      <c r="A2882">
        <v>2881</v>
      </c>
      <c r="B2882">
        <v>65</v>
      </c>
      <c r="C2882">
        <v>3</v>
      </c>
      <c r="D2882">
        <v>2710</v>
      </c>
      <c r="E2882" t="s">
        <v>651</v>
      </c>
      <c r="F2882">
        <v>2.15</v>
      </c>
      <c r="G2882" t="s">
        <v>623</v>
      </c>
      <c r="H2882" s="1">
        <v>46274.570706018516</v>
      </c>
      <c r="I2882" t="s">
        <v>642</v>
      </c>
      <c r="J2882">
        <v>2.15</v>
      </c>
      <c r="K2882">
        <v>0</v>
      </c>
    </row>
    <row r="2883" spans="1:11" x14ac:dyDescent="0.3">
      <c r="A2883">
        <v>2882</v>
      </c>
      <c r="B2883">
        <v>220</v>
      </c>
      <c r="C2883">
        <v>4</v>
      </c>
      <c r="D2883">
        <v>2711</v>
      </c>
      <c r="E2883" t="s">
        <v>651</v>
      </c>
      <c r="F2883">
        <v>3.07</v>
      </c>
      <c r="G2883" t="s">
        <v>623</v>
      </c>
      <c r="H2883" s="1">
        <v>46274.630023148151</v>
      </c>
      <c r="I2883" t="s">
        <v>642</v>
      </c>
      <c r="J2883">
        <v>3.07</v>
      </c>
      <c r="K2883">
        <v>0</v>
      </c>
    </row>
    <row r="2884" spans="1:11" x14ac:dyDescent="0.3">
      <c r="A2884">
        <v>2883</v>
      </c>
      <c r="B2884">
        <v>250</v>
      </c>
      <c r="C2884">
        <v>4</v>
      </c>
      <c r="D2884">
        <v>2712</v>
      </c>
      <c r="E2884" t="s">
        <v>651</v>
      </c>
      <c r="F2884">
        <v>14.84</v>
      </c>
      <c r="G2884" t="s">
        <v>623</v>
      </c>
      <c r="H2884" s="1">
        <v>46274.790034722224</v>
      </c>
      <c r="I2884" t="s">
        <v>642</v>
      </c>
      <c r="J2884">
        <v>14.84</v>
      </c>
      <c r="K2884">
        <v>0</v>
      </c>
    </row>
    <row r="2885" spans="1:11" x14ac:dyDescent="0.3">
      <c r="A2885">
        <v>2884</v>
      </c>
      <c r="B2885">
        <v>75</v>
      </c>
      <c r="C2885">
        <v>3</v>
      </c>
      <c r="D2885">
        <v>2713</v>
      </c>
      <c r="E2885" t="s">
        <v>651</v>
      </c>
      <c r="F2885">
        <v>7.82</v>
      </c>
      <c r="G2885" t="s">
        <v>623</v>
      </c>
      <c r="H2885" s="1">
        <v>46275.374699074076</v>
      </c>
      <c r="I2885" t="s">
        <v>642</v>
      </c>
      <c r="J2885">
        <v>7.82</v>
      </c>
      <c r="K2885">
        <v>0</v>
      </c>
    </row>
    <row r="2886" spans="1:11" x14ac:dyDescent="0.3">
      <c r="A2886">
        <v>2885</v>
      </c>
      <c r="B2886">
        <v>285</v>
      </c>
      <c r="C2886">
        <v>2</v>
      </c>
      <c r="D2886">
        <v>2714</v>
      </c>
      <c r="E2886" t="s">
        <v>651</v>
      </c>
      <c r="F2886">
        <v>2.91</v>
      </c>
      <c r="G2886" t="s">
        <v>623</v>
      </c>
      <c r="H2886" s="1">
        <v>46275.401226851849</v>
      </c>
      <c r="I2886" t="s">
        <v>642</v>
      </c>
      <c r="J2886">
        <v>2.91</v>
      </c>
      <c r="K2886">
        <v>0</v>
      </c>
    </row>
    <row r="2887" spans="1:11" x14ac:dyDescent="0.3">
      <c r="A2887">
        <v>2886</v>
      </c>
      <c r="B2887">
        <v>35</v>
      </c>
      <c r="C2887">
        <v>2</v>
      </c>
      <c r="D2887">
        <v>2715</v>
      </c>
      <c r="E2887" t="s">
        <v>651</v>
      </c>
      <c r="F2887">
        <v>5.82</v>
      </c>
      <c r="G2887" t="s">
        <v>623</v>
      </c>
      <c r="H2887" s="1">
        <v>46275.560613425929</v>
      </c>
      <c r="I2887" t="s">
        <v>642</v>
      </c>
      <c r="J2887">
        <v>5.82</v>
      </c>
      <c r="K2887">
        <v>0</v>
      </c>
    </row>
    <row r="2888" spans="1:11" x14ac:dyDescent="0.3">
      <c r="A2888">
        <v>2887</v>
      </c>
      <c r="B2888">
        <v>136</v>
      </c>
      <c r="C2888">
        <v>2</v>
      </c>
      <c r="D2888">
        <v>2716</v>
      </c>
      <c r="E2888" t="s">
        <v>651</v>
      </c>
      <c r="F2888">
        <v>16.059999999999999</v>
      </c>
      <c r="G2888" t="s">
        <v>623</v>
      </c>
      <c r="H2888" s="1">
        <v>46275.695451388892</v>
      </c>
      <c r="I2888" t="s">
        <v>642</v>
      </c>
      <c r="J2888">
        <v>16.059999999999999</v>
      </c>
      <c r="K2888">
        <v>0</v>
      </c>
    </row>
    <row r="2889" spans="1:11" x14ac:dyDescent="0.3">
      <c r="A2889">
        <v>2888</v>
      </c>
      <c r="B2889">
        <v>137</v>
      </c>
      <c r="C2889">
        <v>4</v>
      </c>
      <c r="D2889">
        <v>2717</v>
      </c>
      <c r="E2889" t="s">
        <v>651</v>
      </c>
      <c r="F2889">
        <v>2.38</v>
      </c>
      <c r="G2889" t="s">
        <v>623</v>
      </c>
      <c r="H2889" s="1">
        <v>46275.771319444444</v>
      </c>
      <c r="I2889" t="s">
        <v>642</v>
      </c>
      <c r="J2889">
        <v>2.38</v>
      </c>
      <c r="K2889">
        <v>0</v>
      </c>
    </row>
    <row r="2890" spans="1:11" x14ac:dyDescent="0.3">
      <c r="A2890">
        <v>2889</v>
      </c>
      <c r="B2890">
        <v>293</v>
      </c>
      <c r="C2890">
        <v>2</v>
      </c>
      <c r="D2890">
        <v>2718</v>
      </c>
      <c r="E2890" t="s">
        <v>651</v>
      </c>
      <c r="F2890">
        <v>4.16</v>
      </c>
      <c r="G2890" t="s">
        <v>623</v>
      </c>
      <c r="H2890" s="1">
        <v>46276.344722222224</v>
      </c>
      <c r="I2890" t="s">
        <v>642</v>
      </c>
      <c r="J2890">
        <v>4.16</v>
      </c>
      <c r="K2890">
        <v>0</v>
      </c>
    </row>
    <row r="2891" spans="1:11" x14ac:dyDescent="0.3">
      <c r="A2891">
        <v>2890</v>
      </c>
      <c r="B2891">
        <v>11</v>
      </c>
      <c r="C2891">
        <v>2</v>
      </c>
      <c r="D2891">
        <v>2719</v>
      </c>
      <c r="E2891" t="s">
        <v>651</v>
      </c>
      <c r="F2891">
        <v>13.02</v>
      </c>
      <c r="G2891" t="s">
        <v>623</v>
      </c>
      <c r="H2891" s="1">
        <v>46276.498969907407</v>
      </c>
      <c r="I2891" t="s">
        <v>642</v>
      </c>
      <c r="J2891">
        <v>13.02</v>
      </c>
      <c r="K2891">
        <v>0</v>
      </c>
    </row>
    <row r="2892" spans="1:11" x14ac:dyDescent="0.3">
      <c r="A2892">
        <v>2891</v>
      </c>
      <c r="B2892">
        <v>82</v>
      </c>
      <c r="C2892">
        <v>5</v>
      </c>
      <c r="D2892">
        <v>2720</v>
      </c>
      <c r="E2892" t="s">
        <v>651</v>
      </c>
      <c r="F2892">
        <v>4.1500000000000004</v>
      </c>
      <c r="G2892" t="s">
        <v>623</v>
      </c>
      <c r="H2892" s="1">
        <v>46276.539155092592</v>
      </c>
      <c r="I2892" t="s">
        <v>642</v>
      </c>
      <c r="J2892">
        <v>4.1500000000000004</v>
      </c>
      <c r="K2892">
        <v>0</v>
      </c>
    </row>
    <row r="2893" spans="1:11" x14ac:dyDescent="0.3">
      <c r="A2893">
        <v>2892</v>
      </c>
      <c r="B2893">
        <v>120</v>
      </c>
      <c r="C2893">
        <v>4</v>
      </c>
      <c r="D2893">
        <v>2721</v>
      </c>
      <c r="E2893" t="s">
        <v>651</v>
      </c>
      <c r="F2893">
        <v>2.9</v>
      </c>
      <c r="G2893" t="s">
        <v>623</v>
      </c>
      <c r="H2893" s="1">
        <v>46276.568831018521</v>
      </c>
      <c r="I2893" t="s">
        <v>642</v>
      </c>
      <c r="J2893">
        <v>2.9</v>
      </c>
      <c r="K2893">
        <v>0</v>
      </c>
    </row>
    <row r="2894" spans="1:11" x14ac:dyDescent="0.3">
      <c r="A2894">
        <v>2893</v>
      </c>
      <c r="B2894">
        <v>128</v>
      </c>
      <c r="C2894">
        <v>5</v>
      </c>
      <c r="D2894">
        <v>2722</v>
      </c>
      <c r="E2894" t="s">
        <v>651</v>
      </c>
      <c r="F2894">
        <v>3.08</v>
      </c>
      <c r="G2894" t="s">
        <v>623</v>
      </c>
      <c r="H2894" s="1">
        <v>46276.575578703705</v>
      </c>
      <c r="I2894" t="s">
        <v>642</v>
      </c>
      <c r="J2894">
        <v>3.08</v>
      </c>
      <c r="K2894">
        <v>0</v>
      </c>
    </row>
    <row r="2895" spans="1:11" x14ac:dyDescent="0.3">
      <c r="A2895">
        <v>2894</v>
      </c>
      <c r="B2895">
        <v>118</v>
      </c>
      <c r="C2895">
        <v>3</v>
      </c>
      <c r="D2895">
        <v>2723</v>
      </c>
      <c r="E2895" t="s">
        <v>651</v>
      </c>
      <c r="F2895">
        <v>1.18</v>
      </c>
      <c r="G2895" t="s">
        <v>623</v>
      </c>
      <c r="H2895" s="1">
        <v>46276.652442129627</v>
      </c>
      <c r="I2895" t="s">
        <v>642</v>
      </c>
      <c r="J2895">
        <v>1.18</v>
      </c>
      <c r="K2895">
        <v>0</v>
      </c>
    </row>
    <row r="2896" spans="1:11" x14ac:dyDescent="0.3">
      <c r="A2896">
        <v>2895</v>
      </c>
      <c r="B2896">
        <v>9</v>
      </c>
      <c r="C2896">
        <v>4</v>
      </c>
      <c r="D2896">
        <v>2724</v>
      </c>
      <c r="E2896" t="s">
        <v>651</v>
      </c>
      <c r="F2896">
        <v>4.09</v>
      </c>
      <c r="G2896" t="s">
        <v>623</v>
      </c>
      <c r="H2896" s="1">
        <v>46276.677187499998</v>
      </c>
      <c r="I2896" t="s">
        <v>642</v>
      </c>
      <c r="J2896">
        <v>4.09</v>
      </c>
      <c r="K2896">
        <v>0</v>
      </c>
    </row>
    <row r="2897" spans="1:11" x14ac:dyDescent="0.3">
      <c r="A2897">
        <v>2896</v>
      </c>
      <c r="B2897">
        <v>56</v>
      </c>
      <c r="C2897">
        <v>4</v>
      </c>
      <c r="D2897">
        <v>2725</v>
      </c>
      <c r="E2897" t="s">
        <v>651</v>
      </c>
      <c r="F2897">
        <v>10.54</v>
      </c>
      <c r="G2897" t="s">
        <v>623</v>
      </c>
      <c r="H2897" s="1">
        <v>46276.708449074074</v>
      </c>
      <c r="I2897" t="s">
        <v>642</v>
      </c>
      <c r="J2897">
        <v>10.54</v>
      </c>
      <c r="K2897">
        <v>0</v>
      </c>
    </row>
    <row r="2898" spans="1:11" x14ac:dyDescent="0.3">
      <c r="A2898">
        <v>2897</v>
      </c>
      <c r="B2898">
        <v>112</v>
      </c>
      <c r="C2898">
        <v>3</v>
      </c>
      <c r="D2898">
        <v>2726</v>
      </c>
      <c r="E2898" t="s">
        <v>651</v>
      </c>
      <c r="F2898">
        <v>1.97</v>
      </c>
      <c r="G2898" t="s">
        <v>623</v>
      </c>
      <c r="H2898" s="1">
        <v>46276.733969907407</v>
      </c>
      <c r="I2898" t="s">
        <v>642</v>
      </c>
      <c r="J2898">
        <v>1.97</v>
      </c>
      <c r="K2898">
        <v>0</v>
      </c>
    </row>
    <row r="2899" spans="1:11" x14ac:dyDescent="0.3">
      <c r="A2899">
        <v>2898</v>
      </c>
      <c r="B2899">
        <v>134</v>
      </c>
      <c r="C2899">
        <v>5</v>
      </c>
      <c r="D2899">
        <v>2727</v>
      </c>
      <c r="E2899" t="s">
        <v>651</v>
      </c>
      <c r="F2899">
        <v>11.91</v>
      </c>
      <c r="G2899" t="s">
        <v>623</v>
      </c>
      <c r="H2899" s="1">
        <v>46276.743796296294</v>
      </c>
      <c r="I2899" t="s">
        <v>642</v>
      </c>
      <c r="J2899">
        <v>11.91</v>
      </c>
      <c r="K2899">
        <v>0</v>
      </c>
    </row>
    <row r="2900" spans="1:11" x14ac:dyDescent="0.3">
      <c r="A2900">
        <v>2899</v>
      </c>
      <c r="B2900">
        <v>183</v>
      </c>
      <c r="C2900">
        <v>5</v>
      </c>
      <c r="D2900">
        <v>2728</v>
      </c>
      <c r="E2900" t="s">
        <v>651</v>
      </c>
      <c r="F2900">
        <v>11.54</v>
      </c>
      <c r="G2900" t="s">
        <v>623</v>
      </c>
      <c r="H2900" s="1">
        <v>46277.435381944444</v>
      </c>
      <c r="I2900" t="s">
        <v>642</v>
      </c>
      <c r="J2900">
        <v>11.54</v>
      </c>
      <c r="K2900">
        <v>0</v>
      </c>
    </row>
    <row r="2901" spans="1:11" x14ac:dyDescent="0.3">
      <c r="A2901">
        <v>2900</v>
      </c>
      <c r="B2901">
        <v>174</v>
      </c>
      <c r="C2901">
        <v>4</v>
      </c>
      <c r="D2901">
        <v>2729</v>
      </c>
      <c r="E2901" t="s">
        <v>651</v>
      </c>
      <c r="F2901">
        <v>3.28</v>
      </c>
      <c r="G2901" t="s">
        <v>623</v>
      </c>
      <c r="H2901" s="1">
        <v>46277.48678240741</v>
      </c>
      <c r="I2901" t="s">
        <v>642</v>
      </c>
      <c r="J2901">
        <v>3.28</v>
      </c>
      <c r="K2901">
        <v>0</v>
      </c>
    </row>
    <row r="2902" spans="1:11" x14ac:dyDescent="0.3">
      <c r="A2902">
        <v>2901</v>
      </c>
      <c r="B2902">
        <v>128</v>
      </c>
      <c r="C2902">
        <v>3</v>
      </c>
      <c r="D2902">
        <v>2730</v>
      </c>
      <c r="E2902" t="s">
        <v>657</v>
      </c>
      <c r="F2902">
        <v>33.85</v>
      </c>
      <c r="G2902" t="s">
        <v>623</v>
      </c>
      <c r="H2902" s="1">
        <v>46277.55064814815</v>
      </c>
      <c r="I2902" t="s">
        <v>642</v>
      </c>
      <c r="J2902">
        <v>0</v>
      </c>
      <c r="K2902">
        <v>33.85</v>
      </c>
    </row>
    <row r="2903" spans="1:11" x14ac:dyDescent="0.3">
      <c r="A2903">
        <v>2902</v>
      </c>
      <c r="B2903">
        <v>195</v>
      </c>
      <c r="C2903">
        <v>4</v>
      </c>
      <c r="D2903">
        <v>2731</v>
      </c>
      <c r="E2903" t="s">
        <v>651</v>
      </c>
      <c r="F2903">
        <v>10.44</v>
      </c>
      <c r="G2903" t="s">
        <v>623</v>
      </c>
      <c r="H2903" s="1">
        <v>46277.588391203702</v>
      </c>
      <c r="I2903" t="s">
        <v>642</v>
      </c>
      <c r="J2903">
        <v>10.44</v>
      </c>
      <c r="K2903">
        <v>0</v>
      </c>
    </row>
    <row r="2904" spans="1:11" x14ac:dyDescent="0.3">
      <c r="A2904">
        <v>2903</v>
      </c>
      <c r="B2904">
        <v>104</v>
      </c>
      <c r="C2904">
        <v>4</v>
      </c>
      <c r="D2904">
        <v>2732</v>
      </c>
      <c r="E2904" t="s">
        <v>651</v>
      </c>
      <c r="F2904">
        <v>30</v>
      </c>
      <c r="G2904" t="s">
        <v>623</v>
      </c>
      <c r="H2904" s="1">
        <v>46277.676921296297</v>
      </c>
      <c r="I2904" t="s">
        <v>642</v>
      </c>
      <c r="J2904">
        <v>30</v>
      </c>
      <c r="K2904">
        <v>0</v>
      </c>
    </row>
    <row r="2905" spans="1:11" x14ac:dyDescent="0.3">
      <c r="A2905">
        <v>2904</v>
      </c>
      <c r="B2905">
        <v>143</v>
      </c>
      <c r="C2905">
        <v>5</v>
      </c>
      <c r="D2905">
        <v>2733</v>
      </c>
      <c r="E2905" t="s">
        <v>651</v>
      </c>
      <c r="F2905">
        <v>2.74</v>
      </c>
      <c r="G2905" t="s">
        <v>623</v>
      </c>
      <c r="H2905" s="1">
        <v>46277.792187500003</v>
      </c>
      <c r="I2905" t="s">
        <v>642</v>
      </c>
      <c r="J2905">
        <v>2.74</v>
      </c>
      <c r="K2905">
        <v>0</v>
      </c>
    </row>
    <row r="2906" spans="1:11" x14ac:dyDescent="0.3">
      <c r="A2906">
        <v>2905</v>
      </c>
      <c r="B2906">
        <v>263</v>
      </c>
      <c r="C2906">
        <v>3</v>
      </c>
      <c r="D2906">
        <v>2734</v>
      </c>
      <c r="E2906" t="s">
        <v>651</v>
      </c>
      <c r="F2906">
        <v>4.4000000000000004</v>
      </c>
      <c r="G2906" t="s">
        <v>623</v>
      </c>
      <c r="H2906" s="1">
        <v>46277.820937500001</v>
      </c>
      <c r="I2906" t="s">
        <v>642</v>
      </c>
      <c r="J2906">
        <v>4.4000000000000004</v>
      </c>
      <c r="K2906">
        <v>0</v>
      </c>
    </row>
    <row r="2907" spans="1:11" x14ac:dyDescent="0.3">
      <c r="A2907">
        <v>2906</v>
      </c>
      <c r="B2907">
        <v>11</v>
      </c>
      <c r="C2907">
        <v>2</v>
      </c>
      <c r="D2907">
        <v>2719</v>
      </c>
      <c r="E2907" t="s">
        <v>649</v>
      </c>
      <c r="F2907">
        <v>-13.02</v>
      </c>
      <c r="G2907" t="s">
        <v>768</v>
      </c>
      <c r="H2907" s="1">
        <v>46278.082303240742</v>
      </c>
      <c r="I2907" t="s">
        <v>642</v>
      </c>
      <c r="J2907">
        <v>0</v>
      </c>
      <c r="K2907">
        <v>0</v>
      </c>
    </row>
    <row r="2908" spans="1:11" x14ac:dyDescent="0.3">
      <c r="A2908">
        <v>2907</v>
      </c>
      <c r="B2908">
        <v>138</v>
      </c>
      <c r="C2908">
        <v>2</v>
      </c>
      <c r="D2908">
        <v>2735</v>
      </c>
      <c r="E2908" t="s">
        <v>651</v>
      </c>
      <c r="F2908">
        <v>3.46</v>
      </c>
      <c r="G2908" t="s">
        <v>623</v>
      </c>
      <c r="H2908" s="1">
        <v>46278.434537037036</v>
      </c>
      <c r="I2908" t="s">
        <v>642</v>
      </c>
      <c r="J2908">
        <v>3.46</v>
      </c>
      <c r="K2908">
        <v>0</v>
      </c>
    </row>
    <row r="2909" spans="1:11" x14ac:dyDescent="0.3">
      <c r="A2909">
        <v>2908</v>
      </c>
      <c r="B2909">
        <v>75</v>
      </c>
      <c r="C2909">
        <v>2</v>
      </c>
      <c r="D2909">
        <v>2736</v>
      </c>
      <c r="E2909" t="s">
        <v>651</v>
      </c>
      <c r="F2909">
        <v>17.38</v>
      </c>
      <c r="G2909" t="s">
        <v>623</v>
      </c>
      <c r="H2909" s="1">
        <v>46278.515104166669</v>
      </c>
      <c r="I2909" t="s">
        <v>642</v>
      </c>
      <c r="J2909">
        <v>17.38</v>
      </c>
      <c r="K2909">
        <v>0</v>
      </c>
    </row>
    <row r="2910" spans="1:11" x14ac:dyDescent="0.3">
      <c r="A2910">
        <v>2909</v>
      </c>
      <c r="B2910">
        <v>54</v>
      </c>
      <c r="C2910">
        <v>2</v>
      </c>
      <c r="D2910">
        <v>2737</v>
      </c>
      <c r="E2910" t="s">
        <v>651</v>
      </c>
      <c r="F2910">
        <v>3.26</v>
      </c>
      <c r="G2910" t="s">
        <v>623</v>
      </c>
      <c r="H2910" s="1">
        <v>46278.673784722225</v>
      </c>
      <c r="I2910" t="s">
        <v>642</v>
      </c>
      <c r="J2910">
        <v>3.26</v>
      </c>
      <c r="K2910">
        <v>0</v>
      </c>
    </row>
    <row r="2911" spans="1:11" x14ac:dyDescent="0.3">
      <c r="A2911">
        <v>2910</v>
      </c>
      <c r="B2911">
        <v>250</v>
      </c>
      <c r="C2911">
        <v>2</v>
      </c>
      <c r="D2911">
        <v>2738</v>
      </c>
      <c r="E2911" t="s">
        <v>651</v>
      </c>
      <c r="F2911">
        <v>13.44</v>
      </c>
      <c r="G2911" t="s">
        <v>623</v>
      </c>
      <c r="H2911" s="1">
        <v>46279.535092592596</v>
      </c>
      <c r="I2911" t="s">
        <v>642</v>
      </c>
      <c r="J2911">
        <v>13.44</v>
      </c>
      <c r="K2911">
        <v>0</v>
      </c>
    </row>
    <row r="2912" spans="1:11" x14ac:dyDescent="0.3">
      <c r="A2912">
        <v>2911</v>
      </c>
      <c r="B2912">
        <v>75</v>
      </c>
      <c r="C2912">
        <v>2</v>
      </c>
      <c r="D2912">
        <v>2739</v>
      </c>
      <c r="E2912" t="s">
        <v>651</v>
      </c>
      <c r="F2912">
        <v>14.96</v>
      </c>
      <c r="G2912" t="s">
        <v>623</v>
      </c>
      <c r="H2912" s="1">
        <v>46279.59883101852</v>
      </c>
      <c r="I2912" t="s">
        <v>642</v>
      </c>
      <c r="J2912">
        <v>14.96</v>
      </c>
      <c r="K2912">
        <v>0</v>
      </c>
    </row>
    <row r="2913" spans="1:11" x14ac:dyDescent="0.3">
      <c r="A2913">
        <v>2912</v>
      </c>
      <c r="B2913">
        <v>229</v>
      </c>
      <c r="C2913">
        <v>4</v>
      </c>
      <c r="D2913">
        <v>2740</v>
      </c>
      <c r="E2913" t="s">
        <v>651</v>
      </c>
      <c r="F2913">
        <v>9.68</v>
      </c>
      <c r="G2913" t="s">
        <v>623</v>
      </c>
      <c r="H2913" s="1">
        <v>46279.625775462962</v>
      </c>
      <c r="I2913" t="s">
        <v>642</v>
      </c>
      <c r="J2913">
        <v>9.68</v>
      </c>
      <c r="K2913">
        <v>0</v>
      </c>
    </row>
    <row r="2914" spans="1:11" x14ac:dyDescent="0.3">
      <c r="A2914">
        <v>2913</v>
      </c>
      <c r="B2914">
        <v>250</v>
      </c>
      <c r="C2914">
        <v>5</v>
      </c>
      <c r="D2914">
        <v>2741</v>
      </c>
      <c r="E2914" t="s">
        <v>651</v>
      </c>
      <c r="F2914">
        <v>12.67</v>
      </c>
      <c r="G2914" t="s">
        <v>623</v>
      </c>
      <c r="H2914" s="1">
        <v>46279.672372685185</v>
      </c>
      <c r="I2914" t="s">
        <v>642</v>
      </c>
      <c r="J2914">
        <v>12.67</v>
      </c>
      <c r="K2914">
        <v>0</v>
      </c>
    </row>
    <row r="2915" spans="1:11" x14ac:dyDescent="0.3">
      <c r="A2915">
        <v>2914</v>
      </c>
      <c r="B2915">
        <v>229</v>
      </c>
      <c r="C2915">
        <v>3</v>
      </c>
      <c r="D2915">
        <v>2742</v>
      </c>
      <c r="E2915" t="s">
        <v>651</v>
      </c>
      <c r="F2915">
        <v>5.17</v>
      </c>
      <c r="G2915" t="s">
        <v>623</v>
      </c>
      <c r="H2915" s="1">
        <v>46279.692511574074</v>
      </c>
      <c r="I2915" t="s">
        <v>642</v>
      </c>
      <c r="J2915">
        <v>5.17</v>
      </c>
      <c r="K2915">
        <v>0</v>
      </c>
    </row>
    <row r="2916" spans="1:11" x14ac:dyDescent="0.3">
      <c r="A2916">
        <v>2915</v>
      </c>
      <c r="B2916">
        <v>230</v>
      </c>
      <c r="C2916">
        <v>2</v>
      </c>
      <c r="D2916">
        <v>2743</v>
      </c>
      <c r="E2916" t="s">
        <v>651</v>
      </c>
      <c r="F2916">
        <v>16.579999999999998</v>
      </c>
      <c r="G2916" t="s">
        <v>623</v>
      </c>
      <c r="H2916" s="1">
        <v>46279.746435185189</v>
      </c>
      <c r="I2916" t="s">
        <v>642</v>
      </c>
      <c r="J2916">
        <v>16.579999999999998</v>
      </c>
      <c r="K2916">
        <v>0</v>
      </c>
    </row>
    <row r="2917" spans="1:11" x14ac:dyDescent="0.3">
      <c r="A2917">
        <v>2916</v>
      </c>
      <c r="B2917">
        <v>201</v>
      </c>
      <c r="C2917">
        <v>3</v>
      </c>
      <c r="D2917">
        <v>2744</v>
      </c>
      <c r="E2917" t="s">
        <v>657</v>
      </c>
      <c r="F2917">
        <v>28.47</v>
      </c>
      <c r="G2917" t="s">
        <v>623</v>
      </c>
      <c r="H2917" s="1">
        <v>46279.800185185188</v>
      </c>
      <c r="I2917" t="s">
        <v>642</v>
      </c>
      <c r="J2917">
        <v>0</v>
      </c>
      <c r="K2917">
        <v>28.47</v>
      </c>
    </row>
    <row r="2918" spans="1:11" x14ac:dyDescent="0.3">
      <c r="A2918">
        <v>2917</v>
      </c>
      <c r="B2918">
        <v>134</v>
      </c>
      <c r="C2918">
        <v>2</v>
      </c>
      <c r="D2918">
        <v>2745</v>
      </c>
      <c r="E2918" t="s">
        <v>651</v>
      </c>
      <c r="F2918">
        <v>9.0299999999999994</v>
      </c>
      <c r="G2918" t="s">
        <v>623</v>
      </c>
      <c r="H2918" s="1">
        <v>46279.831516203703</v>
      </c>
      <c r="I2918" t="s">
        <v>642</v>
      </c>
      <c r="J2918">
        <v>9.0299999999999994</v>
      </c>
      <c r="K2918">
        <v>0</v>
      </c>
    </row>
    <row r="2919" spans="1:11" x14ac:dyDescent="0.3">
      <c r="A2919">
        <v>2918</v>
      </c>
      <c r="B2919">
        <v>136</v>
      </c>
      <c r="C2919">
        <v>5</v>
      </c>
      <c r="D2919">
        <v>2746</v>
      </c>
      <c r="E2919" t="s">
        <v>651</v>
      </c>
      <c r="F2919">
        <v>21.45</v>
      </c>
      <c r="G2919" t="s">
        <v>623</v>
      </c>
      <c r="H2919" s="1">
        <v>46280.304131944446</v>
      </c>
      <c r="I2919" t="s">
        <v>642</v>
      </c>
      <c r="J2919">
        <v>21.45</v>
      </c>
      <c r="K2919">
        <v>0</v>
      </c>
    </row>
    <row r="2920" spans="1:11" x14ac:dyDescent="0.3">
      <c r="A2920">
        <v>2919</v>
      </c>
      <c r="B2920">
        <v>288</v>
      </c>
      <c r="C2920">
        <v>4</v>
      </c>
      <c r="D2920">
        <v>2747</v>
      </c>
      <c r="E2920" t="s">
        <v>651</v>
      </c>
      <c r="F2920">
        <v>3.23</v>
      </c>
      <c r="G2920" t="s">
        <v>623</v>
      </c>
      <c r="H2920" s="1">
        <v>46280.359490740739</v>
      </c>
      <c r="I2920" t="s">
        <v>642</v>
      </c>
      <c r="J2920">
        <v>3.23</v>
      </c>
      <c r="K2920">
        <v>0</v>
      </c>
    </row>
    <row r="2921" spans="1:11" x14ac:dyDescent="0.3">
      <c r="A2921">
        <v>2920</v>
      </c>
      <c r="B2921">
        <v>299</v>
      </c>
      <c r="C2921">
        <v>5</v>
      </c>
      <c r="D2921">
        <v>2748</v>
      </c>
      <c r="E2921" t="s">
        <v>651</v>
      </c>
      <c r="F2921">
        <v>22</v>
      </c>
      <c r="G2921" t="s">
        <v>623</v>
      </c>
      <c r="H2921" s="1">
        <v>46280.40111111111</v>
      </c>
      <c r="I2921" t="s">
        <v>642</v>
      </c>
      <c r="J2921">
        <v>22</v>
      </c>
      <c r="K2921">
        <v>0</v>
      </c>
    </row>
    <row r="2922" spans="1:11" x14ac:dyDescent="0.3">
      <c r="A2922">
        <v>2921</v>
      </c>
      <c r="B2922">
        <v>121</v>
      </c>
      <c r="C2922">
        <v>4</v>
      </c>
      <c r="D2922">
        <v>2749</v>
      </c>
      <c r="E2922" t="s">
        <v>651</v>
      </c>
      <c r="F2922">
        <v>3.91</v>
      </c>
      <c r="G2922" t="s">
        <v>623</v>
      </c>
      <c r="H2922" s="1">
        <v>46280.69672453704</v>
      </c>
      <c r="I2922" t="s">
        <v>642</v>
      </c>
      <c r="J2922">
        <v>3.91</v>
      </c>
      <c r="K2922">
        <v>0</v>
      </c>
    </row>
    <row r="2923" spans="1:11" x14ac:dyDescent="0.3">
      <c r="A2923">
        <v>2922</v>
      </c>
      <c r="B2923">
        <v>250</v>
      </c>
      <c r="C2923">
        <v>2</v>
      </c>
      <c r="D2923">
        <v>2750</v>
      </c>
      <c r="E2923" t="s">
        <v>651</v>
      </c>
      <c r="F2923">
        <v>22</v>
      </c>
      <c r="G2923" t="s">
        <v>623</v>
      </c>
      <c r="H2923" s="1">
        <v>46280.721643518518</v>
      </c>
      <c r="I2923" t="s">
        <v>642</v>
      </c>
      <c r="J2923">
        <v>22</v>
      </c>
      <c r="K2923">
        <v>0</v>
      </c>
    </row>
    <row r="2924" spans="1:11" x14ac:dyDescent="0.3">
      <c r="A2924">
        <v>2923</v>
      </c>
      <c r="B2924">
        <v>136</v>
      </c>
      <c r="C2924">
        <v>2</v>
      </c>
      <c r="D2924">
        <v>2751</v>
      </c>
      <c r="E2924" t="s">
        <v>657</v>
      </c>
      <c r="F2924">
        <v>125.48</v>
      </c>
      <c r="G2924" t="s">
        <v>623</v>
      </c>
      <c r="H2924" s="1">
        <v>46280.796365740738</v>
      </c>
      <c r="I2924" t="s">
        <v>642</v>
      </c>
      <c r="J2924">
        <v>0</v>
      </c>
      <c r="K2924">
        <v>125.48</v>
      </c>
    </row>
    <row r="2925" spans="1:11" x14ac:dyDescent="0.3">
      <c r="A2925">
        <v>2924</v>
      </c>
      <c r="B2925">
        <v>156</v>
      </c>
      <c r="C2925">
        <v>5</v>
      </c>
      <c r="D2925">
        <v>2752</v>
      </c>
      <c r="E2925" t="s">
        <v>651</v>
      </c>
      <c r="F2925">
        <v>3.43</v>
      </c>
      <c r="G2925" t="s">
        <v>623</v>
      </c>
      <c r="H2925" s="1">
        <v>46280.821423611109</v>
      </c>
      <c r="I2925" t="s">
        <v>642</v>
      </c>
      <c r="J2925">
        <v>3.43</v>
      </c>
      <c r="K2925">
        <v>0</v>
      </c>
    </row>
    <row r="2926" spans="1:11" x14ac:dyDescent="0.3">
      <c r="A2926">
        <v>2925</v>
      </c>
      <c r="B2926">
        <v>245</v>
      </c>
      <c r="C2926">
        <v>4</v>
      </c>
      <c r="D2926">
        <v>2753</v>
      </c>
      <c r="E2926" t="s">
        <v>651</v>
      </c>
      <c r="F2926">
        <v>4.07</v>
      </c>
      <c r="G2926" t="s">
        <v>623</v>
      </c>
      <c r="H2926" s="1">
        <v>46281.305069444446</v>
      </c>
      <c r="I2926" t="s">
        <v>642</v>
      </c>
      <c r="J2926">
        <v>4.07</v>
      </c>
      <c r="K2926">
        <v>0</v>
      </c>
    </row>
    <row r="2927" spans="1:11" x14ac:dyDescent="0.3">
      <c r="A2927">
        <v>2926</v>
      </c>
      <c r="B2927">
        <v>65</v>
      </c>
      <c r="C2927">
        <v>4</v>
      </c>
      <c r="D2927">
        <v>2754</v>
      </c>
      <c r="E2927" t="s">
        <v>657</v>
      </c>
      <c r="F2927">
        <v>30.16</v>
      </c>
      <c r="G2927" t="s">
        <v>623</v>
      </c>
      <c r="H2927" s="1">
        <v>46281.310694444444</v>
      </c>
      <c r="I2927" t="s">
        <v>642</v>
      </c>
      <c r="J2927">
        <v>0</v>
      </c>
      <c r="K2927">
        <v>30.16</v>
      </c>
    </row>
    <row r="2928" spans="1:11" x14ac:dyDescent="0.3">
      <c r="A2928">
        <v>2927</v>
      </c>
      <c r="B2928">
        <v>44</v>
      </c>
      <c r="C2928">
        <v>3</v>
      </c>
      <c r="D2928">
        <v>2755</v>
      </c>
      <c r="E2928" t="s">
        <v>651</v>
      </c>
      <c r="F2928">
        <v>3.58</v>
      </c>
      <c r="G2928" t="s">
        <v>623</v>
      </c>
      <c r="H2928" s="1">
        <v>46281.325995370367</v>
      </c>
      <c r="I2928" t="s">
        <v>642</v>
      </c>
      <c r="J2928">
        <v>3.58</v>
      </c>
      <c r="K2928">
        <v>0</v>
      </c>
    </row>
    <row r="2929" spans="1:11" x14ac:dyDescent="0.3">
      <c r="A2929">
        <v>2928</v>
      </c>
      <c r="B2929">
        <v>24</v>
      </c>
      <c r="C2929">
        <v>5</v>
      </c>
      <c r="D2929">
        <v>2756</v>
      </c>
      <c r="E2929" t="s">
        <v>651</v>
      </c>
      <c r="F2929">
        <v>13.04</v>
      </c>
      <c r="G2929" t="s">
        <v>623</v>
      </c>
      <c r="H2929" s="1">
        <v>46281.453761574077</v>
      </c>
      <c r="I2929" t="s">
        <v>642</v>
      </c>
      <c r="J2929">
        <v>13.04</v>
      </c>
      <c r="K2929">
        <v>0</v>
      </c>
    </row>
    <row r="2930" spans="1:11" x14ac:dyDescent="0.3">
      <c r="A2930">
        <v>2929</v>
      </c>
      <c r="B2930">
        <v>134</v>
      </c>
      <c r="C2930">
        <v>2</v>
      </c>
      <c r="D2930">
        <v>2757</v>
      </c>
      <c r="E2930" t="s">
        <v>657</v>
      </c>
      <c r="F2930">
        <v>53.07</v>
      </c>
      <c r="G2930" t="s">
        <v>623</v>
      </c>
      <c r="H2930" s="1">
        <v>46281.525497685187</v>
      </c>
      <c r="I2930" t="s">
        <v>642</v>
      </c>
      <c r="J2930">
        <v>0</v>
      </c>
      <c r="K2930">
        <v>53.07</v>
      </c>
    </row>
    <row r="2931" spans="1:11" x14ac:dyDescent="0.3">
      <c r="A2931">
        <v>2930</v>
      </c>
      <c r="B2931">
        <v>228</v>
      </c>
      <c r="C2931">
        <v>3</v>
      </c>
      <c r="D2931">
        <v>2758</v>
      </c>
      <c r="E2931" t="s">
        <v>651</v>
      </c>
      <c r="F2931">
        <v>8.8000000000000007</v>
      </c>
      <c r="G2931" t="s">
        <v>623</v>
      </c>
      <c r="H2931" s="1">
        <v>46281.653738425928</v>
      </c>
      <c r="I2931" t="s">
        <v>642</v>
      </c>
      <c r="J2931">
        <v>8.8000000000000007</v>
      </c>
      <c r="K2931">
        <v>0</v>
      </c>
    </row>
    <row r="2932" spans="1:11" x14ac:dyDescent="0.3">
      <c r="A2932">
        <v>2931</v>
      </c>
      <c r="B2932">
        <v>156</v>
      </c>
      <c r="C2932">
        <v>4</v>
      </c>
      <c r="D2932">
        <v>2752</v>
      </c>
      <c r="E2932" t="s">
        <v>649</v>
      </c>
      <c r="F2932">
        <v>-3.43</v>
      </c>
      <c r="G2932" t="s">
        <v>769</v>
      </c>
      <c r="H2932" s="1">
        <v>46281.946423611109</v>
      </c>
      <c r="I2932" t="s">
        <v>642</v>
      </c>
      <c r="J2932">
        <v>0</v>
      </c>
      <c r="K2932">
        <v>0</v>
      </c>
    </row>
    <row r="2933" spans="1:11" x14ac:dyDescent="0.3">
      <c r="A2933">
        <v>2932</v>
      </c>
      <c r="B2933">
        <v>186</v>
      </c>
      <c r="C2933">
        <v>4</v>
      </c>
      <c r="D2933">
        <v>2759</v>
      </c>
      <c r="E2933" t="s">
        <v>651</v>
      </c>
      <c r="F2933">
        <v>9.9</v>
      </c>
      <c r="G2933" t="s">
        <v>623</v>
      </c>
      <c r="H2933" s="1">
        <v>46282.344236111108</v>
      </c>
      <c r="I2933" t="s">
        <v>642</v>
      </c>
      <c r="J2933">
        <v>9.9</v>
      </c>
      <c r="K2933">
        <v>0</v>
      </c>
    </row>
    <row r="2934" spans="1:11" x14ac:dyDescent="0.3">
      <c r="A2934">
        <v>2933</v>
      </c>
      <c r="B2934">
        <v>285</v>
      </c>
      <c r="C2934">
        <v>5</v>
      </c>
      <c r="D2934">
        <v>2760</v>
      </c>
      <c r="E2934" t="s">
        <v>651</v>
      </c>
      <c r="F2934">
        <v>2.91</v>
      </c>
      <c r="G2934" t="s">
        <v>623</v>
      </c>
      <c r="H2934" s="1">
        <v>46282.361655092594</v>
      </c>
      <c r="I2934" t="s">
        <v>642</v>
      </c>
      <c r="J2934">
        <v>2.91</v>
      </c>
      <c r="K2934">
        <v>0</v>
      </c>
    </row>
    <row r="2935" spans="1:11" x14ac:dyDescent="0.3">
      <c r="A2935">
        <v>2934</v>
      </c>
      <c r="B2935">
        <v>204</v>
      </c>
      <c r="C2935">
        <v>5</v>
      </c>
      <c r="D2935">
        <v>2761</v>
      </c>
      <c r="E2935" t="s">
        <v>651</v>
      </c>
      <c r="F2935">
        <v>8.4499999999999993</v>
      </c>
      <c r="G2935" t="s">
        <v>623</v>
      </c>
      <c r="H2935" s="1">
        <v>46282.482974537037</v>
      </c>
      <c r="I2935" t="s">
        <v>642</v>
      </c>
      <c r="J2935">
        <v>8.4499999999999993</v>
      </c>
      <c r="K2935">
        <v>0</v>
      </c>
    </row>
    <row r="2936" spans="1:11" x14ac:dyDescent="0.3">
      <c r="A2936">
        <v>2935</v>
      </c>
      <c r="B2936">
        <v>133</v>
      </c>
      <c r="C2936">
        <v>5</v>
      </c>
      <c r="D2936">
        <v>2762</v>
      </c>
      <c r="E2936" t="s">
        <v>651</v>
      </c>
      <c r="F2936">
        <v>6.08</v>
      </c>
      <c r="G2936" t="s">
        <v>623</v>
      </c>
      <c r="H2936" s="1">
        <v>46282.54277777778</v>
      </c>
      <c r="I2936" t="s">
        <v>642</v>
      </c>
      <c r="J2936">
        <v>6.08</v>
      </c>
      <c r="K2936">
        <v>0</v>
      </c>
    </row>
    <row r="2937" spans="1:11" x14ac:dyDescent="0.3">
      <c r="A2937">
        <v>2936</v>
      </c>
      <c r="B2937">
        <v>70</v>
      </c>
      <c r="C2937">
        <v>2</v>
      </c>
      <c r="D2937">
        <v>2763</v>
      </c>
      <c r="E2937" t="s">
        <v>651</v>
      </c>
      <c r="F2937">
        <v>17.010000000000002</v>
      </c>
      <c r="G2937" t="s">
        <v>623</v>
      </c>
      <c r="H2937" s="1">
        <v>46282.54482638889</v>
      </c>
      <c r="I2937" t="s">
        <v>642</v>
      </c>
      <c r="J2937">
        <v>17.010000000000002</v>
      </c>
      <c r="K2937">
        <v>0</v>
      </c>
    </row>
    <row r="2938" spans="1:11" x14ac:dyDescent="0.3">
      <c r="A2938">
        <v>2937</v>
      </c>
      <c r="B2938">
        <v>25</v>
      </c>
      <c r="C2938">
        <v>3</v>
      </c>
      <c r="D2938">
        <v>2764</v>
      </c>
      <c r="E2938" t="s">
        <v>651</v>
      </c>
      <c r="F2938">
        <v>8.83</v>
      </c>
      <c r="G2938" t="s">
        <v>623</v>
      </c>
      <c r="H2938" s="1">
        <v>46282.726412037038</v>
      </c>
      <c r="I2938" t="s">
        <v>642</v>
      </c>
      <c r="J2938">
        <v>8.83</v>
      </c>
      <c r="K2938">
        <v>0</v>
      </c>
    </row>
    <row r="2939" spans="1:11" x14ac:dyDescent="0.3">
      <c r="A2939">
        <v>2938</v>
      </c>
      <c r="B2939">
        <v>16</v>
      </c>
      <c r="C2939">
        <v>2</v>
      </c>
      <c r="D2939">
        <v>2765</v>
      </c>
      <c r="E2939" t="s">
        <v>651</v>
      </c>
      <c r="F2939">
        <v>14.74</v>
      </c>
      <c r="G2939" t="s">
        <v>623</v>
      </c>
      <c r="H2939" s="1">
        <v>46282.747997685183</v>
      </c>
      <c r="I2939" t="s">
        <v>642</v>
      </c>
      <c r="J2939">
        <v>14.74</v>
      </c>
      <c r="K2939">
        <v>0</v>
      </c>
    </row>
    <row r="2940" spans="1:11" x14ac:dyDescent="0.3">
      <c r="A2940">
        <v>2939</v>
      </c>
      <c r="B2940">
        <v>258</v>
      </c>
      <c r="C2940">
        <v>2</v>
      </c>
      <c r="D2940">
        <v>2766</v>
      </c>
      <c r="E2940" t="s">
        <v>651</v>
      </c>
      <c r="F2940">
        <v>2.0699999999999998</v>
      </c>
      <c r="G2940" t="s">
        <v>623</v>
      </c>
      <c r="H2940" s="1">
        <v>46283.33625</v>
      </c>
      <c r="I2940" t="s">
        <v>642</v>
      </c>
      <c r="J2940">
        <v>2.0699999999999998</v>
      </c>
      <c r="K2940">
        <v>0</v>
      </c>
    </row>
    <row r="2941" spans="1:11" x14ac:dyDescent="0.3">
      <c r="A2941">
        <v>2940</v>
      </c>
      <c r="B2941">
        <v>70</v>
      </c>
      <c r="C2941">
        <v>2</v>
      </c>
      <c r="D2941">
        <v>2763</v>
      </c>
      <c r="E2941" t="s">
        <v>649</v>
      </c>
      <c r="F2941">
        <v>-17.010000000000002</v>
      </c>
      <c r="G2941" t="s">
        <v>770</v>
      </c>
      <c r="H2941" s="1">
        <v>46283.378159722219</v>
      </c>
      <c r="I2941" t="s">
        <v>642</v>
      </c>
      <c r="J2941">
        <v>0</v>
      </c>
      <c r="K2941">
        <v>0</v>
      </c>
    </row>
    <row r="2942" spans="1:11" x14ac:dyDescent="0.3">
      <c r="A2942">
        <v>2941</v>
      </c>
      <c r="B2942">
        <v>285</v>
      </c>
      <c r="C2942">
        <v>4</v>
      </c>
      <c r="D2942">
        <v>2767</v>
      </c>
      <c r="E2942" t="s">
        <v>651</v>
      </c>
      <c r="F2942">
        <v>2.38</v>
      </c>
      <c r="G2942" t="s">
        <v>623</v>
      </c>
      <c r="H2942" s="1">
        <v>46283.406469907408</v>
      </c>
      <c r="I2942" t="s">
        <v>642</v>
      </c>
      <c r="J2942">
        <v>2.38</v>
      </c>
      <c r="K2942">
        <v>0</v>
      </c>
    </row>
    <row r="2943" spans="1:11" x14ac:dyDescent="0.3">
      <c r="A2943">
        <v>2942</v>
      </c>
      <c r="B2943">
        <v>134</v>
      </c>
      <c r="C2943">
        <v>5</v>
      </c>
      <c r="D2943">
        <v>2768</v>
      </c>
      <c r="E2943" t="s">
        <v>651</v>
      </c>
      <c r="F2943">
        <v>8</v>
      </c>
      <c r="G2943" t="s">
        <v>623</v>
      </c>
      <c r="H2943" s="1">
        <v>46283.449641203704</v>
      </c>
      <c r="I2943" t="s">
        <v>642</v>
      </c>
      <c r="J2943">
        <v>8</v>
      </c>
      <c r="K2943">
        <v>0</v>
      </c>
    </row>
    <row r="2944" spans="1:11" x14ac:dyDescent="0.3">
      <c r="A2944">
        <v>2943</v>
      </c>
      <c r="B2944">
        <v>156</v>
      </c>
      <c r="C2944">
        <v>4</v>
      </c>
      <c r="D2944">
        <v>2769</v>
      </c>
      <c r="E2944" t="s">
        <v>651</v>
      </c>
      <c r="F2944">
        <v>2.15</v>
      </c>
      <c r="G2944" t="s">
        <v>623</v>
      </c>
      <c r="H2944" s="1">
        <v>46283.464687500003</v>
      </c>
      <c r="I2944" t="s">
        <v>642</v>
      </c>
      <c r="J2944">
        <v>2.15</v>
      </c>
      <c r="K2944">
        <v>0</v>
      </c>
    </row>
    <row r="2945" spans="1:11" x14ac:dyDescent="0.3">
      <c r="A2945">
        <v>2944</v>
      </c>
      <c r="B2945">
        <v>11</v>
      </c>
      <c r="C2945">
        <v>2</v>
      </c>
      <c r="D2945">
        <v>2770</v>
      </c>
      <c r="E2945" t="s">
        <v>651</v>
      </c>
      <c r="F2945">
        <v>21.27</v>
      </c>
      <c r="G2945" t="s">
        <v>623</v>
      </c>
      <c r="H2945" s="1">
        <v>46283.614016203705</v>
      </c>
      <c r="I2945" t="s">
        <v>642</v>
      </c>
      <c r="J2945">
        <v>21.27</v>
      </c>
      <c r="K2945">
        <v>0</v>
      </c>
    </row>
    <row r="2946" spans="1:11" x14ac:dyDescent="0.3">
      <c r="A2946">
        <v>2945</v>
      </c>
      <c r="B2946">
        <v>164</v>
      </c>
      <c r="C2946">
        <v>5</v>
      </c>
      <c r="D2946">
        <v>2771</v>
      </c>
      <c r="E2946" t="s">
        <v>651</v>
      </c>
      <c r="F2946">
        <v>2.13</v>
      </c>
      <c r="G2946" t="s">
        <v>623</v>
      </c>
      <c r="H2946" s="1">
        <v>46283.817361111112</v>
      </c>
      <c r="I2946" t="s">
        <v>642</v>
      </c>
      <c r="J2946">
        <v>2.13</v>
      </c>
      <c r="K2946">
        <v>0</v>
      </c>
    </row>
    <row r="2947" spans="1:11" x14ac:dyDescent="0.3">
      <c r="A2947">
        <v>2946</v>
      </c>
      <c r="B2947">
        <v>44</v>
      </c>
      <c r="C2947">
        <v>5</v>
      </c>
      <c r="D2947">
        <v>2772</v>
      </c>
      <c r="E2947" t="s">
        <v>651</v>
      </c>
      <c r="F2947">
        <v>3.49</v>
      </c>
      <c r="G2947" t="s">
        <v>623</v>
      </c>
      <c r="H2947" s="1">
        <v>46284.39702546296</v>
      </c>
      <c r="I2947" t="s">
        <v>642</v>
      </c>
      <c r="J2947">
        <v>3.49</v>
      </c>
      <c r="K2947">
        <v>0</v>
      </c>
    </row>
    <row r="2948" spans="1:11" x14ac:dyDescent="0.3">
      <c r="A2948">
        <v>2947</v>
      </c>
      <c r="B2948">
        <v>250</v>
      </c>
      <c r="C2948">
        <v>5</v>
      </c>
      <c r="D2948">
        <v>2773</v>
      </c>
      <c r="E2948" t="s">
        <v>651</v>
      </c>
      <c r="F2948">
        <v>9.69</v>
      </c>
      <c r="G2948" t="s">
        <v>623</v>
      </c>
      <c r="H2948" s="1">
        <v>46284.462696759256</v>
      </c>
      <c r="I2948" t="s">
        <v>642</v>
      </c>
      <c r="J2948">
        <v>9.69</v>
      </c>
      <c r="K2948">
        <v>0</v>
      </c>
    </row>
    <row r="2949" spans="1:11" x14ac:dyDescent="0.3">
      <c r="A2949">
        <v>2948</v>
      </c>
      <c r="B2949">
        <v>65</v>
      </c>
      <c r="C2949">
        <v>3</v>
      </c>
      <c r="D2949">
        <v>2774</v>
      </c>
      <c r="E2949" t="s">
        <v>651</v>
      </c>
      <c r="F2949">
        <v>5.86</v>
      </c>
      <c r="G2949" t="s">
        <v>623</v>
      </c>
      <c r="H2949" s="1">
        <v>46284.480428240742</v>
      </c>
      <c r="I2949" t="s">
        <v>642</v>
      </c>
      <c r="J2949">
        <v>5.86</v>
      </c>
      <c r="K2949">
        <v>0</v>
      </c>
    </row>
    <row r="2950" spans="1:11" x14ac:dyDescent="0.3">
      <c r="A2950">
        <v>2949</v>
      </c>
      <c r="B2950">
        <v>106</v>
      </c>
      <c r="C2950">
        <v>4</v>
      </c>
      <c r="D2950">
        <v>2775</v>
      </c>
      <c r="E2950" t="s">
        <v>657</v>
      </c>
      <c r="F2950">
        <v>99.75</v>
      </c>
      <c r="G2950" t="s">
        <v>623</v>
      </c>
      <c r="H2950" s="1">
        <v>46284.487743055557</v>
      </c>
      <c r="I2950" t="s">
        <v>642</v>
      </c>
      <c r="J2950">
        <v>0</v>
      </c>
      <c r="K2950">
        <v>99.75</v>
      </c>
    </row>
    <row r="2951" spans="1:11" x14ac:dyDescent="0.3">
      <c r="A2951">
        <v>2950</v>
      </c>
      <c r="B2951">
        <v>128</v>
      </c>
      <c r="C2951">
        <v>3</v>
      </c>
      <c r="D2951">
        <v>2776</v>
      </c>
      <c r="E2951" t="s">
        <v>651</v>
      </c>
      <c r="F2951">
        <v>3.2</v>
      </c>
      <c r="G2951" t="s">
        <v>623</v>
      </c>
      <c r="H2951" s="1">
        <v>46284.555555555555</v>
      </c>
      <c r="I2951" t="s">
        <v>642</v>
      </c>
      <c r="J2951">
        <v>3.2</v>
      </c>
      <c r="K2951">
        <v>0</v>
      </c>
    </row>
    <row r="2952" spans="1:11" x14ac:dyDescent="0.3">
      <c r="A2952">
        <v>2951</v>
      </c>
      <c r="B2952">
        <v>75</v>
      </c>
      <c r="C2952">
        <v>2</v>
      </c>
      <c r="D2952">
        <v>2777</v>
      </c>
      <c r="E2952" t="s">
        <v>657</v>
      </c>
      <c r="F2952">
        <v>65.05</v>
      </c>
      <c r="G2952" t="s">
        <v>623</v>
      </c>
      <c r="H2952" s="1">
        <v>46284.644918981481</v>
      </c>
      <c r="I2952" t="s">
        <v>642</v>
      </c>
      <c r="J2952">
        <v>0</v>
      </c>
      <c r="K2952">
        <v>65.05</v>
      </c>
    </row>
    <row r="2953" spans="1:11" x14ac:dyDescent="0.3">
      <c r="A2953">
        <v>2952</v>
      </c>
      <c r="B2953">
        <v>43</v>
      </c>
      <c r="C2953">
        <v>3</v>
      </c>
      <c r="D2953">
        <v>2778</v>
      </c>
      <c r="E2953" t="s">
        <v>651</v>
      </c>
      <c r="F2953">
        <v>8.2200000000000006</v>
      </c>
      <c r="G2953" t="s">
        <v>623</v>
      </c>
      <c r="H2953" s="1">
        <v>46284.654583333337</v>
      </c>
      <c r="I2953" t="s">
        <v>642</v>
      </c>
      <c r="J2953">
        <v>8.2200000000000006</v>
      </c>
      <c r="K2953">
        <v>0</v>
      </c>
    </row>
    <row r="2954" spans="1:11" x14ac:dyDescent="0.3">
      <c r="A2954">
        <v>2953</v>
      </c>
      <c r="B2954">
        <v>134</v>
      </c>
      <c r="C2954">
        <v>3</v>
      </c>
      <c r="D2954">
        <v>2779</v>
      </c>
      <c r="E2954" t="s">
        <v>651</v>
      </c>
      <c r="F2954">
        <v>9.77</v>
      </c>
      <c r="G2954" t="s">
        <v>623</v>
      </c>
      <c r="H2954" s="1">
        <v>46284.655717592592</v>
      </c>
      <c r="I2954" t="s">
        <v>642</v>
      </c>
      <c r="J2954">
        <v>9.77</v>
      </c>
      <c r="K2954">
        <v>0</v>
      </c>
    </row>
    <row r="2955" spans="1:11" x14ac:dyDescent="0.3">
      <c r="A2955">
        <v>2954</v>
      </c>
      <c r="B2955">
        <v>250</v>
      </c>
      <c r="C2955">
        <v>2</v>
      </c>
      <c r="D2955">
        <v>2780</v>
      </c>
      <c r="E2955" t="s">
        <v>651</v>
      </c>
      <c r="F2955">
        <v>10.01</v>
      </c>
      <c r="G2955" t="s">
        <v>623</v>
      </c>
      <c r="H2955" s="1">
        <v>46284.667453703703</v>
      </c>
      <c r="I2955" t="s">
        <v>642</v>
      </c>
      <c r="J2955">
        <v>10.01</v>
      </c>
      <c r="K2955">
        <v>0</v>
      </c>
    </row>
    <row r="2956" spans="1:11" x14ac:dyDescent="0.3">
      <c r="A2956">
        <v>2955</v>
      </c>
      <c r="B2956">
        <v>44</v>
      </c>
      <c r="C2956">
        <v>5</v>
      </c>
      <c r="D2956">
        <v>2781</v>
      </c>
      <c r="E2956" t="s">
        <v>651</v>
      </c>
      <c r="F2956">
        <v>3.15</v>
      </c>
      <c r="G2956" t="s">
        <v>623</v>
      </c>
      <c r="H2956" s="1">
        <v>46284.723541666666</v>
      </c>
      <c r="I2956" t="s">
        <v>642</v>
      </c>
      <c r="J2956">
        <v>3.15</v>
      </c>
      <c r="K2956">
        <v>0</v>
      </c>
    </row>
    <row r="2957" spans="1:11" x14ac:dyDescent="0.3">
      <c r="A2957">
        <v>2956</v>
      </c>
      <c r="B2957">
        <v>57</v>
      </c>
      <c r="C2957">
        <v>5</v>
      </c>
      <c r="D2957">
        <v>2782</v>
      </c>
      <c r="E2957" t="s">
        <v>651</v>
      </c>
      <c r="F2957">
        <v>12.9</v>
      </c>
      <c r="G2957" t="s">
        <v>623</v>
      </c>
      <c r="H2957" s="1">
        <v>46284.788981481484</v>
      </c>
      <c r="I2957" t="s">
        <v>642</v>
      </c>
      <c r="J2957">
        <v>12.9</v>
      </c>
      <c r="K2957">
        <v>0</v>
      </c>
    </row>
    <row r="2958" spans="1:11" x14ac:dyDescent="0.3">
      <c r="A2958">
        <v>2957</v>
      </c>
      <c r="B2958">
        <v>294</v>
      </c>
      <c r="C2958">
        <v>3</v>
      </c>
      <c r="D2958">
        <v>2783</v>
      </c>
      <c r="E2958" t="s">
        <v>651</v>
      </c>
      <c r="F2958">
        <v>1.85</v>
      </c>
      <c r="G2958" t="s">
        <v>623</v>
      </c>
      <c r="H2958" s="1">
        <v>46285.365057870367</v>
      </c>
      <c r="I2958" t="s">
        <v>642</v>
      </c>
      <c r="J2958">
        <v>1.85</v>
      </c>
      <c r="K2958">
        <v>0</v>
      </c>
    </row>
    <row r="2959" spans="1:11" x14ac:dyDescent="0.3">
      <c r="A2959">
        <v>2958</v>
      </c>
      <c r="B2959">
        <v>237</v>
      </c>
      <c r="C2959">
        <v>4</v>
      </c>
      <c r="D2959">
        <v>2784</v>
      </c>
      <c r="E2959" t="s">
        <v>651</v>
      </c>
      <c r="F2959">
        <v>8.39</v>
      </c>
      <c r="G2959" t="s">
        <v>623</v>
      </c>
      <c r="H2959" s="1">
        <v>46285.526597222219</v>
      </c>
      <c r="I2959" t="s">
        <v>642</v>
      </c>
      <c r="J2959">
        <v>8.39</v>
      </c>
      <c r="K2959">
        <v>0</v>
      </c>
    </row>
    <row r="2960" spans="1:11" x14ac:dyDescent="0.3">
      <c r="A2960">
        <v>2959</v>
      </c>
      <c r="B2960">
        <v>110</v>
      </c>
      <c r="C2960">
        <v>3</v>
      </c>
      <c r="D2960">
        <v>2785</v>
      </c>
      <c r="E2960" t="s">
        <v>651</v>
      </c>
      <c r="F2960">
        <v>5.93</v>
      </c>
      <c r="G2960" t="s">
        <v>623</v>
      </c>
      <c r="H2960" s="1">
        <v>46285.585196759261</v>
      </c>
      <c r="I2960" t="s">
        <v>642</v>
      </c>
      <c r="J2960">
        <v>5.93</v>
      </c>
      <c r="K2960">
        <v>0</v>
      </c>
    </row>
    <row r="2961" spans="1:11" x14ac:dyDescent="0.3">
      <c r="A2961">
        <v>2960</v>
      </c>
      <c r="B2961">
        <v>11</v>
      </c>
      <c r="C2961">
        <v>2</v>
      </c>
      <c r="D2961">
        <v>2770</v>
      </c>
      <c r="E2961" t="s">
        <v>649</v>
      </c>
      <c r="F2961">
        <v>-21.27</v>
      </c>
      <c r="G2961" t="s">
        <v>771</v>
      </c>
      <c r="H2961" s="1">
        <v>46285.614016203705</v>
      </c>
      <c r="I2961" t="s">
        <v>642</v>
      </c>
      <c r="J2961">
        <v>0</v>
      </c>
      <c r="K2961">
        <v>0</v>
      </c>
    </row>
    <row r="2962" spans="1:11" x14ac:dyDescent="0.3">
      <c r="A2962">
        <v>2961</v>
      </c>
      <c r="B2962">
        <v>12</v>
      </c>
      <c r="C2962">
        <v>5</v>
      </c>
      <c r="D2962">
        <v>2786</v>
      </c>
      <c r="E2962" t="s">
        <v>651</v>
      </c>
      <c r="F2962">
        <v>2.71</v>
      </c>
      <c r="G2962" t="s">
        <v>623</v>
      </c>
      <c r="H2962" s="1">
        <v>46285.771053240744</v>
      </c>
      <c r="I2962" t="s">
        <v>642</v>
      </c>
      <c r="J2962">
        <v>2.71</v>
      </c>
      <c r="K2962">
        <v>0</v>
      </c>
    </row>
    <row r="2963" spans="1:11" x14ac:dyDescent="0.3">
      <c r="A2963">
        <v>2962</v>
      </c>
      <c r="B2963">
        <v>175</v>
      </c>
      <c r="C2963">
        <v>2</v>
      </c>
      <c r="D2963">
        <v>2787</v>
      </c>
      <c r="E2963" t="s">
        <v>651</v>
      </c>
      <c r="F2963">
        <v>3.83</v>
      </c>
      <c r="G2963" t="s">
        <v>623</v>
      </c>
      <c r="H2963" s="1">
        <v>46285.790578703702</v>
      </c>
      <c r="I2963" t="s">
        <v>642</v>
      </c>
      <c r="J2963">
        <v>3.83</v>
      </c>
      <c r="K2963">
        <v>0</v>
      </c>
    </row>
    <row r="2964" spans="1:11" x14ac:dyDescent="0.3">
      <c r="A2964">
        <v>2963</v>
      </c>
      <c r="B2964">
        <v>243</v>
      </c>
      <c r="C2964">
        <v>4</v>
      </c>
      <c r="D2964">
        <v>2788</v>
      </c>
      <c r="E2964" t="s">
        <v>651</v>
      </c>
      <c r="F2964">
        <v>3.25</v>
      </c>
      <c r="G2964" t="s">
        <v>623</v>
      </c>
      <c r="H2964" s="1">
        <v>46286.302569444444</v>
      </c>
      <c r="I2964" t="s">
        <v>642</v>
      </c>
      <c r="J2964">
        <v>3.25</v>
      </c>
      <c r="K2964">
        <v>0</v>
      </c>
    </row>
    <row r="2965" spans="1:11" x14ac:dyDescent="0.3">
      <c r="A2965">
        <v>2964</v>
      </c>
      <c r="B2965">
        <v>75</v>
      </c>
      <c r="C2965">
        <v>2</v>
      </c>
      <c r="D2965">
        <v>2789</v>
      </c>
      <c r="E2965" t="s">
        <v>651</v>
      </c>
      <c r="F2965">
        <v>7.34</v>
      </c>
      <c r="G2965" t="s">
        <v>623</v>
      </c>
      <c r="H2965" s="1">
        <v>46286.644479166665</v>
      </c>
      <c r="I2965" t="s">
        <v>642</v>
      </c>
      <c r="J2965">
        <v>7.34</v>
      </c>
      <c r="K2965">
        <v>0</v>
      </c>
    </row>
    <row r="2966" spans="1:11" x14ac:dyDescent="0.3">
      <c r="A2966">
        <v>2965</v>
      </c>
      <c r="B2966">
        <v>128</v>
      </c>
      <c r="C2966">
        <v>4</v>
      </c>
      <c r="D2966">
        <v>2790</v>
      </c>
      <c r="E2966" t="s">
        <v>651</v>
      </c>
      <c r="F2966">
        <v>1.36</v>
      </c>
      <c r="G2966" t="s">
        <v>623</v>
      </c>
      <c r="H2966" s="1">
        <v>46286.675393518519</v>
      </c>
      <c r="I2966" t="s">
        <v>642</v>
      </c>
      <c r="J2966">
        <v>1.36</v>
      </c>
      <c r="K2966">
        <v>0</v>
      </c>
    </row>
    <row r="2967" spans="1:11" x14ac:dyDescent="0.3">
      <c r="A2967">
        <v>2966</v>
      </c>
      <c r="B2967">
        <v>197</v>
      </c>
      <c r="C2967">
        <v>4</v>
      </c>
      <c r="D2967">
        <v>2791</v>
      </c>
      <c r="E2967" t="s">
        <v>651</v>
      </c>
      <c r="F2967">
        <v>10.26</v>
      </c>
      <c r="G2967" t="s">
        <v>623</v>
      </c>
      <c r="H2967" s="1">
        <v>46286.707071759258</v>
      </c>
      <c r="I2967" t="s">
        <v>642</v>
      </c>
      <c r="J2967">
        <v>10.26</v>
      </c>
      <c r="K2967">
        <v>0</v>
      </c>
    </row>
    <row r="2968" spans="1:11" x14ac:dyDescent="0.3">
      <c r="A2968">
        <v>2967</v>
      </c>
      <c r="B2968">
        <v>24</v>
      </c>
      <c r="C2968">
        <v>5</v>
      </c>
      <c r="D2968">
        <v>2792</v>
      </c>
      <c r="E2968" t="s">
        <v>651</v>
      </c>
      <c r="F2968">
        <v>27.43</v>
      </c>
      <c r="G2968" t="s">
        <v>623</v>
      </c>
      <c r="H2968" s="1">
        <v>46286.726782407408</v>
      </c>
      <c r="I2968" t="s">
        <v>642</v>
      </c>
      <c r="J2968">
        <v>27.43</v>
      </c>
      <c r="K2968">
        <v>0</v>
      </c>
    </row>
    <row r="2969" spans="1:11" x14ac:dyDescent="0.3">
      <c r="A2969">
        <v>2968</v>
      </c>
      <c r="B2969">
        <v>127</v>
      </c>
      <c r="C2969">
        <v>5</v>
      </c>
      <c r="D2969">
        <v>2793</v>
      </c>
      <c r="E2969" t="s">
        <v>651</v>
      </c>
      <c r="F2969">
        <v>7.89</v>
      </c>
      <c r="G2969" t="s">
        <v>623</v>
      </c>
      <c r="H2969" s="1">
        <v>46287.316678240742</v>
      </c>
      <c r="I2969" t="s">
        <v>642</v>
      </c>
      <c r="J2969">
        <v>7.89</v>
      </c>
      <c r="K2969">
        <v>0</v>
      </c>
    </row>
    <row r="2970" spans="1:11" x14ac:dyDescent="0.3">
      <c r="A2970">
        <v>2969</v>
      </c>
      <c r="B2970">
        <v>241</v>
      </c>
      <c r="C2970">
        <v>2</v>
      </c>
      <c r="D2970">
        <v>2794</v>
      </c>
      <c r="E2970" t="s">
        <v>651</v>
      </c>
      <c r="F2970">
        <v>3.7</v>
      </c>
      <c r="G2970" t="s">
        <v>623</v>
      </c>
      <c r="H2970" s="1">
        <v>46287.33353009259</v>
      </c>
      <c r="I2970" t="s">
        <v>642</v>
      </c>
      <c r="J2970">
        <v>3.7</v>
      </c>
      <c r="K2970">
        <v>0</v>
      </c>
    </row>
    <row r="2971" spans="1:11" x14ac:dyDescent="0.3">
      <c r="A2971">
        <v>2970</v>
      </c>
      <c r="B2971">
        <v>25</v>
      </c>
      <c r="C2971">
        <v>3</v>
      </c>
      <c r="D2971">
        <v>2795</v>
      </c>
      <c r="E2971" t="s">
        <v>651</v>
      </c>
      <c r="F2971">
        <v>4.1500000000000004</v>
      </c>
      <c r="G2971" t="s">
        <v>623</v>
      </c>
      <c r="H2971" s="1">
        <v>46287.336377314816</v>
      </c>
      <c r="I2971" t="s">
        <v>642</v>
      </c>
      <c r="J2971">
        <v>4.1500000000000004</v>
      </c>
      <c r="K2971">
        <v>0</v>
      </c>
    </row>
    <row r="2972" spans="1:11" x14ac:dyDescent="0.3">
      <c r="A2972">
        <v>2971</v>
      </c>
      <c r="B2972">
        <v>16</v>
      </c>
      <c r="C2972">
        <v>3</v>
      </c>
      <c r="D2972">
        <v>2796</v>
      </c>
      <c r="E2972" t="s">
        <v>657</v>
      </c>
      <c r="F2972">
        <v>130.83000000000001</v>
      </c>
      <c r="G2972" t="s">
        <v>623</v>
      </c>
      <c r="H2972" s="1">
        <v>46287.376087962963</v>
      </c>
      <c r="I2972" t="s">
        <v>642</v>
      </c>
      <c r="J2972">
        <v>0</v>
      </c>
      <c r="K2972">
        <v>130.83000000000001</v>
      </c>
    </row>
    <row r="2973" spans="1:11" x14ac:dyDescent="0.3">
      <c r="A2973">
        <v>2972</v>
      </c>
      <c r="B2973">
        <v>7</v>
      </c>
      <c r="C2973">
        <v>3</v>
      </c>
      <c r="D2973">
        <v>2797</v>
      </c>
      <c r="E2973" t="s">
        <v>651</v>
      </c>
      <c r="F2973">
        <v>8.75</v>
      </c>
      <c r="G2973" t="s">
        <v>623</v>
      </c>
      <c r="H2973" s="1">
        <v>46287.406307870369</v>
      </c>
      <c r="I2973" t="s">
        <v>642</v>
      </c>
      <c r="J2973">
        <v>8.75</v>
      </c>
      <c r="K2973">
        <v>0</v>
      </c>
    </row>
    <row r="2974" spans="1:11" x14ac:dyDescent="0.3">
      <c r="A2974">
        <v>2973</v>
      </c>
      <c r="B2974">
        <v>128</v>
      </c>
      <c r="C2974">
        <v>2</v>
      </c>
      <c r="D2974">
        <v>2798</v>
      </c>
      <c r="E2974" t="s">
        <v>651</v>
      </c>
      <c r="F2974">
        <v>1.75</v>
      </c>
      <c r="G2974" t="s">
        <v>623</v>
      </c>
      <c r="H2974" s="1">
        <v>46287.413321759261</v>
      </c>
      <c r="I2974" t="s">
        <v>642</v>
      </c>
      <c r="J2974">
        <v>1.75</v>
      </c>
      <c r="K2974">
        <v>0</v>
      </c>
    </row>
    <row r="2975" spans="1:11" x14ac:dyDescent="0.3">
      <c r="A2975">
        <v>2974</v>
      </c>
      <c r="B2975">
        <v>272</v>
      </c>
      <c r="C2975">
        <v>4</v>
      </c>
      <c r="D2975">
        <v>2799</v>
      </c>
      <c r="E2975" t="s">
        <v>651</v>
      </c>
      <c r="F2975">
        <v>17.940000000000001</v>
      </c>
      <c r="G2975" t="s">
        <v>623</v>
      </c>
      <c r="H2975" s="1">
        <v>46287.436064814814</v>
      </c>
      <c r="I2975" t="s">
        <v>642</v>
      </c>
      <c r="J2975">
        <v>17.940000000000001</v>
      </c>
      <c r="K2975">
        <v>0</v>
      </c>
    </row>
    <row r="2976" spans="1:11" x14ac:dyDescent="0.3">
      <c r="A2976">
        <v>2975</v>
      </c>
      <c r="B2976">
        <v>165</v>
      </c>
      <c r="C2976">
        <v>4</v>
      </c>
      <c r="D2976">
        <v>2800</v>
      </c>
      <c r="E2976" t="s">
        <v>651</v>
      </c>
      <c r="F2976">
        <v>3.52</v>
      </c>
      <c r="G2976" t="s">
        <v>623</v>
      </c>
      <c r="H2976" s="1">
        <v>46287.455740740741</v>
      </c>
      <c r="I2976" t="s">
        <v>642</v>
      </c>
      <c r="J2976">
        <v>3.52</v>
      </c>
      <c r="K2976">
        <v>0</v>
      </c>
    </row>
    <row r="2977" spans="1:11" x14ac:dyDescent="0.3">
      <c r="A2977">
        <v>2976</v>
      </c>
      <c r="B2977">
        <v>125</v>
      </c>
      <c r="C2977">
        <v>5</v>
      </c>
      <c r="D2977">
        <v>2801</v>
      </c>
      <c r="E2977" t="s">
        <v>651</v>
      </c>
      <c r="F2977">
        <v>3.97</v>
      </c>
      <c r="G2977" t="s">
        <v>623</v>
      </c>
      <c r="H2977" s="1">
        <v>46287.57104166667</v>
      </c>
      <c r="I2977" t="s">
        <v>642</v>
      </c>
      <c r="J2977">
        <v>3.97</v>
      </c>
      <c r="K2977">
        <v>0</v>
      </c>
    </row>
    <row r="2978" spans="1:11" x14ac:dyDescent="0.3">
      <c r="A2978">
        <v>2977</v>
      </c>
      <c r="B2978">
        <v>250</v>
      </c>
      <c r="C2978">
        <v>4</v>
      </c>
      <c r="D2978">
        <v>2802</v>
      </c>
      <c r="E2978" t="s">
        <v>651</v>
      </c>
      <c r="F2978">
        <v>13.62</v>
      </c>
      <c r="G2978" t="s">
        <v>623</v>
      </c>
      <c r="H2978" s="1">
        <v>46287.584270833337</v>
      </c>
      <c r="I2978" t="s">
        <v>642</v>
      </c>
      <c r="J2978">
        <v>13.62</v>
      </c>
      <c r="K2978">
        <v>0</v>
      </c>
    </row>
    <row r="2979" spans="1:11" x14ac:dyDescent="0.3">
      <c r="A2979">
        <v>2978</v>
      </c>
      <c r="B2979">
        <v>156</v>
      </c>
      <c r="C2979">
        <v>2</v>
      </c>
      <c r="D2979">
        <v>2803</v>
      </c>
      <c r="E2979" t="s">
        <v>651</v>
      </c>
      <c r="F2979">
        <v>4.26</v>
      </c>
      <c r="G2979" t="s">
        <v>623</v>
      </c>
      <c r="H2979" s="1">
        <v>46287.627268518518</v>
      </c>
      <c r="I2979" t="s">
        <v>642</v>
      </c>
      <c r="J2979">
        <v>4.26</v>
      </c>
      <c r="K2979">
        <v>0</v>
      </c>
    </row>
    <row r="2980" spans="1:11" x14ac:dyDescent="0.3">
      <c r="A2980">
        <v>2979</v>
      </c>
      <c r="B2980">
        <v>190</v>
      </c>
      <c r="C2980">
        <v>5</v>
      </c>
      <c r="D2980">
        <v>2804</v>
      </c>
      <c r="E2980" t="s">
        <v>651</v>
      </c>
      <c r="F2980">
        <v>21.08</v>
      </c>
      <c r="G2980" t="s">
        <v>623</v>
      </c>
      <c r="H2980" s="1">
        <v>46287.760266203702</v>
      </c>
      <c r="I2980" t="s">
        <v>642</v>
      </c>
      <c r="J2980">
        <v>21.08</v>
      </c>
      <c r="K2980">
        <v>0</v>
      </c>
    </row>
    <row r="2981" spans="1:11" x14ac:dyDescent="0.3">
      <c r="A2981">
        <v>2980</v>
      </c>
      <c r="B2981">
        <v>16</v>
      </c>
      <c r="C2981">
        <v>4</v>
      </c>
      <c r="D2981">
        <v>2805</v>
      </c>
      <c r="E2981" t="s">
        <v>651</v>
      </c>
      <c r="F2981">
        <v>13.44</v>
      </c>
      <c r="G2981" t="s">
        <v>623</v>
      </c>
      <c r="H2981" s="1">
        <v>46288.427187499998</v>
      </c>
      <c r="I2981" t="s">
        <v>642</v>
      </c>
      <c r="J2981">
        <v>13.44</v>
      </c>
      <c r="K2981">
        <v>0</v>
      </c>
    </row>
    <row r="2982" spans="1:11" x14ac:dyDescent="0.3">
      <c r="A2982">
        <v>2981</v>
      </c>
      <c r="B2982">
        <v>245</v>
      </c>
      <c r="C2982">
        <v>4</v>
      </c>
      <c r="D2982">
        <v>2806</v>
      </c>
      <c r="E2982" t="s">
        <v>651</v>
      </c>
      <c r="F2982">
        <v>2.79</v>
      </c>
      <c r="G2982" t="s">
        <v>623</v>
      </c>
      <c r="H2982" s="1">
        <v>46288.524733796294</v>
      </c>
      <c r="I2982" t="s">
        <v>642</v>
      </c>
      <c r="J2982">
        <v>2.79</v>
      </c>
      <c r="K2982">
        <v>0</v>
      </c>
    </row>
    <row r="2983" spans="1:11" x14ac:dyDescent="0.3">
      <c r="A2983">
        <v>2982</v>
      </c>
      <c r="B2983">
        <v>134</v>
      </c>
      <c r="C2983">
        <v>4</v>
      </c>
      <c r="D2983">
        <v>2807</v>
      </c>
      <c r="E2983" t="s">
        <v>657</v>
      </c>
      <c r="F2983">
        <v>115.56</v>
      </c>
      <c r="G2983" t="s">
        <v>623</v>
      </c>
      <c r="H2983" s="1">
        <v>46288.819780092592</v>
      </c>
      <c r="I2983" t="s">
        <v>642</v>
      </c>
      <c r="J2983">
        <v>0</v>
      </c>
      <c r="K2983">
        <v>115.56</v>
      </c>
    </row>
    <row r="2984" spans="1:11" x14ac:dyDescent="0.3">
      <c r="A2984">
        <v>2983</v>
      </c>
      <c r="B2984">
        <v>285</v>
      </c>
      <c r="C2984">
        <v>5</v>
      </c>
      <c r="D2984">
        <v>2808</v>
      </c>
      <c r="E2984" t="s">
        <v>657</v>
      </c>
      <c r="F2984">
        <v>28.17</v>
      </c>
      <c r="G2984" t="s">
        <v>623</v>
      </c>
      <c r="H2984" s="1">
        <v>46289.44940972222</v>
      </c>
      <c r="I2984" t="s">
        <v>642</v>
      </c>
      <c r="J2984">
        <v>0</v>
      </c>
      <c r="K2984">
        <v>28.17</v>
      </c>
    </row>
    <row r="2985" spans="1:11" x14ac:dyDescent="0.3">
      <c r="A2985">
        <v>2984</v>
      </c>
      <c r="B2985">
        <v>299</v>
      </c>
      <c r="C2985">
        <v>2</v>
      </c>
      <c r="D2985">
        <v>2809</v>
      </c>
      <c r="E2985" t="s">
        <v>651</v>
      </c>
      <c r="F2985">
        <v>7.46</v>
      </c>
      <c r="G2985" t="s">
        <v>623</v>
      </c>
      <c r="H2985" s="1">
        <v>46289.47152777778</v>
      </c>
      <c r="I2985" t="s">
        <v>642</v>
      </c>
      <c r="J2985">
        <v>7.46</v>
      </c>
      <c r="K2985">
        <v>0</v>
      </c>
    </row>
    <row r="2986" spans="1:11" x14ac:dyDescent="0.3">
      <c r="A2986">
        <v>2985</v>
      </c>
      <c r="B2986">
        <v>229</v>
      </c>
      <c r="C2986">
        <v>4</v>
      </c>
      <c r="D2986">
        <v>2810</v>
      </c>
      <c r="E2986" t="s">
        <v>651</v>
      </c>
      <c r="F2986">
        <v>12.67</v>
      </c>
      <c r="G2986" t="s">
        <v>623</v>
      </c>
      <c r="H2986" s="1">
        <v>46289.479074074072</v>
      </c>
      <c r="I2986" t="s">
        <v>642</v>
      </c>
      <c r="J2986">
        <v>12.67</v>
      </c>
      <c r="K2986">
        <v>0</v>
      </c>
    </row>
    <row r="2987" spans="1:11" x14ac:dyDescent="0.3">
      <c r="A2987">
        <v>2986</v>
      </c>
      <c r="B2987">
        <v>156</v>
      </c>
      <c r="C2987">
        <v>2</v>
      </c>
      <c r="D2987">
        <v>2811</v>
      </c>
      <c r="E2987" t="s">
        <v>651</v>
      </c>
      <c r="F2987">
        <v>2.38</v>
      </c>
      <c r="G2987" t="s">
        <v>623</v>
      </c>
      <c r="H2987" s="1">
        <v>46289.54247685185</v>
      </c>
      <c r="I2987" t="s">
        <v>642</v>
      </c>
      <c r="J2987">
        <v>2.38</v>
      </c>
      <c r="K2987">
        <v>0</v>
      </c>
    </row>
    <row r="2988" spans="1:11" x14ac:dyDescent="0.3">
      <c r="A2988">
        <v>2987</v>
      </c>
      <c r="B2988">
        <v>36</v>
      </c>
      <c r="C2988">
        <v>2</v>
      </c>
      <c r="D2988">
        <v>2812</v>
      </c>
      <c r="E2988" t="s">
        <v>651</v>
      </c>
      <c r="F2988">
        <v>23.16</v>
      </c>
      <c r="G2988" t="s">
        <v>623</v>
      </c>
      <c r="H2988" s="1">
        <v>46289.559479166666</v>
      </c>
      <c r="I2988" t="s">
        <v>642</v>
      </c>
      <c r="J2988">
        <v>23.16</v>
      </c>
      <c r="K2988">
        <v>0</v>
      </c>
    </row>
    <row r="2989" spans="1:11" x14ac:dyDescent="0.3">
      <c r="A2989">
        <v>2988</v>
      </c>
      <c r="B2989">
        <v>128</v>
      </c>
      <c r="C2989">
        <v>5</v>
      </c>
      <c r="D2989">
        <v>2813</v>
      </c>
      <c r="E2989" t="s">
        <v>651</v>
      </c>
      <c r="F2989">
        <v>3.52</v>
      </c>
      <c r="G2989" t="s">
        <v>623</v>
      </c>
      <c r="H2989" s="1">
        <v>46289.603842592594</v>
      </c>
      <c r="I2989" t="s">
        <v>642</v>
      </c>
      <c r="J2989">
        <v>3.52</v>
      </c>
      <c r="K2989">
        <v>0</v>
      </c>
    </row>
    <row r="2990" spans="1:11" x14ac:dyDescent="0.3">
      <c r="A2990">
        <v>2989</v>
      </c>
      <c r="B2990">
        <v>190</v>
      </c>
      <c r="C2990">
        <v>2</v>
      </c>
      <c r="D2990">
        <v>2814</v>
      </c>
      <c r="E2990" t="s">
        <v>651</v>
      </c>
      <c r="F2990">
        <v>21.82</v>
      </c>
      <c r="G2990" t="s">
        <v>623</v>
      </c>
      <c r="H2990" s="1">
        <v>46289.666979166665</v>
      </c>
      <c r="I2990" t="s">
        <v>642</v>
      </c>
      <c r="J2990">
        <v>21.82</v>
      </c>
      <c r="K2990">
        <v>0</v>
      </c>
    </row>
    <row r="2991" spans="1:11" x14ac:dyDescent="0.3">
      <c r="A2991">
        <v>2990</v>
      </c>
      <c r="B2991">
        <v>128</v>
      </c>
      <c r="C2991">
        <v>5</v>
      </c>
      <c r="D2991">
        <v>2815</v>
      </c>
      <c r="E2991" t="s">
        <v>657</v>
      </c>
      <c r="F2991">
        <v>47.96</v>
      </c>
      <c r="G2991" t="s">
        <v>623</v>
      </c>
      <c r="H2991" s="1">
        <v>46289.713946759257</v>
      </c>
      <c r="I2991" t="s">
        <v>642</v>
      </c>
      <c r="J2991">
        <v>0</v>
      </c>
      <c r="K2991">
        <v>47.96</v>
      </c>
    </row>
    <row r="2992" spans="1:11" x14ac:dyDescent="0.3">
      <c r="A2992">
        <v>2991</v>
      </c>
      <c r="B2992">
        <v>194</v>
      </c>
      <c r="C2992">
        <v>2</v>
      </c>
      <c r="D2992">
        <v>2816</v>
      </c>
      <c r="E2992" t="s">
        <v>651</v>
      </c>
      <c r="F2992">
        <v>10.46</v>
      </c>
      <c r="G2992" t="s">
        <v>623</v>
      </c>
      <c r="H2992" s="1">
        <v>46290.355231481481</v>
      </c>
      <c r="I2992" t="s">
        <v>642</v>
      </c>
      <c r="J2992">
        <v>10.46</v>
      </c>
      <c r="K2992">
        <v>0</v>
      </c>
    </row>
    <row r="2993" spans="1:11" x14ac:dyDescent="0.3">
      <c r="A2993">
        <v>2992</v>
      </c>
      <c r="B2993">
        <v>172</v>
      </c>
      <c r="C2993">
        <v>4</v>
      </c>
      <c r="D2993">
        <v>2817</v>
      </c>
      <c r="E2993" t="s">
        <v>651</v>
      </c>
      <c r="F2993">
        <v>3.69</v>
      </c>
      <c r="G2993" t="s">
        <v>623</v>
      </c>
      <c r="H2993" s="1">
        <v>46290.366527777776</v>
      </c>
      <c r="I2993" t="s">
        <v>642</v>
      </c>
      <c r="J2993">
        <v>3.69</v>
      </c>
      <c r="K2993">
        <v>0</v>
      </c>
    </row>
    <row r="2994" spans="1:11" x14ac:dyDescent="0.3">
      <c r="A2994">
        <v>2993</v>
      </c>
      <c r="B2994">
        <v>145</v>
      </c>
      <c r="C2994">
        <v>4</v>
      </c>
      <c r="D2994">
        <v>2818</v>
      </c>
      <c r="E2994" t="s">
        <v>651</v>
      </c>
      <c r="F2994">
        <v>26.74</v>
      </c>
      <c r="G2994" t="s">
        <v>623</v>
      </c>
      <c r="H2994" s="1">
        <v>46290.372141203705</v>
      </c>
      <c r="I2994" t="s">
        <v>642</v>
      </c>
      <c r="J2994">
        <v>26.74</v>
      </c>
      <c r="K2994">
        <v>0</v>
      </c>
    </row>
    <row r="2995" spans="1:11" x14ac:dyDescent="0.3">
      <c r="A2995">
        <v>2994</v>
      </c>
      <c r="B2995">
        <v>277</v>
      </c>
      <c r="C2995">
        <v>5</v>
      </c>
      <c r="D2995">
        <v>2819</v>
      </c>
      <c r="E2995" t="s">
        <v>651</v>
      </c>
      <c r="F2995">
        <v>7.29</v>
      </c>
      <c r="G2995" t="s">
        <v>623</v>
      </c>
      <c r="H2995" s="1">
        <v>46290.407673611109</v>
      </c>
      <c r="I2995" t="s">
        <v>642</v>
      </c>
      <c r="J2995">
        <v>7.29</v>
      </c>
      <c r="K2995">
        <v>0</v>
      </c>
    </row>
    <row r="2996" spans="1:11" x14ac:dyDescent="0.3">
      <c r="A2996">
        <v>2995</v>
      </c>
      <c r="B2996">
        <v>128</v>
      </c>
      <c r="C2996">
        <v>2</v>
      </c>
      <c r="D2996">
        <v>2820</v>
      </c>
      <c r="E2996" t="s">
        <v>651</v>
      </c>
      <c r="F2996">
        <v>1.28</v>
      </c>
      <c r="G2996" t="s">
        <v>623</v>
      </c>
      <c r="H2996" s="1">
        <v>46290.582442129627</v>
      </c>
      <c r="I2996" t="s">
        <v>642</v>
      </c>
      <c r="J2996">
        <v>1.28</v>
      </c>
      <c r="K2996">
        <v>0</v>
      </c>
    </row>
    <row r="2997" spans="1:11" x14ac:dyDescent="0.3">
      <c r="A2997">
        <v>2996</v>
      </c>
      <c r="B2997">
        <v>134</v>
      </c>
      <c r="C2997">
        <v>4</v>
      </c>
      <c r="D2997">
        <v>2821</v>
      </c>
      <c r="E2997" t="s">
        <v>651</v>
      </c>
      <c r="F2997">
        <v>4.3899999999999997</v>
      </c>
      <c r="G2997" t="s">
        <v>623</v>
      </c>
      <c r="H2997" s="1">
        <v>46290.69153935185</v>
      </c>
      <c r="I2997" t="s">
        <v>642</v>
      </c>
      <c r="J2997">
        <v>4.3899999999999997</v>
      </c>
      <c r="K2997">
        <v>0</v>
      </c>
    </row>
    <row r="2998" spans="1:11" x14ac:dyDescent="0.3">
      <c r="A2998">
        <v>2997</v>
      </c>
      <c r="B2998">
        <v>128</v>
      </c>
      <c r="C2998">
        <v>3</v>
      </c>
      <c r="D2998">
        <v>2822</v>
      </c>
      <c r="E2998" t="s">
        <v>651</v>
      </c>
      <c r="F2998">
        <v>1.78</v>
      </c>
      <c r="G2998" t="s">
        <v>623</v>
      </c>
      <c r="H2998" s="1">
        <v>46290.724409722221</v>
      </c>
      <c r="I2998" t="s">
        <v>642</v>
      </c>
      <c r="J2998">
        <v>1.78</v>
      </c>
      <c r="K2998">
        <v>0</v>
      </c>
    </row>
    <row r="2999" spans="1:11" x14ac:dyDescent="0.3">
      <c r="A2999">
        <v>2998</v>
      </c>
      <c r="B2999">
        <v>59</v>
      </c>
      <c r="C2999">
        <v>3</v>
      </c>
      <c r="D2999">
        <v>2823</v>
      </c>
      <c r="E2999" t="s">
        <v>651</v>
      </c>
      <c r="F2999">
        <v>3.73</v>
      </c>
      <c r="G2999" t="s">
        <v>623</v>
      </c>
      <c r="H2999" s="1">
        <v>46291.412858796299</v>
      </c>
      <c r="I2999" t="s">
        <v>642</v>
      </c>
      <c r="J2999">
        <v>3.73</v>
      </c>
      <c r="K2999">
        <v>0</v>
      </c>
    </row>
    <row r="3000" spans="1:11" x14ac:dyDescent="0.3">
      <c r="A3000">
        <v>2999</v>
      </c>
      <c r="B3000">
        <v>75</v>
      </c>
      <c r="C3000">
        <v>3</v>
      </c>
      <c r="D3000">
        <v>2824</v>
      </c>
      <c r="E3000" t="s">
        <v>651</v>
      </c>
      <c r="F3000">
        <v>5.94</v>
      </c>
      <c r="G3000" t="s">
        <v>623</v>
      </c>
      <c r="H3000" s="1">
        <v>46291.42931712963</v>
      </c>
      <c r="I3000" t="s">
        <v>642</v>
      </c>
      <c r="J3000">
        <v>5.94</v>
      </c>
      <c r="K3000">
        <v>0</v>
      </c>
    </row>
    <row r="3001" spans="1:11" x14ac:dyDescent="0.3">
      <c r="A3001">
        <v>3000</v>
      </c>
      <c r="B3001">
        <v>128</v>
      </c>
      <c r="C3001">
        <v>3</v>
      </c>
      <c r="D3001">
        <v>2825</v>
      </c>
      <c r="E3001" t="s">
        <v>651</v>
      </c>
      <c r="F3001">
        <v>3.74</v>
      </c>
      <c r="G3001" t="s">
        <v>623</v>
      </c>
      <c r="H3001" s="1">
        <v>46291.758796296293</v>
      </c>
      <c r="I3001" t="s">
        <v>642</v>
      </c>
      <c r="J3001">
        <v>3.74</v>
      </c>
      <c r="K3001">
        <v>0</v>
      </c>
    </row>
    <row r="3002" spans="1:11" x14ac:dyDescent="0.3">
      <c r="A3002">
        <v>3001</v>
      </c>
      <c r="B3002">
        <v>128</v>
      </c>
      <c r="C3002">
        <v>2</v>
      </c>
      <c r="D3002">
        <v>2826</v>
      </c>
      <c r="E3002" t="s">
        <v>651</v>
      </c>
      <c r="F3002">
        <v>2.35</v>
      </c>
      <c r="G3002" t="s">
        <v>623</v>
      </c>
      <c r="H3002" s="1">
        <v>46292.342430555553</v>
      </c>
      <c r="I3002" t="s">
        <v>642</v>
      </c>
      <c r="J3002">
        <v>2.35</v>
      </c>
      <c r="K3002">
        <v>0</v>
      </c>
    </row>
    <row r="3003" spans="1:11" x14ac:dyDescent="0.3">
      <c r="A3003">
        <v>3002</v>
      </c>
      <c r="B3003">
        <v>246</v>
      </c>
      <c r="C3003">
        <v>4</v>
      </c>
      <c r="D3003">
        <v>2827</v>
      </c>
      <c r="E3003" t="s">
        <v>651</v>
      </c>
      <c r="F3003">
        <v>2.72</v>
      </c>
      <c r="G3003" t="s">
        <v>623</v>
      </c>
      <c r="H3003" s="1">
        <v>46292.343090277776</v>
      </c>
      <c r="I3003" t="s">
        <v>642</v>
      </c>
      <c r="J3003">
        <v>2.72</v>
      </c>
      <c r="K3003">
        <v>0</v>
      </c>
    </row>
    <row r="3004" spans="1:11" x14ac:dyDescent="0.3">
      <c r="A3004">
        <v>3003</v>
      </c>
      <c r="B3004">
        <v>146</v>
      </c>
      <c r="C3004">
        <v>4</v>
      </c>
      <c r="D3004">
        <v>2828</v>
      </c>
      <c r="E3004" t="s">
        <v>651</v>
      </c>
      <c r="F3004">
        <v>2.66</v>
      </c>
      <c r="G3004" t="s">
        <v>623</v>
      </c>
      <c r="H3004" s="1">
        <v>46292.52553240741</v>
      </c>
      <c r="I3004" t="s">
        <v>642</v>
      </c>
      <c r="J3004">
        <v>2.66</v>
      </c>
      <c r="K3004">
        <v>0</v>
      </c>
    </row>
    <row r="3005" spans="1:11" x14ac:dyDescent="0.3">
      <c r="A3005">
        <v>3004</v>
      </c>
      <c r="B3005">
        <v>128</v>
      </c>
      <c r="C3005">
        <v>2</v>
      </c>
      <c r="D3005">
        <v>2829</v>
      </c>
      <c r="E3005" t="s">
        <v>651</v>
      </c>
      <c r="F3005">
        <v>3.58</v>
      </c>
      <c r="G3005" t="s">
        <v>623</v>
      </c>
      <c r="H3005" s="1">
        <v>46292.774918981479</v>
      </c>
      <c r="I3005" t="s">
        <v>642</v>
      </c>
      <c r="J3005">
        <v>3.58</v>
      </c>
      <c r="K3005">
        <v>0</v>
      </c>
    </row>
    <row r="3006" spans="1:11" x14ac:dyDescent="0.3">
      <c r="A3006">
        <v>3005</v>
      </c>
      <c r="B3006">
        <v>250</v>
      </c>
      <c r="C3006">
        <v>3</v>
      </c>
      <c r="D3006">
        <v>2830</v>
      </c>
      <c r="E3006" t="s">
        <v>657</v>
      </c>
      <c r="F3006">
        <v>86.01</v>
      </c>
      <c r="G3006" t="s">
        <v>623</v>
      </c>
      <c r="H3006" s="1">
        <v>46293.307233796295</v>
      </c>
      <c r="I3006" t="s">
        <v>642</v>
      </c>
      <c r="J3006">
        <v>0</v>
      </c>
      <c r="K3006">
        <v>86.01</v>
      </c>
    </row>
    <row r="3007" spans="1:11" x14ac:dyDescent="0.3">
      <c r="A3007">
        <v>3006</v>
      </c>
      <c r="B3007">
        <v>87</v>
      </c>
      <c r="C3007">
        <v>4</v>
      </c>
      <c r="D3007">
        <v>2831</v>
      </c>
      <c r="E3007" t="s">
        <v>651</v>
      </c>
      <c r="F3007">
        <v>9.33</v>
      </c>
      <c r="G3007" t="s">
        <v>623</v>
      </c>
      <c r="H3007" s="1">
        <v>46293.325358796297</v>
      </c>
      <c r="I3007" t="s">
        <v>642</v>
      </c>
      <c r="J3007">
        <v>9.33</v>
      </c>
      <c r="K3007">
        <v>0</v>
      </c>
    </row>
    <row r="3008" spans="1:11" x14ac:dyDescent="0.3">
      <c r="A3008">
        <v>3007</v>
      </c>
      <c r="B3008">
        <v>134</v>
      </c>
      <c r="C3008">
        <v>2</v>
      </c>
      <c r="D3008">
        <v>2832</v>
      </c>
      <c r="E3008" t="s">
        <v>651</v>
      </c>
      <c r="F3008">
        <v>4.9400000000000004</v>
      </c>
      <c r="G3008" t="s">
        <v>623</v>
      </c>
      <c r="H3008" s="1">
        <v>46293.346770833334</v>
      </c>
      <c r="I3008" t="s">
        <v>642</v>
      </c>
      <c r="J3008">
        <v>4.9400000000000004</v>
      </c>
      <c r="K3008">
        <v>0</v>
      </c>
    </row>
    <row r="3009" spans="1:11" x14ac:dyDescent="0.3">
      <c r="A3009">
        <v>3008</v>
      </c>
      <c r="B3009">
        <v>134</v>
      </c>
      <c r="C3009">
        <v>3</v>
      </c>
      <c r="D3009">
        <v>2833</v>
      </c>
      <c r="E3009" t="s">
        <v>651</v>
      </c>
      <c r="F3009">
        <v>5.72</v>
      </c>
      <c r="G3009" t="s">
        <v>623</v>
      </c>
      <c r="H3009" s="1">
        <v>46293.351273148146</v>
      </c>
      <c r="I3009" t="s">
        <v>642</v>
      </c>
      <c r="J3009">
        <v>5.72</v>
      </c>
      <c r="K3009">
        <v>0</v>
      </c>
    </row>
    <row r="3010" spans="1:11" x14ac:dyDescent="0.3">
      <c r="A3010">
        <v>3009</v>
      </c>
      <c r="B3010">
        <v>134</v>
      </c>
      <c r="C3010">
        <v>3</v>
      </c>
      <c r="D3010">
        <v>2834</v>
      </c>
      <c r="E3010" t="s">
        <v>651</v>
      </c>
      <c r="F3010">
        <v>7.24</v>
      </c>
      <c r="G3010" t="s">
        <v>623</v>
      </c>
      <c r="H3010" s="1">
        <v>46293.373564814814</v>
      </c>
      <c r="I3010" t="s">
        <v>642</v>
      </c>
      <c r="J3010">
        <v>7.24</v>
      </c>
      <c r="K3010">
        <v>0</v>
      </c>
    </row>
    <row r="3011" spans="1:11" x14ac:dyDescent="0.3">
      <c r="A3011">
        <v>3010</v>
      </c>
      <c r="B3011">
        <v>285</v>
      </c>
      <c r="C3011">
        <v>2</v>
      </c>
      <c r="D3011">
        <v>2835</v>
      </c>
      <c r="E3011" t="s">
        <v>651</v>
      </c>
      <c r="F3011">
        <v>4.4000000000000004</v>
      </c>
      <c r="G3011" t="s">
        <v>623</v>
      </c>
      <c r="H3011" s="1">
        <v>46293.395972222221</v>
      </c>
      <c r="I3011" t="s">
        <v>642</v>
      </c>
      <c r="J3011">
        <v>4.4000000000000004</v>
      </c>
      <c r="K3011">
        <v>0</v>
      </c>
    </row>
    <row r="3012" spans="1:11" x14ac:dyDescent="0.3">
      <c r="A3012">
        <v>3011</v>
      </c>
      <c r="B3012">
        <v>48</v>
      </c>
      <c r="C3012">
        <v>5</v>
      </c>
      <c r="D3012">
        <v>2836</v>
      </c>
      <c r="E3012" t="s">
        <v>651</v>
      </c>
      <c r="F3012">
        <v>9.64</v>
      </c>
      <c r="G3012" t="s">
        <v>623</v>
      </c>
      <c r="H3012" s="1">
        <v>46293.401944444442</v>
      </c>
      <c r="I3012" t="s">
        <v>642</v>
      </c>
      <c r="J3012">
        <v>9.64</v>
      </c>
      <c r="K3012">
        <v>0</v>
      </c>
    </row>
    <row r="3013" spans="1:11" x14ac:dyDescent="0.3">
      <c r="A3013">
        <v>3012</v>
      </c>
      <c r="B3013">
        <v>225</v>
      </c>
      <c r="C3013">
        <v>3</v>
      </c>
      <c r="D3013">
        <v>2837</v>
      </c>
      <c r="E3013" t="s">
        <v>651</v>
      </c>
      <c r="F3013">
        <v>2.04</v>
      </c>
      <c r="G3013" t="s">
        <v>623</v>
      </c>
      <c r="H3013" s="1">
        <v>46293.46665509259</v>
      </c>
      <c r="I3013" t="s">
        <v>642</v>
      </c>
      <c r="J3013">
        <v>2.04</v>
      </c>
      <c r="K3013">
        <v>0</v>
      </c>
    </row>
    <row r="3014" spans="1:11" x14ac:dyDescent="0.3">
      <c r="A3014">
        <v>3013</v>
      </c>
      <c r="B3014">
        <v>220</v>
      </c>
      <c r="C3014">
        <v>4</v>
      </c>
      <c r="D3014">
        <v>2838</v>
      </c>
      <c r="E3014" t="s">
        <v>651</v>
      </c>
      <c r="F3014">
        <v>3.83</v>
      </c>
      <c r="G3014" t="s">
        <v>623</v>
      </c>
      <c r="H3014" s="1">
        <v>46293.732048611113</v>
      </c>
      <c r="I3014" t="s">
        <v>642</v>
      </c>
      <c r="J3014">
        <v>3.83</v>
      </c>
      <c r="K3014">
        <v>0</v>
      </c>
    </row>
    <row r="3015" spans="1:11" x14ac:dyDescent="0.3">
      <c r="A3015">
        <v>3014</v>
      </c>
      <c r="B3015">
        <v>250</v>
      </c>
      <c r="C3015">
        <v>3</v>
      </c>
      <c r="D3015">
        <v>2839</v>
      </c>
      <c r="E3015" t="s">
        <v>651</v>
      </c>
      <c r="F3015">
        <v>11.19</v>
      </c>
      <c r="G3015" t="s">
        <v>623</v>
      </c>
      <c r="H3015" s="1">
        <v>46293.800104166665</v>
      </c>
      <c r="I3015" t="s">
        <v>642</v>
      </c>
      <c r="J3015">
        <v>11.19</v>
      </c>
      <c r="K3015">
        <v>0</v>
      </c>
    </row>
    <row r="3016" spans="1:11" x14ac:dyDescent="0.3">
      <c r="A3016">
        <v>3015</v>
      </c>
      <c r="B3016">
        <v>128</v>
      </c>
      <c r="C3016">
        <v>2</v>
      </c>
      <c r="D3016">
        <v>2840</v>
      </c>
      <c r="E3016" t="s">
        <v>651</v>
      </c>
      <c r="F3016">
        <v>2.58</v>
      </c>
      <c r="G3016" t="s">
        <v>623</v>
      </c>
      <c r="H3016" s="1">
        <v>46293.814016203702</v>
      </c>
      <c r="I3016" t="s">
        <v>642</v>
      </c>
      <c r="J3016">
        <v>2.58</v>
      </c>
      <c r="K3016">
        <v>0</v>
      </c>
    </row>
    <row r="3017" spans="1:11" x14ac:dyDescent="0.3">
      <c r="A3017">
        <v>3016</v>
      </c>
      <c r="B3017">
        <v>297</v>
      </c>
      <c r="C3017">
        <v>2</v>
      </c>
      <c r="D3017">
        <v>2841</v>
      </c>
      <c r="E3017" t="s">
        <v>651</v>
      </c>
      <c r="F3017">
        <v>6.05</v>
      </c>
      <c r="G3017" t="s">
        <v>623</v>
      </c>
      <c r="H3017" s="1">
        <v>46294.347511574073</v>
      </c>
      <c r="I3017" t="s">
        <v>642</v>
      </c>
      <c r="J3017">
        <v>6.05</v>
      </c>
      <c r="K3017">
        <v>0</v>
      </c>
    </row>
    <row r="3018" spans="1:11" x14ac:dyDescent="0.3">
      <c r="A3018">
        <v>3017</v>
      </c>
      <c r="B3018">
        <v>65</v>
      </c>
      <c r="C3018">
        <v>3</v>
      </c>
      <c r="D3018">
        <v>2842</v>
      </c>
      <c r="E3018" t="s">
        <v>651</v>
      </c>
      <c r="F3018">
        <v>2.2599999999999998</v>
      </c>
      <c r="G3018" t="s">
        <v>623</v>
      </c>
      <c r="H3018" s="1">
        <v>46294.400555555556</v>
      </c>
      <c r="I3018" t="s">
        <v>642</v>
      </c>
      <c r="J3018">
        <v>2.2599999999999998</v>
      </c>
      <c r="K3018">
        <v>0</v>
      </c>
    </row>
    <row r="3019" spans="1:11" x14ac:dyDescent="0.3">
      <c r="A3019">
        <v>3018</v>
      </c>
      <c r="B3019">
        <v>128</v>
      </c>
      <c r="C3019">
        <v>3</v>
      </c>
      <c r="D3019">
        <v>2843</v>
      </c>
      <c r="E3019" t="s">
        <v>651</v>
      </c>
      <c r="F3019">
        <v>2.56</v>
      </c>
      <c r="G3019" t="s">
        <v>623</v>
      </c>
      <c r="H3019" s="1">
        <v>46294.41747685185</v>
      </c>
      <c r="I3019" t="s">
        <v>642</v>
      </c>
      <c r="J3019">
        <v>2.56</v>
      </c>
      <c r="K3019">
        <v>0</v>
      </c>
    </row>
    <row r="3020" spans="1:11" x14ac:dyDescent="0.3">
      <c r="A3020">
        <v>3019</v>
      </c>
      <c r="B3020">
        <v>285</v>
      </c>
      <c r="C3020">
        <v>4</v>
      </c>
      <c r="D3020">
        <v>2844</v>
      </c>
      <c r="E3020" t="s">
        <v>651</v>
      </c>
      <c r="F3020">
        <v>2.3199999999999998</v>
      </c>
      <c r="G3020" t="s">
        <v>623</v>
      </c>
      <c r="H3020" s="1">
        <v>46294.447002314817</v>
      </c>
      <c r="I3020" t="s">
        <v>642</v>
      </c>
      <c r="J3020">
        <v>2.3199999999999998</v>
      </c>
      <c r="K3020">
        <v>0</v>
      </c>
    </row>
    <row r="3021" spans="1:11" x14ac:dyDescent="0.3">
      <c r="A3021">
        <v>3020</v>
      </c>
      <c r="B3021">
        <v>284</v>
      </c>
      <c r="C3021">
        <v>3</v>
      </c>
      <c r="D3021">
        <v>2845</v>
      </c>
      <c r="E3021" t="s">
        <v>651</v>
      </c>
      <c r="F3021">
        <v>1.91</v>
      </c>
      <c r="G3021" t="s">
        <v>623</v>
      </c>
      <c r="H3021" s="1">
        <v>46294.56758101852</v>
      </c>
      <c r="I3021" t="s">
        <v>642</v>
      </c>
      <c r="J3021">
        <v>1.91</v>
      </c>
      <c r="K3021">
        <v>0</v>
      </c>
    </row>
    <row r="3022" spans="1:11" x14ac:dyDescent="0.3">
      <c r="A3022">
        <v>3021</v>
      </c>
      <c r="B3022">
        <v>128</v>
      </c>
      <c r="C3022">
        <v>5</v>
      </c>
      <c r="D3022">
        <v>2846</v>
      </c>
      <c r="E3022" t="s">
        <v>651</v>
      </c>
      <c r="F3022">
        <v>2.1800000000000002</v>
      </c>
      <c r="G3022" t="s">
        <v>623</v>
      </c>
      <c r="H3022" s="1">
        <v>46294.586909722224</v>
      </c>
      <c r="I3022" t="s">
        <v>642</v>
      </c>
      <c r="J3022">
        <v>2.1800000000000002</v>
      </c>
      <c r="K3022">
        <v>0</v>
      </c>
    </row>
    <row r="3023" spans="1:11" x14ac:dyDescent="0.3">
      <c r="A3023">
        <v>3022</v>
      </c>
      <c r="B3023">
        <v>229</v>
      </c>
      <c r="C3023">
        <v>3</v>
      </c>
      <c r="D3023">
        <v>2847</v>
      </c>
      <c r="E3023" t="s">
        <v>651</v>
      </c>
      <c r="F3023">
        <v>11.01</v>
      </c>
      <c r="G3023" t="s">
        <v>623</v>
      </c>
      <c r="H3023" s="1">
        <v>46294.694074074076</v>
      </c>
      <c r="I3023" t="s">
        <v>642</v>
      </c>
      <c r="J3023">
        <v>11.01</v>
      </c>
      <c r="K3023">
        <v>0</v>
      </c>
    </row>
    <row r="3024" spans="1:11" x14ac:dyDescent="0.3">
      <c r="A3024">
        <v>3023</v>
      </c>
      <c r="B3024">
        <v>134</v>
      </c>
      <c r="C3024">
        <v>4</v>
      </c>
      <c r="D3024">
        <v>2848</v>
      </c>
      <c r="E3024" t="s">
        <v>651</v>
      </c>
      <c r="F3024">
        <v>8.2100000000000009</v>
      </c>
      <c r="G3024" t="s">
        <v>623</v>
      </c>
      <c r="H3024" s="1">
        <v>46294.707349537035</v>
      </c>
      <c r="I3024" t="s">
        <v>642</v>
      </c>
      <c r="J3024">
        <v>8.2100000000000009</v>
      </c>
      <c r="K3024">
        <v>0</v>
      </c>
    </row>
    <row r="3025" spans="1:11" x14ac:dyDescent="0.3">
      <c r="A3025">
        <v>3024</v>
      </c>
      <c r="B3025">
        <v>134</v>
      </c>
      <c r="C3025">
        <v>2</v>
      </c>
      <c r="D3025">
        <v>2849</v>
      </c>
      <c r="E3025" t="s">
        <v>651</v>
      </c>
      <c r="F3025">
        <v>8.06</v>
      </c>
      <c r="G3025" t="s">
        <v>623</v>
      </c>
      <c r="H3025" s="1">
        <v>46294.730358796296</v>
      </c>
      <c r="I3025" t="s">
        <v>642</v>
      </c>
      <c r="J3025">
        <v>8.06</v>
      </c>
      <c r="K3025">
        <v>0</v>
      </c>
    </row>
    <row r="3026" spans="1:11" x14ac:dyDescent="0.3">
      <c r="A3026">
        <v>3025</v>
      </c>
      <c r="B3026">
        <v>74</v>
      </c>
      <c r="C3026">
        <v>3</v>
      </c>
      <c r="D3026">
        <v>2850</v>
      </c>
      <c r="E3026" t="s">
        <v>651</v>
      </c>
      <c r="F3026">
        <v>11.82</v>
      </c>
      <c r="G3026" t="s">
        <v>623</v>
      </c>
      <c r="H3026" s="1">
        <v>46294.765532407408</v>
      </c>
      <c r="I3026" t="s">
        <v>642</v>
      </c>
      <c r="J3026">
        <v>11.82</v>
      </c>
      <c r="K3026">
        <v>0</v>
      </c>
    </row>
    <row r="3027" spans="1:11" x14ac:dyDescent="0.3">
      <c r="A3027">
        <v>3026</v>
      </c>
      <c r="B3027">
        <v>285</v>
      </c>
      <c r="C3027">
        <v>3</v>
      </c>
      <c r="D3027">
        <v>2851</v>
      </c>
      <c r="E3027" t="s">
        <v>651</v>
      </c>
      <c r="F3027">
        <v>3.45</v>
      </c>
      <c r="G3027" t="s">
        <v>623</v>
      </c>
      <c r="H3027" s="1">
        <v>46295.304884259262</v>
      </c>
      <c r="I3027" t="s">
        <v>642</v>
      </c>
      <c r="J3027">
        <v>3.45</v>
      </c>
      <c r="K3027">
        <v>0</v>
      </c>
    </row>
    <row r="3028" spans="1:11" x14ac:dyDescent="0.3">
      <c r="A3028">
        <v>3027</v>
      </c>
      <c r="B3028">
        <v>128</v>
      </c>
      <c r="C3028">
        <v>5</v>
      </c>
      <c r="D3028">
        <v>2852</v>
      </c>
      <c r="E3028" t="s">
        <v>651</v>
      </c>
      <c r="F3028">
        <v>2.33</v>
      </c>
      <c r="G3028" t="s">
        <v>623</v>
      </c>
      <c r="H3028" s="1">
        <v>46295.308923611112</v>
      </c>
      <c r="I3028" t="s">
        <v>642</v>
      </c>
      <c r="J3028">
        <v>2.33</v>
      </c>
      <c r="K3028">
        <v>0</v>
      </c>
    </row>
    <row r="3029" spans="1:11" x14ac:dyDescent="0.3">
      <c r="A3029">
        <v>3028</v>
      </c>
      <c r="B3029">
        <v>134</v>
      </c>
      <c r="C3029">
        <v>4</v>
      </c>
      <c r="D3029">
        <v>2853</v>
      </c>
      <c r="E3029" t="s">
        <v>651</v>
      </c>
      <c r="F3029">
        <v>10.56</v>
      </c>
      <c r="G3029" t="s">
        <v>623</v>
      </c>
      <c r="H3029" s="1">
        <v>46295.350011574075</v>
      </c>
      <c r="I3029" t="s">
        <v>642</v>
      </c>
      <c r="J3029">
        <v>10.56</v>
      </c>
      <c r="K3029">
        <v>0</v>
      </c>
    </row>
    <row r="3030" spans="1:11" x14ac:dyDescent="0.3">
      <c r="A3030">
        <v>3029</v>
      </c>
      <c r="B3030">
        <v>134</v>
      </c>
      <c r="C3030">
        <v>4</v>
      </c>
      <c r="D3030">
        <v>2854</v>
      </c>
      <c r="E3030" t="s">
        <v>651</v>
      </c>
      <c r="F3030">
        <v>7.8</v>
      </c>
      <c r="G3030" t="s">
        <v>623</v>
      </c>
      <c r="H3030" s="1">
        <v>46295.372361111113</v>
      </c>
      <c r="I3030" t="s">
        <v>642</v>
      </c>
      <c r="J3030">
        <v>7.8</v>
      </c>
      <c r="K3030">
        <v>0</v>
      </c>
    </row>
    <row r="3031" spans="1:11" x14ac:dyDescent="0.3">
      <c r="A3031">
        <v>3030</v>
      </c>
      <c r="B3031">
        <v>134</v>
      </c>
      <c r="C3031">
        <v>5</v>
      </c>
      <c r="D3031">
        <v>2855</v>
      </c>
      <c r="E3031" t="s">
        <v>657</v>
      </c>
      <c r="F3031">
        <v>73.680000000000007</v>
      </c>
      <c r="G3031" t="s">
        <v>623</v>
      </c>
      <c r="H3031" s="1">
        <v>46295.497187499997</v>
      </c>
      <c r="I3031" t="s">
        <v>642</v>
      </c>
      <c r="J3031">
        <v>0</v>
      </c>
      <c r="K3031">
        <v>73.680000000000007</v>
      </c>
    </row>
    <row r="3032" spans="1:11" x14ac:dyDescent="0.3">
      <c r="A3032">
        <v>3031</v>
      </c>
      <c r="B3032">
        <v>250</v>
      </c>
      <c r="C3032">
        <v>4</v>
      </c>
      <c r="D3032">
        <v>2856</v>
      </c>
      <c r="E3032" t="s">
        <v>651</v>
      </c>
      <c r="F3032">
        <v>7.77</v>
      </c>
      <c r="G3032" t="s">
        <v>623</v>
      </c>
      <c r="H3032" s="1">
        <v>46295.65357638889</v>
      </c>
      <c r="I3032" t="s">
        <v>642</v>
      </c>
      <c r="J3032">
        <v>7.77</v>
      </c>
      <c r="K3032">
        <v>0</v>
      </c>
    </row>
    <row r="3033" spans="1:11" x14ac:dyDescent="0.3">
      <c r="A3033">
        <v>3032</v>
      </c>
      <c r="B3033">
        <v>65</v>
      </c>
      <c r="C3033">
        <v>4</v>
      </c>
      <c r="D3033">
        <v>2842</v>
      </c>
      <c r="E3033" t="s">
        <v>649</v>
      </c>
      <c r="F3033">
        <v>-2.2599999999999998</v>
      </c>
      <c r="G3033" t="s">
        <v>772</v>
      </c>
      <c r="H3033" s="1">
        <v>46295.69222222222</v>
      </c>
      <c r="I3033" t="s">
        <v>642</v>
      </c>
      <c r="J3033">
        <v>0</v>
      </c>
      <c r="K3033">
        <v>0</v>
      </c>
    </row>
    <row r="3034" spans="1:11" x14ac:dyDescent="0.3">
      <c r="A3034">
        <v>3033</v>
      </c>
      <c r="B3034">
        <v>208</v>
      </c>
      <c r="C3034">
        <v>3</v>
      </c>
      <c r="D3034">
        <v>2857</v>
      </c>
      <c r="E3034" t="s">
        <v>651</v>
      </c>
      <c r="F3034">
        <v>2.4</v>
      </c>
      <c r="G3034" t="s">
        <v>623</v>
      </c>
      <c r="H3034" s="1">
        <v>46295.754236111112</v>
      </c>
      <c r="I3034" t="s">
        <v>642</v>
      </c>
      <c r="J3034">
        <v>2.4</v>
      </c>
      <c r="K3034">
        <v>0</v>
      </c>
    </row>
    <row r="3035" spans="1:11" x14ac:dyDescent="0.3">
      <c r="A3035">
        <v>3034</v>
      </c>
      <c r="B3035">
        <v>22</v>
      </c>
      <c r="C3035">
        <v>5</v>
      </c>
      <c r="D3035">
        <v>2858</v>
      </c>
      <c r="E3035" t="s">
        <v>651</v>
      </c>
      <c r="F3035">
        <v>4.5599999999999996</v>
      </c>
      <c r="G3035" t="s">
        <v>623</v>
      </c>
      <c r="H3035" s="1">
        <v>46296.418124999997</v>
      </c>
      <c r="I3035" t="s">
        <v>643</v>
      </c>
      <c r="J3035">
        <v>4.5599999999999996</v>
      </c>
      <c r="K3035">
        <v>0</v>
      </c>
    </row>
    <row r="3036" spans="1:11" x14ac:dyDescent="0.3">
      <c r="A3036">
        <v>3035</v>
      </c>
      <c r="B3036">
        <v>243</v>
      </c>
      <c r="C3036">
        <v>2</v>
      </c>
      <c r="D3036">
        <v>2859</v>
      </c>
      <c r="E3036" t="s">
        <v>651</v>
      </c>
      <c r="F3036">
        <v>4.21</v>
      </c>
      <c r="G3036" t="s">
        <v>623</v>
      </c>
      <c r="H3036" s="1">
        <v>46296.444027777776</v>
      </c>
      <c r="I3036" t="s">
        <v>643</v>
      </c>
      <c r="J3036">
        <v>4.21</v>
      </c>
      <c r="K3036">
        <v>0</v>
      </c>
    </row>
    <row r="3037" spans="1:11" x14ac:dyDescent="0.3">
      <c r="A3037">
        <v>3036</v>
      </c>
      <c r="B3037">
        <v>220</v>
      </c>
      <c r="C3037">
        <v>2</v>
      </c>
      <c r="D3037">
        <v>2860</v>
      </c>
      <c r="E3037" t="s">
        <v>651</v>
      </c>
      <c r="F3037">
        <v>4.24</v>
      </c>
      <c r="G3037" t="s">
        <v>623</v>
      </c>
      <c r="H3037" s="1">
        <v>46296.47420138889</v>
      </c>
      <c r="I3037" t="s">
        <v>643</v>
      </c>
      <c r="J3037">
        <v>4.24</v>
      </c>
      <c r="K3037">
        <v>0</v>
      </c>
    </row>
    <row r="3038" spans="1:11" x14ac:dyDescent="0.3">
      <c r="A3038">
        <v>3037</v>
      </c>
      <c r="B3038">
        <v>75</v>
      </c>
      <c r="C3038">
        <v>5</v>
      </c>
      <c r="D3038">
        <v>2861</v>
      </c>
      <c r="E3038" t="s">
        <v>651</v>
      </c>
      <c r="F3038">
        <v>8.33</v>
      </c>
      <c r="G3038" t="s">
        <v>623</v>
      </c>
      <c r="H3038" s="1">
        <v>46296.536261574074</v>
      </c>
      <c r="I3038" t="s">
        <v>643</v>
      </c>
      <c r="J3038">
        <v>8.33</v>
      </c>
      <c r="K3038">
        <v>0</v>
      </c>
    </row>
    <row r="3039" spans="1:11" x14ac:dyDescent="0.3">
      <c r="A3039">
        <v>3038</v>
      </c>
      <c r="B3039">
        <v>161</v>
      </c>
      <c r="C3039">
        <v>5</v>
      </c>
      <c r="D3039">
        <v>2862</v>
      </c>
      <c r="E3039" t="s">
        <v>651</v>
      </c>
      <c r="F3039">
        <v>8.59</v>
      </c>
      <c r="G3039" t="s">
        <v>623</v>
      </c>
      <c r="H3039" s="1">
        <v>46296.598009259258</v>
      </c>
      <c r="I3039" t="s">
        <v>643</v>
      </c>
      <c r="J3039">
        <v>8.59</v>
      </c>
      <c r="K3039">
        <v>0</v>
      </c>
    </row>
    <row r="3040" spans="1:11" x14ac:dyDescent="0.3">
      <c r="A3040">
        <v>3039</v>
      </c>
      <c r="B3040">
        <v>293</v>
      </c>
      <c r="C3040">
        <v>4</v>
      </c>
      <c r="D3040">
        <v>2863</v>
      </c>
      <c r="E3040" t="s">
        <v>651</v>
      </c>
      <c r="F3040">
        <v>3.63</v>
      </c>
      <c r="G3040" t="s">
        <v>623</v>
      </c>
      <c r="H3040" s="1">
        <v>46296.744398148148</v>
      </c>
      <c r="I3040" t="s">
        <v>643</v>
      </c>
      <c r="J3040">
        <v>3.63</v>
      </c>
      <c r="K3040">
        <v>0</v>
      </c>
    </row>
    <row r="3041" spans="1:11" x14ac:dyDescent="0.3">
      <c r="A3041">
        <v>3040</v>
      </c>
      <c r="B3041">
        <v>194</v>
      </c>
      <c r="C3041">
        <v>2</v>
      </c>
      <c r="D3041">
        <v>2864</v>
      </c>
      <c r="E3041" t="s">
        <v>651</v>
      </c>
      <c r="F3041">
        <v>5.99</v>
      </c>
      <c r="G3041" t="s">
        <v>623</v>
      </c>
      <c r="H3041" s="1">
        <v>46296.76</v>
      </c>
      <c r="I3041" t="s">
        <v>643</v>
      </c>
      <c r="J3041">
        <v>5.99</v>
      </c>
      <c r="K3041">
        <v>0</v>
      </c>
    </row>
    <row r="3042" spans="1:11" x14ac:dyDescent="0.3">
      <c r="A3042">
        <v>3041</v>
      </c>
      <c r="B3042">
        <v>174</v>
      </c>
      <c r="C3042">
        <v>5</v>
      </c>
      <c r="D3042">
        <v>2865</v>
      </c>
      <c r="E3042" t="s">
        <v>651</v>
      </c>
      <c r="F3042">
        <v>2.98</v>
      </c>
      <c r="G3042" t="s">
        <v>623</v>
      </c>
      <c r="H3042" s="1">
        <v>46296.778923611113</v>
      </c>
      <c r="I3042" t="s">
        <v>643</v>
      </c>
      <c r="J3042">
        <v>2.98</v>
      </c>
      <c r="K3042">
        <v>0</v>
      </c>
    </row>
    <row r="3043" spans="1:11" x14ac:dyDescent="0.3">
      <c r="A3043">
        <v>3042</v>
      </c>
      <c r="B3043">
        <v>137</v>
      </c>
      <c r="C3043">
        <v>5</v>
      </c>
      <c r="D3043">
        <v>2866</v>
      </c>
      <c r="E3043" t="s">
        <v>651</v>
      </c>
      <c r="F3043">
        <v>3.92</v>
      </c>
      <c r="G3043" t="s">
        <v>623</v>
      </c>
      <c r="H3043" s="1">
        <v>46297.344317129631</v>
      </c>
      <c r="I3043" t="s">
        <v>643</v>
      </c>
      <c r="J3043">
        <v>3.92</v>
      </c>
      <c r="K3043">
        <v>0</v>
      </c>
    </row>
    <row r="3044" spans="1:11" x14ac:dyDescent="0.3">
      <c r="A3044">
        <v>3043</v>
      </c>
      <c r="B3044">
        <v>179</v>
      </c>
      <c r="C3044">
        <v>3</v>
      </c>
      <c r="D3044">
        <v>2867</v>
      </c>
      <c r="E3044" t="s">
        <v>651</v>
      </c>
      <c r="F3044">
        <v>12.99</v>
      </c>
      <c r="G3044" t="s">
        <v>623</v>
      </c>
      <c r="H3044" s="1">
        <v>46297.346006944441</v>
      </c>
      <c r="I3044" t="s">
        <v>643</v>
      </c>
      <c r="J3044">
        <v>12.99</v>
      </c>
      <c r="K3044">
        <v>0</v>
      </c>
    </row>
    <row r="3045" spans="1:11" x14ac:dyDescent="0.3">
      <c r="A3045">
        <v>3044</v>
      </c>
      <c r="B3045">
        <v>128</v>
      </c>
      <c r="C3045">
        <v>3</v>
      </c>
      <c r="D3045">
        <v>2868</v>
      </c>
      <c r="E3045" t="s">
        <v>651</v>
      </c>
      <c r="F3045">
        <v>2.7</v>
      </c>
      <c r="G3045" t="s">
        <v>623</v>
      </c>
      <c r="H3045" s="1">
        <v>46297.390243055554</v>
      </c>
      <c r="I3045" t="s">
        <v>643</v>
      </c>
      <c r="J3045">
        <v>2.7</v>
      </c>
      <c r="K3045">
        <v>0</v>
      </c>
    </row>
    <row r="3046" spans="1:11" x14ac:dyDescent="0.3">
      <c r="A3046">
        <v>3045</v>
      </c>
      <c r="B3046">
        <v>128</v>
      </c>
      <c r="C3046">
        <v>5</v>
      </c>
      <c r="D3046">
        <v>2869</v>
      </c>
      <c r="E3046" t="s">
        <v>651</v>
      </c>
      <c r="F3046">
        <v>5.82</v>
      </c>
      <c r="G3046" t="s">
        <v>623</v>
      </c>
      <c r="H3046" s="1">
        <v>46297.445798611108</v>
      </c>
      <c r="I3046" t="s">
        <v>643</v>
      </c>
      <c r="J3046">
        <v>5.82</v>
      </c>
      <c r="K3046">
        <v>0</v>
      </c>
    </row>
    <row r="3047" spans="1:11" x14ac:dyDescent="0.3">
      <c r="A3047">
        <v>3046</v>
      </c>
      <c r="B3047">
        <v>25</v>
      </c>
      <c r="C3047">
        <v>4</v>
      </c>
      <c r="D3047">
        <v>2870</v>
      </c>
      <c r="E3047" t="s">
        <v>657</v>
      </c>
      <c r="F3047">
        <v>48.43</v>
      </c>
      <c r="G3047" t="s">
        <v>623</v>
      </c>
      <c r="H3047" s="1">
        <v>46297.625972222224</v>
      </c>
      <c r="I3047" t="s">
        <v>643</v>
      </c>
      <c r="J3047">
        <v>0</v>
      </c>
      <c r="K3047">
        <v>48.43</v>
      </c>
    </row>
    <row r="3048" spans="1:11" x14ac:dyDescent="0.3">
      <c r="A3048">
        <v>3047</v>
      </c>
      <c r="B3048">
        <v>134</v>
      </c>
      <c r="C3048">
        <v>4</v>
      </c>
      <c r="D3048">
        <v>2871</v>
      </c>
      <c r="E3048" t="s">
        <v>651</v>
      </c>
      <c r="F3048">
        <v>8.07</v>
      </c>
      <c r="G3048" t="s">
        <v>623</v>
      </c>
      <c r="H3048" s="1">
        <v>46297.69798611111</v>
      </c>
      <c r="I3048" t="s">
        <v>643</v>
      </c>
      <c r="J3048">
        <v>8.07</v>
      </c>
      <c r="K3048">
        <v>0</v>
      </c>
    </row>
    <row r="3049" spans="1:11" x14ac:dyDescent="0.3">
      <c r="A3049">
        <v>3048</v>
      </c>
      <c r="B3049">
        <v>229</v>
      </c>
      <c r="C3049">
        <v>3</v>
      </c>
      <c r="D3049">
        <v>2872</v>
      </c>
      <c r="E3049" t="s">
        <v>651</v>
      </c>
      <c r="F3049">
        <v>12.28</v>
      </c>
      <c r="G3049" t="s">
        <v>623</v>
      </c>
      <c r="H3049" s="1">
        <v>46297.708414351851</v>
      </c>
      <c r="I3049" t="s">
        <v>643</v>
      </c>
      <c r="J3049">
        <v>12.28</v>
      </c>
      <c r="K3049">
        <v>0</v>
      </c>
    </row>
    <row r="3050" spans="1:11" x14ac:dyDescent="0.3">
      <c r="A3050">
        <v>3049</v>
      </c>
      <c r="B3050">
        <v>57</v>
      </c>
      <c r="C3050">
        <v>4</v>
      </c>
      <c r="D3050">
        <v>2873</v>
      </c>
      <c r="E3050" t="s">
        <v>651</v>
      </c>
      <c r="F3050">
        <v>8.99</v>
      </c>
      <c r="G3050" t="s">
        <v>623</v>
      </c>
      <c r="H3050" s="1">
        <v>46298.298067129632</v>
      </c>
      <c r="I3050" t="s">
        <v>643</v>
      </c>
      <c r="J3050">
        <v>8.99</v>
      </c>
      <c r="K3050">
        <v>0</v>
      </c>
    </row>
    <row r="3051" spans="1:11" x14ac:dyDescent="0.3">
      <c r="A3051">
        <v>3050</v>
      </c>
      <c r="B3051">
        <v>106</v>
      </c>
      <c r="C3051">
        <v>4</v>
      </c>
      <c r="D3051">
        <v>2874</v>
      </c>
      <c r="E3051" t="s">
        <v>651</v>
      </c>
      <c r="F3051">
        <v>10.49</v>
      </c>
      <c r="G3051" t="s">
        <v>623</v>
      </c>
      <c r="H3051" s="1">
        <v>46298.32849537037</v>
      </c>
      <c r="I3051" t="s">
        <v>643</v>
      </c>
      <c r="J3051">
        <v>10.49</v>
      </c>
      <c r="K3051">
        <v>0</v>
      </c>
    </row>
    <row r="3052" spans="1:11" x14ac:dyDescent="0.3">
      <c r="A3052">
        <v>3051</v>
      </c>
      <c r="B3052">
        <v>229</v>
      </c>
      <c r="C3052">
        <v>5</v>
      </c>
      <c r="D3052">
        <v>2875</v>
      </c>
      <c r="E3052" t="s">
        <v>657</v>
      </c>
      <c r="F3052">
        <v>111.03</v>
      </c>
      <c r="G3052" t="s">
        <v>623</v>
      </c>
      <c r="H3052" s="1">
        <v>46298.367939814816</v>
      </c>
      <c r="I3052" t="s">
        <v>643</v>
      </c>
      <c r="J3052">
        <v>0</v>
      </c>
      <c r="K3052">
        <v>111.03</v>
      </c>
    </row>
    <row r="3053" spans="1:11" x14ac:dyDescent="0.3">
      <c r="A3053">
        <v>3052</v>
      </c>
      <c r="B3053">
        <v>190</v>
      </c>
      <c r="C3053">
        <v>2</v>
      </c>
      <c r="D3053">
        <v>2876</v>
      </c>
      <c r="E3053" t="s">
        <v>651</v>
      </c>
      <c r="F3053">
        <v>19.329999999999998</v>
      </c>
      <c r="G3053" t="s">
        <v>623</v>
      </c>
      <c r="H3053" s="1">
        <v>46298.384618055556</v>
      </c>
      <c r="I3053" t="s">
        <v>643</v>
      </c>
      <c r="J3053">
        <v>19.329999999999998</v>
      </c>
      <c r="K3053">
        <v>0</v>
      </c>
    </row>
    <row r="3054" spans="1:11" x14ac:dyDescent="0.3">
      <c r="A3054">
        <v>3053</v>
      </c>
      <c r="B3054">
        <v>243</v>
      </c>
      <c r="C3054">
        <v>2</v>
      </c>
      <c r="D3054">
        <v>2877</v>
      </c>
      <c r="E3054" t="s">
        <v>651</v>
      </c>
      <c r="F3054">
        <v>2.67</v>
      </c>
      <c r="G3054" t="s">
        <v>623</v>
      </c>
      <c r="H3054" s="1">
        <v>46298.388553240744</v>
      </c>
      <c r="I3054" t="s">
        <v>643</v>
      </c>
      <c r="J3054">
        <v>2.67</v>
      </c>
      <c r="K3054">
        <v>0</v>
      </c>
    </row>
    <row r="3055" spans="1:11" x14ac:dyDescent="0.3">
      <c r="A3055">
        <v>3054</v>
      </c>
      <c r="B3055">
        <v>86</v>
      </c>
      <c r="C3055">
        <v>2</v>
      </c>
      <c r="D3055">
        <v>2878</v>
      </c>
      <c r="E3055" t="s">
        <v>651</v>
      </c>
      <c r="F3055">
        <v>2.4900000000000002</v>
      </c>
      <c r="G3055" t="s">
        <v>623</v>
      </c>
      <c r="H3055" s="1">
        <v>46298.431238425925</v>
      </c>
      <c r="I3055" t="s">
        <v>643</v>
      </c>
      <c r="J3055">
        <v>2.4900000000000002</v>
      </c>
      <c r="K3055">
        <v>0</v>
      </c>
    </row>
    <row r="3056" spans="1:11" x14ac:dyDescent="0.3">
      <c r="A3056">
        <v>3055</v>
      </c>
      <c r="B3056">
        <v>293</v>
      </c>
      <c r="C3056">
        <v>3</v>
      </c>
      <c r="D3056">
        <v>2879</v>
      </c>
      <c r="E3056" t="s">
        <v>651</v>
      </c>
      <c r="F3056">
        <v>3.12</v>
      </c>
      <c r="G3056" t="s">
        <v>623</v>
      </c>
      <c r="H3056" s="1">
        <v>46298.58357638889</v>
      </c>
      <c r="I3056" t="s">
        <v>643</v>
      </c>
      <c r="J3056">
        <v>3.12</v>
      </c>
      <c r="K3056">
        <v>0</v>
      </c>
    </row>
    <row r="3057" spans="1:11" x14ac:dyDescent="0.3">
      <c r="A3057">
        <v>3056</v>
      </c>
      <c r="B3057">
        <v>128</v>
      </c>
      <c r="C3057">
        <v>4</v>
      </c>
      <c r="D3057">
        <v>2880</v>
      </c>
      <c r="E3057" t="s">
        <v>651</v>
      </c>
      <c r="F3057">
        <v>2.36</v>
      </c>
      <c r="G3057" t="s">
        <v>623</v>
      </c>
      <c r="H3057" s="1">
        <v>46298.695023148146</v>
      </c>
      <c r="I3057" t="s">
        <v>643</v>
      </c>
      <c r="J3057">
        <v>2.36</v>
      </c>
      <c r="K3057">
        <v>0</v>
      </c>
    </row>
    <row r="3058" spans="1:11" x14ac:dyDescent="0.3">
      <c r="A3058">
        <v>3057</v>
      </c>
      <c r="B3058">
        <v>250</v>
      </c>
      <c r="C3058">
        <v>3</v>
      </c>
      <c r="D3058">
        <v>2881</v>
      </c>
      <c r="E3058" t="s">
        <v>651</v>
      </c>
      <c r="F3058">
        <v>4.2</v>
      </c>
      <c r="G3058" t="s">
        <v>623</v>
      </c>
      <c r="H3058" s="1">
        <v>46299.399710648147</v>
      </c>
      <c r="I3058" t="s">
        <v>643</v>
      </c>
      <c r="J3058">
        <v>4.2</v>
      </c>
      <c r="K3058">
        <v>0</v>
      </c>
    </row>
    <row r="3059" spans="1:11" x14ac:dyDescent="0.3">
      <c r="A3059">
        <v>3058</v>
      </c>
      <c r="B3059">
        <v>250</v>
      </c>
      <c r="C3059">
        <v>5</v>
      </c>
      <c r="D3059">
        <v>2882</v>
      </c>
      <c r="E3059" t="s">
        <v>657</v>
      </c>
      <c r="F3059">
        <v>63.99</v>
      </c>
      <c r="G3059" t="s">
        <v>623</v>
      </c>
      <c r="H3059" s="1">
        <v>46299.500555555554</v>
      </c>
      <c r="I3059" t="s">
        <v>643</v>
      </c>
      <c r="J3059">
        <v>0</v>
      </c>
      <c r="K3059">
        <v>63.99</v>
      </c>
    </row>
    <row r="3060" spans="1:11" x14ac:dyDescent="0.3">
      <c r="A3060">
        <v>3059</v>
      </c>
      <c r="B3060">
        <v>248</v>
      </c>
      <c r="C3060">
        <v>5</v>
      </c>
      <c r="D3060">
        <v>2883</v>
      </c>
      <c r="E3060" t="s">
        <v>651</v>
      </c>
      <c r="F3060">
        <v>10.84</v>
      </c>
      <c r="G3060" t="s">
        <v>623</v>
      </c>
      <c r="H3060" s="1">
        <v>46299.542175925926</v>
      </c>
      <c r="I3060" t="s">
        <v>643</v>
      </c>
      <c r="J3060">
        <v>10.84</v>
      </c>
      <c r="K3060">
        <v>0</v>
      </c>
    </row>
    <row r="3061" spans="1:11" x14ac:dyDescent="0.3">
      <c r="A3061">
        <v>3060</v>
      </c>
      <c r="B3061">
        <v>202</v>
      </c>
      <c r="C3061">
        <v>2</v>
      </c>
      <c r="D3061">
        <v>2884</v>
      </c>
      <c r="E3061" t="s">
        <v>651</v>
      </c>
      <c r="F3061">
        <v>2.81</v>
      </c>
      <c r="G3061" t="s">
        <v>623</v>
      </c>
      <c r="H3061" s="1">
        <v>46299.787002314813</v>
      </c>
      <c r="I3061" t="s">
        <v>643</v>
      </c>
      <c r="J3061">
        <v>2.81</v>
      </c>
      <c r="K3061">
        <v>0</v>
      </c>
    </row>
    <row r="3062" spans="1:11" x14ac:dyDescent="0.3">
      <c r="A3062">
        <v>3061</v>
      </c>
      <c r="B3062">
        <v>75</v>
      </c>
      <c r="C3062">
        <v>3</v>
      </c>
      <c r="D3062">
        <v>2885</v>
      </c>
      <c r="E3062" t="s">
        <v>651</v>
      </c>
      <c r="F3062">
        <v>4.0199999999999996</v>
      </c>
      <c r="G3062" t="s">
        <v>623</v>
      </c>
      <c r="H3062" s="1">
        <v>46300.368750000001</v>
      </c>
      <c r="I3062" t="s">
        <v>643</v>
      </c>
      <c r="J3062">
        <v>4.0199999999999996</v>
      </c>
      <c r="K3062">
        <v>0</v>
      </c>
    </row>
    <row r="3063" spans="1:11" x14ac:dyDescent="0.3">
      <c r="A3063">
        <v>3062</v>
      </c>
      <c r="B3063">
        <v>128</v>
      </c>
      <c r="C3063">
        <v>2</v>
      </c>
      <c r="D3063">
        <v>2886</v>
      </c>
      <c r="E3063" t="s">
        <v>651</v>
      </c>
      <c r="F3063">
        <v>4.51</v>
      </c>
      <c r="G3063" t="s">
        <v>623</v>
      </c>
      <c r="H3063" s="1">
        <v>46300.390555555554</v>
      </c>
      <c r="I3063" t="s">
        <v>643</v>
      </c>
      <c r="J3063">
        <v>4.51</v>
      </c>
      <c r="K3063">
        <v>0</v>
      </c>
    </row>
    <row r="3064" spans="1:11" x14ac:dyDescent="0.3">
      <c r="A3064">
        <v>3063</v>
      </c>
      <c r="B3064">
        <v>229</v>
      </c>
      <c r="C3064">
        <v>5</v>
      </c>
      <c r="D3064">
        <v>2887</v>
      </c>
      <c r="E3064" t="s">
        <v>651</v>
      </c>
      <c r="F3064">
        <v>6.29</v>
      </c>
      <c r="G3064" t="s">
        <v>623</v>
      </c>
      <c r="H3064" s="1">
        <v>46300.39472222222</v>
      </c>
      <c r="I3064" t="s">
        <v>643</v>
      </c>
      <c r="J3064">
        <v>6.29</v>
      </c>
      <c r="K3064">
        <v>0</v>
      </c>
    </row>
    <row r="3065" spans="1:11" x14ac:dyDescent="0.3">
      <c r="A3065">
        <v>3064</v>
      </c>
      <c r="B3065">
        <v>75</v>
      </c>
      <c r="C3065">
        <v>5</v>
      </c>
      <c r="D3065">
        <v>2888</v>
      </c>
      <c r="E3065" t="s">
        <v>651</v>
      </c>
      <c r="F3065">
        <v>11.69</v>
      </c>
      <c r="G3065" t="s">
        <v>623</v>
      </c>
      <c r="H3065" s="1">
        <v>46300.648275462961</v>
      </c>
      <c r="I3065" t="s">
        <v>643</v>
      </c>
      <c r="J3065">
        <v>11.69</v>
      </c>
      <c r="K3065">
        <v>0</v>
      </c>
    </row>
    <row r="3066" spans="1:11" x14ac:dyDescent="0.3">
      <c r="A3066">
        <v>3065</v>
      </c>
      <c r="B3066">
        <v>128</v>
      </c>
      <c r="C3066">
        <v>2</v>
      </c>
      <c r="D3066">
        <v>2889</v>
      </c>
      <c r="E3066" t="s">
        <v>651</v>
      </c>
      <c r="F3066">
        <v>2.91</v>
      </c>
      <c r="G3066" t="s">
        <v>623</v>
      </c>
      <c r="H3066" s="1">
        <v>46300.724756944444</v>
      </c>
      <c r="I3066" t="s">
        <v>643</v>
      </c>
      <c r="J3066">
        <v>2.91</v>
      </c>
      <c r="K3066">
        <v>0</v>
      </c>
    </row>
    <row r="3067" spans="1:11" x14ac:dyDescent="0.3">
      <c r="A3067">
        <v>3066</v>
      </c>
      <c r="B3067">
        <v>204</v>
      </c>
      <c r="C3067">
        <v>3</v>
      </c>
      <c r="D3067">
        <v>2890</v>
      </c>
      <c r="E3067" t="s">
        <v>651</v>
      </c>
      <c r="F3067">
        <v>7.37</v>
      </c>
      <c r="G3067" t="s">
        <v>623</v>
      </c>
      <c r="H3067" s="1">
        <v>46300.732025462959</v>
      </c>
      <c r="I3067" t="s">
        <v>643</v>
      </c>
      <c r="J3067">
        <v>7.37</v>
      </c>
      <c r="K3067">
        <v>0</v>
      </c>
    </row>
    <row r="3068" spans="1:11" x14ac:dyDescent="0.3">
      <c r="A3068">
        <v>3067</v>
      </c>
      <c r="B3068">
        <v>204</v>
      </c>
      <c r="C3068">
        <v>2</v>
      </c>
      <c r="D3068">
        <v>2891</v>
      </c>
      <c r="E3068" t="s">
        <v>651</v>
      </c>
      <c r="F3068">
        <v>5.79</v>
      </c>
      <c r="G3068" t="s">
        <v>623</v>
      </c>
      <c r="H3068" s="1">
        <v>46300.739791666667</v>
      </c>
      <c r="I3068" t="s">
        <v>643</v>
      </c>
      <c r="J3068">
        <v>5.79</v>
      </c>
      <c r="K3068">
        <v>0</v>
      </c>
    </row>
    <row r="3069" spans="1:11" x14ac:dyDescent="0.3">
      <c r="A3069">
        <v>3068</v>
      </c>
      <c r="B3069">
        <v>179</v>
      </c>
      <c r="C3069">
        <v>3</v>
      </c>
      <c r="D3069">
        <v>2892</v>
      </c>
      <c r="E3069" t="s">
        <v>651</v>
      </c>
      <c r="F3069">
        <v>28.07</v>
      </c>
      <c r="G3069" t="s">
        <v>623</v>
      </c>
      <c r="H3069" s="1">
        <v>46301.349456018521</v>
      </c>
      <c r="I3069" t="s">
        <v>643</v>
      </c>
      <c r="J3069">
        <v>28.07</v>
      </c>
      <c r="K3069">
        <v>0</v>
      </c>
    </row>
    <row r="3070" spans="1:11" x14ac:dyDescent="0.3">
      <c r="A3070">
        <v>3069</v>
      </c>
      <c r="B3070">
        <v>250</v>
      </c>
      <c r="C3070">
        <v>2</v>
      </c>
      <c r="D3070">
        <v>2893</v>
      </c>
      <c r="E3070" t="s">
        <v>651</v>
      </c>
      <c r="F3070">
        <v>10.96</v>
      </c>
      <c r="G3070" t="s">
        <v>623</v>
      </c>
      <c r="H3070" s="1">
        <v>46301.34952546296</v>
      </c>
      <c r="I3070" t="s">
        <v>643</v>
      </c>
      <c r="J3070">
        <v>10.96</v>
      </c>
      <c r="K3070">
        <v>0</v>
      </c>
    </row>
    <row r="3071" spans="1:11" x14ac:dyDescent="0.3">
      <c r="A3071">
        <v>3070</v>
      </c>
      <c r="B3071">
        <v>271</v>
      </c>
      <c r="C3071">
        <v>5</v>
      </c>
      <c r="D3071">
        <v>2894</v>
      </c>
      <c r="E3071" t="s">
        <v>651</v>
      </c>
      <c r="F3071">
        <v>1.85</v>
      </c>
      <c r="G3071" t="s">
        <v>623</v>
      </c>
      <c r="H3071" s="1">
        <v>46301.363842592589</v>
      </c>
      <c r="I3071" t="s">
        <v>643</v>
      </c>
      <c r="J3071">
        <v>1.85</v>
      </c>
      <c r="K3071">
        <v>0</v>
      </c>
    </row>
    <row r="3072" spans="1:11" x14ac:dyDescent="0.3">
      <c r="A3072">
        <v>3071</v>
      </c>
      <c r="B3072">
        <v>136</v>
      </c>
      <c r="C3072">
        <v>5</v>
      </c>
      <c r="D3072">
        <v>2895</v>
      </c>
      <c r="E3072" t="s">
        <v>651</v>
      </c>
      <c r="F3072">
        <v>11.25</v>
      </c>
      <c r="G3072" t="s">
        <v>623</v>
      </c>
      <c r="H3072" s="1">
        <v>46301.365810185183</v>
      </c>
      <c r="I3072" t="s">
        <v>643</v>
      </c>
      <c r="J3072">
        <v>11.25</v>
      </c>
      <c r="K3072">
        <v>0</v>
      </c>
    </row>
    <row r="3073" spans="1:11" x14ac:dyDescent="0.3">
      <c r="A3073">
        <v>3072</v>
      </c>
      <c r="B3073">
        <v>156</v>
      </c>
      <c r="C3073">
        <v>4</v>
      </c>
      <c r="D3073">
        <v>2896</v>
      </c>
      <c r="E3073" t="s">
        <v>651</v>
      </c>
      <c r="F3073">
        <v>2.52</v>
      </c>
      <c r="G3073" t="s">
        <v>623</v>
      </c>
      <c r="H3073" s="1">
        <v>46301.520798611113</v>
      </c>
      <c r="I3073" t="s">
        <v>643</v>
      </c>
      <c r="J3073">
        <v>2.52</v>
      </c>
      <c r="K3073">
        <v>0</v>
      </c>
    </row>
    <row r="3074" spans="1:11" x14ac:dyDescent="0.3">
      <c r="A3074">
        <v>3073</v>
      </c>
      <c r="B3074">
        <v>229</v>
      </c>
      <c r="C3074">
        <v>4</v>
      </c>
      <c r="D3074">
        <v>2897</v>
      </c>
      <c r="E3074" t="s">
        <v>651</v>
      </c>
      <c r="F3074">
        <v>7.52</v>
      </c>
      <c r="G3074" t="s">
        <v>623</v>
      </c>
      <c r="H3074" s="1">
        <v>46301.586157407408</v>
      </c>
      <c r="I3074" t="s">
        <v>643</v>
      </c>
      <c r="J3074">
        <v>7.52</v>
      </c>
      <c r="K3074">
        <v>0</v>
      </c>
    </row>
    <row r="3075" spans="1:11" x14ac:dyDescent="0.3">
      <c r="A3075">
        <v>3074</v>
      </c>
      <c r="B3075">
        <v>75</v>
      </c>
      <c r="C3075">
        <v>4</v>
      </c>
      <c r="D3075">
        <v>2898</v>
      </c>
      <c r="E3075" t="s">
        <v>651</v>
      </c>
      <c r="F3075">
        <v>5.61</v>
      </c>
      <c r="G3075" t="s">
        <v>623</v>
      </c>
      <c r="H3075" s="1">
        <v>46301.638252314813</v>
      </c>
      <c r="I3075" t="s">
        <v>643</v>
      </c>
      <c r="J3075">
        <v>5.61</v>
      </c>
      <c r="K3075">
        <v>0</v>
      </c>
    </row>
    <row r="3076" spans="1:11" x14ac:dyDescent="0.3">
      <c r="A3076">
        <v>3075</v>
      </c>
      <c r="B3076">
        <v>18</v>
      </c>
      <c r="C3076">
        <v>3</v>
      </c>
      <c r="D3076">
        <v>2899</v>
      </c>
      <c r="E3076" t="s">
        <v>651</v>
      </c>
      <c r="F3076">
        <v>4.68</v>
      </c>
      <c r="G3076" t="s">
        <v>623</v>
      </c>
      <c r="H3076" s="1">
        <v>46301.642199074071</v>
      </c>
      <c r="I3076" t="s">
        <v>643</v>
      </c>
      <c r="J3076">
        <v>4.68</v>
      </c>
      <c r="K3076">
        <v>0</v>
      </c>
    </row>
    <row r="3077" spans="1:11" x14ac:dyDescent="0.3">
      <c r="A3077">
        <v>3076</v>
      </c>
      <c r="B3077">
        <v>16</v>
      </c>
      <c r="C3077">
        <v>2</v>
      </c>
      <c r="D3077">
        <v>2900</v>
      </c>
      <c r="E3077" t="s">
        <v>657</v>
      </c>
      <c r="F3077">
        <v>109.55</v>
      </c>
      <c r="G3077" t="s">
        <v>623</v>
      </c>
      <c r="H3077" s="1">
        <v>46301.643993055557</v>
      </c>
      <c r="I3077" t="s">
        <v>643</v>
      </c>
      <c r="J3077">
        <v>0</v>
      </c>
      <c r="K3077">
        <v>109.55</v>
      </c>
    </row>
    <row r="3078" spans="1:11" x14ac:dyDescent="0.3">
      <c r="A3078">
        <v>3077</v>
      </c>
      <c r="B3078">
        <v>128</v>
      </c>
      <c r="C3078">
        <v>5</v>
      </c>
      <c r="D3078">
        <v>2901</v>
      </c>
      <c r="E3078" t="s">
        <v>651</v>
      </c>
      <c r="F3078">
        <v>8</v>
      </c>
      <c r="G3078" t="s">
        <v>623</v>
      </c>
      <c r="H3078" s="1">
        <v>46301.670138888891</v>
      </c>
      <c r="I3078" t="s">
        <v>643</v>
      </c>
      <c r="J3078">
        <v>8</v>
      </c>
      <c r="K3078">
        <v>0</v>
      </c>
    </row>
    <row r="3079" spans="1:11" x14ac:dyDescent="0.3">
      <c r="A3079">
        <v>3078</v>
      </c>
      <c r="B3079">
        <v>134</v>
      </c>
      <c r="C3079">
        <v>3</v>
      </c>
      <c r="D3079">
        <v>2902</v>
      </c>
      <c r="E3079" t="s">
        <v>651</v>
      </c>
      <c r="F3079">
        <v>9.89</v>
      </c>
      <c r="G3079" t="s">
        <v>623</v>
      </c>
      <c r="H3079" s="1">
        <v>46301.7968287037</v>
      </c>
      <c r="I3079" t="s">
        <v>643</v>
      </c>
      <c r="J3079">
        <v>9.89</v>
      </c>
      <c r="K3079">
        <v>0</v>
      </c>
    </row>
    <row r="3080" spans="1:11" x14ac:dyDescent="0.3">
      <c r="A3080">
        <v>3079</v>
      </c>
      <c r="B3080">
        <v>229</v>
      </c>
      <c r="C3080">
        <v>4</v>
      </c>
      <c r="D3080">
        <v>2903</v>
      </c>
      <c r="E3080" t="s">
        <v>651</v>
      </c>
      <c r="F3080">
        <v>10.5</v>
      </c>
      <c r="G3080" t="s">
        <v>623</v>
      </c>
      <c r="H3080" s="1">
        <v>46302.337916666664</v>
      </c>
      <c r="I3080" t="s">
        <v>643</v>
      </c>
      <c r="J3080">
        <v>10.5</v>
      </c>
      <c r="K3080">
        <v>0</v>
      </c>
    </row>
    <row r="3081" spans="1:11" x14ac:dyDescent="0.3">
      <c r="A3081">
        <v>3080</v>
      </c>
      <c r="B3081">
        <v>179</v>
      </c>
      <c r="C3081">
        <v>5</v>
      </c>
      <c r="D3081">
        <v>2904</v>
      </c>
      <c r="E3081" t="s">
        <v>651</v>
      </c>
      <c r="F3081">
        <v>29.32</v>
      </c>
      <c r="G3081" t="s">
        <v>623</v>
      </c>
      <c r="H3081" s="1">
        <v>46302.40047453704</v>
      </c>
      <c r="I3081" t="s">
        <v>643</v>
      </c>
      <c r="J3081">
        <v>29.32</v>
      </c>
      <c r="K3081">
        <v>0</v>
      </c>
    </row>
    <row r="3082" spans="1:11" x14ac:dyDescent="0.3">
      <c r="A3082">
        <v>3081</v>
      </c>
      <c r="B3082">
        <v>285</v>
      </c>
      <c r="C3082">
        <v>3</v>
      </c>
      <c r="D3082">
        <v>2905</v>
      </c>
      <c r="E3082" t="s">
        <v>651</v>
      </c>
      <c r="F3082">
        <v>2.72</v>
      </c>
      <c r="G3082" t="s">
        <v>623</v>
      </c>
      <c r="H3082" s="1">
        <v>46302.425254629627</v>
      </c>
      <c r="I3082" t="s">
        <v>643</v>
      </c>
      <c r="J3082">
        <v>2.72</v>
      </c>
      <c r="K3082">
        <v>0</v>
      </c>
    </row>
    <row r="3083" spans="1:11" x14ac:dyDescent="0.3">
      <c r="A3083">
        <v>3082</v>
      </c>
      <c r="B3083">
        <v>200</v>
      </c>
      <c r="C3083">
        <v>4</v>
      </c>
      <c r="D3083">
        <v>2906</v>
      </c>
      <c r="E3083" t="s">
        <v>651</v>
      </c>
      <c r="F3083">
        <v>2.83</v>
      </c>
      <c r="G3083" t="s">
        <v>623</v>
      </c>
      <c r="H3083" s="1">
        <v>46302.439849537041</v>
      </c>
      <c r="I3083" t="s">
        <v>643</v>
      </c>
      <c r="J3083">
        <v>2.83</v>
      </c>
      <c r="K3083">
        <v>0</v>
      </c>
    </row>
    <row r="3084" spans="1:11" x14ac:dyDescent="0.3">
      <c r="A3084">
        <v>3083</v>
      </c>
      <c r="B3084">
        <v>185</v>
      </c>
      <c r="C3084">
        <v>3</v>
      </c>
      <c r="D3084">
        <v>2907</v>
      </c>
      <c r="E3084" t="s">
        <v>651</v>
      </c>
      <c r="F3084">
        <v>7.79</v>
      </c>
      <c r="G3084" t="s">
        <v>623</v>
      </c>
      <c r="H3084" s="1">
        <v>46302.488958333335</v>
      </c>
      <c r="I3084" t="s">
        <v>643</v>
      </c>
      <c r="J3084">
        <v>7.79</v>
      </c>
      <c r="K3084">
        <v>0</v>
      </c>
    </row>
    <row r="3085" spans="1:11" x14ac:dyDescent="0.3">
      <c r="A3085">
        <v>3084</v>
      </c>
      <c r="B3085">
        <v>212</v>
      </c>
      <c r="C3085">
        <v>3</v>
      </c>
      <c r="D3085">
        <v>2908</v>
      </c>
      <c r="E3085" t="s">
        <v>651</v>
      </c>
      <c r="F3085">
        <v>6.5</v>
      </c>
      <c r="G3085" t="s">
        <v>623</v>
      </c>
      <c r="H3085" s="1">
        <v>46302.696296296293</v>
      </c>
      <c r="I3085" t="s">
        <v>643</v>
      </c>
      <c r="J3085">
        <v>6.5</v>
      </c>
      <c r="K3085">
        <v>0</v>
      </c>
    </row>
    <row r="3086" spans="1:11" x14ac:dyDescent="0.3">
      <c r="A3086">
        <v>3085</v>
      </c>
      <c r="B3086">
        <v>190</v>
      </c>
      <c r="C3086">
        <v>2</v>
      </c>
      <c r="D3086">
        <v>2909</v>
      </c>
      <c r="E3086" t="s">
        <v>651</v>
      </c>
      <c r="F3086">
        <v>21.98</v>
      </c>
      <c r="G3086" t="s">
        <v>623</v>
      </c>
      <c r="H3086" s="1">
        <v>46302.736967592595</v>
      </c>
      <c r="I3086" t="s">
        <v>643</v>
      </c>
      <c r="J3086">
        <v>21.98</v>
      </c>
      <c r="K3086">
        <v>0</v>
      </c>
    </row>
    <row r="3087" spans="1:11" x14ac:dyDescent="0.3">
      <c r="A3087">
        <v>3086</v>
      </c>
      <c r="B3087">
        <v>183</v>
      </c>
      <c r="C3087">
        <v>5</v>
      </c>
      <c r="D3087">
        <v>2910</v>
      </c>
      <c r="E3087" t="s">
        <v>651</v>
      </c>
      <c r="F3087">
        <v>12.25</v>
      </c>
      <c r="G3087" t="s">
        <v>623</v>
      </c>
      <c r="H3087" s="1">
        <v>46303.376087962963</v>
      </c>
      <c r="I3087" t="s">
        <v>643</v>
      </c>
      <c r="J3087">
        <v>12.25</v>
      </c>
      <c r="K3087">
        <v>0</v>
      </c>
    </row>
    <row r="3088" spans="1:11" x14ac:dyDescent="0.3">
      <c r="A3088">
        <v>3087</v>
      </c>
      <c r="B3088">
        <v>86</v>
      </c>
      <c r="C3088">
        <v>2</v>
      </c>
      <c r="D3088">
        <v>2911</v>
      </c>
      <c r="E3088" t="s">
        <v>651</v>
      </c>
      <c r="F3088">
        <v>2.35</v>
      </c>
      <c r="G3088" t="s">
        <v>623</v>
      </c>
      <c r="H3088" s="1">
        <v>46303.406273148146</v>
      </c>
      <c r="I3088" t="s">
        <v>643</v>
      </c>
      <c r="J3088">
        <v>2.35</v>
      </c>
      <c r="K3088">
        <v>0</v>
      </c>
    </row>
    <row r="3089" spans="1:11" x14ac:dyDescent="0.3">
      <c r="A3089">
        <v>3088</v>
      </c>
      <c r="B3089">
        <v>7</v>
      </c>
      <c r="C3089">
        <v>2</v>
      </c>
      <c r="D3089">
        <v>2912</v>
      </c>
      <c r="E3089" t="s">
        <v>651</v>
      </c>
      <c r="F3089">
        <v>4.34</v>
      </c>
      <c r="G3089" t="s">
        <v>623</v>
      </c>
      <c r="H3089" s="1">
        <v>46303.421944444446</v>
      </c>
      <c r="I3089" t="s">
        <v>643</v>
      </c>
      <c r="J3089">
        <v>4.34</v>
      </c>
      <c r="K3089">
        <v>0</v>
      </c>
    </row>
    <row r="3090" spans="1:11" x14ac:dyDescent="0.3">
      <c r="A3090">
        <v>3089</v>
      </c>
      <c r="B3090">
        <v>33</v>
      </c>
      <c r="C3090">
        <v>3</v>
      </c>
      <c r="D3090">
        <v>2913</v>
      </c>
      <c r="E3090" t="s">
        <v>651</v>
      </c>
      <c r="F3090">
        <v>2.7</v>
      </c>
      <c r="G3090" t="s">
        <v>623</v>
      </c>
      <c r="H3090" s="1">
        <v>46303.474004629628</v>
      </c>
      <c r="I3090" t="s">
        <v>643</v>
      </c>
      <c r="J3090">
        <v>2.7</v>
      </c>
      <c r="K3090">
        <v>0</v>
      </c>
    </row>
    <row r="3091" spans="1:11" x14ac:dyDescent="0.3">
      <c r="A3091">
        <v>3090</v>
      </c>
      <c r="B3091">
        <v>77</v>
      </c>
      <c r="C3091">
        <v>3</v>
      </c>
      <c r="D3091">
        <v>2914</v>
      </c>
      <c r="E3091" t="s">
        <v>651</v>
      </c>
      <c r="F3091">
        <v>15.64</v>
      </c>
      <c r="G3091" t="s">
        <v>623</v>
      </c>
      <c r="H3091" s="1">
        <v>46303.537905092591</v>
      </c>
      <c r="I3091" t="s">
        <v>643</v>
      </c>
      <c r="J3091">
        <v>15.64</v>
      </c>
      <c r="K3091">
        <v>0</v>
      </c>
    </row>
    <row r="3092" spans="1:11" x14ac:dyDescent="0.3">
      <c r="A3092">
        <v>3091</v>
      </c>
      <c r="B3092">
        <v>264</v>
      </c>
      <c r="C3092">
        <v>2</v>
      </c>
      <c r="D3092">
        <v>2915</v>
      </c>
      <c r="E3092" t="s">
        <v>651</v>
      </c>
      <c r="F3092">
        <v>25.99</v>
      </c>
      <c r="G3092" t="s">
        <v>623</v>
      </c>
      <c r="H3092" s="1">
        <v>46303.604375000003</v>
      </c>
      <c r="I3092" t="s">
        <v>643</v>
      </c>
      <c r="J3092">
        <v>25.99</v>
      </c>
      <c r="K3092">
        <v>0</v>
      </c>
    </row>
    <row r="3093" spans="1:11" x14ac:dyDescent="0.3">
      <c r="A3093">
        <v>3092</v>
      </c>
      <c r="B3093">
        <v>165</v>
      </c>
      <c r="C3093">
        <v>4</v>
      </c>
      <c r="D3093">
        <v>2916</v>
      </c>
      <c r="E3093" t="s">
        <v>651</v>
      </c>
      <c r="F3093">
        <v>2.5299999999999998</v>
      </c>
      <c r="G3093" t="s">
        <v>623</v>
      </c>
      <c r="H3093" s="1">
        <v>46303.605081018519</v>
      </c>
      <c r="I3093" t="s">
        <v>643</v>
      </c>
      <c r="J3093">
        <v>2.5299999999999998</v>
      </c>
      <c r="K3093">
        <v>0</v>
      </c>
    </row>
    <row r="3094" spans="1:11" x14ac:dyDescent="0.3">
      <c r="A3094">
        <v>3093</v>
      </c>
      <c r="B3094">
        <v>229</v>
      </c>
      <c r="C3094">
        <v>4</v>
      </c>
      <c r="D3094">
        <v>2917</v>
      </c>
      <c r="E3094" t="s">
        <v>651</v>
      </c>
      <c r="F3094">
        <v>16.899999999999999</v>
      </c>
      <c r="G3094" t="s">
        <v>623</v>
      </c>
      <c r="H3094" s="1">
        <v>46303.617534722223</v>
      </c>
      <c r="I3094" t="s">
        <v>643</v>
      </c>
      <c r="J3094">
        <v>16.899999999999999</v>
      </c>
      <c r="K3094">
        <v>0</v>
      </c>
    </row>
    <row r="3095" spans="1:11" x14ac:dyDescent="0.3">
      <c r="A3095">
        <v>3094</v>
      </c>
      <c r="B3095">
        <v>75</v>
      </c>
      <c r="C3095">
        <v>4</v>
      </c>
      <c r="D3095">
        <v>2918</v>
      </c>
      <c r="E3095" t="s">
        <v>651</v>
      </c>
      <c r="F3095">
        <v>16.09</v>
      </c>
      <c r="G3095" t="s">
        <v>623</v>
      </c>
      <c r="H3095" s="1">
        <v>46303.659317129626</v>
      </c>
      <c r="I3095" t="s">
        <v>643</v>
      </c>
      <c r="J3095">
        <v>16.09</v>
      </c>
      <c r="K3095">
        <v>0</v>
      </c>
    </row>
    <row r="3096" spans="1:11" x14ac:dyDescent="0.3">
      <c r="A3096">
        <v>3095</v>
      </c>
      <c r="B3096">
        <v>75</v>
      </c>
      <c r="C3096">
        <v>4</v>
      </c>
      <c r="D3096">
        <v>2919</v>
      </c>
      <c r="E3096" t="s">
        <v>651</v>
      </c>
      <c r="F3096">
        <v>12.71</v>
      </c>
      <c r="G3096" t="s">
        <v>623</v>
      </c>
      <c r="H3096" s="1">
        <v>46303.702569444446</v>
      </c>
      <c r="I3096" t="s">
        <v>643</v>
      </c>
      <c r="J3096">
        <v>12.71</v>
      </c>
      <c r="K3096">
        <v>0</v>
      </c>
    </row>
    <row r="3097" spans="1:11" x14ac:dyDescent="0.3">
      <c r="A3097">
        <v>3096</v>
      </c>
      <c r="B3097">
        <v>178</v>
      </c>
      <c r="C3097">
        <v>3</v>
      </c>
      <c r="D3097">
        <v>2920</v>
      </c>
      <c r="E3097" t="s">
        <v>651</v>
      </c>
      <c r="F3097">
        <v>22.1</v>
      </c>
      <c r="G3097" t="s">
        <v>623</v>
      </c>
      <c r="H3097" s="1">
        <v>46304.301793981482</v>
      </c>
      <c r="I3097" t="s">
        <v>643</v>
      </c>
      <c r="J3097">
        <v>22.1</v>
      </c>
      <c r="K3097">
        <v>0</v>
      </c>
    </row>
    <row r="3098" spans="1:11" x14ac:dyDescent="0.3">
      <c r="A3098">
        <v>3097</v>
      </c>
      <c r="B3098">
        <v>94</v>
      </c>
      <c r="C3098">
        <v>2</v>
      </c>
      <c r="D3098">
        <v>2921</v>
      </c>
      <c r="E3098" t="s">
        <v>651</v>
      </c>
      <c r="F3098">
        <v>19.809999999999999</v>
      </c>
      <c r="G3098" t="s">
        <v>623</v>
      </c>
      <c r="H3098" s="1">
        <v>46304.317048611112</v>
      </c>
      <c r="I3098" t="s">
        <v>643</v>
      </c>
      <c r="J3098">
        <v>19.809999999999999</v>
      </c>
      <c r="K3098">
        <v>0</v>
      </c>
    </row>
    <row r="3099" spans="1:11" x14ac:dyDescent="0.3">
      <c r="A3099">
        <v>3098</v>
      </c>
      <c r="B3099">
        <v>297</v>
      </c>
      <c r="C3099">
        <v>4</v>
      </c>
      <c r="D3099">
        <v>2922</v>
      </c>
      <c r="E3099" t="s">
        <v>651</v>
      </c>
      <c r="F3099">
        <v>9.0299999999999994</v>
      </c>
      <c r="G3099" t="s">
        <v>623</v>
      </c>
      <c r="H3099" s="1">
        <v>46304.342905092592</v>
      </c>
      <c r="I3099" t="s">
        <v>643</v>
      </c>
      <c r="J3099">
        <v>9.0299999999999994</v>
      </c>
      <c r="K3099">
        <v>0</v>
      </c>
    </row>
    <row r="3100" spans="1:11" x14ac:dyDescent="0.3">
      <c r="A3100">
        <v>3099</v>
      </c>
      <c r="B3100">
        <v>250</v>
      </c>
      <c r="C3100">
        <v>3</v>
      </c>
      <c r="D3100">
        <v>2923</v>
      </c>
      <c r="E3100" t="s">
        <v>651</v>
      </c>
      <c r="F3100">
        <v>11.21</v>
      </c>
      <c r="G3100" t="s">
        <v>623</v>
      </c>
      <c r="H3100" s="1">
        <v>46304.358506944445</v>
      </c>
      <c r="I3100" t="s">
        <v>643</v>
      </c>
      <c r="J3100">
        <v>11.21</v>
      </c>
      <c r="K3100">
        <v>0</v>
      </c>
    </row>
    <row r="3101" spans="1:11" x14ac:dyDescent="0.3">
      <c r="A3101">
        <v>3100</v>
      </c>
      <c r="B3101">
        <v>278</v>
      </c>
      <c r="C3101">
        <v>2</v>
      </c>
      <c r="D3101">
        <v>2924</v>
      </c>
      <c r="E3101" t="s">
        <v>651</v>
      </c>
      <c r="F3101">
        <v>15.41</v>
      </c>
      <c r="G3101" t="s">
        <v>623</v>
      </c>
      <c r="H3101" s="1">
        <v>46304.463078703702</v>
      </c>
      <c r="I3101" t="s">
        <v>643</v>
      </c>
      <c r="J3101">
        <v>15.41</v>
      </c>
      <c r="K3101">
        <v>0</v>
      </c>
    </row>
    <row r="3102" spans="1:11" x14ac:dyDescent="0.3">
      <c r="A3102">
        <v>3101</v>
      </c>
      <c r="B3102">
        <v>7</v>
      </c>
      <c r="C3102">
        <v>2</v>
      </c>
      <c r="D3102">
        <v>2925</v>
      </c>
      <c r="E3102" t="s">
        <v>651</v>
      </c>
      <c r="F3102">
        <v>6.6</v>
      </c>
      <c r="G3102" t="s">
        <v>623</v>
      </c>
      <c r="H3102" s="1">
        <v>46304.481782407405</v>
      </c>
      <c r="I3102" t="s">
        <v>643</v>
      </c>
      <c r="J3102">
        <v>6.6</v>
      </c>
      <c r="K3102">
        <v>0</v>
      </c>
    </row>
    <row r="3103" spans="1:11" x14ac:dyDescent="0.3">
      <c r="A3103">
        <v>3102</v>
      </c>
      <c r="B3103">
        <v>134</v>
      </c>
      <c r="C3103">
        <v>4</v>
      </c>
      <c r="D3103">
        <v>2926</v>
      </c>
      <c r="E3103" t="s">
        <v>651</v>
      </c>
      <c r="F3103">
        <v>11.5</v>
      </c>
      <c r="G3103" t="s">
        <v>623</v>
      </c>
      <c r="H3103" s="1">
        <v>46304.529965277776</v>
      </c>
      <c r="I3103" t="s">
        <v>643</v>
      </c>
      <c r="J3103">
        <v>11.5</v>
      </c>
      <c r="K3103">
        <v>0</v>
      </c>
    </row>
    <row r="3104" spans="1:11" x14ac:dyDescent="0.3">
      <c r="A3104">
        <v>3103</v>
      </c>
      <c r="B3104">
        <v>250</v>
      </c>
      <c r="C3104">
        <v>5</v>
      </c>
      <c r="D3104">
        <v>2927</v>
      </c>
      <c r="E3104" t="s">
        <v>651</v>
      </c>
      <c r="F3104">
        <v>7.54</v>
      </c>
      <c r="G3104" t="s">
        <v>623</v>
      </c>
      <c r="H3104" s="1">
        <v>46304.568703703706</v>
      </c>
      <c r="I3104" t="s">
        <v>643</v>
      </c>
      <c r="J3104">
        <v>7.54</v>
      </c>
      <c r="K3104">
        <v>0</v>
      </c>
    </row>
    <row r="3105" spans="1:11" x14ac:dyDescent="0.3">
      <c r="A3105">
        <v>3104</v>
      </c>
      <c r="B3105">
        <v>185</v>
      </c>
      <c r="C3105">
        <v>3</v>
      </c>
      <c r="D3105">
        <v>2928</v>
      </c>
      <c r="E3105" t="s">
        <v>651</v>
      </c>
      <c r="F3105">
        <v>5.94</v>
      </c>
      <c r="G3105" t="s">
        <v>623</v>
      </c>
      <c r="H3105" s="1">
        <v>46304.598495370374</v>
      </c>
      <c r="I3105" t="s">
        <v>643</v>
      </c>
      <c r="J3105">
        <v>5.94</v>
      </c>
      <c r="K3105">
        <v>0</v>
      </c>
    </row>
    <row r="3106" spans="1:11" x14ac:dyDescent="0.3">
      <c r="A3106">
        <v>3105</v>
      </c>
      <c r="B3106">
        <v>190</v>
      </c>
      <c r="C3106">
        <v>5</v>
      </c>
      <c r="D3106">
        <v>2929</v>
      </c>
      <c r="E3106" t="s">
        <v>651</v>
      </c>
      <c r="F3106">
        <v>16.66</v>
      </c>
      <c r="G3106" t="s">
        <v>623</v>
      </c>
      <c r="H3106" s="1">
        <v>46304.652268518519</v>
      </c>
      <c r="I3106" t="s">
        <v>643</v>
      </c>
      <c r="J3106">
        <v>16.66</v>
      </c>
      <c r="K3106">
        <v>0</v>
      </c>
    </row>
    <row r="3107" spans="1:11" x14ac:dyDescent="0.3">
      <c r="A3107">
        <v>3106</v>
      </c>
      <c r="B3107">
        <v>156</v>
      </c>
      <c r="C3107">
        <v>5</v>
      </c>
      <c r="D3107">
        <v>2930</v>
      </c>
      <c r="E3107" t="s">
        <v>651</v>
      </c>
      <c r="F3107">
        <v>2.57</v>
      </c>
      <c r="G3107" t="s">
        <v>623</v>
      </c>
      <c r="H3107" s="1">
        <v>46304.660810185182</v>
      </c>
      <c r="I3107" t="s">
        <v>643</v>
      </c>
      <c r="J3107">
        <v>2.57</v>
      </c>
      <c r="K3107">
        <v>0</v>
      </c>
    </row>
    <row r="3108" spans="1:11" x14ac:dyDescent="0.3">
      <c r="A3108">
        <v>3107</v>
      </c>
      <c r="B3108">
        <v>65</v>
      </c>
      <c r="C3108">
        <v>4</v>
      </c>
      <c r="D3108">
        <v>2931</v>
      </c>
      <c r="E3108" t="s">
        <v>657</v>
      </c>
      <c r="F3108">
        <v>24.13</v>
      </c>
      <c r="G3108" t="s">
        <v>623</v>
      </c>
      <c r="H3108" s="1">
        <v>46304.692152777781</v>
      </c>
      <c r="I3108" t="s">
        <v>643</v>
      </c>
      <c r="J3108">
        <v>0</v>
      </c>
      <c r="K3108">
        <v>24.13</v>
      </c>
    </row>
    <row r="3109" spans="1:11" x14ac:dyDescent="0.3">
      <c r="A3109">
        <v>3108</v>
      </c>
      <c r="B3109">
        <v>137</v>
      </c>
      <c r="C3109">
        <v>2</v>
      </c>
      <c r="D3109">
        <v>2932</v>
      </c>
      <c r="E3109" t="s">
        <v>657</v>
      </c>
      <c r="F3109">
        <v>26.37</v>
      </c>
      <c r="G3109" t="s">
        <v>623</v>
      </c>
      <c r="H3109" s="1">
        <v>46304.764907407407</v>
      </c>
      <c r="I3109" t="s">
        <v>643</v>
      </c>
      <c r="J3109">
        <v>0</v>
      </c>
      <c r="K3109">
        <v>26.37</v>
      </c>
    </row>
    <row r="3110" spans="1:11" x14ac:dyDescent="0.3">
      <c r="A3110">
        <v>3109</v>
      </c>
      <c r="B3110">
        <v>278</v>
      </c>
      <c r="C3110">
        <v>3</v>
      </c>
      <c r="D3110">
        <v>2924</v>
      </c>
      <c r="E3110" t="s">
        <v>649</v>
      </c>
      <c r="F3110">
        <v>-15.41</v>
      </c>
      <c r="G3110" t="s">
        <v>773</v>
      </c>
      <c r="H3110" s="1">
        <v>46304.796412037038</v>
      </c>
      <c r="I3110" t="s">
        <v>643</v>
      </c>
      <c r="J3110">
        <v>0</v>
      </c>
      <c r="K3110">
        <v>0</v>
      </c>
    </row>
    <row r="3111" spans="1:11" x14ac:dyDescent="0.3">
      <c r="A3111">
        <v>3110</v>
      </c>
      <c r="B3111">
        <v>134</v>
      </c>
      <c r="C3111">
        <v>3</v>
      </c>
      <c r="D3111">
        <v>2933</v>
      </c>
      <c r="E3111" t="s">
        <v>651</v>
      </c>
      <c r="F3111">
        <v>12.74</v>
      </c>
      <c r="G3111" t="s">
        <v>623</v>
      </c>
      <c r="H3111" s="1">
        <v>46305.333310185182</v>
      </c>
      <c r="I3111" t="s">
        <v>643</v>
      </c>
      <c r="J3111">
        <v>12.74</v>
      </c>
      <c r="K3111">
        <v>0</v>
      </c>
    </row>
    <row r="3112" spans="1:11" x14ac:dyDescent="0.3">
      <c r="A3112">
        <v>3111</v>
      </c>
      <c r="B3112">
        <v>134</v>
      </c>
      <c r="C3112">
        <v>2</v>
      </c>
      <c r="D3112">
        <v>2934</v>
      </c>
      <c r="E3112" t="s">
        <v>651</v>
      </c>
      <c r="F3112">
        <v>10.81</v>
      </c>
      <c r="G3112" t="s">
        <v>623</v>
      </c>
      <c r="H3112" s="1">
        <v>46305.343032407407</v>
      </c>
      <c r="I3112" t="s">
        <v>643</v>
      </c>
      <c r="J3112">
        <v>10.81</v>
      </c>
      <c r="K3112">
        <v>0</v>
      </c>
    </row>
    <row r="3113" spans="1:11" x14ac:dyDescent="0.3">
      <c r="A3113">
        <v>3112</v>
      </c>
      <c r="B3113">
        <v>87</v>
      </c>
      <c r="C3113">
        <v>4</v>
      </c>
      <c r="D3113">
        <v>2935</v>
      </c>
      <c r="E3113" t="s">
        <v>651</v>
      </c>
      <c r="F3113">
        <v>2.5499999999999998</v>
      </c>
      <c r="G3113" t="s">
        <v>623</v>
      </c>
      <c r="H3113" s="1">
        <v>46305.401145833333</v>
      </c>
      <c r="I3113" t="s">
        <v>643</v>
      </c>
      <c r="J3113">
        <v>2.5499999999999998</v>
      </c>
      <c r="K3113">
        <v>0</v>
      </c>
    </row>
    <row r="3114" spans="1:11" x14ac:dyDescent="0.3">
      <c r="A3114">
        <v>3113</v>
      </c>
      <c r="B3114">
        <v>246</v>
      </c>
      <c r="C3114">
        <v>3</v>
      </c>
      <c r="D3114">
        <v>2936</v>
      </c>
      <c r="E3114" t="s">
        <v>651</v>
      </c>
      <c r="F3114">
        <v>3.94</v>
      </c>
      <c r="G3114" t="s">
        <v>623</v>
      </c>
      <c r="H3114" s="1">
        <v>46305.403761574074</v>
      </c>
      <c r="I3114" t="s">
        <v>643</v>
      </c>
      <c r="J3114">
        <v>3.94</v>
      </c>
      <c r="K3114">
        <v>0</v>
      </c>
    </row>
    <row r="3115" spans="1:11" x14ac:dyDescent="0.3">
      <c r="A3115">
        <v>3114</v>
      </c>
      <c r="B3115">
        <v>134</v>
      </c>
      <c r="C3115">
        <v>2</v>
      </c>
      <c r="D3115">
        <v>2937</v>
      </c>
      <c r="E3115" t="s">
        <v>651</v>
      </c>
      <c r="F3115">
        <v>13.55</v>
      </c>
      <c r="G3115" t="s">
        <v>623</v>
      </c>
      <c r="H3115" s="1">
        <v>46305.411400462966</v>
      </c>
      <c r="I3115" t="s">
        <v>643</v>
      </c>
      <c r="J3115">
        <v>13.55</v>
      </c>
      <c r="K3115">
        <v>0</v>
      </c>
    </row>
    <row r="3116" spans="1:11" x14ac:dyDescent="0.3">
      <c r="A3116">
        <v>3115</v>
      </c>
      <c r="B3116">
        <v>188</v>
      </c>
      <c r="C3116">
        <v>3</v>
      </c>
      <c r="D3116">
        <v>2938</v>
      </c>
      <c r="E3116" t="s">
        <v>651</v>
      </c>
      <c r="F3116">
        <v>23.1</v>
      </c>
      <c r="G3116" t="s">
        <v>623</v>
      </c>
      <c r="H3116" s="1">
        <v>46305.44703703704</v>
      </c>
      <c r="I3116" t="s">
        <v>643</v>
      </c>
      <c r="J3116">
        <v>23.1</v>
      </c>
      <c r="K3116">
        <v>0</v>
      </c>
    </row>
    <row r="3117" spans="1:11" x14ac:dyDescent="0.3">
      <c r="A3117">
        <v>3116</v>
      </c>
      <c r="B3117">
        <v>137</v>
      </c>
      <c r="C3117">
        <v>5</v>
      </c>
      <c r="D3117">
        <v>2939</v>
      </c>
      <c r="E3117" t="s">
        <v>651</v>
      </c>
      <c r="F3117">
        <v>7.62</v>
      </c>
      <c r="G3117" t="s">
        <v>623</v>
      </c>
      <c r="H3117" s="1">
        <v>46305.448564814818</v>
      </c>
      <c r="I3117" t="s">
        <v>643</v>
      </c>
      <c r="J3117">
        <v>7.62</v>
      </c>
      <c r="K3117">
        <v>0</v>
      </c>
    </row>
    <row r="3118" spans="1:11" x14ac:dyDescent="0.3">
      <c r="A3118">
        <v>3117</v>
      </c>
      <c r="B3118">
        <v>134</v>
      </c>
      <c r="C3118">
        <v>5</v>
      </c>
      <c r="D3118">
        <v>2940</v>
      </c>
      <c r="E3118" t="s">
        <v>657</v>
      </c>
      <c r="F3118">
        <v>89.64</v>
      </c>
      <c r="G3118" t="s">
        <v>623</v>
      </c>
      <c r="H3118" s="1">
        <v>46305.457766203705</v>
      </c>
      <c r="I3118" t="s">
        <v>643</v>
      </c>
      <c r="J3118">
        <v>0</v>
      </c>
      <c r="K3118">
        <v>89.64</v>
      </c>
    </row>
    <row r="3119" spans="1:11" x14ac:dyDescent="0.3">
      <c r="A3119">
        <v>3118</v>
      </c>
      <c r="B3119">
        <v>75</v>
      </c>
      <c r="C3119">
        <v>4</v>
      </c>
      <c r="D3119">
        <v>2941</v>
      </c>
      <c r="E3119" t="s">
        <v>651</v>
      </c>
      <c r="F3119">
        <v>6.59</v>
      </c>
      <c r="G3119" t="s">
        <v>623</v>
      </c>
      <c r="H3119" s="1">
        <v>46305.547766203701</v>
      </c>
      <c r="I3119" t="s">
        <v>643</v>
      </c>
      <c r="J3119">
        <v>6.59</v>
      </c>
      <c r="K3119">
        <v>0</v>
      </c>
    </row>
    <row r="3120" spans="1:11" x14ac:dyDescent="0.3">
      <c r="A3120">
        <v>3119</v>
      </c>
      <c r="B3120">
        <v>246</v>
      </c>
      <c r="C3120">
        <v>2</v>
      </c>
      <c r="D3120">
        <v>2942</v>
      </c>
      <c r="E3120" t="s">
        <v>651</v>
      </c>
      <c r="F3120">
        <v>4.7300000000000004</v>
      </c>
      <c r="G3120" t="s">
        <v>623</v>
      </c>
      <c r="H3120" s="1">
        <v>46305.636087962965</v>
      </c>
      <c r="I3120" t="s">
        <v>643</v>
      </c>
      <c r="J3120">
        <v>4.7300000000000004</v>
      </c>
      <c r="K3120">
        <v>0</v>
      </c>
    </row>
    <row r="3121" spans="1:11" x14ac:dyDescent="0.3">
      <c r="A3121">
        <v>3120</v>
      </c>
      <c r="B3121">
        <v>175</v>
      </c>
      <c r="C3121">
        <v>3</v>
      </c>
      <c r="D3121">
        <v>2943</v>
      </c>
      <c r="E3121" t="s">
        <v>651</v>
      </c>
      <c r="F3121">
        <v>2.36</v>
      </c>
      <c r="G3121" t="s">
        <v>623</v>
      </c>
      <c r="H3121" s="1">
        <v>46305.639710648145</v>
      </c>
      <c r="I3121" t="s">
        <v>643</v>
      </c>
      <c r="J3121">
        <v>2.36</v>
      </c>
      <c r="K3121">
        <v>0</v>
      </c>
    </row>
    <row r="3122" spans="1:11" x14ac:dyDescent="0.3">
      <c r="A3122">
        <v>3121</v>
      </c>
      <c r="B3122">
        <v>111</v>
      </c>
      <c r="C3122">
        <v>3</v>
      </c>
      <c r="D3122">
        <v>2944</v>
      </c>
      <c r="E3122" t="s">
        <v>651</v>
      </c>
      <c r="F3122">
        <v>8.43</v>
      </c>
      <c r="G3122" t="s">
        <v>623</v>
      </c>
      <c r="H3122" s="1">
        <v>46305.682685185187</v>
      </c>
      <c r="I3122" t="s">
        <v>643</v>
      </c>
      <c r="J3122">
        <v>8.43</v>
      </c>
      <c r="K3122">
        <v>0</v>
      </c>
    </row>
    <row r="3123" spans="1:11" x14ac:dyDescent="0.3">
      <c r="A3123">
        <v>3122</v>
      </c>
      <c r="B3123">
        <v>61</v>
      </c>
      <c r="C3123">
        <v>3</v>
      </c>
      <c r="D3123">
        <v>2945</v>
      </c>
      <c r="E3123" t="s">
        <v>651</v>
      </c>
      <c r="F3123">
        <v>10.199999999999999</v>
      </c>
      <c r="G3123" t="s">
        <v>623</v>
      </c>
      <c r="H3123" s="1">
        <v>46305.687222222223</v>
      </c>
      <c r="I3123" t="s">
        <v>643</v>
      </c>
      <c r="J3123">
        <v>10.199999999999999</v>
      </c>
      <c r="K3123">
        <v>0</v>
      </c>
    </row>
    <row r="3124" spans="1:11" x14ac:dyDescent="0.3">
      <c r="A3124">
        <v>3123</v>
      </c>
      <c r="B3124">
        <v>75</v>
      </c>
      <c r="C3124">
        <v>2</v>
      </c>
      <c r="D3124">
        <v>2941</v>
      </c>
      <c r="E3124" t="s">
        <v>649</v>
      </c>
      <c r="F3124">
        <v>-6.59</v>
      </c>
      <c r="G3124" t="s">
        <v>774</v>
      </c>
      <c r="H3124" s="1">
        <v>46306.131099537037</v>
      </c>
      <c r="I3124" t="s">
        <v>643</v>
      </c>
      <c r="J3124">
        <v>0</v>
      </c>
      <c r="K3124">
        <v>0</v>
      </c>
    </row>
    <row r="3125" spans="1:11" x14ac:dyDescent="0.3">
      <c r="A3125">
        <v>3124</v>
      </c>
      <c r="B3125">
        <v>250</v>
      </c>
      <c r="C3125">
        <v>3</v>
      </c>
      <c r="D3125">
        <v>2946</v>
      </c>
      <c r="E3125" t="s">
        <v>651</v>
      </c>
      <c r="F3125">
        <v>9.77</v>
      </c>
      <c r="G3125" t="s">
        <v>623</v>
      </c>
      <c r="H3125" s="1">
        <v>46306.329791666663</v>
      </c>
      <c r="I3125" t="s">
        <v>643</v>
      </c>
      <c r="J3125">
        <v>9.77</v>
      </c>
      <c r="K3125">
        <v>0</v>
      </c>
    </row>
    <row r="3126" spans="1:11" x14ac:dyDescent="0.3">
      <c r="A3126">
        <v>3125</v>
      </c>
      <c r="B3126">
        <v>285</v>
      </c>
      <c r="C3126">
        <v>2</v>
      </c>
      <c r="D3126">
        <v>2947</v>
      </c>
      <c r="E3126" t="s">
        <v>651</v>
      </c>
      <c r="F3126">
        <v>3.74</v>
      </c>
      <c r="G3126" t="s">
        <v>623</v>
      </c>
      <c r="H3126" s="1">
        <v>46306.347662037035</v>
      </c>
      <c r="I3126" t="s">
        <v>643</v>
      </c>
      <c r="J3126">
        <v>3.74</v>
      </c>
      <c r="K3126">
        <v>0</v>
      </c>
    </row>
    <row r="3127" spans="1:11" x14ac:dyDescent="0.3">
      <c r="A3127">
        <v>3126</v>
      </c>
      <c r="B3127">
        <v>106</v>
      </c>
      <c r="C3127">
        <v>5</v>
      </c>
      <c r="D3127">
        <v>2948</v>
      </c>
      <c r="E3127" t="s">
        <v>651</v>
      </c>
      <c r="F3127">
        <v>13.29</v>
      </c>
      <c r="G3127" t="s">
        <v>623</v>
      </c>
      <c r="H3127" s="1">
        <v>46306.53634259259</v>
      </c>
      <c r="I3127" t="s">
        <v>643</v>
      </c>
      <c r="J3127">
        <v>13.29</v>
      </c>
      <c r="K3127">
        <v>0</v>
      </c>
    </row>
    <row r="3128" spans="1:11" x14ac:dyDescent="0.3">
      <c r="A3128">
        <v>3127</v>
      </c>
      <c r="B3128">
        <v>215</v>
      </c>
      <c r="C3128">
        <v>2</v>
      </c>
      <c r="D3128">
        <v>2949</v>
      </c>
      <c r="E3128" t="s">
        <v>651</v>
      </c>
      <c r="F3128">
        <v>1.33</v>
      </c>
      <c r="G3128" t="s">
        <v>623</v>
      </c>
      <c r="H3128" s="1">
        <v>46306.683009259257</v>
      </c>
      <c r="I3128" t="s">
        <v>643</v>
      </c>
      <c r="J3128">
        <v>1.33</v>
      </c>
      <c r="K3128">
        <v>0</v>
      </c>
    </row>
    <row r="3129" spans="1:11" x14ac:dyDescent="0.3">
      <c r="A3129">
        <v>3128</v>
      </c>
      <c r="B3129">
        <v>202</v>
      </c>
      <c r="C3129">
        <v>3</v>
      </c>
      <c r="D3129">
        <v>2950</v>
      </c>
      <c r="E3129" t="s">
        <v>651</v>
      </c>
      <c r="F3129">
        <v>1.07</v>
      </c>
      <c r="G3129" t="s">
        <v>623</v>
      </c>
      <c r="H3129" s="1">
        <v>46306.713599537034</v>
      </c>
      <c r="I3129" t="s">
        <v>643</v>
      </c>
      <c r="J3129">
        <v>1.07</v>
      </c>
      <c r="K3129">
        <v>0</v>
      </c>
    </row>
    <row r="3130" spans="1:11" x14ac:dyDescent="0.3">
      <c r="A3130">
        <v>3129</v>
      </c>
      <c r="B3130">
        <v>229</v>
      </c>
      <c r="C3130">
        <v>4</v>
      </c>
      <c r="D3130">
        <v>2951</v>
      </c>
      <c r="E3130" t="s">
        <v>657</v>
      </c>
      <c r="F3130">
        <v>95.39</v>
      </c>
      <c r="G3130" t="s">
        <v>623</v>
      </c>
      <c r="H3130" s="1">
        <v>46306.715775462966</v>
      </c>
      <c r="I3130" t="s">
        <v>643</v>
      </c>
      <c r="J3130">
        <v>0</v>
      </c>
      <c r="K3130">
        <v>95.39</v>
      </c>
    </row>
    <row r="3131" spans="1:11" x14ac:dyDescent="0.3">
      <c r="A3131">
        <v>3130</v>
      </c>
      <c r="B3131">
        <v>75</v>
      </c>
      <c r="C3131">
        <v>3</v>
      </c>
      <c r="D3131">
        <v>2952</v>
      </c>
      <c r="E3131" t="s">
        <v>651</v>
      </c>
      <c r="F3131">
        <v>12.68</v>
      </c>
      <c r="G3131" t="s">
        <v>623</v>
      </c>
      <c r="H3131" s="1">
        <v>46307.341909722221</v>
      </c>
      <c r="I3131" t="s">
        <v>643</v>
      </c>
      <c r="J3131">
        <v>12.68</v>
      </c>
      <c r="K3131">
        <v>0</v>
      </c>
    </row>
    <row r="3132" spans="1:11" x14ac:dyDescent="0.3">
      <c r="A3132">
        <v>3131</v>
      </c>
      <c r="B3132">
        <v>294</v>
      </c>
      <c r="C3132">
        <v>5</v>
      </c>
      <c r="D3132">
        <v>2953</v>
      </c>
      <c r="E3132" t="s">
        <v>651</v>
      </c>
      <c r="F3132">
        <v>3.67</v>
      </c>
      <c r="G3132" t="s">
        <v>623</v>
      </c>
      <c r="H3132" s="1">
        <v>46307.389432870368</v>
      </c>
      <c r="I3132" t="s">
        <v>643</v>
      </c>
      <c r="J3132">
        <v>3.67</v>
      </c>
      <c r="K3132">
        <v>0</v>
      </c>
    </row>
    <row r="3133" spans="1:11" x14ac:dyDescent="0.3">
      <c r="A3133">
        <v>3132</v>
      </c>
      <c r="B3133">
        <v>29</v>
      </c>
      <c r="C3133">
        <v>2</v>
      </c>
      <c r="D3133">
        <v>2954</v>
      </c>
      <c r="E3133" t="s">
        <v>651</v>
      </c>
      <c r="F3133">
        <v>2.99</v>
      </c>
      <c r="G3133" t="s">
        <v>623</v>
      </c>
      <c r="H3133" s="1">
        <v>46307.41778935185</v>
      </c>
      <c r="I3133" t="s">
        <v>643</v>
      </c>
      <c r="J3133">
        <v>2.99</v>
      </c>
      <c r="K3133">
        <v>0</v>
      </c>
    </row>
    <row r="3134" spans="1:11" x14ac:dyDescent="0.3">
      <c r="A3134">
        <v>3133</v>
      </c>
      <c r="B3134">
        <v>170</v>
      </c>
      <c r="C3134">
        <v>4</v>
      </c>
      <c r="D3134">
        <v>2955</v>
      </c>
      <c r="E3134" t="s">
        <v>651</v>
      </c>
      <c r="F3134">
        <v>10.28</v>
      </c>
      <c r="G3134" t="s">
        <v>623</v>
      </c>
      <c r="H3134" s="1">
        <v>46307.577118055553</v>
      </c>
      <c r="I3134" t="s">
        <v>643</v>
      </c>
      <c r="J3134">
        <v>10.28</v>
      </c>
      <c r="K3134">
        <v>0</v>
      </c>
    </row>
    <row r="3135" spans="1:11" x14ac:dyDescent="0.3">
      <c r="A3135">
        <v>3134</v>
      </c>
      <c r="B3135">
        <v>170</v>
      </c>
      <c r="C3135">
        <v>5</v>
      </c>
      <c r="D3135">
        <v>2956</v>
      </c>
      <c r="E3135" t="s">
        <v>651</v>
      </c>
      <c r="F3135">
        <v>6.55</v>
      </c>
      <c r="G3135" t="s">
        <v>623</v>
      </c>
      <c r="H3135" s="1">
        <v>46308.292696759258</v>
      </c>
      <c r="I3135" t="s">
        <v>643</v>
      </c>
      <c r="J3135">
        <v>6.55</v>
      </c>
      <c r="K3135">
        <v>0</v>
      </c>
    </row>
    <row r="3136" spans="1:11" x14ac:dyDescent="0.3">
      <c r="A3136">
        <v>3135</v>
      </c>
      <c r="B3136">
        <v>250</v>
      </c>
      <c r="C3136">
        <v>5</v>
      </c>
      <c r="D3136">
        <v>2957</v>
      </c>
      <c r="E3136" t="s">
        <v>651</v>
      </c>
      <c r="F3136">
        <v>9.3000000000000007</v>
      </c>
      <c r="G3136" t="s">
        <v>623</v>
      </c>
      <c r="H3136" s="1">
        <v>46308.319467592592</v>
      </c>
      <c r="I3136" t="s">
        <v>643</v>
      </c>
      <c r="J3136">
        <v>9.3000000000000007</v>
      </c>
      <c r="K3136">
        <v>0</v>
      </c>
    </row>
    <row r="3137" spans="1:11" x14ac:dyDescent="0.3">
      <c r="A3137">
        <v>3136</v>
      </c>
      <c r="B3137">
        <v>21</v>
      </c>
      <c r="C3137">
        <v>2</v>
      </c>
      <c r="D3137">
        <v>2958</v>
      </c>
      <c r="E3137" t="s">
        <v>651</v>
      </c>
      <c r="F3137">
        <v>4.37</v>
      </c>
      <c r="G3137" t="s">
        <v>623</v>
      </c>
      <c r="H3137" s="1">
        <v>46308.34646990741</v>
      </c>
      <c r="I3137" t="s">
        <v>643</v>
      </c>
      <c r="J3137">
        <v>4.37</v>
      </c>
      <c r="K3137">
        <v>0</v>
      </c>
    </row>
    <row r="3138" spans="1:11" x14ac:dyDescent="0.3">
      <c r="A3138">
        <v>3137</v>
      </c>
      <c r="B3138">
        <v>16</v>
      </c>
      <c r="C3138">
        <v>4</v>
      </c>
      <c r="D3138">
        <v>2959</v>
      </c>
      <c r="E3138" t="s">
        <v>651</v>
      </c>
      <c r="F3138">
        <v>21.51</v>
      </c>
      <c r="G3138" t="s">
        <v>623</v>
      </c>
      <c r="H3138" s="1">
        <v>46308.384664351855</v>
      </c>
      <c r="I3138" t="s">
        <v>643</v>
      </c>
      <c r="J3138">
        <v>21.51</v>
      </c>
      <c r="K3138">
        <v>0</v>
      </c>
    </row>
    <row r="3139" spans="1:11" x14ac:dyDescent="0.3">
      <c r="A3139">
        <v>3138</v>
      </c>
      <c r="B3139">
        <v>179</v>
      </c>
      <c r="C3139">
        <v>2</v>
      </c>
      <c r="D3139">
        <v>2960</v>
      </c>
      <c r="E3139" t="s">
        <v>651</v>
      </c>
      <c r="F3139">
        <v>16.11</v>
      </c>
      <c r="G3139" t="s">
        <v>623</v>
      </c>
      <c r="H3139" s="1">
        <v>46308.392488425925</v>
      </c>
      <c r="I3139" t="s">
        <v>643</v>
      </c>
      <c r="J3139">
        <v>16.11</v>
      </c>
      <c r="K3139">
        <v>0</v>
      </c>
    </row>
    <row r="3140" spans="1:11" x14ac:dyDescent="0.3">
      <c r="A3140">
        <v>3139</v>
      </c>
      <c r="B3140">
        <v>44</v>
      </c>
      <c r="C3140">
        <v>3</v>
      </c>
      <c r="D3140">
        <v>2961</v>
      </c>
      <c r="E3140" t="s">
        <v>651</v>
      </c>
      <c r="F3140">
        <v>3.48</v>
      </c>
      <c r="G3140" t="s">
        <v>623</v>
      </c>
      <c r="H3140" s="1">
        <v>46308.394629629627</v>
      </c>
      <c r="I3140" t="s">
        <v>643</v>
      </c>
      <c r="J3140">
        <v>3.48</v>
      </c>
      <c r="K3140">
        <v>0</v>
      </c>
    </row>
    <row r="3141" spans="1:11" x14ac:dyDescent="0.3">
      <c r="A3141">
        <v>3140</v>
      </c>
      <c r="B3141">
        <v>190</v>
      </c>
      <c r="C3141">
        <v>2</v>
      </c>
      <c r="D3141">
        <v>2962</v>
      </c>
      <c r="E3141" t="s">
        <v>651</v>
      </c>
      <c r="F3141">
        <v>11.1</v>
      </c>
      <c r="G3141" t="s">
        <v>623</v>
      </c>
      <c r="H3141" s="1">
        <v>46308.433229166665</v>
      </c>
      <c r="I3141" t="s">
        <v>643</v>
      </c>
      <c r="J3141">
        <v>11.1</v>
      </c>
      <c r="K3141">
        <v>0</v>
      </c>
    </row>
    <row r="3142" spans="1:11" x14ac:dyDescent="0.3">
      <c r="A3142">
        <v>3141</v>
      </c>
      <c r="B3142">
        <v>187</v>
      </c>
      <c r="C3142">
        <v>3</v>
      </c>
      <c r="D3142">
        <v>2963</v>
      </c>
      <c r="E3142" t="s">
        <v>651</v>
      </c>
      <c r="F3142">
        <v>2.79</v>
      </c>
      <c r="G3142" t="s">
        <v>623</v>
      </c>
      <c r="H3142" s="1">
        <v>46308.558969907404</v>
      </c>
      <c r="I3142" t="s">
        <v>643</v>
      </c>
      <c r="J3142">
        <v>2.79</v>
      </c>
      <c r="K3142">
        <v>0</v>
      </c>
    </row>
    <row r="3143" spans="1:11" x14ac:dyDescent="0.3">
      <c r="A3143">
        <v>3142</v>
      </c>
      <c r="B3143">
        <v>293</v>
      </c>
      <c r="C3143">
        <v>4</v>
      </c>
      <c r="D3143">
        <v>2964</v>
      </c>
      <c r="E3143" t="s">
        <v>651</v>
      </c>
      <c r="F3143">
        <v>3.62</v>
      </c>
      <c r="G3143" t="s">
        <v>623</v>
      </c>
      <c r="H3143" s="1">
        <v>46308.621527777781</v>
      </c>
      <c r="I3143" t="s">
        <v>643</v>
      </c>
      <c r="J3143">
        <v>3.62</v>
      </c>
      <c r="K3143">
        <v>0</v>
      </c>
    </row>
    <row r="3144" spans="1:11" x14ac:dyDescent="0.3">
      <c r="A3144">
        <v>3143</v>
      </c>
      <c r="B3144">
        <v>134</v>
      </c>
      <c r="C3144">
        <v>3</v>
      </c>
      <c r="D3144">
        <v>2965</v>
      </c>
      <c r="E3144" t="s">
        <v>651</v>
      </c>
      <c r="F3144">
        <v>6.45</v>
      </c>
      <c r="G3144" t="s">
        <v>623</v>
      </c>
      <c r="H3144" s="1">
        <v>46308.793252314812</v>
      </c>
      <c r="I3144" t="s">
        <v>643</v>
      </c>
      <c r="J3144">
        <v>6.45</v>
      </c>
      <c r="K3144">
        <v>0</v>
      </c>
    </row>
    <row r="3145" spans="1:11" x14ac:dyDescent="0.3">
      <c r="A3145">
        <v>3144</v>
      </c>
      <c r="B3145">
        <v>281</v>
      </c>
      <c r="C3145">
        <v>5</v>
      </c>
      <c r="D3145">
        <v>2966</v>
      </c>
      <c r="E3145" t="s">
        <v>651</v>
      </c>
      <c r="F3145">
        <v>11.12</v>
      </c>
      <c r="G3145" t="s">
        <v>623</v>
      </c>
      <c r="H3145" s="1">
        <v>46309.30059027778</v>
      </c>
      <c r="I3145" t="s">
        <v>643</v>
      </c>
      <c r="J3145">
        <v>11.12</v>
      </c>
      <c r="K3145">
        <v>0</v>
      </c>
    </row>
    <row r="3146" spans="1:11" x14ac:dyDescent="0.3">
      <c r="A3146">
        <v>3145</v>
      </c>
      <c r="B3146">
        <v>283</v>
      </c>
      <c r="C3146">
        <v>3</v>
      </c>
      <c r="D3146">
        <v>2967</v>
      </c>
      <c r="E3146" t="s">
        <v>651</v>
      </c>
      <c r="F3146">
        <v>1.59</v>
      </c>
      <c r="G3146" t="s">
        <v>623</v>
      </c>
      <c r="H3146" s="1">
        <v>46309.530081018522</v>
      </c>
      <c r="I3146" t="s">
        <v>643</v>
      </c>
      <c r="J3146">
        <v>1.59</v>
      </c>
      <c r="K3146">
        <v>0</v>
      </c>
    </row>
    <row r="3147" spans="1:11" x14ac:dyDescent="0.3">
      <c r="A3147">
        <v>3146</v>
      </c>
      <c r="B3147">
        <v>229</v>
      </c>
      <c r="C3147">
        <v>4</v>
      </c>
      <c r="D3147">
        <v>2968</v>
      </c>
      <c r="E3147" t="s">
        <v>651</v>
      </c>
      <c r="F3147">
        <v>8.48</v>
      </c>
      <c r="G3147" t="s">
        <v>623</v>
      </c>
      <c r="H3147" s="1">
        <v>46309.611759259256</v>
      </c>
      <c r="I3147" t="s">
        <v>643</v>
      </c>
      <c r="J3147">
        <v>8.48</v>
      </c>
      <c r="K3147">
        <v>0</v>
      </c>
    </row>
    <row r="3148" spans="1:11" x14ac:dyDescent="0.3">
      <c r="A3148">
        <v>3147</v>
      </c>
      <c r="B3148">
        <v>36</v>
      </c>
      <c r="C3148">
        <v>5</v>
      </c>
      <c r="D3148">
        <v>2969</v>
      </c>
      <c r="E3148" t="s">
        <v>651</v>
      </c>
      <c r="F3148">
        <v>24.3</v>
      </c>
      <c r="G3148" t="s">
        <v>623</v>
      </c>
      <c r="H3148" s="1">
        <v>46309.632627314815</v>
      </c>
      <c r="I3148" t="s">
        <v>643</v>
      </c>
      <c r="J3148">
        <v>24.3</v>
      </c>
      <c r="K3148">
        <v>0</v>
      </c>
    </row>
    <row r="3149" spans="1:11" x14ac:dyDescent="0.3">
      <c r="A3149">
        <v>3148</v>
      </c>
      <c r="B3149">
        <v>177</v>
      </c>
      <c r="C3149">
        <v>3</v>
      </c>
      <c r="D3149">
        <v>2970</v>
      </c>
      <c r="E3149" t="s">
        <v>651</v>
      </c>
      <c r="F3149">
        <v>3.01</v>
      </c>
      <c r="G3149" t="s">
        <v>623</v>
      </c>
      <c r="H3149" s="1">
        <v>46309.659131944441</v>
      </c>
      <c r="I3149" t="s">
        <v>643</v>
      </c>
      <c r="J3149">
        <v>3.01</v>
      </c>
      <c r="K3149">
        <v>0</v>
      </c>
    </row>
    <row r="3150" spans="1:11" x14ac:dyDescent="0.3">
      <c r="A3150">
        <v>3149</v>
      </c>
      <c r="B3150">
        <v>243</v>
      </c>
      <c r="C3150">
        <v>4</v>
      </c>
      <c r="D3150">
        <v>2971</v>
      </c>
      <c r="E3150" t="s">
        <v>651</v>
      </c>
      <c r="F3150">
        <v>4.49</v>
      </c>
      <c r="G3150" t="s">
        <v>623</v>
      </c>
      <c r="H3150" s="1">
        <v>46309.700254629628</v>
      </c>
      <c r="I3150" t="s">
        <v>643</v>
      </c>
      <c r="J3150">
        <v>4.49</v>
      </c>
      <c r="K3150">
        <v>0</v>
      </c>
    </row>
    <row r="3151" spans="1:11" x14ac:dyDescent="0.3">
      <c r="A3151">
        <v>3150</v>
      </c>
      <c r="B3151">
        <v>229</v>
      </c>
      <c r="C3151">
        <v>2</v>
      </c>
      <c r="D3151">
        <v>2972</v>
      </c>
      <c r="E3151" t="s">
        <v>651</v>
      </c>
      <c r="F3151">
        <v>6.65</v>
      </c>
      <c r="G3151" t="s">
        <v>623</v>
      </c>
      <c r="H3151" s="1">
        <v>46310.38890046296</v>
      </c>
      <c r="I3151" t="s">
        <v>643</v>
      </c>
      <c r="J3151">
        <v>6.65</v>
      </c>
      <c r="K3151">
        <v>0</v>
      </c>
    </row>
    <row r="3152" spans="1:11" x14ac:dyDescent="0.3">
      <c r="A3152">
        <v>3151</v>
      </c>
      <c r="B3152">
        <v>44</v>
      </c>
      <c r="C3152">
        <v>2</v>
      </c>
      <c r="D3152">
        <v>2973</v>
      </c>
      <c r="E3152" t="s">
        <v>651</v>
      </c>
      <c r="F3152">
        <v>1.92</v>
      </c>
      <c r="G3152" t="s">
        <v>623</v>
      </c>
      <c r="H3152" s="1">
        <v>46310.502314814818</v>
      </c>
      <c r="I3152" t="s">
        <v>643</v>
      </c>
      <c r="J3152">
        <v>1.92</v>
      </c>
      <c r="K3152">
        <v>0</v>
      </c>
    </row>
    <row r="3153" spans="1:11" x14ac:dyDescent="0.3">
      <c r="A3153">
        <v>3152</v>
      </c>
      <c r="B3153">
        <v>202</v>
      </c>
      <c r="C3153">
        <v>2</v>
      </c>
      <c r="D3153">
        <v>2974</v>
      </c>
      <c r="E3153" t="s">
        <v>651</v>
      </c>
      <c r="F3153">
        <v>3.15</v>
      </c>
      <c r="G3153" t="s">
        <v>623</v>
      </c>
      <c r="H3153" s="1">
        <v>46310.606458333335</v>
      </c>
      <c r="I3153" t="s">
        <v>643</v>
      </c>
      <c r="J3153">
        <v>3.15</v>
      </c>
      <c r="K3153">
        <v>0</v>
      </c>
    </row>
    <row r="3154" spans="1:11" x14ac:dyDescent="0.3">
      <c r="A3154">
        <v>3153</v>
      </c>
      <c r="B3154">
        <v>161</v>
      </c>
      <c r="C3154">
        <v>5</v>
      </c>
      <c r="D3154">
        <v>2975</v>
      </c>
      <c r="E3154" t="s">
        <v>651</v>
      </c>
      <c r="F3154">
        <v>8.68</v>
      </c>
      <c r="G3154" t="s">
        <v>623</v>
      </c>
      <c r="H3154" s="1">
        <v>46310.610138888886</v>
      </c>
      <c r="I3154" t="s">
        <v>643</v>
      </c>
      <c r="J3154">
        <v>8.68</v>
      </c>
      <c r="K3154">
        <v>0</v>
      </c>
    </row>
    <row r="3155" spans="1:11" x14ac:dyDescent="0.3">
      <c r="A3155">
        <v>3154</v>
      </c>
      <c r="B3155">
        <v>128</v>
      </c>
      <c r="C3155">
        <v>2</v>
      </c>
      <c r="D3155">
        <v>2976</v>
      </c>
      <c r="E3155" t="s">
        <v>651</v>
      </c>
      <c r="F3155">
        <v>2.15</v>
      </c>
      <c r="G3155" t="s">
        <v>623</v>
      </c>
      <c r="H3155" s="1">
        <v>46310.739594907405</v>
      </c>
      <c r="I3155" t="s">
        <v>643</v>
      </c>
      <c r="J3155">
        <v>2.15</v>
      </c>
      <c r="K3155">
        <v>0</v>
      </c>
    </row>
    <row r="3156" spans="1:11" x14ac:dyDescent="0.3">
      <c r="A3156">
        <v>3155</v>
      </c>
      <c r="B3156">
        <v>65</v>
      </c>
      <c r="C3156">
        <v>2</v>
      </c>
      <c r="D3156">
        <v>2977</v>
      </c>
      <c r="E3156" t="s">
        <v>657</v>
      </c>
      <c r="F3156">
        <v>24.56</v>
      </c>
      <c r="G3156" t="s">
        <v>623</v>
      </c>
      <c r="H3156" s="1">
        <v>46311.369201388887</v>
      </c>
      <c r="I3156" t="s">
        <v>643</v>
      </c>
      <c r="J3156">
        <v>0</v>
      </c>
      <c r="K3156">
        <v>24.56</v>
      </c>
    </row>
    <row r="3157" spans="1:11" x14ac:dyDescent="0.3">
      <c r="A3157">
        <v>3156</v>
      </c>
      <c r="B3157">
        <v>88</v>
      </c>
      <c r="C3157">
        <v>4</v>
      </c>
      <c r="D3157">
        <v>2978</v>
      </c>
      <c r="E3157" t="s">
        <v>651</v>
      </c>
      <c r="F3157">
        <v>10.47</v>
      </c>
      <c r="G3157" t="s">
        <v>623</v>
      </c>
      <c r="H3157" s="1">
        <v>46311.372314814813</v>
      </c>
      <c r="I3157" t="s">
        <v>643</v>
      </c>
      <c r="J3157">
        <v>10.47</v>
      </c>
      <c r="K3157">
        <v>0</v>
      </c>
    </row>
    <row r="3158" spans="1:11" x14ac:dyDescent="0.3">
      <c r="A3158">
        <v>3157</v>
      </c>
      <c r="B3158">
        <v>128</v>
      </c>
      <c r="C3158">
        <v>3</v>
      </c>
      <c r="D3158">
        <v>2979</v>
      </c>
      <c r="E3158" t="s">
        <v>657</v>
      </c>
      <c r="F3158">
        <v>20.04</v>
      </c>
      <c r="G3158" t="s">
        <v>623</v>
      </c>
      <c r="H3158" s="1">
        <v>46311.414675925924</v>
      </c>
      <c r="I3158" t="s">
        <v>643</v>
      </c>
      <c r="J3158">
        <v>0</v>
      </c>
      <c r="K3158">
        <v>20.04</v>
      </c>
    </row>
    <row r="3159" spans="1:11" x14ac:dyDescent="0.3">
      <c r="A3159">
        <v>3158</v>
      </c>
      <c r="B3159">
        <v>119</v>
      </c>
      <c r="C3159">
        <v>2</v>
      </c>
      <c r="D3159">
        <v>2980</v>
      </c>
      <c r="E3159" t="s">
        <v>651</v>
      </c>
      <c r="F3159">
        <v>14.68</v>
      </c>
      <c r="G3159" t="s">
        <v>623</v>
      </c>
      <c r="H3159" s="1">
        <v>46311.591319444444</v>
      </c>
      <c r="I3159" t="s">
        <v>643</v>
      </c>
      <c r="J3159">
        <v>14.68</v>
      </c>
      <c r="K3159">
        <v>0</v>
      </c>
    </row>
    <row r="3160" spans="1:11" x14ac:dyDescent="0.3">
      <c r="A3160">
        <v>3159</v>
      </c>
      <c r="B3160">
        <v>65</v>
      </c>
      <c r="C3160">
        <v>2</v>
      </c>
      <c r="D3160">
        <v>2981</v>
      </c>
      <c r="E3160" t="s">
        <v>651</v>
      </c>
      <c r="F3160">
        <v>2.37</v>
      </c>
      <c r="G3160" t="s">
        <v>623</v>
      </c>
      <c r="H3160" s="1">
        <v>46311.644560185188</v>
      </c>
      <c r="I3160" t="s">
        <v>643</v>
      </c>
      <c r="J3160">
        <v>2.37</v>
      </c>
      <c r="K3160">
        <v>0</v>
      </c>
    </row>
    <row r="3161" spans="1:11" x14ac:dyDescent="0.3">
      <c r="A3161">
        <v>3160</v>
      </c>
      <c r="B3161">
        <v>273</v>
      </c>
      <c r="C3161">
        <v>5</v>
      </c>
      <c r="D3161">
        <v>2982</v>
      </c>
      <c r="E3161" t="s">
        <v>651</v>
      </c>
      <c r="F3161">
        <v>3.15</v>
      </c>
      <c r="G3161" t="s">
        <v>623</v>
      </c>
      <c r="H3161" s="1">
        <v>46312.37190972222</v>
      </c>
      <c r="I3161" t="s">
        <v>643</v>
      </c>
      <c r="J3161">
        <v>3.15</v>
      </c>
      <c r="K3161">
        <v>0</v>
      </c>
    </row>
    <row r="3162" spans="1:11" x14ac:dyDescent="0.3">
      <c r="A3162">
        <v>3161</v>
      </c>
      <c r="B3162">
        <v>134</v>
      </c>
      <c r="C3162">
        <v>3</v>
      </c>
      <c r="D3162">
        <v>2983</v>
      </c>
      <c r="E3162" t="s">
        <v>651</v>
      </c>
      <c r="F3162">
        <v>10.41</v>
      </c>
      <c r="G3162" t="s">
        <v>623</v>
      </c>
      <c r="H3162" s="1">
        <v>46312.62903935185</v>
      </c>
      <c r="I3162" t="s">
        <v>643</v>
      </c>
      <c r="J3162">
        <v>10.41</v>
      </c>
      <c r="K3162">
        <v>0</v>
      </c>
    </row>
    <row r="3163" spans="1:11" x14ac:dyDescent="0.3">
      <c r="A3163">
        <v>3162</v>
      </c>
      <c r="B3163">
        <v>285</v>
      </c>
      <c r="C3163">
        <v>5</v>
      </c>
      <c r="D3163">
        <v>2984</v>
      </c>
      <c r="E3163" t="s">
        <v>651</v>
      </c>
      <c r="F3163">
        <v>2.82</v>
      </c>
      <c r="G3163" t="s">
        <v>623</v>
      </c>
      <c r="H3163" s="1">
        <v>46312.715462962966</v>
      </c>
      <c r="I3163" t="s">
        <v>643</v>
      </c>
      <c r="J3163">
        <v>2.82</v>
      </c>
      <c r="K3163">
        <v>0</v>
      </c>
    </row>
    <row r="3164" spans="1:11" x14ac:dyDescent="0.3">
      <c r="A3164">
        <v>3163</v>
      </c>
      <c r="B3164">
        <v>163</v>
      </c>
      <c r="C3164">
        <v>2</v>
      </c>
      <c r="D3164">
        <v>2985</v>
      </c>
      <c r="E3164" t="s">
        <v>651</v>
      </c>
      <c r="F3164">
        <v>5.66</v>
      </c>
      <c r="G3164" t="s">
        <v>623</v>
      </c>
      <c r="H3164" s="1">
        <v>46312.768761574072</v>
      </c>
      <c r="I3164" t="s">
        <v>643</v>
      </c>
      <c r="J3164">
        <v>5.66</v>
      </c>
      <c r="K3164">
        <v>0</v>
      </c>
    </row>
    <row r="3165" spans="1:11" x14ac:dyDescent="0.3">
      <c r="A3165">
        <v>3164</v>
      </c>
      <c r="B3165">
        <v>48</v>
      </c>
      <c r="C3165">
        <v>5</v>
      </c>
      <c r="D3165">
        <v>2986</v>
      </c>
      <c r="E3165" t="s">
        <v>651</v>
      </c>
      <c r="F3165">
        <v>13.92</v>
      </c>
      <c r="G3165" t="s">
        <v>623</v>
      </c>
      <c r="H3165" s="1">
        <v>46313.294641203705</v>
      </c>
      <c r="I3165" t="s">
        <v>643</v>
      </c>
      <c r="J3165">
        <v>13.92</v>
      </c>
      <c r="K3165">
        <v>0</v>
      </c>
    </row>
    <row r="3166" spans="1:11" x14ac:dyDescent="0.3">
      <c r="A3166">
        <v>3165</v>
      </c>
      <c r="B3166">
        <v>11</v>
      </c>
      <c r="C3166">
        <v>4</v>
      </c>
      <c r="D3166">
        <v>2987</v>
      </c>
      <c r="E3166" t="s">
        <v>651</v>
      </c>
      <c r="F3166">
        <v>23.82</v>
      </c>
      <c r="G3166" t="s">
        <v>623</v>
      </c>
      <c r="H3166" s="1">
        <v>46313.417164351849</v>
      </c>
      <c r="I3166" t="s">
        <v>643</v>
      </c>
      <c r="J3166">
        <v>23.82</v>
      </c>
      <c r="K3166">
        <v>0</v>
      </c>
    </row>
    <row r="3167" spans="1:11" x14ac:dyDescent="0.3">
      <c r="A3167">
        <v>3166</v>
      </c>
      <c r="B3167">
        <v>147</v>
      </c>
      <c r="C3167">
        <v>3</v>
      </c>
      <c r="D3167">
        <v>2988</v>
      </c>
      <c r="E3167" t="s">
        <v>651</v>
      </c>
      <c r="F3167">
        <v>14.92</v>
      </c>
      <c r="G3167" t="s">
        <v>623</v>
      </c>
      <c r="H3167" s="1">
        <v>46313.417534722219</v>
      </c>
      <c r="I3167" t="s">
        <v>643</v>
      </c>
      <c r="J3167">
        <v>14.92</v>
      </c>
      <c r="K3167">
        <v>0</v>
      </c>
    </row>
    <row r="3168" spans="1:11" x14ac:dyDescent="0.3">
      <c r="A3168">
        <v>3167</v>
      </c>
      <c r="B3168">
        <v>61</v>
      </c>
      <c r="C3168">
        <v>3</v>
      </c>
      <c r="D3168">
        <v>2989</v>
      </c>
      <c r="E3168" t="s">
        <v>651</v>
      </c>
      <c r="F3168">
        <v>11.22</v>
      </c>
      <c r="G3168" t="s">
        <v>623</v>
      </c>
      <c r="H3168" s="1">
        <v>46313.48982638889</v>
      </c>
      <c r="I3168" t="s">
        <v>643</v>
      </c>
      <c r="J3168">
        <v>11.22</v>
      </c>
      <c r="K3168">
        <v>0</v>
      </c>
    </row>
    <row r="3169" spans="1:11" x14ac:dyDescent="0.3">
      <c r="A3169">
        <v>3168</v>
      </c>
      <c r="B3169">
        <v>128</v>
      </c>
      <c r="C3169">
        <v>5</v>
      </c>
      <c r="D3169">
        <v>2990</v>
      </c>
      <c r="E3169" t="s">
        <v>657</v>
      </c>
      <c r="F3169">
        <v>23.89</v>
      </c>
      <c r="G3169" t="s">
        <v>623</v>
      </c>
      <c r="H3169" s="1">
        <v>46313.602962962963</v>
      </c>
      <c r="I3169" t="s">
        <v>643</v>
      </c>
      <c r="J3169">
        <v>0</v>
      </c>
      <c r="K3169">
        <v>23.89</v>
      </c>
    </row>
    <row r="3170" spans="1:11" x14ac:dyDescent="0.3">
      <c r="A3170">
        <v>3169</v>
      </c>
      <c r="B3170">
        <v>270</v>
      </c>
      <c r="C3170">
        <v>4</v>
      </c>
      <c r="D3170">
        <v>2991</v>
      </c>
      <c r="E3170" t="s">
        <v>651</v>
      </c>
      <c r="F3170">
        <v>3.83</v>
      </c>
      <c r="G3170" t="s">
        <v>623</v>
      </c>
      <c r="H3170" s="1">
        <v>46313.619189814817</v>
      </c>
      <c r="I3170" t="s">
        <v>643</v>
      </c>
      <c r="J3170">
        <v>3.83</v>
      </c>
      <c r="K3170">
        <v>0</v>
      </c>
    </row>
    <row r="3171" spans="1:11" x14ac:dyDescent="0.3">
      <c r="A3171">
        <v>3170</v>
      </c>
      <c r="B3171">
        <v>128</v>
      </c>
      <c r="C3171">
        <v>5</v>
      </c>
      <c r="D3171">
        <v>2992</v>
      </c>
      <c r="E3171" t="s">
        <v>651</v>
      </c>
      <c r="F3171">
        <v>3.87</v>
      </c>
      <c r="G3171" t="s">
        <v>623</v>
      </c>
      <c r="H3171" s="1">
        <v>46313.635312500002</v>
      </c>
      <c r="I3171" t="s">
        <v>643</v>
      </c>
      <c r="J3171">
        <v>3.87</v>
      </c>
      <c r="K3171">
        <v>0</v>
      </c>
    </row>
    <row r="3172" spans="1:11" x14ac:dyDescent="0.3">
      <c r="A3172">
        <v>3171</v>
      </c>
      <c r="B3172">
        <v>39</v>
      </c>
      <c r="C3172">
        <v>2</v>
      </c>
      <c r="D3172">
        <v>2993</v>
      </c>
      <c r="E3172" t="s">
        <v>651</v>
      </c>
      <c r="F3172">
        <v>17.43</v>
      </c>
      <c r="G3172" t="s">
        <v>623</v>
      </c>
      <c r="H3172" s="1">
        <v>46314.46979166667</v>
      </c>
      <c r="I3172" t="s">
        <v>643</v>
      </c>
      <c r="J3172">
        <v>17.43</v>
      </c>
      <c r="K3172">
        <v>0</v>
      </c>
    </row>
    <row r="3173" spans="1:11" x14ac:dyDescent="0.3">
      <c r="A3173">
        <v>3172</v>
      </c>
      <c r="B3173">
        <v>178</v>
      </c>
      <c r="C3173">
        <v>2</v>
      </c>
      <c r="D3173">
        <v>2994</v>
      </c>
      <c r="E3173" t="s">
        <v>657</v>
      </c>
      <c r="F3173">
        <v>119.09</v>
      </c>
      <c r="G3173" t="s">
        <v>623</v>
      </c>
      <c r="H3173" s="1">
        <v>46314.5856712963</v>
      </c>
      <c r="I3173" t="s">
        <v>643</v>
      </c>
      <c r="J3173">
        <v>0</v>
      </c>
      <c r="K3173">
        <v>119.09</v>
      </c>
    </row>
    <row r="3174" spans="1:11" x14ac:dyDescent="0.3">
      <c r="A3174">
        <v>3173</v>
      </c>
      <c r="B3174">
        <v>171</v>
      </c>
      <c r="C3174">
        <v>4</v>
      </c>
      <c r="D3174">
        <v>2995</v>
      </c>
      <c r="E3174" t="s">
        <v>651</v>
      </c>
      <c r="F3174">
        <v>9.16</v>
      </c>
      <c r="G3174" t="s">
        <v>623</v>
      </c>
      <c r="H3174" s="1">
        <v>46314.59</v>
      </c>
      <c r="I3174" t="s">
        <v>643</v>
      </c>
      <c r="J3174">
        <v>9.16</v>
      </c>
      <c r="K3174">
        <v>0</v>
      </c>
    </row>
    <row r="3175" spans="1:11" x14ac:dyDescent="0.3">
      <c r="A3175">
        <v>3174</v>
      </c>
      <c r="B3175">
        <v>169</v>
      </c>
      <c r="C3175">
        <v>4</v>
      </c>
      <c r="D3175">
        <v>2996</v>
      </c>
      <c r="E3175" t="s">
        <v>651</v>
      </c>
      <c r="F3175">
        <v>6.7</v>
      </c>
      <c r="G3175" t="s">
        <v>623</v>
      </c>
      <c r="H3175" s="1">
        <v>46314.639664351853</v>
      </c>
      <c r="I3175" t="s">
        <v>643</v>
      </c>
      <c r="J3175">
        <v>6.7</v>
      </c>
      <c r="K3175">
        <v>0</v>
      </c>
    </row>
    <row r="3176" spans="1:11" x14ac:dyDescent="0.3">
      <c r="A3176">
        <v>3175</v>
      </c>
      <c r="B3176">
        <v>75</v>
      </c>
      <c r="C3176">
        <v>4</v>
      </c>
      <c r="D3176">
        <v>2997</v>
      </c>
      <c r="E3176" t="s">
        <v>651</v>
      </c>
      <c r="F3176">
        <v>15.8</v>
      </c>
      <c r="G3176" t="s">
        <v>623</v>
      </c>
      <c r="H3176" s="1">
        <v>46315.326111111113</v>
      </c>
      <c r="I3176" t="s">
        <v>643</v>
      </c>
      <c r="J3176">
        <v>15.8</v>
      </c>
      <c r="K3176">
        <v>0</v>
      </c>
    </row>
    <row r="3177" spans="1:11" x14ac:dyDescent="0.3">
      <c r="A3177">
        <v>3176</v>
      </c>
      <c r="B3177">
        <v>137</v>
      </c>
      <c r="C3177">
        <v>5</v>
      </c>
      <c r="D3177">
        <v>2998</v>
      </c>
      <c r="E3177" t="s">
        <v>651</v>
      </c>
      <c r="F3177">
        <v>1.69</v>
      </c>
      <c r="G3177" t="s">
        <v>623</v>
      </c>
      <c r="H3177" s="1">
        <v>46315.615578703706</v>
      </c>
      <c r="I3177" t="s">
        <v>643</v>
      </c>
      <c r="J3177">
        <v>1.69</v>
      </c>
      <c r="K3177">
        <v>0</v>
      </c>
    </row>
    <row r="3178" spans="1:11" x14ac:dyDescent="0.3">
      <c r="A3178">
        <v>3177</v>
      </c>
      <c r="B3178">
        <v>156</v>
      </c>
      <c r="C3178">
        <v>3</v>
      </c>
      <c r="D3178">
        <v>2999</v>
      </c>
      <c r="E3178" t="s">
        <v>651</v>
      </c>
      <c r="F3178">
        <v>3.2</v>
      </c>
      <c r="G3178" t="s">
        <v>623</v>
      </c>
      <c r="H3178" s="1">
        <v>46315.688599537039</v>
      </c>
      <c r="I3178" t="s">
        <v>643</v>
      </c>
      <c r="J3178">
        <v>3.2</v>
      </c>
      <c r="K3178">
        <v>0</v>
      </c>
    </row>
    <row r="3179" spans="1:11" x14ac:dyDescent="0.3">
      <c r="A3179">
        <v>3178</v>
      </c>
      <c r="B3179">
        <v>219</v>
      </c>
      <c r="C3179">
        <v>4</v>
      </c>
      <c r="D3179">
        <v>3000</v>
      </c>
      <c r="E3179" t="s">
        <v>651</v>
      </c>
      <c r="F3179">
        <v>5.62</v>
      </c>
      <c r="G3179" t="s">
        <v>623</v>
      </c>
      <c r="H3179" s="1">
        <v>46315.825520833336</v>
      </c>
      <c r="I3179" t="s">
        <v>643</v>
      </c>
      <c r="J3179">
        <v>5.62</v>
      </c>
      <c r="K3179">
        <v>0</v>
      </c>
    </row>
    <row r="3180" spans="1:11" x14ac:dyDescent="0.3">
      <c r="A3180">
        <v>3179</v>
      </c>
      <c r="B3180">
        <v>156</v>
      </c>
      <c r="C3180">
        <v>5</v>
      </c>
      <c r="D3180">
        <v>2999</v>
      </c>
      <c r="E3180" t="s">
        <v>649</v>
      </c>
      <c r="F3180">
        <v>-3.2</v>
      </c>
      <c r="G3180" t="s">
        <v>775</v>
      </c>
      <c r="H3180" s="1">
        <v>46315.855266203704</v>
      </c>
      <c r="I3180" t="s">
        <v>643</v>
      </c>
      <c r="J3180">
        <v>0</v>
      </c>
      <c r="K318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CA7E-DD93-4153-8AE8-0B0D87346101}">
  <dimension ref="A1:G301"/>
  <sheetViews>
    <sheetView topLeftCell="H1" workbookViewId="0">
      <selection activeCell="H19" sqref="H19"/>
    </sheetView>
  </sheetViews>
  <sheetFormatPr baseColWidth="10" defaultRowHeight="14.4" x14ac:dyDescent="0.3"/>
  <cols>
    <col min="1" max="1" width="4.88671875" bestFit="1" customWidth="1"/>
    <col min="2" max="2" width="6.44140625" bestFit="1" customWidth="1"/>
    <col min="3" max="3" width="26.44140625" bestFit="1" customWidth="1"/>
    <col min="4" max="4" width="13" bestFit="1" customWidth="1"/>
    <col min="5" max="5" width="8.44140625" bestFit="1" customWidth="1"/>
    <col min="6" max="6" width="8.33203125" bestFit="1" customWidth="1"/>
    <col min="7" max="7" width="1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</v>
      </c>
      <c r="B2" t="s">
        <v>7</v>
      </c>
      <c r="C2" t="s">
        <v>8</v>
      </c>
      <c r="D2" t="s">
        <v>9</v>
      </c>
      <c r="E2">
        <v>35.4</v>
      </c>
      <c r="F2">
        <v>1</v>
      </c>
      <c r="G2" s="1">
        <v>45951.032638888886</v>
      </c>
    </row>
    <row r="3" spans="1:7" x14ac:dyDescent="0.3">
      <c r="A3">
        <v>7</v>
      </c>
      <c r="B3" t="s">
        <v>7</v>
      </c>
      <c r="C3" t="s">
        <v>10</v>
      </c>
      <c r="D3" t="s">
        <v>11</v>
      </c>
      <c r="E3">
        <v>38.04</v>
      </c>
      <c r="F3">
        <v>1</v>
      </c>
      <c r="G3" s="1">
        <v>45951.029861111114</v>
      </c>
    </row>
    <row r="4" spans="1:7" x14ac:dyDescent="0.3">
      <c r="A4">
        <v>8</v>
      </c>
      <c r="B4" t="s">
        <v>7</v>
      </c>
      <c r="C4" t="s">
        <v>12</v>
      </c>
      <c r="D4" t="s">
        <v>13</v>
      </c>
      <c r="E4">
        <v>16.600000000000001</v>
      </c>
      <c r="F4">
        <v>1</v>
      </c>
      <c r="G4" s="1">
        <v>45951.009027777778</v>
      </c>
    </row>
    <row r="5" spans="1:7" x14ac:dyDescent="0.3">
      <c r="A5">
        <v>9</v>
      </c>
      <c r="B5" t="s">
        <v>7</v>
      </c>
      <c r="C5" t="s">
        <v>14</v>
      </c>
      <c r="D5" t="s">
        <v>15</v>
      </c>
      <c r="E5">
        <v>28.06</v>
      </c>
      <c r="F5">
        <v>1</v>
      </c>
      <c r="G5" s="1">
        <v>45951.236805555556</v>
      </c>
    </row>
    <row r="6" spans="1:7" x14ac:dyDescent="0.3">
      <c r="A6">
        <v>10</v>
      </c>
      <c r="B6" t="s">
        <v>7</v>
      </c>
      <c r="C6" t="s">
        <v>16</v>
      </c>
      <c r="D6" t="s">
        <v>17</v>
      </c>
      <c r="E6">
        <v>30.79</v>
      </c>
      <c r="F6">
        <v>1</v>
      </c>
      <c r="G6" s="1">
        <v>45951.118750000001</v>
      </c>
    </row>
    <row r="7" spans="1:7" x14ac:dyDescent="0.3">
      <c r="A7">
        <v>11</v>
      </c>
      <c r="B7" t="s">
        <v>7</v>
      </c>
      <c r="C7" t="s">
        <v>18</v>
      </c>
      <c r="D7" t="s">
        <v>19</v>
      </c>
      <c r="E7">
        <v>312.72000000000003</v>
      </c>
      <c r="F7">
        <v>1</v>
      </c>
      <c r="G7" s="1">
        <v>45951.050694444442</v>
      </c>
    </row>
    <row r="8" spans="1:7" x14ac:dyDescent="0.3">
      <c r="A8">
        <v>12</v>
      </c>
      <c r="B8" t="s">
        <v>7</v>
      </c>
      <c r="C8" t="s">
        <v>20</v>
      </c>
      <c r="D8" t="s">
        <v>21</v>
      </c>
      <c r="E8">
        <v>26.3</v>
      </c>
      <c r="F8">
        <v>1</v>
      </c>
      <c r="G8" s="1">
        <v>45951.120833333334</v>
      </c>
    </row>
    <row r="9" spans="1:7" x14ac:dyDescent="0.3">
      <c r="A9">
        <v>13</v>
      </c>
      <c r="B9" t="s">
        <v>7</v>
      </c>
      <c r="C9" t="s">
        <v>22</v>
      </c>
      <c r="D9" t="s">
        <v>23</v>
      </c>
      <c r="E9">
        <v>7.98</v>
      </c>
      <c r="F9">
        <v>1</v>
      </c>
      <c r="G9" s="1">
        <v>45951.171527777777</v>
      </c>
    </row>
    <row r="10" spans="1:7" x14ac:dyDescent="0.3">
      <c r="A10">
        <v>14</v>
      </c>
      <c r="B10" t="s">
        <v>7</v>
      </c>
      <c r="C10" t="s">
        <v>24</v>
      </c>
      <c r="D10" t="s">
        <v>25</v>
      </c>
      <c r="E10">
        <v>32.880000000000003</v>
      </c>
      <c r="F10">
        <v>1</v>
      </c>
      <c r="G10" s="1">
        <v>45951.23541666667</v>
      </c>
    </row>
    <row r="11" spans="1:7" x14ac:dyDescent="0.3">
      <c r="A11">
        <v>15</v>
      </c>
      <c r="B11" t="s">
        <v>7</v>
      </c>
      <c r="C11" t="s">
        <v>26</v>
      </c>
      <c r="D11" t="s">
        <v>27</v>
      </c>
      <c r="E11">
        <v>20.399999999999999</v>
      </c>
      <c r="F11">
        <v>1</v>
      </c>
      <c r="G11" s="1">
        <v>45951.029166666667</v>
      </c>
    </row>
    <row r="12" spans="1:7" x14ac:dyDescent="0.3">
      <c r="A12">
        <v>16</v>
      </c>
      <c r="B12" t="s">
        <v>7</v>
      </c>
      <c r="C12" t="s">
        <v>28</v>
      </c>
      <c r="D12" t="s">
        <v>29</v>
      </c>
      <c r="E12">
        <v>121.76</v>
      </c>
      <c r="F12">
        <v>1</v>
      </c>
      <c r="G12" s="1">
        <v>45951.254166666666</v>
      </c>
    </row>
    <row r="13" spans="1:7" x14ac:dyDescent="0.3">
      <c r="A13">
        <v>17</v>
      </c>
      <c r="B13" t="s">
        <v>7</v>
      </c>
      <c r="C13" t="s">
        <v>30</v>
      </c>
      <c r="D13" t="s">
        <v>31</v>
      </c>
      <c r="E13">
        <v>110.97</v>
      </c>
      <c r="F13">
        <v>1</v>
      </c>
      <c r="G13" s="1">
        <v>45951.090277777781</v>
      </c>
    </row>
    <row r="14" spans="1:7" x14ac:dyDescent="0.3">
      <c r="A14">
        <v>18</v>
      </c>
      <c r="B14" t="s">
        <v>7</v>
      </c>
      <c r="C14" t="s">
        <v>32</v>
      </c>
      <c r="D14" t="s">
        <v>33</v>
      </c>
      <c r="E14">
        <v>200.67</v>
      </c>
      <c r="F14">
        <v>1</v>
      </c>
      <c r="G14" s="1">
        <v>45951.249305555553</v>
      </c>
    </row>
    <row r="15" spans="1:7" x14ac:dyDescent="0.3">
      <c r="A15">
        <v>19</v>
      </c>
      <c r="B15" t="s">
        <v>7</v>
      </c>
      <c r="C15" t="s">
        <v>34</v>
      </c>
      <c r="D15" t="s">
        <v>35</v>
      </c>
      <c r="E15">
        <v>9.85</v>
      </c>
      <c r="F15">
        <v>1</v>
      </c>
      <c r="G15" s="1">
        <v>45951.061805555553</v>
      </c>
    </row>
    <row r="16" spans="1:7" x14ac:dyDescent="0.3">
      <c r="A16">
        <v>20</v>
      </c>
      <c r="B16" t="s">
        <v>7</v>
      </c>
      <c r="C16" t="s">
        <v>36</v>
      </c>
      <c r="D16" t="s">
        <v>37</v>
      </c>
      <c r="E16">
        <v>15.97</v>
      </c>
      <c r="F16">
        <v>1</v>
      </c>
      <c r="G16" s="1">
        <v>45951.120138888888</v>
      </c>
    </row>
    <row r="17" spans="1:7" x14ac:dyDescent="0.3">
      <c r="A17">
        <v>21</v>
      </c>
      <c r="B17" t="s">
        <v>7</v>
      </c>
      <c r="C17" t="s">
        <v>38</v>
      </c>
      <c r="D17" t="s">
        <v>39</v>
      </c>
      <c r="E17">
        <v>63.3</v>
      </c>
      <c r="F17">
        <v>1</v>
      </c>
      <c r="G17" s="1">
        <v>45951.136805555558</v>
      </c>
    </row>
    <row r="18" spans="1:7" x14ac:dyDescent="0.3">
      <c r="A18">
        <v>22</v>
      </c>
      <c r="B18" t="s">
        <v>7</v>
      </c>
      <c r="C18" t="s">
        <v>40</v>
      </c>
      <c r="D18" t="s">
        <v>41</v>
      </c>
      <c r="E18">
        <v>90.79</v>
      </c>
      <c r="F18">
        <v>0</v>
      </c>
      <c r="G18" s="1">
        <v>45951.092361111114</v>
      </c>
    </row>
    <row r="19" spans="1:7" x14ac:dyDescent="0.3">
      <c r="A19">
        <v>23</v>
      </c>
      <c r="B19" t="s">
        <v>7</v>
      </c>
      <c r="C19" t="s">
        <v>42</v>
      </c>
      <c r="D19" t="s">
        <v>43</v>
      </c>
      <c r="E19">
        <v>59.5</v>
      </c>
      <c r="F19">
        <v>1</v>
      </c>
      <c r="G19" s="1">
        <v>45951.052083333336</v>
      </c>
    </row>
    <row r="20" spans="1:7" x14ac:dyDescent="0.3">
      <c r="A20">
        <v>24</v>
      </c>
      <c r="B20" t="s">
        <v>7</v>
      </c>
      <c r="C20" t="s">
        <v>44</v>
      </c>
      <c r="D20" t="s">
        <v>45</v>
      </c>
      <c r="E20">
        <v>180.86</v>
      </c>
      <c r="F20">
        <v>1</v>
      </c>
      <c r="G20" s="1">
        <v>45951.164583333331</v>
      </c>
    </row>
    <row r="21" spans="1:7" x14ac:dyDescent="0.3">
      <c r="A21">
        <v>25</v>
      </c>
      <c r="B21" t="s">
        <v>7</v>
      </c>
      <c r="C21" t="s">
        <v>46</v>
      </c>
      <c r="D21" t="s">
        <v>47</v>
      </c>
      <c r="E21">
        <v>7.24</v>
      </c>
      <c r="F21">
        <v>0</v>
      </c>
      <c r="G21" s="1">
        <v>45951.063888888886</v>
      </c>
    </row>
    <row r="22" spans="1:7" x14ac:dyDescent="0.3">
      <c r="A22">
        <v>26</v>
      </c>
      <c r="B22" t="s">
        <v>7</v>
      </c>
      <c r="C22" t="s">
        <v>48</v>
      </c>
      <c r="D22" t="s">
        <v>49</v>
      </c>
      <c r="E22">
        <v>6.92</v>
      </c>
      <c r="F22">
        <v>1</v>
      </c>
      <c r="G22" s="1">
        <v>45951.069444444445</v>
      </c>
    </row>
    <row r="23" spans="1:7" x14ac:dyDescent="0.3">
      <c r="A23">
        <v>27</v>
      </c>
      <c r="B23" t="s">
        <v>7</v>
      </c>
      <c r="C23" t="s">
        <v>50</v>
      </c>
      <c r="D23" t="s">
        <v>51</v>
      </c>
      <c r="E23">
        <v>144.69999999999999</v>
      </c>
      <c r="F23">
        <v>1</v>
      </c>
      <c r="G23" s="1">
        <v>45951.186805555553</v>
      </c>
    </row>
    <row r="24" spans="1:7" x14ac:dyDescent="0.3">
      <c r="A24">
        <v>28</v>
      </c>
      <c r="B24" t="s">
        <v>7</v>
      </c>
      <c r="C24" t="s">
        <v>52</v>
      </c>
      <c r="D24" t="s">
        <v>53</v>
      </c>
      <c r="E24">
        <v>44.26</v>
      </c>
      <c r="F24">
        <v>1</v>
      </c>
      <c r="G24" s="1">
        <v>45951.029861111114</v>
      </c>
    </row>
    <row r="25" spans="1:7" x14ac:dyDescent="0.3">
      <c r="A25">
        <v>29</v>
      </c>
      <c r="B25" t="s">
        <v>7</v>
      </c>
      <c r="C25" t="s">
        <v>54</v>
      </c>
      <c r="D25" t="s">
        <v>55</v>
      </c>
      <c r="E25">
        <v>55.92</v>
      </c>
      <c r="F25">
        <v>1</v>
      </c>
      <c r="G25" s="1">
        <v>45951.088194444441</v>
      </c>
    </row>
    <row r="26" spans="1:7" x14ac:dyDescent="0.3">
      <c r="A26">
        <v>30</v>
      </c>
      <c r="B26" t="s">
        <v>7</v>
      </c>
      <c r="C26" t="s">
        <v>56</v>
      </c>
      <c r="D26" t="s">
        <v>57</v>
      </c>
      <c r="E26">
        <v>15.68</v>
      </c>
      <c r="F26">
        <v>1</v>
      </c>
      <c r="G26" s="1">
        <v>45951.24722222222</v>
      </c>
    </row>
    <row r="27" spans="1:7" x14ac:dyDescent="0.3">
      <c r="A27">
        <v>31</v>
      </c>
      <c r="B27" t="s">
        <v>7</v>
      </c>
      <c r="C27" t="s">
        <v>58</v>
      </c>
      <c r="D27" t="s">
        <v>59</v>
      </c>
      <c r="E27">
        <v>40.479999999999997</v>
      </c>
      <c r="F27">
        <v>1</v>
      </c>
      <c r="G27" s="1">
        <v>45951.038194444445</v>
      </c>
    </row>
    <row r="28" spans="1:7" x14ac:dyDescent="0.3">
      <c r="A28">
        <v>32</v>
      </c>
      <c r="B28" t="s">
        <v>7</v>
      </c>
      <c r="C28" t="s">
        <v>60</v>
      </c>
      <c r="D28" t="s">
        <v>61</v>
      </c>
      <c r="E28">
        <v>54.47</v>
      </c>
      <c r="F28">
        <v>1</v>
      </c>
      <c r="G28" s="1">
        <v>45951.256944444445</v>
      </c>
    </row>
    <row r="29" spans="1:7" x14ac:dyDescent="0.3">
      <c r="A29">
        <v>33</v>
      </c>
      <c r="B29" t="s">
        <v>7</v>
      </c>
      <c r="C29" t="s">
        <v>62</v>
      </c>
      <c r="D29" t="s">
        <v>63</v>
      </c>
      <c r="E29">
        <v>8.24</v>
      </c>
      <c r="F29">
        <v>1</v>
      </c>
      <c r="G29" s="1">
        <v>45951.125694444447</v>
      </c>
    </row>
    <row r="30" spans="1:7" x14ac:dyDescent="0.3">
      <c r="A30">
        <v>34</v>
      </c>
      <c r="B30" t="s">
        <v>7</v>
      </c>
      <c r="C30" t="s">
        <v>64</v>
      </c>
      <c r="D30" t="s">
        <v>65</v>
      </c>
      <c r="E30">
        <v>107.8</v>
      </c>
      <c r="F30">
        <v>1</v>
      </c>
      <c r="G30" s="1">
        <v>45951.080555555556</v>
      </c>
    </row>
    <row r="31" spans="1:7" x14ac:dyDescent="0.3">
      <c r="A31">
        <v>35</v>
      </c>
      <c r="B31" t="s">
        <v>7</v>
      </c>
      <c r="C31" t="s">
        <v>66</v>
      </c>
      <c r="D31" t="s">
        <v>67</v>
      </c>
      <c r="E31">
        <v>38</v>
      </c>
      <c r="F31">
        <v>1</v>
      </c>
      <c r="G31" s="1">
        <v>45951.25277777778</v>
      </c>
    </row>
    <row r="32" spans="1:7" x14ac:dyDescent="0.3">
      <c r="A32">
        <v>36</v>
      </c>
      <c r="B32" t="s">
        <v>7</v>
      </c>
      <c r="C32" t="s">
        <v>68</v>
      </c>
      <c r="D32" t="s">
        <v>69</v>
      </c>
      <c r="E32">
        <v>76.64</v>
      </c>
      <c r="F32">
        <v>1</v>
      </c>
      <c r="G32" s="1">
        <v>45951.173611111109</v>
      </c>
    </row>
    <row r="33" spans="1:7" x14ac:dyDescent="0.3">
      <c r="A33">
        <v>37</v>
      </c>
      <c r="B33" t="s">
        <v>7</v>
      </c>
      <c r="C33" t="s">
        <v>70</v>
      </c>
      <c r="D33" t="s">
        <v>71</v>
      </c>
      <c r="E33">
        <v>80.900000000000006</v>
      </c>
      <c r="F33">
        <v>1</v>
      </c>
      <c r="G33" s="1">
        <v>45951.199999999997</v>
      </c>
    </row>
    <row r="34" spans="1:7" x14ac:dyDescent="0.3">
      <c r="A34">
        <v>38</v>
      </c>
      <c r="B34" t="s">
        <v>7</v>
      </c>
      <c r="C34" t="s">
        <v>72</v>
      </c>
      <c r="D34" t="s">
        <v>73</v>
      </c>
      <c r="E34">
        <v>22.76</v>
      </c>
      <c r="F34">
        <v>1</v>
      </c>
      <c r="G34" s="1">
        <v>45951.224305555559</v>
      </c>
    </row>
    <row r="35" spans="1:7" x14ac:dyDescent="0.3">
      <c r="A35">
        <v>39</v>
      </c>
      <c r="B35" t="s">
        <v>7</v>
      </c>
      <c r="C35" t="s">
        <v>74</v>
      </c>
      <c r="D35" t="s">
        <v>75</v>
      </c>
      <c r="E35">
        <v>172.04</v>
      </c>
      <c r="F35">
        <v>1</v>
      </c>
      <c r="G35" s="1">
        <v>45951.044444444444</v>
      </c>
    </row>
    <row r="36" spans="1:7" x14ac:dyDescent="0.3">
      <c r="A36">
        <v>40</v>
      </c>
      <c r="B36" t="s">
        <v>7</v>
      </c>
      <c r="C36" t="s">
        <v>76</v>
      </c>
      <c r="D36" t="s">
        <v>77</v>
      </c>
      <c r="E36">
        <v>100.95</v>
      </c>
      <c r="F36">
        <v>1</v>
      </c>
      <c r="G36" s="1">
        <v>45951.041666666664</v>
      </c>
    </row>
    <row r="37" spans="1:7" x14ac:dyDescent="0.3">
      <c r="A37">
        <v>41</v>
      </c>
      <c r="B37" t="s">
        <v>7</v>
      </c>
      <c r="C37" t="s">
        <v>78</v>
      </c>
      <c r="D37" t="s">
        <v>79</v>
      </c>
      <c r="E37">
        <v>88.34</v>
      </c>
      <c r="F37">
        <v>1</v>
      </c>
      <c r="G37" s="1">
        <v>45951.038194444445</v>
      </c>
    </row>
    <row r="38" spans="1:7" x14ac:dyDescent="0.3">
      <c r="A38">
        <v>42</v>
      </c>
      <c r="B38" t="s">
        <v>7</v>
      </c>
      <c r="C38" t="s">
        <v>80</v>
      </c>
      <c r="D38" t="s">
        <v>81</v>
      </c>
      <c r="E38">
        <v>24.52</v>
      </c>
      <c r="F38">
        <v>1</v>
      </c>
      <c r="G38" s="1">
        <v>45951.229861111111</v>
      </c>
    </row>
    <row r="39" spans="1:7" x14ac:dyDescent="0.3">
      <c r="A39">
        <v>43</v>
      </c>
      <c r="B39" t="s">
        <v>7</v>
      </c>
      <c r="C39" t="s">
        <v>82</v>
      </c>
      <c r="D39" t="s">
        <v>83</v>
      </c>
      <c r="E39">
        <v>64.099999999999994</v>
      </c>
      <c r="F39">
        <v>1</v>
      </c>
      <c r="G39" s="1">
        <v>45951.191666666666</v>
      </c>
    </row>
    <row r="40" spans="1:7" x14ac:dyDescent="0.3">
      <c r="A40">
        <v>44</v>
      </c>
      <c r="B40" t="s">
        <v>7</v>
      </c>
      <c r="C40" t="s">
        <v>84</v>
      </c>
      <c r="D40" t="s">
        <v>85</v>
      </c>
      <c r="E40">
        <v>41.8</v>
      </c>
      <c r="F40">
        <v>1</v>
      </c>
      <c r="G40" s="1">
        <v>45951.04583333333</v>
      </c>
    </row>
    <row r="41" spans="1:7" x14ac:dyDescent="0.3">
      <c r="A41">
        <v>45</v>
      </c>
      <c r="B41" t="s">
        <v>7</v>
      </c>
      <c r="C41" t="s">
        <v>86</v>
      </c>
      <c r="D41" t="s">
        <v>87</v>
      </c>
      <c r="E41">
        <v>59.11</v>
      </c>
      <c r="F41">
        <v>1</v>
      </c>
      <c r="G41" s="1">
        <v>45951.163194444445</v>
      </c>
    </row>
    <row r="42" spans="1:7" x14ac:dyDescent="0.3">
      <c r="A42">
        <v>46</v>
      </c>
      <c r="B42" t="s">
        <v>7</v>
      </c>
      <c r="C42" t="s">
        <v>88</v>
      </c>
      <c r="D42" t="s">
        <v>89</v>
      </c>
      <c r="E42">
        <v>17.22</v>
      </c>
      <c r="F42">
        <v>1</v>
      </c>
      <c r="G42" s="1">
        <v>45951.118750000001</v>
      </c>
    </row>
    <row r="43" spans="1:7" x14ac:dyDescent="0.3">
      <c r="A43">
        <v>47</v>
      </c>
      <c r="B43" t="s">
        <v>7</v>
      </c>
      <c r="C43" t="s">
        <v>90</v>
      </c>
      <c r="D43" t="s">
        <v>91</v>
      </c>
      <c r="E43">
        <v>29.3</v>
      </c>
      <c r="F43">
        <v>1</v>
      </c>
      <c r="G43" s="1">
        <v>45951.130555555559</v>
      </c>
    </row>
    <row r="44" spans="1:7" x14ac:dyDescent="0.3">
      <c r="A44">
        <v>48</v>
      </c>
      <c r="B44" t="s">
        <v>7</v>
      </c>
      <c r="C44" t="s">
        <v>92</v>
      </c>
      <c r="D44" t="s">
        <v>93</v>
      </c>
      <c r="E44">
        <v>152.44999999999999</v>
      </c>
      <c r="F44">
        <v>1</v>
      </c>
      <c r="G44" s="1">
        <v>45951.290972222225</v>
      </c>
    </row>
    <row r="45" spans="1:7" x14ac:dyDescent="0.3">
      <c r="A45">
        <v>49</v>
      </c>
      <c r="B45" t="s">
        <v>7</v>
      </c>
      <c r="C45" t="s">
        <v>94</v>
      </c>
      <c r="D45" t="s">
        <v>95</v>
      </c>
      <c r="E45">
        <v>88.12</v>
      </c>
      <c r="F45">
        <v>1</v>
      </c>
      <c r="G45" s="1">
        <v>45951.231944444444</v>
      </c>
    </row>
    <row r="46" spans="1:7" x14ac:dyDescent="0.3">
      <c r="A46">
        <v>50</v>
      </c>
      <c r="B46" t="s">
        <v>7</v>
      </c>
      <c r="C46" t="s">
        <v>96</v>
      </c>
      <c r="D46" t="s">
        <v>97</v>
      </c>
      <c r="E46">
        <v>65.13</v>
      </c>
      <c r="F46">
        <v>1</v>
      </c>
      <c r="G46" s="1">
        <v>45951.145833333336</v>
      </c>
    </row>
    <row r="47" spans="1:7" x14ac:dyDescent="0.3">
      <c r="A47">
        <v>51</v>
      </c>
      <c r="B47" t="s">
        <v>7</v>
      </c>
      <c r="C47" t="s">
        <v>98</v>
      </c>
      <c r="D47" t="s">
        <v>99</v>
      </c>
      <c r="E47">
        <v>230.17</v>
      </c>
      <c r="F47">
        <v>1</v>
      </c>
      <c r="G47" s="1">
        <v>45951.01666666667</v>
      </c>
    </row>
    <row r="48" spans="1:7" x14ac:dyDescent="0.3">
      <c r="A48">
        <v>52</v>
      </c>
      <c r="B48" t="s">
        <v>7</v>
      </c>
      <c r="C48" t="s">
        <v>100</v>
      </c>
      <c r="D48" t="s">
        <v>101</v>
      </c>
      <c r="E48">
        <v>10.68</v>
      </c>
      <c r="F48">
        <v>1</v>
      </c>
      <c r="G48" s="1">
        <v>45951.243055555555</v>
      </c>
    </row>
    <row r="49" spans="1:7" x14ac:dyDescent="0.3">
      <c r="A49">
        <v>53</v>
      </c>
      <c r="B49" t="s">
        <v>7</v>
      </c>
      <c r="C49" t="s">
        <v>102</v>
      </c>
      <c r="D49" t="s">
        <v>103</v>
      </c>
      <c r="E49">
        <v>14.72</v>
      </c>
      <c r="F49">
        <v>1</v>
      </c>
      <c r="G49" s="1">
        <v>45951.043749999997</v>
      </c>
    </row>
    <row r="50" spans="1:7" x14ac:dyDescent="0.3">
      <c r="A50">
        <v>54</v>
      </c>
      <c r="B50" t="s">
        <v>7</v>
      </c>
      <c r="C50" t="s">
        <v>104</v>
      </c>
      <c r="D50" t="s">
        <v>105</v>
      </c>
      <c r="E50">
        <v>15.04</v>
      </c>
      <c r="F50">
        <v>1</v>
      </c>
      <c r="G50" s="1">
        <v>45951.002083333333</v>
      </c>
    </row>
    <row r="51" spans="1:7" x14ac:dyDescent="0.3">
      <c r="A51">
        <v>55</v>
      </c>
      <c r="B51" t="s">
        <v>7</v>
      </c>
      <c r="C51" t="s">
        <v>106</v>
      </c>
      <c r="D51" t="s">
        <v>107</v>
      </c>
      <c r="E51">
        <v>42.91</v>
      </c>
      <c r="F51">
        <v>1</v>
      </c>
      <c r="G51" s="1">
        <v>45951.173611111109</v>
      </c>
    </row>
    <row r="52" spans="1:7" x14ac:dyDescent="0.3">
      <c r="A52">
        <v>56</v>
      </c>
      <c r="B52" t="s">
        <v>7</v>
      </c>
      <c r="C52" t="s">
        <v>108</v>
      </c>
      <c r="D52" t="s">
        <v>109</v>
      </c>
      <c r="E52">
        <v>66.55</v>
      </c>
      <c r="F52">
        <v>1</v>
      </c>
      <c r="G52" s="1">
        <v>45951.026388888888</v>
      </c>
    </row>
    <row r="53" spans="1:7" x14ac:dyDescent="0.3">
      <c r="A53">
        <v>57</v>
      </c>
      <c r="B53" t="s">
        <v>7</v>
      </c>
      <c r="C53" t="s">
        <v>110</v>
      </c>
      <c r="D53" t="s">
        <v>111</v>
      </c>
      <c r="E53">
        <v>107.53</v>
      </c>
      <c r="F53">
        <v>1</v>
      </c>
      <c r="G53" s="1">
        <v>45951.177083333336</v>
      </c>
    </row>
    <row r="54" spans="1:7" x14ac:dyDescent="0.3">
      <c r="A54">
        <v>58</v>
      </c>
      <c r="B54" t="s">
        <v>7</v>
      </c>
      <c r="C54" t="s">
        <v>112</v>
      </c>
      <c r="D54" t="s">
        <v>113</v>
      </c>
      <c r="E54">
        <v>80.2</v>
      </c>
      <c r="F54">
        <v>1</v>
      </c>
      <c r="G54" s="1">
        <v>45951.191666666666</v>
      </c>
    </row>
    <row r="55" spans="1:7" x14ac:dyDescent="0.3">
      <c r="A55">
        <v>59</v>
      </c>
      <c r="B55" t="s">
        <v>7</v>
      </c>
      <c r="C55" t="s">
        <v>114</v>
      </c>
      <c r="D55" t="s">
        <v>115</v>
      </c>
      <c r="E55">
        <v>24.69</v>
      </c>
      <c r="F55">
        <v>1</v>
      </c>
      <c r="G55" s="1">
        <v>45951.222222222219</v>
      </c>
    </row>
    <row r="56" spans="1:7" x14ac:dyDescent="0.3">
      <c r="A56">
        <v>60</v>
      </c>
      <c r="B56" t="s">
        <v>7</v>
      </c>
      <c r="C56" t="s">
        <v>116</v>
      </c>
      <c r="D56" t="s">
        <v>117</v>
      </c>
      <c r="E56">
        <v>127.03</v>
      </c>
      <c r="F56">
        <v>0</v>
      </c>
      <c r="G56" s="1">
        <v>45951.22152777778</v>
      </c>
    </row>
    <row r="57" spans="1:7" x14ac:dyDescent="0.3">
      <c r="A57">
        <v>61</v>
      </c>
      <c r="B57" t="s">
        <v>7</v>
      </c>
      <c r="C57" t="s">
        <v>118</v>
      </c>
      <c r="D57" t="s">
        <v>119</v>
      </c>
      <c r="E57">
        <v>50.58</v>
      </c>
      <c r="F57">
        <v>1</v>
      </c>
      <c r="G57" s="1">
        <v>45951.191666666666</v>
      </c>
    </row>
    <row r="58" spans="1:7" x14ac:dyDescent="0.3">
      <c r="A58">
        <v>62</v>
      </c>
      <c r="B58" t="s">
        <v>7</v>
      </c>
      <c r="C58" t="s">
        <v>120</v>
      </c>
      <c r="D58" t="s">
        <v>121</v>
      </c>
      <c r="E58">
        <v>26.41</v>
      </c>
      <c r="F58">
        <v>1</v>
      </c>
      <c r="G58" s="1">
        <v>45951.088888888888</v>
      </c>
    </row>
    <row r="59" spans="1:7" x14ac:dyDescent="0.3">
      <c r="A59">
        <v>63</v>
      </c>
      <c r="B59" t="s">
        <v>7</v>
      </c>
      <c r="C59" t="s">
        <v>122</v>
      </c>
      <c r="D59" t="s">
        <v>123</v>
      </c>
      <c r="E59">
        <v>10.77</v>
      </c>
      <c r="F59">
        <v>1</v>
      </c>
      <c r="G59" s="1">
        <v>45951.061111111114</v>
      </c>
    </row>
    <row r="60" spans="1:7" x14ac:dyDescent="0.3">
      <c r="A60">
        <v>64</v>
      </c>
      <c r="B60" t="s">
        <v>7</v>
      </c>
      <c r="C60" t="s">
        <v>124</v>
      </c>
      <c r="D60" t="s">
        <v>125</v>
      </c>
      <c r="E60">
        <v>50.07</v>
      </c>
      <c r="F60">
        <v>1</v>
      </c>
      <c r="G60" s="1">
        <v>45951.274305555555</v>
      </c>
    </row>
    <row r="61" spans="1:7" x14ac:dyDescent="0.3">
      <c r="A61">
        <v>65</v>
      </c>
      <c r="B61" t="s">
        <v>7</v>
      </c>
      <c r="C61" t="s">
        <v>126</v>
      </c>
      <c r="D61" t="s">
        <v>127</v>
      </c>
      <c r="E61">
        <v>82.01</v>
      </c>
      <c r="F61">
        <v>1</v>
      </c>
      <c r="G61" s="1">
        <v>45951.032638888886</v>
      </c>
    </row>
    <row r="62" spans="1:7" x14ac:dyDescent="0.3">
      <c r="A62">
        <v>66</v>
      </c>
      <c r="B62" t="s">
        <v>7</v>
      </c>
      <c r="C62" t="s">
        <v>128</v>
      </c>
      <c r="D62" t="s">
        <v>129</v>
      </c>
      <c r="E62">
        <v>77.86</v>
      </c>
      <c r="F62">
        <v>1</v>
      </c>
      <c r="G62" s="1">
        <v>45985.447916666664</v>
      </c>
    </row>
    <row r="63" spans="1:7" x14ac:dyDescent="0.3">
      <c r="A63">
        <v>67</v>
      </c>
      <c r="B63" t="s">
        <v>7</v>
      </c>
      <c r="C63" t="s">
        <v>130</v>
      </c>
      <c r="D63" t="s">
        <v>131</v>
      </c>
      <c r="E63">
        <v>9.43</v>
      </c>
      <c r="F63">
        <v>1</v>
      </c>
      <c r="G63" s="1">
        <v>46050.497916666667</v>
      </c>
    </row>
    <row r="64" spans="1:7" x14ac:dyDescent="0.3">
      <c r="A64">
        <v>68</v>
      </c>
      <c r="B64" t="s">
        <v>7</v>
      </c>
      <c r="C64" t="s">
        <v>132</v>
      </c>
      <c r="D64" t="s">
        <v>133</v>
      </c>
      <c r="E64">
        <v>5.78</v>
      </c>
      <c r="F64">
        <v>1</v>
      </c>
      <c r="G64" s="1">
        <v>46193.291666666664</v>
      </c>
    </row>
    <row r="65" spans="1:7" x14ac:dyDescent="0.3">
      <c r="A65">
        <v>69</v>
      </c>
      <c r="B65" t="s">
        <v>7</v>
      </c>
      <c r="C65" t="s">
        <v>134</v>
      </c>
      <c r="D65" t="s">
        <v>135</v>
      </c>
      <c r="E65">
        <v>38.64</v>
      </c>
      <c r="F65">
        <v>1</v>
      </c>
      <c r="G65" s="1">
        <v>45963.607638888891</v>
      </c>
    </row>
    <row r="66" spans="1:7" x14ac:dyDescent="0.3">
      <c r="A66">
        <v>70</v>
      </c>
      <c r="B66" t="s">
        <v>7</v>
      </c>
      <c r="C66" t="s">
        <v>136</v>
      </c>
      <c r="D66" t="s">
        <v>137</v>
      </c>
      <c r="E66">
        <v>196.96</v>
      </c>
      <c r="F66">
        <v>1</v>
      </c>
      <c r="G66" s="1">
        <v>45957.789583333331</v>
      </c>
    </row>
    <row r="67" spans="1:7" x14ac:dyDescent="0.3">
      <c r="A67">
        <v>71</v>
      </c>
      <c r="B67" t="s">
        <v>7</v>
      </c>
      <c r="C67" t="s">
        <v>138</v>
      </c>
      <c r="D67" t="s">
        <v>139</v>
      </c>
      <c r="E67">
        <v>2.37</v>
      </c>
      <c r="F67">
        <v>1</v>
      </c>
      <c r="G67" s="1">
        <v>46196.690972222219</v>
      </c>
    </row>
    <row r="68" spans="1:7" x14ac:dyDescent="0.3">
      <c r="A68">
        <v>72</v>
      </c>
      <c r="B68" t="s">
        <v>7</v>
      </c>
      <c r="C68" t="s">
        <v>140</v>
      </c>
      <c r="D68" t="s">
        <v>141</v>
      </c>
      <c r="E68">
        <v>19.14</v>
      </c>
      <c r="F68">
        <v>1</v>
      </c>
      <c r="G68" s="1">
        <v>45952.539583333331</v>
      </c>
    </row>
    <row r="69" spans="1:7" x14ac:dyDescent="0.3">
      <c r="A69">
        <v>73</v>
      </c>
      <c r="B69" t="s">
        <v>7</v>
      </c>
      <c r="C69" t="s">
        <v>142</v>
      </c>
      <c r="D69" t="s">
        <v>143</v>
      </c>
      <c r="E69">
        <v>7.46</v>
      </c>
      <c r="F69">
        <v>1</v>
      </c>
      <c r="G69" s="1">
        <v>46121.712500000001</v>
      </c>
    </row>
    <row r="70" spans="1:7" x14ac:dyDescent="0.3">
      <c r="A70">
        <v>74</v>
      </c>
      <c r="B70" t="s">
        <v>7</v>
      </c>
      <c r="C70" t="s">
        <v>144</v>
      </c>
      <c r="D70" t="s">
        <v>145</v>
      </c>
      <c r="E70">
        <v>11.82</v>
      </c>
      <c r="F70">
        <v>1</v>
      </c>
      <c r="G70" s="1">
        <v>46275.756249999999</v>
      </c>
    </row>
    <row r="71" spans="1:7" x14ac:dyDescent="0.3">
      <c r="A71">
        <v>75</v>
      </c>
      <c r="B71" t="s">
        <v>7</v>
      </c>
      <c r="C71" t="s">
        <v>146</v>
      </c>
      <c r="D71" t="s">
        <v>147</v>
      </c>
      <c r="E71">
        <v>138.46</v>
      </c>
      <c r="F71">
        <v>0</v>
      </c>
      <c r="G71" s="1">
        <v>46221.299305555556</v>
      </c>
    </row>
    <row r="72" spans="1:7" x14ac:dyDescent="0.3">
      <c r="A72">
        <v>76</v>
      </c>
      <c r="B72" t="s">
        <v>7</v>
      </c>
      <c r="C72" t="s">
        <v>148</v>
      </c>
      <c r="D72" t="s">
        <v>149</v>
      </c>
      <c r="E72">
        <v>72.31</v>
      </c>
      <c r="F72">
        <v>1</v>
      </c>
      <c r="G72" s="1">
        <v>45982.822222222225</v>
      </c>
    </row>
    <row r="73" spans="1:7" x14ac:dyDescent="0.3">
      <c r="A73">
        <v>77</v>
      </c>
      <c r="B73" t="s">
        <v>7</v>
      </c>
      <c r="C73" t="s">
        <v>150</v>
      </c>
      <c r="D73" t="s">
        <v>151</v>
      </c>
      <c r="E73">
        <v>15.64</v>
      </c>
      <c r="F73">
        <v>1</v>
      </c>
      <c r="G73" s="1">
        <v>46209.425000000003</v>
      </c>
    </row>
    <row r="74" spans="1:7" x14ac:dyDescent="0.3">
      <c r="A74">
        <v>78</v>
      </c>
      <c r="B74" t="s">
        <v>7</v>
      </c>
      <c r="C74" t="s">
        <v>152</v>
      </c>
      <c r="D74" t="s">
        <v>153</v>
      </c>
      <c r="E74">
        <v>0</v>
      </c>
      <c r="F74">
        <v>1</v>
      </c>
      <c r="G74" s="1">
        <v>46189.426388888889</v>
      </c>
    </row>
    <row r="75" spans="1:7" x14ac:dyDescent="0.3">
      <c r="A75">
        <v>79</v>
      </c>
      <c r="B75" t="s">
        <v>7</v>
      </c>
      <c r="C75" t="s">
        <v>154</v>
      </c>
      <c r="D75" t="s">
        <v>155</v>
      </c>
      <c r="E75">
        <v>5.14</v>
      </c>
      <c r="F75">
        <v>1</v>
      </c>
      <c r="G75" s="1">
        <v>45996.367361111108</v>
      </c>
    </row>
    <row r="76" spans="1:7" x14ac:dyDescent="0.3">
      <c r="A76">
        <v>80</v>
      </c>
      <c r="B76" t="s">
        <v>7</v>
      </c>
      <c r="C76" t="s">
        <v>156</v>
      </c>
      <c r="D76" t="s">
        <v>157</v>
      </c>
      <c r="E76">
        <v>29.92</v>
      </c>
      <c r="F76">
        <v>1</v>
      </c>
      <c r="G76" s="1">
        <v>46016.63958333333</v>
      </c>
    </row>
    <row r="77" spans="1:7" x14ac:dyDescent="0.3">
      <c r="A77">
        <v>81</v>
      </c>
      <c r="B77" t="s">
        <v>7</v>
      </c>
      <c r="C77" t="s">
        <v>84</v>
      </c>
      <c r="D77" t="s">
        <v>158</v>
      </c>
      <c r="E77">
        <v>29.43</v>
      </c>
      <c r="F77">
        <v>1</v>
      </c>
      <c r="G77" s="1">
        <v>45966.459722222222</v>
      </c>
    </row>
    <row r="78" spans="1:7" x14ac:dyDescent="0.3">
      <c r="A78">
        <v>82</v>
      </c>
      <c r="B78" t="s">
        <v>7</v>
      </c>
      <c r="C78" t="s">
        <v>159</v>
      </c>
      <c r="D78" t="s">
        <v>160</v>
      </c>
      <c r="E78">
        <v>22</v>
      </c>
      <c r="F78">
        <v>1</v>
      </c>
      <c r="G78" s="1">
        <v>46143.518750000003</v>
      </c>
    </row>
    <row r="79" spans="1:7" x14ac:dyDescent="0.3">
      <c r="A79">
        <v>83</v>
      </c>
      <c r="B79" t="s">
        <v>7</v>
      </c>
      <c r="C79" t="s">
        <v>161</v>
      </c>
      <c r="D79" t="s">
        <v>162</v>
      </c>
      <c r="E79">
        <v>15.11</v>
      </c>
      <c r="F79">
        <v>1</v>
      </c>
      <c r="G79" s="1">
        <v>46012.675000000003</v>
      </c>
    </row>
    <row r="80" spans="1:7" x14ac:dyDescent="0.3">
      <c r="A80">
        <v>84</v>
      </c>
      <c r="B80" t="s">
        <v>7</v>
      </c>
      <c r="C80" t="s">
        <v>163</v>
      </c>
      <c r="D80" t="s">
        <v>164</v>
      </c>
      <c r="E80">
        <v>57.77</v>
      </c>
      <c r="F80">
        <v>1</v>
      </c>
      <c r="G80" s="1">
        <v>45951.81527777778</v>
      </c>
    </row>
    <row r="81" spans="1:7" x14ac:dyDescent="0.3">
      <c r="A81">
        <v>85</v>
      </c>
      <c r="B81" t="s">
        <v>7</v>
      </c>
      <c r="C81" t="s">
        <v>165</v>
      </c>
      <c r="D81" t="s">
        <v>166</v>
      </c>
      <c r="E81">
        <v>67.540000000000006</v>
      </c>
      <c r="F81">
        <v>1</v>
      </c>
      <c r="G81" s="1">
        <v>45953.748611111114</v>
      </c>
    </row>
    <row r="82" spans="1:7" x14ac:dyDescent="0.3">
      <c r="A82">
        <v>86</v>
      </c>
      <c r="B82" t="s">
        <v>7</v>
      </c>
      <c r="C82" t="s">
        <v>167</v>
      </c>
      <c r="D82" t="s">
        <v>168</v>
      </c>
      <c r="E82">
        <v>20.43</v>
      </c>
      <c r="F82">
        <v>1</v>
      </c>
      <c r="G82" s="1">
        <v>46139.480555555558</v>
      </c>
    </row>
    <row r="83" spans="1:7" x14ac:dyDescent="0.3">
      <c r="A83">
        <v>87</v>
      </c>
      <c r="B83" t="s">
        <v>7</v>
      </c>
      <c r="C83" t="s">
        <v>169</v>
      </c>
      <c r="D83" t="s">
        <v>170</v>
      </c>
      <c r="E83">
        <v>175.21</v>
      </c>
      <c r="F83">
        <v>1</v>
      </c>
      <c r="G83" s="1">
        <v>46017.482638888891</v>
      </c>
    </row>
    <row r="84" spans="1:7" x14ac:dyDescent="0.3">
      <c r="A84">
        <v>88</v>
      </c>
      <c r="B84" t="s">
        <v>7</v>
      </c>
      <c r="C84" t="s">
        <v>171</v>
      </c>
      <c r="D84" t="s">
        <v>172</v>
      </c>
      <c r="E84">
        <v>15.08</v>
      </c>
      <c r="F84">
        <v>1</v>
      </c>
      <c r="G84" s="1">
        <v>46114.571527777778</v>
      </c>
    </row>
    <row r="85" spans="1:7" x14ac:dyDescent="0.3">
      <c r="A85">
        <v>89</v>
      </c>
      <c r="B85" t="s">
        <v>7</v>
      </c>
      <c r="C85" t="s">
        <v>173</v>
      </c>
      <c r="D85" t="s">
        <v>174</v>
      </c>
      <c r="E85">
        <v>61.13</v>
      </c>
      <c r="F85">
        <v>1</v>
      </c>
      <c r="G85" s="1">
        <v>46018.304861111108</v>
      </c>
    </row>
    <row r="86" spans="1:7" x14ac:dyDescent="0.3">
      <c r="A86">
        <v>90</v>
      </c>
      <c r="B86" t="s">
        <v>7</v>
      </c>
      <c r="C86" t="s">
        <v>175</v>
      </c>
      <c r="D86" t="s">
        <v>176</v>
      </c>
      <c r="E86">
        <v>48.47</v>
      </c>
      <c r="F86">
        <v>0</v>
      </c>
      <c r="G86" s="1">
        <v>46171.695138888892</v>
      </c>
    </row>
    <row r="87" spans="1:7" x14ac:dyDescent="0.3">
      <c r="A87">
        <v>91</v>
      </c>
      <c r="B87" t="s">
        <v>7</v>
      </c>
      <c r="C87" t="s">
        <v>177</v>
      </c>
      <c r="D87" t="s">
        <v>178</v>
      </c>
      <c r="E87">
        <v>12.33</v>
      </c>
      <c r="F87">
        <v>1</v>
      </c>
      <c r="G87" s="1">
        <v>46029.438888888886</v>
      </c>
    </row>
    <row r="88" spans="1:7" x14ac:dyDescent="0.3">
      <c r="A88">
        <v>92</v>
      </c>
      <c r="B88" t="s">
        <v>7</v>
      </c>
      <c r="C88" t="s">
        <v>179</v>
      </c>
      <c r="D88" t="s">
        <v>180</v>
      </c>
      <c r="E88">
        <v>14.51</v>
      </c>
      <c r="F88">
        <v>1</v>
      </c>
      <c r="G88" s="1">
        <v>45986.736111111109</v>
      </c>
    </row>
    <row r="89" spans="1:7" x14ac:dyDescent="0.3">
      <c r="A89">
        <v>93</v>
      </c>
      <c r="B89" t="s">
        <v>7</v>
      </c>
      <c r="C89" t="s">
        <v>181</v>
      </c>
      <c r="D89" t="s">
        <v>182</v>
      </c>
      <c r="E89">
        <v>0</v>
      </c>
      <c r="F89">
        <v>1</v>
      </c>
      <c r="G89" s="1">
        <v>46188.802083333336</v>
      </c>
    </row>
    <row r="90" spans="1:7" x14ac:dyDescent="0.3">
      <c r="A90">
        <v>94</v>
      </c>
      <c r="B90" t="s">
        <v>7</v>
      </c>
      <c r="C90" t="s">
        <v>183</v>
      </c>
      <c r="D90" t="s">
        <v>184</v>
      </c>
      <c r="E90">
        <v>216.09</v>
      </c>
      <c r="F90">
        <v>1</v>
      </c>
      <c r="G90" s="1">
        <v>45961.302083333336</v>
      </c>
    </row>
    <row r="91" spans="1:7" x14ac:dyDescent="0.3">
      <c r="A91">
        <v>95</v>
      </c>
      <c r="B91" t="s">
        <v>7</v>
      </c>
      <c r="C91" t="s">
        <v>185</v>
      </c>
      <c r="D91" t="s">
        <v>186</v>
      </c>
      <c r="E91">
        <v>41.05</v>
      </c>
      <c r="F91">
        <v>1</v>
      </c>
      <c r="G91" s="1">
        <v>46020.73333333333</v>
      </c>
    </row>
    <row r="92" spans="1:7" x14ac:dyDescent="0.3">
      <c r="A92">
        <v>96</v>
      </c>
      <c r="B92" t="s">
        <v>7</v>
      </c>
      <c r="C92" t="s">
        <v>187</v>
      </c>
      <c r="D92" t="s">
        <v>188</v>
      </c>
      <c r="E92">
        <v>194.25</v>
      </c>
      <c r="F92">
        <v>1</v>
      </c>
      <c r="G92" s="1">
        <v>46016.40347222222</v>
      </c>
    </row>
    <row r="93" spans="1:7" x14ac:dyDescent="0.3">
      <c r="A93">
        <v>97</v>
      </c>
      <c r="B93" t="s">
        <v>7</v>
      </c>
      <c r="C93" t="s">
        <v>189</v>
      </c>
      <c r="D93" t="s">
        <v>190</v>
      </c>
      <c r="E93">
        <v>32.18</v>
      </c>
      <c r="F93">
        <v>1</v>
      </c>
      <c r="G93" s="1">
        <v>45973.822222222225</v>
      </c>
    </row>
    <row r="94" spans="1:7" x14ac:dyDescent="0.3">
      <c r="A94">
        <v>98</v>
      </c>
      <c r="B94" t="s">
        <v>7</v>
      </c>
      <c r="C94" t="s">
        <v>191</v>
      </c>
      <c r="D94" t="s">
        <v>192</v>
      </c>
      <c r="E94">
        <v>38.409999999999997</v>
      </c>
      <c r="F94">
        <v>1</v>
      </c>
      <c r="G94" s="1">
        <v>46069.353472222225</v>
      </c>
    </row>
    <row r="95" spans="1:7" x14ac:dyDescent="0.3">
      <c r="A95">
        <v>99</v>
      </c>
      <c r="B95" t="s">
        <v>7</v>
      </c>
      <c r="C95" t="s">
        <v>193</v>
      </c>
      <c r="D95" t="s">
        <v>194</v>
      </c>
      <c r="E95">
        <v>0</v>
      </c>
      <c r="F95">
        <v>1</v>
      </c>
      <c r="G95" s="1">
        <v>46283.680555555555</v>
      </c>
    </row>
    <row r="96" spans="1:7" x14ac:dyDescent="0.3">
      <c r="A96">
        <v>100</v>
      </c>
      <c r="B96" t="s">
        <v>7</v>
      </c>
      <c r="C96" t="s">
        <v>195</v>
      </c>
      <c r="D96" t="s">
        <v>196</v>
      </c>
      <c r="E96">
        <v>24.82</v>
      </c>
      <c r="F96">
        <v>1</v>
      </c>
      <c r="G96" s="1">
        <v>46194.644444444442</v>
      </c>
    </row>
    <row r="97" spans="1:7" x14ac:dyDescent="0.3">
      <c r="A97">
        <v>101</v>
      </c>
      <c r="B97" t="s">
        <v>7</v>
      </c>
      <c r="C97" t="s">
        <v>197</v>
      </c>
      <c r="D97" t="s">
        <v>198</v>
      </c>
      <c r="E97">
        <v>28.47</v>
      </c>
      <c r="F97">
        <v>1</v>
      </c>
      <c r="G97" s="1">
        <v>45980.453472222223</v>
      </c>
    </row>
    <row r="98" spans="1:7" x14ac:dyDescent="0.3">
      <c r="A98">
        <v>102</v>
      </c>
      <c r="B98" t="s">
        <v>7</v>
      </c>
      <c r="C98" t="s">
        <v>199</v>
      </c>
      <c r="D98" t="s">
        <v>200</v>
      </c>
      <c r="E98">
        <v>2.34</v>
      </c>
      <c r="F98">
        <v>1</v>
      </c>
      <c r="G98" s="1">
        <v>46097.477777777778</v>
      </c>
    </row>
    <row r="99" spans="1:7" x14ac:dyDescent="0.3">
      <c r="A99">
        <v>103</v>
      </c>
      <c r="B99" t="s">
        <v>7</v>
      </c>
      <c r="C99" t="s">
        <v>201</v>
      </c>
      <c r="D99" t="s">
        <v>202</v>
      </c>
      <c r="E99">
        <v>9.9499999999999993</v>
      </c>
      <c r="F99">
        <v>1</v>
      </c>
      <c r="G99" s="1">
        <v>45983.539583333331</v>
      </c>
    </row>
    <row r="100" spans="1:7" x14ac:dyDescent="0.3">
      <c r="A100">
        <v>104</v>
      </c>
      <c r="B100" t="s">
        <v>7</v>
      </c>
      <c r="C100" t="s">
        <v>203</v>
      </c>
      <c r="D100" t="s">
        <v>204</v>
      </c>
      <c r="E100">
        <v>206.87</v>
      </c>
      <c r="F100">
        <v>1</v>
      </c>
      <c r="G100" s="1">
        <v>45962.572222222225</v>
      </c>
    </row>
    <row r="101" spans="1:7" x14ac:dyDescent="0.3">
      <c r="A101">
        <v>105</v>
      </c>
      <c r="B101" t="s">
        <v>7</v>
      </c>
      <c r="C101" t="s">
        <v>205</v>
      </c>
      <c r="D101" t="s">
        <v>206</v>
      </c>
      <c r="E101">
        <v>51.36</v>
      </c>
      <c r="F101">
        <v>1</v>
      </c>
      <c r="G101" s="1">
        <v>46020.523611111108</v>
      </c>
    </row>
    <row r="102" spans="1:7" x14ac:dyDescent="0.3">
      <c r="A102">
        <v>106</v>
      </c>
      <c r="B102" t="s">
        <v>7</v>
      </c>
      <c r="C102" t="s">
        <v>207</v>
      </c>
      <c r="D102" t="s">
        <v>208</v>
      </c>
      <c r="E102">
        <v>104.71</v>
      </c>
      <c r="F102">
        <v>1</v>
      </c>
      <c r="G102" s="1">
        <v>45970.558333333334</v>
      </c>
    </row>
    <row r="103" spans="1:7" x14ac:dyDescent="0.3">
      <c r="A103">
        <v>107</v>
      </c>
      <c r="B103" t="s">
        <v>7</v>
      </c>
      <c r="C103" t="s">
        <v>209</v>
      </c>
      <c r="D103" t="s">
        <v>210</v>
      </c>
      <c r="E103">
        <v>10.18</v>
      </c>
      <c r="F103">
        <v>1</v>
      </c>
      <c r="G103" s="1">
        <v>46010.306944444441</v>
      </c>
    </row>
    <row r="104" spans="1:7" x14ac:dyDescent="0.3">
      <c r="A104">
        <v>108</v>
      </c>
      <c r="B104" t="s">
        <v>7</v>
      </c>
      <c r="C104" t="s">
        <v>211</v>
      </c>
      <c r="D104" t="s">
        <v>212</v>
      </c>
      <c r="E104">
        <v>17.62</v>
      </c>
      <c r="F104">
        <v>1</v>
      </c>
      <c r="G104" s="1">
        <v>46062.773611111108</v>
      </c>
    </row>
    <row r="105" spans="1:7" x14ac:dyDescent="0.3">
      <c r="A105">
        <v>109</v>
      </c>
      <c r="B105" t="s">
        <v>7</v>
      </c>
      <c r="C105" t="s">
        <v>213</v>
      </c>
      <c r="D105" t="s">
        <v>214</v>
      </c>
      <c r="E105">
        <v>110.14</v>
      </c>
      <c r="F105">
        <v>1</v>
      </c>
      <c r="G105" s="1">
        <v>45973.563194444447</v>
      </c>
    </row>
    <row r="106" spans="1:7" x14ac:dyDescent="0.3">
      <c r="A106">
        <v>110</v>
      </c>
      <c r="B106" t="s">
        <v>7</v>
      </c>
      <c r="C106" t="s">
        <v>215</v>
      </c>
      <c r="D106" t="s">
        <v>216</v>
      </c>
      <c r="E106">
        <v>17.43</v>
      </c>
      <c r="F106">
        <v>1</v>
      </c>
      <c r="G106" s="1">
        <v>46115.809027777781</v>
      </c>
    </row>
    <row r="107" spans="1:7" x14ac:dyDescent="0.3">
      <c r="A107">
        <v>111</v>
      </c>
      <c r="B107" t="s">
        <v>7</v>
      </c>
      <c r="C107" t="s">
        <v>217</v>
      </c>
      <c r="D107" t="s">
        <v>218</v>
      </c>
      <c r="E107">
        <v>8.43</v>
      </c>
      <c r="F107">
        <v>1</v>
      </c>
      <c r="G107" s="1">
        <v>46279.625694444447</v>
      </c>
    </row>
    <row r="108" spans="1:7" x14ac:dyDescent="0.3">
      <c r="A108">
        <v>112</v>
      </c>
      <c r="B108" t="s">
        <v>7</v>
      </c>
      <c r="C108" t="s">
        <v>219</v>
      </c>
      <c r="D108" t="s">
        <v>220</v>
      </c>
      <c r="E108">
        <v>21.03</v>
      </c>
      <c r="F108">
        <v>1</v>
      </c>
      <c r="G108" s="1">
        <v>45954.547222222223</v>
      </c>
    </row>
    <row r="109" spans="1:7" x14ac:dyDescent="0.3">
      <c r="A109">
        <v>113</v>
      </c>
      <c r="B109" t="s">
        <v>7</v>
      </c>
      <c r="C109" t="s">
        <v>221</v>
      </c>
      <c r="D109" t="s">
        <v>222</v>
      </c>
      <c r="E109">
        <v>37.28</v>
      </c>
      <c r="F109">
        <v>1</v>
      </c>
      <c r="G109" s="1">
        <v>45981.509027777778</v>
      </c>
    </row>
    <row r="110" spans="1:7" x14ac:dyDescent="0.3">
      <c r="A110">
        <v>114</v>
      </c>
      <c r="B110" t="s">
        <v>7</v>
      </c>
      <c r="C110" t="s">
        <v>223</v>
      </c>
      <c r="D110" t="s">
        <v>224</v>
      </c>
      <c r="E110">
        <v>56.39</v>
      </c>
      <c r="F110">
        <v>1</v>
      </c>
      <c r="G110" s="1">
        <v>46159.553472222222</v>
      </c>
    </row>
    <row r="111" spans="1:7" x14ac:dyDescent="0.3">
      <c r="A111">
        <v>115</v>
      </c>
      <c r="B111" t="s">
        <v>7</v>
      </c>
      <c r="C111" t="s">
        <v>225</v>
      </c>
      <c r="D111" t="s">
        <v>226</v>
      </c>
      <c r="E111">
        <v>0</v>
      </c>
      <c r="F111">
        <v>1</v>
      </c>
      <c r="G111" s="1">
        <v>46038.773611111108</v>
      </c>
    </row>
    <row r="112" spans="1:7" x14ac:dyDescent="0.3">
      <c r="A112">
        <v>116</v>
      </c>
      <c r="B112" t="s">
        <v>7</v>
      </c>
      <c r="C112" t="s">
        <v>227</v>
      </c>
      <c r="D112" t="s">
        <v>228</v>
      </c>
      <c r="E112">
        <v>4.74</v>
      </c>
      <c r="F112">
        <v>1</v>
      </c>
      <c r="G112" s="1">
        <v>46107.820138888892</v>
      </c>
    </row>
    <row r="113" spans="1:7" x14ac:dyDescent="0.3">
      <c r="A113">
        <v>117</v>
      </c>
      <c r="B113" t="s">
        <v>7</v>
      </c>
      <c r="C113" t="s">
        <v>229</v>
      </c>
      <c r="D113" t="s">
        <v>230</v>
      </c>
      <c r="E113">
        <v>112.71</v>
      </c>
      <c r="F113">
        <v>1</v>
      </c>
      <c r="G113" s="1">
        <v>45969.318749999999</v>
      </c>
    </row>
    <row r="114" spans="1:7" x14ac:dyDescent="0.3">
      <c r="A114">
        <v>118</v>
      </c>
      <c r="B114" t="s">
        <v>7</v>
      </c>
      <c r="C114" t="s">
        <v>231</v>
      </c>
      <c r="D114" t="s">
        <v>232</v>
      </c>
      <c r="E114">
        <v>12.09</v>
      </c>
      <c r="F114">
        <v>1</v>
      </c>
      <c r="G114" s="1">
        <v>46039.35833333333</v>
      </c>
    </row>
    <row r="115" spans="1:7" x14ac:dyDescent="0.3">
      <c r="A115">
        <v>119</v>
      </c>
      <c r="B115" t="s">
        <v>7</v>
      </c>
      <c r="C115" t="s">
        <v>233</v>
      </c>
      <c r="D115" t="s">
        <v>234</v>
      </c>
      <c r="E115">
        <v>14.68</v>
      </c>
      <c r="F115">
        <v>1</v>
      </c>
      <c r="G115" s="1">
        <v>46161.401388888888</v>
      </c>
    </row>
    <row r="116" spans="1:7" x14ac:dyDescent="0.3">
      <c r="A116">
        <v>120</v>
      </c>
      <c r="B116" t="s">
        <v>7</v>
      </c>
      <c r="C116" t="s">
        <v>235</v>
      </c>
      <c r="D116" t="s">
        <v>236</v>
      </c>
      <c r="E116">
        <v>2.9</v>
      </c>
      <c r="F116">
        <v>1</v>
      </c>
      <c r="G116" s="1">
        <v>46269.359027777777</v>
      </c>
    </row>
    <row r="117" spans="1:7" x14ac:dyDescent="0.3">
      <c r="A117">
        <v>121</v>
      </c>
      <c r="B117" t="s">
        <v>7</v>
      </c>
      <c r="C117" t="s">
        <v>237</v>
      </c>
      <c r="D117" t="s">
        <v>238</v>
      </c>
      <c r="E117">
        <v>24.12</v>
      </c>
      <c r="F117">
        <v>1</v>
      </c>
      <c r="G117" s="1">
        <v>46119.559027777781</v>
      </c>
    </row>
    <row r="118" spans="1:7" x14ac:dyDescent="0.3">
      <c r="A118">
        <v>122</v>
      </c>
      <c r="B118" t="s">
        <v>7</v>
      </c>
      <c r="C118" t="s">
        <v>239</v>
      </c>
      <c r="D118" t="s">
        <v>240</v>
      </c>
      <c r="E118">
        <v>90.56</v>
      </c>
      <c r="F118">
        <v>1</v>
      </c>
      <c r="G118" s="1">
        <v>45956.804861111108</v>
      </c>
    </row>
    <row r="119" spans="1:7" x14ac:dyDescent="0.3">
      <c r="A119">
        <v>123</v>
      </c>
      <c r="B119" t="s">
        <v>7</v>
      </c>
      <c r="C119" t="s">
        <v>241</v>
      </c>
      <c r="D119" t="s">
        <v>242</v>
      </c>
      <c r="E119">
        <v>12.61</v>
      </c>
      <c r="F119">
        <v>1</v>
      </c>
      <c r="G119" s="1">
        <v>46169.523611111108</v>
      </c>
    </row>
    <row r="120" spans="1:7" x14ac:dyDescent="0.3">
      <c r="A120">
        <v>124</v>
      </c>
      <c r="B120" t="s">
        <v>7</v>
      </c>
      <c r="C120" t="s">
        <v>243</v>
      </c>
      <c r="D120" t="s">
        <v>244</v>
      </c>
      <c r="E120">
        <v>21.98</v>
      </c>
      <c r="F120">
        <v>1</v>
      </c>
      <c r="G120" s="1">
        <v>46050.5</v>
      </c>
    </row>
    <row r="121" spans="1:7" x14ac:dyDescent="0.3">
      <c r="A121">
        <v>125</v>
      </c>
      <c r="B121" t="s">
        <v>7</v>
      </c>
      <c r="C121" t="s">
        <v>245</v>
      </c>
      <c r="D121" t="s">
        <v>246</v>
      </c>
      <c r="E121">
        <v>19.059999999999999</v>
      </c>
      <c r="F121">
        <v>1</v>
      </c>
      <c r="G121" s="1">
        <v>46026.527777777781</v>
      </c>
    </row>
    <row r="122" spans="1:7" x14ac:dyDescent="0.3">
      <c r="A122">
        <v>126</v>
      </c>
      <c r="B122" t="s">
        <v>7</v>
      </c>
      <c r="C122" t="s">
        <v>247</v>
      </c>
      <c r="D122" t="s">
        <v>248</v>
      </c>
      <c r="E122">
        <v>74.28</v>
      </c>
      <c r="F122">
        <v>1</v>
      </c>
      <c r="G122" s="1">
        <v>45965.65347222222</v>
      </c>
    </row>
    <row r="123" spans="1:7" x14ac:dyDescent="0.3">
      <c r="A123">
        <v>127</v>
      </c>
      <c r="B123" t="s">
        <v>7</v>
      </c>
      <c r="C123" t="s">
        <v>249</v>
      </c>
      <c r="D123" t="s">
        <v>250</v>
      </c>
      <c r="E123">
        <v>30.73</v>
      </c>
      <c r="F123">
        <v>1</v>
      </c>
      <c r="G123" s="1">
        <v>46036.775694444441</v>
      </c>
    </row>
    <row r="124" spans="1:7" x14ac:dyDescent="0.3">
      <c r="A124">
        <v>128</v>
      </c>
      <c r="B124" t="s">
        <v>7</v>
      </c>
      <c r="C124" t="s">
        <v>251</v>
      </c>
      <c r="D124" t="s">
        <v>252</v>
      </c>
      <c r="E124">
        <v>16.510000000000002</v>
      </c>
      <c r="F124">
        <v>1</v>
      </c>
      <c r="G124" s="1">
        <v>46194.345138888886</v>
      </c>
    </row>
    <row r="125" spans="1:7" x14ac:dyDescent="0.3">
      <c r="A125">
        <v>129</v>
      </c>
      <c r="B125" t="s">
        <v>7</v>
      </c>
      <c r="C125" t="s">
        <v>253</v>
      </c>
      <c r="D125" t="s">
        <v>254</v>
      </c>
      <c r="E125">
        <v>0</v>
      </c>
      <c r="F125">
        <v>1</v>
      </c>
      <c r="G125" s="1">
        <v>46074.724999999999</v>
      </c>
    </row>
    <row r="126" spans="1:7" x14ac:dyDescent="0.3">
      <c r="A126">
        <v>130</v>
      </c>
      <c r="B126" t="s">
        <v>7</v>
      </c>
      <c r="C126" t="s">
        <v>255</v>
      </c>
      <c r="D126" t="s">
        <v>256</v>
      </c>
      <c r="E126">
        <v>9.1</v>
      </c>
      <c r="F126">
        <v>1</v>
      </c>
      <c r="G126" s="1">
        <v>46205.396527777775</v>
      </c>
    </row>
    <row r="127" spans="1:7" x14ac:dyDescent="0.3">
      <c r="A127">
        <v>131</v>
      </c>
      <c r="B127" t="s">
        <v>7</v>
      </c>
      <c r="C127" t="s">
        <v>257</v>
      </c>
      <c r="D127" t="s">
        <v>258</v>
      </c>
      <c r="E127">
        <v>89.42</v>
      </c>
      <c r="F127">
        <v>1</v>
      </c>
      <c r="G127" s="1">
        <v>45999.697222222225</v>
      </c>
    </row>
    <row r="128" spans="1:7" x14ac:dyDescent="0.3">
      <c r="A128">
        <v>132</v>
      </c>
      <c r="B128" t="s">
        <v>7</v>
      </c>
      <c r="C128" t="s">
        <v>259</v>
      </c>
      <c r="D128" t="s">
        <v>260</v>
      </c>
      <c r="E128">
        <v>115.54</v>
      </c>
      <c r="F128">
        <v>1</v>
      </c>
      <c r="G128" s="1">
        <v>46054.420138888891</v>
      </c>
    </row>
    <row r="129" spans="1:7" x14ac:dyDescent="0.3">
      <c r="A129">
        <v>133</v>
      </c>
      <c r="B129" t="s">
        <v>7</v>
      </c>
      <c r="C129" t="s">
        <v>261</v>
      </c>
      <c r="D129" t="s">
        <v>262</v>
      </c>
      <c r="E129">
        <v>95.02</v>
      </c>
      <c r="F129">
        <v>1</v>
      </c>
      <c r="G129" s="1">
        <v>46068.447222222225</v>
      </c>
    </row>
    <row r="130" spans="1:7" x14ac:dyDescent="0.3">
      <c r="A130">
        <v>134</v>
      </c>
      <c r="B130" t="s">
        <v>7</v>
      </c>
      <c r="C130" t="s">
        <v>263</v>
      </c>
      <c r="D130" t="s">
        <v>264</v>
      </c>
      <c r="E130">
        <v>39.06</v>
      </c>
      <c r="F130">
        <v>1</v>
      </c>
      <c r="G130" s="1">
        <v>46174.345833333333</v>
      </c>
    </row>
    <row r="131" spans="1:7" x14ac:dyDescent="0.3">
      <c r="A131">
        <v>135</v>
      </c>
      <c r="B131" t="s">
        <v>7</v>
      </c>
      <c r="C131" t="s">
        <v>265</v>
      </c>
      <c r="D131" t="s">
        <v>266</v>
      </c>
      <c r="E131">
        <v>30.74</v>
      </c>
      <c r="F131">
        <v>1</v>
      </c>
      <c r="G131" s="1">
        <v>45991.682638888888</v>
      </c>
    </row>
    <row r="132" spans="1:7" x14ac:dyDescent="0.3">
      <c r="A132">
        <v>136</v>
      </c>
      <c r="B132" t="s">
        <v>7</v>
      </c>
      <c r="C132" t="s">
        <v>267</v>
      </c>
      <c r="D132" t="s">
        <v>268</v>
      </c>
      <c r="E132">
        <v>39.72</v>
      </c>
      <c r="F132">
        <v>1</v>
      </c>
      <c r="G132" s="1">
        <v>46000.774305555555</v>
      </c>
    </row>
    <row r="133" spans="1:7" x14ac:dyDescent="0.3">
      <c r="A133">
        <v>137</v>
      </c>
      <c r="B133" t="s">
        <v>7</v>
      </c>
      <c r="C133" t="s">
        <v>269</v>
      </c>
      <c r="D133" t="s">
        <v>270</v>
      </c>
      <c r="E133">
        <v>24.69</v>
      </c>
      <c r="F133">
        <v>1</v>
      </c>
      <c r="G133" s="1">
        <v>45983.468055555553</v>
      </c>
    </row>
    <row r="134" spans="1:7" x14ac:dyDescent="0.3">
      <c r="A134">
        <v>138</v>
      </c>
      <c r="B134" t="s">
        <v>7</v>
      </c>
      <c r="C134" t="s">
        <v>271</v>
      </c>
      <c r="D134" t="s">
        <v>272</v>
      </c>
      <c r="E134">
        <v>22.89</v>
      </c>
      <c r="F134">
        <v>1</v>
      </c>
      <c r="G134" s="1">
        <v>45958.658333333333</v>
      </c>
    </row>
    <row r="135" spans="1:7" x14ac:dyDescent="0.3">
      <c r="A135">
        <v>139</v>
      </c>
      <c r="B135" t="s">
        <v>7</v>
      </c>
      <c r="C135" t="s">
        <v>273</v>
      </c>
      <c r="D135" t="s">
        <v>274</v>
      </c>
      <c r="E135">
        <v>14.9</v>
      </c>
      <c r="F135">
        <v>1</v>
      </c>
      <c r="G135" s="1">
        <v>46148.490277777775</v>
      </c>
    </row>
    <row r="136" spans="1:7" x14ac:dyDescent="0.3">
      <c r="A136">
        <v>140</v>
      </c>
      <c r="B136" t="s">
        <v>7</v>
      </c>
      <c r="C136" t="s">
        <v>275</v>
      </c>
      <c r="D136" t="s">
        <v>276</v>
      </c>
      <c r="E136">
        <v>0</v>
      </c>
      <c r="F136">
        <v>1</v>
      </c>
      <c r="G136" s="1">
        <v>46279.429166666669</v>
      </c>
    </row>
    <row r="137" spans="1:7" x14ac:dyDescent="0.3">
      <c r="A137">
        <v>141</v>
      </c>
      <c r="B137" t="s">
        <v>7</v>
      </c>
      <c r="C137" t="s">
        <v>277</v>
      </c>
      <c r="D137" t="s">
        <v>278</v>
      </c>
      <c r="E137">
        <v>20.329999999999998</v>
      </c>
      <c r="F137">
        <v>1</v>
      </c>
      <c r="G137" s="1">
        <v>45990.773611111108</v>
      </c>
    </row>
    <row r="138" spans="1:7" x14ac:dyDescent="0.3">
      <c r="A138">
        <v>142</v>
      </c>
      <c r="B138" t="s">
        <v>7</v>
      </c>
      <c r="C138" t="s">
        <v>279</v>
      </c>
      <c r="D138" t="s">
        <v>280</v>
      </c>
      <c r="E138">
        <v>0</v>
      </c>
      <c r="F138">
        <v>1</v>
      </c>
      <c r="G138" s="1">
        <v>46275.637499999997</v>
      </c>
    </row>
    <row r="139" spans="1:7" x14ac:dyDescent="0.3">
      <c r="A139">
        <v>143</v>
      </c>
      <c r="B139" t="s">
        <v>7</v>
      </c>
      <c r="C139" t="s">
        <v>281</v>
      </c>
      <c r="D139" t="s">
        <v>282</v>
      </c>
      <c r="E139">
        <v>2.74</v>
      </c>
      <c r="F139">
        <v>1</v>
      </c>
      <c r="G139" s="1">
        <v>46217.679166666669</v>
      </c>
    </row>
    <row r="140" spans="1:7" x14ac:dyDescent="0.3">
      <c r="A140">
        <v>144</v>
      </c>
      <c r="B140" t="s">
        <v>7</v>
      </c>
      <c r="C140" t="s">
        <v>283</v>
      </c>
      <c r="D140" t="s">
        <v>284</v>
      </c>
      <c r="E140">
        <v>77.58</v>
      </c>
      <c r="F140">
        <v>1</v>
      </c>
      <c r="G140" s="1">
        <v>45999.302777777775</v>
      </c>
    </row>
    <row r="141" spans="1:7" x14ac:dyDescent="0.3">
      <c r="A141">
        <v>145</v>
      </c>
      <c r="B141" t="s">
        <v>7</v>
      </c>
      <c r="C141" t="s">
        <v>285</v>
      </c>
      <c r="D141" t="s">
        <v>286</v>
      </c>
      <c r="E141">
        <v>192.39</v>
      </c>
      <c r="F141">
        <v>1</v>
      </c>
      <c r="G141" s="1">
        <v>46016.35833333333</v>
      </c>
    </row>
    <row r="142" spans="1:7" x14ac:dyDescent="0.3">
      <c r="A142">
        <v>146</v>
      </c>
      <c r="B142" t="s">
        <v>7</v>
      </c>
      <c r="C142" t="s">
        <v>287</v>
      </c>
      <c r="D142" t="s">
        <v>288</v>
      </c>
      <c r="E142">
        <v>5.59</v>
      </c>
      <c r="F142">
        <v>1</v>
      </c>
      <c r="G142" s="1">
        <v>46184.461805555555</v>
      </c>
    </row>
    <row r="143" spans="1:7" x14ac:dyDescent="0.3">
      <c r="A143">
        <v>147</v>
      </c>
      <c r="B143" t="s">
        <v>7</v>
      </c>
      <c r="C143" t="s">
        <v>289</v>
      </c>
      <c r="D143" t="s">
        <v>290</v>
      </c>
      <c r="E143">
        <v>24.2</v>
      </c>
      <c r="F143">
        <v>1</v>
      </c>
      <c r="G143" s="1">
        <v>46160.693055555559</v>
      </c>
    </row>
    <row r="144" spans="1:7" x14ac:dyDescent="0.3">
      <c r="A144">
        <v>148</v>
      </c>
      <c r="B144" t="s">
        <v>7</v>
      </c>
      <c r="C144" t="s">
        <v>291</v>
      </c>
      <c r="D144" t="s">
        <v>292</v>
      </c>
      <c r="E144">
        <v>6.02</v>
      </c>
      <c r="F144">
        <v>1</v>
      </c>
      <c r="G144" s="1">
        <v>46010.59652777778</v>
      </c>
    </row>
    <row r="145" spans="1:7" x14ac:dyDescent="0.3">
      <c r="A145">
        <v>149</v>
      </c>
      <c r="B145" t="s">
        <v>7</v>
      </c>
      <c r="C145" t="s">
        <v>293</v>
      </c>
      <c r="D145" t="s">
        <v>294</v>
      </c>
      <c r="E145">
        <v>29.34</v>
      </c>
      <c r="F145">
        <v>1</v>
      </c>
      <c r="G145" s="1">
        <v>46074.318749999999</v>
      </c>
    </row>
    <row r="146" spans="1:7" x14ac:dyDescent="0.3">
      <c r="A146">
        <v>150</v>
      </c>
      <c r="B146" t="s">
        <v>7</v>
      </c>
      <c r="C146" t="s">
        <v>295</v>
      </c>
      <c r="D146" t="s">
        <v>296</v>
      </c>
      <c r="E146">
        <v>152.30000000000001</v>
      </c>
      <c r="F146">
        <v>1</v>
      </c>
      <c r="G146" s="1">
        <v>45982.340277777781</v>
      </c>
    </row>
    <row r="147" spans="1:7" x14ac:dyDescent="0.3">
      <c r="A147">
        <v>151</v>
      </c>
      <c r="B147" t="s">
        <v>7</v>
      </c>
      <c r="C147" t="s">
        <v>297</v>
      </c>
      <c r="D147" t="s">
        <v>298</v>
      </c>
      <c r="E147">
        <v>133.53</v>
      </c>
      <c r="F147">
        <v>1</v>
      </c>
      <c r="G147" s="1">
        <v>45954.30972222222</v>
      </c>
    </row>
    <row r="148" spans="1:7" x14ac:dyDescent="0.3">
      <c r="A148">
        <v>152</v>
      </c>
      <c r="B148" t="s">
        <v>7</v>
      </c>
      <c r="C148" t="s">
        <v>299</v>
      </c>
      <c r="D148" t="s">
        <v>300</v>
      </c>
      <c r="E148">
        <v>195.38</v>
      </c>
      <c r="F148">
        <v>1</v>
      </c>
      <c r="G148" s="1">
        <v>45951.489583333336</v>
      </c>
    </row>
    <row r="149" spans="1:7" x14ac:dyDescent="0.3">
      <c r="A149">
        <v>153</v>
      </c>
      <c r="B149" t="s">
        <v>7</v>
      </c>
      <c r="C149" t="s">
        <v>301</v>
      </c>
      <c r="D149" t="s">
        <v>302</v>
      </c>
      <c r="E149">
        <v>6.89</v>
      </c>
      <c r="F149">
        <v>1</v>
      </c>
      <c r="G149" s="1">
        <v>46124.493055555555</v>
      </c>
    </row>
    <row r="150" spans="1:7" x14ac:dyDescent="0.3">
      <c r="A150">
        <v>154</v>
      </c>
      <c r="B150" t="s">
        <v>7</v>
      </c>
      <c r="C150" t="s">
        <v>303</v>
      </c>
      <c r="D150" t="s">
        <v>304</v>
      </c>
      <c r="E150">
        <v>24.42</v>
      </c>
      <c r="F150">
        <v>1</v>
      </c>
      <c r="G150" s="1">
        <v>45957.445138888892</v>
      </c>
    </row>
    <row r="151" spans="1:7" x14ac:dyDescent="0.3">
      <c r="A151">
        <v>155</v>
      </c>
      <c r="B151" t="s">
        <v>7</v>
      </c>
      <c r="C151" t="s">
        <v>305</v>
      </c>
      <c r="D151" t="s">
        <v>306</v>
      </c>
      <c r="E151">
        <v>28.43</v>
      </c>
      <c r="F151">
        <v>1</v>
      </c>
      <c r="G151" s="1">
        <v>45953.409722222219</v>
      </c>
    </row>
    <row r="152" spans="1:7" x14ac:dyDescent="0.3">
      <c r="A152">
        <v>156</v>
      </c>
      <c r="B152" t="s">
        <v>7</v>
      </c>
      <c r="C152" t="s">
        <v>307</v>
      </c>
      <c r="D152" t="s">
        <v>308</v>
      </c>
      <c r="E152">
        <v>47.96</v>
      </c>
      <c r="F152">
        <v>1</v>
      </c>
      <c r="G152" s="1">
        <v>46028.613888888889</v>
      </c>
    </row>
    <row r="153" spans="1:7" x14ac:dyDescent="0.3">
      <c r="A153">
        <v>157</v>
      </c>
      <c r="B153" t="s">
        <v>7</v>
      </c>
      <c r="C153" t="s">
        <v>309</v>
      </c>
      <c r="D153" t="s">
        <v>310</v>
      </c>
      <c r="E153">
        <v>17.73</v>
      </c>
      <c r="F153">
        <v>1</v>
      </c>
      <c r="G153" s="1">
        <v>46048.602777777778</v>
      </c>
    </row>
    <row r="154" spans="1:7" x14ac:dyDescent="0.3">
      <c r="A154">
        <v>158</v>
      </c>
      <c r="B154" t="s">
        <v>7</v>
      </c>
      <c r="C154" t="s">
        <v>311</v>
      </c>
      <c r="D154" t="s">
        <v>312</v>
      </c>
      <c r="E154">
        <v>16.25</v>
      </c>
      <c r="F154">
        <v>1</v>
      </c>
      <c r="G154" s="1">
        <v>46146.677777777775</v>
      </c>
    </row>
    <row r="155" spans="1:7" x14ac:dyDescent="0.3">
      <c r="A155">
        <v>159</v>
      </c>
      <c r="B155" t="s">
        <v>7</v>
      </c>
      <c r="C155" t="s">
        <v>313</v>
      </c>
      <c r="D155" t="s">
        <v>314</v>
      </c>
      <c r="E155">
        <v>2.12</v>
      </c>
      <c r="F155">
        <v>1</v>
      </c>
      <c r="G155" s="1">
        <v>46268.692361111112</v>
      </c>
    </row>
    <row r="156" spans="1:7" x14ac:dyDescent="0.3">
      <c r="A156">
        <v>160</v>
      </c>
      <c r="B156" t="s">
        <v>7</v>
      </c>
      <c r="C156" t="s">
        <v>315</v>
      </c>
      <c r="D156" t="s">
        <v>316</v>
      </c>
      <c r="E156">
        <v>17.28</v>
      </c>
      <c r="F156">
        <v>1</v>
      </c>
      <c r="G156" s="1">
        <v>45952.799305555556</v>
      </c>
    </row>
    <row r="157" spans="1:7" x14ac:dyDescent="0.3">
      <c r="A157">
        <v>161</v>
      </c>
      <c r="B157" t="s">
        <v>7</v>
      </c>
      <c r="C157" t="s">
        <v>317</v>
      </c>
      <c r="D157" t="s">
        <v>318</v>
      </c>
      <c r="E157">
        <v>27.11</v>
      </c>
      <c r="F157">
        <v>1</v>
      </c>
      <c r="G157" s="1">
        <v>46241.400694444441</v>
      </c>
    </row>
    <row r="158" spans="1:7" x14ac:dyDescent="0.3">
      <c r="A158">
        <v>162</v>
      </c>
      <c r="B158" t="s">
        <v>7</v>
      </c>
      <c r="C158" t="s">
        <v>319</v>
      </c>
      <c r="D158" t="s">
        <v>320</v>
      </c>
      <c r="E158">
        <v>23.83</v>
      </c>
      <c r="F158">
        <v>1</v>
      </c>
      <c r="G158" s="1">
        <v>46038.556250000001</v>
      </c>
    </row>
    <row r="159" spans="1:7" x14ac:dyDescent="0.3">
      <c r="A159">
        <v>163</v>
      </c>
      <c r="B159" t="s">
        <v>7</v>
      </c>
      <c r="C159" t="s">
        <v>321</v>
      </c>
      <c r="D159" t="s">
        <v>322</v>
      </c>
      <c r="E159">
        <v>56.04</v>
      </c>
      <c r="F159">
        <v>1</v>
      </c>
      <c r="G159" s="1">
        <v>45997.771527777775</v>
      </c>
    </row>
    <row r="160" spans="1:7" x14ac:dyDescent="0.3">
      <c r="A160">
        <v>164</v>
      </c>
      <c r="B160" t="s">
        <v>7</v>
      </c>
      <c r="C160" t="s">
        <v>323</v>
      </c>
      <c r="D160" t="s">
        <v>324</v>
      </c>
      <c r="E160">
        <v>18.170000000000002</v>
      </c>
      <c r="F160">
        <v>1</v>
      </c>
      <c r="G160" s="1">
        <v>45951.347222222219</v>
      </c>
    </row>
    <row r="161" spans="1:7" x14ac:dyDescent="0.3">
      <c r="A161">
        <v>165</v>
      </c>
      <c r="B161" t="s">
        <v>7</v>
      </c>
      <c r="C161" t="s">
        <v>325</v>
      </c>
      <c r="D161" t="s">
        <v>326</v>
      </c>
      <c r="E161">
        <v>6.05</v>
      </c>
      <c r="F161">
        <v>1</v>
      </c>
      <c r="G161" s="1">
        <v>46272.579861111109</v>
      </c>
    </row>
    <row r="162" spans="1:7" x14ac:dyDescent="0.3">
      <c r="A162">
        <v>166</v>
      </c>
      <c r="B162" t="s">
        <v>7</v>
      </c>
      <c r="C162" t="s">
        <v>327</v>
      </c>
      <c r="D162" t="s">
        <v>328</v>
      </c>
      <c r="E162">
        <v>32.54</v>
      </c>
      <c r="F162">
        <v>1</v>
      </c>
      <c r="G162" s="1">
        <v>46035.3</v>
      </c>
    </row>
    <row r="163" spans="1:7" x14ac:dyDescent="0.3">
      <c r="A163">
        <v>167</v>
      </c>
      <c r="B163" t="s">
        <v>7</v>
      </c>
      <c r="C163" t="s">
        <v>329</v>
      </c>
      <c r="D163" t="s">
        <v>330</v>
      </c>
      <c r="E163">
        <v>4.41</v>
      </c>
      <c r="F163">
        <v>1</v>
      </c>
      <c r="G163" s="1">
        <v>46097.793749999997</v>
      </c>
    </row>
    <row r="164" spans="1:7" x14ac:dyDescent="0.3">
      <c r="A164">
        <v>168</v>
      </c>
      <c r="B164" t="s">
        <v>7</v>
      </c>
      <c r="C164" t="s">
        <v>331</v>
      </c>
      <c r="D164" t="s">
        <v>332</v>
      </c>
      <c r="E164">
        <v>8.76</v>
      </c>
      <c r="F164">
        <v>1</v>
      </c>
      <c r="G164" s="1">
        <v>45959.477777777778</v>
      </c>
    </row>
    <row r="165" spans="1:7" x14ac:dyDescent="0.3">
      <c r="A165">
        <v>169</v>
      </c>
      <c r="B165" t="s">
        <v>7</v>
      </c>
      <c r="C165" t="s">
        <v>333</v>
      </c>
      <c r="D165" t="s">
        <v>334</v>
      </c>
      <c r="E165">
        <v>6.7</v>
      </c>
      <c r="F165">
        <v>1</v>
      </c>
      <c r="G165" s="1">
        <v>46274.70208333333</v>
      </c>
    </row>
    <row r="166" spans="1:7" x14ac:dyDescent="0.3">
      <c r="A166">
        <v>170</v>
      </c>
      <c r="B166" t="s">
        <v>7</v>
      </c>
      <c r="C166" t="s">
        <v>335</v>
      </c>
      <c r="D166" t="s">
        <v>336</v>
      </c>
      <c r="E166">
        <v>62.74</v>
      </c>
      <c r="F166">
        <v>1</v>
      </c>
      <c r="G166" s="1">
        <v>46067.643055555556</v>
      </c>
    </row>
    <row r="167" spans="1:7" x14ac:dyDescent="0.3">
      <c r="A167">
        <v>171</v>
      </c>
      <c r="B167" t="s">
        <v>7</v>
      </c>
      <c r="C167" t="s">
        <v>337</v>
      </c>
      <c r="D167" t="s">
        <v>338</v>
      </c>
      <c r="E167">
        <v>69.44</v>
      </c>
      <c r="F167">
        <v>1</v>
      </c>
      <c r="G167" s="1">
        <v>46035.361805555556</v>
      </c>
    </row>
    <row r="168" spans="1:7" x14ac:dyDescent="0.3">
      <c r="A168">
        <v>172</v>
      </c>
      <c r="B168" t="s">
        <v>7</v>
      </c>
      <c r="C168" t="s">
        <v>339</v>
      </c>
      <c r="D168" t="s">
        <v>340</v>
      </c>
      <c r="E168">
        <v>29.09</v>
      </c>
      <c r="F168">
        <v>1</v>
      </c>
      <c r="G168" s="1">
        <v>46051.476388888892</v>
      </c>
    </row>
    <row r="169" spans="1:7" x14ac:dyDescent="0.3">
      <c r="A169">
        <v>173</v>
      </c>
      <c r="B169" t="s">
        <v>7</v>
      </c>
      <c r="C169" t="s">
        <v>341</v>
      </c>
      <c r="D169" t="s">
        <v>342</v>
      </c>
      <c r="E169">
        <v>69.209999999999994</v>
      </c>
      <c r="F169">
        <v>1</v>
      </c>
      <c r="G169" s="1">
        <v>46033.39166666667</v>
      </c>
    </row>
    <row r="170" spans="1:7" x14ac:dyDescent="0.3">
      <c r="A170">
        <v>174</v>
      </c>
      <c r="B170" t="s">
        <v>7</v>
      </c>
      <c r="C170" t="s">
        <v>343</v>
      </c>
      <c r="D170" t="s">
        <v>344</v>
      </c>
      <c r="E170">
        <v>6.26</v>
      </c>
      <c r="F170">
        <v>1</v>
      </c>
      <c r="G170" s="1">
        <v>46212.492361111108</v>
      </c>
    </row>
    <row r="171" spans="1:7" x14ac:dyDescent="0.3">
      <c r="A171">
        <v>175</v>
      </c>
      <c r="B171" t="s">
        <v>7</v>
      </c>
      <c r="C171" t="s">
        <v>345</v>
      </c>
      <c r="D171" t="s">
        <v>346</v>
      </c>
      <c r="E171">
        <v>47.07</v>
      </c>
      <c r="F171">
        <v>1</v>
      </c>
      <c r="G171" s="1">
        <v>45982.304166666669</v>
      </c>
    </row>
    <row r="172" spans="1:7" x14ac:dyDescent="0.3">
      <c r="A172">
        <v>176</v>
      </c>
      <c r="B172" t="s">
        <v>7</v>
      </c>
      <c r="C172" t="s">
        <v>347</v>
      </c>
      <c r="D172" t="s">
        <v>348</v>
      </c>
      <c r="E172">
        <v>92.48</v>
      </c>
      <c r="F172">
        <v>1</v>
      </c>
      <c r="G172" s="1">
        <v>46030.598611111112</v>
      </c>
    </row>
    <row r="173" spans="1:7" x14ac:dyDescent="0.3">
      <c r="A173">
        <v>177</v>
      </c>
      <c r="B173" t="s">
        <v>7</v>
      </c>
      <c r="C173" t="s">
        <v>349</v>
      </c>
      <c r="D173" t="s">
        <v>350</v>
      </c>
      <c r="E173">
        <v>5.79</v>
      </c>
      <c r="F173">
        <v>1</v>
      </c>
      <c r="G173" s="1">
        <v>46009.538194444445</v>
      </c>
    </row>
    <row r="174" spans="1:7" x14ac:dyDescent="0.3">
      <c r="A174">
        <v>178</v>
      </c>
      <c r="B174" t="s">
        <v>7</v>
      </c>
      <c r="C174" t="s">
        <v>351</v>
      </c>
      <c r="D174" t="s">
        <v>352</v>
      </c>
      <c r="E174">
        <v>217.07</v>
      </c>
      <c r="F174">
        <v>1</v>
      </c>
      <c r="G174" s="1">
        <v>46011.80972222222</v>
      </c>
    </row>
    <row r="175" spans="1:7" x14ac:dyDescent="0.3">
      <c r="A175">
        <v>179</v>
      </c>
      <c r="B175" t="s">
        <v>7</v>
      </c>
      <c r="C175" t="s">
        <v>353</v>
      </c>
      <c r="D175" t="s">
        <v>354</v>
      </c>
      <c r="E175">
        <v>113.31</v>
      </c>
      <c r="F175">
        <v>1</v>
      </c>
      <c r="G175" s="1">
        <v>46132.808333333334</v>
      </c>
    </row>
    <row r="176" spans="1:7" x14ac:dyDescent="0.3">
      <c r="A176">
        <v>180</v>
      </c>
      <c r="B176" t="s">
        <v>7</v>
      </c>
      <c r="C176" t="s">
        <v>355</v>
      </c>
      <c r="D176" t="s">
        <v>356</v>
      </c>
      <c r="E176">
        <v>0</v>
      </c>
      <c r="F176">
        <v>1</v>
      </c>
      <c r="G176" s="1">
        <v>46269.397222222222</v>
      </c>
    </row>
    <row r="177" spans="1:7" x14ac:dyDescent="0.3">
      <c r="A177">
        <v>181</v>
      </c>
      <c r="B177" t="s">
        <v>7</v>
      </c>
      <c r="C177" t="s">
        <v>357</v>
      </c>
      <c r="D177" t="s">
        <v>358</v>
      </c>
      <c r="E177">
        <v>0</v>
      </c>
      <c r="F177">
        <v>1</v>
      </c>
      <c r="G177" s="1">
        <v>46217.587500000001</v>
      </c>
    </row>
    <row r="178" spans="1:7" x14ac:dyDescent="0.3">
      <c r="A178">
        <v>182</v>
      </c>
      <c r="B178" t="s">
        <v>7</v>
      </c>
      <c r="C178" t="s">
        <v>359</v>
      </c>
      <c r="D178" t="s">
        <v>360</v>
      </c>
      <c r="E178">
        <v>6.27</v>
      </c>
      <c r="F178">
        <v>1</v>
      </c>
      <c r="G178" s="1">
        <v>46140.579861111109</v>
      </c>
    </row>
    <row r="179" spans="1:7" x14ac:dyDescent="0.3">
      <c r="A179">
        <v>183</v>
      </c>
      <c r="B179" t="s">
        <v>7</v>
      </c>
      <c r="C179" t="s">
        <v>361</v>
      </c>
      <c r="D179" t="s">
        <v>362</v>
      </c>
      <c r="E179">
        <v>105.45</v>
      </c>
      <c r="F179">
        <v>1</v>
      </c>
      <c r="G179" s="1">
        <v>46169.472916666666</v>
      </c>
    </row>
    <row r="180" spans="1:7" x14ac:dyDescent="0.3">
      <c r="A180">
        <v>184</v>
      </c>
      <c r="B180" t="s">
        <v>7</v>
      </c>
      <c r="C180" t="s">
        <v>363</v>
      </c>
      <c r="D180" t="s">
        <v>364</v>
      </c>
      <c r="E180">
        <v>32.520000000000003</v>
      </c>
      <c r="F180">
        <v>1</v>
      </c>
      <c r="G180" s="1">
        <v>46205.745833333334</v>
      </c>
    </row>
    <row r="181" spans="1:7" x14ac:dyDescent="0.3">
      <c r="A181">
        <v>185</v>
      </c>
      <c r="B181" t="s">
        <v>7</v>
      </c>
      <c r="C181" t="s">
        <v>365</v>
      </c>
      <c r="D181" t="s">
        <v>366</v>
      </c>
      <c r="E181">
        <v>163.63</v>
      </c>
      <c r="F181">
        <v>1</v>
      </c>
      <c r="G181" s="1">
        <v>46097.813194444447</v>
      </c>
    </row>
    <row r="182" spans="1:7" x14ac:dyDescent="0.3">
      <c r="A182">
        <v>186</v>
      </c>
      <c r="B182" t="s">
        <v>7</v>
      </c>
      <c r="C182" t="s">
        <v>367</v>
      </c>
      <c r="D182" t="s">
        <v>368</v>
      </c>
      <c r="E182">
        <v>95.07</v>
      </c>
      <c r="F182">
        <v>1</v>
      </c>
      <c r="G182" s="1">
        <v>45976.748611111114</v>
      </c>
    </row>
    <row r="183" spans="1:7" x14ac:dyDescent="0.3">
      <c r="A183">
        <v>187</v>
      </c>
      <c r="B183" t="s">
        <v>7</v>
      </c>
      <c r="C183" t="s">
        <v>369</v>
      </c>
      <c r="D183" t="s">
        <v>370</v>
      </c>
      <c r="E183">
        <v>13.42</v>
      </c>
      <c r="F183">
        <v>1</v>
      </c>
      <c r="G183" s="1">
        <v>46026.366666666669</v>
      </c>
    </row>
    <row r="184" spans="1:7" x14ac:dyDescent="0.3">
      <c r="A184">
        <v>188</v>
      </c>
      <c r="B184" t="s">
        <v>7</v>
      </c>
      <c r="C184" t="s">
        <v>371</v>
      </c>
      <c r="D184" t="s">
        <v>372</v>
      </c>
      <c r="E184">
        <v>47.7</v>
      </c>
      <c r="F184">
        <v>1</v>
      </c>
      <c r="G184" s="1">
        <v>46127.293055555558</v>
      </c>
    </row>
    <row r="185" spans="1:7" x14ac:dyDescent="0.3">
      <c r="A185">
        <v>189</v>
      </c>
      <c r="B185" t="s">
        <v>7</v>
      </c>
      <c r="C185" t="s">
        <v>373</v>
      </c>
      <c r="D185" t="s">
        <v>374</v>
      </c>
      <c r="E185">
        <v>21.85</v>
      </c>
      <c r="F185">
        <v>1</v>
      </c>
      <c r="G185" s="1">
        <v>46004.54791666667</v>
      </c>
    </row>
    <row r="186" spans="1:7" x14ac:dyDescent="0.3">
      <c r="A186">
        <v>190</v>
      </c>
      <c r="B186" t="s">
        <v>7</v>
      </c>
      <c r="C186" t="s">
        <v>375</v>
      </c>
      <c r="D186" t="s">
        <v>376</v>
      </c>
      <c r="E186">
        <v>356.83</v>
      </c>
      <c r="F186">
        <v>1</v>
      </c>
      <c r="G186" s="1">
        <v>46073.799305555556</v>
      </c>
    </row>
    <row r="187" spans="1:7" x14ac:dyDescent="0.3">
      <c r="A187">
        <v>191</v>
      </c>
      <c r="B187" t="s">
        <v>7</v>
      </c>
      <c r="C187" t="s">
        <v>377</v>
      </c>
      <c r="D187" t="s">
        <v>378</v>
      </c>
      <c r="E187">
        <v>6.47</v>
      </c>
      <c r="F187">
        <v>1</v>
      </c>
      <c r="G187" s="1">
        <v>46090.568749999999</v>
      </c>
    </row>
    <row r="188" spans="1:7" x14ac:dyDescent="0.3">
      <c r="A188">
        <v>192</v>
      </c>
      <c r="B188" t="s">
        <v>7</v>
      </c>
      <c r="C188" t="s">
        <v>379</v>
      </c>
      <c r="D188" t="s">
        <v>380</v>
      </c>
      <c r="E188">
        <v>30.85</v>
      </c>
      <c r="F188">
        <v>1</v>
      </c>
      <c r="G188" s="1">
        <v>45975.719444444447</v>
      </c>
    </row>
    <row r="189" spans="1:7" x14ac:dyDescent="0.3">
      <c r="A189">
        <v>193</v>
      </c>
      <c r="B189" t="s">
        <v>7</v>
      </c>
      <c r="C189" t="s">
        <v>381</v>
      </c>
      <c r="D189" t="s">
        <v>382</v>
      </c>
      <c r="E189">
        <v>10.84</v>
      </c>
      <c r="F189">
        <v>1</v>
      </c>
      <c r="G189" s="1">
        <v>46231.622916666667</v>
      </c>
    </row>
    <row r="190" spans="1:7" x14ac:dyDescent="0.3">
      <c r="A190">
        <v>194</v>
      </c>
      <c r="B190" t="s">
        <v>7</v>
      </c>
      <c r="C190" t="s">
        <v>383</v>
      </c>
      <c r="D190" t="s">
        <v>384</v>
      </c>
      <c r="E190">
        <v>79.44</v>
      </c>
      <c r="F190">
        <v>1</v>
      </c>
      <c r="G190" s="1">
        <v>45954.525694444441</v>
      </c>
    </row>
    <row r="191" spans="1:7" x14ac:dyDescent="0.3">
      <c r="A191">
        <v>195</v>
      </c>
      <c r="B191" t="s">
        <v>7</v>
      </c>
      <c r="C191" t="s">
        <v>385</v>
      </c>
      <c r="D191" t="s">
        <v>386</v>
      </c>
      <c r="E191">
        <v>125.23</v>
      </c>
      <c r="F191">
        <v>1</v>
      </c>
      <c r="G191" s="1">
        <v>46033.466666666667</v>
      </c>
    </row>
    <row r="192" spans="1:7" x14ac:dyDescent="0.3">
      <c r="A192">
        <v>196</v>
      </c>
      <c r="B192" t="s">
        <v>7</v>
      </c>
      <c r="C192" t="s">
        <v>387</v>
      </c>
      <c r="D192" t="s">
        <v>388</v>
      </c>
      <c r="E192">
        <v>14.7</v>
      </c>
      <c r="F192">
        <v>1</v>
      </c>
      <c r="G192" s="1">
        <v>45976.681944444441</v>
      </c>
    </row>
    <row r="193" spans="1:7" x14ac:dyDescent="0.3">
      <c r="A193">
        <v>197</v>
      </c>
      <c r="B193" t="s">
        <v>7</v>
      </c>
      <c r="C193" t="s">
        <v>389</v>
      </c>
      <c r="D193" t="s">
        <v>390</v>
      </c>
      <c r="E193">
        <v>155.08000000000001</v>
      </c>
      <c r="F193">
        <v>1</v>
      </c>
      <c r="G193" s="1">
        <v>45951.725694444445</v>
      </c>
    </row>
    <row r="194" spans="1:7" x14ac:dyDescent="0.3">
      <c r="A194">
        <v>198</v>
      </c>
      <c r="B194" t="s">
        <v>7</v>
      </c>
      <c r="C194" t="s">
        <v>391</v>
      </c>
      <c r="D194" t="s">
        <v>392</v>
      </c>
      <c r="E194">
        <v>4.34</v>
      </c>
      <c r="F194">
        <v>1</v>
      </c>
      <c r="G194" s="1">
        <v>46212.824305555558</v>
      </c>
    </row>
    <row r="195" spans="1:7" x14ac:dyDescent="0.3">
      <c r="A195">
        <v>199</v>
      </c>
      <c r="B195" t="s">
        <v>7</v>
      </c>
      <c r="C195" t="s">
        <v>393</v>
      </c>
      <c r="D195" t="s">
        <v>394</v>
      </c>
      <c r="E195">
        <v>0</v>
      </c>
      <c r="F195">
        <v>1</v>
      </c>
      <c r="G195" s="1">
        <v>46166.443055555559</v>
      </c>
    </row>
    <row r="196" spans="1:7" x14ac:dyDescent="0.3">
      <c r="A196">
        <v>200</v>
      </c>
      <c r="B196" t="s">
        <v>7</v>
      </c>
      <c r="C196" t="s">
        <v>395</v>
      </c>
      <c r="D196" t="s">
        <v>396</v>
      </c>
      <c r="E196">
        <v>33.26</v>
      </c>
      <c r="F196">
        <v>1</v>
      </c>
      <c r="G196" s="1">
        <v>46095.741666666669</v>
      </c>
    </row>
    <row r="197" spans="1:7" x14ac:dyDescent="0.3">
      <c r="A197">
        <v>201</v>
      </c>
      <c r="B197" t="s">
        <v>7</v>
      </c>
      <c r="C197" t="s">
        <v>397</v>
      </c>
      <c r="D197" t="s">
        <v>398</v>
      </c>
      <c r="E197">
        <v>5.73</v>
      </c>
      <c r="F197">
        <v>1</v>
      </c>
      <c r="G197" s="1">
        <v>45992.584722222222</v>
      </c>
    </row>
    <row r="198" spans="1:7" x14ac:dyDescent="0.3">
      <c r="A198">
        <v>202</v>
      </c>
      <c r="B198" t="s">
        <v>7</v>
      </c>
      <c r="C198" t="s">
        <v>399</v>
      </c>
      <c r="D198" t="s">
        <v>400</v>
      </c>
      <c r="E198">
        <v>30.27</v>
      </c>
      <c r="F198">
        <v>1</v>
      </c>
      <c r="G198" s="1">
        <v>45955.472222222219</v>
      </c>
    </row>
    <row r="199" spans="1:7" x14ac:dyDescent="0.3">
      <c r="A199">
        <v>203</v>
      </c>
      <c r="B199" t="s">
        <v>7</v>
      </c>
      <c r="C199" t="s">
        <v>401</v>
      </c>
      <c r="D199" t="s">
        <v>402</v>
      </c>
      <c r="E199">
        <v>24.61</v>
      </c>
      <c r="F199">
        <v>1</v>
      </c>
      <c r="G199" s="1">
        <v>45959.663888888892</v>
      </c>
    </row>
    <row r="200" spans="1:7" x14ac:dyDescent="0.3">
      <c r="A200">
        <v>204</v>
      </c>
      <c r="B200" t="s">
        <v>7</v>
      </c>
      <c r="C200" t="s">
        <v>403</v>
      </c>
      <c r="D200" t="s">
        <v>404</v>
      </c>
      <c r="E200">
        <v>21.61</v>
      </c>
      <c r="F200">
        <v>1</v>
      </c>
      <c r="G200" s="1">
        <v>46239.386111111111</v>
      </c>
    </row>
    <row r="201" spans="1:7" x14ac:dyDescent="0.3">
      <c r="A201">
        <v>205</v>
      </c>
      <c r="B201" t="s">
        <v>7</v>
      </c>
      <c r="C201" t="s">
        <v>405</v>
      </c>
      <c r="D201" t="s">
        <v>406</v>
      </c>
      <c r="E201">
        <v>14.73</v>
      </c>
      <c r="F201">
        <v>1</v>
      </c>
      <c r="G201" s="1">
        <v>46180.586111111108</v>
      </c>
    </row>
    <row r="202" spans="1:7" x14ac:dyDescent="0.3">
      <c r="A202">
        <v>206</v>
      </c>
      <c r="B202" t="s">
        <v>7</v>
      </c>
      <c r="C202" t="s">
        <v>407</v>
      </c>
      <c r="D202" t="s">
        <v>408</v>
      </c>
      <c r="E202">
        <v>0</v>
      </c>
      <c r="F202">
        <v>1</v>
      </c>
      <c r="G202" s="1">
        <v>46271.815972222219</v>
      </c>
    </row>
    <row r="203" spans="1:7" x14ac:dyDescent="0.3">
      <c r="A203">
        <v>207</v>
      </c>
      <c r="B203" t="s">
        <v>7</v>
      </c>
      <c r="C203" t="s">
        <v>409</v>
      </c>
      <c r="D203" t="s">
        <v>410</v>
      </c>
      <c r="E203">
        <v>23.81</v>
      </c>
      <c r="F203">
        <v>1</v>
      </c>
      <c r="G203" s="1">
        <v>45951.629861111112</v>
      </c>
    </row>
    <row r="204" spans="1:7" x14ac:dyDescent="0.3">
      <c r="A204">
        <v>208</v>
      </c>
      <c r="B204" t="s">
        <v>7</v>
      </c>
      <c r="C204" t="s">
        <v>411</v>
      </c>
      <c r="D204" t="s">
        <v>412</v>
      </c>
      <c r="E204">
        <v>6.9</v>
      </c>
      <c r="F204">
        <v>1</v>
      </c>
      <c r="G204" s="1">
        <v>46080.724305555559</v>
      </c>
    </row>
    <row r="205" spans="1:7" x14ac:dyDescent="0.3">
      <c r="A205">
        <v>209</v>
      </c>
      <c r="B205" t="s">
        <v>7</v>
      </c>
      <c r="C205" t="s">
        <v>413</v>
      </c>
      <c r="D205" t="s">
        <v>414</v>
      </c>
      <c r="E205">
        <v>143.84</v>
      </c>
      <c r="F205">
        <v>1</v>
      </c>
      <c r="G205" s="1">
        <v>45951.638888888891</v>
      </c>
    </row>
    <row r="206" spans="1:7" x14ac:dyDescent="0.3">
      <c r="A206">
        <v>210</v>
      </c>
      <c r="B206" t="s">
        <v>7</v>
      </c>
      <c r="C206" t="s">
        <v>415</v>
      </c>
      <c r="D206" t="s">
        <v>416</v>
      </c>
      <c r="E206">
        <v>16.059999999999999</v>
      </c>
      <c r="F206">
        <v>1</v>
      </c>
      <c r="G206" s="1">
        <v>46101.623611111114</v>
      </c>
    </row>
    <row r="207" spans="1:7" x14ac:dyDescent="0.3">
      <c r="A207">
        <v>211</v>
      </c>
      <c r="B207" t="s">
        <v>7</v>
      </c>
      <c r="C207" t="s">
        <v>417</v>
      </c>
      <c r="D207" t="s">
        <v>418</v>
      </c>
      <c r="E207">
        <v>48.91</v>
      </c>
      <c r="F207">
        <v>1</v>
      </c>
      <c r="G207" s="1">
        <v>45960.304861111108</v>
      </c>
    </row>
    <row r="208" spans="1:7" x14ac:dyDescent="0.3">
      <c r="A208">
        <v>212</v>
      </c>
      <c r="B208" t="s">
        <v>7</v>
      </c>
      <c r="C208" t="s">
        <v>419</v>
      </c>
      <c r="D208" t="s">
        <v>420</v>
      </c>
      <c r="E208">
        <v>59.81</v>
      </c>
      <c r="F208">
        <v>1</v>
      </c>
      <c r="G208" s="1">
        <v>45976.630555555559</v>
      </c>
    </row>
    <row r="209" spans="1:7" x14ac:dyDescent="0.3">
      <c r="A209">
        <v>213</v>
      </c>
      <c r="B209" t="s">
        <v>7</v>
      </c>
      <c r="C209" t="s">
        <v>421</v>
      </c>
      <c r="D209" t="s">
        <v>422</v>
      </c>
      <c r="E209">
        <v>133.58000000000001</v>
      </c>
      <c r="F209">
        <v>1</v>
      </c>
      <c r="G209" s="1">
        <v>46116.780555555553</v>
      </c>
    </row>
    <row r="210" spans="1:7" x14ac:dyDescent="0.3">
      <c r="A210">
        <v>214</v>
      </c>
      <c r="B210" t="s">
        <v>7</v>
      </c>
      <c r="C210" t="s">
        <v>423</v>
      </c>
      <c r="D210" t="s">
        <v>424</v>
      </c>
      <c r="E210">
        <v>2.79</v>
      </c>
      <c r="F210">
        <v>1</v>
      </c>
      <c r="G210" s="1">
        <v>46224.712500000001</v>
      </c>
    </row>
    <row r="211" spans="1:7" x14ac:dyDescent="0.3">
      <c r="A211">
        <v>215</v>
      </c>
      <c r="B211" t="s">
        <v>7</v>
      </c>
      <c r="C211" t="s">
        <v>425</v>
      </c>
      <c r="D211" t="s">
        <v>426</v>
      </c>
      <c r="E211">
        <v>57.44</v>
      </c>
      <c r="F211">
        <v>1</v>
      </c>
      <c r="G211" s="1">
        <v>45951.509027777778</v>
      </c>
    </row>
    <row r="212" spans="1:7" x14ac:dyDescent="0.3">
      <c r="A212">
        <v>216</v>
      </c>
      <c r="B212" t="s">
        <v>7</v>
      </c>
      <c r="C212" t="s">
        <v>427</v>
      </c>
      <c r="D212" t="s">
        <v>428</v>
      </c>
      <c r="E212">
        <v>2.4700000000000002</v>
      </c>
      <c r="F212">
        <v>1</v>
      </c>
      <c r="G212" s="1">
        <v>46207.363194444442</v>
      </c>
    </row>
    <row r="213" spans="1:7" x14ac:dyDescent="0.3">
      <c r="A213">
        <v>217</v>
      </c>
      <c r="B213" t="s">
        <v>7</v>
      </c>
      <c r="C213" t="s">
        <v>429</v>
      </c>
      <c r="D213" t="s">
        <v>430</v>
      </c>
      <c r="E213">
        <v>76.33</v>
      </c>
      <c r="F213">
        <v>0</v>
      </c>
      <c r="G213" s="1">
        <v>45953.466666666667</v>
      </c>
    </row>
    <row r="214" spans="1:7" x14ac:dyDescent="0.3">
      <c r="A214">
        <v>218</v>
      </c>
      <c r="B214" t="s">
        <v>7</v>
      </c>
      <c r="C214" t="s">
        <v>431</v>
      </c>
      <c r="D214" t="s">
        <v>432</v>
      </c>
      <c r="E214">
        <v>17.440000000000001</v>
      </c>
      <c r="F214">
        <v>1</v>
      </c>
      <c r="G214" s="1">
        <v>46113.736111111109</v>
      </c>
    </row>
    <row r="215" spans="1:7" x14ac:dyDescent="0.3">
      <c r="A215">
        <v>219</v>
      </c>
      <c r="B215" t="s">
        <v>7</v>
      </c>
      <c r="C215" t="s">
        <v>433</v>
      </c>
      <c r="D215" t="s">
        <v>434</v>
      </c>
      <c r="E215">
        <v>5.62</v>
      </c>
      <c r="F215">
        <v>1</v>
      </c>
      <c r="G215" s="1">
        <v>46171.422222222223</v>
      </c>
    </row>
    <row r="216" spans="1:7" x14ac:dyDescent="0.3">
      <c r="A216">
        <v>220</v>
      </c>
      <c r="B216" t="s">
        <v>7</v>
      </c>
      <c r="C216" t="s">
        <v>435</v>
      </c>
      <c r="D216" t="s">
        <v>436</v>
      </c>
      <c r="E216">
        <v>11.14</v>
      </c>
      <c r="F216">
        <v>1</v>
      </c>
      <c r="G216" s="1">
        <v>46194.634027777778</v>
      </c>
    </row>
    <row r="217" spans="1:7" x14ac:dyDescent="0.3">
      <c r="A217">
        <v>221</v>
      </c>
      <c r="B217" t="s">
        <v>7</v>
      </c>
      <c r="C217" t="s">
        <v>437</v>
      </c>
      <c r="D217" t="s">
        <v>438</v>
      </c>
      <c r="E217">
        <v>223.34</v>
      </c>
      <c r="F217">
        <v>1</v>
      </c>
      <c r="G217" s="1">
        <v>45996.409722222219</v>
      </c>
    </row>
    <row r="218" spans="1:7" x14ac:dyDescent="0.3">
      <c r="A218">
        <v>222</v>
      </c>
      <c r="B218" t="s">
        <v>7</v>
      </c>
      <c r="C218" t="s">
        <v>439</v>
      </c>
      <c r="D218" t="s">
        <v>440</v>
      </c>
      <c r="E218">
        <v>0</v>
      </c>
      <c r="F218">
        <v>1</v>
      </c>
      <c r="G218" s="1">
        <v>46209.380555555559</v>
      </c>
    </row>
    <row r="219" spans="1:7" x14ac:dyDescent="0.3">
      <c r="A219">
        <v>223</v>
      </c>
      <c r="B219" t="s">
        <v>7</v>
      </c>
      <c r="C219" t="s">
        <v>441</v>
      </c>
      <c r="D219" t="s">
        <v>442</v>
      </c>
      <c r="E219">
        <v>25.36</v>
      </c>
      <c r="F219">
        <v>1</v>
      </c>
      <c r="G219" s="1">
        <v>45957.297222222223</v>
      </c>
    </row>
    <row r="220" spans="1:7" x14ac:dyDescent="0.3">
      <c r="A220">
        <v>224</v>
      </c>
      <c r="B220" t="s">
        <v>7</v>
      </c>
      <c r="C220" t="s">
        <v>443</v>
      </c>
      <c r="D220" t="s">
        <v>444</v>
      </c>
      <c r="E220">
        <v>5.18</v>
      </c>
      <c r="F220">
        <v>1</v>
      </c>
      <c r="G220" s="1">
        <v>46082.299305555556</v>
      </c>
    </row>
    <row r="221" spans="1:7" x14ac:dyDescent="0.3">
      <c r="A221">
        <v>225</v>
      </c>
      <c r="B221" t="s">
        <v>7</v>
      </c>
      <c r="C221" t="s">
        <v>445</v>
      </c>
      <c r="D221" t="s">
        <v>446</v>
      </c>
      <c r="E221">
        <v>4.0599999999999996</v>
      </c>
      <c r="F221">
        <v>1</v>
      </c>
      <c r="G221" s="1">
        <v>46149.629861111112</v>
      </c>
    </row>
    <row r="222" spans="1:7" x14ac:dyDescent="0.3">
      <c r="A222">
        <v>226</v>
      </c>
      <c r="B222" t="s">
        <v>7</v>
      </c>
      <c r="C222" t="s">
        <v>447</v>
      </c>
      <c r="D222" t="s">
        <v>448</v>
      </c>
      <c r="E222">
        <v>0</v>
      </c>
      <c r="F222">
        <v>1</v>
      </c>
      <c r="G222" s="1">
        <v>46167.650694444441</v>
      </c>
    </row>
    <row r="223" spans="1:7" x14ac:dyDescent="0.3">
      <c r="A223">
        <v>227</v>
      </c>
      <c r="B223" t="s">
        <v>7</v>
      </c>
      <c r="C223" t="s">
        <v>449</v>
      </c>
      <c r="D223" t="s">
        <v>450</v>
      </c>
      <c r="E223">
        <v>13.8</v>
      </c>
      <c r="F223">
        <v>1</v>
      </c>
      <c r="G223" s="1">
        <v>45973.668055555558</v>
      </c>
    </row>
    <row r="224" spans="1:7" x14ac:dyDescent="0.3">
      <c r="A224">
        <v>228</v>
      </c>
      <c r="B224" t="s">
        <v>7</v>
      </c>
      <c r="C224" t="s">
        <v>451</v>
      </c>
      <c r="D224" t="s">
        <v>452</v>
      </c>
      <c r="E224">
        <v>8.8000000000000007</v>
      </c>
      <c r="F224">
        <v>1</v>
      </c>
      <c r="G224" s="1">
        <v>46104.293749999997</v>
      </c>
    </row>
    <row r="225" spans="1:7" x14ac:dyDescent="0.3">
      <c r="A225">
        <v>229</v>
      </c>
      <c r="B225" t="s">
        <v>7</v>
      </c>
      <c r="C225" t="s">
        <v>453</v>
      </c>
      <c r="D225" t="s">
        <v>454</v>
      </c>
      <c r="E225">
        <v>81.2</v>
      </c>
      <c r="F225">
        <v>1</v>
      </c>
      <c r="G225" s="1">
        <v>46123.614583333336</v>
      </c>
    </row>
    <row r="226" spans="1:7" x14ac:dyDescent="0.3">
      <c r="A226">
        <v>230</v>
      </c>
      <c r="B226" t="s">
        <v>7</v>
      </c>
      <c r="C226" t="s">
        <v>455</v>
      </c>
      <c r="D226" t="s">
        <v>456</v>
      </c>
      <c r="E226">
        <v>219.86</v>
      </c>
      <c r="F226">
        <v>1</v>
      </c>
      <c r="G226" s="1">
        <v>45995.37777777778</v>
      </c>
    </row>
    <row r="227" spans="1:7" x14ac:dyDescent="0.3">
      <c r="A227">
        <v>231</v>
      </c>
      <c r="B227" t="s">
        <v>7</v>
      </c>
      <c r="C227" t="s">
        <v>457</v>
      </c>
      <c r="D227" t="s">
        <v>458</v>
      </c>
      <c r="E227">
        <v>24.12</v>
      </c>
      <c r="F227">
        <v>1</v>
      </c>
      <c r="G227" s="1">
        <v>46135.568055555559</v>
      </c>
    </row>
    <row r="228" spans="1:7" x14ac:dyDescent="0.3">
      <c r="A228">
        <v>232</v>
      </c>
      <c r="B228" t="s">
        <v>7</v>
      </c>
      <c r="C228" t="s">
        <v>459</v>
      </c>
      <c r="D228" t="s">
        <v>460</v>
      </c>
      <c r="E228">
        <v>25.98</v>
      </c>
      <c r="F228">
        <v>1</v>
      </c>
      <c r="G228" s="1">
        <v>46050.54583333333</v>
      </c>
    </row>
    <row r="229" spans="1:7" x14ac:dyDescent="0.3">
      <c r="A229">
        <v>233</v>
      </c>
      <c r="B229" t="s">
        <v>7</v>
      </c>
      <c r="C229" t="s">
        <v>461</v>
      </c>
      <c r="D229" t="s">
        <v>462</v>
      </c>
      <c r="E229">
        <v>51.13</v>
      </c>
      <c r="F229">
        <v>1</v>
      </c>
      <c r="G229" s="1">
        <v>46025.43472222222</v>
      </c>
    </row>
    <row r="230" spans="1:7" x14ac:dyDescent="0.3">
      <c r="A230">
        <v>234</v>
      </c>
      <c r="B230" t="s">
        <v>7</v>
      </c>
      <c r="C230" t="s">
        <v>463</v>
      </c>
      <c r="D230" t="s">
        <v>464</v>
      </c>
      <c r="E230">
        <v>105.39</v>
      </c>
      <c r="F230">
        <v>1</v>
      </c>
      <c r="G230" s="1">
        <v>46021.347222222219</v>
      </c>
    </row>
    <row r="231" spans="1:7" x14ac:dyDescent="0.3">
      <c r="A231">
        <v>235</v>
      </c>
      <c r="B231" t="s">
        <v>7</v>
      </c>
      <c r="C231" t="s">
        <v>465</v>
      </c>
      <c r="D231" t="s">
        <v>466</v>
      </c>
      <c r="E231">
        <v>19.440000000000001</v>
      </c>
      <c r="F231">
        <v>1</v>
      </c>
      <c r="G231" s="1">
        <v>46008.404861111114</v>
      </c>
    </row>
    <row r="232" spans="1:7" x14ac:dyDescent="0.3">
      <c r="A232">
        <v>236</v>
      </c>
      <c r="B232" t="s">
        <v>7</v>
      </c>
      <c r="C232" t="s">
        <v>467</v>
      </c>
      <c r="D232" t="s">
        <v>468</v>
      </c>
      <c r="E232">
        <v>0</v>
      </c>
      <c r="F232">
        <v>1</v>
      </c>
      <c r="G232" s="1">
        <v>46195.352083333331</v>
      </c>
    </row>
    <row r="233" spans="1:7" x14ac:dyDescent="0.3">
      <c r="A233">
        <v>237</v>
      </c>
      <c r="B233" t="s">
        <v>7</v>
      </c>
      <c r="C233" t="s">
        <v>469</v>
      </c>
      <c r="D233" t="s">
        <v>470</v>
      </c>
      <c r="E233">
        <v>54.16</v>
      </c>
      <c r="F233">
        <v>1</v>
      </c>
      <c r="G233" s="1">
        <v>46069.690972222219</v>
      </c>
    </row>
    <row r="234" spans="1:7" x14ac:dyDescent="0.3">
      <c r="A234">
        <v>238</v>
      </c>
      <c r="B234" t="s">
        <v>7</v>
      </c>
      <c r="C234" t="s">
        <v>471</v>
      </c>
      <c r="D234" t="s">
        <v>472</v>
      </c>
      <c r="E234">
        <v>9.2899999999999991</v>
      </c>
      <c r="F234">
        <v>1</v>
      </c>
      <c r="G234" s="1">
        <v>46019.741666666669</v>
      </c>
    </row>
    <row r="235" spans="1:7" x14ac:dyDescent="0.3">
      <c r="A235">
        <v>239</v>
      </c>
      <c r="B235" t="s">
        <v>7</v>
      </c>
      <c r="C235" t="s">
        <v>473</v>
      </c>
      <c r="D235" t="s">
        <v>474</v>
      </c>
      <c r="E235">
        <v>4.0599999999999996</v>
      </c>
      <c r="F235">
        <v>0</v>
      </c>
      <c r="G235" s="1">
        <v>46086.504166666666</v>
      </c>
    </row>
    <row r="236" spans="1:7" x14ac:dyDescent="0.3">
      <c r="A236">
        <v>240</v>
      </c>
      <c r="B236" t="s">
        <v>7</v>
      </c>
      <c r="C236" t="s">
        <v>475</v>
      </c>
      <c r="D236" t="s">
        <v>476</v>
      </c>
      <c r="E236">
        <v>282.19</v>
      </c>
      <c r="F236">
        <v>1</v>
      </c>
      <c r="G236" s="1">
        <v>45962.593055555553</v>
      </c>
    </row>
    <row r="237" spans="1:7" x14ac:dyDescent="0.3">
      <c r="A237">
        <v>241</v>
      </c>
      <c r="B237" t="s">
        <v>7</v>
      </c>
      <c r="C237" t="s">
        <v>477</v>
      </c>
      <c r="D237" t="s">
        <v>478</v>
      </c>
      <c r="E237">
        <v>58.37</v>
      </c>
      <c r="F237">
        <v>1</v>
      </c>
      <c r="G237" s="1">
        <v>46007.803472222222</v>
      </c>
    </row>
    <row r="238" spans="1:7" x14ac:dyDescent="0.3">
      <c r="A238">
        <v>242</v>
      </c>
      <c r="B238" t="s">
        <v>7</v>
      </c>
      <c r="C238" t="s">
        <v>479</v>
      </c>
      <c r="D238" t="s">
        <v>480</v>
      </c>
      <c r="E238">
        <v>4.12</v>
      </c>
      <c r="F238">
        <v>1</v>
      </c>
      <c r="G238" s="1">
        <v>46202.827777777777</v>
      </c>
    </row>
    <row r="239" spans="1:7" x14ac:dyDescent="0.3">
      <c r="A239">
        <v>243</v>
      </c>
      <c r="B239" t="s">
        <v>7</v>
      </c>
      <c r="C239" t="s">
        <v>481</v>
      </c>
      <c r="D239" t="s">
        <v>482</v>
      </c>
      <c r="E239">
        <v>46.54</v>
      </c>
      <c r="F239">
        <v>1</v>
      </c>
      <c r="G239" s="1">
        <v>46090.745138888888</v>
      </c>
    </row>
    <row r="240" spans="1:7" x14ac:dyDescent="0.3">
      <c r="A240">
        <v>244</v>
      </c>
      <c r="B240" t="s">
        <v>7</v>
      </c>
      <c r="C240" t="s">
        <v>483</v>
      </c>
      <c r="D240" t="s">
        <v>484</v>
      </c>
      <c r="E240">
        <v>147.02000000000001</v>
      </c>
      <c r="F240">
        <v>1</v>
      </c>
      <c r="G240" s="1">
        <v>45983.804861111108</v>
      </c>
    </row>
    <row r="241" spans="1:7" x14ac:dyDescent="0.3">
      <c r="A241">
        <v>245</v>
      </c>
      <c r="B241" t="s">
        <v>7</v>
      </c>
      <c r="C241" t="s">
        <v>485</v>
      </c>
      <c r="D241" t="s">
        <v>486</v>
      </c>
      <c r="E241">
        <v>22.53</v>
      </c>
      <c r="F241">
        <v>0</v>
      </c>
      <c r="G241" s="1">
        <v>45966.400000000001</v>
      </c>
    </row>
    <row r="242" spans="1:7" x14ac:dyDescent="0.3">
      <c r="A242">
        <v>246</v>
      </c>
      <c r="B242" t="s">
        <v>7</v>
      </c>
      <c r="C242" t="s">
        <v>487</v>
      </c>
      <c r="D242" t="s">
        <v>488</v>
      </c>
      <c r="E242">
        <v>32.340000000000003</v>
      </c>
      <c r="F242">
        <v>1</v>
      </c>
      <c r="G242" s="1">
        <v>46149.295138888891</v>
      </c>
    </row>
    <row r="243" spans="1:7" x14ac:dyDescent="0.3">
      <c r="A243">
        <v>247</v>
      </c>
      <c r="B243" t="s">
        <v>7</v>
      </c>
      <c r="C243" t="s">
        <v>489</v>
      </c>
      <c r="D243" t="s">
        <v>490</v>
      </c>
      <c r="E243">
        <v>20.74</v>
      </c>
      <c r="F243">
        <v>1</v>
      </c>
      <c r="G243" s="1">
        <v>46022.506944444445</v>
      </c>
    </row>
    <row r="244" spans="1:7" x14ac:dyDescent="0.3">
      <c r="A244">
        <v>248</v>
      </c>
      <c r="B244" t="s">
        <v>7</v>
      </c>
      <c r="C244" t="s">
        <v>491</v>
      </c>
      <c r="D244" t="s">
        <v>492</v>
      </c>
      <c r="E244">
        <v>10.84</v>
      </c>
      <c r="F244">
        <v>1</v>
      </c>
      <c r="G244" s="1">
        <v>46166.693055555559</v>
      </c>
    </row>
    <row r="245" spans="1:7" x14ac:dyDescent="0.3">
      <c r="A245">
        <v>249</v>
      </c>
      <c r="B245" t="s">
        <v>7</v>
      </c>
      <c r="C245" t="s">
        <v>493</v>
      </c>
      <c r="D245" t="s">
        <v>494</v>
      </c>
      <c r="E245">
        <v>104.71</v>
      </c>
      <c r="F245">
        <v>1</v>
      </c>
      <c r="G245" s="1">
        <v>45963.668749999997</v>
      </c>
    </row>
    <row r="246" spans="1:7" x14ac:dyDescent="0.3">
      <c r="A246">
        <v>250</v>
      </c>
      <c r="B246" t="s">
        <v>7</v>
      </c>
      <c r="C246" t="s">
        <v>495</v>
      </c>
      <c r="D246" t="s">
        <v>496</v>
      </c>
      <c r="E246">
        <v>199.54</v>
      </c>
      <c r="F246">
        <v>1</v>
      </c>
      <c r="G246" s="1">
        <v>46112.609722222223</v>
      </c>
    </row>
    <row r="247" spans="1:7" x14ac:dyDescent="0.3">
      <c r="A247">
        <v>251</v>
      </c>
      <c r="B247" t="s">
        <v>7</v>
      </c>
      <c r="C247" t="s">
        <v>497</v>
      </c>
      <c r="D247" t="s">
        <v>498</v>
      </c>
      <c r="E247">
        <v>50.89</v>
      </c>
      <c r="F247">
        <v>1</v>
      </c>
      <c r="G247" s="1">
        <v>45972.629861111112</v>
      </c>
    </row>
    <row r="248" spans="1:7" x14ac:dyDescent="0.3">
      <c r="A248">
        <v>252</v>
      </c>
      <c r="B248" t="s">
        <v>7</v>
      </c>
      <c r="C248" t="s">
        <v>499</v>
      </c>
      <c r="D248" t="s">
        <v>500</v>
      </c>
      <c r="E248">
        <v>52.93</v>
      </c>
      <c r="F248">
        <v>1</v>
      </c>
      <c r="G248" s="1">
        <v>45986.734027777777</v>
      </c>
    </row>
    <row r="249" spans="1:7" x14ac:dyDescent="0.3">
      <c r="A249">
        <v>253</v>
      </c>
      <c r="B249" t="s">
        <v>7</v>
      </c>
      <c r="C249" t="s">
        <v>501</v>
      </c>
      <c r="D249" t="s">
        <v>502</v>
      </c>
      <c r="E249">
        <v>29.42</v>
      </c>
      <c r="F249">
        <v>1</v>
      </c>
      <c r="G249" s="1">
        <v>45952.568055555559</v>
      </c>
    </row>
    <row r="250" spans="1:7" x14ac:dyDescent="0.3">
      <c r="A250">
        <v>254</v>
      </c>
      <c r="B250" t="s">
        <v>7</v>
      </c>
      <c r="C250" t="s">
        <v>503</v>
      </c>
      <c r="D250" t="s">
        <v>504</v>
      </c>
      <c r="E250">
        <v>56.26</v>
      </c>
      <c r="F250">
        <v>1</v>
      </c>
      <c r="G250" s="1">
        <v>45990.450694444444</v>
      </c>
    </row>
    <row r="251" spans="1:7" x14ac:dyDescent="0.3">
      <c r="A251">
        <v>255</v>
      </c>
      <c r="B251" t="s">
        <v>7</v>
      </c>
      <c r="C251" t="s">
        <v>505</v>
      </c>
      <c r="D251" t="s">
        <v>506</v>
      </c>
      <c r="E251">
        <v>18.39</v>
      </c>
      <c r="F251">
        <v>1</v>
      </c>
      <c r="G251" s="1">
        <v>45996.313194444447</v>
      </c>
    </row>
    <row r="252" spans="1:7" x14ac:dyDescent="0.3">
      <c r="A252">
        <v>256</v>
      </c>
      <c r="B252" t="s">
        <v>7</v>
      </c>
      <c r="C252" t="s">
        <v>507</v>
      </c>
      <c r="D252" t="s">
        <v>508</v>
      </c>
      <c r="E252">
        <v>0</v>
      </c>
      <c r="F252">
        <v>1</v>
      </c>
      <c r="G252" s="1">
        <v>46010.759722222225</v>
      </c>
    </row>
    <row r="253" spans="1:7" x14ac:dyDescent="0.3">
      <c r="A253">
        <v>257</v>
      </c>
      <c r="B253" t="s">
        <v>7</v>
      </c>
      <c r="C253" t="s">
        <v>509</v>
      </c>
      <c r="D253" t="s">
        <v>510</v>
      </c>
      <c r="E253">
        <v>49.04</v>
      </c>
      <c r="F253">
        <v>1</v>
      </c>
      <c r="G253" s="1">
        <v>45953.751388888886</v>
      </c>
    </row>
    <row r="254" spans="1:7" x14ac:dyDescent="0.3">
      <c r="A254">
        <v>258</v>
      </c>
      <c r="B254" t="s">
        <v>7</v>
      </c>
      <c r="C254" t="s">
        <v>511</v>
      </c>
      <c r="D254" t="s">
        <v>512</v>
      </c>
      <c r="E254">
        <v>2.0699999999999998</v>
      </c>
      <c r="F254">
        <v>1</v>
      </c>
      <c r="G254" s="1">
        <v>46244.525000000001</v>
      </c>
    </row>
    <row r="255" spans="1:7" x14ac:dyDescent="0.3">
      <c r="A255">
        <v>259</v>
      </c>
      <c r="B255" t="s">
        <v>7</v>
      </c>
      <c r="C255" t="s">
        <v>513</v>
      </c>
      <c r="D255" t="s">
        <v>514</v>
      </c>
      <c r="E255">
        <v>9.67</v>
      </c>
      <c r="F255">
        <v>1</v>
      </c>
      <c r="G255" s="1">
        <v>46134.554166666669</v>
      </c>
    </row>
    <row r="256" spans="1:7" x14ac:dyDescent="0.3">
      <c r="A256">
        <v>260</v>
      </c>
      <c r="B256" t="s">
        <v>7</v>
      </c>
      <c r="C256" t="s">
        <v>515</v>
      </c>
      <c r="D256" t="s">
        <v>516</v>
      </c>
      <c r="E256">
        <v>0</v>
      </c>
      <c r="F256">
        <v>1</v>
      </c>
      <c r="G256" s="1">
        <v>46270.410416666666</v>
      </c>
    </row>
    <row r="257" spans="1:7" x14ac:dyDescent="0.3">
      <c r="A257">
        <v>261</v>
      </c>
      <c r="B257" t="s">
        <v>7</v>
      </c>
      <c r="C257" t="s">
        <v>517</v>
      </c>
      <c r="D257" t="s">
        <v>518</v>
      </c>
      <c r="E257">
        <v>97.86</v>
      </c>
      <c r="F257">
        <v>1</v>
      </c>
      <c r="G257" s="1">
        <v>45955.34375</v>
      </c>
    </row>
    <row r="258" spans="1:7" x14ac:dyDescent="0.3">
      <c r="A258">
        <v>262</v>
      </c>
      <c r="B258" t="s">
        <v>7</v>
      </c>
      <c r="C258" t="s">
        <v>519</v>
      </c>
      <c r="D258" t="s">
        <v>520</v>
      </c>
      <c r="E258">
        <v>41.15</v>
      </c>
      <c r="F258">
        <v>1</v>
      </c>
      <c r="G258" s="1">
        <v>45954.490972222222</v>
      </c>
    </row>
    <row r="259" spans="1:7" x14ac:dyDescent="0.3">
      <c r="A259">
        <v>263</v>
      </c>
      <c r="B259" t="s">
        <v>7</v>
      </c>
      <c r="C259" t="s">
        <v>521</v>
      </c>
      <c r="D259" t="s">
        <v>522</v>
      </c>
      <c r="E259">
        <v>11.49</v>
      </c>
      <c r="F259">
        <v>0</v>
      </c>
      <c r="G259" s="1">
        <v>46167.355555555558</v>
      </c>
    </row>
    <row r="260" spans="1:7" x14ac:dyDescent="0.3">
      <c r="A260">
        <v>264</v>
      </c>
      <c r="B260" t="s">
        <v>7</v>
      </c>
      <c r="C260" t="s">
        <v>523</v>
      </c>
      <c r="D260" t="s">
        <v>524</v>
      </c>
      <c r="E260">
        <v>102.7</v>
      </c>
      <c r="F260">
        <v>1</v>
      </c>
      <c r="G260" s="1">
        <v>45968.806944444441</v>
      </c>
    </row>
    <row r="261" spans="1:7" x14ac:dyDescent="0.3">
      <c r="A261">
        <v>265</v>
      </c>
      <c r="B261" t="s">
        <v>7</v>
      </c>
      <c r="C261" t="s">
        <v>525</v>
      </c>
      <c r="D261" t="s">
        <v>526</v>
      </c>
      <c r="E261">
        <v>115.92</v>
      </c>
      <c r="F261">
        <v>1</v>
      </c>
      <c r="G261" s="1">
        <v>45956.466666666667</v>
      </c>
    </row>
    <row r="262" spans="1:7" x14ac:dyDescent="0.3">
      <c r="A262">
        <v>266</v>
      </c>
      <c r="B262" t="s">
        <v>7</v>
      </c>
      <c r="C262" t="s">
        <v>527</v>
      </c>
      <c r="D262" t="s">
        <v>528</v>
      </c>
      <c r="E262">
        <v>35.94</v>
      </c>
      <c r="F262">
        <v>1</v>
      </c>
      <c r="G262" s="1">
        <v>45966.819444444445</v>
      </c>
    </row>
    <row r="263" spans="1:7" x14ac:dyDescent="0.3">
      <c r="A263">
        <v>267</v>
      </c>
      <c r="B263" t="s">
        <v>7</v>
      </c>
      <c r="C263" t="s">
        <v>529</v>
      </c>
      <c r="D263" t="s">
        <v>530</v>
      </c>
      <c r="E263">
        <v>11.05</v>
      </c>
      <c r="F263">
        <v>1</v>
      </c>
      <c r="G263" s="1">
        <v>46158.613194444442</v>
      </c>
    </row>
    <row r="264" spans="1:7" x14ac:dyDescent="0.3">
      <c r="A264">
        <v>268</v>
      </c>
      <c r="B264" t="s">
        <v>7</v>
      </c>
      <c r="C264" t="s">
        <v>531</v>
      </c>
      <c r="D264" t="s">
        <v>532</v>
      </c>
      <c r="E264">
        <v>18.559999999999999</v>
      </c>
      <c r="F264">
        <v>1</v>
      </c>
      <c r="G264" s="1">
        <v>45962.354166666664</v>
      </c>
    </row>
    <row r="265" spans="1:7" x14ac:dyDescent="0.3">
      <c r="A265">
        <v>269</v>
      </c>
      <c r="B265" t="s">
        <v>7</v>
      </c>
      <c r="C265" t="s">
        <v>533</v>
      </c>
      <c r="D265" t="s">
        <v>534</v>
      </c>
      <c r="E265">
        <v>0</v>
      </c>
      <c r="F265">
        <v>1</v>
      </c>
      <c r="G265" s="1">
        <v>46083.522222222222</v>
      </c>
    </row>
    <row r="266" spans="1:7" x14ac:dyDescent="0.3">
      <c r="A266">
        <v>270</v>
      </c>
      <c r="B266" t="s">
        <v>7</v>
      </c>
      <c r="C266" t="s">
        <v>535</v>
      </c>
      <c r="D266" t="s">
        <v>536</v>
      </c>
      <c r="E266">
        <v>16.54</v>
      </c>
      <c r="F266">
        <v>0</v>
      </c>
      <c r="G266" s="1">
        <v>46032.307638888888</v>
      </c>
    </row>
    <row r="267" spans="1:7" x14ac:dyDescent="0.3">
      <c r="A267">
        <v>271</v>
      </c>
      <c r="B267" t="s">
        <v>7</v>
      </c>
      <c r="C267" t="s">
        <v>537</v>
      </c>
      <c r="D267" t="s">
        <v>538</v>
      </c>
      <c r="E267">
        <v>6.68</v>
      </c>
      <c r="F267">
        <v>1</v>
      </c>
      <c r="G267" s="1">
        <v>46092.64166666667</v>
      </c>
    </row>
    <row r="268" spans="1:7" x14ac:dyDescent="0.3">
      <c r="A268">
        <v>272</v>
      </c>
      <c r="B268" t="s">
        <v>7</v>
      </c>
      <c r="C268" t="s">
        <v>539</v>
      </c>
      <c r="D268" t="s">
        <v>540</v>
      </c>
      <c r="E268">
        <v>65.17</v>
      </c>
      <c r="F268">
        <v>1</v>
      </c>
      <c r="G268" s="1">
        <v>46031.816666666666</v>
      </c>
    </row>
    <row r="269" spans="1:7" x14ac:dyDescent="0.3">
      <c r="A269">
        <v>273</v>
      </c>
      <c r="B269" t="s">
        <v>7</v>
      </c>
      <c r="C269" t="s">
        <v>541</v>
      </c>
      <c r="D269" t="s">
        <v>542</v>
      </c>
      <c r="E269">
        <v>33.880000000000003</v>
      </c>
      <c r="F269">
        <v>1</v>
      </c>
      <c r="G269" s="1">
        <v>46049.311111111114</v>
      </c>
    </row>
    <row r="270" spans="1:7" x14ac:dyDescent="0.3">
      <c r="A270">
        <v>274</v>
      </c>
      <c r="B270" t="s">
        <v>7</v>
      </c>
      <c r="C270" t="s">
        <v>543</v>
      </c>
      <c r="D270" t="s">
        <v>544</v>
      </c>
      <c r="E270">
        <v>8.74</v>
      </c>
      <c r="F270">
        <v>1</v>
      </c>
      <c r="G270" s="1">
        <v>46050.376388888886</v>
      </c>
    </row>
    <row r="271" spans="1:7" x14ac:dyDescent="0.3">
      <c r="A271">
        <v>275</v>
      </c>
      <c r="B271" t="s">
        <v>7</v>
      </c>
      <c r="C271" t="s">
        <v>545</v>
      </c>
      <c r="D271" t="s">
        <v>546</v>
      </c>
      <c r="E271">
        <v>0</v>
      </c>
      <c r="F271">
        <v>0</v>
      </c>
      <c r="G271" s="1">
        <v>46057.673611111109</v>
      </c>
    </row>
    <row r="272" spans="1:7" x14ac:dyDescent="0.3">
      <c r="A272">
        <v>276</v>
      </c>
      <c r="B272" t="s">
        <v>7</v>
      </c>
      <c r="C272" t="s">
        <v>547</v>
      </c>
      <c r="D272" t="s">
        <v>548</v>
      </c>
      <c r="E272">
        <v>51.28</v>
      </c>
      <c r="F272">
        <v>1</v>
      </c>
      <c r="G272" s="1">
        <v>46012.806250000001</v>
      </c>
    </row>
    <row r="273" spans="1:7" x14ac:dyDescent="0.3">
      <c r="A273">
        <v>277</v>
      </c>
      <c r="B273" t="s">
        <v>7</v>
      </c>
      <c r="C273" t="s">
        <v>549</v>
      </c>
      <c r="D273" t="s">
        <v>550</v>
      </c>
      <c r="E273">
        <v>118.66</v>
      </c>
      <c r="F273">
        <v>1</v>
      </c>
      <c r="G273" s="1">
        <v>45953.357638888891</v>
      </c>
    </row>
    <row r="274" spans="1:7" x14ac:dyDescent="0.3">
      <c r="A274">
        <v>278</v>
      </c>
      <c r="B274" t="s">
        <v>7</v>
      </c>
      <c r="C274" t="s">
        <v>551</v>
      </c>
      <c r="D274" t="s">
        <v>552</v>
      </c>
      <c r="E274">
        <v>58.82</v>
      </c>
      <c r="F274">
        <v>1</v>
      </c>
      <c r="G274" s="1">
        <v>46140.748611111114</v>
      </c>
    </row>
    <row r="275" spans="1:7" x14ac:dyDescent="0.3">
      <c r="A275">
        <v>279</v>
      </c>
      <c r="B275" t="s">
        <v>7</v>
      </c>
      <c r="C275" t="s">
        <v>553</v>
      </c>
      <c r="D275" t="s">
        <v>554</v>
      </c>
      <c r="E275">
        <v>387.35</v>
      </c>
      <c r="F275">
        <v>1</v>
      </c>
      <c r="G275" s="1">
        <v>45954.714583333334</v>
      </c>
    </row>
    <row r="276" spans="1:7" x14ac:dyDescent="0.3">
      <c r="A276">
        <v>280</v>
      </c>
      <c r="B276" t="s">
        <v>7</v>
      </c>
      <c r="C276" t="s">
        <v>555</v>
      </c>
      <c r="D276" t="s">
        <v>556</v>
      </c>
      <c r="E276">
        <v>56.69</v>
      </c>
      <c r="F276">
        <v>1</v>
      </c>
      <c r="G276" s="1">
        <v>45959.753472222219</v>
      </c>
    </row>
    <row r="277" spans="1:7" x14ac:dyDescent="0.3">
      <c r="A277">
        <v>281</v>
      </c>
      <c r="B277" t="s">
        <v>7</v>
      </c>
      <c r="C277" t="s">
        <v>557</v>
      </c>
      <c r="D277" t="s">
        <v>558</v>
      </c>
      <c r="E277">
        <v>76.239999999999995</v>
      </c>
      <c r="F277">
        <v>0</v>
      </c>
      <c r="G277" s="1">
        <v>46104.536111111112</v>
      </c>
    </row>
    <row r="278" spans="1:7" x14ac:dyDescent="0.3">
      <c r="A278">
        <v>282</v>
      </c>
      <c r="B278" t="s">
        <v>7</v>
      </c>
      <c r="C278" t="s">
        <v>559</v>
      </c>
      <c r="D278" t="s">
        <v>560</v>
      </c>
      <c r="E278">
        <v>44.97</v>
      </c>
      <c r="F278">
        <v>1</v>
      </c>
      <c r="G278" s="1">
        <v>46105.563888888886</v>
      </c>
    </row>
    <row r="279" spans="1:7" x14ac:dyDescent="0.3">
      <c r="A279">
        <v>283</v>
      </c>
      <c r="B279" t="s">
        <v>7</v>
      </c>
      <c r="C279" t="s">
        <v>561</v>
      </c>
      <c r="D279" t="s">
        <v>562</v>
      </c>
      <c r="E279">
        <v>7.14</v>
      </c>
      <c r="F279">
        <v>1</v>
      </c>
      <c r="G279" s="1">
        <v>45992.431250000001</v>
      </c>
    </row>
    <row r="280" spans="1:7" x14ac:dyDescent="0.3">
      <c r="A280">
        <v>284</v>
      </c>
      <c r="B280" t="s">
        <v>7</v>
      </c>
      <c r="C280" t="s">
        <v>563</v>
      </c>
      <c r="D280" t="s">
        <v>564</v>
      </c>
      <c r="E280">
        <v>1.91</v>
      </c>
      <c r="F280">
        <v>1</v>
      </c>
      <c r="G280" s="1">
        <v>46290.37777777778</v>
      </c>
    </row>
    <row r="281" spans="1:7" x14ac:dyDescent="0.3">
      <c r="A281">
        <v>285</v>
      </c>
      <c r="B281" t="s">
        <v>7</v>
      </c>
      <c r="C281" t="s">
        <v>565</v>
      </c>
      <c r="D281" t="s">
        <v>566</v>
      </c>
      <c r="E281">
        <v>35.799999999999997</v>
      </c>
      <c r="F281">
        <v>1</v>
      </c>
      <c r="G281" s="1">
        <v>46163.788888888892</v>
      </c>
    </row>
    <row r="282" spans="1:7" x14ac:dyDescent="0.3">
      <c r="A282">
        <v>286</v>
      </c>
      <c r="B282" t="s">
        <v>7</v>
      </c>
      <c r="C282" t="s">
        <v>567</v>
      </c>
      <c r="D282" t="s">
        <v>568</v>
      </c>
      <c r="E282">
        <v>0</v>
      </c>
      <c r="F282">
        <v>1</v>
      </c>
      <c r="G282" s="1">
        <v>46219.672222222223</v>
      </c>
    </row>
    <row r="283" spans="1:7" x14ac:dyDescent="0.3">
      <c r="A283">
        <v>287</v>
      </c>
      <c r="B283" t="s">
        <v>7</v>
      </c>
      <c r="C283" t="s">
        <v>569</v>
      </c>
      <c r="D283" t="s">
        <v>570</v>
      </c>
      <c r="E283">
        <v>6.53</v>
      </c>
      <c r="F283">
        <v>1</v>
      </c>
      <c r="G283" s="1">
        <v>45963.78402777778</v>
      </c>
    </row>
    <row r="284" spans="1:7" x14ac:dyDescent="0.3">
      <c r="A284">
        <v>288</v>
      </c>
      <c r="B284" t="s">
        <v>7</v>
      </c>
      <c r="C284" t="s">
        <v>571</v>
      </c>
      <c r="D284" t="s">
        <v>572</v>
      </c>
      <c r="E284">
        <v>28.29</v>
      </c>
      <c r="F284">
        <v>1</v>
      </c>
      <c r="G284" s="1">
        <v>45952.529861111114</v>
      </c>
    </row>
    <row r="285" spans="1:7" x14ac:dyDescent="0.3">
      <c r="A285">
        <v>289</v>
      </c>
      <c r="B285" t="s">
        <v>7</v>
      </c>
      <c r="C285" t="s">
        <v>573</v>
      </c>
      <c r="D285" t="s">
        <v>574</v>
      </c>
      <c r="E285">
        <v>41.73</v>
      </c>
      <c r="F285">
        <v>1</v>
      </c>
      <c r="G285" s="1">
        <v>46154.811111111114</v>
      </c>
    </row>
    <row r="286" spans="1:7" x14ac:dyDescent="0.3">
      <c r="A286">
        <v>290</v>
      </c>
      <c r="B286" t="s">
        <v>7</v>
      </c>
      <c r="C286" t="s">
        <v>575</v>
      </c>
      <c r="D286" t="s">
        <v>576</v>
      </c>
      <c r="E286">
        <v>37.76</v>
      </c>
      <c r="F286">
        <v>1</v>
      </c>
      <c r="G286" s="1">
        <v>45992.826388888891</v>
      </c>
    </row>
    <row r="287" spans="1:7" x14ac:dyDescent="0.3">
      <c r="A287">
        <v>291</v>
      </c>
      <c r="B287" t="s">
        <v>7</v>
      </c>
      <c r="C287" t="s">
        <v>577</v>
      </c>
      <c r="D287" t="s">
        <v>578</v>
      </c>
      <c r="E287">
        <v>2.4700000000000002</v>
      </c>
      <c r="F287">
        <v>1</v>
      </c>
      <c r="G287" s="1">
        <v>46120.686111111114</v>
      </c>
    </row>
    <row r="288" spans="1:7" x14ac:dyDescent="0.3">
      <c r="A288">
        <v>292</v>
      </c>
      <c r="B288" t="s">
        <v>7</v>
      </c>
      <c r="C288" t="s">
        <v>579</v>
      </c>
      <c r="D288" t="s">
        <v>580</v>
      </c>
      <c r="E288">
        <v>1.87</v>
      </c>
      <c r="F288">
        <v>1</v>
      </c>
      <c r="G288" s="1">
        <v>46049.548611111109</v>
      </c>
    </row>
    <row r="289" spans="1:7" x14ac:dyDescent="0.3">
      <c r="A289">
        <v>293</v>
      </c>
      <c r="B289" t="s">
        <v>7</v>
      </c>
      <c r="C289" t="s">
        <v>581</v>
      </c>
      <c r="D289" t="s">
        <v>582</v>
      </c>
      <c r="E289">
        <v>37.99</v>
      </c>
      <c r="F289">
        <v>1</v>
      </c>
      <c r="G289" s="1">
        <v>45952.621527777781</v>
      </c>
    </row>
    <row r="290" spans="1:7" x14ac:dyDescent="0.3">
      <c r="A290">
        <v>294</v>
      </c>
      <c r="B290" t="s">
        <v>7</v>
      </c>
      <c r="C290" t="s">
        <v>583</v>
      </c>
      <c r="D290" t="s">
        <v>584</v>
      </c>
      <c r="E290">
        <v>10.5</v>
      </c>
      <c r="F290">
        <v>1</v>
      </c>
      <c r="G290" s="1">
        <v>46135.662499999999</v>
      </c>
    </row>
    <row r="291" spans="1:7" x14ac:dyDescent="0.3">
      <c r="A291">
        <v>295</v>
      </c>
      <c r="B291" t="s">
        <v>7</v>
      </c>
      <c r="C291" t="s">
        <v>585</v>
      </c>
      <c r="D291" t="s">
        <v>586</v>
      </c>
      <c r="E291">
        <v>2.7</v>
      </c>
      <c r="F291">
        <v>1</v>
      </c>
      <c r="G291" s="1">
        <v>46159.477777777778</v>
      </c>
    </row>
    <row r="292" spans="1:7" x14ac:dyDescent="0.3">
      <c r="A292">
        <v>296</v>
      </c>
      <c r="B292" t="s">
        <v>7</v>
      </c>
      <c r="C292" t="s">
        <v>587</v>
      </c>
      <c r="D292" t="s">
        <v>588</v>
      </c>
      <c r="E292">
        <v>60.48</v>
      </c>
      <c r="F292">
        <v>1</v>
      </c>
      <c r="G292" s="1">
        <v>45955.452777777777</v>
      </c>
    </row>
    <row r="293" spans="1:7" x14ac:dyDescent="0.3">
      <c r="A293">
        <v>297</v>
      </c>
      <c r="B293" t="s">
        <v>7</v>
      </c>
      <c r="C293" t="s">
        <v>589</v>
      </c>
      <c r="D293" t="s">
        <v>590</v>
      </c>
      <c r="E293">
        <v>165.41</v>
      </c>
      <c r="F293">
        <v>1</v>
      </c>
      <c r="G293" s="1">
        <v>46020.563888888886</v>
      </c>
    </row>
    <row r="294" spans="1:7" x14ac:dyDescent="0.3">
      <c r="A294">
        <v>298</v>
      </c>
      <c r="B294" t="s">
        <v>7</v>
      </c>
      <c r="C294" t="s">
        <v>591</v>
      </c>
      <c r="D294" t="s">
        <v>592</v>
      </c>
      <c r="E294">
        <v>0</v>
      </c>
      <c r="F294">
        <v>1</v>
      </c>
      <c r="G294" s="1">
        <v>46287.509722222225</v>
      </c>
    </row>
    <row r="295" spans="1:7" x14ac:dyDescent="0.3">
      <c r="A295">
        <v>299</v>
      </c>
      <c r="B295" t="s">
        <v>7</v>
      </c>
      <c r="C295" t="s">
        <v>593</v>
      </c>
      <c r="D295" t="s">
        <v>594</v>
      </c>
      <c r="E295">
        <v>54.99</v>
      </c>
      <c r="F295">
        <v>1</v>
      </c>
      <c r="G295" s="1">
        <v>46198.722916666666</v>
      </c>
    </row>
    <row r="296" spans="1:7" x14ac:dyDescent="0.3">
      <c r="A296">
        <v>300</v>
      </c>
      <c r="B296" t="s">
        <v>7</v>
      </c>
      <c r="C296" t="s">
        <v>595</v>
      </c>
      <c r="D296" t="s">
        <v>596</v>
      </c>
      <c r="E296">
        <v>39.119999999999997</v>
      </c>
      <c r="F296">
        <v>1</v>
      </c>
      <c r="G296" s="1">
        <v>45986.613888888889</v>
      </c>
    </row>
    <row r="297" spans="1:7" x14ac:dyDescent="0.3">
      <c r="A297">
        <v>301</v>
      </c>
      <c r="B297" t="s">
        <v>7</v>
      </c>
      <c r="C297" t="s">
        <v>597</v>
      </c>
      <c r="D297" t="s">
        <v>598</v>
      </c>
      <c r="E297">
        <v>20.059999999999999</v>
      </c>
      <c r="F297">
        <v>1</v>
      </c>
      <c r="G297" s="1">
        <v>46092.334027777775</v>
      </c>
    </row>
    <row r="298" spans="1:7" x14ac:dyDescent="0.3">
      <c r="A298">
        <v>302</v>
      </c>
      <c r="B298" t="s">
        <v>7</v>
      </c>
      <c r="C298" t="s">
        <v>599</v>
      </c>
      <c r="D298" t="s">
        <v>600</v>
      </c>
      <c r="E298">
        <v>8.69</v>
      </c>
      <c r="F298">
        <v>1</v>
      </c>
      <c r="G298" s="1">
        <v>46066.776388888888</v>
      </c>
    </row>
    <row r="299" spans="1:7" x14ac:dyDescent="0.3">
      <c r="A299">
        <v>303</v>
      </c>
      <c r="B299" t="s">
        <v>7</v>
      </c>
      <c r="C299" t="s">
        <v>601</v>
      </c>
      <c r="D299" t="s">
        <v>602</v>
      </c>
      <c r="E299">
        <v>5.1100000000000003</v>
      </c>
      <c r="F299">
        <v>1</v>
      </c>
      <c r="G299" s="1">
        <v>46166.429861111108</v>
      </c>
    </row>
    <row r="300" spans="1:7" x14ac:dyDescent="0.3">
      <c r="A300">
        <v>304</v>
      </c>
      <c r="B300" t="s">
        <v>7</v>
      </c>
      <c r="C300" t="s">
        <v>603</v>
      </c>
      <c r="D300" t="s">
        <v>604</v>
      </c>
      <c r="E300">
        <v>24.02</v>
      </c>
      <c r="F300">
        <v>1</v>
      </c>
      <c r="G300" s="1">
        <v>46022.818749999999</v>
      </c>
    </row>
    <row r="301" spans="1:7" x14ac:dyDescent="0.3">
      <c r="A301">
        <v>305</v>
      </c>
      <c r="B301" t="s">
        <v>7</v>
      </c>
      <c r="C301" t="s">
        <v>605</v>
      </c>
      <c r="D301" t="s">
        <v>606</v>
      </c>
      <c r="E301">
        <v>2.92</v>
      </c>
      <c r="F301">
        <v>1</v>
      </c>
      <c r="G301" s="1">
        <v>46197.609722222223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7022-5163-4308-B782-795A4526E480}">
  <dimension ref="A1:L303"/>
  <sheetViews>
    <sheetView topLeftCell="H1" workbookViewId="0">
      <selection activeCell="L9" sqref="L9"/>
    </sheetView>
  </sheetViews>
  <sheetFormatPr baseColWidth="10" defaultRowHeight="14.4" x14ac:dyDescent="0.3"/>
  <cols>
    <col min="1" max="1" width="4.88671875" bestFit="1" customWidth="1"/>
    <col min="2" max="2" width="26.44140625" bestFit="1" customWidth="1"/>
    <col min="3" max="3" width="13" bestFit="1" customWidth="1"/>
    <col min="4" max="4" width="8.44140625" bestFit="1" customWidth="1"/>
    <col min="5" max="5" width="8.33203125" bestFit="1" customWidth="1"/>
  </cols>
  <sheetData>
    <row r="1" spans="1:12" x14ac:dyDescent="0.3">
      <c r="A1" t="s">
        <v>783</v>
      </c>
      <c r="B1" s="2">
        <v>46315</v>
      </c>
      <c r="D1" t="s">
        <v>791</v>
      </c>
      <c r="G1">
        <f>SUMPRODUCT(--(ABS(Clientes_Resumen[Diferencia])&gt;0.005))</f>
        <v>6</v>
      </c>
    </row>
    <row r="3" spans="1:12" x14ac:dyDescent="0.3">
      <c r="A3" t="s">
        <v>0</v>
      </c>
      <c r="B3" t="s">
        <v>2</v>
      </c>
      <c r="C3" t="s">
        <v>3</v>
      </c>
      <c r="D3" t="s">
        <v>4</v>
      </c>
      <c r="E3" t="s">
        <v>5</v>
      </c>
      <c r="F3" t="s">
        <v>784</v>
      </c>
      <c r="G3" t="s">
        <v>785</v>
      </c>
      <c r="H3" s="2" t="s">
        <v>786</v>
      </c>
      <c r="I3" t="s">
        <v>787</v>
      </c>
      <c r="J3" t="s">
        <v>788</v>
      </c>
      <c r="K3" t="s">
        <v>789</v>
      </c>
      <c r="L3" t="s">
        <v>790</v>
      </c>
    </row>
    <row r="4" spans="1:12" x14ac:dyDescent="0.3">
      <c r="A4">
        <v>6</v>
      </c>
      <c r="B4" t="s">
        <v>8</v>
      </c>
      <c r="C4" t="s">
        <v>9</v>
      </c>
      <c r="D4">
        <v>35.4</v>
      </c>
      <c r="E4">
        <v>1</v>
      </c>
      <c r="F4">
        <f>SUMIFS(Compras_Full[LitrosActivos],Compras_Full[customer_id],Clientes_Resumen[[#This Row],[id]])</f>
        <v>194.52</v>
      </c>
      <c r="G4">
        <f>COUNTIFS(Compras_Full[customer_id],Clientes_Resumen[[#This Row],[id]],Compras_Full[status],"ACTIVE")</f>
        <v>7</v>
      </c>
      <c r="H4" s="2">
        <f>_xlfn.MAXIFS(Compras_Full[Fecha],Compras_Full[customer_id],Clientes_Resumen[[#This Row],[id]],Compras_Full[status],"ACTIVE")</f>
        <v>46201</v>
      </c>
      <c r="I4">
        <f>IF(Clientes_Resumen[[#This Row],[Última compra]]=0,"",Corte-Clientes_Resumen[[#This Row],[Última compra]])</f>
        <v>114</v>
      </c>
      <c r="J4" t="str" cm="1">
        <f t="array" ref="J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35.4</v>
      </c>
      <c r="L4">
        <f>ROUND(Clientes_Resumen[[#This Row],[points]]-Clientes_Resumen[[#This Row],[Saldo ledger]],2)</f>
        <v>0</v>
      </c>
    </row>
    <row r="5" spans="1:12" x14ac:dyDescent="0.3">
      <c r="A5">
        <v>7</v>
      </c>
      <c r="B5" t="s">
        <v>10</v>
      </c>
      <c r="C5" t="s">
        <v>11</v>
      </c>
      <c r="D5">
        <v>38.04</v>
      </c>
      <c r="E5">
        <v>1</v>
      </c>
      <c r="F5">
        <f>SUMIFS(Compras_Full[LitrosActivos],Compras_Full[customer_id],Clientes_Resumen[[#This Row],[id]])</f>
        <v>1699.05</v>
      </c>
      <c r="G5">
        <f>COUNTIFS(Compras_Full[customer_id],Clientes_Resumen[[#This Row],[id]],Compras_Full[status],"ACTIVE")</f>
        <v>17</v>
      </c>
      <c r="H5" s="2">
        <f>_xlfn.MAXIFS(Compras_Full[Fecha],Compras_Full[customer_id],Clientes_Resumen[[#This Row],[id]],Compras_Full[status],"ACTIVE")</f>
        <v>46304</v>
      </c>
      <c r="I5">
        <f>IF(Clientes_Resumen[[#This Row],[Última compra]]=0,"",Corte-Clientes_Resumen[[#This Row],[Última compra]])</f>
        <v>11</v>
      </c>
      <c r="J5" t="str" cm="1">
        <f t="array" ref="J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38.039999999999992</v>
      </c>
      <c r="L5">
        <f>ROUND(Clientes_Resumen[[#This Row],[points]]-Clientes_Resumen[[#This Row],[Saldo ledger]],2)</f>
        <v>0</v>
      </c>
    </row>
    <row r="6" spans="1:12" x14ac:dyDescent="0.3">
      <c r="A6">
        <v>8</v>
      </c>
      <c r="B6" t="s">
        <v>12</v>
      </c>
      <c r="C6" t="s">
        <v>13</v>
      </c>
      <c r="D6">
        <v>16.600000000000001</v>
      </c>
      <c r="E6">
        <v>1</v>
      </c>
      <c r="F6">
        <f>SUMIFS(Compras_Full[LitrosActivos],Compras_Full[customer_id],Clientes_Resumen[[#This Row],[id]])</f>
        <v>165.93</v>
      </c>
      <c r="G6">
        <f>COUNTIFS(Compras_Full[customer_id],Clientes_Resumen[[#This Row],[id]],Compras_Full[status],"ACTIVE")</f>
        <v>6</v>
      </c>
      <c r="H6" s="2">
        <f>_xlfn.MAXIFS(Compras_Full[Fecha],Compras_Full[customer_id],Clientes_Resumen[[#This Row],[id]],Compras_Full[status],"ACTIVE")</f>
        <v>46058</v>
      </c>
      <c r="I6">
        <f>IF(Clientes_Resumen[[#This Row],[Última compra]]=0,"",Corte-Clientes_Resumen[[#This Row],[Última compra]])</f>
        <v>257</v>
      </c>
      <c r="J6" t="str" cm="1">
        <f t="array" ref="J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16.599999999999998</v>
      </c>
      <c r="L6">
        <f>ROUND(Clientes_Resumen[[#This Row],[points]]-Clientes_Resumen[[#This Row],[Saldo ledger]],2)</f>
        <v>0</v>
      </c>
    </row>
    <row r="7" spans="1:12" x14ac:dyDescent="0.3">
      <c r="A7">
        <v>9</v>
      </c>
      <c r="B7" t="s">
        <v>14</v>
      </c>
      <c r="C7" t="s">
        <v>15</v>
      </c>
      <c r="D7">
        <v>28.06</v>
      </c>
      <c r="E7">
        <v>1</v>
      </c>
      <c r="F7">
        <f>SUMIFS(Compras_Full[LitrosActivos],Compras_Full[customer_id],Clientes_Resumen[[#This Row],[id]])</f>
        <v>113.47999999999999</v>
      </c>
      <c r="G7">
        <f>COUNTIFS(Compras_Full[customer_id],Clientes_Resumen[[#This Row],[id]],Compras_Full[status],"ACTIVE")</f>
        <v>3</v>
      </c>
      <c r="H7" s="2">
        <f>_xlfn.MAXIFS(Compras_Full[Fecha],Compras_Full[customer_id],Clientes_Resumen[[#This Row],[id]],Compras_Full[status],"ACTIVE")</f>
        <v>46276</v>
      </c>
      <c r="I7">
        <f>IF(Clientes_Resumen[[#This Row],[Última compra]]=0,"",Corte-Clientes_Resumen[[#This Row],[Última compra]])</f>
        <v>39</v>
      </c>
      <c r="J7" t="str" cm="1">
        <f t="array" ref="J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28.060000000000002</v>
      </c>
      <c r="L7">
        <f>ROUND(Clientes_Resumen[[#This Row],[points]]-Clientes_Resumen[[#This Row],[Saldo ledger]],2)</f>
        <v>0</v>
      </c>
    </row>
    <row r="8" spans="1:12" x14ac:dyDescent="0.3">
      <c r="A8">
        <v>10</v>
      </c>
      <c r="B8" t="s">
        <v>16</v>
      </c>
      <c r="C8" t="s">
        <v>17</v>
      </c>
      <c r="D8">
        <v>30.79</v>
      </c>
      <c r="E8">
        <v>1</v>
      </c>
      <c r="F8">
        <f>SUMIFS(Compras_Full[LitrosActivos],Compras_Full[customer_id],Clientes_Resumen[[#This Row],[id]])</f>
        <v>307.77999999999997</v>
      </c>
      <c r="G8">
        <f>COUNTIFS(Compras_Full[customer_id],Clientes_Resumen[[#This Row],[id]],Compras_Full[status],"ACTIVE")</f>
        <v>4</v>
      </c>
      <c r="H8" s="2">
        <f>_xlfn.MAXIFS(Compras_Full[Fecha],Compras_Full[customer_id],Clientes_Resumen[[#This Row],[id]],Compras_Full[status],"ACTIVE")</f>
        <v>46039</v>
      </c>
      <c r="I8">
        <f>IF(Clientes_Resumen[[#This Row],[Última compra]]=0,"",Corte-Clientes_Resumen[[#This Row],[Última compra]])</f>
        <v>276</v>
      </c>
      <c r="J8" t="str" cm="1">
        <f t="array" ref="J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30.79</v>
      </c>
      <c r="L8">
        <f>ROUND(Clientes_Resumen[[#This Row],[points]]-Clientes_Resumen[[#This Row],[Saldo ledger]],2)</f>
        <v>0</v>
      </c>
    </row>
    <row r="9" spans="1:12" x14ac:dyDescent="0.3">
      <c r="A9">
        <v>11</v>
      </c>
      <c r="B9" t="s">
        <v>18</v>
      </c>
      <c r="C9" t="s">
        <v>19</v>
      </c>
      <c r="D9">
        <v>312.72000000000003</v>
      </c>
      <c r="E9">
        <v>1</v>
      </c>
      <c r="F9">
        <f>SUMIFS(Compras_Full[LitrosActivos],Compras_Full[customer_id],Clientes_Resumen[[#This Row],[id]])</f>
        <v>2744.1200000000003</v>
      </c>
      <c r="G9">
        <f>COUNTIFS(Compras_Full[customer_id],Clientes_Resumen[[#This Row],[id]],Compras_Full[status],"ACTIVE")</f>
        <v>13</v>
      </c>
      <c r="H9" s="2">
        <f>_xlfn.MAXIFS(Compras_Full[Fecha],Compras_Full[customer_id],Clientes_Resumen[[#This Row],[id]],Compras_Full[status],"ACTIVE")</f>
        <v>46313</v>
      </c>
      <c r="I9">
        <f>IF(Clientes_Resumen[[#This Row],[Última compra]]=0,"",Corte-Clientes_Resumen[[#This Row],[Última compra]])</f>
        <v>2</v>
      </c>
      <c r="J9" t="str" cm="1">
        <f t="array" ref="J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312.71999999999991</v>
      </c>
      <c r="L9">
        <f>ROUND(Clientes_Resumen[[#This Row],[points]]-Clientes_Resumen[[#This Row],[Saldo ledger]],2)</f>
        <v>0</v>
      </c>
    </row>
    <row r="10" spans="1:12" x14ac:dyDescent="0.3">
      <c r="A10">
        <v>12</v>
      </c>
      <c r="B10" t="s">
        <v>20</v>
      </c>
      <c r="C10" t="s">
        <v>21</v>
      </c>
      <c r="D10">
        <v>26.3</v>
      </c>
      <c r="E10">
        <v>1</v>
      </c>
      <c r="F10">
        <f>SUMIFS(Compras_Full[LitrosActivos],Compras_Full[customer_id],Clientes_Resumen[[#This Row],[id]])</f>
        <v>262.99</v>
      </c>
      <c r="G10">
        <f>COUNTIFS(Compras_Full[customer_id],Clientes_Resumen[[#This Row],[id]],Compras_Full[status],"ACTIVE")</f>
        <v>8</v>
      </c>
      <c r="H10" s="2">
        <f>_xlfn.MAXIFS(Compras_Full[Fecha],Compras_Full[customer_id],Clientes_Resumen[[#This Row],[id]],Compras_Full[status],"ACTIVE")</f>
        <v>46285</v>
      </c>
      <c r="I10">
        <f>IF(Clientes_Resumen[[#This Row],[Última compra]]=0,"",Corte-Clientes_Resumen[[#This Row],[Última compra]])</f>
        <v>30</v>
      </c>
      <c r="J10" t="str" cm="1">
        <f t="array" ref="J1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26.300000000000004</v>
      </c>
      <c r="L10">
        <f>ROUND(Clientes_Resumen[[#This Row],[points]]-Clientes_Resumen[[#This Row],[Saldo ledger]],2)</f>
        <v>0</v>
      </c>
    </row>
    <row r="11" spans="1:12" x14ac:dyDescent="0.3">
      <c r="A11">
        <v>13</v>
      </c>
      <c r="B11" t="s">
        <v>22</v>
      </c>
      <c r="C11" t="s">
        <v>23</v>
      </c>
      <c r="D11">
        <v>7.98</v>
      </c>
      <c r="E11">
        <v>1</v>
      </c>
      <c r="F11">
        <f>SUMIFS(Compras_Full[LitrosActivos],Compras_Full[customer_id],Clientes_Resumen[[#This Row],[id]])</f>
        <v>350.31</v>
      </c>
      <c r="G11">
        <f>COUNTIFS(Compras_Full[customer_id],Clientes_Resumen[[#This Row],[id]],Compras_Full[status],"ACTIVE")</f>
        <v>11</v>
      </c>
      <c r="H11" s="2">
        <f>_xlfn.MAXIFS(Compras_Full[Fecha],Compras_Full[customer_id],Clientes_Resumen[[#This Row],[id]],Compras_Full[status],"ACTIVE")</f>
        <v>46174</v>
      </c>
      <c r="I11">
        <f>IF(Clientes_Resumen[[#This Row],[Última compra]]=0,"",Corte-Clientes_Resumen[[#This Row],[Última compra]])</f>
        <v>141</v>
      </c>
      <c r="J11" t="str" cm="1">
        <f t="array" ref="J1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7.980000000000004</v>
      </c>
      <c r="L11">
        <f>ROUND(Clientes_Resumen[[#This Row],[points]]-Clientes_Resumen[[#This Row],[Saldo ledger]],2)</f>
        <v>0</v>
      </c>
    </row>
    <row r="12" spans="1:12" x14ac:dyDescent="0.3">
      <c r="A12">
        <v>14</v>
      </c>
      <c r="B12" t="s">
        <v>24</v>
      </c>
      <c r="C12" t="s">
        <v>25</v>
      </c>
      <c r="D12">
        <v>32.880000000000003</v>
      </c>
      <c r="E12">
        <v>1</v>
      </c>
      <c r="F12">
        <f>SUMIFS(Compras_Full[LitrosActivos],Compras_Full[customer_id],Clientes_Resumen[[#This Row],[id]])</f>
        <v>137.02000000000001</v>
      </c>
      <c r="G12">
        <f>COUNTIFS(Compras_Full[customer_id],Clientes_Resumen[[#This Row],[id]],Compras_Full[status],"ACTIVE")</f>
        <v>4</v>
      </c>
      <c r="H12" s="2">
        <f>_xlfn.MAXIFS(Compras_Full[Fecha],Compras_Full[customer_id],Clientes_Resumen[[#This Row],[id]],Compras_Full[status],"ACTIVE")</f>
        <v>46252</v>
      </c>
      <c r="I12">
        <f>IF(Clientes_Resumen[[#This Row],[Última compra]]=0,"",Corte-Clientes_Resumen[[#This Row],[Última compra]])</f>
        <v>63</v>
      </c>
      <c r="J12" t="str" cm="1">
        <f t="array" ref="J1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32.879999999999995</v>
      </c>
      <c r="L12">
        <f>ROUND(Clientes_Resumen[[#This Row],[points]]-Clientes_Resumen[[#This Row],[Saldo ledger]],2)</f>
        <v>0</v>
      </c>
    </row>
    <row r="13" spans="1:12" x14ac:dyDescent="0.3">
      <c r="A13">
        <v>15</v>
      </c>
      <c r="B13" t="s">
        <v>26</v>
      </c>
      <c r="C13" t="s">
        <v>27</v>
      </c>
      <c r="D13">
        <v>20.399999999999999</v>
      </c>
      <c r="E13">
        <v>1</v>
      </c>
      <c r="F13">
        <f>SUMIFS(Compras_Full[LitrosActivos],Compras_Full[customer_id],Clientes_Resumen[[#This Row],[id]])</f>
        <v>204.01</v>
      </c>
      <c r="G13">
        <f>COUNTIFS(Compras_Full[customer_id],Clientes_Resumen[[#This Row],[id]],Compras_Full[status],"ACTIVE")</f>
        <v>3</v>
      </c>
      <c r="H13" s="2">
        <f>_xlfn.MAXIFS(Compras_Full[Fecha],Compras_Full[customer_id],Clientes_Resumen[[#This Row],[id]],Compras_Full[status],"ACTIVE")</f>
        <v>46053</v>
      </c>
      <c r="I13">
        <f>IF(Clientes_Resumen[[#This Row],[Última compra]]=0,"",Corte-Clientes_Resumen[[#This Row],[Última compra]])</f>
        <v>262</v>
      </c>
      <c r="J13" t="str" cm="1">
        <f t="array" ref="J1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20.400000000000002</v>
      </c>
      <c r="L13">
        <f>ROUND(Clientes_Resumen[[#This Row],[points]]-Clientes_Resumen[[#This Row],[Saldo ledger]],2)</f>
        <v>0</v>
      </c>
    </row>
    <row r="14" spans="1:12" x14ac:dyDescent="0.3">
      <c r="A14">
        <v>16</v>
      </c>
      <c r="B14" t="s">
        <v>28</v>
      </c>
      <c r="C14" t="s">
        <v>29</v>
      </c>
      <c r="D14">
        <v>121.76</v>
      </c>
      <c r="E14">
        <v>1</v>
      </c>
      <c r="F14">
        <f>SUMIFS(Compras_Full[LitrosActivos],Compras_Full[customer_id],Clientes_Resumen[[#This Row],[id]])</f>
        <v>10395.98</v>
      </c>
      <c r="G14">
        <f>COUNTIFS(Compras_Full[customer_id],Clientes_Resumen[[#This Row],[id]],Compras_Full[status],"ACTIVE")</f>
        <v>56</v>
      </c>
      <c r="H14" s="2">
        <f>_xlfn.MAXIFS(Compras_Full[Fecha],Compras_Full[customer_id],Clientes_Resumen[[#This Row],[id]],Compras_Full[status],"ACTIVE")</f>
        <v>46308</v>
      </c>
      <c r="I14">
        <f>IF(Clientes_Resumen[[#This Row],[Última compra]]=0,"",Corte-Clientes_Resumen[[#This Row],[Última compra]])</f>
        <v>7</v>
      </c>
      <c r="J14" t="str" cm="1">
        <f t="array" ref="J1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121.75999999999999</v>
      </c>
      <c r="L14">
        <f>ROUND(Clientes_Resumen[[#This Row],[points]]-Clientes_Resumen[[#This Row],[Saldo ledger]],2)</f>
        <v>0</v>
      </c>
    </row>
    <row r="15" spans="1:12" x14ac:dyDescent="0.3">
      <c r="A15">
        <v>17</v>
      </c>
      <c r="B15" t="s">
        <v>30</v>
      </c>
      <c r="C15" t="s">
        <v>31</v>
      </c>
      <c r="D15">
        <v>110.97</v>
      </c>
      <c r="E15">
        <v>1</v>
      </c>
      <c r="F15">
        <f>SUMIFS(Compras_Full[LitrosActivos],Compras_Full[customer_id],Clientes_Resumen[[#This Row],[id]])</f>
        <v>1109.68</v>
      </c>
      <c r="G15">
        <f>COUNTIFS(Compras_Full[customer_id],Clientes_Resumen[[#This Row],[id]],Compras_Full[status],"ACTIVE")</f>
        <v>12</v>
      </c>
      <c r="H15" s="2">
        <f>_xlfn.MAXIFS(Compras_Full[Fecha],Compras_Full[customer_id],Clientes_Resumen[[#This Row],[id]],Compras_Full[status],"ACTIVE")</f>
        <v>46156</v>
      </c>
      <c r="I15">
        <f>IF(Clientes_Resumen[[#This Row],[Última compra]]=0,"",Corte-Clientes_Resumen[[#This Row],[Última compra]])</f>
        <v>159</v>
      </c>
      <c r="J15" t="str" cm="1">
        <f t="array" ref="J1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110.96999999999998</v>
      </c>
      <c r="L15">
        <f>ROUND(Clientes_Resumen[[#This Row],[points]]-Clientes_Resumen[[#This Row],[Saldo ledger]],2)</f>
        <v>0</v>
      </c>
    </row>
    <row r="16" spans="1:12" x14ac:dyDescent="0.3">
      <c r="A16">
        <v>18</v>
      </c>
      <c r="B16" t="s">
        <v>32</v>
      </c>
      <c r="C16" t="s">
        <v>33</v>
      </c>
      <c r="D16">
        <v>200.67</v>
      </c>
      <c r="E16">
        <v>1</v>
      </c>
      <c r="F16">
        <f>SUMIFS(Compras_Full[LitrosActivos],Compras_Full[customer_id],Clientes_Resumen[[#This Row],[id]])</f>
        <v>2006.48</v>
      </c>
      <c r="G16">
        <f>COUNTIFS(Compras_Full[customer_id],Clientes_Resumen[[#This Row],[id]],Compras_Full[status],"ACTIVE")</f>
        <v>20</v>
      </c>
      <c r="H16" s="2">
        <f>_xlfn.MAXIFS(Compras_Full[Fecha],Compras_Full[customer_id],Clientes_Resumen[[#This Row],[id]],Compras_Full[status],"ACTIVE")</f>
        <v>46301</v>
      </c>
      <c r="I16">
        <f>IF(Clientes_Resumen[[#This Row],[Última compra]]=0,"",Corte-Clientes_Resumen[[#This Row],[Última compra]])</f>
        <v>14</v>
      </c>
      <c r="J16" t="str" cm="1">
        <f t="array" ref="J1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200.67000000000004</v>
      </c>
      <c r="L16">
        <f>ROUND(Clientes_Resumen[[#This Row],[points]]-Clientes_Resumen[[#This Row],[Saldo ledger]],2)</f>
        <v>0</v>
      </c>
    </row>
    <row r="17" spans="1:12" x14ac:dyDescent="0.3">
      <c r="A17">
        <v>19</v>
      </c>
      <c r="B17" t="s">
        <v>34</v>
      </c>
      <c r="C17" t="s">
        <v>35</v>
      </c>
      <c r="D17">
        <v>9.85</v>
      </c>
      <c r="E17">
        <v>1</v>
      </c>
      <c r="F17">
        <f>SUMIFS(Compras_Full[LitrosActivos],Compras_Full[customer_id],Clientes_Resumen[[#This Row],[id]])</f>
        <v>98.47</v>
      </c>
      <c r="G17">
        <f>COUNTIFS(Compras_Full[customer_id],Clientes_Resumen[[#This Row],[id]],Compras_Full[status],"ACTIVE")</f>
        <v>3</v>
      </c>
      <c r="H17" s="2">
        <f>_xlfn.MAXIFS(Compras_Full[Fecha],Compras_Full[customer_id],Clientes_Resumen[[#This Row],[id]],Compras_Full[status],"ACTIVE")</f>
        <v>46066</v>
      </c>
      <c r="I17">
        <f>IF(Clientes_Resumen[[#This Row],[Última compra]]=0,"",Corte-Clientes_Resumen[[#This Row],[Última compra]])</f>
        <v>249</v>
      </c>
      <c r="J17" t="str" cm="1">
        <f t="array" ref="J1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9.85</v>
      </c>
      <c r="L17">
        <f>ROUND(Clientes_Resumen[[#This Row],[points]]-Clientes_Resumen[[#This Row],[Saldo ledger]],2)</f>
        <v>0</v>
      </c>
    </row>
    <row r="18" spans="1:12" x14ac:dyDescent="0.3">
      <c r="A18">
        <v>20</v>
      </c>
      <c r="B18" t="s">
        <v>36</v>
      </c>
      <c r="C18" t="s">
        <v>37</v>
      </c>
      <c r="D18">
        <v>15.97</v>
      </c>
      <c r="E18">
        <v>1</v>
      </c>
      <c r="F18">
        <f>SUMIFS(Compras_Full[LitrosActivos],Compras_Full[customer_id],Clientes_Resumen[[#This Row],[id]])</f>
        <v>159.66999999999999</v>
      </c>
      <c r="G18">
        <f>COUNTIFS(Compras_Full[customer_id],Clientes_Resumen[[#This Row],[id]],Compras_Full[status],"ACTIVE")</f>
        <v>6</v>
      </c>
      <c r="H18" s="2">
        <f>_xlfn.MAXIFS(Compras_Full[Fecha],Compras_Full[customer_id],Clientes_Resumen[[#This Row],[id]],Compras_Full[status],"ACTIVE")</f>
        <v>46078</v>
      </c>
      <c r="I18">
        <f>IF(Clientes_Resumen[[#This Row],[Última compra]]=0,"",Corte-Clientes_Resumen[[#This Row],[Última compra]])</f>
        <v>237</v>
      </c>
      <c r="J18" t="str" cm="1">
        <f t="array" ref="J1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15.97</v>
      </c>
      <c r="L18">
        <f>ROUND(Clientes_Resumen[[#This Row],[points]]-Clientes_Resumen[[#This Row],[Saldo ledger]],2)</f>
        <v>0</v>
      </c>
    </row>
    <row r="19" spans="1:12" x14ac:dyDescent="0.3">
      <c r="A19">
        <v>21</v>
      </c>
      <c r="B19" t="s">
        <v>38</v>
      </c>
      <c r="C19" t="s">
        <v>39</v>
      </c>
      <c r="D19">
        <v>63.3</v>
      </c>
      <c r="E19">
        <v>1</v>
      </c>
      <c r="F19">
        <f>SUMIFS(Compras_Full[LitrosActivos],Compras_Full[customer_id],Clientes_Resumen[[#This Row],[id]])</f>
        <v>890.64999999999986</v>
      </c>
      <c r="G19">
        <f>COUNTIFS(Compras_Full[customer_id],Clientes_Resumen[[#This Row],[id]],Compras_Full[status],"ACTIVE")</f>
        <v>29</v>
      </c>
      <c r="H19" s="2">
        <f>_xlfn.MAXIFS(Compras_Full[Fecha],Compras_Full[customer_id],Clientes_Resumen[[#This Row],[id]],Compras_Full[status],"ACTIVE")</f>
        <v>46308</v>
      </c>
      <c r="I19">
        <f>IF(Clientes_Resumen[[#This Row],[Última compra]]=0,"",Corte-Clientes_Resumen[[#This Row],[Última compra]])</f>
        <v>7</v>
      </c>
      <c r="J19" t="str" cm="1">
        <f t="array" ref="J1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63.300000000000011</v>
      </c>
      <c r="L19">
        <f>ROUND(Clientes_Resumen[[#This Row],[points]]-Clientes_Resumen[[#This Row],[Saldo ledger]],2)</f>
        <v>0</v>
      </c>
    </row>
    <row r="20" spans="1:12" x14ac:dyDescent="0.3">
      <c r="A20">
        <v>22</v>
      </c>
      <c r="B20" t="s">
        <v>40</v>
      </c>
      <c r="C20" t="s">
        <v>41</v>
      </c>
      <c r="D20">
        <v>90.79</v>
      </c>
      <c r="E20">
        <v>0</v>
      </c>
      <c r="F20">
        <f>SUMIFS(Compras_Full[LitrosActivos],Compras_Full[customer_id],Clientes_Resumen[[#This Row],[id]])</f>
        <v>777.24000000000012</v>
      </c>
      <c r="G20">
        <f>COUNTIFS(Compras_Full[customer_id],Clientes_Resumen[[#This Row],[id]],Compras_Full[status],"ACTIVE")</f>
        <v>8</v>
      </c>
      <c r="H20" s="2">
        <f>_xlfn.MAXIFS(Compras_Full[Fecha],Compras_Full[customer_id],Clientes_Resumen[[#This Row],[id]],Compras_Full[status],"ACTIVE")</f>
        <v>46296</v>
      </c>
      <c r="I20">
        <f>IF(Clientes_Resumen[[#This Row],[Última compra]]=0,"",Corte-Clientes_Resumen[[#This Row],[Última compra]])</f>
        <v>19</v>
      </c>
      <c r="J20" t="str" cm="1">
        <f t="array" ref="J2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90.79000000000002</v>
      </c>
      <c r="L20">
        <f>ROUND(Clientes_Resumen[[#This Row],[points]]-Clientes_Resumen[[#This Row],[Saldo ledger]],2)</f>
        <v>0</v>
      </c>
    </row>
    <row r="21" spans="1:12" x14ac:dyDescent="0.3">
      <c r="A21">
        <v>23</v>
      </c>
      <c r="B21" t="s">
        <v>42</v>
      </c>
      <c r="C21" t="s">
        <v>43</v>
      </c>
      <c r="D21">
        <v>59.5</v>
      </c>
      <c r="E21">
        <v>1</v>
      </c>
      <c r="F21">
        <f>SUMIFS(Compras_Full[LitrosActivos],Compras_Full[customer_id],Clientes_Resumen[[#This Row],[id]])</f>
        <v>594.96</v>
      </c>
      <c r="G21">
        <f>COUNTIFS(Compras_Full[customer_id],Clientes_Resumen[[#This Row],[id]],Compras_Full[status],"ACTIVE")</f>
        <v>4</v>
      </c>
      <c r="H21" s="2">
        <f>_xlfn.MAXIFS(Compras_Full[Fecha],Compras_Full[customer_id],Clientes_Resumen[[#This Row],[id]],Compras_Full[status],"ACTIVE")</f>
        <v>46127</v>
      </c>
      <c r="I21">
        <f>IF(Clientes_Resumen[[#This Row],[Última compra]]=0,"",Corte-Clientes_Resumen[[#This Row],[Última compra]])</f>
        <v>188</v>
      </c>
      <c r="J21" t="str" cm="1">
        <f t="array" ref="J2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59.500000000000014</v>
      </c>
      <c r="L21">
        <f>ROUND(Clientes_Resumen[[#This Row],[points]]-Clientes_Resumen[[#This Row],[Saldo ledger]],2)</f>
        <v>0</v>
      </c>
    </row>
    <row r="22" spans="1:12" x14ac:dyDescent="0.3">
      <c r="A22">
        <v>24</v>
      </c>
      <c r="B22" t="s">
        <v>44</v>
      </c>
      <c r="C22" t="s">
        <v>45</v>
      </c>
      <c r="D22">
        <v>180.86</v>
      </c>
      <c r="E22">
        <v>1</v>
      </c>
      <c r="F22">
        <f>SUMIFS(Compras_Full[LitrosActivos],Compras_Full[customer_id],Clientes_Resumen[[#This Row],[id]])</f>
        <v>1414.16</v>
      </c>
      <c r="G22">
        <f>COUNTIFS(Compras_Full[customer_id],Clientes_Resumen[[#This Row],[id]],Compras_Full[status],"ACTIVE")</f>
        <v>7</v>
      </c>
      <c r="H22" s="2">
        <f>_xlfn.MAXIFS(Compras_Full[Fecha],Compras_Full[customer_id],Clientes_Resumen[[#This Row],[id]],Compras_Full[status],"ACTIVE")</f>
        <v>46286</v>
      </c>
      <c r="I22">
        <f>IF(Clientes_Resumen[[#This Row],[Última compra]]=0,"",Corte-Clientes_Resumen[[#This Row],[Última compra]])</f>
        <v>29</v>
      </c>
      <c r="J22" t="str" cm="1">
        <f t="array" ref="J2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180.86</v>
      </c>
      <c r="L22">
        <f>ROUND(Clientes_Resumen[[#This Row],[points]]-Clientes_Resumen[[#This Row],[Saldo ledger]],2)</f>
        <v>0</v>
      </c>
    </row>
    <row r="23" spans="1:12" x14ac:dyDescent="0.3">
      <c r="A23">
        <v>25</v>
      </c>
      <c r="B23" t="s">
        <v>46</v>
      </c>
      <c r="C23" t="s">
        <v>47</v>
      </c>
      <c r="D23">
        <v>7.24</v>
      </c>
      <c r="E23">
        <v>0</v>
      </c>
      <c r="F23">
        <f>SUMIFS(Compras_Full[LitrosActivos],Compras_Full[customer_id],Clientes_Resumen[[#This Row],[id]])</f>
        <v>1020.31</v>
      </c>
      <c r="G23">
        <f>COUNTIFS(Compras_Full[customer_id],Clientes_Resumen[[#This Row],[id]],Compras_Full[status],"ACTIVE")</f>
        <v>13</v>
      </c>
      <c r="H23" s="2">
        <f>_xlfn.MAXIFS(Compras_Full[Fecha],Compras_Full[customer_id],Clientes_Resumen[[#This Row],[id]],Compras_Full[status],"ACTIVE")</f>
        <v>46297</v>
      </c>
      <c r="I23">
        <f>IF(Clientes_Resumen[[#This Row],[Última compra]]=0,"",Corte-Clientes_Resumen[[#This Row],[Última compra]])</f>
        <v>18</v>
      </c>
      <c r="J23" t="str" cm="1">
        <f t="array" ref="J2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7.2400000000000091</v>
      </c>
      <c r="L23">
        <f>ROUND(Clientes_Resumen[[#This Row],[points]]-Clientes_Resumen[[#This Row],[Saldo ledger]],2)</f>
        <v>0</v>
      </c>
    </row>
    <row r="24" spans="1:12" x14ac:dyDescent="0.3">
      <c r="A24">
        <v>26</v>
      </c>
      <c r="B24" t="s">
        <v>48</v>
      </c>
      <c r="C24" t="s">
        <v>49</v>
      </c>
      <c r="D24">
        <v>6.92</v>
      </c>
      <c r="E24">
        <v>1</v>
      </c>
      <c r="F24">
        <f>SUMIFS(Compras_Full[LitrosActivos],Compras_Full[customer_id],Clientes_Resumen[[#This Row],[id]])</f>
        <v>69.180000000000007</v>
      </c>
      <c r="G24">
        <f>COUNTIFS(Compras_Full[customer_id],Clientes_Resumen[[#This Row],[id]],Compras_Full[status],"ACTIVE")</f>
        <v>2</v>
      </c>
      <c r="H24" s="2">
        <f>_xlfn.MAXIFS(Compras_Full[Fecha],Compras_Full[customer_id],Clientes_Resumen[[#This Row],[id]],Compras_Full[status],"ACTIVE")</f>
        <v>46177</v>
      </c>
      <c r="I24">
        <f>IF(Clientes_Resumen[[#This Row],[Última compra]]=0,"",Corte-Clientes_Resumen[[#This Row],[Última compra]])</f>
        <v>138</v>
      </c>
      <c r="J24" t="str" cm="1">
        <f t="array" ref="J2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6.92</v>
      </c>
      <c r="L24">
        <f>ROUND(Clientes_Resumen[[#This Row],[points]]-Clientes_Resumen[[#This Row],[Saldo ledger]],2)</f>
        <v>0</v>
      </c>
    </row>
    <row r="25" spans="1:12" x14ac:dyDescent="0.3">
      <c r="A25">
        <v>27</v>
      </c>
      <c r="B25" t="s">
        <v>50</v>
      </c>
      <c r="C25" t="s">
        <v>51</v>
      </c>
      <c r="D25">
        <v>144.69999999999999</v>
      </c>
      <c r="E25">
        <v>1</v>
      </c>
      <c r="F25">
        <f>SUMIFS(Compras_Full[LitrosActivos],Compras_Full[customer_id],Clientes_Resumen[[#This Row],[id]])</f>
        <v>1197.18</v>
      </c>
      <c r="G25">
        <f>COUNTIFS(Compras_Full[customer_id],Clientes_Resumen[[#This Row],[id]],Compras_Full[status],"ACTIVE")</f>
        <v>14</v>
      </c>
      <c r="H25" s="2">
        <f>_xlfn.MAXIFS(Compras_Full[Fecha],Compras_Full[customer_id],Clientes_Resumen[[#This Row],[id]],Compras_Full[status],"ACTIVE")</f>
        <v>46162</v>
      </c>
      <c r="I25">
        <f>IF(Clientes_Resumen[[#This Row],[Última compra]]=0,"",Corte-Clientes_Resumen[[#This Row],[Última compra]])</f>
        <v>153</v>
      </c>
      <c r="J25" t="str" cm="1">
        <f t="array" ref="J2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144.70000000000002</v>
      </c>
      <c r="L25">
        <f>ROUND(Clientes_Resumen[[#This Row],[points]]-Clientes_Resumen[[#This Row],[Saldo ledger]],2)</f>
        <v>0</v>
      </c>
    </row>
    <row r="26" spans="1:12" x14ac:dyDescent="0.3">
      <c r="A26">
        <v>28</v>
      </c>
      <c r="B26" t="s">
        <v>52</v>
      </c>
      <c r="C26" t="s">
        <v>53</v>
      </c>
      <c r="D26">
        <v>44.26</v>
      </c>
      <c r="E26">
        <v>1</v>
      </c>
      <c r="F26">
        <f>SUMIFS(Compras_Full[LitrosActivos],Compras_Full[customer_id],Clientes_Resumen[[#This Row],[id]])</f>
        <v>177.08</v>
      </c>
      <c r="G26">
        <f>COUNTIFS(Compras_Full[customer_id],Clientes_Resumen[[#This Row],[id]],Compras_Full[status],"ACTIVE")</f>
        <v>6</v>
      </c>
      <c r="H26" s="2">
        <f>_xlfn.MAXIFS(Compras_Full[Fecha],Compras_Full[customer_id],Clientes_Resumen[[#This Row],[id]],Compras_Full[status],"ACTIVE")</f>
        <v>46128</v>
      </c>
      <c r="I26">
        <f>IF(Clientes_Resumen[[#This Row],[Última compra]]=0,"",Corte-Clientes_Resumen[[#This Row],[Última compra]])</f>
        <v>187</v>
      </c>
      <c r="J26" t="str" cm="1">
        <f t="array" ref="J2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44.26</v>
      </c>
      <c r="L26">
        <f>ROUND(Clientes_Resumen[[#This Row],[points]]-Clientes_Resumen[[#This Row],[Saldo ledger]],2)</f>
        <v>0</v>
      </c>
    </row>
    <row r="27" spans="1:12" x14ac:dyDescent="0.3">
      <c r="A27">
        <v>29</v>
      </c>
      <c r="B27" t="s">
        <v>54</v>
      </c>
      <c r="C27" t="s">
        <v>55</v>
      </c>
      <c r="D27">
        <v>55.92</v>
      </c>
      <c r="E27">
        <v>1</v>
      </c>
      <c r="F27">
        <f>SUMIFS(Compras_Full[LitrosActivos],Compras_Full[customer_id],Clientes_Resumen[[#This Row],[id]])</f>
        <v>390.92999999999995</v>
      </c>
      <c r="G27">
        <f>COUNTIFS(Compras_Full[customer_id],Clientes_Resumen[[#This Row],[id]],Compras_Full[status],"ACTIVE")</f>
        <v>12</v>
      </c>
      <c r="H27" s="2">
        <f>_xlfn.MAXIFS(Compras_Full[Fecha],Compras_Full[customer_id],Clientes_Resumen[[#This Row],[id]],Compras_Full[status],"ACTIVE")</f>
        <v>46307</v>
      </c>
      <c r="I27">
        <f>IF(Clientes_Resumen[[#This Row],[Última compra]]=0,"",Corte-Clientes_Resumen[[#This Row],[Última compra]])</f>
        <v>8</v>
      </c>
      <c r="J27" t="str" cm="1">
        <f t="array" ref="J2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55.920000000000009</v>
      </c>
      <c r="L27">
        <f>ROUND(Clientes_Resumen[[#This Row],[points]]-Clientes_Resumen[[#This Row],[Saldo ledger]],2)</f>
        <v>0</v>
      </c>
    </row>
    <row r="28" spans="1:12" x14ac:dyDescent="0.3">
      <c r="A28">
        <v>30</v>
      </c>
      <c r="B28" t="s">
        <v>56</v>
      </c>
      <c r="C28" t="s">
        <v>57</v>
      </c>
      <c r="D28">
        <v>15.68</v>
      </c>
      <c r="E28">
        <v>1</v>
      </c>
      <c r="F28">
        <f>SUMIFS(Compras_Full[LitrosActivos],Compras_Full[customer_id],Clientes_Resumen[[#This Row],[id]])</f>
        <v>28.32</v>
      </c>
      <c r="G28">
        <f>COUNTIFS(Compras_Full[customer_id],Clientes_Resumen[[#This Row],[id]],Compras_Full[status],"ACTIVE")</f>
        <v>1</v>
      </c>
      <c r="H28" s="2">
        <f>_xlfn.MAXIFS(Compras_Full[Fecha],Compras_Full[customer_id],Clientes_Resumen[[#This Row],[id]],Compras_Full[status],"ACTIVE")</f>
        <v>45958</v>
      </c>
      <c r="I28">
        <f>IF(Clientes_Resumen[[#This Row],[Última compra]]=0,"",Corte-Clientes_Resumen[[#This Row],[Última compra]])</f>
        <v>357</v>
      </c>
      <c r="J28" t="str" cm="1">
        <f t="array" ref="J2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15.68</v>
      </c>
      <c r="L28">
        <f>ROUND(Clientes_Resumen[[#This Row],[points]]-Clientes_Resumen[[#This Row],[Saldo ledger]],2)</f>
        <v>0</v>
      </c>
    </row>
    <row r="29" spans="1:12" x14ac:dyDescent="0.3">
      <c r="A29">
        <v>31</v>
      </c>
      <c r="B29" t="s">
        <v>58</v>
      </c>
      <c r="C29" t="s">
        <v>59</v>
      </c>
      <c r="D29">
        <v>40.479999999999997</v>
      </c>
      <c r="E29">
        <v>1</v>
      </c>
      <c r="F29">
        <f>SUMIFS(Compras_Full[LitrosActivos],Compras_Full[customer_id],Clientes_Resumen[[#This Row],[id]])</f>
        <v>404.8</v>
      </c>
      <c r="G29">
        <f>COUNTIFS(Compras_Full[customer_id],Clientes_Resumen[[#This Row],[id]],Compras_Full[status],"ACTIVE")</f>
        <v>13</v>
      </c>
      <c r="H29" s="2">
        <f>_xlfn.MAXIFS(Compras_Full[Fecha],Compras_Full[customer_id],Clientes_Resumen[[#This Row],[id]],Compras_Full[status],"ACTIVE")</f>
        <v>46184</v>
      </c>
      <c r="I29">
        <f>IF(Clientes_Resumen[[#This Row],[Última compra]]=0,"",Corte-Clientes_Resumen[[#This Row],[Última compra]])</f>
        <v>131</v>
      </c>
      <c r="J29" t="str" cm="1">
        <f t="array" ref="J2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40.479999999999997</v>
      </c>
      <c r="L29">
        <f>ROUND(Clientes_Resumen[[#This Row],[points]]-Clientes_Resumen[[#This Row],[Saldo ledger]],2)</f>
        <v>0</v>
      </c>
    </row>
    <row r="30" spans="1:12" x14ac:dyDescent="0.3">
      <c r="A30">
        <v>32</v>
      </c>
      <c r="B30" t="s">
        <v>60</v>
      </c>
      <c r="C30" t="s">
        <v>61</v>
      </c>
      <c r="D30">
        <v>54.47</v>
      </c>
      <c r="E30">
        <v>1</v>
      </c>
      <c r="F30">
        <f>SUMIFS(Compras_Full[LitrosActivos],Compras_Full[customer_id],Clientes_Resumen[[#This Row],[id]])</f>
        <v>455.11</v>
      </c>
      <c r="G30">
        <f>COUNTIFS(Compras_Full[customer_id],Clientes_Resumen[[#This Row],[id]],Compras_Full[status],"ACTIVE")</f>
        <v>14</v>
      </c>
      <c r="H30" s="2">
        <f>_xlfn.MAXIFS(Compras_Full[Fecha],Compras_Full[customer_id],Clientes_Resumen[[#This Row],[id]],Compras_Full[status],"ACTIVE")</f>
        <v>46237</v>
      </c>
      <c r="I30">
        <f>IF(Clientes_Resumen[[#This Row],[Última compra]]=0,"",Corte-Clientes_Resumen[[#This Row],[Última compra]])</f>
        <v>78</v>
      </c>
      <c r="J30" t="str" cm="1">
        <f t="array" ref="J3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3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54.47</v>
      </c>
      <c r="L30">
        <f>ROUND(Clientes_Resumen[[#This Row],[points]]-Clientes_Resumen[[#This Row],[Saldo ledger]],2)</f>
        <v>0</v>
      </c>
    </row>
    <row r="31" spans="1:12" x14ac:dyDescent="0.3">
      <c r="A31">
        <v>33</v>
      </c>
      <c r="B31" t="s">
        <v>62</v>
      </c>
      <c r="C31" t="s">
        <v>63</v>
      </c>
      <c r="D31">
        <v>8.24</v>
      </c>
      <c r="E31">
        <v>1</v>
      </c>
      <c r="F31">
        <f>SUMIFS(Compras_Full[LitrosActivos],Compras_Full[customer_id],Clientes_Resumen[[#This Row],[id]])</f>
        <v>82.39</v>
      </c>
      <c r="G31">
        <f>COUNTIFS(Compras_Full[customer_id],Clientes_Resumen[[#This Row],[id]],Compras_Full[status],"ACTIVE")</f>
        <v>3</v>
      </c>
      <c r="H31" s="2">
        <f>_xlfn.MAXIFS(Compras_Full[Fecha],Compras_Full[customer_id],Clientes_Resumen[[#This Row],[id]],Compras_Full[status],"ACTIVE")</f>
        <v>46303</v>
      </c>
      <c r="I31">
        <f>IF(Clientes_Resumen[[#This Row],[Última compra]]=0,"",Corte-Clientes_Resumen[[#This Row],[Última compra]])</f>
        <v>12</v>
      </c>
      <c r="J31" t="str" cm="1">
        <f t="array" ref="J3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3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8.24</v>
      </c>
      <c r="L31">
        <f>ROUND(Clientes_Resumen[[#This Row],[points]]-Clientes_Resumen[[#This Row],[Saldo ledger]],2)</f>
        <v>0</v>
      </c>
    </row>
    <row r="32" spans="1:12" x14ac:dyDescent="0.3">
      <c r="A32">
        <v>34</v>
      </c>
      <c r="B32" t="s">
        <v>64</v>
      </c>
      <c r="C32" t="s">
        <v>65</v>
      </c>
      <c r="D32">
        <v>107.8</v>
      </c>
      <c r="E32">
        <v>1</v>
      </c>
      <c r="F32">
        <f>SUMIFS(Compras_Full[LitrosActivos],Compras_Full[customer_id],Clientes_Resumen[[#This Row],[id]])</f>
        <v>1077.98</v>
      </c>
      <c r="G32">
        <f>COUNTIFS(Compras_Full[customer_id],Clientes_Resumen[[#This Row],[id]],Compras_Full[status],"ACTIVE")</f>
        <v>6</v>
      </c>
      <c r="H32" s="2">
        <f>_xlfn.MAXIFS(Compras_Full[Fecha],Compras_Full[customer_id],Clientes_Resumen[[#This Row],[id]],Compras_Full[status],"ACTIVE")</f>
        <v>46155</v>
      </c>
      <c r="I32">
        <f>IF(Clientes_Resumen[[#This Row],[Última compra]]=0,"",Corte-Clientes_Resumen[[#This Row],[Última compra]])</f>
        <v>160</v>
      </c>
      <c r="J32" t="str" cm="1">
        <f t="array" ref="J3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3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107.8</v>
      </c>
      <c r="L32">
        <f>ROUND(Clientes_Resumen[[#This Row],[points]]-Clientes_Resumen[[#This Row],[Saldo ledger]],2)</f>
        <v>0</v>
      </c>
    </row>
    <row r="33" spans="1:12" x14ac:dyDescent="0.3">
      <c r="A33">
        <v>35</v>
      </c>
      <c r="B33" t="s">
        <v>66</v>
      </c>
      <c r="C33" t="s">
        <v>67</v>
      </c>
      <c r="D33">
        <v>38</v>
      </c>
      <c r="E33">
        <v>1</v>
      </c>
      <c r="F33">
        <f>SUMIFS(Compras_Full[LitrosActivos],Compras_Full[customer_id],Clientes_Resumen[[#This Row],[id]])</f>
        <v>380.06000000000006</v>
      </c>
      <c r="G33">
        <f>COUNTIFS(Compras_Full[customer_id],Clientes_Resumen[[#This Row],[id]],Compras_Full[status],"ACTIVE")</f>
        <v>11</v>
      </c>
      <c r="H33" s="2">
        <f>_xlfn.MAXIFS(Compras_Full[Fecha],Compras_Full[customer_id],Clientes_Resumen[[#This Row],[id]],Compras_Full[status],"ACTIVE")</f>
        <v>46275</v>
      </c>
      <c r="I33">
        <f>IF(Clientes_Resumen[[#This Row],[Última compra]]=0,"",Corte-Clientes_Resumen[[#This Row],[Última compra]])</f>
        <v>40</v>
      </c>
      <c r="J33" t="str" cm="1">
        <f t="array" ref="J3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3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38</v>
      </c>
      <c r="L33">
        <f>ROUND(Clientes_Resumen[[#This Row],[points]]-Clientes_Resumen[[#This Row],[Saldo ledger]],2)</f>
        <v>0</v>
      </c>
    </row>
    <row r="34" spans="1:12" x14ac:dyDescent="0.3">
      <c r="A34">
        <v>36</v>
      </c>
      <c r="B34" t="s">
        <v>68</v>
      </c>
      <c r="C34" t="s">
        <v>69</v>
      </c>
      <c r="D34">
        <v>76.64</v>
      </c>
      <c r="E34">
        <v>1</v>
      </c>
      <c r="F34">
        <f>SUMIFS(Compras_Full[LitrosActivos],Compras_Full[customer_id],Clientes_Resumen[[#This Row],[id]])</f>
        <v>2834.0800000000004</v>
      </c>
      <c r="G34">
        <f>COUNTIFS(Compras_Full[customer_id],Clientes_Resumen[[#This Row],[id]],Compras_Full[status],"ACTIVE")</f>
        <v>15</v>
      </c>
      <c r="H34" s="2">
        <f>_xlfn.MAXIFS(Compras_Full[Fecha],Compras_Full[customer_id],Clientes_Resumen[[#This Row],[id]],Compras_Full[status],"ACTIVE")</f>
        <v>46309</v>
      </c>
      <c r="I34">
        <f>IF(Clientes_Resumen[[#This Row],[Última compra]]=0,"",Corte-Clientes_Resumen[[#This Row],[Última compra]])</f>
        <v>6</v>
      </c>
      <c r="J34" t="str" cm="1">
        <f t="array" ref="J3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3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76.640000000000015</v>
      </c>
      <c r="L34">
        <f>ROUND(Clientes_Resumen[[#This Row],[points]]-Clientes_Resumen[[#This Row],[Saldo ledger]],2)</f>
        <v>0</v>
      </c>
    </row>
    <row r="35" spans="1:12" x14ac:dyDescent="0.3">
      <c r="A35">
        <v>37</v>
      </c>
      <c r="B35" t="s">
        <v>70</v>
      </c>
      <c r="C35" t="s">
        <v>71</v>
      </c>
      <c r="D35">
        <v>80.900000000000006</v>
      </c>
      <c r="E35">
        <v>1</v>
      </c>
      <c r="F35">
        <f>SUMIFS(Compras_Full[LitrosActivos],Compras_Full[customer_id],Clientes_Resumen[[#This Row],[id]])</f>
        <v>808.9799999999999</v>
      </c>
      <c r="G35">
        <f>COUNTIFS(Compras_Full[customer_id],Clientes_Resumen[[#This Row],[id]],Compras_Full[status],"ACTIVE")</f>
        <v>9</v>
      </c>
      <c r="H35" s="2">
        <f>_xlfn.MAXIFS(Compras_Full[Fecha],Compras_Full[customer_id],Clientes_Resumen[[#This Row],[id]],Compras_Full[status],"ACTIVE")</f>
        <v>46245</v>
      </c>
      <c r="I35">
        <f>IF(Clientes_Resumen[[#This Row],[Última compra]]=0,"",Corte-Clientes_Resumen[[#This Row],[Última compra]])</f>
        <v>70</v>
      </c>
      <c r="J35" t="str" cm="1">
        <f t="array" ref="J3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3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80.900000000000006</v>
      </c>
      <c r="L35">
        <f>ROUND(Clientes_Resumen[[#This Row],[points]]-Clientes_Resumen[[#This Row],[Saldo ledger]],2)</f>
        <v>0</v>
      </c>
    </row>
    <row r="36" spans="1:12" x14ac:dyDescent="0.3">
      <c r="A36">
        <v>38</v>
      </c>
      <c r="B36" t="s">
        <v>72</v>
      </c>
      <c r="C36" t="s">
        <v>73</v>
      </c>
      <c r="D36">
        <v>22.76</v>
      </c>
      <c r="E36">
        <v>1</v>
      </c>
      <c r="F36">
        <f>SUMIFS(Compras_Full[LitrosActivos],Compras_Full[customer_id],Clientes_Resumen[[#This Row],[id]])</f>
        <v>570.27</v>
      </c>
      <c r="G36">
        <f>COUNTIFS(Compras_Full[customer_id],Clientes_Resumen[[#This Row],[id]],Compras_Full[status],"ACTIVE")</f>
        <v>20</v>
      </c>
      <c r="H36" s="2">
        <f>_xlfn.MAXIFS(Compras_Full[Fecha],Compras_Full[customer_id],Clientes_Resumen[[#This Row],[id]],Compras_Full[status],"ACTIVE")</f>
        <v>46253</v>
      </c>
      <c r="I36">
        <f>IF(Clientes_Resumen[[#This Row],[Última compra]]=0,"",Corte-Clientes_Resumen[[#This Row],[Última compra]])</f>
        <v>62</v>
      </c>
      <c r="J36" t="str" cm="1">
        <f t="array" ref="J3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3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22.759999999999998</v>
      </c>
      <c r="L36">
        <f>ROUND(Clientes_Resumen[[#This Row],[points]]-Clientes_Resumen[[#This Row],[Saldo ledger]],2)</f>
        <v>0</v>
      </c>
    </row>
    <row r="37" spans="1:12" x14ac:dyDescent="0.3">
      <c r="A37">
        <v>39</v>
      </c>
      <c r="B37" t="s">
        <v>74</v>
      </c>
      <c r="C37" t="s">
        <v>75</v>
      </c>
      <c r="D37">
        <v>172.04</v>
      </c>
      <c r="E37">
        <v>1</v>
      </c>
      <c r="F37">
        <f>SUMIFS(Compras_Full[LitrosActivos],Compras_Full[customer_id],Clientes_Resumen[[#This Row],[id]])</f>
        <v>22406.609999999993</v>
      </c>
      <c r="G37">
        <f>COUNTIFS(Compras_Full[customer_id],Clientes_Resumen[[#This Row],[id]],Compras_Full[status],"ACTIVE")</f>
        <v>117</v>
      </c>
      <c r="H37" s="2">
        <f>_xlfn.MAXIFS(Compras_Full[Fecha],Compras_Full[customer_id],Clientes_Resumen[[#This Row],[id]],Compras_Full[status],"ACTIVE")</f>
        <v>46314</v>
      </c>
      <c r="I37">
        <f>IF(Clientes_Resumen[[#This Row],[Última compra]]=0,"",Corte-Clientes_Resumen[[#This Row],[Última compra]])</f>
        <v>1</v>
      </c>
      <c r="J37" t="str" cm="1">
        <f t="array" ref="J3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3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172.0400000000003</v>
      </c>
      <c r="L37">
        <f>ROUND(Clientes_Resumen[[#This Row],[points]]-Clientes_Resumen[[#This Row],[Saldo ledger]],2)</f>
        <v>0</v>
      </c>
    </row>
    <row r="38" spans="1:12" x14ac:dyDescent="0.3">
      <c r="A38">
        <v>40</v>
      </c>
      <c r="B38" t="s">
        <v>76</v>
      </c>
      <c r="C38" t="s">
        <v>77</v>
      </c>
      <c r="D38">
        <v>100.95</v>
      </c>
      <c r="E38">
        <v>1</v>
      </c>
      <c r="F38">
        <f>SUMIFS(Compras_Full[LitrosActivos],Compras_Full[customer_id],Clientes_Resumen[[#This Row],[id]])</f>
        <v>1009.5200000000001</v>
      </c>
      <c r="G38">
        <f>COUNTIFS(Compras_Full[customer_id],Clientes_Resumen[[#This Row],[id]],Compras_Full[status],"ACTIVE")</f>
        <v>11</v>
      </c>
      <c r="H38" s="2">
        <f>_xlfn.MAXIFS(Compras_Full[Fecha],Compras_Full[customer_id],Clientes_Resumen[[#This Row],[id]],Compras_Full[status],"ACTIVE")</f>
        <v>46239</v>
      </c>
      <c r="I38">
        <f>IF(Clientes_Resumen[[#This Row],[Última compra]]=0,"",Corte-Clientes_Resumen[[#This Row],[Última compra]])</f>
        <v>76</v>
      </c>
      <c r="J38" t="str" cm="1">
        <f t="array" ref="J3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3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100.95</v>
      </c>
      <c r="L38">
        <f>ROUND(Clientes_Resumen[[#This Row],[points]]-Clientes_Resumen[[#This Row],[Saldo ledger]],2)</f>
        <v>0</v>
      </c>
    </row>
    <row r="39" spans="1:12" x14ac:dyDescent="0.3">
      <c r="A39">
        <v>41</v>
      </c>
      <c r="B39" t="s">
        <v>78</v>
      </c>
      <c r="C39" t="s">
        <v>79</v>
      </c>
      <c r="D39">
        <v>88.34</v>
      </c>
      <c r="E39">
        <v>1</v>
      </c>
      <c r="F39">
        <f>SUMIFS(Compras_Full[LitrosActivos],Compras_Full[customer_id],Clientes_Resumen[[#This Row],[id]])</f>
        <v>883.4</v>
      </c>
      <c r="G39">
        <f>COUNTIFS(Compras_Full[customer_id],Clientes_Resumen[[#This Row],[id]],Compras_Full[status],"ACTIVE")</f>
        <v>5</v>
      </c>
      <c r="H39" s="2">
        <f>_xlfn.MAXIFS(Compras_Full[Fecha],Compras_Full[customer_id],Clientes_Resumen[[#This Row],[id]],Compras_Full[status],"ACTIVE")</f>
        <v>46197</v>
      </c>
      <c r="I39">
        <f>IF(Clientes_Resumen[[#This Row],[Última compra]]=0,"",Corte-Clientes_Resumen[[#This Row],[Última compra]])</f>
        <v>118</v>
      </c>
      <c r="J39" t="str" cm="1">
        <f t="array" ref="J3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3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88.34</v>
      </c>
      <c r="L39">
        <f>ROUND(Clientes_Resumen[[#This Row],[points]]-Clientes_Resumen[[#This Row],[Saldo ledger]],2)</f>
        <v>0</v>
      </c>
    </row>
    <row r="40" spans="1:12" x14ac:dyDescent="0.3">
      <c r="A40">
        <v>42</v>
      </c>
      <c r="B40" t="s">
        <v>80</v>
      </c>
      <c r="C40" t="s">
        <v>81</v>
      </c>
      <c r="D40">
        <v>24.52</v>
      </c>
      <c r="E40">
        <v>1</v>
      </c>
      <c r="F40">
        <f>SUMIFS(Compras_Full[LitrosActivos],Compras_Full[customer_id],Clientes_Resumen[[#This Row],[id]])</f>
        <v>245.25</v>
      </c>
      <c r="G40">
        <f>COUNTIFS(Compras_Full[customer_id],Clientes_Resumen[[#This Row],[id]],Compras_Full[status],"ACTIVE")</f>
        <v>7</v>
      </c>
      <c r="H40" s="2">
        <f>_xlfn.MAXIFS(Compras_Full[Fecha],Compras_Full[customer_id],Clientes_Resumen[[#This Row],[id]],Compras_Full[status],"ACTIVE")</f>
        <v>46112</v>
      </c>
      <c r="I40">
        <f>IF(Clientes_Resumen[[#This Row],[Última compra]]=0,"",Corte-Clientes_Resumen[[#This Row],[Última compra]])</f>
        <v>203</v>
      </c>
      <c r="J40" t="str" cm="1">
        <f t="array" ref="J4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4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24.52</v>
      </c>
      <c r="L40">
        <f>ROUND(Clientes_Resumen[[#This Row],[points]]-Clientes_Resumen[[#This Row],[Saldo ledger]],2)</f>
        <v>0</v>
      </c>
    </row>
    <row r="41" spans="1:12" x14ac:dyDescent="0.3">
      <c r="A41">
        <v>43</v>
      </c>
      <c r="B41" t="s">
        <v>82</v>
      </c>
      <c r="C41" t="s">
        <v>83</v>
      </c>
      <c r="D41">
        <v>64.099999999999994</v>
      </c>
      <c r="E41">
        <v>1</v>
      </c>
      <c r="F41">
        <f>SUMIFS(Compras_Full[LitrosActivos],Compras_Full[customer_id],Clientes_Resumen[[#This Row],[id]])</f>
        <v>640.97</v>
      </c>
      <c r="G41">
        <f>COUNTIFS(Compras_Full[customer_id],Clientes_Resumen[[#This Row],[id]],Compras_Full[status],"ACTIVE")</f>
        <v>7</v>
      </c>
      <c r="H41" s="2">
        <f>_xlfn.MAXIFS(Compras_Full[Fecha],Compras_Full[customer_id],Clientes_Resumen[[#This Row],[id]],Compras_Full[status],"ACTIVE")</f>
        <v>46284</v>
      </c>
      <c r="I41">
        <f>IF(Clientes_Resumen[[#This Row],[Última compra]]=0,"",Corte-Clientes_Resumen[[#This Row],[Última compra]])</f>
        <v>31</v>
      </c>
      <c r="J41" t="str" cm="1">
        <f t="array" ref="J4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4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64.100000000000009</v>
      </c>
      <c r="L41">
        <f>ROUND(Clientes_Resumen[[#This Row],[points]]-Clientes_Resumen[[#This Row],[Saldo ledger]],2)</f>
        <v>0</v>
      </c>
    </row>
    <row r="42" spans="1:12" x14ac:dyDescent="0.3">
      <c r="A42">
        <v>44</v>
      </c>
      <c r="B42" t="s">
        <v>84</v>
      </c>
      <c r="C42" t="s">
        <v>85</v>
      </c>
      <c r="D42">
        <v>41.8</v>
      </c>
      <c r="E42">
        <v>1</v>
      </c>
      <c r="F42">
        <f>SUMIFS(Compras_Full[LitrosActivos],Compras_Full[customer_id],Clientes_Resumen[[#This Row],[id]])</f>
        <v>1716.47</v>
      </c>
      <c r="G42">
        <f>COUNTIFS(Compras_Full[customer_id],Clientes_Resumen[[#This Row],[id]],Compras_Full[status],"ACTIVE")</f>
        <v>53</v>
      </c>
      <c r="H42" s="2">
        <f>_xlfn.MAXIFS(Compras_Full[Fecha],Compras_Full[customer_id],Clientes_Resumen[[#This Row],[id]],Compras_Full[status],"ACTIVE")</f>
        <v>46310</v>
      </c>
      <c r="I42">
        <f>IF(Clientes_Resumen[[#This Row],[Última compra]]=0,"",Corte-Clientes_Resumen[[#This Row],[Última compra]])</f>
        <v>5</v>
      </c>
      <c r="J42" t="str" cm="1">
        <f t="array" ref="J4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4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41.79999999999999</v>
      </c>
      <c r="L42">
        <f>ROUND(Clientes_Resumen[[#This Row],[points]]-Clientes_Resumen[[#This Row],[Saldo ledger]],2)</f>
        <v>0</v>
      </c>
    </row>
    <row r="43" spans="1:12" x14ac:dyDescent="0.3">
      <c r="A43">
        <v>45</v>
      </c>
      <c r="B43" t="s">
        <v>86</v>
      </c>
      <c r="C43" t="s">
        <v>87</v>
      </c>
      <c r="D43">
        <v>59.11</v>
      </c>
      <c r="E43">
        <v>1</v>
      </c>
      <c r="F43">
        <f>SUMIFS(Compras_Full[LitrosActivos],Compras_Full[customer_id],Clientes_Resumen[[#This Row],[id]])</f>
        <v>591.12</v>
      </c>
      <c r="G43">
        <f>COUNTIFS(Compras_Full[customer_id],Clientes_Resumen[[#This Row],[id]],Compras_Full[status],"ACTIVE")</f>
        <v>5</v>
      </c>
      <c r="H43" s="2">
        <f>_xlfn.MAXIFS(Compras_Full[Fecha],Compras_Full[customer_id],Clientes_Resumen[[#This Row],[id]],Compras_Full[status],"ACTIVE")</f>
        <v>46166</v>
      </c>
      <c r="I43">
        <f>IF(Clientes_Resumen[[#This Row],[Última compra]]=0,"",Corte-Clientes_Resumen[[#This Row],[Última compra]])</f>
        <v>149</v>
      </c>
      <c r="J43" t="str" cm="1">
        <f t="array" ref="J4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4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59.11</v>
      </c>
      <c r="L43">
        <f>ROUND(Clientes_Resumen[[#This Row],[points]]-Clientes_Resumen[[#This Row],[Saldo ledger]],2)</f>
        <v>0</v>
      </c>
    </row>
    <row r="44" spans="1:12" x14ac:dyDescent="0.3">
      <c r="A44">
        <v>46</v>
      </c>
      <c r="B44" t="s">
        <v>88</v>
      </c>
      <c r="C44" t="s">
        <v>89</v>
      </c>
      <c r="D44">
        <v>17.22</v>
      </c>
      <c r="E44">
        <v>1</v>
      </c>
      <c r="F44">
        <f>SUMIFS(Compras_Full[LitrosActivos],Compras_Full[customer_id],Clientes_Resumen[[#This Row],[id]])</f>
        <v>172.15</v>
      </c>
      <c r="G44">
        <f>COUNTIFS(Compras_Full[customer_id],Clientes_Resumen[[#This Row],[id]],Compras_Full[status],"ACTIVE")</f>
        <v>5</v>
      </c>
      <c r="H44" s="2">
        <f>_xlfn.MAXIFS(Compras_Full[Fecha],Compras_Full[customer_id],Clientes_Resumen[[#This Row],[id]],Compras_Full[status],"ACTIVE")</f>
        <v>46137</v>
      </c>
      <c r="I44">
        <f>IF(Clientes_Resumen[[#This Row],[Última compra]]=0,"",Corte-Clientes_Resumen[[#This Row],[Última compra]])</f>
        <v>178</v>
      </c>
      <c r="J44" t="str" cm="1">
        <f t="array" ref="J4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4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17.220000000000002</v>
      </c>
      <c r="L44">
        <f>ROUND(Clientes_Resumen[[#This Row],[points]]-Clientes_Resumen[[#This Row],[Saldo ledger]],2)</f>
        <v>0</v>
      </c>
    </row>
    <row r="45" spans="1:12" x14ac:dyDescent="0.3">
      <c r="A45">
        <v>47</v>
      </c>
      <c r="B45" t="s">
        <v>90</v>
      </c>
      <c r="C45" t="s">
        <v>91</v>
      </c>
      <c r="D45">
        <v>29.3</v>
      </c>
      <c r="E45">
        <v>1</v>
      </c>
      <c r="F45">
        <f>SUMIFS(Compras_Full[LitrosActivos],Compras_Full[customer_id],Clientes_Resumen[[#This Row],[id]])</f>
        <v>685.34</v>
      </c>
      <c r="G45">
        <f>COUNTIFS(Compras_Full[customer_id],Clientes_Resumen[[#This Row],[id]],Compras_Full[status],"ACTIVE")</f>
        <v>21</v>
      </c>
      <c r="H45" s="2">
        <f>_xlfn.MAXIFS(Compras_Full[Fecha],Compras_Full[customer_id],Clientes_Resumen[[#This Row],[id]],Compras_Full[status],"ACTIVE")</f>
        <v>46206</v>
      </c>
      <c r="I45">
        <f>IF(Clientes_Resumen[[#This Row],[Última compra]]=0,"",Corte-Clientes_Resumen[[#This Row],[Última compra]])</f>
        <v>109</v>
      </c>
      <c r="J45" t="str" cm="1">
        <f t="array" ref="J4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4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29.299999999999994</v>
      </c>
      <c r="L45">
        <f>ROUND(Clientes_Resumen[[#This Row],[points]]-Clientes_Resumen[[#This Row],[Saldo ledger]],2)</f>
        <v>0</v>
      </c>
    </row>
    <row r="46" spans="1:12" x14ac:dyDescent="0.3">
      <c r="A46">
        <v>48</v>
      </c>
      <c r="B46" t="s">
        <v>92</v>
      </c>
      <c r="C46" t="s">
        <v>93</v>
      </c>
      <c r="D46">
        <v>152.44999999999999</v>
      </c>
      <c r="E46">
        <v>1</v>
      </c>
      <c r="F46">
        <f>SUMIFS(Compras_Full[LitrosActivos],Compras_Full[customer_id],Clientes_Resumen[[#This Row],[id]])</f>
        <v>3382.38</v>
      </c>
      <c r="G46">
        <f>COUNTIFS(Compras_Full[customer_id],Clientes_Resumen[[#This Row],[id]],Compras_Full[status],"ACTIVE")</f>
        <v>32</v>
      </c>
      <c r="H46" s="2">
        <f>_xlfn.MAXIFS(Compras_Full[Fecha],Compras_Full[customer_id],Clientes_Resumen[[#This Row],[id]],Compras_Full[status],"ACTIVE")</f>
        <v>46313</v>
      </c>
      <c r="I46">
        <f>IF(Clientes_Resumen[[#This Row],[Última compra]]=0,"",Corte-Clientes_Resumen[[#This Row],[Última compra]])</f>
        <v>2</v>
      </c>
      <c r="J46" t="str" cm="1">
        <f t="array" ref="J4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4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152.45000000000002</v>
      </c>
      <c r="L46">
        <f>ROUND(Clientes_Resumen[[#This Row],[points]]-Clientes_Resumen[[#This Row],[Saldo ledger]],2)</f>
        <v>0</v>
      </c>
    </row>
    <row r="47" spans="1:12" x14ac:dyDescent="0.3">
      <c r="A47">
        <v>49</v>
      </c>
      <c r="B47" t="s">
        <v>94</v>
      </c>
      <c r="C47" t="s">
        <v>95</v>
      </c>
      <c r="D47">
        <v>88.12</v>
      </c>
      <c r="E47">
        <v>1</v>
      </c>
      <c r="F47">
        <f>SUMIFS(Compras_Full[LitrosActivos],Compras_Full[customer_id],Clientes_Resumen[[#This Row],[id]])</f>
        <v>881.18999999999994</v>
      </c>
      <c r="G47">
        <f>COUNTIFS(Compras_Full[customer_id],Clientes_Resumen[[#This Row],[id]],Compras_Full[status],"ACTIVE")</f>
        <v>8</v>
      </c>
      <c r="H47" s="2">
        <f>_xlfn.MAXIFS(Compras_Full[Fecha],Compras_Full[customer_id],Clientes_Resumen[[#This Row],[id]],Compras_Full[status],"ACTIVE")</f>
        <v>46177</v>
      </c>
      <c r="I47">
        <f>IF(Clientes_Resumen[[#This Row],[Última compra]]=0,"",Corte-Clientes_Resumen[[#This Row],[Última compra]])</f>
        <v>138</v>
      </c>
      <c r="J47" t="str" cm="1">
        <f t="array" ref="J4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4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88.11999999999999</v>
      </c>
      <c r="L47">
        <f>ROUND(Clientes_Resumen[[#This Row],[points]]-Clientes_Resumen[[#This Row],[Saldo ledger]],2)</f>
        <v>0</v>
      </c>
    </row>
    <row r="48" spans="1:12" x14ac:dyDescent="0.3">
      <c r="A48">
        <v>50</v>
      </c>
      <c r="B48" t="s">
        <v>96</v>
      </c>
      <c r="C48" t="s">
        <v>97</v>
      </c>
      <c r="D48">
        <v>65.13</v>
      </c>
      <c r="E48">
        <v>1</v>
      </c>
      <c r="F48">
        <f>SUMIFS(Compras_Full[LitrosActivos],Compras_Full[customer_id],Clientes_Resumen[[#This Row],[id]])</f>
        <v>651.24</v>
      </c>
      <c r="G48">
        <f>COUNTIFS(Compras_Full[customer_id],Clientes_Resumen[[#This Row],[id]],Compras_Full[status],"ACTIVE")</f>
        <v>7</v>
      </c>
      <c r="H48" s="2">
        <f>_xlfn.MAXIFS(Compras_Full[Fecha],Compras_Full[customer_id],Clientes_Resumen[[#This Row],[id]],Compras_Full[status],"ACTIVE")</f>
        <v>46233</v>
      </c>
      <c r="I48">
        <f>IF(Clientes_Resumen[[#This Row],[Última compra]]=0,"",Corte-Clientes_Resumen[[#This Row],[Última compra]])</f>
        <v>82</v>
      </c>
      <c r="J48" t="str" cm="1">
        <f t="array" ref="J4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4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65.13000000000001</v>
      </c>
      <c r="L48">
        <f>ROUND(Clientes_Resumen[[#This Row],[points]]-Clientes_Resumen[[#This Row],[Saldo ledger]],2)</f>
        <v>0</v>
      </c>
    </row>
    <row r="49" spans="1:12" x14ac:dyDescent="0.3">
      <c r="A49">
        <v>51</v>
      </c>
      <c r="B49" t="s">
        <v>98</v>
      </c>
      <c r="C49" t="s">
        <v>99</v>
      </c>
      <c r="D49">
        <v>230.17</v>
      </c>
      <c r="E49">
        <v>1</v>
      </c>
      <c r="F49">
        <f>SUMIFS(Compras_Full[LitrosActivos],Compras_Full[customer_id],Clientes_Resumen[[#This Row],[id]])</f>
        <v>1941.43</v>
      </c>
      <c r="G49">
        <f>COUNTIFS(Compras_Full[customer_id],Clientes_Resumen[[#This Row],[id]],Compras_Full[status],"ACTIVE")</f>
        <v>10</v>
      </c>
      <c r="H49" s="2">
        <f>_xlfn.MAXIFS(Compras_Full[Fecha],Compras_Full[customer_id],Clientes_Resumen[[#This Row],[id]],Compras_Full[status],"ACTIVE")</f>
        <v>46247</v>
      </c>
      <c r="I49">
        <f>IF(Clientes_Resumen[[#This Row],[Última compra]]=0,"",Corte-Clientes_Resumen[[#This Row],[Última compra]])</f>
        <v>68</v>
      </c>
      <c r="J49" t="str" cm="1">
        <f t="array" ref="J4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4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230.17000000000002</v>
      </c>
      <c r="L49">
        <f>ROUND(Clientes_Resumen[[#This Row],[points]]-Clientes_Resumen[[#This Row],[Saldo ledger]],2)</f>
        <v>0</v>
      </c>
    </row>
    <row r="50" spans="1:12" x14ac:dyDescent="0.3">
      <c r="A50">
        <v>52</v>
      </c>
      <c r="B50" t="s">
        <v>100</v>
      </c>
      <c r="C50" t="s">
        <v>101</v>
      </c>
      <c r="D50">
        <v>10.68</v>
      </c>
      <c r="E50">
        <v>1</v>
      </c>
      <c r="F50">
        <f>SUMIFS(Compras_Full[LitrosActivos],Compras_Full[customer_id],Clientes_Resumen[[#This Row],[id]])</f>
        <v>717.29000000000008</v>
      </c>
      <c r="G50">
        <f>COUNTIFS(Compras_Full[customer_id],Clientes_Resumen[[#This Row],[id]],Compras_Full[status],"ACTIVE")</f>
        <v>23</v>
      </c>
      <c r="H50" s="2">
        <f>_xlfn.MAXIFS(Compras_Full[Fecha],Compras_Full[customer_id],Clientes_Resumen[[#This Row],[id]],Compras_Full[status],"ACTIVE")</f>
        <v>46257</v>
      </c>
      <c r="I50">
        <f>IF(Clientes_Resumen[[#This Row],[Última compra]]=0,"",Corte-Clientes_Resumen[[#This Row],[Última compra]])</f>
        <v>58</v>
      </c>
      <c r="J50" t="str" cm="1">
        <f t="array" ref="J5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5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10.680000000000014</v>
      </c>
      <c r="L50">
        <f>ROUND(Clientes_Resumen[[#This Row],[points]]-Clientes_Resumen[[#This Row],[Saldo ledger]],2)</f>
        <v>0</v>
      </c>
    </row>
    <row r="51" spans="1:12" x14ac:dyDescent="0.3">
      <c r="A51">
        <v>53</v>
      </c>
      <c r="B51" t="s">
        <v>102</v>
      </c>
      <c r="C51" t="s">
        <v>103</v>
      </c>
      <c r="D51">
        <v>14.72</v>
      </c>
      <c r="E51">
        <v>1</v>
      </c>
      <c r="F51">
        <f>SUMIFS(Compras_Full[LitrosActivos],Compras_Full[customer_id],Clientes_Resumen[[#This Row],[id]])</f>
        <v>147.22999999999999</v>
      </c>
      <c r="G51">
        <f>COUNTIFS(Compras_Full[customer_id],Clientes_Resumen[[#This Row],[id]],Compras_Full[status],"ACTIVE")</f>
        <v>4</v>
      </c>
      <c r="H51" s="2">
        <f>_xlfn.MAXIFS(Compras_Full[Fecha],Compras_Full[customer_id],Clientes_Resumen[[#This Row],[id]],Compras_Full[status],"ACTIVE")</f>
        <v>46147</v>
      </c>
      <c r="I51">
        <f>IF(Clientes_Resumen[[#This Row],[Última compra]]=0,"",Corte-Clientes_Resumen[[#This Row],[Última compra]])</f>
        <v>168</v>
      </c>
      <c r="J51" t="str" cm="1">
        <f t="array" ref="J5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5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14.719999999999999</v>
      </c>
      <c r="L51">
        <f>ROUND(Clientes_Resumen[[#This Row],[points]]-Clientes_Resumen[[#This Row],[Saldo ledger]],2)</f>
        <v>0</v>
      </c>
    </row>
    <row r="52" spans="1:12" x14ac:dyDescent="0.3">
      <c r="A52">
        <v>54</v>
      </c>
      <c r="B52" t="s">
        <v>104</v>
      </c>
      <c r="C52" t="s">
        <v>105</v>
      </c>
      <c r="D52">
        <v>15.04</v>
      </c>
      <c r="E52">
        <v>1</v>
      </c>
      <c r="F52">
        <f>SUMIFS(Compras_Full[LitrosActivos],Compras_Full[customer_id],Clientes_Resumen[[#This Row],[id]])</f>
        <v>150.36000000000001</v>
      </c>
      <c r="G52">
        <f>COUNTIFS(Compras_Full[customer_id],Clientes_Resumen[[#This Row],[id]],Compras_Full[status],"ACTIVE")</f>
        <v>4</v>
      </c>
      <c r="H52" s="2">
        <f>_xlfn.MAXIFS(Compras_Full[Fecha],Compras_Full[customer_id],Clientes_Resumen[[#This Row],[id]],Compras_Full[status],"ACTIVE")</f>
        <v>46278</v>
      </c>
      <c r="I52">
        <f>IF(Clientes_Resumen[[#This Row],[Última compra]]=0,"",Corte-Clientes_Resumen[[#This Row],[Última compra]])</f>
        <v>37</v>
      </c>
      <c r="J52" t="str" cm="1">
        <f t="array" ref="J5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5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15.040000000000001</v>
      </c>
      <c r="L52">
        <f>ROUND(Clientes_Resumen[[#This Row],[points]]-Clientes_Resumen[[#This Row],[Saldo ledger]],2)</f>
        <v>0</v>
      </c>
    </row>
    <row r="53" spans="1:12" x14ac:dyDescent="0.3">
      <c r="A53">
        <v>55</v>
      </c>
      <c r="B53" t="s">
        <v>106</v>
      </c>
      <c r="C53" t="s">
        <v>107</v>
      </c>
      <c r="D53">
        <v>42.91</v>
      </c>
      <c r="E53">
        <v>1</v>
      </c>
      <c r="F53">
        <f>SUMIFS(Compras_Full[LitrosActivos],Compras_Full[customer_id],Clientes_Resumen[[#This Row],[id]])</f>
        <v>429.05000000000007</v>
      </c>
      <c r="G53">
        <f>COUNTIFS(Compras_Full[customer_id],Clientes_Resumen[[#This Row],[id]],Compras_Full[status],"ACTIVE")</f>
        <v>13</v>
      </c>
      <c r="H53" s="2">
        <f>_xlfn.MAXIFS(Compras_Full[Fecha],Compras_Full[customer_id],Clientes_Resumen[[#This Row],[id]],Compras_Full[status],"ACTIVE")</f>
        <v>46268</v>
      </c>
      <c r="I53">
        <f>IF(Clientes_Resumen[[#This Row],[Última compra]]=0,"",Corte-Clientes_Resumen[[#This Row],[Última compra]])</f>
        <v>47</v>
      </c>
      <c r="J53" t="str" cm="1">
        <f t="array" ref="J5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5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42.910000000000004</v>
      </c>
      <c r="L53">
        <f>ROUND(Clientes_Resumen[[#This Row],[points]]-Clientes_Resumen[[#This Row],[Saldo ledger]],2)</f>
        <v>0</v>
      </c>
    </row>
    <row r="54" spans="1:12" x14ac:dyDescent="0.3">
      <c r="A54">
        <v>56</v>
      </c>
      <c r="B54" t="s">
        <v>108</v>
      </c>
      <c r="C54" t="s">
        <v>109</v>
      </c>
      <c r="D54">
        <v>66.55</v>
      </c>
      <c r="E54">
        <v>1</v>
      </c>
      <c r="F54">
        <f>SUMIFS(Compras_Full[LitrosActivos],Compras_Full[customer_id],Clientes_Resumen[[#This Row],[id]])</f>
        <v>665.60000000000014</v>
      </c>
      <c r="G54">
        <f>COUNTIFS(Compras_Full[customer_id],Clientes_Resumen[[#This Row],[id]],Compras_Full[status],"ACTIVE")</f>
        <v>8</v>
      </c>
      <c r="H54" s="2">
        <f>_xlfn.MAXIFS(Compras_Full[Fecha],Compras_Full[customer_id],Clientes_Resumen[[#This Row],[id]],Compras_Full[status],"ACTIVE")</f>
        <v>46276</v>
      </c>
      <c r="I54">
        <f>IF(Clientes_Resumen[[#This Row],[Última compra]]=0,"",Corte-Clientes_Resumen[[#This Row],[Última compra]])</f>
        <v>39</v>
      </c>
      <c r="J54" t="str" cm="1">
        <f t="array" ref="J5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5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66.55</v>
      </c>
      <c r="L54">
        <f>ROUND(Clientes_Resumen[[#This Row],[points]]-Clientes_Resumen[[#This Row],[Saldo ledger]],2)</f>
        <v>0</v>
      </c>
    </row>
    <row r="55" spans="1:12" x14ac:dyDescent="0.3">
      <c r="A55">
        <v>57</v>
      </c>
      <c r="B55" t="s">
        <v>110</v>
      </c>
      <c r="C55" t="s">
        <v>111</v>
      </c>
      <c r="D55">
        <v>107.53</v>
      </c>
      <c r="E55">
        <v>1</v>
      </c>
      <c r="F55">
        <f>SUMIFS(Compras_Full[LitrosActivos],Compras_Full[customer_id],Clientes_Resumen[[#This Row],[id]])</f>
        <v>1664.81</v>
      </c>
      <c r="G55">
        <f>COUNTIFS(Compras_Full[customer_id],Clientes_Resumen[[#This Row],[id]],Compras_Full[status],"ACTIVE")</f>
        <v>17</v>
      </c>
      <c r="H55" s="2">
        <f>_xlfn.MAXIFS(Compras_Full[Fecha],Compras_Full[customer_id],Clientes_Resumen[[#This Row],[id]],Compras_Full[status],"ACTIVE")</f>
        <v>46298</v>
      </c>
      <c r="I55">
        <f>IF(Clientes_Resumen[[#This Row],[Última compra]]=0,"",Corte-Clientes_Resumen[[#This Row],[Última compra]])</f>
        <v>17</v>
      </c>
      <c r="J55" t="str" cm="1">
        <f t="array" ref="J5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5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107.53</v>
      </c>
      <c r="L55">
        <f>ROUND(Clientes_Resumen[[#This Row],[points]]-Clientes_Resumen[[#This Row],[Saldo ledger]],2)</f>
        <v>0</v>
      </c>
    </row>
    <row r="56" spans="1:12" x14ac:dyDescent="0.3">
      <c r="A56">
        <v>58</v>
      </c>
      <c r="B56" t="s">
        <v>112</v>
      </c>
      <c r="C56" t="s">
        <v>113</v>
      </c>
      <c r="D56">
        <v>80.2</v>
      </c>
      <c r="E56">
        <v>1</v>
      </c>
      <c r="F56">
        <f>SUMIFS(Compras_Full[LitrosActivos],Compras_Full[customer_id],Clientes_Resumen[[#This Row],[id]])</f>
        <v>802.00999999999988</v>
      </c>
      <c r="G56">
        <f>COUNTIFS(Compras_Full[customer_id],Clientes_Resumen[[#This Row],[id]],Compras_Full[status],"ACTIVE")</f>
        <v>9</v>
      </c>
      <c r="H56" s="2">
        <f>_xlfn.MAXIFS(Compras_Full[Fecha],Compras_Full[customer_id],Clientes_Resumen[[#This Row],[id]],Compras_Full[status],"ACTIVE")</f>
        <v>46173</v>
      </c>
      <c r="I56">
        <f>IF(Clientes_Resumen[[#This Row],[Última compra]]=0,"",Corte-Clientes_Resumen[[#This Row],[Última compra]])</f>
        <v>142</v>
      </c>
      <c r="J56" t="str" cm="1">
        <f t="array" ref="J5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5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80.2</v>
      </c>
      <c r="L56">
        <f>ROUND(Clientes_Resumen[[#This Row],[points]]-Clientes_Resumen[[#This Row],[Saldo ledger]],2)</f>
        <v>0</v>
      </c>
    </row>
    <row r="57" spans="1:12" x14ac:dyDescent="0.3">
      <c r="A57">
        <v>59</v>
      </c>
      <c r="B57" t="s">
        <v>114</v>
      </c>
      <c r="C57" t="s">
        <v>115</v>
      </c>
      <c r="D57">
        <v>24.69</v>
      </c>
      <c r="E57">
        <v>1</v>
      </c>
      <c r="F57">
        <f>SUMIFS(Compras_Full[LitrosActivos],Compras_Full[customer_id],Clientes_Resumen[[#This Row],[id]])</f>
        <v>446.21</v>
      </c>
      <c r="G57">
        <f>COUNTIFS(Compras_Full[customer_id],Clientes_Resumen[[#This Row],[id]],Compras_Full[status],"ACTIVE")</f>
        <v>17</v>
      </c>
      <c r="H57" s="2">
        <f>_xlfn.MAXIFS(Compras_Full[Fecha],Compras_Full[customer_id],Clientes_Resumen[[#This Row],[id]],Compras_Full[status],"ACTIVE")</f>
        <v>46291</v>
      </c>
      <c r="I57">
        <f>IF(Clientes_Resumen[[#This Row],[Última compra]]=0,"",Corte-Clientes_Resumen[[#This Row],[Última compra]])</f>
        <v>24</v>
      </c>
      <c r="J57" t="str" cm="1">
        <f t="array" ref="J5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5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24.69</v>
      </c>
      <c r="L57">
        <f>ROUND(Clientes_Resumen[[#This Row],[points]]-Clientes_Resumen[[#This Row],[Saldo ledger]],2)</f>
        <v>0</v>
      </c>
    </row>
    <row r="58" spans="1:12" x14ac:dyDescent="0.3">
      <c r="A58">
        <v>60</v>
      </c>
      <c r="B58" t="s">
        <v>116</v>
      </c>
      <c r="C58" t="s">
        <v>117</v>
      </c>
      <c r="D58">
        <v>127.03</v>
      </c>
      <c r="E58">
        <v>0</v>
      </c>
      <c r="F58">
        <f>SUMIFS(Compras_Full[LitrosActivos],Compras_Full[customer_id],Clientes_Resumen[[#This Row],[id]])</f>
        <v>1270.2699999999998</v>
      </c>
      <c r="G58">
        <f>COUNTIFS(Compras_Full[customer_id],Clientes_Resumen[[#This Row],[id]],Compras_Full[status],"ACTIVE")</f>
        <v>7</v>
      </c>
      <c r="H58" s="2">
        <f>_xlfn.MAXIFS(Compras_Full[Fecha],Compras_Full[customer_id],Clientes_Resumen[[#This Row],[id]],Compras_Full[status],"ACTIVE")</f>
        <v>46094</v>
      </c>
      <c r="I58">
        <f>IF(Clientes_Resumen[[#This Row],[Última compra]]=0,"",Corte-Clientes_Resumen[[#This Row],[Última compra]])</f>
        <v>221</v>
      </c>
      <c r="J58" t="str" cm="1">
        <f t="array" ref="J5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5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127.03</v>
      </c>
      <c r="L58">
        <f>ROUND(Clientes_Resumen[[#This Row],[points]]-Clientes_Resumen[[#This Row],[Saldo ledger]],2)</f>
        <v>0</v>
      </c>
    </row>
    <row r="59" spans="1:12" x14ac:dyDescent="0.3">
      <c r="A59">
        <v>61</v>
      </c>
      <c r="B59" t="s">
        <v>118</v>
      </c>
      <c r="C59" t="s">
        <v>119</v>
      </c>
      <c r="D59">
        <v>50.58</v>
      </c>
      <c r="E59">
        <v>1</v>
      </c>
      <c r="F59">
        <f>SUMIFS(Compras_Full[LitrosActivos],Compras_Full[customer_id],Clientes_Resumen[[#This Row],[id]])</f>
        <v>2046.8600000000004</v>
      </c>
      <c r="G59">
        <f>COUNTIFS(Compras_Full[customer_id],Clientes_Resumen[[#This Row],[id]],Compras_Full[status],"ACTIVE")</f>
        <v>21</v>
      </c>
      <c r="H59" s="2">
        <f>_xlfn.MAXIFS(Compras_Full[Fecha],Compras_Full[customer_id],Clientes_Resumen[[#This Row],[id]],Compras_Full[status],"ACTIVE")</f>
        <v>46313</v>
      </c>
      <c r="I59">
        <f>IF(Clientes_Resumen[[#This Row],[Última compra]]=0,"",Corte-Clientes_Resumen[[#This Row],[Última compra]])</f>
        <v>2</v>
      </c>
      <c r="J59" t="str" cm="1">
        <f t="array" ref="J5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5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50.58</v>
      </c>
      <c r="L59">
        <f>ROUND(Clientes_Resumen[[#This Row],[points]]-Clientes_Resumen[[#This Row],[Saldo ledger]],2)</f>
        <v>0</v>
      </c>
    </row>
    <row r="60" spans="1:12" x14ac:dyDescent="0.3">
      <c r="A60">
        <v>62</v>
      </c>
      <c r="B60" t="s">
        <v>120</v>
      </c>
      <c r="C60" t="s">
        <v>121</v>
      </c>
      <c r="D60">
        <v>26.41</v>
      </c>
      <c r="E60">
        <v>1</v>
      </c>
      <c r="F60">
        <f>SUMIFS(Compras_Full[LitrosActivos],Compras_Full[customer_id],Clientes_Resumen[[#This Row],[id]])</f>
        <v>263.92</v>
      </c>
      <c r="G60">
        <f>COUNTIFS(Compras_Full[customer_id],Clientes_Resumen[[#This Row],[id]],Compras_Full[status],"ACTIVE")</f>
        <v>7</v>
      </c>
      <c r="H60" s="2">
        <f>_xlfn.MAXIFS(Compras_Full[Fecha],Compras_Full[customer_id],Clientes_Resumen[[#This Row],[id]],Compras_Full[status],"ACTIVE")</f>
        <v>46258</v>
      </c>
      <c r="I60">
        <f>IF(Clientes_Resumen[[#This Row],[Última compra]]=0,"",Corte-Clientes_Resumen[[#This Row],[Última compra]])</f>
        <v>57</v>
      </c>
      <c r="J60" t="str" cm="1">
        <f t="array" ref="J6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6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26.410000000000004</v>
      </c>
      <c r="L60">
        <f>ROUND(Clientes_Resumen[[#This Row],[points]]-Clientes_Resumen[[#This Row],[Saldo ledger]],2)</f>
        <v>0</v>
      </c>
    </row>
    <row r="61" spans="1:12" x14ac:dyDescent="0.3">
      <c r="A61">
        <v>63</v>
      </c>
      <c r="B61" t="s">
        <v>122</v>
      </c>
      <c r="C61" t="s">
        <v>123</v>
      </c>
      <c r="D61">
        <v>10.77</v>
      </c>
      <c r="E61">
        <v>1</v>
      </c>
      <c r="F61">
        <f>SUMIFS(Compras_Full[LitrosActivos],Compras_Full[customer_id],Clientes_Resumen[[#This Row],[id]])</f>
        <v>107.69</v>
      </c>
      <c r="G61">
        <f>COUNTIFS(Compras_Full[customer_id],Clientes_Resumen[[#This Row],[id]],Compras_Full[status],"ACTIVE")</f>
        <v>3</v>
      </c>
      <c r="H61" s="2">
        <f>_xlfn.MAXIFS(Compras_Full[Fecha],Compras_Full[customer_id],Clientes_Resumen[[#This Row],[id]],Compras_Full[status],"ACTIVE")</f>
        <v>46058</v>
      </c>
      <c r="I61">
        <f>IF(Clientes_Resumen[[#This Row],[Última compra]]=0,"",Corte-Clientes_Resumen[[#This Row],[Última compra]])</f>
        <v>257</v>
      </c>
      <c r="J61" t="str" cm="1">
        <f t="array" ref="J6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6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10.77</v>
      </c>
      <c r="L61">
        <f>ROUND(Clientes_Resumen[[#This Row],[points]]-Clientes_Resumen[[#This Row],[Saldo ledger]],2)</f>
        <v>0</v>
      </c>
    </row>
    <row r="62" spans="1:12" x14ac:dyDescent="0.3">
      <c r="A62">
        <v>64</v>
      </c>
      <c r="B62" t="s">
        <v>124</v>
      </c>
      <c r="C62" t="s">
        <v>125</v>
      </c>
      <c r="D62">
        <v>50.07</v>
      </c>
      <c r="E62">
        <v>1</v>
      </c>
      <c r="F62">
        <f>SUMIFS(Compras_Full[LitrosActivos],Compras_Full[customer_id],Clientes_Resumen[[#This Row],[id]])</f>
        <v>197.81</v>
      </c>
      <c r="G62">
        <f>COUNTIFS(Compras_Full[customer_id],Clientes_Resumen[[#This Row],[id]],Compras_Full[status],"ACTIVE")</f>
        <v>6</v>
      </c>
      <c r="H62" s="2">
        <f>_xlfn.MAXIFS(Compras_Full[Fecha],Compras_Full[customer_id],Clientes_Resumen[[#This Row],[id]],Compras_Full[status],"ACTIVE")</f>
        <v>46149</v>
      </c>
      <c r="I62">
        <f>IF(Clientes_Resumen[[#This Row],[Última compra]]=0,"",Corte-Clientes_Resumen[[#This Row],[Última compra]])</f>
        <v>166</v>
      </c>
      <c r="J62" t="str" cm="1">
        <f t="array" ref="J6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6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50.07</v>
      </c>
      <c r="L62">
        <f>ROUND(Clientes_Resumen[[#This Row],[points]]-Clientes_Resumen[[#This Row],[Saldo ledger]],2)</f>
        <v>0</v>
      </c>
    </row>
    <row r="63" spans="1:12" x14ac:dyDescent="0.3">
      <c r="A63">
        <v>65</v>
      </c>
      <c r="B63" t="s">
        <v>126</v>
      </c>
      <c r="C63" t="s">
        <v>127</v>
      </c>
      <c r="D63">
        <v>82.01</v>
      </c>
      <c r="E63">
        <v>1</v>
      </c>
      <c r="F63">
        <f>SUMIFS(Compras_Full[LitrosActivos],Compras_Full[customer_id],Clientes_Resumen[[#This Row],[id]])</f>
        <v>1883.8200000000002</v>
      </c>
      <c r="G63">
        <f>COUNTIFS(Compras_Full[customer_id],Clientes_Resumen[[#This Row],[id]],Compras_Full[status],"ACTIVE")</f>
        <v>58</v>
      </c>
      <c r="H63" s="2">
        <f>_xlfn.MAXIFS(Compras_Full[Fecha],Compras_Full[customer_id],Clientes_Resumen[[#This Row],[id]],Compras_Full[status],"ACTIVE")</f>
        <v>46311</v>
      </c>
      <c r="I63">
        <f>IF(Clientes_Resumen[[#This Row],[Última compra]]=0,"",Corte-Clientes_Resumen[[#This Row],[Última compra]])</f>
        <v>4</v>
      </c>
      <c r="J63" t="str" cm="1">
        <f t="array" ref="J6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6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82.009999999999962</v>
      </c>
      <c r="L63">
        <f>ROUND(Clientes_Resumen[[#This Row],[points]]-Clientes_Resumen[[#This Row],[Saldo ledger]],2)</f>
        <v>0</v>
      </c>
    </row>
    <row r="64" spans="1:12" x14ac:dyDescent="0.3">
      <c r="A64">
        <v>66</v>
      </c>
      <c r="B64" t="s">
        <v>128</v>
      </c>
      <c r="C64" t="s">
        <v>129</v>
      </c>
      <c r="D64">
        <v>77.86</v>
      </c>
      <c r="E64">
        <v>1</v>
      </c>
      <c r="F64">
        <f>SUMIFS(Compras_Full[LitrosActivos],Compras_Full[customer_id],Clientes_Resumen[[#This Row],[id]])</f>
        <v>778.55000000000007</v>
      </c>
      <c r="G64">
        <f>COUNTIFS(Compras_Full[customer_id],Clientes_Resumen[[#This Row],[id]],Compras_Full[status],"ACTIVE")</f>
        <v>8</v>
      </c>
      <c r="H64" s="2">
        <f>_xlfn.MAXIFS(Compras_Full[Fecha],Compras_Full[customer_id],Clientes_Resumen[[#This Row],[id]],Compras_Full[status],"ACTIVE")</f>
        <v>46266</v>
      </c>
      <c r="I64">
        <f>IF(Clientes_Resumen[[#This Row],[Última compra]]=0,"",Corte-Clientes_Resumen[[#This Row],[Última compra]])</f>
        <v>49</v>
      </c>
      <c r="J64" t="str" cm="1">
        <f t="array" ref="J6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6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77.86</v>
      </c>
      <c r="L64">
        <f>ROUND(Clientes_Resumen[[#This Row],[points]]-Clientes_Resumen[[#This Row],[Saldo ledger]],2)</f>
        <v>0</v>
      </c>
    </row>
    <row r="65" spans="1:12" x14ac:dyDescent="0.3">
      <c r="A65">
        <v>67</v>
      </c>
      <c r="B65" t="s">
        <v>130</v>
      </c>
      <c r="C65" t="s">
        <v>131</v>
      </c>
      <c r="D65">
        <v>9.43</v>
      </c>
      <c r="E65">
        <v>1</v>
      </c>
      <c r="F65">
        <f>SUMIFS(Compras_Full[LitrosActivos],Compras_Full[customer_id],Clientes_Resumen[[#This Row],[id]])</f>
        <v>94.31</v>
      </c>
      <c r="G65">
        <f>COUNTIFS(Compras_Full[customer_id],Clientes_Resumen[[#This Row],[id]],Compras_Full[status],"ACTIVE")</f>
        <v>3</v>
      </c>
      <c r="H65" s="2">
        <f>_xlfn.MAXIFS(Compras_Full[Fecha],Compras_Full[customer_id],Clientes_Resumen[[#This Row],[id]],Compras_Full[status],"ACTIVE")</f>
        <v>46233</v>
      </c>
      <c r="I65">
        <f>IF(Clientes_Resumen[[#This Row],[Última compra]]=0,"",Corte-Clientes_Resumen[[#This Row],[Última compra]])</f>
        <v>82</v>
      </c>
      <c r="J65" t="str" cm="1">
        <f t="array" ref="J6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6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9.43</v>
      </c>
      <c r="L65">
        <f>ROUND(Clientes_Resumen[[#This Row],[points]]-Clientes_Resumen[[#This Row],[Saldo ledger]],2)</f>
        <v>0</v>
      </c>
    </row>
    <row r="66" spans="1:12" x14ac:dyDescent="0.3">
      <c r="A66">
        <v>68</v>
      </c>
      <c r="B66" t="s">
        <v>132</v>
      </c>
      <c r="C66" t="s">
        <v>133</v>
      </c>
      <c r="D66">
        <v>5.78</v>
      </c>
      <c r="E66">
        <v>1</v>
      </c>
      <c r="F66">
        <f>SUMIFS(Compras_Full[LitrosActivos],Compras_Full[customer_id],Clientes_Resumen[[#This Row],[id]])</f>
        <v>57.77</v>
      </c>
      <c r="G66">
        <f>COUNTIFS(Compras_Full[customer_id],Clientes_Resumen[[#This Row],[id]],Compras_Full[status],"ACTIVE")</f>
        <v>1</v>
      </c>
      <c r="H66" s="2">
        <f>_xlfn.MAXIFS(Compras_Full[Fecha],Compras_Full[customer_id],Clientes_Resumen[[#This Row],[id]],Compras_Full[status],"ACTIVE")</f>
        <v>46272</v>
      </c>
      <c r="I66">
        <f>IF(Clientes_Resumen[[#This Row],[Última compra]]=0,"",Corte-Clientes_Resumen[[#This Row],[Última compra]])</f>
        <v>43</v>
      </c>
      <c r="J66" t="str" cm="1">
        <f t="array" ref="J6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6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5.78</v>
      </c>
      <c r="L66">
        <f>ROUND(Clientes_Resumen[[#This Row],[points]]-Clientes_Resumen[[#This Row],[Saldo ledger]],2)</f>
        <v>0</v>
      </c>
    </row>
    <row r="67" spans="1:12" x14ac:dyDescent="0.3">
      <c r="A67">
        <v>69</v>
      </c>
      <c r="B67" t="s">
        <v>134</v>
      </c>
      <c r="C67" t="s">
        <v>135</v>
      </c>
      <c r="D67">
        <v>38.64</v>
      </c>
      <c r="E67">
        <v>1</v>
      </c>
      <c r="F67">
        <f>SUMIFS(Compras_Full[LitrosActivos],Compras_Full[customer_id],Clientes_Resumen[[#This Row],[id]])</f>
        <v>386.41</v>
      </c>
      <c r="G67">
        <f>COUNTIFS(Compras_Full[customer_id],Clientes_Resumen[[#This Row],[id]],Compras_Full[status],"ACTIVE")</f>
        <v>11</v>
      </c>
      <c r="H67" s="2">
        <f>_xlfn.MAXIFS(Compras_Full[Fecha],Compras_Full[customer_id],Clientes_Resumen[[#This Row],[id]],Compras_Full[status],"ACTIVE")</f>
        <v>46184</v>
      </c>
      <c r="I67">
        <f>IF(Clientes_Resumen[[#This Row],[Última compra]]=0,"",Corte-Clientes_Resumen[[#This Row],[Última compra]])</f>
        <v>131</v>
      </c>
      <c r="J67" t="str" cm="1">
        <f t="array" ref="J6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6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38.640000000000008</v>
      </c>
      <c r="L67">
        <f>ROUND(Clientes_Resumen[[#This Row],[points]]-Clientes_Resumen[[#This Row],[Saldo ledger]],2)</f>
        <v>0</v>
      </c>
    </row>
    <row r="68" spans="1:12" x14ac:dyDescent="0.3">
      <c r="A68">
        <v>70</v>
      </c>
      <c r="B68" t="s">
        <v>136</v>
      </c>
      <c r="C68" t="s">
        <v>137</v>
      </c>
      <c r="D68">
        <v>196.96</v>
      </c>
      <c r="E68">
        <v>1</v>
      </c>
      <c r="F68">
        <f>SUMIFS(Compras_Full[LitrosActivos],Compras_Full[customer_id],Clientes_Resumen[[#This Row],[id]])</f>
        <v>2944.73</v>
      </c>
      <c r="G68">
        <f>COUNTIFS(Compras_Full[customer_id],Clientes_Resumen[[#This Row],[id]],Compras_Full[status],"ACTIVE")</f>
        <v>17</v>
      </c>
      <c r="H68" s="2">
        <f>_xlfn.MAXIFS(Compras_Full[Fecha],Compras_Full[customer_id],Clientes_Resumen[[#This Row],[id]],Compras_Full[status],"ACTIVE")</f>
        <v>46212</v>
      </c>
      <c r="I68">
        <f>IF(Clientes_Resumen[[#This Row],[Última compra]]=0,"",Corte-Clientes_Resumen[[#This Row],[Última compra]])</f>
        <v>103</v>
      </c>
      <c r="J68" t="str" cm="1">
        <f t="array" ref="J6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6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196.95999999999992</v>
      </c>
      <c r="L68">
        <f>ROUND(Clientes_Resumen[[#This Row],[points]]-Clientes_Resumen[[#This Row],[Saldo ledger]],2)</f>
        <v>0</v>
      </c>
    </row>
    <row r="69" spans="1:12" x14ac:dyDescent="0.3">
      <c r="A69">
        <v>71</v>
      </c>
      <c r="B69" t="s">
        <v>138</v>
      </c>
      <c r="C69" t="s">
        <v>139</v>
      </c>
      <c r="D69">
        <v>2.37</v>
      </c>
      <c r="E69">
        <v>1</v>
      </c>
      <c r="F69">
        <f>SUMIFS(Compras_Full[LitrosActivos],Compras_Full[customer_id],Clientes_Resumen[[#This Row],[id]])</f>
        <v>23.7</v>
      </c>
      <c r="G69">
        <f>COUNTIFS(Compras_Full[customer_id],Clientes_Resumen[[#This Row],[id]],Compras_Full[status],"ACTIVE")</f>
        <v>1</v>
      </c>
      <c r="H69" s="2">
        <f>_xlfn.MAXIFS(Compras_Full[Fecha],Compras_Full[customer_id],Clientes_Resumen[[#This Row],[id]],Compras_Full[status],"ACTIVE")</f>
        <v>46216</v>
      </c>
      <c r="I69">
        <f>IF(Clientes_Resumen[[#This Row],[Última compra]]=0,"",Corte-Clientes_Resumen[[#This Row],[Última compra]])</f>
        <v>99</v>
      </c>
      <c r="J69" t="str" cm="1">
        <f t="array" ref="J6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6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2.37</v>
      </c>
      <c r="L69">
        <f>ROUND(Clientes_Resumen[[#This Row],[points]]-Clientes_Resumen[[#This Row],[Saldo ledger]],2)</f>
        <v>0</v>
      </c>
    </row>
    <row r="70" spans="1:12" x14ac:dyDescent="0.3">
      <c r="A70">
        <v>72</v>
      </c>
      <c r="B70" t="s">
        <v>140</v>
      </c>
      <c r="C70" t="s">
        <v>141</v>
      </c>
      <c r="D70">
        <v>19.14</v>
      </c>
      <c r="E70">
        <v>1</v>
      </c>
      <c r="F70">
        <f>SUMIFS(Compras_Full[LitrosActivos],Compras_Full[customer_id],Clientes_Resumen[[#This Row],[id]])</f>
        <v>191.29999999999998</v>
      </c>
      <c r="G70">
        <f>COUNTIFS(Compras_Full[customer_id],Clientes_Resumen[[#This Row],[id]],Compras_Full[status],"ACTIVE")</f>
        <v>7</v>
      </c>
      <c r="H70" s="2">
        <f>_xlfn.MAXIFS(Compras_Full[Fecha],Compras_Full[customer_id],Clientes_Resumen[[#This Row],[id]],Compras_Full[status],"ACTIVE")</f>
        <v>46228</v>
      </c>
      <c r="I70">
        <f>IF(Clientes_Resumen[[#This Row],[Última compra]]=0,"",Corte-Clientes_Resumen[[#This Row],[Última compra]])</f>
        <v>87</v>
      </c>
      <c r="J70" t="str" cm="1">
        <f t="array" ref="J7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7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19.14</v>
      </c>
      <c r="L70">
        <f>ROUND(Clientes_Resumen[[#This Row],[points]]-Clientes_Resumen[[#This Row],[Saldo ledger]],2)</f>
        <v>0</v>
      </c>
    </row>
    <row r="71" spans="1:12" x14ac:dyDescent="0.3">
      <c r="A71">
        <v>73</v>
      </c>
      <c r="B71" t="s">
        <v>142</v>
      </c>
      <c r="C71" t="s">
        <v>143</v>
      </c>
      <c r="D71">
        <v>7.46</v>
      </c>
      <c r="E71">
        <v>1</v>
      </c>
      <c r="F71">
        <f>SUMIFS(Compras_Full[LitrosActivos],Compras_Full[customer_id],Clientes_Resumen[[#This Row],[id]])</f>
        <v>74.62</v>
      </c>
      <c r="G71">
        <f>COUNTIFS(Compras_Full[customer_id],Clientes_Resumen[[#This Row],[id]],Compras_Full[status],"ACTIVE")</f>
        <v>2</v>
      </c>
      <c r="H71" s="2">
        <f>_xlfn.MAXIFS(Compras_Full[Fecha],Compras_Full[customer_id],Clientes_Resumen[[#This Row],[id]],Compras_Full[status],"ACTIVE")</f>
        <v>46203</v>
      </c>
      <c r="I71">
        <f>IF(Clientes_Resumen[[#This Row],[Última compra]]=0,"",Corte-Clientes_Resumen[[#This Row],[Última compra]])</f>
        <v>112</v>
      </c>
      <c r="J71" t="str" cm="1">
        <f t="array" ref="J7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7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7.46</v>
      </c>
      <c r="L71">
        <f>ROUND(Clientes_Resumen[[#This Row],[points]]-Clientes_Resumen[[#This Row],[Saldo ledger]],2)</f>
        <v>0</v>
      </c>
    </row>
    <row r="72" spans="1:12" x14ac:dyDescent="0.3">
      <c r="A72">
        <v>74</v>
      </c>
      <c r="B72" t="s">
        <v>144</v>
      </c>
      <c r="C72" t="s">
        <v>145</v>
      </c>
      <c r="D72">
        <v>11.82</v>
      </c>
      <c r="E72">
        <v>1</v>
      </c>
      <c r="F72">
        <f>SUMIFS(Compras_Full[LitrosActivos],Compras_Full[customer_id],Clientes_Resumen[[#This Row],[id]])</f>
        <v>118.23</v>
      </c>
      <c r="G72">
        <f>COUNTIFS(Compras_Full[customer_id],Clientes_Resumen[[#This Row],[id]],Compras_Full[status],"ACTIVE")</f>
        <v>1</v>
      </c>
      <c r="H72" s="2">
        <f>_xlfn.MAXIFS(Compras_Full[Fecha],Compras_Full[customer_id],Clientes_Resumen[[#This Row],[id]],Compras_Full[status],"ACTIVE")</f>
        <v>46294</v>
      </c>
      <c r="I72">
        <f>IF(Clientes_Resumen[[#This Row],[Última compra]]=0,"",Corte-Clientes_Resumen[[#This Row],[Última compra]])</f>
        <v>21</v>
      </c>
      <c r="J72" t="str" cm="1">
        <f t="array" ref="J7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7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11.82</v>
      </c>
      <c r="L72">
        <f>ROUND(Clientes_Resumen[[#This Row],[points]]-Clientes_Resumen[[#This Row],[Saldo ledger]],2)</f>
        <v>0</v>
      </c>
    </row>
    <row r="73" spans="1:12" x14ac:dyDescent="0.3">
      <c r="A73">
        <v>75</v>
      </c>
      <c r="B73" t="s">
        <v>146</v>
      </c>
      <c r="C73" t="s">
        <v>147</v>
      </c>
      <c r="D73">
        <v>138.46</v>
      </c>
      <c r="E73">
        <v>0</v>
      </c>
      <c r="F73">
        <f>SUMIFS(Compras_Full[LitrosActivos],Compras_Full[customer_id],Clientes_Resumen[[#This Row],[id]])</f>
        <v>2779.92</v>
      </c>
      <c r="G73">
        <f>COUNTIFS(Compras_Full[customer_id],Clientes_Resumen[[#This Row],[id]],Compras_Full[status],"ACTIVE")</f>
        <v>30</v>
      </c>
      <c r="H73" s="2">
        <f>_xlfn.MAXIFS(Compras_Full[Fecha],Compras_Full[customer_id],Clientes_Resumen[[#This Row],[id]],Compras_Full[status],"ACTIVE")</f>
        <v>46315</v>
      </c>
      <c r="I73">
        <f>IF(Clientes_Resumen[[#This Row],[Última compra]]=0,"",Corte-Clientes_Resumen[[#This Row],[Última compra]])</f>
        <v>0</v>
      </c>
      <c r="J73" t="str" cm="1">
        <f t="array" ref="J7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7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138.46</v>
      </c>
      <c r="L73">
        <f>ROUND(Clientes_Resumen[[#This Row],[points]]-Clientes_Resumen[[#This Row],[Saldo ledger]],2)</f>
        <v>0</v>
      </c>
    </row>
    <row r="74" spans="1:12" x14ac:dyDescent="0.3">
      <c r="A74">
        <v>76</v>
      </c>
      <c r="B74" t="s">
        <v>148</v>
      </c>
      <c r="C74" t="s">
        <v>149</v>
      </c>
      <c r="D74">
        <v>72.31</v>
      </c>
      <c r="E74">
        <v>1</v>
      </c>
      <c r="F74">
        <f>SUMIFS(Compras_Full[LitrosActivos],Compras_Full[customer_id],Clientes_Resumen[[#This Row],[id]])</f>
        <v>660.24</v>
      </c>
      <c r="G74">
        <f>COUNTIFS(Compras_Full[customer_id],Clientes_Resumen[[#This Row],[id]],Compras_Full[status],"ACTIVE")</f>
        <v>8</v>
      </c>
      <c r="H74" s="2">
        <f>_xlfn.MAXIFS(Compras_Full[Fecha],Compras_Full[customer_id],Clientes_Resumen[[#This Row],[id]],Compras_Full[status],"ACTIVE")</f>
        <v>46242</v>
      </c>
      <c r="I74">
        <f>IF(Clientes_Resumen[[#This Row],[Última compra]]=0,"",Corte-Clientes_Resumen[[#This Row],[Última compra]])</f>
        <v>73</v>
      </c>
      <c r="J74" t="str" cm="1">
        <f t="array" ref="J7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7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72.31</v>
      </c>
      <c r="L74">
        <f>ROUND(Clientes_Resumen[[#This Row],[points]]-Clientes_Resumen[[#This Row],[Saldo ledger]],2)</f>
        <v>0</v>
      </c>
    </row>
    <row r="75" spans="1:12" x14ac:dyDescent="0.3">
      <c r="A75">
        <v>77</v>
      </c>
      <c r="B75" t="s">
        <v>150</v>
      </c>
      <c r="C75" t="s">
        <v>151</v>
      </c>
      <c r="D75">
        <v>15.64</v>
      </c>
      <c r="E75">
        <v>1</v>
      </c>
      <c r="F75">
        <f>SUMIFS(Compras_Full[LitrosActivos],Compras_Full[customer_id],Clientes_Resumen[[#This Row],[id]])</f>
        <v>156.41999999999999</v>
      </c>
      <c r="G75">
        <f>COUNTIFS(Compras_Full[customer_id],Clientes_Resumen[[#This Row],[id]],Compras_Full[status],"ACTIVE")</f>
        <v>1</v>
      </c>
      <c r="H75" s="2">
        <f>_xlfn.MAXIFS(Compras_Full[Fecha],Compras_Full[customer_id],Clientes_Resumen[[#This Row],[id]],Compras_Full[status],"ACTIVE")</f>
        <v>46303</v>
      </c>
      <c r="I75">
        <f>IF(Clientes_Resumen[[#This Row],[Última compra]]=0,"",Corte-Clientes_Resumen[[#This Row],[Última compra]])</f>
        <v>12</v>
      </c>
      <c r="J75" t="str" cm="1">
        <f t="array" ref="J7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7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15.64</v>
      </c>
      <c r="L75">
        <f>ROUND(Clientes_Resumen[[#This Row],[points]]-Clientes_Resumen[[#This Row],[Saldo ledger]],2)</f>
        <v>0</v>
      </c>
    </row>
    <row r="76" spans="1:12" x14ac:dyDescent="0.3">
      <c r="A76">
        <v>78</v>
      </c>
      <c r="B76" t="s">
        <v>152</v>
      </c>
      <c r="C76" t="s">
        <v>153</v>
      </c>
      <c r="D76">
        <v>0</v>
      </c>
      <c r="E76">
        <v>1</v>
      </c>
      <c r="F76">
        <f>SUMIFS(Compras_Full[LitrosActivos],Compras_Full[customer_id],Clientes_Resumen[[#This Row],[id]])</f>
        <v>0</v>
      </c>
      <c r="G76">
        <f>COUNTIFS(Compras_Full[customer_id],Clientes_Resumen[[#This Row],[id]],Compras_Full[status],"ACTIVE")</f>
        <v>0</v>
      </c>
      <c r="H76" s="2">
        <f>_xlfn.MAXIFS(Compras_Full[Fecha],Compras_Full[customer_id],Clientes_Resumen[[#This Row],[id]],Compras_Full[status],"ACTIVE")</f>
        <v>0</v>
      </c>
      <c r="I76" t="str">
        <f>IF(Clientes_Resumen[[#This Row],[Última compra]]=0,"",Corte-Clientes_Resumen[[#This Row],[Última compra]])</f>
        <v/>
      </c>
      <c r="J76" t="str" cm="1">
        <f t="array" ref="J7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7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76">
        <f>ROUND(Clientes_Resumen[[#This Row],[points]]-Clientes_Resumen[[#This Row],[Saldo ledger]],2)</f>
        <v>0</v>
      </c>
    </row>
    <row r="77" spans="1:12" x14ac:dyDescent="0.3">
      <c r="A77">
        <v>79</v>
      </c>
      <c r="B77" t="s">
        <v>154</v>
      </c>
      <c r="C77" t="s">
        <v>155</v>
      </c>
      <c r="D77">
        <v>5.14</v>
      </c>
      <c r="E77">
        <v>1</v>
      </c>
      <c r="F77">
        <f>SUMIFS(Compras_Full[LitrosActivos],Compras_Full[customer_id],Clientes_Resumen[[#This Row],[id]])</f>
        <v>51.39</v>
      </c>
      <c r="G77">
        <f>COUNTIFS(Compras_Full[customer_id],Clientes_Resumen[[#This Row],[id]],Compras_Full[status],"ACTIVE")</f>
        <v>1</v>
      </c>
      <c r="H77" s="2">
        <f>_xlfn.MAXIFS(Compras_Full[Fecha],Compras_Full[customer_id],Clientes_Resumen[[#This Row],[id]],Compras_Full[status],"ACTIVE")</f>
        <v>46009</v>
      </c>
      <c r="I77">
        <f>IF(Clientes_Resumen[[#This Row],[Última compra]]=0,"",Corte-Clientes_Resumen[[#This Row],[Última compra]])</f>
        <v>306</v>
      </c>
      <c r="J77" t="str" cm="1">
        <f t="array" ref="J7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7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5.1399999999999988</v>
      </c>
      <c r="L77">
        <f>ROUND(Clientes_Resumen[[#This Row],[points]]-Clientes_Resumen[[#This Row],[Saldo ledger]],2)</f>
        <v>0</v>
      </c>
    </row>
    <row r="78" spans="1:12" x14ac:dyDescent="0.3">
      <c r="A78">
        <v>80</v>
      </c>
      <c r="B78" t="s">
        <v>156</v>
      </c>
      <c r="C78" t="s">
        <v>157</v>
      </c>
      <c r="D78">
        <v>29.92</v>
      </c>
      <c r="E78">
        <v>1</v>
      </c>
      <c r="F78">
        <f>SUMIFS(Compras_Full[LitrosActivos],Compras_Full[customer_id],Clientes_Resumen[[#This Row],[id]])</f>
        <v>299.23</v>
      </c>
      <c r="G78">
        <f>COUNTIFS(Compras_Full[customer_id],Clientes_Resumen[[#This Row],[id]],Compras_Full[status],"ACTIVE")</f>
        <v>11</v>
      </c>
      <c r="H78" s="2">
        <f>_xlfn.MAXIFS(Compras_Full[Fecha],Compras_Full[customer_id],Clientes_Resumen[[#This Row],[id]],Compras_Full[status],"ACTIVE")</f>
        <v>46262</v>
      </c>
      <c r="I78">
        <f>IF(Clientes_Resumen[[#This Row],[Última compra]]=0,"",Corte-Clientes_Resumen[[#This Row],[Última compra]])</f>
        <v>53</v>
      </c>
      <c r="J78" t="str" cm="1">
        <f t="array" ref="J7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7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29.92</v>
      </c>
      <c r="L78">
        <f>ROUND(Clientes_Resumen[[#This Row],[points]]-Clientes_Resumen[[#This Row],[Saldo ledger]],2)</f>
        <v>0</v>
      </c>
    </row>
    <row r="79" spans="1:12" x14ac:dyDescent="0.3">
      <c r="A79">
        <v>81</v>
      </c>
      <c r="B79" t="s">
        <v>84</v>
      </c>
      <c r="C79" t="s">
        <v>158</v>
      </c>
      <c r="D79">
        <v>29.43</v>
      </c>
      <c r="E79">
        <v>1</v>
      </c>
      <c r="F79">
        <f>SUMIFS(Compras_Full[LitrosActivos],Compras_Full[customer_id],Clientes_Resumen[[#This Row],[id]])</f>
        <v>199.85</v>
      </c>
      <c r="G79">
        <f>COUNTIFS(Compras_Full[customer_id],Clientes_Resumen[[#This Row],[id]],Compras_Full[status],"ACTIVE")</f>
        <v>7</v>
      </c>
      <c r="H79" s="2">
        <f>_xlfn.MAXIFS(Compras_Full[Fecha],Compras_Full[customer_id],Clientes_Resumen[[#This Row],[id]],Compras_Full[status],"ACTIVE")</f>
        <v>46113</v>
      </c>
      <c r="I79">
        <f>IF(Clientes_Resumen[[#This Row],[Última compra]]=0,"",Corte-Clientes_Resumen[[#This Row],[Última compra]])</f>
        <v>202</v>
      </c>
      <c r="J79" t="str" cm="1">
        <f t="array" ref="J7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7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29.43</v>
      </c>
      <c r="L79">
        <f>ROUND(Clientes_Resumen[[#This Row],[points]]-Clientes_Resumen[[#This Row],[Saldo ledger]],2)</f>
        <v>0</v>
      </c>
    </row>
    <row r="80" spans="1:12" x14ac:dyDescent="0.3">
      <c r="A80">
        <v>82</v>
      </c>
      <c r="B80" t="s">
        <v>159</v>
      </c>
      <c r="C80" t="s">
        <v>160</v>
      </c>
      <c r="D80">
        <v>22</v>
      </c>
      <c r="E80">
        <v>1</v>
      </c>
      <c r="F80">
        <f>SUMIFS(Compras_Full[LitrosActivos],Compras_Full[customer_id],Clientes_Resumen[[#This Row],[id]])</f>
        <v>220.14</v>
      </c>
      <c r="G80">
        <f>COUNTIFS(Compras_Full[customer_id],Clientes_Resumen[[#This Row],[id]],Compras_Full[status],"ACTIVE")</f>
        <v>5</v>
      </c>
      <c r="H80" s="2">
        <f>_xlfn.MAXIFS(Compras_Full[Fecha],Compras_Full[customer_id],Clientes_Resumen[[#This Row],[id]],Compras_Full[status],"ACTIVE")</f>
        <v>46276</v>
      </c>
      <c r="I80">
        <f>IF(Clientes_Resumen[[#This Row],[Última compra]]=0,"",Corte-Clientes_Resumen[[#This Row],[Última compra]])</f>
        <v>39</v>
      </c>
      <c r="J80" t="str" cm="1">
        <f t="array" ref="J8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8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22</v>
      </c>
      <c r="L80">
        <f>ROUND(Clientes_Resumen[[#This Row],[points]]-Clientes_Resumen[[#This Row],[Saldo ledger]],2)</f>
        <v>0</v>
      </c>
    </row>
    <row r="81" spans="1:12" x14ac:dyDescent="0.3">
      <c r="A81">
        <v>83</v>
      </c>
      <c r="B81" t="s">
        <v>161</v>
      </c>
      <c r="C81" t="s">
        <v>162</v>
      </c>
      <c r="D81">
        <v>15.11</v>
      </c>
      <c r="E81">
        <v>1</v>
      </c>
      <c r="F81">
        <f>SUMIFS(Compras_Full[LitrosActivos],Compras_Full[customer_id],Clientes_Resumen[[#This Row],[id]])</f>
        <v>151.03</v>
      </c>
      <c r="G81">
        <f>COUNTIFS(Compras_Full[customer_id],Clientes_Resumen[[#This Row],[id]],Compras_Full[status],"ACTIVE")</f>
        <v>4</v>
      </c>
      <c r="H81" s="2">
        <f>_xlfn.MAXIFS(Compras_Full[Fecha],Compras_Full[customer_id],Clientes_Resumen[[#This Row],[id]],Compras_Full[status],"ACTIVE")</f>
        <v>46266</v>
      </c>
      <c r="I81">
        <f>IF(Clientes_Resumen[[#This Row],[Última compra]]=0,"",Corte-Clientes_Resumen[[#This Row],[Última compra]])</f>
        <v>49</v>
      </c>
      <c r="J81" t="str" cm="1">
        <f t="array" ref="J8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8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15.11</v>
      </c>
      <c r="L81">
        <f>ROUND(Clientes_Resumen[[#This Row],[points]]-Clientes_Resumen[[#This Row],[Saldo ledger]],2)</f>
        <v>0</v>
      </c>
    </row>
    <row r="82" spans="1:12" x14ac:dyDescent="0.3">
      <c r="A82">
        <v>84</v>
      </c>
      <c r="B82" t="s">
        <v>163</v>
      </c>
      <c r="C82" t="s">
        <v>164</v>
      </c>
      <c r="D82">
        <v>57.77</v>
      </c>
      <c r="E82">
        <v>1</v>
      </c>
      <c r="F82">
        <f>SUMIFS(Compras_Full[LitrosActivos],Compras_Full[customer_id],Clientes_Resumen[[#This Row],[id]])</f>
        <v>577.70000000000005</v>
      </c>
      <c r="G82">
        <f>COUNTIFS(Compras_Full[customer_id],Clientes_Resumen[[#This Row],[id]],Compras_Full[status],"ACTIVE")</f>
        <v>8</v>
      </c>
      <c r="H82" s="2">
        <f>_xlfn.MAXIFS(Compras_Full[Fecha],Compras_Full[customer_id],Clientes_Resumen[[#This Row],[id]],Compras_Full[status],"ACTIVE")</f>
        <v>46230</v>
      </c>
      <c r="I82">
        <f>IF(Clientes_Resumen[[#This Row],[Última compra]]=0,"",Corte-Clientes_Resumen[[#This Row],[Última compra]])</f>
        <v>85</v>
      </c>
      <c r="J82" t="str" cm="1">
        <f t="array" ref="J8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8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57.769999999999996</v>
      </c>
      <c r="L82">
        <f>ROUND(Clientes_Resumen[[#This Row],[points]]-Clientes_Resumen[[#This Row],[Saldo ledger]],2)</f>
        <v>0</v>
      </c>
    </row>
    <row r="83" spans="1:12" x14ac:dyDescent="0.3">
      <c r="A83">
        <v>85</v>
      </c>
      <c r="B83" t="s">
        <v>165</v>
      </c>
      <c r="C83" t="s">
        <v>166</v>
      </c>
      <c r="D83">
        <v>67.540000000000006</v>
      </c>
      <c r="E83">
        <v>1</v>
      </c>
      <c r="F83">
        <f>SUMIFS(Compras_Full[LitrosActivos],Compras_Full[customer_id],Clientes_Resumen[[#This Row],[id]])</f>
        <v>718.09</v>
      </c>
      <c r="G83">
        <f>COUNTIFS(Compras_Full[customer_id],Clientes_Resumen[[#This Row],[id]],Compras_Full[status],"ACTIVE")</f>
        <v>6</v>
      </c>
      <c r="H83" s="2">
        <f>_xlfn.MAXIFS(Compras_Full[Fecha],Compras_Full[customer_id],Clientes_Resumen[[#This Row],[id]],Compras_Full[status],"ACTIVE")</f>
        <v>46083</v>
      </c>
      <c r="I83">
        <f>IF(Clientes_Resumen[[#This Row],[Última compra]]=0,"",Corte-Clientes_Resumen[[#This Row],[Última compra]])</f>
        <v>232</v>
      </c>
      <c r="J83" t="str" cm="1">
        <f t="array" ref="J8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8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67.540000000000006</v>
      </c>
      <c r="L83">
        <f>ROUND(Clientes_Resumen[[#This Row],[points]]-Clientes_Resumen[[#This Row],[Saldo ledger]],2)</f>
        <v>0</v>
      </c>
    </row>
    <row r="84" spans="1:12" x14ac:dyDescent="0.3">
      <c r="A84">
        <v>86</v>
      </c>
      <c r="B84" t="s">
        <v>167</v>
      </c>
      <c r="C84" t="s">
        <v>168</v>
      </c>
      <c r="D84">
        <v>20.43</v>
      </c>
      <c r="E84">
        <v>1</v>
      </c>
      <c r="F84">
        <f>SUMIFS(Compras_Full[LitrosActivos],Compras_Full[customer_id],Clientes_Resumen[[#This Row],[id]])</f>
        <v>204.32999999999998</v>
      </c>
      <c r="G84">
        <f>COUNTIFS(Compras_Full[customer_id],Clientes_Resumen[[#This Row],[id]],Compras_Full[status],"ACTIVE")</f>
        <v>7</v>
      </c>
      <c r="H84" s="2">
        <f>_xlfn.MAXIFS(Compras_Full[Fecha],Compras_Full[customer_id],Clientes_Resumen[[#This Row],[id]],Compras_Full[status],"ACTIVE")</f>
        <v>46303</v>
      </c>
      <c r="I84">
        <f>IF(Clientes_Resumen[[#This Row],[Última compra]]=0,"",Corte-Clientes_Resumen[[#This Row],[Última compra]])</f>
        <v>12</v>
      </c>
      <c r="J84" t="str" cm="1">
        <f t="array" ref="J8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8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20.43</v>
      </c>
      <c r="L84">
        <f>ROUND(Clientes_Resumen[[#This Row],[points]]-Clientes_Resumen[[#This Row],[Saldo ledger]],2)</f>
        <v>0</v>
      </c>
    </row>
    <row r="85" spans="1:12" x14ac:dyDescent="0.3">
      <c r="A85">
        <v>87</v>
      </c>
      <c r="B85" t="s">
        <v>169</v>
      </c>
      <c r="C85" t="s">
        <v>170</v>
      </c>
      <c r="D85">
        <v>175.21</v>
      </c>
      <c r="E85">
        <v>1</v>
      </c>
      <c r="F85">
        <f>SUMIFS(Compras_Full[LitrosActivos],Compras_Full[customer_id],Clientes_Resumen[[#This Row],[id]])</f>
        <v>2697.9399999999996</v>
      </c>
      <c r="G85">
        <f>COUNTIFS(Compras_Full[customer_id],Clientes_Resumen[[#This Row],[id]],Compras_Full[status],"ACTIVE")</f>
        <v>30</v>
      </c>
      <c r="H85" s="2">
        <f>_xlfn.MAXIFS(Compras_Full[Fecha],Compras_Full[customer_id],Clientes_Resumen[[#This Row],[id]],Compras_Full[status],"ACTIVE")</f>
        <v>46305</v>
      </c>
      <c r="I85">
        <f>IF(Clientes_Resumen[[#This Row],[Última compra]]=0,"",Corte-Clientes_Resumen[[#This Row],[Última compra]])</f>
        <v>10</v>
      </c>
      <c r="J85" t="str" cm="1">
        <f t="array" ref="J8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8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175.21000000000004</v>
      </c>
      <c r="L85">
        <f>ROUND(Clientes_Resumen[[#This Row],[points]]-Clientes_Resumen[[#This Row],[Saldo ledger]],2)</f>
        <v>0</v>
      </c>
    </row>
    <row r="86" spans="1:12" x14ac:dyDescent="0.3">
      <c r="A86">
        <v>88</v>
      </c>
      <c r="B86" t="s">
        <v>171</v>
      </c>
      <c r="C86" t="s">
        <v>172</v>
      </c>
      <c r="D86">
        <v>15.08</v>
      </c>
      <c r="E86">
        <v>1</v>
      </c>
      <c r="F86">
        <f>SUMIFS(Compras_Full[LitrosActivos],Compras_Full[customer_id],Clientes_Resumen[[#This Row],[id]])</f>
        <v>150.86000000000001</v>
      </c>
      <c r="G86">
        <f>COUNTIFS(Compras_Full[customer_id],Clientes_Resumen[[#This Row],[id]],Compras_Full[status],"ACTIVE")</f>
        <v>2</v>
      </c>
      <c r="H86" s="2">
        <f>_xlfn.MAXIFS(Compras_Full[Fecha],Compras_Full[customer_id],Clientes_Resumen[[#This Row],[id]],Compras_Full[status],"ACTIVE")</f>
        <v>46311</v>
      </c>
      <c r="I86">
        <f>IF(Clientes_Resumen[[#This Row],[Última compra]]=0,"",Corte-Clientes_Resumen[[#This Row],[Última compra]])</f>
        <v>4</v>
      </c>
      <c r="J86" t="str" cm="1">
        <f t="array" ref="J8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8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15.080000000000002</v>
      </c>
      <c r="L86">
        <f>ROUND(Clientes_Resumen[[#This Row],[points]]-Clientes_Resumen[[#This Row],[Saldo ledger]],2)</f>
        <v>0</v>
      </c>
    </row>
    <row r="87" spans="1:12" x14ac:dyDescent="0.3">
      <c r="A87">
        <v>89</v>
      </c>
      <c r="B87" t="s">
        <v>173</v>
      </c>
      <c r="C87" t="s">
        <v>174</v>
      </c>
      <c r="D87">
        <v>61.13</v>
      </c>
      <c r="E87">
        <v>1</v>
      </c>
      <c r="F87">
        <f>SUMIFS(Compras_Full[LitrosActivos],Compras_Full[customer_id],Clientes_Resumen[[#This Row],[id]])</f>
        <v>611.21</v>
      </c>
      <c r="G87">
        <f>COUNTIFS(Compras_Full[customer_id],Clientes_Resumen[[#This Row],[id]],Compras_Full[status],"ACTIVE")</f>
        <v>4</v>
      </c>
      <c r="H87" s="2">
        <f>_xlfn.MAXIFS(Compras_Full[Fecha],Compras_Full[customer_id],Clientes_Resumen[[#This Row],[id]],Compras_Full[status],"ACTIVE")</f>
        <v>46168</v>
      </c>
      <c r="I87">
        <f>IF(Clientes_Resumen[[#This Row],[Última compra]]=0,"",Corte-Clientes_Resumen[[#This Row],[Última compra]])</f>
        <v>147</v>
      </c>
      <c r="J87" t="str" cm="1">
        <f t="array" ref="J8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8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61.13000000000001</v>
      </c>
      <c r="L87">
        <f>ROUND(Clientes_Resumen[[#This Row],[points]]-Clientes_Resumen[[#This Row],[Saldo ledger]],2)</f>
        <v>0</v>
      </c>
    </row>
    <row r="88" spans="1:12" x14ac:dyDescent="0.3">
      <c r="A88">
        <v>90</v>
      </c>
      <c r="B88" t="s">
        <v>175</v>
      </c>
      <c r="C88" t="s">
        <v>176</v>
      </c>
      <c r="D88">
        <v>48.47</v>
      </c>
      <c r="E88">
        <v>0</v>
      </c>
      <c r="F88">
        <f>SUMIFS(Compras_Full[LitrosActivos],Compras_Full[customer_id],Clientes_Resumen[[#This Row],[id]])</f>
        <v>484.71000000000004</v>
      </c>
      <c r="G88">
        <f>COUNTIFS(Compras_Full[customer_id],Clientes_Resumen[[#This Row],[id]],Compras_Full[status],"ACTIVE")</f>
        <v>3</v>
      </c>
      <c r="H88" s="2">
        <f>_xlfn.MAXIFS(Compras_Full[Fecha],Compras_Full[customer_id],Clientes_Resumen[[#This Row],[id]],Compras_Full[status],"ACTIVE")</f>
        <v>46208</v>
      </c>
      <c r="I88">
        <f>IF(Clientes_Resumen[[#This Row],[Última compra]]=0,"",Corte-Clientes_Resumen[[#This Row],[Última compra]])</f>
        <v>107</v>
      </c>
      <c r="J88" t="str" cm="1">
        <f t="array" ref="J8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8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48.47</v>
      </c>
      <c r="L88">
        <f>ROUND(Clientes_Resumen[[#This Row],[points]]-Clientes_Resumen[[#This Row],[Saldo ledger]],2)</f>
        <v>0</v>
      </c>
    </row>
    <row r="89" spans="1:12" x14ac:dyDescent="0.3">
      <c r="A89">
        <v>91</v>
      </c>
      <c r="B89" t="s">
        <v>177</v>
      </c>
      <c r="C89" t="s">
        <v>178</v>
      </c>
      <c r="D89">
        <v>12.33</v>
      </c>
      <c r="E89">
        <v>1</v>
      </c>
      <c r="F89">
        <f>SUMIFS(Compras_Full[LitrosActivos],Compras_Full[customer_id],Clientes_Resumen[[#This Row],[id]])</f>
        <v>399.14</v>
      </c>
      <c r="G89">
        <f>COUNTIFS(Compras_Full[customer_id],Clientes_Resumen[[#This Row],[id]],Compras_Full[status],"ACTIVE")</f>
        <v>14</v>
      </c>
      <c r="H89" s="2">
        <f>_xlfn.MAXIFS(Compras_Full[Fecha],Compras_Full[customer_id],Clientes_Resumen[[#This Row],[id]],Compras_Full[status],"ACTIVE")</f>
        <v>46263</v>
      </c>
      <c r="I89">
        <f>IF(Clientes_Resumen[[#This Row],[Última compra]]=0,"",Corte-Clientes_Resumen[[#This Row],[Última compra]])</f>
        <v>52</v>
      </c>
      <c r="J89" t="str" cm="1">
        <f t="array" ref="J8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8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12.330000000000005</v>
      </c>
      <c r="L89">
        <f>ROUND(Clientes_Resumen[[#This Row],[points]]-Clientes_Resumen[[#This Row],[Saldo ledger]],2)</f>
        <v>0</v>
      </c>
    </row>
    <row r="90" spans="1:12" x14ac:dyDescent="0.3">
      <c r="A90">
        <v>92</v>
      </c>
      <c r="B90" t="s">
        <v>179</v>
      </c>
      <c r="C90" t="s">
        <v>180</v>
      </c>
      <c r="D90">
        <v>14.51</v>
      </c>
      <c r="E90">
        <v>1</v>
      </c>
      <c r="F90">
        <f>SUMIFS(Compras_Full[LitrosActivos],Compras_Full[customer_id],Clientes_Resumen[[#This Row],[id]])</f>
        <v>145.13</v>
      </c>
      <c r="G90">
        <f>COUNTIFS(Compras_Full[customer_id],Clientes_Resumen[[#This Row],[id]],Compras_Full[status],"ACTIVE")</f>
        <v>5</v>
      </c>
      <c r="H90" s="2">
        <f>_xlfn.MAXIFS(Compras_Full[Fecha],Compras_Full[customer_id],Clientes_Resumen[[#This Row],[id]],Compras_Full[status],"ACTIVE")</f>
        <v>46079</v>
      </c>
      <c r="I90">
        <f>IF(Clientes_Resumen[[#This Row],[Última compra]]=0,"",Corte-Clientes_Resumen[[#This Row],[Última compra]])</f>
        <v>236</v>
      </c>
      <c r="J90" t="str" cm="1">
        <f t="array" ref="J9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9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14.509999999999998</v>
      </c>
      <c r="L90">
        <f>ROUND(Clientes_Resumen[[#This Row],[points]]-Clientes_Resumen[[#This Row],[Saldo ledger]],2)</f>
        <v>0</v>
      </c>
    </row>
    <row r="91" spans="1:12" x14ac:dyDescent="0.3">
      <c r="A91">
        <v>93</v>
      </c>
      <c r="B91" t="s">
        <v>181</v>
      </c>
      <c r="C91" t="s">
        <v>182</v>
      </c>
      <c r="D91">
        <v>0</v>
      </c>
      <c r="E91">
        <v>1</v>
      </c>
      <c r="F91">
        <f>SUMIFS(Compras_Full[LitrosActivos],Compras_Full[customer_id],Clientes_Resumen[[#This Row],[id]])</f>
        <v>0</v>
      </c>
      <c r="G91">
        <f>COUNTIFS(Compras_Full[customer_id],Clientes_Resumen[[#This Row],[id]],Compras_Full[status],"ACTIVE")</f>
        <v>0</v>
      </c>
      <c r="H91" s="2">
        <f>_xlfn.MAXIFS(Compras_Full[Fecha],Compras_Full[customer_id],Clientes_Resumen[[#This Row],[id]],Compras_Full[status],"ACTIVE")</f>
        <v>0</v>
      </c>
      <c r="I91" t="str">
        <f>IF(Clientes_Resumen[[#This Row],[Última compra]]=0,"",Corte-Clientes_Resumen[[#This Row],[Última compra]])</f>
        <v/>
      </c>
      <c r="J91" t="str" cm="1">
        <f t="array" ref="J9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9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91">
        <f>ROUND(Clientes_Resumen[[#This Row],[points]]-Clientes_Resumen[[#This Row],[Saldo ledger]],2)</f>
        <v>0</v>
      </c>
    </row>
    <row r="92" spans="1:12" x14ac:dyDescent="0.3">
      <c r="A92">
        <v>94</v>
      </c>
      <c r="B92" t="s">
        <v>183</v>
      </c>
      <c r="C92" t="s">
        <v>184</v>
      </c>
      <c r="D92">
        <v>216.09</v>
      </c>
      <c r="E92">
        <v>1</v>
      </c>
      <c r="F92">
        <f>SUMIFS(Compras_Full[LitrosActivos],Compras_Full[customer_id],Clientes_Resumen[[#This Row],[id]])</f>
        <v>2160.8000000000002</v>
      </c>
      <c r="G92">
        <f>COUNTIFS(Compras_Full[customer_id],Clientes_Resumen[[#This Row],[id]],Compras_Full[status],"ACTIVE")</f>
        <v>11</v>
      </c>
      <c r="H92" s="2">
        <f>_xlfn.MAXIFS(Compras_Full[Fecha],Compras_Full[customer_id],Clientes_Resumen[[#This Row],[id]],Compras_Full[status],"ACTIVE")</f>
        <v>46304</v>
      </c>
      <c r="I92">
        <f>IF(Clientes_Resumen[[#This Row],[Última compra]]=0,"",Corte-Clientes_Resumen[[#This Row],[Última compra]])</f>
        <v>11</v>
      </c>
      <c r="J92" t="str" cm="1">
        <f t="array" ref="J9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9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216.09</v>
      </c>
      <c r="L92">
        <f>ROUND(Clientes_Resumen[[#This Row],[points]]-Clientes_Resumen[[#This Row],[Saldo ledger]],2)</f>
        <v>0</v>
      </c>
    </row>
    <row r="93" spans="1:12" x14ac:dyDescent="0.3">
      <c r="A93">
        <v>95</v>
      </c>
      <c r="B93" t="s">
        <v>185</v>
      </c>
      <c r="C93" t="s">
        <v>186</v>
      </c>
      <c r="D93">
        <v>41.05</v>
      </c>
      <c r="E93">
        <v>1</v>
      </c>
      <c r="F93">
        <f>SUMIFS(Compras_Full[LitrosActivos],Compras_Full[customer_id],Clientes_Resumen[[#This Row],[id]])</f>
        <v>410.49</v>
      </c>
      <c r="G93">
        <f>COUNTIFS(Compras_Full[customer_id],Clientes_Resumen[[#This Row],[id]],Compras_Full[status],"ACTIVE")</f>
        <v>2</v>
      </c>
      <c r="H93" s="2">
        <f>_xlfn.MAXIFS(Compras_Full[Fecha],Compras_Full[customer_id],Clientes_Resumen[[#This Row],[id]],Compras_Full[status],"ACTIVE")</f>
        <v>46085</v>
      </c>
      <c r="I93">
        <f>IF(Clientes_Resumen[[#This Row],[Última compra]]=0,"",Corte-Clientes_Resumen[[#This Row],[Última compra]])</f>
        <v>230</v>
      </c>
      <c r="J93" t="str" cm="1">
        <f t="array" ref="J9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9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41.05</v>
      </c>
      <c r="L93">
        <f>ROUND(Clientes_Resumen[[#This Row],[points]]-Clientes_Resumen[[#This Row],[Saldo ledger]],2)</f>
        <v>0</v>
      </c>
    </row>
    <row r="94" spans="1:12" x14ac:dyDescent="0.3">
      <c r="A94">
        <v>96</v>
      </c>
      <c r="B94" t="s">
        <v>187</v>
      </c>
      <c r="C94" t="s">
        <v>188</v>
      </c>
      <c r="D94">
        <v>194.25</v>
      </c>
      <c r="E94">
        <v>1</v>
      </c>
      <c r="F94">
        <f>SUMIFS(Compras_Full[LitrosActivos],Compras_Full[customer_id],Clientes_Resumen[[#This Row],[id]])</f>
        <v>1942.45</v>
      </c>
      <c r="G94">
        <f>COUNTIFS(Compras_Full[customer_id],Clientes_Resumen[[#This Row],[id]],Compras_Full[status],"ACTIVE")</f>
        <v>10</v>
      </c>
      <c r="H94" s="2">
        <f>_xlfn.MAXIFS(Compras_Full[Fecha],Compras_Full[customer_id],Clientes_Resumen[[#This Row],[id]],Compras_Full[status],"ACTIVE")</f>
        <v>46197</v>
      </c>
      <c r="I94">
        <f>IF(Clientes_Resumen[[#This Row],[Última compra]]=0,"",Corte-Clientes_Resumen[[#This Row],[Última compra]])</f>
        <v>118</v>
      </c>
      <c r="J94" t="str" cm="1">
        <f t="array" ref="J9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9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194.25</v>
      </c>
      <c r="L94">
        <f>ROUND(Clientes_Resumen[[#This Row],[points]]-Clientes_Resumen[[#This Row],[Saldo ledger]],2)</f>
        <v>0</v>
      </c>
    </row>
    <row r="95" spans="1:12" x14ac:dyDescent="0.3">
      <c r="A95">
        <v>97</v>
      </c>
      <c r="B95" t="s">
        <v>189</v>
      </c>
      <c r="C95" t="s">
        <v>190</v>
      </c>
      <c r="D95">
        <v>32.18</v>
      </c>
      <c r="E95">
        <v>1</v>
      </c>
      <c r="F95">
        <f>SUMIFS(Compras_Full[LitrosActivos],Compras_Full[customer_id],Clientes_Resumen[[#This Row],[id]])</f>
        <v>321.7</v>
      </c>
      <c r="G95">
        <f>COUNTIFS(Compras_Full[customer_id],Clientes_Resumen[[#This Row],[id]],Compras_Full[status],"ACTIVE")</f>
        <v>4</v>
      </c>
      <c r="H95" s="2">
        <f>_xlfn.MAXIFS(Compras_Full[Fecha],Compras_Full[customer_id],Clientes_Resumen[[#This Row],[id]],Compras_Full[status],"ACTIVE")</f>
        <v>46028</v>
      </c>
      <c r="I95">
        <f>IF(Clientes_Resumen[[#This Row],[Última compra]]=0,"",Corte-Clientes_Resumen[[#This Row],[Última compra]])</f>
        <v>287</v>
      </c>
      <c r="J95" t="str" cm="1">
        <f t="array" ref="J9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9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32.179999999999993</v>
      </c>
      <c r="L95">
        <f>ROUND(Clientes_Resumen[[#This Row],[points]]-Clientes_Resumen[[#This Row],[Saldo ledger]],2)</f>
        <v>0</v>
      </c>
    </row>
    <row r="96" spans="1:12" x14ac:dyDescent="0.3">
      <c r="A96">
        <v>98</v>
      </c>
      <c r="B96" t="s">
        <v>191</v>
      </c>
      <c r="C96" t="s">
        <v>192</v>
      </c>
      <c r="D96">
        <v>38.409999999999997</v>
      </c>
      <c r="E96">
        <v>1</v>
      </c>
      <c r="F96">
        <f>SUMIFS(Compras_Full[LitrosActivos],Compras_Full[customer_id],Clientes_Resumen[[#This Row],[id]])</f>
        <v>384</v>
      </c>
      <c r="G96">
        <f>COUNTIFS(Compras_Full[customer_id],Clientes_Resumen[[#This Row],[id]],Compras_Full[status],"ACTIVE")</f>
        <v>4</v>
      </c>
      <c r="H96" s="2">
        <f>_xlfn.MAXIFS(Compras_Full[Fecha],Compras_Full[customer_id],Clientes_Resumen[[#This Row],[id]],Compras_Full[status],"ACTIVE")</f>
        <v>46219</v>
      </c>
      <c r="I96">
        <f>IF(Clientes_Resumen[[#This Row],[Última compra]]=0,"",Corte-Clientes_Resumen[[#This Row],[Última compra]])</f>
        <v>96</v>
      </c>
      <c r="J96" t="str" cm="1">
        <f t="array" ref="J9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9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38.410000000000004</v>
      </c>
      <c r="L96">
        <f>ROUND(Clientes_Resumen[[#This Row],[points]]-Clientes_Resumen[[#This Row],[Saldo ledger]],2)</f>
        <v>0</v>
      </c>
    </row>
    <row r="97" spans="1:12" x14ac:dyDescent="0.3">
      <c r="A97">
        <v>99</v>
      </c>
      <c r="B97" t="s">
        <v>193</v>
      </c>
      <c r="C97" t="s">
        <v>194</v>
      </c>
      <c r="D97">
        <v>0</v>
      </c>
      <c r="E97">
        <v>1</v>
      </c>
      <c r="F97">
        <f>SUMIFS(Compras_Full[LitrosActivos],Compras_Full[customer_id],Clientes_Resumen[[#This Row],[id]])</f>
        <v>0</v>
      </c>
      <c r="G97">
        <f>COUNTIFS(Compras_Full[customer_id],Clientes_Resumen[[#This Row],[id]],Compras_Full[status],"ACTIVE")</f>
        <v>0</v>
      </c>
      <c r="H97" s="2">
        <f>_xlfn.MAXIFS(Compras_Full[Fecha],Compras_Full[customer_id],Clientes_Resumen[[#This Row],[id]],Compras_Full[status],"ACTIVE")</f>
        <v>0</v>
      </c>
      <c r="I97" t="str">
        <f>IF(Clientes_Resumen[[#This Row],[Última compra]]=0,"",Corte-Clientes_Resumen[[#This Row],[Última compra]])</f>
        <v/>
      </c>
      <c r="J97" t="str" cm="1">
        <f t="array" ref="J9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9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97">
        <f>ROUND(Clientes_Resumen[[#This Row],[points]]-Clientes_Resumen[[#This Row],[Saldo ledger]],2)</f>
        <v>0</v>
      </c>
    </row>
    <row r="98" spans="1:12" x14ac:dyDescent="0.3">
      <c r="A98">
        <v>100</v>
      </c>
      <c r="B98" t="s">
        <v>195</v>
      </c>
      <c r="C98" t="s">
        <v>196</v>
      </c>
      <c r="D98">
        <v>24.82</v>
      </c>
      <c r="E98">
        <v>1</v>
      </c>
      <c r="F98">
        <f>SUMIFS(Compras_Full[LitrosActivos],Compras_Full[customer_id],Clientes_Resumen[[#This Row],[id]])</f>
        <v>248.24</v>
      </c>
      <c r="G98">
        <f>COUNTIFS(Compras_Full[customer_id],Clientes_Resumen[[#This Row],[id]],Compras_Full[status],"ACTIVE")</f>
        <v>1</v>
      </c>
      <c r="H98" s="2">
        <f>_xlfn.MAXIFS(Compras_Full[Fecha],Compras_Full[customer_id],Clientes_Resumen[[#This Row],[id]],Compras_Full[status],"ACTIVE")</f>
        <v>46204</v>
      </c>
      <c r="I98">
        <f>IF(Clientes_Resumen[[#This Row],[Última compra]]=0,"",Corte-Clientes_Resumen[[#This Row],[Última compra]])</f>
        <v>111</v>
      </c>
      <c r="J98" t="str" cm="1">
        <f t="array" ref="J9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9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24.82</v>
      </c>
      <c r="L98">
        <f>ROUND(Clientes_Resumen[[#This Row],[points]]-Clientes_Resumen[[#This Row],[Saldo ledger]],2)</f>
        <v>0</v>
      </c>
    </row>
    <row r="99" spans="1:12" x14ac:dyDescent="0.3">
      <c r="A99">
        <v>101</v>
      </c>
      <c r="B99" t="s">
        <v>197</v>
      </c>
      <c r="C99" t="s">
        <v>198</v>
      </c>
      <c r="D99">
        <v>28.47</v>
      </c>
      <c r="E99">
        <v>1</v>
      </c>
      <c r="F99">
        <f>SUMIFS(Compras_Full[LitrosActivos],Compras_Full[customer_id],Clientes_Resumen[[#This Row],[id]])</f>
        <v>284.60000000000002</v>
      </c>
      <c r="G99">
        <f>COUNTIFS(Compras_Full[customer_id],Clientes_Resumen[[#This Row],[id]],Compras_Full[status],"ACTIVE")</f>
        <v>8</v>
      </c>
      <c r="H99" s="2">
        <f>_xlfn.MAXIFS(Compras_Full[Fecha],Compras_Full[customer_id],Clientes_Resumen[[#This Row],[id]],Compras_Full[status],"ACTIVE")</f>
        <v>46206</v>
      </c>
      <c r="I99">
        <f>IF(Clientes_Resumen[[#This Row],[Última compra]]=0,"",Corte-Clientes_Resumen[[#This Row],[Última compra]])</f>
        <v>109</v>
      </c>
      <c r="J99" t="str" cm="1">
        <f t="array" ref="J9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9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28.47</v>
      </c>
      <c r="L99">
        <f>ROUND(Clientes_Resumen[[#This Row],[points]]-Clientes_Resumen[[#This Row],[Saldo ledger]],2)</f>
        <v>0</v>
      </c>
    </row>
    <row r="100" spans="1:12" x14ac:dyDescent="0.3">
      <c r="A100">
        <v>102</v>
      </c>
      <c r="B100" t="s">
        <v>199</v>
      </c>
      <c r="C100" t="s">
        <v>200</v>
      </c>
      <c r="D100">
        <v>2.34</v>
      </c>
      <c r="E100">
        <v>1</v>
      </c>
      <c r="F100">
        <f>SUMIFS(Compras_Full[LitrosActivos],Compras_Full[customer_id],Clientes_Resumen[[#This Row],[id]])</f>
        <v>23.44</v>
      </c>
      <c r="G100">
        <f>COUNTIFS(Compras_Full[customer_id],Clientes_Resumen[[#This Row],[id]],Compras_Full[status],"ACTIVE")</f>
        <v>1</v>
      </c>
      <c r="H100" s="2">
        <f>_xlfn.MAXIFS(Compras_Full[Fecha],Compras_Full[customer_id],Clientes_Resumen[[#This Row],[id]],Compras_Full[status],"ACTIVE")</f>
        <v>46099</v>
      </c>
      <c r="I100">
        <f>IF(Clientes_Resumen[[#This Row],[Última compra]]=0,"",Corte-Clientes_Resumen[[#This Row],[Última compra]])</f>
        <v>216</v>
      </c>
      <c r="J100" t="str" cm="1">
        <f t="array" ref="J10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0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2.34</v>
      </c>
      <c r="L100">
        <f>ROUND(Clientes_Resumen[[#This Row],[points]]-Clientes_Resumen[[#This Row],[Saldo ledger]],2)</f>
        <v>0</v>
      </c>
    </row>
    <row r="101" spans="1:12" x14ac:dyDescent="0.3">
      <c r="A101">
        <v>103</v>
      </c>
      <c r="B101" t="s">
        <v>201</v>
      </c>
      <c r="C101" t="s">
        <v>202</v>
      </c>
      <c r="D101">
        <v>9.9499999999999993</v>
      </c>
      <c r="E101">
        <v>1</v>
      </c>
      <c r="F101">
        <f>SUMIFS(Compras_Full[LitrosActivos],Compras_Full[customer_id],Clientes_Resumen[[#This Row],[id]])</f>
        <v>99.48</v>
      </c>
      <c r="G101">
        <f>COUNTIFS(Compras_Full[customer_id],Clientes_Resumen[[#This Row],[id]],Compras_Full[status],"ACTIVE")</f>
        <v>4</v>
      </c>
      <c r="H101" s="2">
        <f>_xlfn.MAXIFS(Compras_Full[Fecha],Compras_Full[customer_id],Clientes_Resumen[[#This Row],[id]],Compras_Full[status],"ACTIVE")</f>
        <v>46212</v>
      </c>
      <c r="I101">
        <f>IF(Clientes_Resumen[[#This Row],[Última compra]]=0,"",Corte-Clientes_Resumen[[#This Row],[Última compra]])</f>
        <v>103</v>
      </c>
      <c r="J101" t="str" cm="1">
        <f t="array" ref="J10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0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9.9500000000000011</v>
      </c>
      <c r="L101">
        <f>ROUND(Clientes_Resumen[[#This Row],[points]]-Clientes_Resumen[[#This Row],[Saldo ledger]],2)</f>
        <v>0</v>
      </c>
    </row>
    <row r="102" spans="1:12" x14ac:dyDescent="0.3">
      <c r="A102">
        <v>104</v>
      </c>
      <c r="B102" t="s">
        <v>203</v>
      </c>
      <c r="C102" t="s">
        <v>204</v>
      </c>
      <c r="D102">
        <v>206.87</v>
      </c>
      <c r="E102">
        <v>1</v>
      </c>
      <c r="F102">
        <f>SUMIFS(Compras_Full[LitrosActivos],Compras_Full[customer_id],Clientes_Resumen[[#This Row],[id]])</f>
        <v>2068.71</v>
      </c>
      <c r="G102">
        <f>COUNTIFS(Compras_Full[customer_id],Clientes_Resumen[[#This Row],[id]],Compras_Full[status],"ACTIVE")</f>
        <v>9</v>
      </c>
      <c r="H102" s="2">
        <f>_xlfn.MAXIFS(Compras_Full[Fecha],Compras_Full[customer_id],Clientes_Resumen[[#This Row],[id]],Compras_Full[status],"ACTIVE")</f>
        <v>46277</v>
      </c>
      <c r="I102">
        <f>IF(Clientes_Resumen[[#This Row],[Última compra]]=0,"",Corte-Clientes_Resumen[[#This Row],[Última compra]])</f>
        <v>38</v>
      </c>
      <c r="J102" t="str" cm="1">
        <f t="array" ref="J10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0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206.87</v>
      </c>
      <c r="L102">
        <f>ROUND(Clientes_Resumen[[#This Row],[points]]-Clientes_Resumen[[#This Row],[Saldo ledger]],2)</f>
        <v>0</v>
      </c>
    </row>
    <row r="103" spans="1:12" x14ac:dyDescent="0.3">
      <c r="A103">
        <v>105</v>
      </c>
      <c r="B103" t="s">
        <v>205</v>
      </c>
      <c r="C103" t="s">
        <v>206</v>
      </c>
      <c r="D103">
        <v>51.36</v>
      </c>
      <c r="E103">
        <v>1</v>
      </c>
      <c r="F103">
        <f>SUMIFS(Compras_Full[LitrosActivos],Compras_Full[customer_id],Clientes_Resumen[[#This Row],[id]])</f>
        <v>513.59</v>
      </c>
      <c r="G103">
        <f>COUNTIFS(Compras_Full[customer_id],Clientes_Resumen[[#This Row],[id]],Compras_Full[status],"ACTIVE")</f>
        <v>4</v>
      </c>
      <c r="H103" s="2">
        <f>_xlfn.MAXIFS(Compras_Full[Fecha],Compras_Full[customer_id],Clientes_Resumen[[#This Row],[id]],Compras_Full[status],"ACTIVE")</f>
        <v>46143</v>
      </c>
      <c r="I103">
        <f>IF(Clientes_Resumen[[#This Row],[Última compra]]=0,"",Corte-Clientes_Resumen[[#This Row],[Última compra]])</f>
        <v>172</v>
      </c>
      <c r="J103" t="str" cm="1">
        <f t="array" ref="J10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0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51.36</v>
      </c>
      <c r="L103">
        <f>ROUND(Clientes_Resumen[[#This Row],[points]]-Clientes_Resumen[[#This Row],[Saldo ledger]],2)</f>
        <v>0</v>
      </c>
    </row>
    <row r="104" spans="1:12" x14ac:dyDescent="0.3">
      <c r="A104">
        <v>106</v>
      </c>
      <c r="B104" t="s">
        <v>207</v>
      </c>
      <c r="C104" t="s">
        <v>208</v>
      </c>
      <c r="D104">
        <v>104.71</v>
      </c>
      <c r="E104">
        <v>1</v>
      </c>
      <c r="F104">
        <f>SUMIFS(Compras_Full[LitrosActivos],Compras_Full[customer_id],Clientes_Resumen[[#This Row],[id]])</f>
        <v>4465.58</v>
      </c>
      <c r="G104">
        <f>COUNTIFS(Compras_Full[customer_id],Clientes_Resumen[[#This Row],[id]],Compras_Full[status],"ACTIVE")</f>
        <v>47</v>
      </c>
      <c r="H104" s="2">
        <f>_xlfn.MAXIFS(Compras_Full[Fecha],Compras_Full[customer_id],Clientes_Resumen[[#This Row],[id]],Compras_Full[status],"ACTIVE")</f>
        <v>46306</v>
      </c>
      <c r="I104">
        <f>IF(Clientes_Resumen[[#This Row],[Última compra]]=0,"",Corte-Clientes_Resumen[[#This Row],[Última compra]])</f>
        <v>9</v>
      </c>
      <c r="J104" t="str" cm="1">
        <f t="array" ref="J10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0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104.70999999999997</v>
      </c>
      <c r="L104">
        <f>ROUND(Clientes_Resumen[[#This Row],[points]]-Clientes_Resumen[[#This Row],[Saldo ledger]],2)</f>
        <v>0</v>
      </c>
    </row>
    <row r="105" spans="1:12" x14ac:dyDescent="0.3">
      <c r="A105">
        <v>107</v>
      </c>
      <c r="B105" t="s">
        <v>209</v>
      </c>
      <c r="C105" t="s">
        <v>210</v>
      </c>
      <c r="D105">
        <v>10.18</v>
      </c>
      <c r="E105">
        <v>1</v>
      </c>
      <c r="F105">
        <f>SUMIFS(Compras_Full[LitrosActivos],Compras_Full[customer_id],Clientes_Resumen[[#This Row],[id]])</f>
        <v>101.71000000000001</v>
      </c>
      <c r="G105">
        <f>COUNTIFS(Compras_Full[customer_id],Clientes_Resumen[[#This Row],[id]],Compras_Full[status],"ACTIVE")</f>
        <v>3</v>
      </c>
      <c r="H105" s="2">
        <f>_xlfn.MAXIFS(Compras_Full[Fecha],Compras_Full[customer_id],Clientes_Resumen[[#This Row],[id]],Compras_Full[status],"ACTIVE")</f>
        <v>46193</v>
      </c>
      <c r="I105">
        <f>IF(Clientes_Resumen[[#This Row],[Última compra]]=0,"",Corte-Clientes_Resumen[[#This Row],[Última compra]])</f>
        <v>122</v>
      </c>
      <c r="J105" t="str" cm="1">
        <f t="array" ref="J10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0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10.18</v>
      </c>
      <c r="L105">
        <f>ROUND(Clientes_Resumen[[#This Row],[points]]-Clientes_Resumen[[#This Row],[Saldo ledger]],2)</f>
        <v>0</v>
      </c>
    </row>
    <row r="106" spans="1:12" x14ac:dyDescent="0.3">
      <c r="A106">
        <v>108</v>
      </c>
      <c r="B106" t="s">
        <v>211</v>
      </c>
      <c r="C106" t="s">
        <v>212</v>
      </c>
      <c r="D106">
        <v>17.62</v>
      </c>
      <c r="E106">
        <v>1</v>
      </c>
      <c r="F106">
        <f>SUMIFS(Compras_Full[LitrosActivos],Compras_Full[customer_id],Clientes_Resumen[[#This Row],[id]])</f>
        <v>176.25</v>
      </c>
      <c r="G106">
        <f>COUNTIFS(Compras_Full[customer_id],Clientes_Resumen[[#This Row],[id]],Compras_Full[status],"ACTIVE")</f>
        <v>2</v>
      </c>
      <c r="H106" s="2">
        <f>_xlfn.MAXIFS(Compras_Full[Fecha],Compras_Full[customer_id],Clientes_Resumen[[#This Row],[id]],Compras_Full[status],"ACTIVE")</f>
        <v>46116</v>
      </c>
      <c r="I106">
        <f>IF(Clientes_Resumen[[#This Row],[Última compra]]=0,"",Corte-Clientes_Resumen[[#This Row],[Última compra]])</f>
        <v>199</v>
      </c>
      <c r="J106" t="str" cm="1">
        <f t="array" ref="J10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0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17.62</v>
      </c>
      <c r="L106">
        <f>ROUND(Clientes_Resumen[[#This Row],[points]]-Clientes_Resumen[[#This Row],[Saldo ledger]],2)</f>
        <v>0</v>
      </c>
    </row>
    <row r="107" spans="1:12" x14ac:dyDescent="0.3">
      <c r="A107">
        <v>109</v>
      </c>
      <c r="B107" t="s">
        <v>213</v>
      </c>
      <c r="C107" t="s">
        <v>214</v>
      </c>
      <c r="D107">
        <v>110.14</v>
      </c>
      <c r="E107">
        <v>1</v>
      </c>
      <c r="F107">
        <f>SUMIFS(Compras_Full[LitrosActivos],Compras_Full[customer_id],Clientes_Resumen[[#This Row],[id]])</f>
        <v>1101.29</v>
      </c>
      <c r="G107">
        <f>COUNTIFS(Compras_Full[customer_id],Clientes_Resumen[[#This Row],[id]],Compras_Full[status],"ACTIVE")</f>
        <v>6</v>
      </c>
      <c r="H107" s="2">
        <f>_xlfn.MAXIFS(Compras_Full[Fecha],Compras_Full[customer_id],Clientes_Resumen[[#This Row],[id]],Compras_Full[status],"ACTIVE")</f>
        <v>46106</v>
      </c>
      <c r="I107">
        <f>IF(Clientes_Resumen[[#This Row],[Última compra]]=0,"",Corte-Clientes_Resumen[[#This Row],[Última compra]])</f>
        <v>209</v>
      </c>
      <c r="J107" t="str" cm="1">
        <f t="array" ref="J10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0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110.14</v>
      </c>
      <c r="L107">
        <f>ROUND(Clientes_Resumen[[#This Row],[points]]-Clientes_Resumen[[#This Row],[Saldo ledger]],2)</f>
        <v>0</v>
      </c>
    </row>
    <row r="108" spans="1:12" x14ac:dyDescent="0.3">
      <c r="A108">
        <v>110</v>
      </c>
      <c r="B108" t="s">
        <v>215</v>
      </c>
      <c r="C108" t="s">
        <v>216</v>
      </c>
      <c r="D108">
        <v>17.43</v>
      </c>
      <c r="E108">
        <v>1</v>
      </c>
      <c r="F108">
        <f>SUMIFS(Compras_Full[LitrosActivos],Compras_Full[customer_id],Clientes_Resumen[[#This Row],[id]])</f>
        <v>174.24</v>
      </c>
      <c r="G108">
        <f>COUNTIFS(Compras_Full[customer_id],Clientes_Resumen[[#This Row],[id]],Compras_Full[status],"ACTIVE")</f>
        <v>4</v>
      </c>
      <c r="H108" s="2">
        <f>_xlfn.MAXIFS(Compras_Full[Fecha],Compras_Full[customer_id],Clientes_Resumen[[#This Row],[id]],Compras_Full[status],"ACTIVE")</f>
        <v>46285</v>
      </c>
      <c r="I108">
        <f>IF(Clientes_Resumen[[#This Row],[Última compra]]=0,"",Corte-Clientes_Resumen[[#This Row],[Última compra]])</f>
        <v>30</v>
      </c>
      <c r="J108" t="str" cm="1">
        <f t="array" ref="J10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0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17.43</v>
      </c>
      <c r="L108">
        <f>ROUND(Clientes_Resumen[[#This Row],[points]]-Clientes_Resumen[[#This Row],[Saldo ledger]],2)</f>
        <v>0</v>
      </c>
    </row>
    <row r="109" spans="1:12" x14ac:dyDescent="0.3">
      <c r="A109">
        <v>111</v>
      </c>
      <c r="B109" t="s">
        <v>217</v>
      </c>
      <c r="C109" t="s">
        <v>218</v>
      </c>
      <c r="D109">
        <v>8.43</v>
      </c>
      <c r="E109">
        <v>1</v>
      </c>
      <c r="F109">
        <f>SUMIFS(Compras_Full[LitrosActivos],Compras_Full[customer_id],Clientes_Resumen[[#This Row],[id]])</f>
        <v>84.3</v>
      </c>
      <c r="G109">
        <f>COUNTIFS(Compras_Full[customer_id],Clientes_Resumen[[#This Row],[id]],Compras_Full[status],"ACTIVE")</f>
        <v>1</v>
      </c>
      <c r="H109" s="2">
        <f>_xlfn.MAXIFS(Compras_Full[Fecha],Compras_Full[customer_id],Clientes_Resumen[[#This Row],[id]],Compras_Full[status],"ACTIVE")</f>
        <v>46305</v>
      </c>
      <c r="I109">
        <f>IF(Clientes_Resumen[[#This Row],[Última compra]]=0,"",Corte-Clientes_Resumen[[#This Row],[Última compra]])</f>
        <v>10</v>
      </c>
      <c r="J109" t="str" cm="1">
        <f t="array" ref="J10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0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8.43</v>
      </c>
      <c r="L109">
        <f>ROUND(Clientes_Resumen[[#This Row],[points]]-Clientes_Resumen[[#This Row],[Saldo ledger]],2)</f>
        <v>0</v>
      </c>
    </row>
    <row r="110" spans="1:12" x14ac:dyDescent="0.3">
      <c r="A110">
        <v>112</v>
      </c>
      <c r="B110" t="s">
        <v>219</v>
      </c>
      <c r="C110" t="s">
        <v>220</v>
      </c>
      <c r="D110">
        <v>21.03</v>
      </c>
      <c r="E110">
        <v>1</v>
      </c>
      <c r="F110">
        <f>SUMIFS(Compras_Full[LitrosActivos],Compras_Full[customer_id],Clientes_Resumen[[#This Row],[id]])</f>
        <v>210.26000000000002</v>
      </c>
      <c r="G110">
        <f>COUNTIFS(Compras_Full[customer_id],Clientes_Resumen[[#This Row],[id]],Compras_Full[status],"ACTIVE")</f>
        <v>7</v>
      </c>
      <c r="H110" s="2">
        <f>_xlfn.MAXIFS(Compras_Full[Fecha],Compras_Full[customer_id],Clientes_Resumen[[#This Row],[id]],Compras_Full[status],"ACTIVE")</f>
        <v>46276</v>
      </c>
      <c r="I110">
        <f>IF(Clientes_Resumen[[#This Row],[Última compra]]=0,"",Corte-Clientes_Resumen[[#This Row],[Última compra]])</f>
        <v>39</v>
      </c>
      <c r="J110" t="str" cm="1">
        <f t="array" ref="J11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1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21.029999999999998</v>
      </c>
      <c r="L110">
        <f>ROUND(Clientes_Resumen[[#This Row],[points]]-Clientes_Resumen[[#This Row],[Saldo ledger]],2)</f>
        <v>0</v>
      </c>
    </row>
    <row r="111" spans="1:12" x14ac:dyDescent="0.3">
      <c r="A111">
        <v>113</v>
      </c>
      <c r="B111" t="s">
        <v>221</v>
      </c>
      <c r="C111" t="s">
        <v>222</v>
      </c>
      <c r="D111">
        <v>37.28</v>
      </c>
      <c r="E111">
        <v>1</v>
      </c>
      <c r="F111">
        <f>SUMIFS(Compras_Full[LitrosActivos],Compras_Full[customer_id],Clientes_Resumen[[#This Row],[id]])</f>
        <v>184.39000000000001</v>
      </c>
      <c r="G111">
        <f>COUNTIFS(Compras_Full[customer_id],Clientes_Resumen[[#This Row],[id]],Compras_Full[status],"ACTIVE")</f>
        <v>6</v>
      </c>
      <c r="H111" s="2">
        <f>_xlfn.MAXIFS(Compras_Full[Fecha],Compras_Full[customer_id],Clientes_Resumen[[#This Row],[id]],Compras_Full[status],"ACTIVE")</f>
        <v>46100</v>
      </c>
      <c r="I111">
        <f>IF(Clientes_Resumen[[#This Row],[Última compra]]=0,"",Corte-Clientes_Resumen[[#This Row],[Última compra]])</f>
        <v>215</v>
      </c>
      <c r="J111" t="str" cm="1">
        <f t="array" ref="J11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1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37.28</v>
      </c>
      <c r="L111">
        <f>ROUND(Clientes_Resumen[[#This Row],[points]]-Clientes_Resumen[[#This Row],[Saldo ledger]],2)</f>
        <v>0</v>
      </c>
    </row>
    <row r="112" spans="1:12" x14ac:dyDescent="0.3">
      <c r="A112">
        <v>114</v>
      </c>
      <c r="B112" t="s">
        <v>223</v>
      </c>
      <c r="C112" t="s">
        <v>224</v>
      </c>
      <c r="D112">
        <v>56.39</v>
      </c>
      <c r="E112">
        <v>1</v>
      </c>
      <c r="F112">
        <f>SUMIFS(Compras_Full[LitrosActivos],Compras_Full[customer_id],Clientes_Resumen[[#This Row],[id]])</f>
        <v>563.90000000000009</v>
      </c>
      <c r="G112">
        <f>COUNTIFS(Compras_Full[customer_id],Clientes_Resumen[[#This Row],[id]],Compras_Full[status],"ACTIVE")</f>
        <v>3</v>
      </c>
      <c r="H112" s="2">
        <f>_xlfn.MAXIFS(Compras_Full[Fecha],Compras_Full[customer_id],Clientes_Resumen[[#This Row],[id]],Compras_Full[status],"ACTIVE")</f>
        <v>46269</v>
      </c>
      <c r="I112">
        <f>IF(Clientes_Resumen[[#This Row],[Última compra]]=0,"",Corte-Clientes_Resumen[[#This Row],[Última compra]])</f>
        <v>46</v>
      </c>
      <c r="J112" t="str" cm="1">
        <f t="array" ref="J11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1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56.39</v>
      </c>
      <c r="L112">
        <f>ROUND(Clientes_Resumen[[#This Row],[points]]-Clientes_Resumen[[#This Row],[Saldo ledger]],2)</f>
        <v>0</v>
      </c>
    </row>
    <row r="113" spans="1:12" x14ac:dyDescent="0.3">
      <c r="A113">
        <v>115</v>
      </c>
      <c r="B113" t="s">
        <v>225</v>
      </c>
      <c r="C113" t="s">
        <v>226</v>
      </c>
      <c r="D113">
        <v>0</v>
      </c>
      <c r="E113">
        <v>1</v>
      </c>
      <c r="F113">
        <f>SUMIFS(Compras_Full[LitrosActivos],Compras_Full[customer_id],Clientes_Resumen[[#This Row],[id]])</f>
        <v>0</v>
      </c>
      <c r="G113">
        <f>COUNTIFS(Compras_Full[customer_id],Clientes_Resumen[[#This Row],[id]],Compras_Full[status],"ACTIVE")</f>
        <v>0</v>
      </c>
      <c r="H113" s="2">
        <f>_xlfn.MAXIFS(Compras_Full[Fecha],Compras_Full[customer_id],Clientes_Resumen[[#This Row],[id]],Compras_Full[status],"ACTIVE")</f>
        <v>0</v>
      </c>
      <c r="I113" t="str">
        <f>IF(Clientes_Resumen[[#This Row],[Última compra]]=0,"",Corte-Clientes_Resumen[[#This Row],[Última compra]])</f>
        <v/>
      </c>
      <c r="J113" t="str" cm="1">
        <f t="array" ref="J11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11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113">
        <f>ROUND(Clientes_Resumen[[#This Row],[points]]-Clientes_Resumen[[#This Row],[Saldo ledger]],2)</f>
        <v>0</v>
      </c>
    </row>
    <row r="114" spans="1:12" x14ac:dyDescent="0.3">
      <c r="A114">
        <v>116</v>
      </c>
      <c r="B114" t="s">
        <v>227</v>
      </c>
      <c r="C114" t="s">
        <v>228</v>
      </c>
      <c r="D114">
        <v>4.74</v>
      </c>
      <c r="E114">
        <v>1</v>
      </c>
      <c r="F114">
        <f>SUMIFS(Compras_Full[LitrosActivos],Compras_Full[customer_id],Clientes_Resumen[[#This Row],[id]])</f>
        <v>47.36</v>
      </c>
      <c r="G114">
        <f>COUNTIFS(Compras_Full[customer_id],Clientes_Resumen[[#This Row],[id]],Compras_Full[status],"ACTIVE")</f>
        <v>1</v>
      </c>
      <c r="H114" s="2">
        <f>_xlfn.MAXIFS(Compras_Full[Fecha],Compras_Full[customer_id],Clientes_Resumen[[#This Row],[id]],Compras_Full[status],"ACTIVE")</f>
        <v>46143</v>
      </c>
      <c r="I114">
        <f>IF(Clientes_Resumen[[#This Row],[Última compra]]=0,"",Corte-Clientes_Resumen[[#This Row],[Última compra]])</f>
        <v>172</v>
      </c>
      <c r="J114" t="str" cm="1">
        <f t="array" ref="J11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1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4.74</v>
      </c>
      <c r="L114">
        <f>ROUND(Clientes_Resumen[[#This Row],[points]]-Clientes_Resumen[[#This Row],[Saldo ledger]],2)</f>
        <v>0</v>
      </c>
    </row>
    <row r="115" spans="1:12" x14ac:dyDescent="0.3">
      <c r="A115">
        <v>117</v>
      </c>
      <c r="B115" t="s">
        <v>229</v>
      </c>
      <c r="C115" t="s">
        <v>230</v>
      </c>
      <c r="D115">
        <v>112.71</v>
      </c>
      <c r="E115">
        <v>1</v>
      </c>
      <c r="F115">
        <f>SUMIFS(Compras_Full[LitrosActivos],Compras_Full[customer_id],Clientes_Resumen[[#This Row],[id]])</f>
        <v>4498.8300000000008</v>
      </c>
      <c r="G115">
        <f>COUNTIFS(Compras_Full[customer_id],Clientes_Resumen[[#This Row],[id]],Compras_Full[status],"ACTIVE")</f>
        <v>48</v>
      </c>
      <c r="H115" s="2">
        <f>_xlfn.MAXIFS(Compras_Full[Fecha],Compras_Full[customer_id],Clientes_Resumen[[#This Row],[id]],Compras_Full[status],"ACTIVE")</f>
        <v>46265</v>
      </c>
      <c r="I115">
        <f>IF(Clientes_Resumen[[#This Row],[Última compra]]=0,"",Corte-Clientes_Resumen[[#This Row],[Última compra]])</f>
        <v>50</v>
      </c>
      <c r="J115" t="str" cm="1">
        <f t="array" ref="J11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1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112.70999999999995</v>
      </c>
      <c r="L115">
        <f>ROUND(Clientes_Resumen[[#This Row],[points]]-Clientes_Resumen[[#This Row],[Saldo ledger]],2)</f>
        <v>0</v>
      </c>
    </row>
    <row r="116" spans="1:12" x14ac:dyDescent="0.3">
      <c r="A116">
        <v>118</v>
      </c>
      <c r="B116" t="s">
        <v>231</v>
      </c>
      <c r="C116" t="s">
        <v>232</v>
      </c>
      <c r="D116">
        <v>12.09</v>
      </c>
      <c r="E116">
        <v>1</v>
      </c>
      <c r="F116">
        <f>SUMIFS(Compras_Full[LitrosActivos],Compras_Full[customer_id],Clientes_Resumen[[#This Row],[id]])</f>
        <v>120.88</v>
      </c>
      <c r="G116">
        <f>COUNTIFS(Compras_Full[customer_id],Clientes_Resumen[[#This Row],[id]],Compras_Full[status],"ACTIVE")</f>
        <v>4</v>
      </c>
      <c r="H116" s="2">
        <f>_xlfn.MAXIFS(Compras_Full[Fecha],Compras_Full[customer_id],Clientes_Resumen[[#This Row],[id]],Compras_Full[status],"ACTIVE")</f>
        <v>46276</v>
      </c>
      <c r="I116">
        <f>IF(Clientes_Resumen[[#This Row],[Última compra]]=0,"",Corte-Clientes_Resumen[[#This Row],[Última compra]])</f>
        <v>39</v>
      </c>
      <c r="J116" t="str" cm="1">
        <f t="array" ref="J11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1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12.09</v>
      </c>
      <c r="L116">
        <f>ROUND(Clientes_Resumen[[#This Row],[points]]-Clientes_Resumen[[#This Row],[Saldo ledger]],2)</f>
        <v>0</v>
      </c>
    </row>
    <row r="117" spans="1:12" x14ac:dyDescent="0.3">
      <c r="A117">
        <v>119</v>
      </c>
      <c r="B117" t="s">
        <v>233</v>
      </c>
      <c r="C117" t="s">
        <v>234</v>
      </c>
      <c r="D117">
        <v>14.68</v>
      </c>
      <c r="E117">
        <v>1</v>
      </c>
      <c r="F117">
        <f>SUMIFS(Compras_Full[LitrosActivos],Compras_Full[customer_id],Clientes_Resumen[[#This Row],[id]])</f>
        <v>146.75</v>
      </c>
      <c r="G117">
        <f>COUNTIFS(Compras_Full[customer_id],Clientes_Resumen[[#This Row],[id]],Compras_Full[status],"ACTIVE")</f>
        <v>1</v>
      </c>
      <c r="H117" s="2">
        <f>_xlfn.MAXIFS(Compras_Full[Fecha],Compras_Full[customer_id],Clientes_Resumen[[#This Row],[id]],Compras_Full[status],"ACTIVE")</f>
        <v>46311</v>
      </c>
      <c r="I117">
        <f>IF(Clientes_Resumen[[#This Row],[Última compra]]=0,"",Corte-Clientes_Resumen[[#This Row],[Última compra]])</f>
        <v>4</v>
      </c>
      <c r="J117" t="str" cm="1">
        <f t="array" ref="J11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1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14.68</v>
      </c>
      <c r="L117">
        <f>ROUND(Clientes_Resumen[[#This Row],[points]]-Clientes_Resumen[[#This Row],[Saldo ledger]],2)</f>
        <v>0</v>
      </c>
    </row>
    <row r="118" spans="1:12" x14ac:dyDescent="0.3">
      <c r="A118">
        <v>120</v>
      </c>
      <c r="B118" t="s">
        <v>235</v>
      </c>
      <c r="C118" t="s">
        <v>236</v>
      </c>
      <c r="D118">
        <v>2.9</v>
      </c>
      <c r="E118">
        <v>1</v>
      </c>
      <c r="F118">
        <f>SUMIFS(Compras_Full[LitrosActivos],Compras_Full[customer_id],Clientes_Resumen[[#This Row],[id]])</f>
        <v>29</v>
      </c>
      <c r="G118">
        <f>COUNTIFS(Compras_Full[customer_id],Clientes_Resumen[[#This Row],[id]],Compras_Full[status],"ACTIVE")</f>
        <v>1</v>
      </c>
      <c r="H118" s="2">
        <f>_xlfn.MAXIFS(Compras_Full[Fecha],Compras_Full[customer_id],Clientes_Resumen[[#This Row],[id]],Compras_Full[status],"ACTIVE")</f>
        <v>46276</v>
      </c>
      <c r="I118">
        <f>IF(Clientes_Resumen[[#This Row],[Última compra]]=0,"",Corte-Clientes_Resumen[[#This Row],[Última compra]])</f>
        <v>39</v>
      </c>
      <c r="J118" t="str" cm="1">
        <f t="array" ref="J11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1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2.9</v>
      </c>
      <c r="L118">
        <f>ROUND(Clientes_Resumen[[#This Row],[points]]-Clientes_Resumen[[#This Row],[Saldo ledger]],2)</f>
        <v>0</v>
      </c>
    </row>
    <row r="119" spans="1:12" x14ac:dyDescent="0.3">
      <c r="A119">
        <v>121</v>
      </c>
      <c r="B119" t="s">
        <v>237</v>
      </c>
      <c r="C119" t="s">
        <v>238</v>
      </c>
      <c r="D119">
        <v>24.12</v>
      </c>
      <c r="E119">
        <v>1</v>
      </c>
      <c r="F119">
        <f>SUMIFS(Compras_Full[LitrosActivos],Compras_Full[customer_id],Clientes_Resumen[[#This Row],[id]])</f>
        <v>241.26999999999998</v>
      </c>
      <c r="G119">
        <f>COUNTIFS(Compras_Full[customer_id],Clientes_Resumen[[#This Row],[id]],Compras_Full[status],"ACTIVE")</f>
        <v>7</v>
      </c>
      <c r="H119" s="2">
        <f>_xlfn.MAXIFS(Compras_Full[Fecha],Compras_Full[customer_id],Clientes_Resumen[[#This Row],[id]],Compras_Full[status],"ACTIVE")</f>
        <v>46280</v>
      </c>
      <c r="I119">
        <f>IF(Clientes_Resumen[[#This Row],[Última compra]]=0,"",Corte-Clientes_Resumen[[#This Row],[Última compra]])</f>
        <v>35</v>
      </c>
      <c r="J119" t="str" cm="1">
        <f t="array" ref="J11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1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24.12</v>
      </c>
      <c r="L119">
        <f>ROUND(Clientes_Resumen[[#This Row],[points]]-Clientes_Resumen[[#This Row],[Saldo ledger]],2)</f>
        <v>0</v>
      </c>
    </row>
    <row r="120" spans="1:12" x14ac:dyDescent="0.3">
      <c r="A120">
        <v>122</v>
      </c>
      <c r="B120" t="s">
        <v>239</v>
      </c>
      <c r="C120" t="s">
        <v>240</v>
      </c>
      <c r="D120">
        <v>90.56</v>
      </c>
      <c r="E120">
        <v>1</v>
      </c>
      <c r="F120">
        <f>SUMIFS(Compras_Full[LitrosActivos],Compras_Full[customer_id],Clientes_Resumen[[#This Row],[id]])</f>
        <v>905.53</v>
      </c>
      <c r="G120">
        <f>COUNTIFS(Compras_Full[customer_id],Clientes_Resumen[[#This Row],[id]],Compras_Full[status],"ACTIVE")</f>
        <v>5</v>
      </c>
      <c r="H120" s="2">
        <f>_xlfn.MAXIFS(Compras_Full[Fecha],Compras_Full[customer_id],Clientes_Resumen[[#This Row],[id]],Compras_Full[status],"ACTIVE")</f>
        <v>46241</v>
      </c>
      <c r="I120">
        <f>IF(Clientes_Resumen[[#This Row],[Última compra]]=0,"",Corte-Clientes_Resumen[[#This Row],[Última compra]])</f>
        <v>74</v>
      </c>
      <c r="J120" t="str" cm="1">
        <f t="array" ref="J12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2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90.56</v>
      </c>
      <c r="L120">
        <f>ROUND(Clientes_Resumen[[#This Row],[points]]-Clientes_Resumen[[#This Row],[Saldo ledger]],2)</f>
        <v>0</v>
      </c>
    </row>
    <row r="121" spans="1:12" x14ac:dyDescent="0.3">
      <c r="A121">
        <v>123</v>
      </c>
      <c r="B121" t="s">
        <v>241</v>
      </c>
      <c r="C121" t="s">
        <v>242</v>
      </c>
      <c r="D121">
        <v>12.61</v>
      </c>
      <c r="E121">
        <v>1</v>
      </c>
      <c r="F121">
        <f>SUMIFS(Compras_Full[LitrosActivos],Compras_Full[customer_id],Clientes_Resumen[[#This Row],[id]])</f>
        <v>125.99</v>
      </c>
      <c r="G121">
        <f>COUNTIFS(Compras_Full[customer_id],Clientes_Resumen[[#This Row],[id]],Compras_Full[status],"ACTIVE")</f>
        <v>4</v>
      </c>
      <c r="H121" s="2">
        <f>_xlfn.MAXIFS(Compras_Full[Fecha],Compras_Full[customer_id],Clientes_Resumen[[#This Row],[id]],Compras_Full[status],"ACTIVE")</f>
        <v>46271</v>
      </c>
      <c r="I121">
        <f>IF(Clientes_Resumen[[#This Row],[Última compra]]=0,"",Corte-Clientes_Resumen[[#This Row],[Última compra]])</f>
        <v>44</v>
      </c>
      <c r="J121" t="str" cm="1">
        <f t="array" ref="J12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2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12.61</v>
      </c>
      <c r="L121">
        <f>ROUND(Clientes_Resumen[[#This Row],[points]]-Clientes_Resumen[[#This Row],[Saldo ledger]],2)</f>
        <v>0</v>
      </c>
    </row>
    <row r="122" spans="1:12" x14ac:dyDescent="0.3">
      <c r="A122">
        <v>124</v>
      </c>
      <c r="B122" t="s">
        <v>243</v>
      </c>
      <c r="C122" t="s">
        <v>244</v>
      </c>
      <c r="D122">
        <v>21.98</v>
      </c>
      <c r="E122">
        <v>1</v>
      </c>
      <c r="F122">
        <f>SUMIFS(Compras_Full[LitrosActivos],Compras_Full[customer_id],Clientes_Resumen[[#This Row],[id]])</f>
        <v>219.69</v>
      </c>
      <c r="G122">
        <f>COUNTIFS(Compras_Full[customer_id],Clientes_Resumen[[#This Row],[id]],Compras_Full[status],"ACTIVE")</f>
        <v>8</v>
      </c>
      <c r="H122" s="2">
        <f>_xlfn.MAXIFS(Compras_Full[Fecha],Compras_Full[customer_id],Clientes_Resumen[[#This Row],[id]],Compras_Full[status],"ACTIVE")</f>
        <v>46230</v>
      </c>
      <c r="I122">
        <f>IF(Clientes_Resumen[[#This Row],[Última compra]]=0,"",Corte-Clientes_Resumen[[#This Row],[Última compra]])</f>
        <v>85</v>
      </c>
      <c r="J122" t="str" cm="1">
        <f t="array" ref="J12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2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21.98</v>
      </c>
      <c r="L122">
        <f>ROUND(Clientes_Resumen[[#This Row],[points]]-Clientes_Resumen[[#This Row],[Saldo ledger]],2)</f>
        <v>0</v>
      </c>
    </row>
    <row r="123" spans="1:12" x14ac:dyDescent="0.3">
      <c r="A123">
        <v>125</v>
      </c>
      <c r="B123" t="s">
        <v>245</v>
      </c>
      <c r="C123" t="s">
        <v>246</v>
      </c>
      <c r="D123">
        <v>19.059999999999999</v>
      </c>
      <c r="E123">
        <v>1</v>
      </c>
      <c r="F123">
        <f>SUMIFS(Compras_Full[LitrosActivos],Compras_Full[customer_id],Clientes_Resumen[[#This Row],[id]])</f>
        <v>190.58</v>
      </c>
      <c r="G123">
        <f>COUNTIFS(Compras_Full[customer_id],Clientes_Resumen[[#This Row],[id]],Compras_Full[status],"ACTIVE")</f>
        <v>5</v>
      </c>
      <c r="H123" s="2">
        <f>_xlfn.MAXIFS(Compras_Full[Fecha],Compras_Full[customer_id],Clientes_Resumen[[#This Row],[id]],Compras_Full[status],"ACTIVE")</f>
        <v>46287</v>
      </c>
      <c r="I123">
        <f>IF(Clientes_Resumen[[#This Row],[Última compra]]=0,"",Corte-Clientes_Resumen[[#This Row],[Última compra]])</f>
        <v>28</v>
      </c>
      <c r="J123" t="str" cm="1">
        <f t="array" ref="J12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2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19.059999999999999</v>
      </c>
      <c r="L123">
        <f>ROUND(Clientes_Resumen[[#This Row],[points]]-Clientes_Resumen[[#This Row],[Saldo ledger]],2)</f>
        <v>0</v>
      </c>
    </row>
    <row r="124" spans="1:12" x14ac:dyDescent="0.3">
      <c r="A124">
        <v>126</v>
      </c>
      <c r="B124" t="s">
        <v>247</v>
      </c>
      <c r="C124" t="s">
        <v>248</v>
      </c>
      <c r="D124">
        <v>74.28</v>
      </c>
      <c r="E124">
        <v>1</v>
      </c>
      <c r="F124">
        <f>SUMIFS(Compras_Full[LitrosActivos],Compras_Full[customer_id],Clientes_Resumen[[#This Row],[id]])</f>
        <v>742.79000000000008</v>
      </c>
      <c r="G124">
        <f>COUNTIFS(Compras_Full[customer_id],Clientes_Resumen[[#This Row],[id]],Compras_Full[status],"ACTIVE")</f>
        <v>7</v>
      </c>
      <c r="H124" s="2">
        <f>_xlfn.MAXIFS(Compras_Full[Fecha],Compras_Full[customer_id],Clientes_Resumen[[#This Row],[id]],Compras_Full[status],"ACTIVE")</f>
        <v>46198</v>
      </c>
      <c r="I124">
        <f>IF(Clientes_Resumen[[#This Row],[Última compra]]=0,"",Corte-Clientes_Resumen[[#This Row],[Última compra]])</f>
        <v>117</v>
      </c>
      <c r="J124" t="str" cm="1">
        <f t="array" ref="J12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2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74.28</v>
      </c>
      <c r="L124">
        <f>ROUND(Clientes_Resumen[[#This Row],[points]]-Clientes_Resumen[[#This Row],[Saldo ledger]],2)</f>
        <v>0</v>
      </c>
    </row>
    <row r="125" spans="1:12" x14ac:dyDescent="0.3">
      <c r="A125">
        <v>127</v>
      </c>
      <c r="B125" t="s">
        <v>249</v>
      </c>
      <c r="C125" t="s">
        <v>250</v>
      </c>
      <c r="D125">
        <v>30.73</v>
      </c>
      <c r="E125">
        <v>1</v>
      </c>
      <c r="F125">
        <f>SUMIFS(Compras_Full[LitrosActivos],Compras_Full[customer_id],Clientes_Resumen[[#This Row],[id]])</f>
        <v>307.26</v>
      </c>
      <c r="G125">
        <f>COUNTIFS(Compras_Full[customer_id],Clientes_Resumen[[#This Row],[id]],Compras_Full[status],"ACTIVE")</f>
        <v>4</v>
      </c>
      <c r="H125" s="2">
        <f>_xlfn.MAXIFS(Compras_Full[Fecha],Compras_Full[customer_id],Clientes_Resumen[[#This Row],[id]],Compras_Full[status],"ACTIVE")</f>
        <v>46287</v>
      </c>
      <c r="I125">
        <f>IF(Clientes_Resumen[[#This Row],[Última compra]]=0,"",Corte-Clientes_Resumen[[#This Row],[Última compra]])</f>
        <v>28</v>
      </c>
      <c r="J125" t="str" cm="1">
        <f t="array" ref="J12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2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30.73</v>
      </c>
      <c r="L125">
        <f>ROUND(Clientes_Resumen[[#This Row],[points]]-Clientes_Resumen[[#This Row],[Saldo ledger]],2)</f>
        <v>0</v>
      </c>
    </row>
    <row r="126" spans="1:12" x14ac:dyDescent="0.3">
      <c r="A126">
        <v>128</v>
      </c>
      <c r="B126" t="s">
        <v>251</v>
      </c>
      <c r="C126" t="s">
        <v>252</v>
      </c>
      <c r="D126">
        <v>16.510000000000002</v>
      </c>
      <c r="E126">
        <v>1</v>
      </c>
      <c r="F126">
        <f>SUMIFS(Compras_Full[LitrosActivos],Compras_Full[customer_id],Clientes_Resumen[[#This Row],[id]])</f>
        <v>2620.8400000000006</v>
      </c>
      <c r="G126">
        <f>COUNTIFS(Compras_Full[customer_id],Clientes_Resumen[[#This Row],[id]],Compras_Full[status],"ACTIVE")</f>
        <v>88</v>
      </c>
      <c r="H126" s="2">
        <f>_xlfn.MAXIFS(Compras_Full[Fecha],Compras_Full[customer_id],Clientes_Resumen[[#This Row],[id]],Compras_Full[status],"ACTIVE")</f>
        <v>46313</v>
      </c>
      <c r="I126">
        <f>IF(Clientes_Resumen[[#This Row],[Última compra]]=0,"",Corte-Clientes_Resumen[[#This Row],[Última compra]])</f>
        <v>2</v>
      </c>
      <c r="J126" t="str" cm="1">
        <f t="array" ref="J12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2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16.510000000000069</v>
      </c>
      <c r="L126">
        <f>ROUND(Clientes_Resumen[[#This Row],[points]]-Clientes_Resumen[[#This Row],[Saldo ledger]],2)</f>
        <v>0</v>
      </c>
    </row>
    <row r="127" spans="1:12" x14ac:dyDescent="0.3">
      <c r="A127">
        <v>129</v>
      </c>
      <c r="B127" t="s">
        <v>253</v>
      </c>
      <c r="C127" t="s">
        <v>254</v>
      </c>
      <c r="D127">
        <v>0</v>
      </c>
      <c r="E127">
        <v>1</v>
      </c>
      <c r="F127">
        <f>SUMIFS(Compras_Full[LitrosActivos],Compras_Full[customer_id],Clientes_Resumen[[#This Row],[id]])</f>
        <v>0</v>
      </c>
      <c r="G127">
        <f>COUNTIFS(Compras_Full[customer_id],Clientes_Resumen[[#This Row],[id]],Compras_Full[status],"ACTIVE")</f>
        <v>0</v>
      </c>
      <c r="H127" s="2">
        <f>_xlfn.MAXIFS(Compras_Full[Fecha],Compras_Full[customer_id],Clientes_Resumen[[#This Row],[id]],Compras_Full[status],"ACTIVE")</f>
        <v>0</v>
      </c>
      <c r="I127" t="str">
        <f>IF(Clientes_Resumen[[#This Row],[Última compra]]=0,"",Corte-Clientes_Resumen[[#This Row],[Última compra]])</f>
        <v/>
      </c>
      <c r="J127" t="str" cm="1">
        <f t="array" ref="J12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12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127">
        <f>ROUND(Clientes_Resumen[[#This Row],[points]]-Clientes_Resumen[[#This Row],[Saldo ledger]],2)</f>
        <v>0</v>
      </c>
    </row>
    <row r="128" spans="1:12" x14ac:dyDescent="0.3">
      <c r="A128">
        <v>130</v>
      </c>
      <c r="B128" t="s">
        <v>255</v>
      </c>
      <c r="C128" t="s">
        <v>256</v>
      </c>
      <c r="D128">
        <v>9.1</v>
      </c>
      <c r="E128">
        <v>1</v>
      </c>
      <c r="F128">
        <f>SUMIFS(Compras_Full[LitrosActivos],Compras_Full[customer_id],Clientes_Resumen[[#This Row],[id]])</f>
        <v>91.01</v>
      </c>
      <c r="G128">
        <f>COUNTIFS(Compras_Full[customer_id],Clientes_Resumen[[#This Row],[id]],Compras_Full[status],"ACTIVE")</f>
        <v>1</v>
      </c>
      <c r="H128" s="2">
        <f>_xlfn.MAXIFS(Compras_Full[Fecha],Compras_Full[customer_id],Clientes_Resumen[[#This Row],[id]],Compras_Full[status],"ACTIVE")</f>
        <v>46260</v>
      </c>
      <c r="I128">
        <f>IF(Clientes_Resumen[[#This Row],[Última compra]]=0,"",Corte-Clientes_Resumen[[#This Row],[Última compra]])</f>
        <v>55</v>
      </c>
      <c r="J128" t="str" cm="1">
        <f t="array" ref="J12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2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9.1</v>
      </c>
      <c r="L128">
        <f>ROUND(Clientes_Resumen[[#This Row],[points]]-Clientes_Resumen[[#This Row],[Saldo ledger]],2)</f>
        <v>0</v>
      </c>
    </row>
    <row r="129" spans="1:12" x14ac:dyDescent="0.3">
      <c r="A129">
        <v>131</v>
      </c>
      <c r="B129" t="s">
        <v>257</v>
      </c>
      <c r="C129" t="s">
        <v>258</v>
      </c>
      <c r="D129">
        <v>89.42</v>
      </c>
      <c r="E129">
        <v>1</v>
      </c>
      <c r="F129">
        <f>SUMIFS(Compras_Full[LitrosActivos],Compras_Full[customer_id],Clientes_Resumen[[#This Row],[id]])</f>
        <v>894.13000000000011</v>
      </c>
      <c r="G129">
        <f>COUNTIFS(Compras_Full[customer_id],Clientes_Resumen[[#This Row],[id]],Compras_Full[status],"ACTIVE")</f>
        <v>5</v>
      </c>
      <c r="H129" s="2">
        <f>_xlfn.MAXIFS(Compras_Full[Fecha],Compras_Full[customer_id],Clientes_Resumen[[#This Row],[id]],Compras_Full[status],"ACTIVE")</f>
        <v>46248</v>
      </c>
      <c r="I129">
        <f>IF(Clientes_Resumen[[#This Row],[Última compra]]=0,"",Corte-Clientes_Resumen[[#This Row],[Última compra]])</f>
        <v>67</v>
      </c>
      <c r="J129" t="str" cm="1">
        <f t="array" ref="J12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2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89.42</v>
      </c>
      <c r="L129">
        <f>ROUND(Clientes_Resumen[[#This Row],[points]]-Clientes_Resumen[[#This Row],[Saldo ledger]],2)</f>
        <v>0</v>
      </c>
    </row>
    <row r="130" spans="1:12" x14ac:dyDescent="0.3">
      <c r="A130">
        <v>132</v>
      </c>
      <c r="B130" t="s">
        <v>259</v>
      </c>
      <c r="C130" t="s">
        <v>260</v>
      </c>
      <c r="D130">
        <v>115.54</v>
      </c>
      <c r="E130">
        <v>1</v>
      </c>
      <c r="F130">
        <f>SUMIFS(Compras_Full[LitrosActivos],Compras_Full[customer_id],Clientes_Resumen[[#This Row],[id]])</f>
        <v>1155.3499999999999</v>
      </c>
      <c r="G130">
        <f>COUNTIFS(Compras_Full[customer_id],Clientes_Resumen[[#This Row],[id]],Compras_Full[status],"ACTIVE")</f>
        <v>6</v>
      </c>
      <c r="H130" s="2">
        <f>_xlfn.MAXIFS(Compras_Full[Fecha],Compras_Full[customer_id],Clientes_Resumen[[#This Row],[id]],Compras_Full[status],"ACTIVE")</f>
        <v>46202</v>
      </c>
      <c r="I130">
        <f>IF(Clientes_Resumen[[#This Row],[Última compra]]=0,"",Corte-Clientes_Resumen[[#This Row],[Última compra]])</f>
        <v>113</v>
      </c>
      <c r="J130" t="str" cm="1">
        <f t="array" ref="J13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3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115.54</v>
      </c>
      <c r="L130">
        <f>ROUND(Clientes_Resumen[[#This Row],[points]]-Clientes_Resumen[[#This Row],[Saldo ledger]],2)</f>
        <v>0</v>
      </c>
    </row>
    <row r="131" spans="1:12" x14ac:dyDescent="0.3">
      <c r="A131">
        <v>133</v>
      </c>
      <c r="B131" t="s">
        <v>261</v>
      </c>
      <c r="C131" t="s">
        <v>262</v>
      </c>
      <c r="D131">
        <v>95.02</v>
      </c>
      <c r="E131">
        <v>1</v>
      </c>
      <c r="F131">
        <f>SUMIFS(Compras_Full[LitrosActivos],Compras_Full[customer_id],Clientes_Resumen[[#This Row],[id]])</f>
        <v>950.1400000000001</v>
      </c>
      <c r="G131">
        <f>COUNTIFS(Compras_Full[customer_id],Clientes_Resumen[[#This Row],[id]],Compras_Full[status],"ACTIVE")</f>
        <v>10</v>
      </c>
      <c r="H131" s="2">
        <f>_xlfn.MAXIFS(Compras_Full[Fecha],Compras_Full[customer_id],Clientes_Resumen[[#This Row],[id]],Compras_Full[status],"ACTIVE")</f>
        <v>46282</v>
      </c>
      <c r="I131">
        <f>IF(Clientes_Resumen[[#This Row],[Última compra]]=0,"",Corte-Clientes_Resumen[[#This Row],[Última compra]])</f>
        <v>33</v>
      </c>
      <c r="J131" t="str" cm="1">
        <f t="array" ref="J13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3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95.02</v>
      </c>
      <c r="L131">
        <f>ROUND(Clientes_Resumen[[#This Row],[points]]-Clientes_Resumen[[#This Row],[Saldo ledger]],2)</f>
        <v>0</v>
      </c>
    </row>
    <row r="132" spans="1:12" x14ac:dyDescent="0.3">
      <c r="A132">
        <v>134</v>
      </c>
      <c r="B132" t="s">
        <v>263</v>
      </c>
      <c r="C132" t="s">
        <v>264</v>
      </c>
      <c r="D132">
        <v>39.06</v>
      </c>
      <c r="E132">
        <v>1</v>
      </c>
      <c r="F132">
        <f>SUMIFS(Compras_Full[LitrosActivos],Compras_Full[customer_id],Clientes_Resumen[[#This Row],[id]])</f>
        <v>8016.3600000000042</v>
      </c>
      <c r="G132">
        <f>COUNTIFS(Compras_Full[customer_id],Clientes_Resumen[[#This Row],[id]],Compras_Full[status],"ACTIVE")</f>
        <v>81</v>
      </c>
      <c r="H132" s="2">
        <f>_xlfn.MAXIFS(Compras_Full[Fecha],Compras_Full[customer_id],Clientes_Resumen[[#This Row],[id]],Compras_Full[status],"ACTIVE")</f>
        <v>46312</v>
      </c>
      <c r="I132">
        <f>IF(Clientes_Resumen[[#This Row],[Última compra]]=0,"",Corte-Clientes_Resumen[[#This Row],[Última compra]])</f>
        <v>3</v>
      </c>
      <c r="J132" t="str" cm="1">
        <f t="array" ref="J13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3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39.059999999999832</v>
      </c>
      <c r="L132">
        <f>ROUND(Clientes_Resumen[[#This Row],[points]]-Clientes_Resumen[[#This Row],[Saldo ledger]],2)</f>
        <v>0</v>
      </c>
    </row>
    <row r="133" spans="1:12" x14ac:dyDescent="0.3">
      <c r="A133">
        <v>135</v>
      </c>
      <c r="B133" t="s">
        <v>265</v>
      </c>
      <c r="C133" t="s">
        <v>266</v>
      </c>
      <c r="D133">
        <v>30.74</v>
      </c>
      <c r="E133">
        <v>1</v>
      </c>
      <c r="F133">
        <f>SUMIFS(Compras_Full[LitrosActivos],Compras_Full[customer_id],Clientes_Resumen[[#This Row],[id]])</f>
        <v>1187.4000000000001</v>
      </c>
      <c r="G133">
        <f>COUNTIFS(Compras_Full[customer_id],Clientes_Resumen[[#This Row],[id]],Compras_Full[status],"ACTIVE")</f>
        <v>7</v>
      </c>
      <c r="H133" s="2">
        <f>_xlfn.MAXIFS(Compras_Full[Fecha],Compras_Full[customer_id],Clientes_Resumen[[#This Row],[id]],Compras_Full[status],"ACTIVE")</f>
        <v>46097</v>
      </c>
      <c r="I133">
        <f>IF(Clientes_Resumen[[#This Row],[Última compra]]=0,"",Corte-Clientes_Resumen[[#This Row],[Última compra]])</f>
        <v>218</v>
      </c>
      <c r="J133" t="str" cm="1">
        <f t="array" ref="J13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3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30.740000000000009</v>
      </c>
      <c r="L133">
        <f>ROUND(Clientes_Resumen[[#This Row],[points]]-Clientes_Resumen[[#This Row],[Saldo ledger]],2)</f>
        <v>0</v>
      </c>
    </row>
    <row r="134" spans="1:12" x14ac:dyDescent="0.3">
      <c r="A134">
        <v>136</v>
      </c>
      <c r="B134" t="s">
        <v>267</v>
      </c>
      <c r="C134" t="s">
        <v>268</v>
      </c>
      <c r="D134">
        <v>39.72</v>
      </c>
      <c r="E134">
        <v>1</v>
      </c>
      <c r="F134">
        <f>SUMIFS(Compras_Full[LitrosActivos],Compras_Full[customer_id],Clientes_Resumen[[#This Row],[id]])</f>
        <v>5183.6000000000004</v>
      </c>
      <c r="G134">
        <f>COUNTIFS(Compras_Full[customer_id],Clientes_Resumen[[#This Row],[id]],Compras_Full[status],"ACTIVE")</f>
        <v>51</v>
      </c>
      <c r="H134" s="2">
        <f>_xlfn.MAXIFS(Compras_Full[Fecha],Compras_Full[customer_id],Clientes_Resumen[[#This Row],[id]],Compras_Full[status],"ACTIVE")</f>
        <v>46301</v>
      </c>
      <c r="I134">
        <f>IF(Clientes_Resumen[[#This Row],[Última compra]]=0,"",Corte-Clientes_Resumen[[#This Row],[Última compra]])</f>
        <v>14</v>
      </c>
      <c r="J134" t="str" cm="1">
        <f t="array" ref="J13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3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24.720000000000056</v>
      </c>
      <c r="L134">
        <f>ROUND(Clientes_Resumen[[#This Row],[points]]-Clientes_Resumen[[#This Row],[Saldo ledger]],2)</f>
        <v>15</v>
      </c>
    </row>
    <row r="135" spans="1:12" x14ac:dyDescent="0.3">
      <c r="A135">
        <v>137</v>
      </c>
      <c r="B135" t="s">
        <v>269</v>
      </c>
      <c r="C135" t="s">
        <v>270</v>
      </c>
      <c r="D135">
        <v>24.69</v>
      </c>
      <c r="E135">
        <v>1</v>
      </c>
      <c r="F135">
        <f>SUMIFS(Compras_Full[LitrosActivos],Compras_Full[customer_id],Clientes_Resumen[[#This Row],[id]])</f>
        <v>3443.1600000000012</v>
      </c>
      <c r="G135">
        <f>COUNTIFS(Compras_Full[customer_id],Clientes_Resumen[[#This Row],[id]],Compras_Full[status],"ACTIVE")</f>
        <v>104</v>
      </c>
      <c r="H135" s="2">
        <f>_xlfn.MAXIFS(Compras_Full[Fecha],Compras_Full[customer_id],Clientes_Resumen[[#This Row],[id]],Compras_Full[status],"ACTIVE")</f>
        <v>46315</v>
      </c>
      <c r="I135">
        <f>IF(Clientes_Resumen[[#This Row],[Última compra]]=0,"",Corte-Clientes_Resumen[[#This Row],[Última compra]])</f>
        <v>0</v>
      </c>
      <c r="J135" t="str" cm="1">
        <f t="array" ref="J13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3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24.689999999999934</v>
      </c>
      <c r="L135">
        <f>ROUND(Clientes_Resumen[[#This Row],[points]]-Clientes_Resumen[[#This Row],[Saldo ledger]],2)</f>
        <v>0</v>
      </c>
    </row>
    <row r="136" spans="1:12" x14ac:dyDescent="0.3">
      <c r="A136">
        <v>138</v>
      </c>
      <c r="B136" t="s">
        <v>271</v>
      </c>
      <c r="C136" t="s">
        <v>272</v>
      </c>
      <c r="D136">
        <v>22.89</v>
      </c>
      <c r="E136">
        <v>1</v>
      </c>
      <c r="F136">
        <f>SUMIFS(Compras_Full[LitrosActivos],Compras_Full[customer_id],Clientes_Resumen[[#This Row],[id]])</f>
        <v>577.34999999999991</v>
      </c>
      <c r="G136">
        <f>COUNTIFS(Compras_Full[customer_id],Clientes_Resumen[[#This Row],[id]],Compras_Full[status],"ACTIVE")</f>
        <v>19</v>
      </c>
      <c r="H136" s="2">
        <f>_xlfn.MAXIFS(Compras_Full[Fecha],Compras_Full[customer_id],Clientes_Resumen[[#This Row],[id]],Compras_Full[status],"ACTIVE")</f>
        <v>46278</v>
      </c>
      <c r="I136">
        <f>IF(Clientes_Resumen[[#This Row],[Última compra]]=0,"",Corte-Clientes_Resumen[[#This Row],[Última compra]])</f>
        <v>37</v>
      </c>
      <c r="J136" t="str" cm="1">
        <f t="array" ref="J13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3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27.889999999999993</v>
      </c>
      <c r="L136">
        <f>ROUND(Clientes_Resumen[[#This Row],[points]]-Clientes_Resumen[[#This Row],[Saldo ledger]],2)</f>
        <v>-5</v>
      </c>
    </row>
    <row r="137" spans="1:12" x14ac:dyDescent="0.3">
      <c r="A137">
        <v>139</v>
      </c>
      <c r="B137" t="s">
        <v>273</v>
      </c>
      <c r="C137" t="s">
        <v>274</v>
      </c>
      <c r="D137">
        <v>14.9</v>
      </c>
      <c r="E137">
        <v>1</v>
      </c>
      <c r="F137">
        <f>SUMIFS(Compras_Full[LitrosActivos],Compras_Full[customer_id],Clientes_Resumen[[#This Row],[id]])</f>
        <v>274.04999999999995</v>
      </c>
      <c r="G137">
        <f>COUNTIFS(Compras_Full[customer_id],Clientes_Resumen[[#This Row],[id]],Compras_Full[status],"ACTIVE")</f>
        <v>3</v>
      </c>
      <c r="H137" s="2">
        <f>_xlfn.MAXIFS(Compras_Full[Fecha],Compras_Full[customer_id],Clientes_Resumen[[#This Row],[id]],Compras_Full[status],"ACTIVE")</f>
        <v>46200</v>
      </c>
      <c r="I137">
        <f>IF(Clientes_Resumen[[#This Row],[Última compra]]=0,"",Corte-Clientes_Resumen[[#This Row],[Última compra]])</f>
        <v>115</v>
      </c>
      <c r="J137" t="str" cm="1">
        <f t="array" ref="J13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3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27.4</v>
      </c>
      <c r="L137">
        <f>ROUND(Clientes_Resumen[[#This Row],[points]]-Clientes_Resumen[[#This Row],[Saldo ledger]],2)</f>
        <v>-12.5</v>
      </c>
    </row>
    <row r="138" spans="1:12" x14ac:dyDescent="0.3">
      <c r="A138">
        <v>140</v>
      </c>
      <c r="B138" t="s">
        <v>275</v>
      </c>
      <c r="C138" t="s">
        <v>276</v>
      </c>
      <c r="D138">
        <v>0</v>
      </c>
      <c r="E138">
        <v>1</v>
      </c>
      <c r="F138">
        <f>SUMIFS(Compras_Full[LitrosActivos],Compras_Full[customer_id],Clientes_Resumen[[#This Row],[id]])</f>
        <v>0</v>
      </c>
      <c r="G138">
        <f>COUNTIFS(Compras_Full[customer_id],Clientes_Resumen[[#This Row],[id]],Compras_Full[status],"ACTIVE")</f>
        <v>0</v>
      </c>
      <c r="H138" s="2">
        <f>_xlfn.MAXIFS(Compras_Full[Fecha],Compras_Full[customer_id],Clientes_Resumen[[#This Row],[id]],Compras_Full[status],"ACTIVE")</f>
        <v>0</v>
      </c>
      <c r="I138" t="str">
        <f>IF(Clientes_Resumen[[#This Row],[Última compra]]=0,"",Corte-Clientes_Resumen[[#This Row],[Última compra]])</f>
        <v/>
      </c>
      <c r="J138" t="str" cm="1">
        <f t="array" ref="J13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13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138">
        <f>ROUND(Clientes_Resumen[[#This Row],[points]]-Clientes_Resumen[[#This Row],[Saldo ledger]],2)</f>
        <v>0</v>
      </c>
    </row>
    <row r="139" spans="1:12" x14ac:dyDescent="0.3">
      <c r="A139">
        <v>141</v>
      </c>
      <c r="B139" t="s">
        <v>277</v>
      </c>
      <c r="C139" t="s">
        <v>278</v>
      </c>
      <c r="D139">
        <v>20.329999999999998</v>
      </c>
      <c r="E139">
        <v>1</v>
      </c>
      <c r="F139">
        <f>SUMIFS(Compras_Full[LitrosActivos],Compras_Full[customer_id],Clientes_Resumen[[#This Row],[id]])</f>
        <v>1058.8699999999999</v>
      </c>
      <c r="G139">
        <f>COUNTIFS(Compras_Full[customer_id],Clientes_Resumen[[#This Row],[id]],Compras_Full[status],"ACTIVE")</f>
        <v>9</v>
      </c>
      <c r="H139" s="2">
        <f>_xlfn.MAXIFS(Compras_Full[Fecha],Compras_Full[customer_id],Clientes_Resumen[[#This Row],[id]],Compras_Full[status],"ACTIVE")</f>
        <v>46238</v>
      </c>
      <c r="I139">
        <f>IF(Clientes_Resumen[[#This Row],[Última compra]]=0,"",Corte-Clientes_Resumen[[#This Row],[Última compra]])</f>
        <v>77</v>
      </c>
      <c r="J139" t="str" cm="1">
        <f t="array" ref="J13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3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20.330000000000013</v>
      </c>
      <c r="L139">
        <f>ROUND(Clientes_Resumen[[#This Row],[points]]-Clientes_Resumen[[#This Row],[Saldo ledger]],2)</f>
        <v>0</v>
      </c>
    </row>
    <row r="140" spans="1:12" x14ac:dyDescent="0.3">
      <c r="A140">
        <v>142</v>
      </c>
      <c r="B140" t="s">
        <v>279</v>
      </c>
      <c r="C140" t="s">
        <v>280</v>
      </c>
      <c r="D140">
        <v>0</v>
      </c>
      <c r="E140">
        <v>1</v>
      </c>
      <c r="F140">
        <f>SUMIFS(Compras_Full[LitrosActivos],Compras_Full[customer_id],Clientes_Resumen[[#This Row],[id]])</f>
        <v>0</v>
      </c>
      <c r="G140">
        <f>COUNTIFS(Compras_Full[customer_id],Clientes_Resumen[[#This Row],[id]],Compras_Full[status],"ACTIVE")</f>
        <v>0</v>
      </c>
      <c r="H140" s="2">
        <f>_xlfn.MAXIFS(Compras_Full[Fecha],Compras_Full[customer_id],Clientes_Resumen[[#This Row],[id]],Compras_Full[status],"ACTIVE")</f>
        <v>0</v>
      </c>
      <c r="I140" t="str">
        <f>IF(Clientes_Resumen[[#This Row],[Última compra]]=0,"",Corte-Clientes_Resumen[[#This Row],[Última compra]])</f>
        <v/>
      </c>
      <c r="J140" t="str" cm="1">
        <f t="array" ref="J14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14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140">
        <f>ROUND(Clientes_Resumen[[#This Row],[points]]-Clientes_Resumen[[#This Row],[Saldo ledger]],2)</f>
        <v>0</v>
      </c>
    </row>
    <row r="141" spans="1:12" x14ac:dyDescent="0.3">
      <c r="A141">
        <v>143</v>
      </c>
      <c r="B141" t="s">
        <v>281</v>
      </c>
      <c r="C141" t="s">
        <v>282</v>
      </c>
      <c r="D141">
        <v>2.74</v>
      </c>
      <c r="E141">
        <v>1</v>
      </c>
      <c r="F141">
        <f>SUMIFS(Compras_Full[LitrosActivos],Compras_Full[customer_id],Clientes_Resumen[[#This Row],[id]])</f>
        <v>27.38</v>
      </c>
      <c r="G141">
        <f>COUNTIFS(Compras_Full[customer_id],Clientes_Resumen[[#This Row],[id]],Compras_Full[status],"ACTIVE")</f>
        <v>1</v>
      </c>
      <c r="H141" s="2">
        <f>_xlfn.MAXIFS(Compras_Full[Fecha],Compras_Full[customer_id],Clientes_Resumen[[#This Row],[id]],Compras_Full[status],"ACTIVE")</f>
        <v>46277</v>
      </c>
      <c r="I141">
        <f>IF(Clientes_Resumen[[#This Row],[Última compra]]=0,"",Corte-Clientes_Resumen[[#This Row],[Última compra]])</f>
        <v>38</v>
      </c>
      <c r="J141" t="str" cm="1">
        <f t="array" ref="J14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4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2.74</v>
      </c>
      <c r="L141">
        <f>ROUND(Clientes_Resumen[[#This Row],[points]]-Clientes_Resumen[[#This Row],[Saldo ledger]],2)</f>
        <v>0</v>
      </c>
    </row>
    <row r="142" spans="1:12" x14ac:dyDescent="0.3">
      <c r="A142">
        <v>144</v>
      </c>
      <c r="B142" t="s">
        <v>283</v>
      </c>
      <c r="C142" t="s">
        <v>284</v>
      </c>
      <c r="D142">
        <v>77.58</v>
      </c>
      <c r="E142">
        <v>1</v>
      </c>
      <c r="F142">
        <f>SUMIFS(Compras_Full[LitrosActivos],Compras_Full[customer_id],Clientes_Resumen[[#This Row],[id]])</f>
        <v>700.83000000000015</v>
      </c>
      <c r="G142">
        <f>COUNTIFS(Compras_Full[customer_id],Clientes_Resumen[[#This Row],[id]],Compras_Full[status],"ACTIVE")</f>
        <v>8</v>
      </c>
      <c r="H142" s="2">
        <f>_xlfn.MAXIFS(Compras_Full[Fecha],Compras_Full[customer_id],Clientes_Resumen[[#This Row],[id]],Compras_Full[status],"ACTIVE")</f>
        <v>46153</v>
      </c>
      <c r="I142">
        <f>IF(Clientes_Resumen[[#This Row],[Última compra]]=0,"",Corte-Clientes_Resumen[[#This Row],[Última compra]])</f>
        <v>162</v>
      </c>
      <c r="J142" t="str" cm="1">
        <f t="array" ref="J14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4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70.08</v>
      </c>
      <c r="L142">
        <f>ROUND(Clientes_Resumen[[#This Row],[points]]-Clientes_Resumen[[#This Row],[Saldo ledger]],2)</f>
        <v>7.5</v>
      </c>
    </row>
    <row r="143" spans="1:12" x14ac:dyDescent="0.3">
      <c r="A143">
        <v>145</v>
      </c>
      <c r="B143" t="s">
        <v>285</v>
      </c>
      <c r="C143" t="s">
        <v>286</v>
      </c>
      <c r="D143">
        <v>192.39</v>
      </c>
      <c r="E143">
        <v>1</v>
      </c>
      <c r="F143">
        <f>SUMIFS(Compras_Full[LitrosActivos],Compras_Full[customer_id],Clientes_Resumen[[#This Row],[id]])</f>
        <v>1923.8600000000001</v>
      </c>
      <c r="G143">
        <f>COUNTIFS(Compras_Full[customer_id],Clientes_Resumen[[#This Row],[id]],Compras_Full[status],"ACTIVE")</f>
        <v>9</v>
      </c>
      <c r="H143" s="2">
        <f>_xlfn.MAXIFS(Compras_Full[Fecha],Compras_Full[customer_id],Clientes_Resumen[[#This Row],[id]],Compras_Full[status],"ACTIVE")</f>
        <v>46290</v>
      </c>
      <c r="I143">
        <f>IF(Clientes_Resumen[[#This Row],[Última compra]]=0,"",Corte-Clientes_Resumen[[#This Row],[Última compra]])</f>
        <v>25</v>
      </c>
      <c r="J143" t="str" cm="1">
        <f t="array" ref="J14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4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192.39</v>
      </c>
      <c r="L143">
        <f>ROUND(Clientes_Resumen[[#This Row],[points]]-Clientes_Resumen[[#This Row],[Saldo ledger]],2)</f>
        <v>0</v>
      </c>
    </row>
    <row r="144" spans="1:12" x14ac:dyDescent="0.3">
      <c r="A144">
        <v>146</v>
      </c>
      <c r="B144" t="s">
        <v>287</v>
      </c>
      <c r="C144" t="s">
        <v>288</v>
      </c>
      <c r="D144">
        <v>5.59</v>
      </c>
      <c r="E144">
        <v>1</v>
      </c>
      <c r="F144">
        <f>SUMIFS(Compras_Full[LitrosActivos],Compras_Full[customer_id],Clientes_Resumen[[#This Row],[id]])</f>
        <v>55.91</v>
      </c>
      <c r="G144">
        <f>COUNTIFS(Compras_Full[customer_id],Clientes_Resumen[[#This Row],[id]],Compras_Full[status],"ACTIVE")</f>
        <v>2</v>
      </c>
      <c r="H144" s="2">
        <f>_xlfn.MAXIFS(Compras_Full[Fecha],Compras_Full[customer_id],Clientes_Resumen[[#This Row],[id]],Compras_Full[status],"ACTIVE")</f>
        <v>46292</v>
      </c>
      <c r="I144">
        <f>IF(Clientes_Resumen[[#This Row],[Última compra]]=0,"",Corte-Clientes_Resumen[[#This Row],[Última compra]])</f>
        <v>23</v>
      </c>
      <c r="J144" t="str" cm="1">
        <f t="array" ref="J14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4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5.59</v>
      </c>
      <c r="L144">
        <f>ROUND(Clientes_Resumen[[#This Row],[points]]-Clientes_Resumen[[#This Row],[Saldo ledger]],2)</f>
        <v>0</v>
      </c>
    </row>
    <row r="145" spans="1:12" x14ac:dyDescent="0.3">
      <c r="A145">
        <v>147</v>
      </c>
      <c r="B145" t="s">
        <v>289</v>
      </c>
      <c r="C145" t="s">
        <v>290</v>
      </c>
      <c r="D145">
        <v>24.2</v>
      </c>
      <c r="E145">
        <v>1</v>
      </c>
      <c r="F145">
        <f>SUMIFS(Compras_Full[LitrosActivos],Compras_Full[customer_id],Clientes_Resumen[[#This Row],[id]])</f>
        <v>242.01999999999998</v>
      </c>
      <c r="G145">
        <f>COUNTIFS(Compras_Full[customer_id],Clientes_Resumen[[#This Row],[id]],Compras_Full[status],"ACTIVE")</f>
        <v>2</v>
      </c>
      <c r="H145" s="2">
        <f>_xlfn.MAXIFS(Compras_Full[Fecha],Compras_Full[customer_id],Clientes_Resumen[[#This Row],[id]],Compras_Full[status],"ACTIVE")</f>
        <v>46313</v>
      </c>
      <c r="I145">
        <f>IF(Clientes_Resumen[[#This Row],[Última compra]]=0,"",Corte-Clientes_Resumen[[#This Row],[Última compra]])</f>
        <v>2</v>
      </c>
      <c r="J145" t="str" cm="1">
        <f t="array" ref="J14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4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24.2</v>
      </c>
      <c r="L145">
        <f>ROUND(Clientes_Resumen[[#This Row],[points]]-Clientes_Resumen[[#This Row],[Saldo ledger]],2)</f>
        <v>0</v>
      </c>
    </row>
    <row r="146" spans="1:12" x14ac:dyDescent="0.3">
      <c r="A146">
        <v>148</v>
      </c>
      <c r="B146" t="s">
        <v>291</v>
      </c>
      <c r="C146" t="s">
        <v>292</v>
      </c>
      <c r="D146">
        <v>6.02</v>
      </c>
      <c r="E146">
        <v>1</v>
      </c>
      <c r="F146">
        <f>SUMIFS(Compras_Full[LitrosActivos],Compras_Full[customer_id],Clientes_Resumen[[#This Row],[id]])</f>
        <v>60.209999999999994</v>
      </c>
      <c r="G146">
        <f>COUNTIFS(Compras_Full[customer_id],Clientes_Resumen[[#This Row],[id]],Compras_Full[status],"ACTIVE")</f>
        <v>2</v>
      </c>
      <c r="H146" s="2">
        <f>_xlfn.MAXIFS(Compras_Full[Fecha],Compras_Full[customer_id],Clientes_Resumen[[#This Row],[id]],Compras_Full[status],"ACTIVE")</f>
        <v>46254</v>
      </c>
      <c r="I146">
        <f>IF(Clientes_Resumen[[#This Row],[Última compra]]=0,"",Corte-Clientes_Resumen[[#This Row],[Última compra]])</f>
        <v>61</v>
      </c>
      <c r="J146" t="str" cm="1">
        <f t="array" ref="J14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4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6.0199999999999987</v>
      </c>
      <c r="L146">
        <f>ROUND(Clientes_Resumen[[#This Row],[points]]-Clientes_Resumen[[#This Row],[Saldo ledger]],2)</f>
        <v>0</v>
      </c>
    </row>
    <row r="147" spans="1:12" x14ac:dyDescent="0.3">
      <c r="A147">
        <v>149</v>
      </c>
      <c r="B147" t="s">
        <v>293</v>
      </c>
      <c r="C147" t="s">
        <v>294</v>
      </c>
      <c r="D147">
        <v>29.34</v>
      </c>
      <c r="E147">
        <v>1</v>
      </c>
      <c r="F147">
        <f>SUMIFS(Compras_Full[LitrosActivos],Compras_Full[customer_id],Clientes_Resumen[[#This Row],[id]])</f>
        <v>680.44999999999993</v>
      </c>
      <c r="G147">
        <f>COUNTIFS(Compras_Full[customer_id],Clientes_Resumen[[#This Row],[id]],Compras_Full[status],"ACTIVE")</f>
        <v>23</v>
      </c>
      <c r="H147" s="2">
        <f>_xlfn.MAXIFS(Compras_Full[Fecha],Compras_Full[customer_id],Clientes_Resumen[[#This Row],[id]],Compras_Full[status],"ACTIVE")</f>
        <v>46162</v>
      </c>
      <c r="I147">
        <f>IF(Clientes_Resumen[[#This Row],[Última compra]]=0,"",Corte-Clientes_Resumen[[#This Row],[Última compra]])</f>
        <v>153</v>
      </c>
      <c r="J147" t="str" cm="1">
        <f t="array" ref="J14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4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29.340000000000003</v>
      </c>
      <c r="L147">
        <f>ROUND(Clientes_Resumen[[#This Row],[points]]-Clientes_Resumen[[#This Row],[Saldo ledger]],2)</f>
        <v>0</v>
      </c>
    </row>
    <row r="148" spans="1:12" x14ac:dyDescent="0.3">
      <c r="A148">
        <v>150</v>
      </c>
      <c r="B148" t="s">
        <v>295</v>
      </c>
      <c r="C148" t="s">
        <v>296</v>
      </c>
      <c r="D148">
        <v>152.30000000000001</v>
      </c>
      <c r="E148">
        <v>1</v>
      </c>
      <c r="F148">
        <f>SUMIFS(Compras_Full[LitrosActivos],Compras_Full[customer_id],Clientes_Resumen[[#This Row],[id]])</f>
        <v>1523.0800000000002</v>
      </c>
      <c r="G148">
        <f>COUNTIFS(Compras_Full[customer_id],Clientes_Resumen[[#This Row],[id]],Compras_Full[status],"ACTIVE")</f>
        <v>18</v>
      </c>
      <c r="H148" s="2">
        <f>_xlfn.MAXIFS(Compras_Full[Fecha],Compras_Full[customer_id],Clientes_Resumen[[#This Row],[id]],Compras_Full[status],"ACTIVE")</f>
        <v>46244</v>
      </c>
      <c r="I148">
        <f>IF(Clientes_Resumen[[#This Row],[Última compra]]=0,"",Corte-Clientes_Resumen[[#This Row],[Última compra]])</f>
        <v>71</v>
      </c>
      <c r="J148" t="str" cm="1">
        <f t="array" ref="J14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4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152.29999999999998</v>
      </c>
      <c r="L148">
        <f>ROUND(Clientes_Resumen[[#This Row],[points]]-Clientes_Resumen[[#This Row],[Saldo ledger]],2)</f>
        <v>0</v>
      </c>
    </row>
    <row r="149" spans="1:12" x14ac:dyDescent="0.3">
      <c r="A149">
        <v>151</v>
      </c>
      <c r="B149" t="s">
        <v>297</v>
      </c>
      <c r="C149" t="s">
        <v>298</v>
      </c>
      <c r="D149">
        <v>133.53</v>
      </c>
      <c r="E149">
        <v>1</v>
      </c>
      <c r="F149">
        <f>SUMIFS(Compras_Full[LitrosActivos],Compras_Full[customer_id],Clientes_Resumen[[#This Row],[id]])</f>
        <v>1335.3799999999999</v>
      </c>
      <c r="G149">
        <f>COUNTIFS(Compras_Full[customer_id],Clientes_Resumen[[#This Row],[id]],Compras_Full[status],"ACTIVE")</f>
        <v>8</v>
      </c>
      <c r="H149" s="2">
        <f>_xlfn.MAXIFS(Compras_Full[Fecha],Compras_Full[customer_id],Clientes_Resumen[[#This Row],[id]],Compras_Full[status],"ACTIVE")</f>
        <v>46091</v>
      </c>
      <c r="I149">
        <f>IF(Clientes_Resumen[[#This Row],[Última compra]]=0,"",Corte-Clientes_Resumen[[#This Row],[Última compra]])</f>
        <v>224</v>
      </c>
      <c r="J149" t="str" cm="1">
        <f t="array" ref="J14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4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133.53</v>
      </c>
      <c r="L149">
        <f>ROUND(Clientes_Resumen[[#This Row],[points]]-Clientes_Resumen[[#This Row],[Saldo ledger]],2)</f>
        <v>0</v>
      </c>
    </row>
    <row r="150" spans="1:12" x14ac:dyDescent="0.3">
      <c r="A150">
        <v>152</v>
      </c>
      <c r="B150" t="s">
        <v>299</v>
      </c>
      <c r="C150" t="s">
        <v>300</v>
      </c>
      <c r="D150">
        <v>195.38</v>
      </c>
      <c r="E150">
        <v>1</v>
      </c>
      <c r="F150">
        <f>SUMIFS(Compras_Full[LitrosActivos],Compras_Full[customer_id],Clientes_Resumen[[#This Row],[id]])</f>
        <v>1380.56</v>
      </c>
      <c r="G150">
        <f>COUNTIFS(Compras_Full[customer_id],Clientes_Resumen[[#This Row],[id]],Compras_Full[status],"ACTIVE")</f>
        <v>9</v>
      </c>
      <c r="H150" s="2">
        <f>_xlfn.MAXIFS(Compras_Full[Fecha],Compras_Full[customer_id],Clientes_Resumen[[#This Row],[id]],Compras_Full[status],"ACTIVE")</f>
        <v>46088</v>
      </c>
      <c r="I150">
        <f>IF(Clientes_Resumen[[#This Row],[Última compra]]=0,"",Corte-Clientes_Resumen[[#This Row],[Última compra]])</f>
        <v>227</v>
      </c>
      <c r="J150" t="str" cm="1">
        <f t="array" ref="J15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5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195.38</v>
      </c>
      <c r="L150">
        <f>ROUND(Clientes_Resumen[[#This Row],[points]]-Clientes_Resumen[[#This Row],[Saldo ledger]],2)</f>
        <v>0</v>
      </c>
    </row>
    <row r="151" spans="1:12" x14ac:dyDescent="0.3">
      <c r="A151">
        <v>153</v>
      </c>
      <c r="B151" t="s">
        <v>301</v>
      </c>
      <c r="C151" t="s">
        <v>302</v>
      </c>
      <c r="D151">
        <v>6.89</v>
      </c>
      <c r="E151">
        <v>1</v>
      </c>
      <c r="F151">
        <f>SUMIFS(Compras_Full[LitrosActivos],Compras_Full[customer_id],Clientes_Resumen[[#This Row],[id]])</f>
        <v>68.900000000000006</v>
      </c>
      <c r="G151">
        <f>COUNTIFS(Compras_Full[customer_id],Clientes_Resumen[[#This Row],[id]],Compras_Full[status],"ACTIVE")</f>
        <v>1</v>
      </c>
      <c r="H151" s="2">
        <f>_xlfn.MAXIFS(Compras_Full[Fecha],Compras_Full[customer_id],Clientes_Resumen[[#This Row],[id]],Compras_Full[status],"ACTIVE")</f>
        <v>46255</v>
      </c>
      <c r="I151">
        <f>IF(Clientes_Resumen[[#This Row],[Última compra]]=0,"",Corte-Clientes_Resumen[[#This Row],[Última compra]])</f>
        <v>60</v>
      </c>
      <c r="J151" t="str" cm="1">
        <f t="array" ref="J15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5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6.89</v>
      </c>
      <c r="L151">
        <f>ROUND(Clientes_Resumen[[#This Row],[points]]-Clientes_Resumen[[#This Row],[Saldo ledger]],2)</f>
        <v>0</v>
      </c>
    </row>
    <row r="152" spans="1:12" x14ac:dyDescent="0.3">
      <c r="A152">
        <v>154</v>
      </c>
      <c r="B152" t="s">
        <v>303</v>
      </c>
      <c r="C152" t="s">
        <v>304</v>
      </c>
      <c r="D152">
        <v>24.42</v>
      </c>
      <c r="E152">
        <v>1</v>
      </c>
      <c r="F152">
        <f>SUMIFS(Compras_Full[LitrosActivos],Compras_Full[customer_id],Clientes_Resumen[[#This Row],[id]])</f>
        <v>425.13</v>
      </c>
      <c r="G152">
        <f>COUNTIFS(Compras_Full[customer_id],Clientes_Resumen[[#This Row],[id]],Compras_Full[status],"ACTIVE")</f>
        <v>11</v>
      </c>
      <c r="H152" s="2">
        <f>_xlfn.MAXIFS(Compras_Full[Fecha],Compras_Full[customer_id],Clientes_Resumen[[#This Row],[id]],Compras_Full[status],"ACTIVE")</f>
        <v>46212</v>
      </c>
      <c r="I152">
        <f>IF(Clientes_Resumen[[#This Row],[Última compra]]=0,"",Corte-Clientes_Resumen[[#This Row],[Última compra]])</f>
        <v>103</v>
      </c>
      <c r="J152" t="str" cm="1">
        <f t="array" ref="J15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5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24.419999999999998</v>
      </c>
      <c r="L152">
        <f>ROUND(Clientes_Resumen[[#This Row],[points]]-Clientes_Resumen[[#This Row],[Saldo ledger]],2)</f>
        <v>0</v>
      </c>
    </row>
    <row r="153" spans="1:12" x14ac:dyDescent="0.3">
      <c r="A153">
        <v>155</v>
      </c>
      <c r="B153" t="s">
        <v>305</v>
      </c>
      <c r="C153" t="s">
        <v>306</v>
      </c>
      <c r="D153">
        <v>28.43</v>
      </c>
      <c r="E153">
        <v>1</v>
      </c>
      <c r="F153">
        <f>SUMIFS(Compras_Full[LitrosActivos],Compras_Full[customer_id],Clientes_Resumen[[#This Row],[id]])</f>
        <v>277.92</v>
      </c>
      <c r="G153">
        <f>COUNTIFS(Compras_Full[customer_id],Clientes_Resumen[[#This Row],[id]],Compras_Full[status],"ACTIVE")</f>
        <v>8</v>
      </c>
      <c r="H153" s="2">
        <f>_xlfn.MAXIFS(Compras_Full[Fecha],Compras_Full[customer_id],Clientes_Resumen[[#This Row],[id]],Compras_Full[status],"ACTIVE")</f>
        <v>46167</v>
      </c>
      <c r="I153">
        <f>IF(Clientes_Resumen[[#This Row],[Última compra]]=0,"",Corte-Clientes_Resumen[[#This Row],[Última compra]])</f>
        <v>148</v>
      </c>
      <c r="J153" t="str" cm="1">
        <f t="array" ref="J15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5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28.429999999999996</v>
      </c>
      <c r="L153">
        <f>ROUND(Clientes_Resumen[[#This Row],[points]]-Clientes_Resumen[[#This Row],[Saldo ledger]],2)</f>
        <v>0</v>
      </c>
    </row>
    <row r="154" spans="1:12" x14ac:dyDescent="0.3">
      <c r="A154">
        <v>156</v>
      </c>
      <c r="B154" t="s">
        <v>307</v>
      </c>
      <c r="C154" t="s">
        <v>308</v>
      </c>
      <c r="D154">
        <v>47.96</v>
      </c>
      <c r="E154">
        <v>1</v>
      </c>
      <c r="F154">
        <f>SUMIFS(Compras_Full[LitrosActivos],Compras_Full[customer_id],Clientes_Resumen[[#This Row],[id]])</f>
        <v>2407.3900000000008</v>
      </c>
      <c r="G154">
        <f>COUNTIFS(Compras_Full[customer_id],Clientes_Resumen[[#This Row],[id]],Compras_Full[status],"ACTIVE")</f>
        <v>75</v>
      </c>
      <c r="H154" s="2">
        <f>_xlfn.MAXIFS(Compras_Full[Fecha],Compras_Full[customer_id],Clientes_Resumen[[#This Row],[id]],Compras_Full[status],"ACTIVE")</f>
        <v>46304</v>
      </c>
      <c r="I154">
        <f>IF(Clientes_Resumen[[#This Row],[Última compra]]=0,"",Corte-Clientes_Resumen[[#This Row],[Última compra]])</f>
        <v>11</v>
      </c>
      <c r="J154" t="str" cm="1">
        <f t="array" ref="J15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5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47.959999999999937</v>
      </c>
      <c r="L154">
        <f>ROUND(Clientes_Resumen[[#This Row],[points]]-Clientes_Resumen[[#This Row],[Saldo ledger]],2)</f>
        <v>0</v>
      </c>
    </row>
    <row r="155" spans="1:12" x14ac:dyDescent="0.3">
      <c r="A155">
        <v>157</v>
      </c>
      <c r="B155" t="s">
        <v>309</v>
      </c>
      <c r="C155" t="s">
        <v>310</v>
      </c>
      <c r="D155">
        <v>17.73</v>
      </c>
      <c r="E155">
        <v>1</v>
      </c>
      <c r="F155">
        <f>SUMIFS(Compras_Full[LitrosActivos],Compras_Full[customer_id],Clientes_Resumen[[#This Row],[id]])</f>
        <v>177.26</v>
      </c>
      <c r="G155">
        <f>COUNTIFS(Compras_Full[customer_id],Clientes_Resumen[[#This Row],[id]],Compras_Full[status],"ACTIVE")</f>
        <v>3</v>
      </c>
      <c r="H155" s="2">
        <f>_xlfn.MAXIFS(Compras_Full[Fecha],Compras_Full[customer_id],Clientes_Resumen[[#This Row],[id]],Compras_Full[status],"ACTIVE")</f>
        <v>46253</v>
      </c>
      <c r="I155">
        <f>IF(Clientes_Resumen[[#This Row],[Última compra]]=0,"",Corte-Clientes_Resumen[[#This Row],[Última compra]])</f>
        <v>62</v>
      </c>
      <c r="J155" t="str" cm="1">
        <f t="array" ref="J15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5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17.73</v>
      </c>
      <c r="L155">
        <f>ROUND(Clientes_Resumen[[#This Row],[points]]-Clientes_Resumen[[#This Row],[Saldo ledger]],2)</f>
        <v>0</v>
      </c>
    </row>
    <row r="156" spans="1:12" x14ac:dyDescent="0.3">
      <c r="A156">
        <v>158</v>
      </c>
      <c r="B156" t="s">
        <v>311</v>
      </c>
      <c r="C156" t="s">
        <v>312</v>
      </c>
      <c r="D156">
        <v>16.25</v>
      </c>
      <c r="E156">
        <v>1</v>
      </c>
      <c r="F156">
        <f>SUMIFS(Compras_Full[LitrosActivos],Compras_Full[customer_id],Clientes_Resumen[[#This Row],[id]])</f>
        <v>162.49</v>
      </c>
      <c r="G156">
        <f>COUNTIFS(Compras_Full[customer_id],Clientes_Resumen[[#This Row],[id]],Compras_Full[status],"ACTIVE")</f>
        <v>5</v>
      </c>
      <c r="H156" s="2">
        <f>_xlfn.MAXIFS(Compras_Full[Fecha],Compras_Full[customer_id],Clientes_Resumen[[#This Row],[id]],Compras_Full[status],"ACTIVE")</f>
        <v>46271</v>
      </c>
      <c r="I156">
        <f>IF(Clientes_Resumen[[#This Row],[Última compra]]=0,"",Corte-Clientes_Resumen[[#This Row],[Última compra]])</f>
        <v>44</v>
      </c>
      <c r="J156" t="str" cm="1">
        <f t="array" ref="J15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5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16.25</v>
      </c>
      <c r="L156">
        <f>ROUND(Clientes_Resumen[[#This Row],[points]]-Clientes_Resumen[[#This Row],[Saldo ledger]],2)</f>
        <v>0</v>
      </c>
    </row>
    <row r="157" spans="1:12" x14ac:dyDescent="0.3">
      <c r="A157">
        <v>159</v>
      </c>
      <c r="B157" t="s">
        <v>313</v>
      </c>
      <c r="C157" t="s">
        <v>314</v>
      </c>
      <c r="D157">
        <v>2.12</v>
      </c>
      <c r="E157">
        <v>1</v>
      </c>
      <c r="F157">
        <f>SUMIFS(Compras_Full[LitrosActivos],Compras_Full[customer_id],Clientes_Resumen[[#This Row],[id]])</f>
        <v>21.2</v>
      </c>
      <c r="G157">
        <f>COUNTIFS(Compras_Full[customer_id],Clientes_Resumen[[#This Row],[id]],Compras_Full[status],"ACTIVE")</f>
        <v>1</v>
      </c>
      <c r="H157" s="2">
        <f>_xlfn.MAXIFS(Compras_Full[Fecha],Compras_Full[customer_id],Clientes_Resumen[[#This Row],[id]],Compras_Full[status],"ACTIVE")</f>
        <v>46271</v>
      </c>
      <c r="I157">
        <f>IF(Clientes_Resumen[[#This Row],[Última compra]]=0,"",Corte-Clientes_Resumen[[#This Row],[Última compra]])</f>
        <v>44</v>
      </c>
      <c r="J157" t="str" cm="1">
        <f t="array" ref="J15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5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2.12</v>
      </c>
      <c r="L157">
        <f>ROUND(Clientes_Resumen[[#This Row],[points]]-Clientes_Resumen[[#This Row],[Saldo ledger]],2)</f>
        <v>0</v>
      </c>
    </row>
    <row r="158" spans="1:12" x14ac:dyDescent="0.3">
      <c r="A158">
        <v>160</v>
      </c>
      <c r="B158" t="s">
        <v>315</v>
      </c>
      <c r="C158" t="s">
        <v>316</v>
      </c>
      <c r="D158">
        <v>17.28</v>
      </c>
      <c r="E158">
        <v>1</v>
      </c>
      <c r="F158">
        <f>SUMIFS(Compras_Full[LitrosActivos],Compras_Full[customer_id],Clientes_Resumen[[#This Row],[id]])</f>
        <v>113.58000000000001</v>
      </c>
      <c r="G158">
        <f>COUNTIFS(Compras_Full[customer_id],Clientes_Resumen[[#This Row],[id]],Compras_Full[status],"ACTIVE")</f>
        <v>4</v>
      </c>
      <c r="H158" s="2">
        <f>_xlfn.MAXIFS(Compras_Full[Fecha],Compras_Full[customer_id],Clientes_Resumen[[#This Row],[id]],Compras_Full[status],"ACTIVE")</f>
        <v>46129</v>
      </c>
      <c r="I158">
        <f>IF(Clientes_Resumen[[#This Row],[Última compra]]=0,"",Corte-Clientes_Resumen[[#This Row],[Última compra]])</f>
        <v>186</v>
      </c>
      <c r="J158" t="str" cm="1">
        <f t="array" ref="J15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5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17.28</v>
      </c>
      <c r="L158">
        <f>ROUND(Clientes_Resumen[[#This Row],[points]]-Clientes_Resumen[[#This Row],[Saldo ledger]],2)</f>
        <v>0</v>
      </c>
    </row>
    <row r="159" spans="1:12" x14ac:dyDescent="0.3">
      <c r="A159">
        <v>161</v>
      </c>
      <c r="B159" t="s">
        <v>317</v>
      </c>
      <c r="C159" t="s">
        <v>318</v>
      </c>
      <c r="D159">
        <v>27.11</v>
      </c>
      <c r="E159">
        <v>1</v>
      </c>
      <c r="F159">
        <f>SUMIFS(Compras_Full[LitrosActivos],Compras_Full[customer_id],Clientes_Resumen[[#This Row],[id]])</f>
        <v>270.99</v>
      </c>
      <c r="G159">
        <f>COUNTIFS(Compras_Full[customer_id],Clientes_Resumen[[#This Row],[id]],Compras_Full[status],"ACTIVE")</f>
        <v>3</v>
      </c>
      <c r="H159" s="2">
        <f>_xlfn.MAXIFS(Compras_Full[Fecha],Compras_Full[customer_id],Clientes_Resumen[[#This Row],[id]],Compras_Full[status],"ACTIVE")</f>
        <v>46310</v>
      </c>
      <c r="I159">
        <f>IF(Clientes_Resumen[[#This Row],[Última compra]]=0,"",Corte-Clientes_Resumen[[#This Row],[Última compra]])</f>
        <v>5</v>
      </c>
      <c r="J159" t="str" cm="1">
        <f t="array" ref="J15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5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27.11</v>
      </c>
      <c r="L159">
        <f>ROUND(Clientes_Resumen[[#This Row],[points]]-Clientes_Resumen[[#This Row],[Saldo ledger]],2)</f>
        <v>0</v>
      </c>
    </row>
    <row r="160" spans="1:12" x14ac:dyDescent="0.3">
      <c r="A160">
        <v>162</v>
      </c>
      <c r="B160" t="s">
        <v>319</v>
      </c>
      <c r="C160" t="s">
        <v>320</v>
      </c>
      <c r="D160">
        <v>23.83</v>
      </c>
      <c r="E160">
        <v>1</v>
      </c>
      <c r="F160">
        <f>SUMIFS(Compras_Full[LitrosActivos],Compras_Full[customer_id],Clientes_Resumen[[#This Row],[id]])</f>
        <v>238.20999999999998</v>
      </c>
      <c r="G160">
        <f>COUNTIFS(Compras_Full[customer_id],Clientes_Resumen[[#This Row],[id]],Compras_Full[status],"ACTIVE")</f>
        <v>4</v>
      </c>
      <c r="H160" s="2">
        <f>_xlfn.MAXIFS(Compras_Full[Fecha],Compras_Full[customer_id],Clientes_Resumen[[#This Row],[id]],Compras_Full[status],"ACTIVE")</f>
        <v>46272</v>
      </c>
      <c r="I160">
        <f>IF(Clientes_Resumen[[#This Row],[Última compra]]=0,"",Corte-Clientes_Resumen[[#This Row],[Última compra]])</f>
        <v>43</v>
      </c>
      <c r="J160" t="str" cm="1">
        <f t="array" ref="J16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6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23.83</v>
      </c>
      <c r="L160">
        <f>ROUND(Clientes_Resumen[[#This Row],[points]]-Clientes_Resumen[[#This Row],[Saldo ledger]],2)</f>
        <v>0</v>
      </c>
    </row>
    <row r="161" spans="1:12" x14ac:dyDescent="0.3">
      <c r="A161">
        <v>163</v>
      </c>
      <c r="B161" t="s">
        <v>321</v>
      </c>
      <c r="C161" t="s">
        <v>322</v>
      </c>
      <c r="D161">
        <v>56.04</v>
      </c>
      <c r="E161">
        <v>1</v>
      </c>
      <c r="F161">
        <f>SUMIFS(Compras_Full[LitrosActivos],Compras_Full[customer_id],Clientes_Resumen[[#This Row],[id]])</f>
        <v>227.06</v>
      </c>
      <c r="G161">
        <f>COUNTIFS(Compras_Full[customer_id],Clientes_Resumen[[#This Row],[id]],Compras_Full[status],"ACTIVE")</f>
        <v>7</v>
      </c>
      <c r="H161" s="2">
        <f>_xlfn.MAXIFS(Compras_Full[Fecha],Compras_Full[customer_id],Clientes_Resumen[[#This Row],[id]],Compras_Full[status],"ACTIVE")</f>
        <v>46312</v>
      </c>
      <c r="I161">
        <f>IF(Clientes_Resumen[[#This Row],[Última compra]]=0,"",Corte-Clientes_Resumen[[#This Row],[Última compra]])</f>
        <v>3</v>
      </c>
      <c r="J161" t="str" cm="1">
        <f t="array" ref="J16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6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56.04</v>
      </c>
      <c r="L161">
        <f>ROUND(Clientes_Resumen[[#This Row],[points]]-Clientes_Resumen[[#This Row],[Saldo ledger]],2)</f>
        <v>0</v>
      </c>
    </row>
    <row r="162" spans="1:12" x14ac:dyDescent="0.3">
      <c r="A162">
        <v>164</v>
      </c>
      <c r="B162" t="s">
        <v>323</v>
      </c>
      <c r="C162" t="s">
        <v>324</v>
      </c>
      <c r="D162">
        <v>18.170000000000002</v>
      </c>
      <c r="E162">
        <v>1</v>
      </c>
      <c r="F162">
        <f>SUMIFS(Compras_Full[LitrosActivos],Compras_Full[customer_id],Clientes_Resumen[[#This Row],[id]])</f>
        <v>181.70999999999998</v>
      </c>
      <c r="G162">
        <f>COUNTIFS(Compras_Full[customer_id],Clientes_Resumen[[#This Row],[id]],Compras_Full[status],"ACTIVE")</f>
        <v>7</v>
      </c>
      <c r="H162" s="2">
        <f>_xlfn.MAXIFS(Compras_Full[Fecha],Compras_Full[customer_id],Clientes_Resumen[[#This Row],[id]],Compras_Full[status],"ACTIVE")</f>
        <v>46283</v>
      </c>
      <c r="I162">
        <f>IF(Clientes_Resumen[[#This Row],[Última compra]]=0,"",Corte-Clientes_Resumen[[#This Row],[Última compra]])</f>
        <v>32</v>
      </c>
      <c r="J162" t="str" cm="1">
        <f t="array" ref="J16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6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18.170000000000002</v>
      </c>
      <c r="L162">
        <f>ROUND(Clientes_Resumen[[#This Row],[points]]-Clientes_Resumen[[#This Row],[Saldo ledger]],2)</f>
        <v>0</v>
      </c>
    </row>
    <row r="163" spans="1:12" x14ac:dyDescent="0.3">
      <c r="A163">
        <v>165</v>
      </c>
      <c r="B163" t="s">
        <v>325</v>
      </c>
      <c r="C163" t="s">
        <v>326</v>
      </c>
      <c r="D163">
        <v>6.05</v>
      </c>
      <c r="E163">
        <v>1</v>
      </c>
      <c r="F163">
        <f>SUMIFS(Compras_Full[LitrosActivos],Compras_Full[customer_id],Clientes_Resumen[[#This Row],[id]])</f>
        <v>60.52</v>
      </c>
      <c r="G163">
        <f>COUNTIFS(Compras_Full[customer_id],Clientes_Resumen[[#This Row],[id]],Compras_Full[status],"ACTIVE")</f>
        <v>2</v>
      </c>
      <c r="H163" s="2">
        <f>_xlfn.MAXIFS(Compras_Full[Fecha],Compras_Full[customer_id],Clientes_Resumen[[#This Row],[id]],Compras_Full[status],"ACTIVE")</f>
        <v>46303</v>
      </c>
      <c r="I163">
        <f>IF(Clientes_Resumen[[#This Row],[Última compra]]=0,"",Corte-Clientes_Resumen[[#This Row],[Última compra]])</f>
        <v>12</v>
      </c>
      <c r="J163" t="str" cm="1">
        <f t="array" ref="J16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6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6.05</v>
      </c>
      <c r="L163">
        <f>ROUND(Clientes_Resumen[[#This Row],[points]]-Clientes_Resumen[[#This Row],[Saldo ledger]],2)</f>
        <v>0</v>
      </c>
    </row>
    <row r="164" spans="1:12" x14ac:dyDescent="0.3">
      <c r="A164">
        <v>166</v>
      </c>
      <c r="B164" t="s">
        <v>327</v>
      </c>
      <c r="C164" t="s">
        <v>328</v>
      </c>
      <c r="D164">
        <v>32.54</v>
      </c>
      <c r="E164">
        <v>1</v>
      </c>
      <c r="F164">
        <f>SUMIFS(Compras_Full[LitrosActivos],Compras_Full[customer_id],Clientes_Resumen[[#This Row],[id]])</f>
        <v>325.37</v>
      </c>
      <c r="G164">
        <f>COUNTIFS(Compras_Full[customer_id],Clientes_Resumen[[#This Row],[id]],Compras_Full[status],"ACTIVE")</f>
        <v>4</v>
      </c>
      <c r="H164" s="2">
        <f>_xlfn.MAXIFS(Compras_Full[Fecha],Compras_Full[customer_id],Clientes_Resumen[[#This Row],[id]],Compras_Full[status],"ACTIVE")</f>
        <v>46141</v>
      </c>
      <c r="I164">
        <f>IF(Clientes_Resumen[[#This Row],[Última compra]]=0,"",Corte-Clientes_Resumen[[#This Row],[Última compra]])</f>
        <v>174</v>
      </c>
      <c r="J164" t="str" cm="1">
        <f t="array" ref="J16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6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32.54</v>
      </c>
      <c r="L164">
        <f>ROUND(Clientes_Resumen[[#This Row],[points]]-Clientes_Resumen[[#This Row],[Saldo ledger]],2)</f>
        <v>0</v>
      </c>
    </row>
    <row r="165" spans="1:12" x14ac:dyDescent="0.3">
      <c r="A165">
        <v>167</v>
      </c>
      <c r="B165" t="s">
        <v>329</v>
      </c>
      <c r="C165" t="s">
        <v>330</v>
      </c>
      <c r="D165">
        <v>4.41</v>
      </c>
      <c r="E165">
        <v>1</v>
      </c>
      <c r="F165">
        <f>SUMIFS(Compras_Full[LitrosActivos],Compras_Full[customer_id],Clientes_Resumen[[#This Row],[id]])</f>
        <v>44.07</v>
      </c>
      <c r="G165">
        <f>COUNTIFS(Compras_Full[customer_id],Clientes_Resumen[[#This Row],[id]],Compras_Full[status],"ACTIVE")</f>
        <v>1</v>
      </c>
      <c r="H165" s="2">
        <f>_xlfn.MAXIFS(Compras_Full[Fecha],Compras_Full[customer_id],Clientes_Resumen[[#This Row],[id]],Compras_Full[status],"ACTIVE")</f>
        <v>46272</v>
      </c>
      <c r="I165">
        <f>IF(Clientes_Resumen[[#This Row],[Última compra]]=0,"",Corte-Clientes_Resumen[[#This Row],[Última compra]])</f>
        <v>43</v>
      </c>
      <c r="J165" t="str" cm="1">
        <f t="array" ref="J16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6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4.41</v>
      </c>
      <c r="L165">
        <f>ROUND(Clientes_Resumen[[#This Row],[points]]-Clientes_Resumen[[#This Row],[Saldo ledger]],2)</f>
        <v>0</v>
      </c>
    </row>
    <row r="166" spans="1:12" x14ac:dyDescent="0.3">
      <c r="A166">
        <v>168</v>
      </c>
      <c r="B166" t="s">
        <v>331</v>
      </c>
      <c r="C166" t="s">
        <v>332</v>
      </c>
      <c r="D166">
        <v>8.76</v>
      </c>
      <c r="E166">
        <v>1</v>
      </c>
      <c r="F166">
        <f>SUMIFS(Compras_Full[LitrosActivos],Compras_Full[customer_id],Clientes_Resumen[[#This Row],[id]])</f>
        <v>87.71</v>
      </c>
      <c r="G166">
        <f>COUNTIFS(Compras_Full[customer_id],Clientes_Resumen[[#This Row],[id]],Compras_Full[status],"ACTIVE")</f>
        <v>3</v>
      </c>
      <c r="H166" s="2">
        <f>_xlfn.MAXIFS(Compras_Full[Fecha],Compras_Full[customer_id],Clientes_Resumen[[#This Row],[id]],Compras_Full[status],"ACTIVE")</f>
        <v>46131</v>
      </c>
      <c r="I166">
        <f>IF(Clientes_Resumen[[#This Row],[Última compra]]=0,"",Corte-Clientes_Resumen[[#This Row],[Última compra]])</f>
        <v>184</v>
      </c>
      <c r="J166" t="str" cm="1">
        <f t="array" ref="J16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6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8.759999999999998</v>
      </c>
      <c r="L166">
        <f>ROUND(Clientes_Resumen[[#This Row],[points]]-Clientes_Resumen[[#This Row],[Saldo ledger]],2)</f>
        <v>0</v>
      </c>
    </row>
    <row r="167" spans="1:12" x14ac:dyDescent="0.3">
      <c r="A167">
        <v>169</v>
      </c>
      <c r="B167" t="s">
        <v>333</v>
      </c>
      <c r="C167" t="s">
        <v>334</v>
      </c>
      <c r="D167">
        <v>6.7</v>
      </c>
      <c r="E167">
        <v>1</v>
      </c>
      <c r="F167">
        <f>SUMIFS(Compras_Full[LitrosActivos],Compras_Full[customer_id],Clientes_Resumen[[#This Row],[id]])</f>
        <v>67.02</v>
      </c>
      <c r="G167">
        <f>COUNTIFS(Compras_Full[customer_id],Clientes_Resumen[[#This Row],[id]],Compras_Full[status],"ACTIVE")</f>
        <v>1</v>
      </c>
      <c r="H167" s="2">
        <f>_xlfn.MAXIFS(Compras_Full[Fecha],Compras_Full[customer_id],Clientes_Resumen[[#This Row],[id]],Compras_Full[status],"ACTIVE")</f>
        <v>46314</v>
      </c>
      <c r="I167">
        <f>IF(Clientes_Resumen[[#This Row],[Última compra]]=0,"",Corte-Clientes_Resumen[[#This Row],[Última compra]])</f>
        <v>1</v>
      </c>
      <c r="J167" t="str" cm="1">
        <f t="array" ref="J16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6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6.7</v>
      </c>
      <c r="L167">
        <f>ROUND(Clientes_Resumen[[#This Row],[points]]-Clientes_Resumen[[#This Row],[Saldo ledger]],2)</f>
        <v>0</v>
      </c>
    </row>
    <row r="168" spans="1:12" x14ac:dyDescent="0.3">
      <c r="A168">
        <v>170</v>
      </c>
      <c r="B168" t="s">
        <v>335</v>
      </c>
      <c r="C168" t="s">
        <v>336</v>
      </c>
      <c r="D168">
        <v>62.74</v>
      </c>
      <c r="E168">
        <v>1</v>
      </c>
      <c r="F168">
        <f>SUMIFS(Compras_Full[LitrosActivos],Compras_Full[customer_id],Clientes_Resumen[[#This Row],[id]])</f>
        <v>627.37</v>
      </c>
      <c r="G168">
        <f>COUNTIFS(Compras_Full[customer_id],Clientes_Resumen[[#This Row],[id]],Compras_Full[status],"ACTIVE")</f>
        <v>5</v>
      </c>
      <c r="H168" s="2">
        <f>_xlfn.MAXIFS(Compras_Full[Fecha],Compras_Full[customer_id],Clientes_Resumen[[#This Row],[id]],Compras_Full[status],"ACTIVE")</f>
        <v>46308</v>
      </c>
      <c r="I168">
        <f>IF(Clientes_Resumen[[#This Row],[Última compra]]=0,"",Corte-Clientes_Resumen[[#This Row],[Última compra]])</f>
        <v>7</v>
      </c>
      <c r="J168" t="str" cm="1">
        <f t="array" ref="J16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6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62.74</v>
      </c>
      <c r="L168">
        <f>ROUND(Clientes_Resumen[[#This Row],[points]]-Clientes_Resumen[[#This Row],[Saldo ledger]],2)</f>
        <v>0</v>
      </c>
    </row>
    <row r="169" spans="1:12" x14ac:dyDescent="0.3">
      <c r="A169">
        <v>171</v>
      </c>
      <c r="B169" t="s">
        <v>337</v>
      </c>
      <c r="C169" t="s">
        <v>338</v>
      </c>
      <c r="D169">
        <v>69.44</v>
      </c>
      <c r="E169">
        <v>1</v>
      </c>
      <c r="F169">
        <f>SUMIFS(Compras_Full[LitrosActivos],Compras_Full[customer_id],Clientes_Resumen[[#This Row],[id]])</f>
        <v>694.43</v>
      </c>
      <c r="G169">
        <f>COUNTIFS(Compras_Full[customer_id],Clientes_Resumen[[#This Row],[id]],Compras_Full[status],"ACTIVE")</f>
        <v>5</v>
      </c>
      <c r="H169" s="2">
        <f>_xlfn.MAXIFS(Compras_Full[Fecha],Compras_Full[customer_id],Clientes_Resumen[[#This Row],[id]],Compras_Full[status],"ACTIVE")</f>
        <v>46314</v>
      </c>
      <c r="I169">
        <f>IF(Clientes_Resumen[[#This Row],[Última compra]]=0,"",Corte-Clientes_Resumen[[#This Row],[Última compra]])</f>
        <v>1</v>
      </c>
      <c r="J169" t="str" cm="1">
        <f t="array" ref="J16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6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69.44</v>
      </c>
      <c r="L169">
        <f>ROUND(Clientes_Resumen[[#This Row],[points]]-Clientes_Resumen[[#This Row],[Saldo ledger]],2)</f>
        <v>0</v>
      </c>
    </row>
    <row r="170" spans="1:12" x14ac:dyDescent="0.3">
      <c r="A170">
        <v>172</v>
      </c>
      <c r="B170" t="s">
        <v>339</v>
      </c>
      <c r="C170" t="s">
        <v>340</v>
      </c>
      <c r="D170">
        <v>29.09</v>
      </c>
      <c r="E170">
        <v>1</v>
      </c>
      <c r="F170">
        <f>SUMIFS(Compras_Full[LitrosActivos],Compras_Full[customer_id],Clientes_Resumen[[#This Row],[id]])</f>
        <v>290.89</v>
      </c>
      <c r="G170">
        <f>COUNTIFS(Compras_Full[customer_id],Clientes_Resumen[[#This Row],[id]],Compras_Full[status],"ACTIVE")</f>
        <v>10</v>
      </c>
      <c r="H170" s="2">
        <f>_xlfn.MAXIFS(Compras_Full[Fecha],Compras_Full[customer_id],Clientes_Resumen[[#This Row],[id]],Compras_Full[status],"ACTIVE")</f>
        <v>46290</v>
      </c>
      <c r="I170">
        <f>IF(Clientes_Resumen[[#This Row],[Última compra]]=0,"",Corte-Clientes_Resumen[[#This Row],[Última compra]])</f>
        <v>25</v>
      </c>
      <c r="J170" t="str" cm="1">
        <f t="array" ref="J17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7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29.09</v>
      </c>
      <c r="L170">
        <f>ROUND(Clientes_Resumen[[#This Row],[points]]-Clientes_Resumen[[#This Row],[Saldo ledger]],2)</f>
        <v>0</v>
      </c>
    </row>
    <row r="171" spans="1:12" x14ac:dyDescent="0.3">
      <c r="A171">
        <v>173</v>
      </c>
      <c r="B171" t="s">
        <v>341</v>
      </c>
      <c r="C171" t="s">
        <v>342</v>
      </c>
      <c r="D171">
        <v>69.209999999999994</v>
      </c>
      <c r="E171">
        <v>1</v>
      </c>
      <c r="F171">
        <f>SUMIFS(Compras_Full[LitrosActivos],Compras_Full[customer_id],Clientes_Resumen[[#This Row],[id]])</f>
        <v>692.18000000000006</v>
      </c>
      <c r="G171">
        <f>COUNTIFS(Compras_Full[customer_id],Clientes_Resumen[[#This Row],[id]],Compras_Full[status],"ACTIVE")</f>
        <v>4</v>
      </c>
      <c r="H171" s="2">
        <f>_xlfn.MAXIFS(Compras_Full[Fecha],Compras_Full[customer_id],Clientes_Resumen[[#This Row],[id]],Compras_Full[status],"ACTIVE")</f>
        <v>46166</v>
      </c>
      <c r="I171">
        <f>IF(Clientes_Resumen[[#This Row],[Última compra]]=0,"",Corte-Clientes_Resumen[[#This Row],[Última compra]])</f>
        <v>149</v>
      </c>
      <c r="J171" t="str" cm="1">
        <f t="array" ref="J17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7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69.210000000000008</v>
      </c>
      <c r="L171">
        <f>ROUND(Clientes_Resumen[[#This Row],[points]]-Clientes_Resumen[[#This Row],[Saldo ledger]],2)</f>
        <v>0</v>
      </c>
    </row>
    <row r="172" spans="1:12" x14ac:dyDescent="0.3">
      <c r="A172">
        <v>174</v>
      </c>
      <c r="B172" t="s">
        <v>343</v>
      </c>
      <c r="C172" t="s">
        <v>344</v>
      </c>
      <c r="D172">
        <v>6.26</v>
      </c>
      <c r="E172">
        <v>1</v>
      </c>
      <c r="F172">
        <f>SUMIFS(Compras_Full[LitrosActivos],Compras_Full[customer_id],Clientes_Resumen[[#This Row],[id]])</f>
        <v>62.6</v>
      </c>
      <c r="G172">
        <f>COUNTIFS(Compras_Full[customer_id],Clientes_Resumen[[#This Row],[id]],Compras_Full[status],"ACTIVE")</f>
        <v>2</v>
      </c>
      <c r="H172" s="2">
        <f>_xlfn.MAXIFS(Compras_Full[Fecha],Compras_Full[customer_id],Clientes_Resumen[[#This Row],[id]],Compras_Full[status],"ACTIVE")</f>
        <v>46296</v>
      </c>
      <c r="I172">
        <f>IF(Clientes_Resumen[[#This Row],[Última compra]]=0,"",Corte-Clientes_Resumen[[#This Row],[Última compra]])</f>
        <v>19</v>
      </c>
      <c r="J172" t="str" cm="1">
        <f t="array" ref="J17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7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6.26</v>
      </c>
      <c r="L172">
        <f>ROUND(Clientes_Resumen[[#This Row],[points]]-Clientes_Resumen[[#This Row],[Saldo ledger]],2)</f>
        <v>0</v>
      </c>
    </row>
    <row r="173" spans="1:12" x14ac:dyDescent="0.3">
      <c r="A173">
        <v>175</v>
      </c>
      <c r="B173" t="s">
        <v>345</v>
      </c>
      <c r="C173" t="s">
        <v>346</v>
      </c>
      <c r="D173">
        <v>47.07</v>
      </c>
      <c r="E173">
        <v>1</v>
      </c>
      <c r="F173">
        <f>SUMIFS(Compras_Full[LitrosActivos],Compras_Full[customer_id],Clientes_Resumen[[#This Row],[id]])</f>
        <v>470.57</v>
      </c>
      <c r="G173">
        <f>COUNTIFS(Compras_Full[customer_id],Clientes_Resumen[[#This Row],[id]],Compras_Full[status],"ACTIVE")</f>
        <v>15</v>
      </c>
      <c r="H173" s="2">
        <f>_xlfn.MAXIFS(Compras_Full[Fecha],Compras_Full[customer_id],Clientes_Resumen[[#This Row],[id]],Compras_Full[status],"ACTIVE")</f>
        <v>46305</v>
      </c>
      <c r="I173">
        <f>IF(Clientes_Resumen[[#This Row],[Última compra]]=0,"",Corte-Clientes_Resumen[[#This Row],[Última compra]])</f>
        <v>10</v>
      </c>
      <c r="J173" t="str" cm="1">
        <f t="array" ref="J17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7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47.07</v>
      </c>
      <c r="L173">
        <f>ROUND(Clientes_Resumen[[#This Row],[points]]-Clientes_Resumen[[#This Row],[Saldo ledger]],2)</f>
        <v>0</v>
      </c>
    </row>
    <row r="174" spans="1:12" x14ac:dyDescent="0.3">
      <c r="A174">
        <v>176</v>
      </c>
      <c r="B174" t="s">
        <v>347</v>
      </c>
      <c r="C174" t="s">
        <v>348</v>
      </c>
      <c r="D174">
        <v>92.48</v>
      </c>
      <c r="E174">
        <v>1</v>
      </c>
      <c r="F174">
        <f>SUMIFS(Compras_Full[LitrosActivos],Compras_Full[customer_id],Clientes_Resumen[[#This Row],[id]])</f>
        <v>924.67</v>
      </c>
      <c r="G174">
        <f>COUNTIFS(Compras_Full[customer_id],Clientes_Resumen[[#This Row],[id]],Compras_Full[status],"ACTIVE")</f>
        <v>5</v>
      </c>
      <c r="H174" s="2">
        <f>_xlfn.MAXIFS(Compras_Full[Fecha],Compras_Full[customer_id],Clientes_Resumen[[#This Row],[id]],Compras_Full[status],"ACTIVE")</f>
        <v>46259</v>
      </c>
      <c r="I174">
        <f>IF(Clientes_Resumen[[#This Row],[Última compra]]=0,"",Corte-Clientes_Resumen[[#This Row],[Última compra]])</f>
        <v>56</v>
      </c>
      <c r="J174" t="str" cm="1">
        <f t="array" ref="J17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7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92.47999999999999</v>
      </c>
      <c r="L174">
        <f>ROUND(Clientes_Resumen[[#This Row],[points]]-Clientes_Resumen[[#This Row],[Saldo ledger]],2)</f>
        <v>0</v>
      </c>
    </row>
    <row r="175" spans="1:12" x14ac:dyDescent="0.3">
      <c r="A175">
        <v>177</v>
      </c>
      <c r="B175" t="s">
        <v>349</v>
      </c>
      <c r="C175" t="s">
        <v>350</v>
      </c>
      <c r="D175">
        <v>5.79</v>
      </c>
      <c r="E175">
        <v>1</v>
      </c>
      <c r="F175">
        <f>SUMIFS(Compras_Full[LitrosActivos],Compras_Full[customer_id],Clientes_Resumen[[#This Row],[id]])</f>
        <v>57.92</v>
      </c>
      <c r="G175">
        <f>COUNTIFS(Compras_Full[customer_id],Clientes_Resumen[[#This Row],[id]],Compras_Full[status],"ACTIVE")</f>
        <v>2</v>
      </c>
      <c r="H175" s="2">
        <f>_xlfn.MAXIFS(Compras_Full[Fecha],Compras_Full[customer_id],Clientes_Resumen[[#This Row],[id]],Compras_Full[status],"ACTIVE")</f>
        <v>46309</v>
      </c>
      <c r="I175">
        <f>IF(Clientes_Resumen[[#This Row],[Última compra]]=0,"",Corte-Clientes_Resumen[[#This Row],[Última compra]])</f>
        <v>6</v>
      </c>
      <c r="J175" t="str" cm="1">
        <f t="array" ref="J17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7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5.7899999999999991</v>
      </c>
      <c r="L175">
        <f>ROUND(Clientes_Resumen[[#This Row],[points]]-Clientes_Resumen[[#This Row],[Saldo ledger]],2)</f>
        <v>0</v>
      </c>
    </row>
    <row r="176" spans="1:12" x14ac:dyDescent="0.3">
      <c r="A176">
        <v>178</v>
      </c>
      <c r="B176" t="s">
        <v>351</v>
      </c>
      <c r="C176" t="s">
        <v>352</v>
      </c>
      <c r="D176">
        <v>217.07</v>
      </c>
      <c r="E176">
        <v>1</v>
      </c>
      <c r="F176">
        <f>SUMIFS(Compras_Full[LitrosActivos],Compras_Full[customer_id],Clientes_Resumen[[#This Row],[id]])</f>
        <v>3267.2999999999997</v>
      </c>
      <c r="G176">
        <f>COUNTIFS(Compras_Full[customer_id],Clientes_Resumen[[#This Row],[id]],Compras_Full[status],"ACTIVE")</f>
        <v>18</v>
      </c>
      <c r="H176" s="2">
        <f>_xlfn.MAXIFS(Compras_Full[Fecha],Compras_Full[customer_id],Clientes_Resumen[[#This Row],[id]],Compras_Full[status],"ACTIVE")</f>
        <v>46314</v>
      </c>
      <c r="I176">
        <f>IF(Clientes_Resumen[[#This Row],[Última compra]]=0,"",Corte-Clientes_Resumen[[#This Row],[Última compra]])</f>
        <v>1</v>
      </c>
      <c r="J176" t="str" cm="1">
        <f t="array" ref="J17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7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217.07</v>
      </c>
      <c r="L176">
        <f>ROUND(Clientes_Resumen[[#This Row],[points]]-Clientes_Resumen[[#This Row],[Saldo ledger]],2)</f>
        <v>0</v>
      </c>
    </row>
    <row r="177" spans="1:12" x14ac:dyDescent="0.3">
      <c r="A177">
        <v>179</v>
      </c>
      <c r="B177" t="s">
        <v>353</v>
      </c>
      <c r="C177" t="s">
        <v>354</v>
      </c>
      <c r="D177">
        <v>113.31</v>
      </c>
      <c r="E177">
        <v>1</v>
      </c>
      <c r="F177">
        <f>SUMIFS(Compras_Full[LitrosActivos],Compras_Full[customer_id],Clientes_Resumen[[#This Row],[id]])</f>
        <v>1133.05</v>
      </c>
      <c r="G177">
        <f>COUNTIFS(Compras_Full[customer_id],Clientes_Resumen[[#This Row],[id]],Compras_Full[status],"ACTIVE")</f>
        <v>6</v>
      </c>
      <c r="H177" s="2">
        <f>_xlfn.MAXIFS(Compras_Full[Fecha],Compras_Full[customer_id],Clientes_Resumen[[#This Row],[id]],Compras_Full[status],"ACTIVE")</f>
        <v>46308</v>
      </c>
      <c r="I177">
        <f>IF(Clientes_Resumen[[#This Row],[Última compra]]=0,"",Corte-Clientes_Resumen[[#This Row],[Última compra]])</f>
        <v>7</v>
      </c>
      <c r="J177" t="str" cm="1">
        <f t="array" ref="J17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7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113.31000000000002</v>
      </c>
      <c r="L177">
        <f>ROUND(Clientes_Resumen[[#This Row],[points]]-Clientes_Resumen[[#This Row],[Saldo ledger]],2)</f>
        <v>0</v>
      </c>
    </row>
    <row r="178" spans="1:12" x14ac:dyDescent="0.3">
      <c r="A178">
        <v>180</v>
      </c>
      <c r="B178" t="s">
        <v>355</v>
      </c>
      <c r="C178" t="s">
        <v>356</v>
      </c>
      <c r="D178">
        <v>0</v>
      </c>
      <c r="E178">
        <v>1</v>
      </c>
      <c r="F178">
        <f>SUMIFS(Compras_Full[LitrosActivos],Compras_Full[customer_id],Clientes_Resumen[[#This Row],[id]])</f>
        <v>0</v>
      </c>
      <c r="G178">
        <f>COUNTIFS(Compras_Full[customer_id],Clientes_Resumen[[#This Row],[id]],Compras_Full[status],"ACTIVE")</f>
        <v>0</v>
      </c>
      <c r="H178" s="2">
        <f>_xlfn.MAXIFS(Compras_Full[Fecha],Compras_Full[customer_id],Clientes_Resumen[[#This Row],[id]],Compras_Full[status],"ACTIVE")</f>
        <v>0</v>
      </c>
      <c r="I178" t="str">
        <f>IF(Clientes_Resumen[[#This Row],[Última compra]]=0,"",Corte-Clientes_Resumen[[#This Row],[Última compra]])</f>
        <v/>
      </c>
      <c r="J178" t="str" cm="1">
        <f t="array" ref="J17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17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178">
        <f>ROUND(Clientes_Resumen[[#This Row],[points]]-Clientes_Resumen[[#This Row],[Saldo ledger]],2)</f>
        <v>0</v>
      </c>
    </row>
    <row r="179" spans="1:12" x14ac:dyDescent="0.3">
      <c r="A179">
        <v>181</v>
      </c>
      <c r="B179" t="s">
        <v>357</v>
      </c>
      <c r="C179" t="s">
        <v>358</v>
      </c>
      <c r="D179">
        <v>0</v>
      </c>
      <c r="E179">
        <v>1</v>
      </c>
      <c r="F179">
        <f>SUMIFS(Compras_Full[LitrosActivos],Compras_Full[customer_id],Clientes_Resumen[[#This Row],[id]])</f>
        <v>0</v>
      </c>
      <c r="G179">
        <f>COUNTIFS(Compras_Full[customer_id],Clientes_Resumen[[#This Row],[id]],Compras_Full[status],"ACTIVE")</f>
        <v>0</v>
      </c>
      <c r="H179" s="2">
        <f>_xlfn.MAXIFS(Compras_Full[Fecha],Compras_Full[customer_id],Clientes_Resumen[[#This Row],[id]],Compras_Full[status],"ACTIVE")</f>
        <v>0</v>
      </c>
      <c r="I179" t="str">
        <f>IF(Clientes_Resumen[[#This Row],[Última compra]]=0,"",Corte-Clientes_Resumen[[#This Row],[Última compra]])</f>
        <v/>
      </c>
      <c r="J179" t="str" cm="1">
        <f t="array" ref="J17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17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179">
        <f>ROUND(Clientes_Resumen[[#This Row],[points]]-Clientes_Resumen[[#This Row],[Saldo ledger]],2)</f>
        <v>0</v>
      </c>
    </row>
    <row r="180" spans="1:12" x14ac:dyDescent="0.3">
      <c r="A180">
        <v>182</v>
      </c>
      <c r="B180" t="s">
        <v>359</v>
      </c>
      <c r="C180" t="s">
        <v>360</v>
      </c>
      <c r="D180">
        <v>6.27</v>
      </c>
      <c r="E180">
        <v>1</v>
      </c>
      <c r="F180">
        <f>SUMIFS(Compras_Full[LitrosActivos],Compras_Full[customer_id],Clientes_Resumen[[#This Row],[id]])</f>
        <v>62.66</v>
      </c>
      <c r="G180">
        <f>COUNTIFS(Compras_Full[customer_id],Clientes_Resumen[[#This Row],[id]],Compras_Full[status],"ACTIVE")</f>
        <v>1</v>
      </c>
      <c r="H180" s="2">
        <f>_xlfn.MAXIFS(Compras_Full[Fecha],Compras_Full[customer_id],Clientes_Resumen[[#This Row],[id]],Compras_Full[status],"ACTIVE")</f>
        <v>46160</v>
      </c>
      <c r="I180">
        <f>IF(Clientes_Resumen[[#This Row],[Última compra]]=0,"",Corte-Clientes_Resumen[[#This Row],[Última compra]])</f>
        <v>155</v>
      </c>
      <c r="J180" t="str" cm="1">
        <f t="array" ref="J18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8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6.27</v>
      </c>
      <c r="L180">
        <f>ROUND(Clientes_Resumen[[#This Row],[points]]-Clientes_Resumen[[#This Row],[Saldo ledger]],2)</f>
        <v>0</v>
      </c>
    </row>
    <row r="181" spans="1:12" x14ac:dyDescent="0.3">
      <c r="A181">
        <v>183</v>
      </c>
      <c r="B181" t="s">
        <v>361</v>
      </c>
      <c r="C181" t="s">
        <v>362</v>
      </c>
      <c r="D181">
        <v>105.45</v>
      </c>
      <c r="E181">
        <v>1</v>
      </c>
      <c r="F181">
        <f>SUMIFS(Compras_Full[LitrosActivos],Compras_Full[customer_id],Clientes_Resumen[[#This Row],[id]])</f>
        <v>1054.57</v>
      </c>
      <c r="G181">
        <f>COUNTIFS(Compras_Full[customer_id],Clientes_Resumen[[#This Row],[id]],Compras_Full[status],"ACTIVE")</f>
        <v>11</v>
      </c>
      <c r="H181" s="2">
        <f>_xlfn.MAXIFS(Compras_Full[Fecha],Compras_Full[customer_id],Clientes_Resumen[[#This Row],[id]],Compras_Full[status],"ACTIVE")</f>
        <v>46303</v>
      </c>
      <c r="I181">
        <f>IF(Clientes_Resumen[[#This Row],[Última compra]]=0,"",Corte-Clientes_Resumen[[#This Row],[Última compra]])</f>
        <v>12</v>
      </c>
      <c r="J181" t="str" cm="1">
        <f t="array" ref="J18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8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105.44999999999997</v>
      </c>
      <c r="L181">
        <f>ROUND(Clientes_Resumen[[#This Row],[points]]-Clientes_Resumen[[#This Row],[Saldo ledger]],2)</f>
        <v>0</v>
      </c>
    </row>
    <row r="182" spans="1:12" x14ac:dyDescent="0.3">
      <c r="A182">
        <v>184</v>
      </c>
      <c r="B182" t="s">
        <v>363</v>
      </c>
      <c r="C182" t="s">
        <v>364</v>
      </c>
      <c r="D182">
        <v>32.520000000000003</v>
      </c>
      <c r="E182">
        <v>1</v>
      </c>
      <c r="F182">
        <f>SUMIFS(Compras_Full[LitrosActivos],Compras_Full[customer_id],Clientes_Resumen[[#This Row],[id]])</f>
        <v>325.10999999999996</v>
      </c>
      <c r="G182">
        <f>COUNTIFS(Compras_Full[customer_id],Clientes_Resumen[[#This Row],[id]],Compras_Full[status],"ACTIVE")</f>
        <v>3</v>
      </c>
      <c r="H182" s="2">
        <f>_xlfn.MAXIFS(Compras_Full[Fecha],Compras_Full[customer_id],Clientes_Resumen[[#This Row],[id]],Compras_Full[status],"ACTIVE")</f>
        <v>46249</v>
      </c>
      <c r="I182">
        <f>IF(Clientes_Resumen[[#This Row],[Última compra]]=0,"",Corte-Clientes_Resumen[[#This Row],[Última compra]])</f>
        <v>66</v>
      </c>
      <c r="J182" t="str" cm="1">
        <f t="array" ref="J18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8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32.520000000000003</v>
      </c>
      <c r="L182">
        <f>ROUND(Clientes_Resumen[[#This Row],[points]]-Clientes_Resumen[[#This Row],[Saldo ledger]],2)</f>
        <v>0</v>
      </c>
    </row>
    <row r="183" spans="1:12" x14ac:dyDescent="0.3">
      <c r="A183">
        <v>185</v>
      </c>
      <c r="B183" t="s">
        <v>365</v>
      </c>
      <c r="C183" t="s">
        <v>366</v>
      </c>
      <c r="D183">
        <v>163.63</v>
      </c>
      <c r="E183">
        <v>1</v>
      </c>
      <c r="F183">
        <f>SUMIFS(Compras_Full[LitrosActivos],Compras_Full[customer_id],Clientes_Resumen[[#This Row],[id]])</f>
        <v>1636.1599999999999</v>
      </c>
      <c r="G183">
        <f>COUNTIFS(Compras_Full[customer_id],Clientes_Resumen[[#This Row],[id]],Compras_Full[status],"ACTIVE")</f>
        <v>15</v>
      </c>
      <c r="H183" s="2">
        <f>_xlfn.MAXIFS(Compras_Full[Fecha],Compras_Full[customer_id],Clientes_Resumen[[#This Row],[id]],Compras_Full[status],"ACTIVE")</f>
        <v>46304</v>
      </c>
      <c r="I183">
        <f>IF(Clientes_Resumen[[#This Row],[Última compra]]=0,"",Corte-Clientes_Resumen[[#This Row],[Última compra]])</f>
        <v>11</v>
      </c>
      <c r="J183" t="str" cm="1">
        <f t="array" ref="J18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8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163.63</v>
      </c>
      <c r="L183">
        <f>ROUND(Clientes_Resumen[[#This Row],[points]]-Clientes_Resumen[[#This Row],[Saldo ledger]],2)</f>
        <v>0</v>
      </c>
    </row>
    <row r="184" spans="1:12" x14ac:dyDescent="0.3">
      <c r="A184">
        <v>186</v>
      </c>
      <c r="B184" t="s">
        <v>367</v>
      </c>
      <c r="C184" t="s">
        <v>368</v>
      </c>
      <c r="D184">
        <v>95.07</v>
      </c>
      <c r="E184">
        <v>1</v>
      </c>
      <c r="F184">
        <f>SUMIFS(Compras_Full[LitrosActivos],Compras_Full[customer_id],Clientes_Resumen[[#This Row],[id]])</f>
        <v>950.67</v>
      </c>
      <c r="G184">
        <f>COUNTIFS(Compras_Full[customer_id],Clientes_Resumen[[#This Row],[id]],Compras_Full[status],"ACTIVE")</f>
        <v>10</v>
      </c>
      <c r="H184" s="2">
        <f>_xlfn.MAXIFS(Compras_Full[Fecha],Compras_Full[customer_id],Clientes_Resumen[[#This Row],[id]],Compras_Full[status],"ACTIVE")</f>
        <v>46282</v>
      </c>
      <c r="I184">
        <f>IF(Clientes_Resumen[[#This Row],[Última compra]]=0,"",Corte-Clientes_Resumen[[#This Row],[Última compra]])</f>
        <v>33</v>
      </c>
      <c r="J184" t="str" cm="1">
        <f t="array" ref="J18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8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95.070000000000007</v>
      </c>
      <c r="L184">
        <f>ROUND(Clientes_Resumen[[#This Row],[points]]-Clientes_Resumen[[#This Row],[Saldo ledger]],2)</f>
        <v>0</v>
      </c>
    </row>
    <row r="185" spans="1:12" x14ac:dyDescent="0.3">
      <c r="A185">
        <v>187</v>
      </c>
      <c r="B185" t="s">
        <v>369</v>
      </c>
      <c r="C185" t="s">
        <v>370</v>
      </c>
      <c r="D185">
        <v>13.42</v>
      </c>
      <c r="E185">
        <v>1</v>
      </c>
      <c r="F185">
        <f>SUMIFS(Compras_Full[LitrosActivos],Compras_Full[customer_id],Clientes_Resumen[[#This Row],[id]])</f>
        <v>134.32999999999998</v>
      </c>
      <c r="G185">
        <f>COUNTIFS(Compras_Full[customer_id],Clientes_Resumen[[#This Row],[id]],Compras_Full[status],"ACTIVE")</f>
        <v>5</v>
      </c>
      <c r="H185" s="2">
        <f>_xlfn.MAXIFS(Compras_Full[Fecha],Compras_Full[customer_id],Clientes_Resumen[[#This Row],[id]],Compras_Full[status],"ACTIVE")</f>
        <v>46308</v>
      </c>
      <c r="I185">
        <f>IF(Clientes_Resumen[[#This Row],[Última compra]]=0,"",Corte-Clientes_Resumen[[#This Row],[Última compra]])</f>
        <v>7</v>
      </c>
      <c r="J185" t="str" cm="1">
        <f t="array" ref="J18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8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13.420000000000002</v>
      </c>
      <c r="L185">
        <f>ROUND(Clientes_Resumen[[#This Row],[points]]-Clientes_Resumen[[#This Row],[Saldo ledger]],2)</f>
        <v>0</v>
      </c>
    </row>
    <row r="186" spans="1:12" x14ac:dyDescent="0.3">
      <c r="A186">
        <v>188</v>
      </c>
      <c r="B186" t="s">
        <v>371</v>
      </c>
      <c r="C186" t="s">
        <v>372</v>
      </c>
      <c r="D186">
        <v>47.7</v>
      </c>
      <c r="E186">
        <v>1</v>
      </c>
      <c r="F186">
        <f>SUMIFS(Compras_Full[LitrosActivos],Compras_Full[customer_id],Clientes_Resumen[[#This Row],[id]])</f>
        <v>476.94</v>
      </c>
      <c r="G186">
        <f>COUNTIFS(Compras_Full[customer_id],Clientes_Resumen[[#This Row],[id]],Compras_Full[status],"ACTIVE")</f>
        <v>2</v>
      </c>
      <c r="H186" s="2">
        <f>_xlfn.MAXIFS(Compras_Full[Fecha],Compras_Full[customer_id],Clientes_Resumen[[#This Row],[id]],Compras_Full[status],"ACTIVE")</f>
        <v>46305</v>
      </c>
      <c r="I186">
        <f>IF(Clientes_Resumen[[#This Row],[Última compra]]=0,"",Corte-Clientes_Resumen[[#This Row],[Última compra]])</f>
        <v>10</v>
      </c>
      <c r="J186" t="str" cm="1">
        <f t="array" ref="J18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8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47.7</v>
      </c>
      <c r="L186">
        <f>ROUND(Clientes_Resumen[[#This Row],[points]]-Clientes_Resumen[[#This Row],[Saldo ledger]],2)</f>
        <v>0</v>
      </c>
    </row>
    <row r="187" spans="1:12" x14ac:dyDescent="0.3">
      <c r="A187">
        <v>189</v>
      </c>
      <c r="B187" t="s">
        <v>373</v>
      </c>
      <c r="C187" t="s">
        <v>374</v>
      </c>
      <c r="D187">
        <v>21.85</v>
      </c>
      <c r="E187">
        <v>1</v>
      </c>
      <c r="F187">
        <f>SUMIFS(Compras_Full[LitrosActivos],Compras_Full[customer_id],Clientes_Resumen[[#This Row],[id]])</f>
        <v>134.88</v>
      </c>
      <c r="G187">
        <f>COUNTIFS(Compras_Full[customer_id],Clientes_Resumen[[#This Row],[id]],Compras_Full[status],"ACTIVE")</f>
        <v>3</v>
      </c>
      <c r="H187" s="2">
        <f>_xlfn.MAXIFS(Compras_Full[Fecha],Compras_Full[customer_id],Clientes_Resumen[[#This Row],[id]],Compras_Full[status],"ACTIVE")</f>
        <v>46244</v>
      </c>
      <c r="I187">
        <f>IF(Clientes_Resumen[[#This Row],[Última compra]]=0,"",Corte-Clientes_Resumen[[#This Row],[Última compra]])</f>
        <v>71</v>
      </c>
      <c r="J187" t="str" cm="1">
        <f t="array" ref="J18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8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21.85</v>
      </c>
      <c r="L187">
        <f>ROUND(Clientes_Resumen[[#This Row],[points]]-Clientes_Resumen[[#This Row],[Saldo ledger]],2)</f>
        <v>0</v>
      </c>
    </row>
    <row r="188" spans="1:12" x14ac:dyDescent="0.3">
      <c r="A188">
        <v>190</v>
      </c>
      <c r="B188" t="s">
        <v>375</v>
      </c>
      <c r="C188" t="s">
        <v>376</v>
      </c>
      <c r="D188">
        <v>356.83</v>
      </c>
      <c r="E188">
        <v>1</v>
      </c>
      <c r="F188">
        <f>SUMIFS(Compras_Full[LitrosActivos],Compras_Full[customer_id],Clientes_Resumen[[#This Row],[id]])</f>
        <v>3568.4100000000003</v>
      </c>
      <c r="G188">
        <f>COUNTIFS(Compras_Full[customer_id],Clientes_Resumen[[#This Row],[id]],Compras_Full[status],"ACTIVE")</f>
        <v>18</v>
      </c>
      <c r="H188" s="2">
        <f>_xlfn.MAXIFS(Compras_Full[Fecha],Compras_Full[customer_id],Clientes_Resumen[[#This Row],[id]],Compras_Full[status],"ACTIVE")</f>
        <v>46308</v>
      </c>
      <c r="I188">
        <f>IF(Clientes_Resumen[[#This Row],[Última compra]]=0,"",Corte-Clientes_Resumen[[#This Row],[Última compra]])</f>
        <v>7</v>
      </c>
      <c r="J188" t="str" cm="1">
        <f t="array" ref="J18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8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356.83000000000004</v>
      </c>
      <c r="L188">
        <f>ROUND(Clientes_Resumen[[#This Row],[points]]-Clientes_Resumen[[#This Row],[Saldo ledger]],2)</f>
        <v>0</v>
      </c>
    </row>
    <row r="189" spans="1:12" x14ac:dyDescent="0.3">
      <c r="A189">
        <v>191</v>
      </c>
      <c r="B189" t="s">
        <v>377</v>
      </c>
      <c r="C189" t="s">
        <v>378</v>
      </c>
      <c r="D189">
        <v>6.47</v>
      </c>
      <c r="E189">
        <v>1</v>
      </c>
      <c r="F189">
        <f>SUMIFS(Compras_Full[LitrosActivos],Compras_Full[customer_id],Clientes_Resumen[[#This Row],[id]])</f>
        <v>64.66</v>
      </c>
      <c r="G189">
        <f>COUNTIFS(Compras_Full[customer_id],Clientes_Resumen[[#This Row],[id]],Compras_Full[status],"ACTIVE")</f>
        <v>2</v>
      </c>
      <c r="H189" s="2">
        <f>_xlfn.MAXIFS(Compras_Full[Fecha],Compras_Full[customer_id],Clientes_Resumen[[#This Row],[id]],Compras_Full[status],"ACTIVE")</f>
        <v>46105</v>
      </c>
      <c r="I189">
        <f>IF(Clientes_Resumen[[#This Row],[Última compra]]=0,"",Corte-Clientes_Resumen[[#This Row],[Última compra]])</f>
        <v>210</v>
      </c>
      <c r="J189" t="str" cm="1">
        <f t="array" ref="J18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8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6.4700000000000006</v>
      </c>
      <c r="L189">
        <f>ROUND(Clientes_Resumen[[#This Row],[points]]-Clientes_Resumen[[#This Row],[Saldo ledger]],2)</f>
        <v>0</v>
      </c>
    </row>
    <row r="190" spans="1:12" x14ac:dyDescent="0.3">
      <c r="A190">
        <v>192</v>
      </c>
      <c r="B190" t="s">
        <v>379</v>
      </c>
      <c r="C190" t="s">
        <v>380</v>
      </c>
      <c r="D190">
        <v>30.85</v>
      </c>
      <c r="E190">
        <v>1</v>
      </c>
      <c r="F190">
        <f>SUMIFS(Compras_Full[LitrosActivos],Compras_Full[customer_id],Clientes_Resumen[[#This Row],[id]])</f>
        <v>294.60000000000002</v>
      </c>
      <c r="G190">
        <f>COUNTIFS(Compras_Full[customer_id],Clientes_Resumen[[#This Row],[id]],Compras_Full[status],"ACTIVE")</f>
        <v>9</v>
      </c>
      <c r="H190" s="2">
        <f>_xlfn.MAXIFS(Compras_Full[Fecha],Compras_Full[customer_id],Clientes_Resumen[[#This Row],[id]],Compras_Full[status],"ACTIVE")</f>
        <v>46239</v>
      </c>
      <c r="I190">
        <f>IF(Clientes_Resumen[[#This Row],[Última compra]]=0,"",Corte-Clientes_Resumen[[#This Row],[Última compra]])</f>
        <v>76</v>
      </c>
      <c r="J190" t="str" cm="1">
        <f t="array" ref="J19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9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30.849999999999998</v>
      </c>
      <c r="L190">
        <f>ROUND(Clientes_Resumen[[#This Row],[points]]-Clientes_Resumen[[#This Row],[Saldo ledger]],2)</f>
        <v>0</v>
      </c>
    </row>
    <row r="191" spans="1:12" x14ac:dyDescent="0.3">
      <c r="A191">
        <v>193</v>
      </c>
      <c r="B191" t="s">
        <v>381</v>
      </c>
      <c r="C191" t="s">
        <v>382</v>
      </c>
      <c r="D191">
        <v>10.84</v>
      </c>
      <c r="E191">
        <v>1</v>
      </c>
      <c r="F191">
        <f>SUMIFS(Compras_Full[LitrosActivos],Compras_Full[customer_id],Clientes_Resumen[[#This Row],[id]])</f>
        <v>108.38</v>
      </c>
      <c r="G191">
        <f>COUNTIFS(Compras_Full[customer_id],Clientes_Resumen[[#This Row],[id]],Compras_Full[status],"ACTIVE")</f>
        <v>1</v>
      </c>
      <c r="H191" s="2">
        <f>_xlfn.MAXIFS(Compras_Full[Fecha],Compras_Full[customer_id],Clientes_Resumen[[#This Row],[id]],Compras_Full[status],"ACTIVE")</f>
        <v>46239</v>
      </c>
      <c r="I191">
        <f>IF(Clientes_Resumen[[#This Row],[Última compra]]=0,"",Corte-Clientes_Resumen[[#This Row],[Última compra]])</f>
        <v>76</v>
      </c>
      <c r="J191" t="str" cm="1">
        <f t="array" ref="J19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9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10.84</v>
      </c>
      <c r="L191">
        <f>ROUND(Clientes_Resumen[[#This Row],[points]]-Clientes_Resumen[[#This Row],[Saldo ledger]],2)</f>
        <v>0</v>
      </c>
    </row>
    <row r="192" spans="1:12" x14ac:dyDescent="0.3">
      <c r="A192">
        <v>194</v>
      </c>
      <c r="B192" t="s">
        <v>383</v>
      </c>
      <c r="C192" t="s">
        <v>384</v>
      </c>
      <c r="D192">
        <v>79.44</v>
      </c>
      <c r="E192">
        <v>1</v>
      </c>
      <c r="F192">
        <f>SUMIFS(Compras_Full[LitrosActivos],Compras_Full[customer_id],Clientes_Resumen[[#This Row],[id]])</f>
        <v>794.3</v>
      </c>
      <c r="G192">
        <f>COUNTIFS(Compras_Full[customer_id],Clientes_Resumen[[#This Row],[id]],Compras_Full[status],"ACTIVE")</f>
        <v>8</v>
      </c>
      <c r="H192" s="2">
        <f>_xlfn.MAXIFS(Compras_Full[Fecha],Compras_Full[customer_id],Clientes_Resumen[[#This Row],[id]],Compras_Full[status],"ACTIVE")</f>
        <v>46296</v>
      </c>
      <c r="I192">
        <f>IF(Clientes_Resumen[[#This Row],[Última compra]]=0,"",Corte-Clientes_Resumen[[#This Row],[Última compra]])</f>
        <v>19</v>
      </c>
      <c r="J192" t="str" cm="1">
        <f t="array" ref="J19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9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79.439999999999984</v>
      </c>
      <c r="L192">
        <f>ROUND(Clientes_Resumen[[#This Row],[points]]-Clientes_Resumen[[#This Row],[Saldo ledger]],2)</f>
        <v>0</v>
      </c>
    </row>
    <row r="193" spans="1:12" x14ac:dyDescent="0.3">
      <c r="A193">
        <v>195</v>
      </c>
      <c r="B193" t="s">
        <v>385</v>
      </c>
      <c r="C193" t="s">
        <v>386</v>
      </c>
      <c r="D193">
        <v>125.23</v>
      </c>
      <c r="E193">
        <v>1</v>
      </c>
      <c r="F193">
        <f>SUMIFS(Compras_Full[LitrosActivos],Compras_Full[customer_id],Clientes_Resumen[[#This Row],[id]])</f>
        <v>1252.31</v>
      </c>
      <c r="G193">
        <f>COUNTIFS(Compras_Full[customer_id],Clientes_Resumen[[#This Row],[id]],Compras_Full[status],"ACTIVE")</f>
        <v>8</v>
      </c>
      <c r="H193" s="2">
        <f>_xlfn.MAXIFS(Compras_Full[Fecha],Compras_Full[customer_id],Clientes_Resumen[[#This Row],[id]],Compras_Full[status],"ACTIVE")</f>
        <v>46277</v>
      </c>
      <c r="I193">
        <f>IF(Clientes_Resumen[[#This Row],[Última compra]]=0,"",Corte-Clientes_Resumen[[#This Row],[Última compra]])</f>
        <v>38</v>
      </c>
      <c r="J193" t="str" cm="1">
        <f t="array" ref="J19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9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125.23</v>
      </c>
      <c r="L193">
        <f>ROUND(Clientes_Resumen[[#This Row],[points]]-Clientes_Resumen[[#This Row],[Saldo ledger]],2)</f>
        <v>0</v>
      </c>
    </row>
    <row r="194" spans="1:12" x14ac:dyDescent="0.3">
      <c r="A194">
        <v>196</v>
      </c>
      <c r="B194" t="s">
        <v>387</v>
      </c>
      <c r="C194" t="s">
        <v>388</v>
      </c>
      <c r="D194">
        <v>14.7</v>
      </c>
      <c r="E194">
        <v>1</v>
      </c>
      <c r="F194">
        <f>SUMIFS(Compras_Full[LitrosActivos],Compras_Full[customer_id],Clientes_Resumen[[#This Row],[id]])</f>
        <v>147.04999999999998</v>
      </c>
      <c r="G194">
        <f>COUNTIFS(Compras_Full[customer_id],Clientes_Resumen[[#This Row],[id]],Compras_Full[status],"ACTIVE")</f>
        <v>5</v>
      </c>
      <c r="H194" s="2">
        <f>_xlfn.MAXIFS(Compras_Full[Fecha],Compras_Full[customer_id],Clientes_Resumen[[#This Row],[id]],Compras_Full[status],"ACTIVE")</f>
        <v>46145</v>
      </c>
      <c r="I194">
        <f>IF(Clientes_Resumen[[#This Row],[Última compra]]=0,"",Corte-Clientes_Resumen[[#This Row],[Última compra]])</f>
        <v>170</v>
      </c>
      <c r="J194" t="str" cm="1">
        <f t="array" ref="J19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19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14.700000000000003</v>
      </c>
      <c r="L194">
        <f>ROUND(Clientes_Resumen[[#This Row],[points]]-Clientes_Resumen[[#This Row],[Saldo ledger]],2)</f>
        <v>0</v>
      </c>
    </row>
    <row r="195" spans="1:12" x14ac:dyDescent="0.3">
      <c r="A195">
        <v>197</v>
      </c>
      <c r="B195" t="s">
        <v>389</v>
      </c>
      <c r="C195" t="s">
        <v>390</v>
      </c>
      <c r="D195">
        <v>155.08000000000001</v>
      </c>
      <c r="E195">
        <v>1</v>
      </c>
      <c r="F195">
        <f>SUMIFS(Compras_Full[LitrosActivos],Compras_Full[customer_id],Clientes_Resumen[[#This Row],[id]])</f>
        <v>1550.98</v>
      </c>
      <c r="G195">
        <f>COUNTIFS(Compras_Full[customer_id],Clientes_Resumen[[#This Row],[id]],Compras_Full[status],"ACTIVE")</f>
        <v>15</v>
      </c>
      <c r="H195" s="2">
        <f>_xlfn.MAXIFS(Compras_Full[Fecha],Compras_Full[customer_id],Clientes_Resumen[[#This Row],[id]],Compras_Full[status],"ACTIVE")</f>
        <v>46286</v>
      </c>
      <c r="I195">
        <f>IF(Clientes_Resumen[[#This Row],[Última compra]]=0,"",Corte-Clientes_Resumen[[#This Row],[Última compra]])</f>
        <v>29</v>
      </c>
      <c r="J195" t="str" cm="1">
        <f t="array" ref="J19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9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155.07999999999998</v>
      </c>
      <c r="L195">
        <f>ROUND(Clientes_Resumen[[#This Row],[points]]-Clientes_Resumen[[#This Row],[Saldo ledger]],2)</f>
        <v>0</v>
      </c>
    </row>
    <row r="196" spans="1:12" x14ac:dyDescent="0.3">
      <c r="A196">
        <v>198</v>
      </c>
      <c r="B196" t="s">
        <v>391</v>
      </c>
      <c r="C196" t="s">
        <v>392</v>
      </c>
      <c r="D196">
        <v>4.34</v>
      </c>
      <c r="E196">
        <v>1</v>
      </c>
      <c r="F196">
        <f>SUMIFS(Compras_Full[LitrosActivos],Compras_Full[customer_id],Clientes_Resumen[[#This Row],[id]])</f>
        <v>43.35</v>
      </c>
      <c r="G196">
        <f>COUNTIFS(Compras_Full[customer_id],Clientes_Resumen[[#This Row],[id]],Compras_Full[status],"ACTIVE")</f>
        <v>1</v>
      </c>
      <c r="H196" s="2">
        <f>_xlfn.MAXIFS(Compras_Full[Fecha],Compras_Full[customer_id],Clientes_Resumen[[#This Row],[id]],Compras_Full[status],"ACTIVE")</f>
        <v>46249</v>
      </c>
      <c r="I196">
        <f>IF(Clientes_Resumen[[#This Row],[Última compra]]=0,"",Corte-Clientes_Resumen[[#This Row],[Última compra]])</f>
        <v>66</v>
      </c>
      <c r="J196" t="str" cm="1">
        <f t="array" ref="J19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19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4.34</v>
      </c>
      <c r="L196">
        <f>ROUND(Clientes_Resumen[[#This Row],[points]]-Clientes_Resumen[[#This Row],[Saldo ledger]],2)</f>
        <v>0</v>
      </c>
    </row>
    <row r="197" spans="1:12" x14ac:dyDescent="0.3">
      <c r="A197">
        <v>199</v>
      </c>
      <c r="B197" t="s">
        <v>393</v>
      </c>
      <c r="C197" t="s">
        <v>394</v>
      </c>
      <c r="D197">
        <v>0</v>
      </c>
      <c r="E197">
        <v>1</v>
      </c>
      <c r="F197">
        <f>SUMIFS(Compras_Full[LitrosActivos],Compras_Full[customer_id],Clientes_Resumen[[#This Row],[id]])</f>
        <v>0</v>
      </c>
      <c r="G197">
        <f>COUNTIFS(Compras_Full[customer_id],Clientes_Resumen[[#This Row],[id]],Compras_Full[status],"ACTIVE")</f>
        <v>0</v>
      </c>
      <c r="H197" s="2">
        <f>_xlfn.MAXIFS(Compras_Full[Fecha],Compras_Full[customer_id],Clientes_Resumen[[#This Row],[id]],Compras_Full[status],"ACTIVE")</f>
        <v>0</v>
      </c>
      <c r="I197" t="str">
        <f>IF(Clientes_Resumen[[#This Row],[Última compra]]=0,"",Corte-Clientes_Resumen[[#This Row],[Última compra]])</f>
        <v/>
      </c>
      <c r="J197" t="str" cm="1">
        <f t="array" ref="J19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19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197">
        <f>ROUND(Clientes_Resumen[[#This Row],[points]]-Clientes_Resumen[[#This Row],[Saldo ledger]],2)</f>
        <v>0</v>
      </c>
    </row>
    <row r="198" spans="1:12" x14ac:dyDescent="0.3">
      <c r="A198">
        <v>200</v>
      </c>
      <c r="B198" t="s">
        <v>395</v>
      </c>
      <c r="C198" t="s">
        <v>396</v>
      </c>
      <c r="D198">
        <v>33.26</v>
      </c>
      <c r="E198">
        <v>1</v>
      </c>
      <c r="F198">
        <f>SUMIFS(Compras_Full[LitrosActivos],Compras_Full[customer_id],Clientes_Resumen[[#This Row],[id]])</f>
        <v>332.52000000000004</v>
      </c>
      <c r="G198">
        <f>COUNTIFS(Compras_Full[customer_id],Clientes_Resumen[[#This Row],[id]],Compras_Full[status],"ACTIVE")</f>
        <v>11</v>
      </c>
      <c r="H198" s="2">
        <f>_xlfn.MAXIFS(Compras_Full[Fecha],Compras_Full[customer_id],Clientes_Resumen[[#This Row],[id]],Compras_Full[status],"ACTIVE")</f>
        <v>46302</v>
      </c>
      <c r="I198">
        <f>IF(Clientes_Resumen[[#This Row],[Última compra]]=0,"",Corte-Clientes_Resumen[[#This Row],[Última compra]])</f>
        <v>13</v>
      </c>
      <c r="J198" t="str" cm="1">
        <f t="array" ref="J19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19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33.26</v>
      </c>
      <c r="L198">
        <f>ROUND(Clientes_Resumen[[#This Row],[points]]-Clientes_Resumen[[#This Row],[Saldo ledger]],2)</f>
        <v>0</v>
      </c>
    </row>
    <row r="199" spans="1:12" x14ac:dyDescent="0.3">
      <c r="A199">
        <v>201</v>
      </c>
      <c r="B199" t="s">
        <v>397</v>
      </c>
      <c r="C199" t="s">
        <v>398</v>
      </c>
      <c r="D199">
        <v>5.73</v>
      </c>
      <c r="E199">
        <v>1</v>
      </c>
      <c r="F199">
        <f>SUMIFS(Compras_Full[LitrosActivos],Compras_Full[customer_id],Clientes_Resumen[[#This Row],[id]])</f>
        <v>370.53999999999996</v>
      </c>
      <c r="G199">
        <f>COUNTIFS(Compras_Full[customer_id],Clientes_Resumen[[#This Row],[id]],Compras_Full[status],"ACTIVE")</f>
        <v>11</v>
      </c>
      <c r="H199" s="2">
        <f>_xlfn.MAXIFS(Compras_Full[Fecha],Compras_Full[customer_id],Clientes_Resumen[[#This Row],[id]],Compras_Full[status],"ACTIVE")</f>
        <v>46279</v>
      </c>
      <c r="I199">
        <f>IF(Clientes_Resumen[[#This Row],[Última compra]]=0,"",Corte-Clientes_Resumen[[#This Row],[Última compra]])</f>
        <v>36</v>
      </c>
      <c r="J199" t="str" cm="1">
        <f t="array" ref="J19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19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5.730000000000004</v>
      </c>
      <c r="L199">
        <f>ROUND(Clientes_Resumen[[#This Row],[points]]-Clientes_Resumen[[#This Row],[Saldo ledger]],2)</f>
        <v>0</v>
      </c>
    </row>
    <row r="200" spans="1:12" x14ac:dyDescent="0.3">
      <c r="A200">
        <v>202</v>
      </c>
      <c r="B200" t="s">
        <v>399</v>
      </c>
      <c r="C200" t="s">
        <v>400</v>
      </c>
      <c r="D200">
        <v>30.27</v>
      </c>
      <c r="E200">
        <v>1</v>
      </c>
      <c r="F200">
        <f>SUMIFS(Compras_Full[LitrosActivos],Compras_Full[customer_id],Clientes_Resumen[[#This Row],[id]])</f>
        <v>1002.1099999999998</v>
      </c>
      <c r="G200">
        <f>COUNTIFS(Compras_Full[customer_id],Clientes_Resumen[[#This Row],[id]],Compras_Full[status],"ACTIVE")</f>
        <v>33</v>
      </c>
      <c r="H200" s="2">
        <f>_xlfn.MAXIFS(Compras_Full[Fecha],Compras_Full[customer_id],Clientes_Resumen[[#This Row],[id]],Compras_Full[status],"ACTIVE")</f>
        <v>46310</v>
      </c>
      <c r="I200">
        <f>IF(Clientes_Resumen[[#This Row],[Última compra]]=0,"",Corte-Clientes_Resumen[[#This Row],[Última compra]])</f>
        <v>5</v>
      </c>
      <c r="J200" t="str" cm="1">
        <f t="array" ref="J20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0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30.269999999999985</v>
      </c>
      <c r="L200">
        <f>ROUND(Clientes_Resumen[[#This Row],[points]]-Clientes_Resumen[[#This Row],[Saldo ledger]],2)</f>
        <v>0</v>
      </c>
    </row>
    <row r="201" spans="1:12" x14ac:dyDescent="0.3">
      <c r="A201">
        <v>203</v>
      </c>
      <c r="B201" t="s">
        <v>401</v>
      </c>
      <c r="C201" t="s">
        <v>402</v>
      </c>
      <c r="D201">
        <v>24.61</v>
      </c>
      <c r="E201">
        <v>1</v>
      </c>
      <c r="F201">
        <f>SUMIFS(Compras_Full[LitrosActivos],Compras_Full[customer_id],Clientes_Resumen[[#This Row],[id]])</f>
        <v>347.77</v>
      </c>
      <c r="G201">
        <f>COUNTIFS(Compras_Full[customer_id],Clientes_Resumen[[#This Row],[id]],Compras_Full[status],"ACTIVE")</f>
        <v>2</v>
      </c>
      <c r="H201" s="2">
        <f>_xlfn.MAXIFS(Compras_Full[Fecha],Compras_Full[customer_id],Clientes_Resumen[[#This Row],[id]],Compras_Full[status],"ACTIVE")</f>
        <v>46018</v>
      </c>
      <c r="I201">
        <f>IF(Clientes_Resumen[[#This Row],[Última compra]]=0,"",Corte-Clientes_Resumen[[#This Row],[Última compra]])</f>
        <v>297</v>
      </c>
      <c r="J201" t="str" cm="1">
        <f t="array" ref="J20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0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24.61</v>
      </c>
      <c r="L201">
        <f>ROUND(Clientes_Resumen[[#This Row],[points]]-Clientes_Resumen[[#This Row],[Saldo ledger]],2)</f>
        <v>0</v>
      </c>
    </row>
    <row r="202" spans="1:12" x14ac:dyDescent="0.3">
      <c r="A202">
        <v>204</v>
      </c>
      <c r="B202" t="s">
        <v>403</v>
      </c>
      <c r="C202" t="s">
        <v>404</v>
      </c>
      <c r="D202">
        <v>21.61</v>
      </c>
      <c r="E202">
        <v>1</v>
      </c>
      <c r="F202">
        <f>SUMIFS(Compras_Full[LitrosActivos],Compras_Full[customer_id],Clientes_Resumen[[#This Row],[id]])</f>
        <v>216.06</v>
      </c>
      <c r="G202">
        <f>COUNTIFS(Compras_Full[customer_id],Clientes_Resumen[[#This Row],[id]],Compras_Full[status],"ACTIVE")</f>
        <v>3</v>
      </c>
      <c r="H202" s="2">
        <f>_xlfn.MAXIFS(Compras_Full[Fecha],Compras_Full[customer_id],Clientes_Resumen[[#This Row],[id]],Compras_Full[status],"ACTIVE")</f>
        <v>46300</v>
      </c>
      <c r="I202">
        <f>IF(Clientes_Resumen[[#This Row],[Última compra]]=0,"",Corte-Clientes_Resumen[[#This Row],[Última compra]])</f>
        <v>15</v>
      </c>
      <c r="J202" t="str" cm="1">
        <f t="array" ref="J20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0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21.61</v>
      </c>
      <c r="L202">
        <f>ROUND(Clientes_Resumen[[#This Row],[points]]-Clientes_Resumen[[#This Row],[Saldo ledger]],2)</f>
        <v>0</v>
      </c>
    </row>
    <row r="203" spans="1:12" x14ac:dyDescent="0.3">
      <c r="A203">
        <v>205</v>
      </c>
      <c r="B203" t="s">
        <v>405</v>
      </c>
      <c r="C203" t="s">
        <v>406</v>
      </c>
      <c r="D203">
        <v>14.73</v>
      </c>
      <c r="E203">
        <v>1</v>
      </c>
      <c r="F203">
        <f>SUMIFS(Compras_Full[LitrosActivos],Compras_Full[customer_id],Clientes_Resumen[[#This Row],[id]])</f>
        <v>147.27000000000001</v>
      </c>
      <c r="G203">
        <f>COUNTIFS(Compras_Full[customer_id],Clientes_Resumen[[#This Row],[id]],Compras_Full[status],"ACTIVE")</f>
        <v>2</v>
      </c>
      <c r="H203" s="2">
        <f>_xlfn.MAXIFS(Compras_Full[Fecha],Compras_Full[customer_id],Clientes_Resumen[[#This Row],[id]],Compras_Full[status],"ACTIVE")</f>
        <v>46258</v>
      </c>
      <c r="I203">
        <f>IF(Clientes_Resumen[[#This Row],[Última compra]]=0,"",Corte-Clientes_Resumen[[#This Row],[Última compra]])</f>
        <v>57</v>
      </c>
      <c r="J203" t="str" cm="1">
        <f t="array" ref="J20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0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14.73</v>
      </c>
      <c r="L203">
        <f>ROUND(Clientes_Resumen[[#This Row],[points]]-Clientes_Resumen[[#This Row],[Saldo ledger]],2)</f>
        <v>0</v>
      </c>
    </row>
    <row r="204" spans="1:12" x14ac:dyDescent="0.3">
      <c r="A204">
        <v>206</v>
      </c>
      <c r="B204" t="s">
        <v>407</v>
      </c>
      <c r="C204" t="s">
        <v>408</v>
      </c>
      <c r="D204">
        <v>0</v>
      </c>
      <c r="E204">
        <v>1</v>
      </c>
      <c r="F204">
        <f>SUMIFS(Compras_Full[LitrosActivos],Compras_Full[customer_id],Clientes_Resumen[[#This Row],[id]])</f>
        <v>0</v>
      </c>
      <c r="G204">
        <f>COUNTIFS(Compras_Full[customer_id],Clientes_Resumen[[#This Row],[id]],Compras_Full[status],"ACTIVE")</f>
        <v>0</v>
      </c>
      <c r="H204" s="2">
        <f>_xlfn.MAXIFS(Compras_Full[Fecha],Compras_Full[customer_id],Clientes_Resumen[[#This Row],[id]],Compras_Full[status],"ACTIVE")</f>
        <v>0</v>
      </c>
      <c r="I204" t="str">
        <f>IF(Clientes_Resumen[[#This Row],[Última compra]]=0,"",Corte-Clientes_Resumen[[#This Row],[Última compra]])</f>
        <v/>
      </c>
      <c r="J204" t="str" cm="1">
        <f t="array" ref="J20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20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204">
        <f>ROUND(Clientes_Resumen[[#This Row],[points]]-Clientes_Resumen[[#This Row],[Saldo ledger]],2)</f>
        <v>0</v>
      </c>
    </row>
    <row r="205" spans="1:12" x14ac:dyDescent="0.3">
      <c r="A205">
        <v>207</v>
      </c>
      <c r="B205" t="s">
        <v>409</v>
      </c>
      <c r="C205" t="s">
        <v>410</v>
      </c>
      <c r="D205">
        <v>23.81</v>
      </c>
      <c r="E205">
        <v>1</v>
      </c>
      <c r="F205">
        <f>SUMIFS(Compras_Full[LitrosActivos],Compras_Full[customer_id],Clientes_Resumen[[#This Row],[id]])</f>
        <v>642.24</v>
      </c>
      <c r="G205">
        <f>COUNTIFS(Compras_Full[customer_id],Clientes_Resumen[[#This Row],[id]],Compras_Full[status],"ACTIVE")</f>
        <v>19</v>
      </c>
      <c r="H205" s="2">
        <f>_xlfn.MAXIFS(Compras_Full[Fecha],Compras_Full[customer_id],Clientes_Resumen[[#This Row],[id]],Compras_Full[status],"ACTIVE")</f>
        <v>46265</v>
      </c>
      <c r="I205">
        <f>IF(Clientes_Resumen[[#This Row],[Última compra]]=0,"",Corte-Clientes_Resumen[[#This Row],[Última compra]])</f>
        <v>50</v>
      </c>
      <c r="J205" t="str" cm="1">
        <f t="array" ref="J20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0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23.809999999999995</v>
      </c>
      <c r="L205">
        <f>ROUND(Clientes_Resumen[[#This Row],[points]]-Clientes_Resumen[[#This Row],[Saldo ledger]],2)</f>
        <v>0</v>
      </c>
    </row>
    <row r="206" spans="1:12" x14ac:dyDescent="0.3">
      <c r="A206">
        <v>208</v>
      </c>
      <c r="B206" t="s">
        <v>411</v>
      </c>
      <c r="C206" t="s">
        <v>412</v>
      </c>
      <c r="D206">
        <v>6.9</v>
      </c>
      <c r="E206">
        <v>1</v>
      </c>
      <c r="F206">
        <f>SUMIFS(Compras_Full[LitrosActivos],Compras_Full[customer_id],Clientes_Resumen[[#This Row],[id]])</f>
        <v>68.98</v>
      </c>
      <c r="G206">
        <f>COUNTIFS(Compras_Full[customer_id],Clientes_Resumen[[#This Row],[id]],Compras_Full[status],"ACTIVE")</f>
        <v>2</v>
      </c>
      <c r="H206" s="2">
        <f>_xlfn.MAXIFS(Compras_Full[Fecha],Compras_Full[customer_id],Clientes_Resumen[[#This Row],[id]],Compras_Full[status],"ACTIVE")</f>
        <v>46295</v>
      </c>
      <c r="I206">
        <f>IF(Clientes_Resumen[[#This Row],[Última compra]]=0,"",Corte-Clientes_Resumen[[#This Row],[Última compra]])</f>
        <v>20</v>
      </c>
      <c r="J206" t="str" cm="1">
        <f t="array" ref="J20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0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6.9</v>
      </c>
      <c r="L206">
        <f>ROUND(Clientes_Resumen[[#This Row],[points]]-Clientes_Resumen[[#This Row],[Saldo ledger]],2)</f>
        <v>0</v>
      </c>
    </row>
    <row r="207" spans="1:12" x14ac:dyDescent="0.3">
      <c r="A207">
        <v>209</v>
      </c>
      <c r="B207" t="s">
        <v>413</v>
      </c>
      <c r="C207" t="s">
        <v>414</v>
      </c>
      <c r="D207">
        <v>143.84</v>
      </c>
      <c r="E207">
        <v>1</v>
      </c>
      <c r="F207">
        <f>SUMIFS(Compras_Full[LitrosActivos],Compras_Full[customer_id],Clientes_Resumen[[#This Row],[id]])</f>
        <v>1438.36</v>
      </c>
      <c r="G207">
        <f>COUNTIFS(Compras_Full[customer_id],Clientes_Resumen[[#This Row],[id]],Compras_Full[status],"ACTIVE")</f>
        <v>6</v>
      </c>
      <c r="H207" s="2">
        <f>_xlfn.MAXIFS(Compras_Full[Fecha],Compras_Full[customer_id],Clientes_Resumen[[#This Row],[id]],Compras_Full[status],"ACTIVE")</f>
        <v>46030</v>
      </c>
      <c r="I207">
        <f>IF(Clientes_Resumen[[#This Row],[Última compra]]=0,"",Corte-Clientes_Resumen[[#This Row],[Última compra]])</f>
        <v>285</v>
      </c>
      <c r="J207" t="str" cm="1">
        <f t="array" ref="J20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0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143.84</v>
      </c>
      <c r="L207">
        <f>ROUND(Clientes_Resumen[[#This Row],[points]]-Clientes_Resumen[[#This Row],[Saldo ledger]],2)</f>
        <v>0</v>
      </c>
    </row>
    <row r="208" spans="1:12" x14ac:dyDescent="0.3">
      <c r="A208">
        <v>210</v>
      </c>
      <c r="B208" t="s">
        <v>415</v>
      </c>
      <c r="C208" t="s">
        <v>416</v>
      </c>
      <c r="D208">
        <v>16.059999999999999</v>
      </c>
      <c r="E208">
        <v>1</v>
      </c>
      <c r="F208">
        <f>SUMIFS(Compras_Full[LitrosActivos],Compras_Full[customer_id],Clientes_Resumen[[#This Row],[id]])</f>
        <v>160.5</v>
      </c>
      <c r="G208">
        <f>COUNTIFS(Compras_Full[customer_id],Clientes_Resumen[[#This Row],[id]],Compras_Full[status],"ACTIVE")</f>
        <v>6</v>
      </c>
      <c r="H208" s="2">
        <f>_xlfn.MAXIFS(Compras_Full[Fecha],Compras_Full[customer_id],Clientes_Resumen[[#This Row],[id]],Compras_Full[status],"ACTIVE")</f>
        <v>46204</v>
      </c>
      <c r="I208">
        <f>IF(Clientes_Resumen[[#This Row],[Última compra]]=0,"",Corte-Clientes_Resumen[[#This Row],[Última compra]])</f>
        <v>111</v>
      </c>
      <c r="J208" t="str" cm="1">
        <f t="array" ref="J20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0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16.060000000000002</v>
      </c>
      <c r="L208">
        <f>ROUND(Clientes_Resumen[[#This Row],[points]]-Clientes_Resumen[[#This Row],[Saldo ledger]],2)</f>
        <v>0</v>
      </c>
    </row>
    <row r="209" spans="1:12" x14ac:dyDescent="0.3">
      <c r="A209">
        <v>211</v>
      </c>
      <c r="B209" t="s">
        <v>417</v>
      </c>
      <c r="C209" t="s">
        <v>418</v>
      </c>
      <c r="D209">
        <v>48.91</v>
      </c>
      <c r="E209">
        <v>1</v>
      </c>
      <c r="F209">
        <f>SUMIFS(Compras_Full[LitrosActivos],Compras_Full[customer_id],Clientes_Resumen[[#This Row],[id]])</f>
        <v>489.05</v>
      </c>
      <c r="G209">
        <f>COUNTIFS(Compras_Full[customer_id],Clientes_Resumen[[#This Row],[id]],Compras_Full[status],"ACTIVE")</f>
        <v>5</v>
      </c>
      <c r="H209" s="2">
        <f>_xlfn.MAXIFS(Compras_Full[Fecha],Compras_Full[customer_id],Clientes_Resumen[[#This Row],[id]],Compras_Full[status],"ACTIVE")</f>
        <v>46065</v>
      </c>
      <c r="I209">
        <f>IF(Clientes_Resumen[[#This Row],[Última compra]]=0,"",Corte-Clientes_Resumen[[#This Row],[Última compra]])</f>
        <v>250</v>
      </c>
      <c r="J209" t="str" cm="1">
        <f t="array" ref="J20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0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48.910000000000004</v>
      </c>
      <c r="L209">
        <f>ROUND(Clientes_Resumen[[#This Row],[points]]-Clientes_Resumen[[#This Row],[Saldo ledger]],2)</f>
        <v>0</v>
      </c>
    </row>
    <row r="210" spans="1:12" x14ac:dyDescent="0.3">
      <c r="A210">
        <v>212</v>
      </c>
      <c r="B210" t="s">
        <v>419</v>
      </c>
      <c r="C210" t="s">
        <v>420</v>
      </c>
      <c r="D210">
        <v>59.81</v>
      </c>
      <c r="E210">
        <v>1</v>
      </c>
      <c r="F210">
        <f>SUMIFS(Compras_Full[LitrosActivos],Compras_Full[customer_id],Clientes_Resumen[[#This Row],[id]])</f>
        <v>288.25</v>
      </c>
      <c r="G210">
        <f>COUNTIFS(Compras_Full[customer_id],Clientes_Resumen[[#This Row],[id]],Compras_Full[status],"ACTIVE")</f>
        <v>3</v>
      </c>
      <c r="H210" s="2">
        <f>_xlfn.MAXIFS(Compras_Full[Fecha],Compras_Full[customer_id],Clientes_Resumen[[#This Row],[id]],Compras_Full[status],"ACTIVE")</f>
        <v>46302</v>
      </c>
      <c r="I210">
        <f>IF(Clientes_Resumen[[#This Row],[Última compra]]=0,"",Corte-Clientes_Resumen[[#This Row],[Última compra]])</f>
        <v>13</v>
      </c>
      <c r="J210" t="str" cm="1">
        <f t="array" ref="J21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1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59.81</v>
      </c>
      <c r="L210">
        <f>ROUND(Clientes_Resumen[[#This Row],[points]]-Clientes_Resumen[[#This Row],[Saldo ledger]],2)</f>
        <v>0</v>
      </c>
    </row>
    <row r="211" spans="1:12" x14ac:dyDescent="0.3">
      <c r="A211">
        <v>213</v>
      </c>
      <c r="B211" t="s">
        <v>421</v>
      </c>
      <c r="C211" t="s">
        <v>422</v>
      </c>
      <c r="D211">
        <v>133.58000000000001</v>
      </c>
      <c r="E211">
        <v>1</v>
      </c>
      <c r="F211">
        <f>SUMIFS(Compras_Full[LitrosActivos],Compras_Full[customer_id],Clientes_Resumen[[#This Row],[id]])</f>
        <v>1335.78</v>
      </c>
      <c r="G211">
        <f>COUNTIFS(Compras_Full[customer_id],Clientes_Resumen[[#This Row],[id]],Compras_Full[status],"ACTIVE")</f>
        <v>7</v>
      </c>
      <c r="H211" s="2">
        <f>_xlfn.MAXIFS(Compras_Full[Fecha],Compras_Full[customer_id],Clientes_Resumen[[#This Row],[id]],Compras_Full[status],"ACTIVE")</f>
        <v>46248</v>
      </c>
      <c r="I211">
        <f>IF(Clientes_Resumen[[#This Row],[Última compra]]=0,"",Corte-Clientes_Resumen[[#This Row],[Última compra]])</f>
        <v>67</v>
      </c>
      <c r="J211" t="str" cm="1">
        <f t="array" ref="J21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1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133.57999999999998</v>
      </c>
      <c r="L211">
        <f>ROUND(Clientes_Resumen[[#This Row],[points]]-Clientes_Resumen[[#This Row],[Saldo ledger]],2)</f>
        <v>0</v>
      </c>
    </row>
    <row r="212" spans="1:12" x14ac:dyDescent="0.3">
      <c r="A212">
        <v>214</v>
      </c>
      <c r="B212" t="s">
        <v>423</v>
      </c>
      <c r="C212" t="s">
        <v>424</v>
      </c>
      <c r="D212">
        <v>2.79</v>
      </c>
      <c r="E212">
        <v>1</v>
      </c>
      <c r="F212">
        <f>SUMIFS(Compras_Full[LitrosActivos],Compras_Full[customer_id],Clientes_Resumen[[#This Row],[id]])</f>
        <v>27.85</v>
      </c>
      <c r="G212">
        <f>COUNTIFS(Compras_Full[customer_id],Clientes_Resumen[[#This Row],[id]],Compras_Full[status],"ACTIVE")</f>
        <v>1</v>
      </c>
      <c r="H212" s="2">
        <f>_xlfn.MAXIFS(Compras_Full[Fecha],Compras_Full[customer_id],Clientes_Resumen[[#This Row],[id]],Compras_Full[status],"ACTIVE")</f>
        <v>46230</v>
      </c>
      <c r="I212">
        <f>IF(Clientes_Resumen[[#This Row],[Última compra]]=0,"",Corte-Clientes_Resumen[[#This Row],[Última compra]])</f>
        <v>85</v>
      </c>
      <c r="J212" t="str" cm="1">
        <f t="array" ref="J21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1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2.79</v>
      </c>
      <c r="L212">
        <f>ROUND(Clientes_Resumen[[#This Row],[points]]-Clientes_Resumen[[#This Row],[Saldo ledger]],2)</f>
        <v>0</v>
      </c>
    </row>
    <row r="213" spans="1:12" x14ac:dyDescent="0.3">
      <c r="A213">
        <v>215</v>
      </c>
      <c r="B213" t="s">
        <v>425</v>
      </c>
      <c r="C213" t="s">
        <v>426</v>
      </c>
      <c r="D213">
        <v>57.44</v>
      </c>
      <c r="E213">
        <v>1</v>
      </c>
      <c r="F213">
        <f>SUMIFS(Compras_Full[LitrosActivos],Compras_Full[customer_id],Clientes_Resumen[[#This Row],[id]])</f>
        <v>320.70999999999998</v>
      </c>
      <c r="G213">
        <f>COUNTIFS(Compras_Full[customer_id],Clientes_Resumen[[#This Row],[id]],Compras_Full[status],"ACTIVE")</f>
        <v>8</v>
      </c>
      <c r="H213" s="2">
        <f>_xlfn.MAXIFS(Compras_Full[Fecha],Compras_Full[customer_id],Clientes_Resumen[[#This Row],[id]],Compras_Full[status],"ACTIVE")</f>
        <v>46306</v>
      </c>
      <c r="I213">
        <f>IF(Clientes_Resumen[[#This Row],[Última compra]]=0,"",Corte-Clientes_Resumen[[#This Row],[Última compra]])</f>
        <v>9</v>
      </c>
      <c r="J213" t="str" cm="1">
        <f t="array" ref="J21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1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57.44</v>
      </c>
      <c r="L213">
        <f>ROUND(Clientes_Resumen[[#This Row],[points]]-Clientes_Resumen[[#This Row],[Saldo ledger]],2)</f>
        <v>0</v>
      </c>
    </row>
    <row r="214" spans="1:12" x14ac:dyDescent="0.3">
      <c r="A214">
        <v>216</v>
      </c>
      <c r="B214" t="s">
        <v>427</v>
      </c>
      <c r="C214" t="s">
        <v>428</v>
      </c>
      <c r="D214">
        <v>2.4700000000000002</v>
      </c>
      <c r="E214">
        <v>1</v>
      </c>
      <c r="F214">
        <f>SUMIFS(Compras_Full[LitrosActivos],Compras_Full[customer_id],Clientes_Resumen[[#This Row],[id]])</f>
        <v>24.71</v>
      </c>
      <c r="G214">
        <f>COUNTIFS(Compras_Full[customer_id],Clientes_Resumen[[#This Row],[id]],Compras_Full[status],"ACTIVE")</f>
        <v>1</v>
      </c>
      <c r="H214" s="2">
        <f>_xlfn.MAXIFS(Compras_Full[Fecha],Compras_Full[customer_id],Clientes_Resumen[[#This Row],[id]],Compras_Full[status],"ACTIVE")</f>
        <v>46230</v>
      </c>
      <c r="I214">
        <f>IF(Clientes_Resumen[[#This Row],[Última compra]]=0,"",Corte-Clientes_Resumen[[#This Row],[Última compra]])</f>
        <v>85</v>
      </c>
      <c r="J214" t="str" cm="1">
        <f t="array" ref="J21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1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2.4700000000000002</v>
      </c>
      <c r="L214">
        <f>ROUND(Clientes_Resumen[[#This Row],[points]]-Clientes_Resumen[[#This Row],[Saldo ledger]],2)</f>
        <v>0</v>
      </c>
    </row>
    <row r="215" spans="1:12" x14ac:dyDescent="0.3">
      <c r="A215">
        <v>217</v>
      </c>
      <c r="B215" t="s">
        <v>429</v>
      </c>
      <c r="C215" t="s">
        <v>430</v>
      </c>
      <c r="D215">
        <v>76.33</v>
      </c>
      <c r="E215">
        <v>0</v>
      </c>
      <c r="F215">
        <f>SUMIFS(Compras_Full[LitrosActivos],Compras_Full[customer_id],Clientes_Resumen[[#This Row],[id]])</f>
        <v>253.95</v>
      </c>
      <c r="G215">
        <f>COUNTIFS(Compras_Full[customer_id],Clientes_Resumen[[#This Row],[id]],Compras_Full[status],"ACTIVE")</f>
        <v>8</v>
      </c>
      <c r="H215" s="2">
        <f>_xlfn.MAXIFS(Compras_Full[Fecha],Compras_Full[customer_id],Clientes_Resumen[[#This Row],[id]],Compras_Full[status],"ACTIVE")</f>
        <v>46141</v>
      </c>
      <c r="I215">
        <f>IF(Clientes_Resumen[[#This Row],[Última compra]]=0,"",Corte-Clientes_Resumen[[#This Row],[Última compra]])</f>
        <v>174</v>
      </c>
      <c r="J215" t="str" cm="1">
        <f t="array" ref="J21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1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76.330000000000013</v>
      </c>
      <c r="L215">
        <f>ROUND(Clientes_Resumen[[#This Row],[points]]-Clientes_Resumen[[#This Row],[Saldo ledger]],2)</f>
        <v>0</v>
      </c>
    </row>
    <row r="216" spans="1:12" x14ac:dyDescent="0.3">
      <c r="A216">
        <v>218</v>
      </c>
      <c r="B216" t="s">
        <v>431</v>
      </c>
      <c r="C216" t="s">
        <v>432</v>
      </c>
      <c r="D216">
        <v>17.440000000000001</v>
      </c>
      <c r="E216">
        <v>1</v>
      </c>
      <c r="F216">
        <f>SUMIFS(Compras_Full[LitrosActivos],Compras_Full[customer_id],Clientes_Resumen[[#This Row],[id]])</f>
        <v>174.46</v>
      </c>
      <c r="G216">
        <f>COUNTIFS(Compras_Full[customer_id],Clientes_Resumen[[#This Row],[id]],Compras_Full[status],"ACTIVE")</f>
        <v>5</v>
      </c>
      <c r="H216" s="2">
        <f>_xlfn.MAXIFS(Compras_Full[Fecha],Compras_Full[customer_id],Clientes_Resumen[[#This Row],[id]],Compras_Full[status],"ACTIVE")</f>
        <v>46262</v>
      </c>
      <c r="I216">
        <f>IF(Clientes_Resumen[[#This Row],[Última compra]]=0,"",Corte-Clientes_Resumen[[#This Row],[Última compra]])</f>
        <v>53</v>
      </c>
      <c r="J216" t="str" cm="1">
        <f t="array" ref="J21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1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17.440000000000001</v>
      </c>
      <c r="L216">
        <f>ROUND(Clientes_Resumen[[#This Row],[points]]-Clientes_Resumen[[#This Row],[Saldo ledger]],2)</f>
        <v>0</v>
      </c>
    </row>
    <row r="217" spans="1:12" x14ac:dyDescent="0.3">
      <c r="A217">
        <v>219</v>
      </c>
      <c r="B217" t="s">
        <v>433</v>
      </c>
      <c r="C217" t="s">
        <v>434</v>
      </c>
      <c r="D217">
        <v>5.62</v>
      </c>
      <c r="E217">
        <v>1</v>
      </c>
      <c r="F217">
        <f>SUMIFS(Compras_Full[LitrosActivos],Compras_Full[customer_id],Clientes_Resumen[[#This Row],[id]])</f>
        <v>56.19</v>
      </c>
      <c r="G217">
        <f>COUNTIFS(Compras_Full[customer_id],Clientes_Resumen[[#This Row],[id]],Compras_Full[status],"ACTIVE")</f>
        <v>1</v>
      </c>
      <c r="H217" s="2">
        <f>_xlfn.MAXIFS(Compras_Full[Fecha],Compras_Full[customer_id],Clientes_Resumen[[#This Row],[id]],Compras_Full[status],"ACTIVE")</f>
        <v>46315</v>
      </c>
      <c r="I217">
        <f>IF(Clientes_Resumen[[#This Row],[Última compra]]=0,"",Corte-Clientes_Resumen[[#This Row],[Última compra]])</f>
        <v>0</v>
      </c>
      <c r="J217" t="str" cm="1">
        <f t="array" ref="J21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1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5.62</v>
      </c>
      <c r="L217">
        <f>ROUND(Clientes_Resumen[[#This Row],[points]]-Clientes_Resumen[[#This Row],[Saldo ledger]],2)</f>
        <v>0</v>
      </c>
    </row>
    <row r="218" spans="1:12" x14ac:dyDescent="0.3">
      <c r="A218">
        <v>220</v>
      </c>
      <c r="B218" t="s">
        <v>435</v>
      </c>
      <c r="C218" t="s">
        <v>436</v>
      </c>
      <c r="D218">
        <v>11.14</v>
      </c>
      <c r="E218">
        <v>1</v>
      </c>
      <c r="F218">
        <f>SUMIFS(Compras_Full[LitrosActivos],Compras_Full[customer_id],Clientes_Resumen[[#This Row],[id]])</f>
        <v>111.30000000000001</v>
      </c>
      <c r="G218">
        <f>COUNTIFS(Compras_Full[customer_id],Clientes_Resumen[[#This Row],[id]],Compras_Full[status],"ACTIVE")</f>
        <v>3</v>
      </c>
      <c r="H218" s="2">
        <f>_xlfn.MAXIFS(Compras_Full[Fecha],Compras_Full[customer_id],Clientes_Resumen[[#This Row],[id]],Compras_Full[status],"ACTIVE")</f>
        <v>46296</v>
      </c>
      <c r="I218">
        <f>IF(Clientes_Resumen[[#This Row],[Última compra]]=0,"",Corte-Clientes_Resumen[[#This Row],[Última compra]])</f>
        <v>19</v>
      </c>
      <c r="J218" t="str" cm="1">
        <f t="array" ref="J21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1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11.14</v>
      </c>
      <c r="L218">
        <f>ROUND(Clientes_Resumen[[#This Row],[points]]-Clientes_Resumen[[#This Row],[Saldo ledger]],2)</f>
        <v>0</v>
      </c>
    </row>
    <row r="219" spans="1:12" x14ac:dyDescent="0.3">
      <c r="A219">
        <v>221</v>
      </c>
      <c r="B219" t="s">
        <v>437</v>
      </c>
      <c r="C219" t="s">
        <v>438</v>
      </c>
      <c r="D219">
        <v>223.34</v>
      </c>
      <c r="E219">
        <v>1</v>
      </c>
      <c r="F219">
        <f>SUMIFS(Compras_Full[LitrosActivos],Compras_Full[customer_id],Clientes_Resumen[[#This Row],[id]])</f>
        <v>2233.4300000000003</v>
      </c>
      <c r="G219">
        <f>COUNTIFS(Compras_Full[customer_id],Clientes_Resumen[[#This Row],[id]],Compras_Full[status],"ACTIVE")</f>
        <v>12</v>
      </c>
      <c r="H219" s="2">
        <f>_xlfn.MAXIFS(Compras_Full[Fecha],Compras_Full[customer_id],Clientes_Resumen[[#This Row],[id]],Compras_Full[status],"ACTIVE")</f>
        <v>46238</v>
      </c>
      <c r="I219">
        <f>IF(Clientes_Resumen[[#This Row],[Última compra]]=0,"",Corte-Clientes_Resumen[[#This Row],[Última compra]])</f>
        <v>77</v>
      </c>
      <c r="J219" t="str" cm="1">
        <f t="array" ref="J21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1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223.33999999999997</v>
      </c>
      <c r="L219">
        <f>ROUND(Clientes_Resumen[[#This Row],[points]]-Clientes_Resumen[[#This Row],[Saldo ledger]],2)</f>
        <v>0</v>
      </c>
    </row>
    <row r="220" spans="1:12" x14ac:dyDescent="0.3">
      <c r="A220">
        <v>222</v>
      </c>
      <c r="B220" t="s">
        <v>439</v>
      </c>
      <c r="C220" t="s">
        <v>440</v>
      </c>
      <c r="D220">
        <v>0</v>
      </c>
      <c r="E220">
        <v>1</v>
      </c>
      <c r="F220">
        <f>SUMIFS(Compras_Full[LitrosActivos],Compras_Full[customer_id],Clientes_Resumen[[#This Row],[id]])</f>
        <v>0</v>
      </c>
      <c r="G220">
        <f>COUNTIFS(Compras_Full[customer_id],Clientes_Resumen[[#This Row],[id]],Compras_Full[status],"ACTIVE")</f>
        <v>0</v>
      </c>
      <c r="H220" s="2">
        <f>_xlfn.MAXIFS(Compras_Full[Fecha],Compras_Full[customer_id],Clientes_Resumen[[#This Row],[id]],Compras_Full[status],"ACTIVE")</f>
        <v>0</v>
      </c>
      <c r="I220" t="str">
        <f>IF(Clientes_Resumen[[#This Row],[Última compra]]=0,"",Corte-Clientes_Resumen[[#This Row],[Última compra]])</f>
        <v/>
      </c>
      <c r="J220" t="str" cm="1">
        <f t="array" ref="J22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22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220">
        <f>ROUND(Clientes_Resumen[[#This Row],[points]]-Clientes_Resumen[[#This Row],[Saldo ledger]],2)</f>
        <v>0</v>
      </c>
    </row>
    <row r="221" spans="1:12" x14ac:dyDescent="0.3">
      <c r="A221">
        <v>223</v>
      </c>
      <c r="B221" t="s">
        <v>441</v>
      </c>
      <c r="C221" t="s">
        <v>442</v>
      </c>
      <c r="D221">
        <v>25.36</v>
      </c>
      <c r="E221">
        <v>1</v>
      </c>
      <c r="F221">
        <f>SUMIFS(Compras_Full[LitrosActivos],Compras_Full[customer_id],Clientes_Resumen[[#This Row],[id]])</f>
        <v>253.64000000000001</v>
      </c>
      <c r="G221">
        <f>COUNTIFS(Compras_Full[customer_id],Clientes_Resumen[[#This Row],[id]],Compras_Full[status],"ACTIVE")</f>
        <v>8</v>
      </c>
      <c r="H221" s="2">
        <f>_xlfn.MAXIFS(Compras_Full[Fecha],Compras_Full[customer_id],Clientes_Resumen[[#This Row],[id]],Compras_Full[status],"ACTIVE")</f>
        <v>46227</v>
      </c>
      <c r="I221">
        <f>IF(Clientes_Resumen[[#This Row],[Última compra]]=0,"",Corte-Clientes_Resumen[[#This Row],[Última compra]])</f>
        <v>88</v>
      </c>
      <c r="J221" t="str" cm="1">
        <f t="array" ref="J22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2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25.359999999999996</v>
      </c>
      <c r="L221">
        <f>ROUND(Clientes_Resumen[[#This Row],[points]]-Clientes_Resumen[[#This Row],[Saldo ledger]],2)</f>
        <v>0</v>
      </c>
    </row>
    <row r="222" spans="1:12" x14ac:dyDescent="0.3">
      <c r="A222">
        <v>224</v>
      </c>
      <c r="B222" t="s">
        <v>443</v>
      </c>
      <c r="C222" t="s">
        <v>444</v>
      </c>
      <c r="D222">
        <v>5.18</v>
      </c>
      <c r="E222">
        <v>1</v>
      </c>
      <c r="F222">
        <f>SUMIFS(Compras_Full[LitrosActivos],Compras_Full[customer_id],Clientes_Resumen[[#This Row],[id]])</f>
        <v>51.84</v>
      </c>
      <c r="G222">
        <f>COUNTIFS(Compras_Full[customer_id],Clientes_Resumen[[#This Row],[id]],Compras_Full[status],"ACTIVE")</f>
        <v>1</v>
      </c>
      <c r="H222" s="2">
        <f>_xlfn.MAXIFS(Compras_Full[Fecha],Compras_Full[customer_id],Clientes_Resumen[[#This Row],[id]],Compras_Full[status],"ACTIVE")</f>
        <v>46223</v>
      </c>
      <c r="I222">
        <f>IF(Clientes_Resumen[[#This Row],[Última compra]]=0,"",Corte-Clientes_Resumen[[#This Row],[Última compra]])</f>
        <v>92</v>
      </c>
      <c r="J222" t="str" cm="1">
        <f t="array" ref="J22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2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5.18</v>
      </c>
      <c r="L222">
        <f>ROUND(Clientes_Resumen[[#This Row],[points]]-Clientes_Resumen[[#This Row],[Saldo ledger]],2)</f>
        <v>0</v>
      </c>
    </row>
    <row r="223" spans="1:12" x14ac:dyDescent="0.3">
      <c r="A223">
        <v>225</v>
      </c>
      <c r="B223" t="s">
        <v>445</v>
      </c>
      <c r="C223" t="s">
        <v>446</v>
      </c>
      <c r="D223">
        <v>4.0599999999999996</v>
      </c>
      <c r="E223">
        <v>1</v>
      </c>
      <c r="F223">
        <f>SUMIFS(Compras_Full[LitrosActivos],Compras_Full[customer_id],Clientes_Resumen[[#This Row],[id]])</f>
        <v>40.590000000000003</v>
      </c>
      <c r="G223">
        <f>COUNTIFS(Compras_Full[customer_id],Clientes_Resumen[[#This Row],[id]],Compras_Full[status],"ACTIVE")</f>
        <v>2</v>
      </c>
      <c r="H223" s="2">
        <f>_xlfn.MAXIFS(Compras_Full[Fecha],Compras_Full[customer_id],Clientes_Resumen[[#This Row],[id]],Compras_Full[status],"ACTIVE")</f>
        <v>46293</v>
      </c>
      <c r="I223">
        <f>IF(Clientes_Resumen[[#This Row],[Última compra]]=0,"",Corte-Clientes_Resumen[[#This Row],[Última compra]])</f>
        <v>22</v>
      </c>
      <c r="J223" t="str" cm="1">
        <f t="array" ref="J22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2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4.0600000000000005</v>
      </c>
      <c r="L223">
        <f>ROUND(Clientes_Resumen[[#This Row],[points]]-Clientes_Resumen[[#This Row],[Saldo ledger]],2)</f>
        <v>0</v>
      </c>
    </row>
    <row r="224" spans="1:12" x14ac:dyDescent="0.3">
      <c r="A224">
        <v>226</v>
      </c>
      <c r="B224" t="s">
        <v>447</v>
      </c>
      <c r="C224" t="s">
        <v>448</v>
      </c>
      <c r="D224">
        <v>0</v>
      </c>
      <c r="E224">
        <v>1</v>
      </c>
      <c r="F224">
        <f>SUMIFS(Compras_Full[LitrosActivos],Compras_Full[customer_id],Clientes_Resumen[[#This Row],[id]])</f>
        <v>0</v>
      </c>
      <c r="G224">
        <f>COUNTIFS(Compras_Full[customer_id],Clientes_Resumen[[#This Row],[id]],Compras_Full[status],"ACTIVE")</f>
        <v>0</v>
      </c>
      <c r="H224" s="2">
        <f>_xlfn.MAXIFS(Compras_Full[Fecha],Compras_Full[customer_id],Clientes_Resumen[[#This Row],[id]],Compras_Full[status],"ACTIVE")</f>
        <v>0</v>
      </c>
      <c r="I224" t="str">
        <f>IF(Clientes_Resumen[[#This Row],[Última compra]]=0,"",Corte-Clientes_Resumen[[#This Row],[Última compra]])</f>
        <v/>
      </c>
      <c r="J224" t="str" cm="1">
        <f t="array" ref="J22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22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224">
        <f>ROUND(Clientes_Resumen[[#This Row],[points]]-Clientes_Resumen[[#This Row],[Saldo ledger]],2)</f>
        <v>0</v>
      </c>
    </row>
    <row r="225" spans="1:12" x14ac:dyDescent="0.3">
      <c r="A225">
        <v>227</v>
      </c>
      <c r="B225" t="s">
        <v>449</v>
      </c>
      <c r="C225" t="s">
        <v>450</v>
      </c>
      <c r="D225">
        <v>13.8</v>
      </c>
      <c r="E225">
        <v>1</v>
      </c>
      <c r="F225">
        <f>SUMIFS(Compras_Full[LitrosActivos],Compras_Full[customer_id],Clientes_Resumen[[#This Row],[id]])</f>
        <v>352.62</v>
      </c>
      <c r="G225">
        <f>COUNTIFS(Compras_Full[customer_id],Clientes_Resumen[[#This Row],[id]],Compras_Full[status],"ACTIVE")</f>
        <v>12</v>
      </c>
      <c r="H225" s="2">
        <f>_xlfn.MAXIFS(Compras_Full[Fecha],Compras_Full[customer_id],Clientes_Resumen[[#This Row],[id]],Compras_Full[status],"ACTIVE")</f>
        <v>46221</v>
      </c>
      <c r="I225">
        <f>IF(Clientes_Resumen[[#This Row],[Última compra]]=0,"",Corte-Clientes_Resumen[[#This Row],[Última compra]])</f>
        <v>94</v>
      </c>
      <c r="J225" t="str" cm="1">
        <f t="array" ref="J22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2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13.800000000000002</v>
      </c>
      <c r="L225">
        <f>ROUND(Clientes_Resumen[[#This Row],[points]]-Clientes_Resumen[[#This Row],[Saldo ledger]],2)</f>
        <v>0</v>
      </c>
    </row>
    <row r="226" spans="1:12" x14ac:dyDescent="0.3">
      <c r="A226">
        <v>228</v>
      </c>
      <c r="B226" t="s">
        <v>451</v>
      </c>
      <c r="C226" t="s">
        <v>452</v>
      </c>
      <c r="D226">
        <v>8.8000000000000007</v>
      </c>
      <c r="E226">
        <v>1</v>
      </c>
      <c r="F226">
        <f>SUMIFS(Compras_Full[LitrosActivos],Compras_Full[customer_id],Clientes_Resumen[[#This Row],[id]])</f>
        <v>87.99</v>
      </c>
      <c r="G226">
        <f>COUNTIFS(Compras_Full[customer_id],Clientes_Resumen[[#This Row],[id]],Compras_Full[status],"ACTIVE")</f>
        <v>1</v>
      </c>
      <c r="H226" s="2">
        <f>_xlfn.MAXIFS(Compras_Full[Fecha],Compras_Full[customer_id],Clientes_Resumen[[#This Row],[id]],Compras_Full[status],"ACTIVE")</f>
        <v>46281</v>
      </c>
      <c r="I226">
        <f>IF(Clientes_Resumen[[#This Row],[Última compra]]=0,"",Corte-Clientes_Resumen[[#This Row],[Última compra]])</f>
        <v>34</v>
      </c>
      <c r="J226" t="str" cm="1">
        <f t="array" ref="J22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2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8.8000000000000007</v>
      </c>
      <c r="L226">
        <f>ROUND(Clientes_Resumen[[#This Row],[points]]-Clientes_Resumen[[#This Row],[Saldo ledger]],2)</f>
        <v>0</v>
      </c>
    </row>
    <row r="227" spans="1:12" x14ac:dyDescent="0.3">
      <c r="A227">
        <v>229</v>
      </c>
      <c r="B227" t="s">
        <v>453</v>
      </c>
      <c r="C227" t="s">
        <v>454</v>
      </c>
      <c r="D227">
        <v>81.2</v>
      </c>
      <c r="E227">
        <v>1</v>
      </c>
      <c r="F227">
        <f>SUMIFS(Compras_Full[LitrosActivos],Compras_Full[customer_id],Clientes_Resumen[[#This Row],[id]])</f>
        <v>4463.4900000000007</v>
      </c>
      <c r="G227">
        <f>COUNTIFS(Compras_Full[customer_id],Clientes_Resumen[[#This Row],[id]],Compras_Full[status],"ACTIVE")</f>
        <v>46</v>
      </c>
      <c r="H227" s="2">
        <f>_xlfn.MAXIFS(Compras_Full[Fecha],Compras_Full[customer_id],Clientes_Resumen[[#This Row],[id]],Compras_Full[status],"ACTIVE")</f>
        <v>46310</v>
      </c>
      <c r="I227">
        <f>IF(Clientes_Resumen[[#This Row],[Última compra]]=0,"",Corte-Clientes_Resumen[[#This Row],[Última compra]])</f>
        <v>5</v>
      </c>
      <c r="J227" t="str" cm="1">
        <f t="array" ref="J22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2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81.199999999999989</v>
      </c>
      <c r="L227">
        <f>ROUND(Clientes_Resumen[[#This Row],[points]]-Clientes_Resumen[[#This Row],[Saldo ledger]],2)</f>
        <v>0</v>
      </c>
    </row>
    <row r="228" spans="1:12" x14ac:dyDescent="0.3">
      <c r="A228">
        <v>230</v>
      </c>
      <c r="B228" t="s">
        <v>455</v>
      </c>
      <c r="C228" t="s">
        <v>456</v>
      </c>
      <c r="D228">
        <v>219.86</v>
      </c>
      <c r="E228">
        <v>1</v>
      </c>
      <c r="F228">
        <f>SUMIFS(Compras_Full[LitrosActivos],Compras_Full[customer_id],Clientes_Resumen[[#This Row],[id]])</f>
        <v>2198.5099999999998</v>
      </c>
      <c r="G228">
        <f>COUNTIFS(Compras_Full[customer_id],Clientes_Resumen[[#This Row],[id]],Compras_Full[status],"ACTIVE")</f>
        <v>12</v>
      </c>
      <c r="H228" s="2">
        <f>_xlfn.MAXIFS(Compras_Full[Fecha],Compras_Full[customer_id],Clientes_Resumen[[#This Row],[id]],Compras_Full[status],"ACTIVE")</f>
        <v>46279</v>
      </c>
      <c r="I228">
        <f>IF(Clientes_Resumen[[#This Row],[Última compra]]=0,"",Corte-Clientes_Resumen[[#This Row],[Última compra]])</f>
        <v>36</v>
      </c>
      <c r="J228" t="str" cm="1">
        <f t="array" ref="J22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2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219.86</v>
      </c>
      <c r="L228">
        <f>ROUND(Clientes_Resumen[[#This Row],[points]]-Clientes_Resumen[[#This Row],[Saldo ledger]],2)</f>
        <v>0</v>
      </c>
    </row>
    <row r="229" spans="1:12" x14ac:dyDescent="0.3">
      <c r="A229">
        <v>231</v>
      </c>
      <c r="B229" t="s">
        <v>457</v>
      </c>
      <c r="C229" t="s">
        <v>458</v>
      </c>
      <c r="D229">
        <v>24.12</v>
      </c>
      <c r="E229">
        <v>1</v>
      </c>
      <c r="F229">
        <f>SUMIFS(Compras_Full[LitrosActivos],Compras_Full[customer_id],Clientes_Resumen[[#This Row],[id]])</f>
        <v>241.1</v>
      </c>
      <c r="G229">
        <f>COUNTIFS(Compras_Full[customer_id],Clientes_Resumen[[#This Row],[id]],Compras_Full[status],"ACTIVE")</f>
        <v>2</v>
      </c>
      <c r="H229" s="2">
        <f>_xlfn.MAXIFS(Compras_Full[Fecha],Compras_Full[customer_id],Clientes_Resumen[[#This Row],[id]],Compras_Full[status],"ACTIVE")</f>
        <v>46265</v>
      </c>
      <c r="I229">
        <f>IF(Clientes_Resumen[[#This Row],[Última compra]]=0,"",Corte-Clientes_Resumen[[#This Row],[Última compra]])</f>
        <v>50</v>
      </c>
      <c r="J229" t="str" cm="1">
        <f t="array" ref="J22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2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24.12</v>
      </c>
      <c r="L229">
        <f>ROUND(Clientes_Resumen[[#This Row],[points]]-Clientes_Resumen[[#This Row],[Saldo ledger]],2)</f>
        <v>0</v>
      </c>
    </row>
    <row r="230" spans="1:12" x14ac:dyDescent="0.3">
      <c r="A230">
        <v>232</v>
      </c>
      <c r="B230" t="s">
        <v>459</v>
      </c>
      <c r="C230" t="s">
        <v>460</v>
      </c>
      <c r="D230">
        <v>25.98</v>
      </c>
      <c r="E230">
        <v>1</v>
      </c>
      <c r="F230">
        <f>SUMIFS(Compras_Full[LitrosActivos],Compras_Full[customer_id],Clientes_Resumen[[#This Row],[id]])</f>
        <v>259.69</v>
      </c>
      <c r="G230">
        <f>COUNTIFS(Compras_Full[customer_id],Clientes_Resumen[[#This Row],[id]],Compras_Full[status],"ACTIVE")</f>
        <v>7</v>
      </c>
      <c r="H230" s="2">
        <f>_xlfn.MAXIFS(Compras_Full[Fecha],Compras_Full[customer_id],Clientes_Resumen[[#This Row],[id]],Compras_Full[status],"ACTIVE")</f>
        <v>46251</v>
      </c>
      <c r="I230">
        <f>IF(Clientes_Resumen[[#This Row],[Última compra]]=0,"",Corte-Clientes_Resumen[[#This Row],[Última compra]])</f>
        <v>64</v>
      </c>
      <c r="J230" t="str" cm="1">
        <f t="array" ref="J23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3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25.98</v>
      </c>
      <c r="L230">
        <f>ROUND(Clientes_Resumen[[#This Row],[points]]-Clientes_Resumen[[#This Row],[Saldo ledger]],2)</f>
        <v>0</v>
      </c>
    </row>
    <row r="231" spans="1:12" x14ac:dyDescent="0.3">
      <c r="A231">
        <v>233</v>
      </c>
      <c r="B231" t="s">
        <v>461</v>
      </c>
      <c r="C231" t="s">
        <v>462</v>
      </c>
      <c r="D231">
        <v>51.13</v>
      </c>
      <c r="E231">
        <v>1</v>
      </c>
      <c r="F231">
        <f>SUMIFS(Compras_Full[LitrosActivos],Compras_Full[customer_id],Clientes_Resumen[[#This Row],[id]])</f>
        <v>511.24999999999994</v>
      </c>
      <c r="G231">
        <f>COUNTIFS(Compras_Full[customer_id],Clientes_Resumen[[#This Row],[id]],Compras_Full[status],"ACTIVE")</f>
        <v>5</v>
      </c>
      <c r="H231" s="2">
        <f>_xlfn.MAXIFS(Compras_Full[Fecha],Compras_Full[customer_id],Clientes_Resumen[[#This Row],[id]],Compras_Full[status],"ACTIVE")</f>
        <v>46250</v>
      </c>
      <c r="I231">
        <f>IF(Clientes_Resumen[[#This Row],[Última compra]]=0,"",Corte-Clientes_Resumen[[#This Row],[Última compra]])</f>
        <v>65</v>
      </c>
      <c r="J231" t="str" cm="1">
        <f t="array" ref="J23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3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51.13</v>
      </c>
      <c r="L231">
        <f>ROUND(Clientes_Resumen[[#This Row],[points]]-Clientes_Resumen[[#This Row],[Saldo ledger]],2)</f>
        <v>0</v>
      </c>
    </row>
    <row r="232" spans="1:12" x14ac:dyDescent="0.3">
      <c r="A232">
        <v>234</v>
      </c>
      <c r="B232" t="s">
        <v>463</v>
      </c>
      <c r="C232" t="s">
        <v>464</v>
      </c>
      <c r="D232">
        <v>105.39</v>
      </c>
      <c r="E232">
        <v>1</v>
      </c>
      <c r="F232">
        <f>SUMIFS(Compras_Full[LitrosActivos],Compras_Full[customer_id],Clientes_Resumen[[#This Row],[id]])</f>
        <v>1053.8500000000001</v>
      </c>
      <c r="G232">
        <f>COUNTIFS(Compras_Full[customer_id],Clientes_Resumen[[#This Row],[id]],Compras_Full[status],"ACTIVE")</f>
        <v>5</v>
      </c>
      <c r="H232" s="2">
        <f>_xlfn.MAXIFS(Compras_Full[Fecha],Compras_Full[customer_id],Clientes_Resumen[[#This Row],[id]],Compras_Full[status],"ACTIVE")</f>
        <v>46149</v>
      </c>
      <c r="I232">
        <f>IF(Clientes_Resumen[[#This Row],[Última compra]]=0,"",Corte-Clientes_Resumen[[#This Row],[Última compra]])</f>
        <v>166</v>
      </c>
      <c r="J232" t="str" cm="1">
        <f t="array" ref="J23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3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105.39</v>
      </c>
      <c r="L232">
        <f>ROUND(Clientes_Resumen[[#This Row],[points]]-Clientes_Resumen[[#This Row],[Saldo ledger]],2)</f>
        <v>0</v>
      </c>
    </row>
    <row r="233" spans="1:12" x14ac:dyDescent="0.3">
      <c r="A233">
        <v>235</v>
      </c>
      <c r="B233" t="s">
        <v>465</v>
      </c>
      <c r="C233" t="s">
        <v>466</v>
      </c>
      <c r="D233">
        <v>19.440000000000001</v>
      </c>
      <c r="E233">
        <v>1</v>
      </c>
      <c r="F233">
        <f>SUMIFS(Compras_Full[LitrosActivos],Compras_Full[customer_id],Clientes_Resumen[[#This Row],[id]])</f>
        <v>444.67</v>
      </c>
      <c r="G233">
        <f>COUNTIFS(Compras_Full[customer_id],Clientes_Resumen[[#This Row],[id]],Compras_Full[status],"ACTIVE")</f>
        <v>13</v>
      </c>
      <c r="H233" s="2">
        <f>_xlfn.MAXIFS(Compras_Full[Fecha],Compras_Full[customer_id],Clientes_Resumen[[#This Row],[id]],Compras_Full[status],"ACTIVE")</f>
        <v>46253</v>
      </c>
      <c r="I233">
        <f>IF(Clientes_Resumen[[#This Row],[Última compra]]=0,"",Corte-Clientes_Resumen[[#This Row],[Última compra]])</f>
        <v>62</v>
      </c>
      <c r="J233" t="str" cm="1">
        <f t="array" ref="J23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3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19.439999999999994</v>
      </c>
      <c r="L233">
        <f>ROUND(Clientes_Resumen[[#This Row],[points]]-Clientes_Resumen[[#This Row],[Saldo ledger]],2)</f>
        <v>0</v>
      </c>
    </row>
    <row r="234" spans="1:12" x14ac:dyDescent="0.3">
      <c r="A234">
        <v>236</v>
      </c>
      <c r="B234" t="s">
        <v>467</v>
      </c>
      <c r="C234" t="s">
        <v>468</v>
      </c>
      <c r="D234">
        <v>0</v>
      </c>
      <c r="E234">
        <v>1</v>
      </c>
      <c r="F234">
        <f>SUMIFS(Compras_Full[LitrosActivos],Compras_Full[customer_id],Clientes_Resumen[[#This Row],[id]])</f>
        <v>0</v>
      </c>
      <c r="G234">
        <f>COUNTIFS(Compras_Full[customer_id],Clientes_Resumen[[#This Row],[id]],Compras_Full[status],"ACTIVE")</f>
        <v>0</v>
      </c>
      <c r="H234" s="2">
        <f>_xlfn.MAXIFS(Compras_Full[Fecha],Compras_Full[customer_id],Clientes_Resumen[[#This Row],[id]],Compras_Full[status],"ACTIVE")</f>
        <v>0</v>
      </c>
      <c r="I234" t="str">
        <f>IF(Clientes_Resumen[[#This Row],[Última compra]]=0,"",Corte-Clientes_Resumen[[#This Row],[Última compra]])</f>
        <v/>
      </c>
      <c r="J234" t="str" cm="1">
        <f t="array" ref="J23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23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234">
        <f>ROUND(Clientes_Resumen[[#This Row],[points]]-Clientes_Resumen[[#This Row],[Saldo ledger]],2)</f>
        <v>0</v>
      </c>
    </row>
    <row r="235" spans="1:12" x14ac:dyDescent="0.3">
      <c r="A235">
        <v>237</v>
      </c>
      <c r="B235" t="s">
        <v>469</v>
      </c>
      <c r="C235" t="s">
        <v>470</v>
      </c>
      <c r="D235">
        <v>54.16</v>
      </c>
      <c r="E235">
        <v>1</v>
      </c>
      <c r="F235">
        <f>SUMIFS(Compras_Full[LitrosActivos],Compras_Full[customer_id],Clientes_Resumen[[#This Row],[id]])</f>
        <v>541.57000000000005</v>
      </c>
      <c r="G235">
        <f>COUNTIFS(Compras_Full[customer_id],Clientes_Resumen[[#This Row],[id]],Compras_Full[status],"ACTIVE")</f>
        <v>4</v>
      </c>
      <c r="H235" s="2">
        <f>_xlfn.MAXIFS(Compras_Full[Fecha],Compras_Full[customer_id],Clientes_Resumen[[#This Row],[id]],Compras_Full[status],"ACTIVE")</f>
        <v>46285</v>
      </c>
      <c r="I235">
        <f>IF(Clientes_Resumen[[#This Row],[Última compra]]=0,"",Corte-Clientes_Resumen[[#This Row],[Última compra]])</f>
        <v>30</v>
      </c>
      <c r="J235" t="str" cm="1">
        <f t="array" ref="J23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3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54.16</v>
      </c>
      <c r="L235">
        <f>ROUND(Clientes_Resumen[[#This Row],[points]]-Clientes_Resumen[[#This Row],[Saldo ledger]],2)</f>
        <v>0</v>
      </c>
    </row>
    <row r="236" spans="1:12" x14ac:dyDescent="0.3">
      <c r="A236">
        <v>238</v>
      </c>
      <c r="B236" t="s">
        <v>471</v>
      </c>
      <c r="C236" t="s">
        <v>472</v>
      </c>
      <c r="D236">
        <v>9.2899999999999991</v>
      </c>
      <c r="E236">
        <v>1</v>
      </c>
      <c r="F236">
        <f>SUMIFS(Compras_Full[LitrosActivos],Compras_Full[customer_id],Clientes_Resumen[[#This Row],[id]])</f>
        <v>92.87</v>
      </c>
      <c r="G236">
        <f>COUNTIFS(Compras_Full[customer_id],Clientes_Resumen[[#This Row],[id]],Compras_Full[status],"ACTIVE")</f>
        <v>3</v>
      </c>
      <c r="H236" s="2">
        <f>_xlfn.MAXIFS(Compras_Full[Fecha],Compras_Full[customer_id],Clientes_Resumen[[#This Row],[id]],Compras_Full[status],"ACTIVE")</f>
        <v>46269</v>
      </c>
      <c r="I236">
        <f>IF(Clientes_Resumen[[#This Row],[Última compra]]=0,"",Corte-Clientes_Resumen[[#This Row],[Última compra]])</f>
        <v>46</v>
      </c>
      <c r="J236" t="str" cm="1">
        <f t="array" ref="J23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3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9.2900000000000009</v>
      </c>
      <c r="L236">
        <f>ROUND(Clientes_Resumen[[#This Row],[points]]-Clientes_Resumen[[#This Row],[Saldo ledger]],2)</f>
        <v>0</v>
      </c>
    </row>
    <row r="237" spans="1:12" x14ac:dyDescent="0.3">
      <c r="A237">
        <v>239</v>
      </c>
      <c r="B237" t="s">
        <v>473</v>
      </c>
      <c r="C237" t="s">
        <v>474</v>
      </c>
      <c r="D237">
        <v>4.0599999999999996</v>
      </c>
      <c r="E237">
        <v>0</v>
      </c>
      <c r="F237">
        <f>SUMIFS(Compras_Full[LitrosActivos],Compras_Full[customer_id],Clientes_Resumen[[#This Row],[id]])</f>
        <v>40.619999999999997</v>
      </c>
      <c r="G237">
        <f>COUNTIFS(Compras_Full[customer_id],Clientes_Resumen[[#This Row],[id]],Compras_Full[status],"ACTIVE")</f>
        <v>1</v>
      </c>
      <c r="H237" s="2">
        <f>_xlfn.MAXIFS(Compras_Full[Fecha],Compras_Full[customer_id],Clientes_Resumen[[#This Row],[id]],Compras_Full[status],"ACTIVE")</f>
        <v>46105</v>
      </c>
      <c r="I237">
        <f>IF(Clientes_Resumen[[#This Row],[Última compra]]=0,"",Corte-Clientes_Resumen[[#This Row],[Última compra]])</f>
        <v>210</v>
      </c>
      <c r="J237" t="str" cm="1">
        <f t="array" ref="J23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3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4.0599999999999996</v>
      </c>
      <c r="L237">
        <f>ROUND(Clientes_Resumen[[#This Row],[points]]-Clientes_Resumen[[#This Row],[Saldo ledger]],2)</f>
        <v>0</v>
      </c>
    </row>
    <row r="238" spans="1:12" x14ac:dyDescent="0.3">
      <c r="A238">
        <v>240</v>
      </c>
      <c r="B238" t="s">
        <v>475</v>
      </c>
      <c r="C238" t="s">
        <v>476</v>
      </c>
      <c r="D238">
        <v>282.19</v>
      </c>
      <c r="E238">
        <v>1</v>
      </c>
      <c r="F238">
        <f>SUMIFS(Compras_Full[LitrosActivos],Compras_Full[customer_id],Clientes_Resumen[[#This Row],[id]])</f>
        <v>4896.5499999999993</v>
      </c>
      <c r="G238">
        <f>COUNTIFS(Compras_Full[customer_id],Clientes_Resumen[[#This Row],[id]],Compras_Full[status],"ACTIVE")</f>
        <v>26</v>
      </c>
      <c r="H238" s="2">
        <f>_xlfn.MAXIFS(Compras_Full[Fecha],Compras_Full[customer_id],Clientes_Resumen[[#This Row],[id]],Compras_Full[status],"ACTIVE")</f>
        <v>46055</v>
      </c>
      <c r="I238">
        <f>IF(Clientes_Resumen[[#This Row],[Última compra]]=0,"",Corte-Clientes_Resumen[[#This Row],[Última compra]])</f>
        <v>260</v>
      </c>
      <c r="J238" t="str" cm="1">
        <f t="array" ref="J23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3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282.19000000000005</v>
      </c>
      <c r="L238">
        <f>ROUND(Clientes_Resumen[[#This Row],[points]]-Clientes_Resumen[[#This Row],[Saldo ledger]],2)</f>
        <v>0</v>
      </c>
    </row>
    <row r="239" spans="1:12" x14ac:dyDescent="0.3">
      <c r="A239">
        <v>241</v>
      </c>
      <c r="B239" t="s">
        <v>477</v>
      </c>
      <c r="C239" t="s">
        <v>478</v>
      </c>
      <c r="D239">
        <v>58.37</v>
      </c>
      <c r="E239">
        <v>1</v>
      </c>
      <c r="F239">
        <f>SUMIFS(Compras_Full[LitrosActivos],Compras_Full[customer_id],Clientes_Resumen[[#This Row],[id]])</f>
        <v>583.62000000000012</v>
      </c>
      <c r="G239">
        <f>COUNTIFS(Compras_Full[customer_id],Clientes_Resumen[[#This Row],[id]],Compras_Full[status],"ACTIVE")</f>
        <v>18</v>
      </c>
      <c r="H239" s="2">
        <f>_xlfn.MAXIFS(Compras_Full[Fecha],Compras_Full[customer_id],Clientes_Resumen[[#This Row],[id]],Compras_Full[status],"ACTIVE")</f>
        <v>46287</v>
      </c>
      <c r="I239">
        <f>IF(Clientes_Resumen[[#This Row],[Última compra]]=0,"",Corte-Clientes_Resumen[[#This Row],[Última compra]])</f>
        <v>28</v>
      </c>
      <c r="J239" t="str" cm="1">
        <f t="array" ref="J23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3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58.370000000000005</v>
      </c>
      <c r="L239">
        <f>ROUND(Clientes_Resumen[[#This Row],[points]]-Clientes_Resumen[[#This Row],[Saldo ledger]],2)</f>
        <v>0</v>
      </c>
    </row>
    <row r="240" spans="1:12" x14ac:dyDescent="0.3">
      <c r="A240">
        <v>242</v>
      </c>
      <c r="B240" t="s">
        <v>479</v>
      </c>
      <c r="C240" t="s">
        <v>480</v>
      </c>
      <c r="D240">
        <v>4.12</v>
      </c>
      <c r="E240">
        <v>1</v>
      </c>
      <c r="F240">
        <f>SUMIFS(Compras_Full[LitrosActivos],Compras_Full[customer_id],Clientes_Resumen[[#This Row],[id]])</f>
        <v>41.16</v>
      </c>
      <c r="G240">
        <f>COUNTIFS(Compras_Full[customer_id],Clientes_Resumen[[#This Row],[id]],Compras_Full[status],"ACTIVE")</f>
        <v>1</v>
      </c>
      <c r="H240" s="2">
        <f>_xlfn.MAXIFS(Compras_Full[Fecha],Compras_Full[customer_id],Clientes_Resumen[[#This Row],[id]],Compras_Full[status],"ACTIVE")</f>
        <v>46272</v>
      </c>
      <c r="I240">
        <f>IF(Clientes_Resumen[[#This Row],[Última compra]]=0,"",Corte-Clientes_Resumen[[#This Row],[Última compra]])</f>
        <v>43</v>
      </c>
      <c r="J240" t="str" cm="1">
        <f t="array" ref="J24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4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4.12</v>
      </c>
      <c r="L240">
        <f>ROUND(Clientes_Resumen[[#This Row],[points]]-Clientes_Resumen[[#This Row],[Saldo ledger]],2)</f>
        <v>0</v>
      </c>
    </row>
    <row r="241" spans="1:12" x14ac:dyDescent="0.3">
      <c r="A241">
        <v>243</v>
      </c>
      <c r="B241" t="s">
        <v>481</v>
      </c>
      <c r="C241" t="s">
        <v>482</v>
      </c>
      <c r="D241">
        <v>46.54</v>
      </c>
      <c r="E241">
        <v>1</v>
      </c>
      <c r="F241">
        <f>SUMIFS(Compras_Full[LitrosActivos],Compras_Full[customer_id],Clientes_Resumen[[#This Row],[id]])</f>
        <v>871.73</v>
      </c>
      <c r="G241">
        <f>COUNTIFS(Compras_Full[customer_id],Clientes_Resumen[[#This Row],[id]],Compras_Full[status],"ACTIVE")</f>
        <v>26</v>
      </c>
      <c r="H241" s="2">
        <f>_xlfn.MAXIFS(Compras_Full[Fecha],Compras_Full[customer_id],Clientes_Resumen[[#This Row],[id]],Compras_Full[status],"ACTIVE")</f>
        <v>46309</v>
      </c>
      <c r="I241">
        <f>IF(Clientes_Resumen[[#This Row],[Última compra]]=0,"",Corte-Clientes_Resumen[[#This Row],[Última compra]])</f>
        <v>6</v>
      </c>
      <c r="J241" t="str" cm="1">
        <f t="array" ref="J24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4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46.539999999999992</v>
      </c>
      <c r="L241">
        <f>ROUND(Clientes_Resumen[[#This Row],[points]]-Clientes_Resumen[[#This Row],[Saldo ledger]],2)</f>
        <v>0</v>
      </c>
    </row>
    <row r="242" spans="1:12" x14ac:dyDescent="0.3">
      <c r="A242">
        <v>244</v>
      </c>
      <c r="B242" t="s">
        <v>483</v>
      </c>
      <c r="C242" t="s">
        <v>484</v>
      </c>
      <c r="D242">
        <v>147.02000000000001</v>
      </c>
      <c r="E242">
        <v>1</v>
      </c>
      <c r="F242">
        <f>SUMIFS(Compras_Full[LitrosActivos],Compras_Full[customer_id],Clientes_Resumen[[#This Row],[id]])</f>
        <v>2617.0900000000006</v>
      </c>
      <c r="G242">
        <f>COUNTIFS(Compras_Full[customer_id],Clientes_Resumen[[#This Row],[id]],Compras_Full[status],"ACTIVE")</f>
        <v>26</v>
      </c>
      <c r="H242" s="2">
        <f>_xlfn.MAXIFS(Compras_Full[Fecha],Compras_Full[customer_id],Clientes_Resumen[[#This Row],[id]],Compras_Full[status],"ACTIVE")</f>
        <v>46251</v>
      </c>
      <c r="I242">
        <f>IF(Clientes_Resumen[[#This Row],[Última compra]]=0,"",Corte-Clientes_Resumen[[#This Row],[Última compra]])</f>
        <v>64</v>
      </c>
      <c r="J242" t="str" cm="1">
        <f t="array" ref="J24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4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147.02000000000001</v>
      </c>
      <c r="L242">
        <f>ROUND(Clientes_Resumen[[#This Row],[points]]-Clientes_Resumen[[#This Row],[Saldo ledger]],2)</f>
        <v>0</v>
      </c>
    </row>
    <row r="243" spans="1:12" x14ac:dyDescent="0.3">
      <c r="A243">
        <v>245</v>
      </c>
      <c r="B243" t="s">
        <v>485</v>
      </c>
      <c r="C243" t="s">
        <v>486</v>
      </c>
      <c r="D243">
        <v>22.53</v>
      </c>
      <c r="E243">
        <v>0</v>
      </c>
      <c r="F243">
        <f>SUMIFS(Compras_Full[LitrosActivos],Compras_Full[customer_id],Clientes_Resumen[[#This Row],[id]])</f>
        <v>594.74</v>
      </c>
      <c r="G243">
        <f>COUNTIFS(Compras_Full[customer_id],Clientes_Resumen[[#This Row],[id]],Compras_Full[status],"ACTIVE")</f>
        <v>19</v>
      </c>
      <c r="H243" s="2">
        <f>_xlfn.MAXIFS(Compras_Full[Fecha],Compras_Full[customer_id],Clientes_Resumen[[#This Row],[id]],Compras_Full[status],"ACTIVE")</f>
        <v>46288</v>
      </c>
      <c r="I243">
        <f>IF(Clientes_Resumen[[#This Row],[Última compra]]=0,"",Corte-Clientes_Resumen[[#This Row],[Última compra]])</f>
        <v>27</v>
      </c>
      <c r="J243" t="str" cm="1">
        <f t="array" ref="J24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4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22.529999999999994</v>
      </c>
      <c r="L243">
        <f>ROUND(Clientes_Resumen[[#This Row],[points]]-Clientes_Resumen[[#This Row],[Saldo ledger]],2)</f>
        <v>0</v>
      </c>
    </row>
    <row r="244" spans="1:12" x14ac:dyDescent="0.3">
      <c r="A244">
        <v>246</v>
      </c>
      <c r="B244" t="s">
        <v>487</v>
      </c>
      <c r="C244" t="s">
        <v>488</v>
      </c>
      <c r="D244">
        <v>32.340000000000003</v>
      </c>
      <c r="E244">
        <v>1</v>
      </c>
      <c r="F244">
        <f>SUMIFS(Compras_Full[LitrosActivos],Compras_Full[customer_id],Clientes_Resumen[[#This Row],[id]])</f>
        <v>323.33</v>
      </c>
      <c r="G244">
        <f>COUNTIFS(Compras_Full[customer_id],Clientes_Resumen[[#This Row],[id]],Compras_Full[status],"ACTIVE")</f>
        <v>9</v>
      </c>
      <c r="H244" s="2">
        <f>_xlfn.MAXIFS(Compras_Full[Fecha],Compras_Full[customer_id],Clientes_Resumen[[#This Row],[id]],Compras_Full[status],"ACTIVE")</f>
        <v>46305</v>
      </c>
      <c r="I244">
        <f>IF(Clientes_Resumen[[#This Row],[Última compra]]=0,"",Corte-Clientes_Resumen[[#This Row],[Última compra]])</f>
        <v>10</v>
      </c>
      <c r="J244" t="str" cm="1">
        <f t="array" ref="J24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4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32.340000000000003</v>
      </c>
      <c r="L244">
        <f>ROUND(Clientes_Resumen[[#This Row],[points]]-Clientes_Resumen[[#This Row],[Saldo ledger]],2)</f>
        <v>0</v>
      </c>
    </row>
    <row r="245" spans="1:12" x14ac:dyDescent="0.3">
      <c r="A245">
        <v>247</v>
      </c>
      <c r="B245" t="s">
        <v>489</v>
      </c>
      <c r="C245" t="s">
        <v>490</v>
      </c>
      <c r="D245">
        <v>20.74</v>
      </c>
      <c r="E245">
        <v>1</v>
      </c>
      <c r="F245">
        <f>SUMIFS(Compras_Full[LitrosActivos],Compras_Full[customer_id],Clientes_Resumen[[#This Row],[id]])</f>
        <v>207.44</v>
      </c>
      <c r="G245">
        <f>COUNTIFS(Compras_Full[customer_id],Clientes_Resumen[[#This Row],[id]],Compras_Full[status],"ACTIVE")</f>
        <v>7</v>
      </c>
      <c r="H245" s="2">
        <f>_xlfn.MAXIFS(Compras_Full[Fecha],Compras_Full[customer_id],Clientes_Resumen[[#This Row],[id]],Compras_Full[status],"ACTIVE")</f>
        <v>46255</v>
      </c>
      <c r="I245">
        <f>IF(Clientes_Resumen[[#This Row],[Última compra]]=0,"",Corte-Clientes_Resumen[[#This Row],[Última compra]])</f>
        <v>60</v>
      </c>
      <c r="J245" t="str" cm="1">
        <f t="array" ref="J24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4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20.740000000000002</v>
      </c>
      <c r="L245">
        <f>ROUND(Clientes_Resumen[[#This Row],[points]]-Clientes_Resumen[[#This Row],[Saldo ledger]],2)</f>
        <v>0</v>
      </c>
    </row>
    <row r="246" spans="1:12" x14ac:dyDescent="0.3">
      <c r="A246">
        <v>248</v>
      </c>
      <c r="B246" t="s">
        <v>491</v>
      </c>
      <c r="C246" t="s">
        <v>492</v>
      </c>
      <c r="D246">
        <v>10.84</v>
      </c>
      <c r="E246">
        <v>1</v>
      </c>
      <c r="F246">
        <f>SUMIFS(Compras_Full[LitrosActivos],Compras_Full[customer_id],Clientes_Resumen[[#This Row],[id]])</f>
        <v>108.38</v>
      </c>
      <c r="G246">
        <f>COUNTIFS(Compras_Full[customer_id],Clientes_Resumen[[#This Row],[id]],Compras_Full[status],"ACTIVE")</f>
        <v>1</v>
      </c>
      <c r="H246" s="2">
        <f>_xlfn.MAXIFS(Compras_Full[Fecha],Compras_Full[customer_id],Clientes_Resumen[[#This Row],[id]],Compras_Full[status],"ACTIVE")</f>
        <v>46299</v>
      </c>
      <c r="I246">
        <f>IF(Clientes_Resumen[[#This Row],[Última compra]]=0,"",Corte-Clientes_Resumen[[#This Row],[Última compra]])</f>
        <v>16</v>
      </c>
      <c r="J246" t="str" cm="1">
        <f t="array" ref="J24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4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10.84</v>
      </c>
      <c r="L246">
        <f>ROUND(Clientes_Resumen[[#This Row],[points]]-Clientes_Resumen[[#This Row],[Saldo ledger]],2)</f>
        <v>0</v>
      </c>
    </row>
    <row r="247" spans="1:12" x14ac:dyDescent="0.3">
      <c r="A247">
        <v>249</v>
      </c>
      <c r="B247" t="s">
        <v>493</v>
      </c>
      <c r="C247" t="s">
        <v>494</v>
      </c>
      <c r="D247">
        <v>104.71</v>
      </c>
      <c r="E247">
        <v>1</v>
      </c>
      <c r="F247">
        <f>SUMIFS(Compras_Full[LitrosActivos],Compras_Full[customer_id],Clientes_Resumen[[#This Row],[id]])</f>
        <v>815.06</v>
      </c>
      <c r="G247">
        <f>COUNTIFS(Compras_Full[customer_id],Clientes_Resumen[[#This Row],[id]],Compras_Full[status],"ACTIVE")</f>
        <v>8</v>
      </c>
      <c r="H247" s="2">
        <f>_xlfn.MAXIFS(Compras_Full[Fecha],Compras_Full[customer_id],Clientes_Resumen[[#This Row],[id]],Compras_Full[status],"ACTIVE")</f>
        <v>46218</v>
      </c>
      <c r="I247">
        <f>IF(Clientes_Resumen[[#This Row],[Última compra]]=0,"",Corte-Clientes_Resumen[[#This Row],[Última compra]])</f>
        <v>97</v>
      </c>
      <c r="J247" t="str" cm="1">
        <f t="array" ref="J24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4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104.71000000000001</v>
      </c>
      <c r="L247">
        <f>ROUND(Clientes_Resumen[[#This Row],[points]]-Clientes_Resumen[[#This Row],[Saldo ledger]],2)</f>
        <v>0</v>
      </c>
    </row>
    <row r="248" spans="1:12" x14ac:dyDescent="0.3">
      <c r="A248">
        <v>250</v>
      </c>
      <c r="B248" t="s">
        <v>495</v>
      </c>
      <c r="C248" t="s">
        <v>496</v>
      </c>
      <c r="D248">
        <v>199.54</v>
      </c>
      <c r="E248">
        <v>1</v>
      </c>
      <c r="F248">
        <f>SUMIFS(Compras_Full[LitrosActivos],Compras_Full[customer_id],Clientes_Resumen[[#This Row],[id]])</f>
        <v>9109.409999999998</v>
      </c>
      <c r="G248">
        <f>COUNTIFS(Compras_Full[customer_id],Clientes_Resumen[[#This Row],[id]],Compras_Full[status],"ACTIVE")</f>
        <v>90</v>
      </c>
      <c r="H248" s="2">
        <f>_xlfn.MAXIFS(Compras_Full[Fecha],Compras_Full[customer_id],Clientes_Resumen[[#This Row],[id]],Compras_Full[status],"ACTIVE")</f>
        <v>46308</v>
      </c>
      <c r="I248">
        <f>IF(Clientes_Resumen[[#This Row],[Última compra]]=0,"",Corte-Clientes_Resumen[[#This Row],[Última compra]])</f>
        <v>7</v>
      </c>
      <c r="J248" t="str" cm="1">
        <f t="array" ref="J24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4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199.54000000000019</v>
      </c>
      <c r="L248">
        <f>ROUND(Clientes_Resumen[[#This Row],[points]]-Clientes_Resumen[[#This Row],[Saldo ledger]],2)</f>
        <v>0</v>
      </c>
    </row>
    <row r="249" spans="1:12" x14ac:dyDescent="0.3">
      <c r="A249">
        <v>251</v>
      </c>
      <c r="B249" t="s">
        <v>497</v>
      </c>
      <c r="C249" t="s">
        <v>498</v>
      </c>
      <c r="D249">
        <v>50.89</v>
      </c>
      <c r="E249">
        <v>1</v>
      </c>
      <c r="F249">
        <f>SUMIFS(Compras_Full[LitrosActivos],Compras_Full[customer_id],Clientes_Resumen[[#This Row],[id]])</f>
        <v>508.74</v>
      </c>
      <c r="G249">
        <f>COUNTIFS(Compras_Full[customer_id],Clientes_Resumen[[#This Row],[id]],Compras_Full[status],"ACTIVE")</f>
        <v>6</v>
      </c>
      <c r="H249" s="2">
        <f>_xlfn.MAXIFS(Compras_Full[Fecha],Compras_Full[customer_id],Clientes_Resumen[[#This Row],[id]],Compras_Full[status],"ACTIVE")</f>
        <v>46106</v>
      </c>
      <c r="I249">
        <f>IF(Clientes_Resumen[[#This Row],[Última compra]]=0,"",Corte-Clientes_Resumen[[#This Row],[Última compra]])</f>
        <v>209</v>
      </c>
      <c r="J249" t="str" cm="1">
        <f t="array" ref="J24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4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50.89</v>
      </c>
      <c r="L249">
        <f>ROUND(Clientes_Resumen[[#This Row],[points]]-Clientes_Resumen[[#This Row],[Saldo ledger]],2)</f>
        <v>0</v>
      </c>
    </row>
    <row r="250" spans="1:12" x14ac:dyDescent="0.3">
      <c r="A250">
        <v>252</v>
      </c>
      <c r="B250" t="s">
        <v>499</v>
      </c>
      <c r="C250" t="s">
        <v>500</v>
      </c>
      <c r="D250">
        <v>52.93</v>
      </c>
      <c r="E250">
        <v>1</v>
      </c>
      <c r="F250">
        <f>SUMIFS(Compras_Full[LitrosActivos],Compras_Full[customer_id],Clientes_Resumen[[#This Row],[id]])</f>
        <v>529.33000000000004</v>
      </c>
      <c r="G250">
        <f>COUNTIFS(Compras_Full[customer_id],Clientes_Resumen[[#This Row],[id]],Compras_Full[status],"ACTIVE")</f>
        <v>17</v>
      </c>
      <c r="H250" s="2">
        <f>_xlfn.MAXIFS(Compras_Full[Fecha],Compras_Full[customer_id],Clientes_Resumen[[#This Row],[id]],Compras_Full[status],"ACTIVE")</f>
        <v>46237</v>
      </c>
      <c r="I250">
        <f>IF(Clientes_Resumen[[#This Row],[Última compra]]=0,"",Corte-Clientes_Resumen[[#This Row],[Última compra]])</f>
        <v>78</v>
      </c>
      <c r="J250" t="str" cm="1">
        <f t="array" ref="J25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5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52.930000000000007</v>
      </c>
      <c r="L250">
        <f>ROUND(Clientes_Resumen[[#This Row],[points]]-Clientes_Resumen[[#This Row],[Saldo ledger]],2)</f>
        <v>0</v>
      </c>
    </row>
    <row r="251" spans="1:12" x14ac:dyDescent="0.3">
      <c r="A251">
        <v>253</v>
      </c>
      <c r="B251" t="s">
        <v>501</v>
      </c>
      <c r="C251" t="s">
        <v>502</v>
      </c>
      <c r="D251">
        <v>29.42</v>
      </c>
      <c r="E251">
        <v>1</v>
      </c>
      <c r="F251">
        <f>SUMIFS(Compras_Full[LitrosActivos],Compras_Full[customer_id],Clientes_Resumen[[#This Row],[id]])</f>
        <v>293.60000000000002</v>
      </c>
      <c r="G251">
        <f>COUNTIFS(Compras_Full[customer_id],Clientes_Resumen[[#This Row],[id]],Compras_Full[status],"ACTIVE")</f>
        <v>9</v>
      </c>
      <c r="H251" s="2">
        <f>_xlfn.MAXIFS(Compras_Full[Fecha],Compras_Full[customer_id],Clientes_Resumen[[#This Row],[id]],Compras_Full[status],"ACTIVE")</f>
        <v>46162</v>
      </c>
      <c r="I251">
        <f>IF(Clientes_Resumen[[#This Row],[Última compra]]=0,"",Corte-Clientes_Resumen[[#This Row],[Última compra]])</f>
        <v>153</v>
      </c>
      <c r="J251" t="str" cm="1">
        <f t="array" ref="J25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5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29.419999999999998</v>
      </c>
      <c r="L251">
        <f>ROUND(Clientes_Resumen[[#This Row],[points]]-Clientes_Resumen[[#This Row],[Saldo ledger]],2)</f>
        <v>0</v>
      </c>
    </row>
    <row r="252" spans="1:12" x14ac:dyDescent="0.3">
      <c r="A252">
        <v>254</v>
      </c>
      <c r="B252" t="s">
        <v>503</v>
      </c>
      <c r="C252" t="s">
        <v>504</v>
      </c>
      <c r="D252">
        <v>56.26</v>
      </c>
      <c r="E252">
        <v>1</v>
      </c>
      <c r="F252">
        <f>SUMIFS(Compras_Full[LitrosActivos],Compras_Full[customer_id],Clientes_Resumen[[#This Row],[id]])</f>
        <v>562.58999999999992</v>
      </c>
      <c r="G252">
        <f>COUNTIFS(Compras_Full[customer_id],Clientes_Resumen[[#This Row],[id]],Compras_Full[status],"ACTIVE")</f>
        <v>3</v>
      </c>
      <c r="H252" s="2">
        <f>_xlfn.MAXIFS(Compras_Full[Fecha],Compras_Full[customer_id],Clientes_Resumen[[#This Row],[id]],Compras_Full[status],"ACTIVE")</f>
        <v>46200</v>
      </c>
      <c r="I252">
        <f>IF(Clientes_Resumen[[#This Row],[Última compra]]=0,"",Corte-Clientes_Resumen[[#This Row],[Última compra]])</f>
        <v>115</v>
      </c>
      <c r="J252" t="str" cm="1">
        <f t="array" ref="J25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5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56.260000000000005</v>
      </c>
      <c r="L252">
        <f>ROUND(Clientes_Resumen[[#This Row],[points]]-Clientes_Resumen[[#This Row],[Saldo ledger]],2)</f>
        <v>0</v>
      </c>
    </row>
    <row r="253" spans="1:12" x14ac:dyDescent="0.3">
      <c r="A253">
        <v>255</v>
      </c>
      <c r="B253" t="s">
        <v>505</v>
      </c>
      <c r="C253" t="s">
        <v>506</v>
      </c>
      <c r="D253">
        <v>18.39</v>
      </c>
      <c r="E253">
        <v>1</v>
      </c>
      <c r="F253">
        <f>SUMIFS(Compras_Full[LitrosActivos],Compras_Full[customer_id],Clientes_Resumen[[#This Row],[id]])</f>
        <v>183.95</v>
      </c>
      <c r="G253">
        <f>COUNTIFS(Compras_Full[customer_id],Clientes_Resumen[[#This Row],[id]],Compras_Full[status],"ACTIVE")</f>
        <v>6</v>
      </c>
      <c r="H253" s="2">
        <f>_xlfn.MAXIFS(Compras_Full[Fecha],Compras_Full[customer_id],Clientes_Resumen[[#This Row],[id]],Compras_Full[status],"ACTIVE")</f>
        <v>46196</v>
      </c>
      <c r="I253">
        <f>IF(Clientes_Resumen[[#This Row],[Última compra]]=0,"",Corte-Clientes_Resumen[[#This Row],[Última compra]])</f>
        <v>119</v>
      </c>
      <c r="J253" t="str" cm="1">
        <f t="array" ref="J25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5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18.39</v>
      </c>
      <c r="L253">
        <f>ROUND(Clientes_Resumen[[#This Row],[points]]-Clientes_Resumen[[#This Row],[Saldo ledger]],2)</f>
        <v>0</v>
      </c>
    </row>
    <row r="254" spans="1:12" x14ac:dyDescent="0.3">
      <c r="A254">
        <v>256</v>
      </c>
      <c r="B254" t="s">
        <v>507</v>
      </c>
      <c r="C254" t="s">
        <v>508</v>
      </c>
      <c r="D254">
        <v>0</v>
      </c>
      <c r="E254">
        <v>1</v>
      </c>
      <c r="F254">
        <f>SUMIFS(Compras_Full[LitrosActivos],Compras_Full[customer_id],Clientes_Resumen[[#This Row],[id]])</f>
        <v>0</v>
      </c>
      <c r="G254">
        <f>COUNTIFS(Compras_Full[customer_id],Clientes_Resumen[[#This Row],[id]],Compras_Full[status],"ACTIVE")</f>
        <v>0</v>
      </c>
      <c r="H254" s="2">
        <f>_xlfn.MAXIFS(Compras_Full[Fecha],Compras_Full[customer_id],Clientes_Resumen[[#This Row],[id]],Compras_Full[status],"ACTIVE")</f>
        <v>0</v>
      </c>
      <c r="I254" t="str">
        <f>IF(Clientes_Resumen[[#This Row],[Última compra]]=0,"",Corte-Clientes_Resumen[[#This Row],[Última compra]])</f>
        <v/>
      </c>
      <c r="J254" t="str" cm="1">
        <f t="array" ref="J25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25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254">
        <f>ROUND(Clientes_Resumen[[#This Row],[points]]-Clientes_Resumen[[#This Row],[Saldo ledger]],2)</f>
        <v>0</v>
      </c>
    </row>
    <row r="255" spans="1:12" x14ac:dyDescent="0.3">
      <c r="A255">
        <v>257</v>
      </c>
      <c r="B255" t="s">
        <v>509</v>
      </c>
      <c r="C255" t="s">
        <v>510</v>
      </c>
      <c r="D255">
        <v>49.04</v>
      </c>
      <c r="E255">
        <v>1</v>
      </c>
      <c r="F255">
        <f>SUMIFS(Compras_Full[LitrosActivos],Compras_Full[customer_id],Clientes_Resumen[[#This Row],[id]])</f>
        <v>490.20999999999992</v>
      </c>
      <c r="G255">
        <f>COUNTIFS(Compras_Full[customer_id],Clientes_Resumen[[#This Row],[id]],Compras_Full[status],"ACTIVE")</f>
        <v>5</v>
      </c>
      <c r="H255" s="2">
        <f>_xlfn.MAXIFS(Compras_Full[Fecha],Compras_Full[customer_id],Clientes_Resumen[[#This Row],[id]],Compras_Full[status],"ACTIVE")</f>
        <v>46131</v>
      </c>
      <c r="I255">
        <f>IF(Clientes_Resumen[[#This Row],[Última compra]]=0,"",Corte-Clientes_Resumen[[#This Row],[Última compra]])</f>
        <v>184</v>
      </c>
      <c r="J255" t="str" cm="1">
        <f t="array" ref="J25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5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49.04</v>
      </c>
      <c r="L255">
        <f>ROUND(Clientes_Resumen[[#This Row],[points]]-Clientes_Resumen[[#This Row],[Saldo ledger]],2)</f>
        <v>0</v>
      </c>
    </row>
    <row r="256" spans="1:12" x14ac:dyDescent="0.3">
      <c r="A256">
        <v>258</v>
      </c>
      <c r="B256" t="s">
        <v>511</v>
      </c>
      <c r="C256" t="s">
        <v>512</v>
      </c>
      <c r="D256">
        <v>2.0699999999999998</v>
      </c>
      <c r="E256">
        <v>1</v>
      </c>
      <c r="F256">
        <f>SUMIFS(Compras_Full[LitrosActivos],Compras_Full[customer_id],Clientes_Resumen[[#This Row],[id]])</f>
        <v>20.68</v>
      </c>
      <c r="G256">
        <f>COUNTIFS(Compras_Full[customer_id],Clientes_Resumen[[#This Row],[id]],Compras_Full[status],"ACTIVE")</f>
        <v>1</v>
      </c>
      <c r="H256" s="2">
        <f>_xlfn.MAXIFS(Compras_Full[Fecha],Compras_Full[customer_id],Clientes_Resumen[[#This Row],[id]],Compras_Full[status],"ACTIVE")</f>
        <v>46283</v>
      </c>
      <c r="I256">
        <f>IF(Clientes_Resumen[[#This Row],[Última compra]]=0,"",Corte-Clientes_Resumen[[#This Row],[Última compra]])</f>
        <v>32</v>
      </c>
      <c r="J256" t="str" cm="1">
        <f t="array" ref="J25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5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2.0699999999999998</v>
      </c>
      <c r="L256">
        <f>ROUND(Clientes_Resumen[[#This Row],[points]]-Clientes_Resumen[[#This Row],[Saldo ledger]],2)</f>
        <v>0</v>
      </c>
    </row>
    <row r="257" spans="1:12" x14ac:dyDescent="0.3">
      <c r="A257">
        <v>259</v>
      </c>
      <c r="B257" t="s">
        <v>513</v>
      </c>
      <c r="C257" t="s">
        <v>514</v>
      </c>
      <c r="D257">
        <v>9.67</v>
      </c>
      <c r="E257">
        <v>1</v>
      </c>
      <c r="F257">
        <f>SUMIFS(Compras_Full[LitrosActivos],Compras_Full[customer_id],Clientes_Resumen[[#This Row],[id]])</f>
        <v>96.73</v>
      </c>
      <c r="G257">
        <f>COUNTIFS(Compras_Full[customer_id],Clientes_Resumen[[#This Row],[id]],Compras_Full[status],"ACTIVE")</f>
        <v>3</v>
      </c>
      <c r="H257" s="2">
        <f>_xlfn.MAXIFS(Compras_Full[Fecha],Compras_Full[customer_id],Clientes_Resumen[[#This Row],[id]],Compras_Full[status],"ACTIVE")</f>
        <v>46218</v>
      </c>
      <c r="I257">
        <f>IF(Clientes_Resumen[[#This Row],[Última compra]]=0,"",Corte-Clientes_Resumen[[#This Row],[Última compra]])</f>
        <v>97</v>
      </c>
      <c r="J257" t="str" cm="1">
        <f t="array" ref="J25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5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9.67</v>
      </c>
      <c r="L257">
        <f>ROUND(Clientes_Resumen[[#This Row],[points]]-Clientes_Resumen[[#This Row],[Saldo ledger]],2)</f>
        <v>0</v>
      </c>
    </row>
    <row r="258" spans="1:12" x14ac:dyDescent="0.3">
      <c r="A258">
        <v>260</v>
      </c>
      <c r="B258" t="s">
        <v>515</v>
      </c>
      <c r="C258" t="s">
        <v>516</v>
      </c>
      <c r="D258">
        <v>0</v>
      </c>
      <c r="E258">
        <v>1</v>
      </c>
      <c r="F258">
        <f>SUMIFS(Compras_Full[LitrosActivos],Compras_Full[customer_id],Clientes_Resumen[[#This Row],[id]])</f>
        <v>0</v>
      </c>
      <c r="G258">
        <f>COUNTIFS(Compras_Full[customer_id],Clientes_Resumen[[#This Row],[id]],Compras_Full[status],"ACTIVE")</f>
        <v>0</v>
      </c>
      <c r="H258" s="2">
        <f>_xlfn.MAXIFS(Compras_Full[Fecha],Compras_Full[customer_id],Clientes_Resumen[[#This Row],[id]],Compras_Full[status],"ACTIVE")</f>
        <v>0</v>
      </c>
      <c r="I258" t="str">
        <f>IF(Clientes_Resumen[[#This Row],[Última compra]]=0,"",Corte-Clientes_Resumen[[#This Row],[Última compra]])</f>
        <v/>
      </c>
      <c r="J258" t="str" cm="1">
        <f t="array" ref="J25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25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258">
        <f>ROUND(Clientes_Resumen[[#This Row],[points]]-Clientes_Resumen[[#This Row],[Saldo ledger]],2)</f>
        <v>0</v>
      </c>
    </row>
    <row r="259" spans="1:12" x14ac:dyDescent="0.3">
      <c r="A259">
        <v>261</v>
      </c>
      <c r="B259" t="s">
        <v>517</v>
      </c>
      <c r="C259" t="s">
        <v>518</v>
      </c>
      <c r="D259">
        <v>97.86</v>
      </c>
      <c r="E259">
        <v>1</v>
      </c>
      <c r="F259">
        <f>SUMIFS(Compras_Full[LitrosActivos],Compras_Full[customer_id],Clientes_Resumen[[#This Row],[id]])</f>
        <v>978.41</v>
      </c>
      <c r="G259">
        <f>COUNTIFS(Compras_Full[customer_id],Clientes_Resumen[[#This Row],[id]],Compras_Full[status],"ACTIVE")</f>
        <v>12</v>
      </c>
      <c r="H259" s="2">
        <f>_xlfn.MAXIFS(Compras_Full[Fecha],Compras_Full[customer_id],Clientes_Resumen[[#This Row],[id]],Compras_Full[status],"ACTIVE")</f>
        <v>46224</v>
      </c>
      <c r="I259">
        <f>IF(Clientes_Resumen[[#This Row],[Última compra]]=0,"",Corte-Clientes_Resumen[[#This Row],[Última compra]])</f>
        <v>91</v>
      </c>
      <c r="J259" t="str" cm="1">
        <f t="array" ref="J25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5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97.859999999999985</v>
      </c>
      <c r="L259">
        <f>ROUND(Clientes_Resumen[[#This Row],[points]]-Clientes_Resumen[[#This Row],[Saldo ledger]],2)</f>
        <v>0</v>
      </c>
    </row>
    <row r="260" spans="1:12" x14ac:dyDescent="0.3">
      <c r="A260">
        <v>262</v>
      </c>
      <c r="B260" t="s">
        <v>519</v>
      </c>
      <c r="C260" t="s">
        <v>520</v>
      </c>
      <c r="D260">
        <v>41.15</v>
      </c>
      <c r="E260">
        <v>1</v>
      </c>
      <c r="F260">
        <f>SUMIFS(Compras_Full[LitrosActivos],Compras_Full[customer_id],Clientes_Resumen[[#This Row],[id]])</f>
        <v>1991.3199999999997</v>
      </c>
      <c r="G260">
        <f>COUNTIFS(Compras_Full[customer_id],Clientes_Resumen[[#This Row],[id]],Compras_Full[status],"ACTIVE")</f>
        <v>21</v>
      </c>
      <c r="H260" s="2">
        <f>_xlfn.MAXIFS(Compras_Full[Fecha],Compras_Full[customer_id],Clientes_Resumen[[#This Row],[id]],Compras_Full[status],"ACTIVE")</f>
        <v>46151</v>
      </c>
      <c r="I260">
        <f>IF(Clientes_Resumen[[#This Row],[Última compra]]=0,"",Corte-Clientes_Resumen[[#This Row],[Última compra]])</f>
        <v>164</v>
      </c>
      <c r="J260" t="str" cm="1">
        <f t="array" ref="J26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6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41.150000000000006</v>
      </c>
      <c r="L260">
        <f>ROUND(Clientes_Resumen[[#This Row],[points]]-Clientes_Resumen[[#This Row],[Saldo ledger]],2)</f>
        <v>0</v>
      </c>
    </row>
    <row r="261" spans="1:12" x14ac:dyDescent="0.3">
      <c r="A261">
        <v>263</v>
      </c>
      <c r="B261" t="s">
        <v>521</v>
      </c>
      <c r="C261" t="s">
        <v>522</v>
      </c>
      <c r="D261">
        <v>11.49</v>
      </c>
      <c r="E261">
        <v>0</v>
      </c>
      <c r="F261">
        <f>SUMIFS(Compras_Full[LitrosActivos],Compras_Full[customer_id],Clientes_Resumen[[#This Row],[id]])</f>
        <v>115.00999999999999</v>
      </c>
      <c r="G261">
        <f>COUNTIFS(Compras_Full[customer_id],Clientes_Resumen[[#This Row],[id]],Compras_Full[status],"ACTIVE")</f>
        <v>4</v>
      </c>
      <c r="H261" s="2">
        <f>_xlfn.MAXIFS(Compras_Full[Fecha],Compras_Full[customer_id],Clientes_Resumen[[#This Row],[id]],Compras_Full[status],"ACTIVE")</f>
        <v>46277</v>
      </c>
      <c r="I261">
        <f>IF(Clientes_Resumen[[#This Row],[Última compra]]=0,"",Corte-Clientes_Resumen[[#This Row],[Última compra]])</f>
        <v>38</v>
      </c>
      <c r="J261" t="str" cm="1">
        <f t="array" ref="J26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6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11.490000000000002</v>
      </c>
      <c r="L261">
        <f>ROUND(Clientes_Resumen[[#This Row],[points]]-Clientes_Resumen[[#This Row],[Saldo ledger]],2)</f>
        <v>0</v>
      </c>
    </row>
    <row r="262" spans="1:12" x14ac:dyDescent="0.3">
      <c r="A262">
        <v>264</v>
      </c>
      <c r="B262" t="s">
        <v>523</v>
      </c>
      <c r="C262" t="s">
        <v>524</v>
      </c>
      <c r="D262">
        <v>102.7</v>
      </c>
      <c r="E262">
        <v>1</v>
      </c>
      <c r="F262">
        <f>SUMIFS(Compras_Full[LitrosActivos],Compras_Full[customer_id],Clientes_Resumen[[#This Row],[id]])</f>
        <v>1026.93</v>
      </c>
      <c r="G262">
        <f>COUNTIFS(Compras_Full[customer_id],Clientes_Resumen[[#This Row],[id]],Compras_Full[status],"ACTIVE")</f>
        <v>5</v>
      </c>
      <c r="H262" s="2">
        <f>_xlfn.MAXIFS(Compras_Full[Fecha],Compras_Full[customer_id],Clientes_Resumen[[#This Row],[id]],Compras_Full[status],"ACTIVE")</f>
        <v>46303</v>
      </c>
      <c r="I262">
        <f>IF(Clientes_Resumen[[#This Row],[Última compra]]=0,"",Corte-Clientes_Resumen[[#This Row],[Última compra]])</f>
        <v>12</v>
      </c>
      <c r="J262" t="str" cm="1">
        <f t="array" ref="J26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6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102.7</v>
      </c>
      <c r="L262">
        <f>ROUND(Clientes_Resumen[[#This Row],[points]]-Clientes_Resumen[[#This Row],[Saldo ledger]],2)</f>
        <v>0</v>
      </c>
    </row>
    <row r="263" spans="1:12" x14ac:dyDescent="0.3">
      <c r="A263">
        <v>265</v>
      </c>
      <c r="B263" t="s">
        <v>525</v>
      </c>
      <c r="C263" t="s">
        <v>526</v>
      </c>
      <c r="D263">
        <v>115.92</v>
      </c>
      <c r="E263">
        <v>1</v>
      </c>
      <c r="F263">
        <f>SUMIFS(Compras_Full[LitrosActivos],Compras_Full[customer_id],Clientes_Resumen[[#This Row],[id]])</f>
        <v>1159.29</v>
      </c>
      <c r="G263">
        <f>COUNTIFS(Compras_Full[customer_id],Clientes_Resumen[[#This Row],[id]],Compras_Full[status],"ACTIVE")</f>
        <v>9</v>
      </c>
      <c r="H263" s="2">
        <f>_xlfn.MAXIFS(Compras_Full[Fecha],Compras_Full[customer_id],Clientes_Resumen[[#This Row],[id]],Compras_Full[status],"ACTIVE")</f>
        <v>46170</v>
      </c>
      <c r="I263">
        <f>IF(Clientes_Resumen[[#This Row],[Última compra]]=0,"",Corte-Clientes_Resumen[[#This Row],[Última compra]])</f>
        <v>145</v>
      </c>
      <c r="J263" t="str" cm="1">
        <f t="array" ref="J26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6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115.92000000000002</v>
      </c>
      <c r="L263">
        <f>ROUND(Clientes_Resumen[[#This Row],[points]]-Clientes_Resumen[[#This Row],[Saldo ledger]],2)</f>
        <v>0</v>
      </c>
    </row>
    <row r="264" spans="1:12" x14ac:dyDescent="0.3">
      <c r="A264">
        <v>266</v>
      </c>
      <c r="B264" t="s">
        <v>527</v>
      </c>
      <c r="C264" t="s">
        <v>528</v>
      </c>
      <c r="D264">
        <v>35.94</v>
      </c>
      <c r="E264">
        <v>1</v>
      </c>
      <c r="F264">
        <f>SUMIFS(Compras_Full[LitrosActivos],Compras_Full[customer_id],Clientes_Resumen[[#This Row],[id]])</f>
        <v>359.34000000000003</v>
      </c>
      <c r="G264">
        <f>COUNTIFS(Compras_Full[customer_id],Clientes_Resumen[[#This Row],[id]],Compras_Full[status],"ACTIVE")</f>
        <v>2</v>
      </c>
      <c r="H264" s="2">
        <f>_xlfn.MAXIFS(Compras_Full[Fecha],Compras_Full[customer_id],Clientes_Resumen[[#This Row],[id]],Compras_Full[status],"ACTIVE")</f>
        <v>45988</v>
      </c>
      <c r="I264">
        <f>IF(Clientes_Resumen[[#This Row],[Última compra]]=0,"",Corte-Clientes_Resumen[[#This Row],[Última compra]])</f>
        <v>327</v>
      </c>
      <c r="J264" t="str" cm="1">
        <f t="array" ref="J26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6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35.94</v>
      </c>
      <c r="L264">
        <f>ROUND(Clientes_Resumen[[#This Row],[points]]-Clientes_Resumen[[#This Row],[Saldo ledger]],2)</f>
        <v>0</v>
      </c>
    </row>
    <row r="265" spans="1:12" x14ac:dyDescent="0.3">
      <c r="A265">
        <v>267</v>
      </c>
      <c r="B265" t="s">
        <v>529</v>
      </c>
      <c r="C265" t="s">
        <v>530</v>
      </c>
      <c r="D265">
        <v>11.05</v>
      </c>
      <c r="E265">
        <v>1</v>
      </c>
      <c r="F265">
        <f>SUMIFS(Compras_Full[LitrosActivos],Compras_Full[customer_id],Clientes_Resumen[[#This Row],[id]])</f>
        <v>110.50999999999999</v>
      </c>
      <c r="G265">
        <f>COUNTIFS(Compras_Full[customer_id],Clientes_Resumen[[#This Row],[id]],Compras_Full[status],"ACTIVE")</f>
        <v>2</v>
      </c>
      <c r="H265" s="2">
        <f>_xlfn.MAXIFS(Compras_Full[Fecha],Compras_Full[customer_id],Clientes_Resumen[[#This Row],[id]],Compras_Full[status],"ACTIVE")</f>
        <v>46218</v>
      </c>
      <c r="I265">
        <f>IF(Clientes_Resumen[[#This Row],[Última compra]]=0,"",Corte-Clientes_Resumen[[#This Row],[Última compra]])</f>
        <v>97</v>
      </c>
      <c r="J265" t="str" cm="1">
        <f t="array" ref="J26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6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11.05</v>
      </c>
      <c r="L265">
        <f>ROUND(Clientes_Resumen[[#This Row],[points]]-Clientes_Resumen[[#This Row],[Saldo ledger]],2)</f>
        <v>0</v>
      </c>
    </row>
    <row r="266" spans="1:12" x14ac:dyDescent="0.3">
      <c r="A266">
        <v>268</v>
      </c>
      <c r="B266" t="s">
        <v>531</v>
      </c>
      <c r="C266" t="s">
        <v>532</v>
      </c>
      <c r="D266">
        <v>18.559999999999999</v>
      </c>
      <c r="E266">
        <v>1</v>
      </c>
      <c r="F266">
        <f>SUMIFS(Compras_Full[LitrosActivos],Compras_Full[customer_id],Clientes_Resumen[[#This Row],[id]])</f>
        <v>185.62</v>
      </c>
      <c r="G266">
        <f>COUNTIFS(Compras_Full[customer_id],Clientes_Resumen[[#This Row],[id]],Compras_Full[status],"ACTIVE")</f>
        <v>6</v>
      </c>
      <c r="H266" s="2">
        <f>_xlfn.MAXIFS(Compras_Full[Fecha],Compras_Full[customer_id],Clientes_Resumen[[#This Row],[id]],Compras_Full[status],"ACTIVE")</f>
        <v>46238</v>
      </c>
      <c r="I266">
        <f>IF(Clientes_Resumen[[#This Row],[Última compra]]=0,"",Corte-Clientes_Resumen[[#This Row],[Última compra]])</f>
        <v>77</v>
      </c>
      <c r="J266" t="str" cm="1">
        <f t="array" ref="J26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6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18.559999999999999</v>
      </c>
      <c r="L266">
        <f>ROUND(Clientes_Resumen[[#This Row],[points]]-Clientes_Resumen[[#This Row],[Saldo ledger]],2)</f>
        <v>0</v>
      </c>
    </row>
    <row r="267" spans="1:12" x14ac:dyDescent="0.3">
      <c r="A267">
        <v>269</v>
      </c>
      <c r="B267" t="s">
        <v>533</v>
      </c>
      <c r="C267" t="s">
        <v>534</v>
      </c>
      <c r="D267">
        <v>0</v>
      </c>
      <c r="E267">
        <v>1</v>
      </c>
      <c r="F267">
        <f>SUMIFS(Compras_Full[LitrosActivos],Compras_Full[customer_id],Clientes_Resumen[[#This Row],[id]])</f>
        <v>0</v>
      </c>
      <c r="G267">
        <f>COUNTIFS(Compras_Full[customer_id],Clientes_Resumen[[#This Row],[id]],Compras_Full[status],"ACTIVE")</f>
        <v>0</v>
      </c>
      <c r="H267" s="2">
        <f>_xlfn.MAXIFS(Compras_Full[Fecha],Compras_Full[customer_id],Clientes_Resumen[[#This Row],[id]],Compras_Full[status],"ACTIVE")</f>
        <v>0</v>
      </c>
      <c r="I267" t="str">
        <f>IF(Clientes_Resumen[[#This Row],[Última compra]]=0,"",Corte-Clientes_Resumen[[#This Row],[Última compra]])</f>
        <v/>
      </c>
      <c r="J267" t="str" cm="1">
        <f t="array" ref="J26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26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267">
        <f>ROUND(Clientes_Resumen[[#This Row],[points]]-Clientes_Resumen[[#This Row],[Saldo ledger]],2)</f>
        <v>0</v>
      </c>
    </row>
    <row r="268" spans="1:12" x14ac:dyDescent="0.3">
      <c r="A268">
        <v>270</v>
      </c>
      <c r="B268" t="s">
        <v>535</v>
      </c>
      <c r="C268" t="s">
        <v>536</v>
      </c>
      <c r="D268">
        <v>16.54</v>
      </c>
      <c r="E268">
        <v>0</v>
      </c>
      <c r="F268">
        <f>SUMIFS(Compras_Full[LitrosActivos],Compras_Full[customer_id],Clientes_Resumen[[#This Row],[id]])</f>
        <v>106.43</v>
      </c>
      <c r="G268">
        <f>COUNTIFS(Compras_Full[customer_id],Clientes_Resumen[[#This Row],[id]],Compras_Full[status],"ACTIVE")</f>
        <v>3</v>
      </c>
      <c r="H268" s="2">
        <f>_xlfn.MAXIFS(Compras_Full[Fecha],Compras_Full[customer_id],Clientes_Resumen[[#This Row],[id]],Compras_Full[status],"ACTIVE")</f>
        <v>46313</v>
      </c>
      <c r="I268">
        <f>IF(Clientes_Resumen[[#This Row],[Última compra]]=0,"",Corte-Clientes_Resumen[[#This Row],[Última compra]])</f>
        <v>2</v>
      </c>
      <c r="J268" t="str" cm="1">
        <f t="array" ref="J26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6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16.54</v>
      </c>
      <c r="L268">
        <f>ROUND(Clientes_Resumen[[#This Row],[points]]-Clientes_Resumen[[#This Row],[Saldo ledger]],2)</f>
        <v>0</v>
      </c>
    </row>
    <row r="269" spans="1:12" x14ac:dyDescent="0.3">
      <c r="A269">
        <v>271</v>
      </c>
      <c r="B269" t="s">
        <v>537</v>
      </c>
      <c r="C269" t="s">
        <v>538</v>
      </c>
      <c r="D269">
        <v>6.68</v>
      </c>
      <c r="E269">
        <v>1</v>
      </c>
      <c r="F269">
        <f>SUMIFS(Compras_Full[LitrosActivos],Compras_Full[customer_id],Clientes_Resumen[[#This Row],[id]])</f>
        <v>66.81</v>
      </c>
      <c r="G269">
        <f>COUNTIFS(Compras_Full[customer_id],Clientes_Resumen[[#This Row],[id]],Compras_Full[status],"ACTIVE")</f>
        <v>2</v>
      </c>
      <c r="H269" s="2">
        <f>_xlfn.MAXIFS(Compras_Full[Fecha],Compras_Full[customer_id],Clientes_Resumen[[#This Row],[id]],Compras_Full[status],"ACTIVE")</f>
        <v>46301</v>
      </c>
      <c r="I269">
        <f>IF(Clientes_Resumen[[#This Row],[Última compra]]=0,"",Corte-Clientes_Resumen[[#This Row],[Última compra]])</f>
        <v>14</v>
      </c>
      <c r="J269" t="str" cm="1">
        <f t="array" ref="J26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6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6.68</v>
      </c>
      <c r="L269">
        <f>ROUND(Clientes_Resumen[[#This Row],[points]]-Clientes_Resumen[[#This Row],[Saldo ledger]],2)</f>
        <v>0</v>
      </c>
    </row>
    <row r="270" spans="1:12" x14ac:dyDescent="0.3">
      <c r="A270">
        <v>272</v>
      </c>
      <c r="B270" t="s">
        <v>539</v>
      </c>
      <c r="C270" t="s">
        <v>540</v>
      </c>
      <c r="D270">
        <v>65.17</v>
      </c>
      <c r="E270">
        <v>1</v>
      </c>
      <c r="F270">
        <f>SUMIFS(Compras_Full[LitrosActivos],Compras_Full[customer_id],Clientes_Resumen[[#This Row],[id]])</f>
        <v>651.71</v>
      </c>
      <c r="G270">
        <f>COUNTIFS(Compras_Full[customer_id],Clientes_Resumen[[#This Row],[id]],Compras_Full[status],"ACTIVE")</f>
        <v>3</v>
      </c>
      <c r="H270" s="2">
        <f>_xlfn.MAXIFS(Compras_Full[Fecha],Compras_Full[customer_id],Clientes_Resumen[[#This Row],[id]],Compras_Full[status],"ACTIVE")</f>
        <v>46287</v>
      </c>
      <c r="I270">
        <f>IF(Clientes_Resumen[[#This Row],[Última compra]]=0,"",Corte-Clientes_Resumen[[#This Row],[Última compra]])</f>
        <v>28</v>
      </c>
      <c r="J270" t="str" cm="1">
        <f t="array" ref="J27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7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65.17</v>
      </c>
      <c r="L270">
        <f>ROUND(Clientes_Resumen[[#This Row],[points]]-Clientes_Resumen[[#This Row],[Saldo ledger]],2)</f>
        <v>0</v>
      </c>
    </row>
    <row r="271" spans="1:12" x14ac:dyDescent="0.3">
      <c r="A271">
        <v>273</v>
      </c>
      <c r="B271" t="s">
        <v>541</v>
      </c>
      <c r="C271" t="s">
        <v>542</v>
      </c>
      <c r="D271">
        <v>33.880000000000003</v>
      </c>
      <c r="E271">
        <v>1</v>
      </c>
      <c r="F271">
        <f>SUMIFS(Compras_Full[LitrosActivos],Compras_Full[customer_id],Clientes_Resumen[[#This Row],[id]])</f>
        <v>90.95</v>
      </c>
      <c r="G271">
        <f>COUNTIFS(Compras_Full[customer_id],Clientes_Resumen[[#This Row],[id]],Compras_Full[status],"ACTIVE")</f>
        <v>3</v>
      </c>
      <c r="H271" s="2">
        <f>_xlfn.MAXIFS(Compras_Full[Fecha],Compras_Full[customer_id],Clientes_Resumen[[#This Row],[id]],Compras_Full[status],"ACTIVE")</f>
        <v>46312</v>
      </c>
      <c r="I271">
        <f>IF(Clientes_Resumen[[#This Row],[Última compra]]=0,"",Corte-Clientes_Resumen[[#This Row],[Última compra]])</f>
        <v>3</v>
      </c>
      <c r="J271" t="str" cm="1">
        <f t="array" ref="J27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7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33.879999999999995</v>
      </c>
      <c r="L271">
        <f>ROUND(Clientes_Resumen[[#This Row],[points]]-Clientes_Resumen[[#This Row],[Saldo ledger]],2)</f>
        <v>0</v>
      </c>
    </row>
    <row r="272" spans="1:12" x14ac:dyDescent="0.3">
      <c r="A272">
        <v>274</v>
      </c>
      <c r="B272" t="s">
        <v>543</v>
      </c>
      <c r="C272" t="s">
        <v>544</v>
      </c>
      <c r="D272">
        <v>8.74</v>
      </c>
      <c r="E272">
        <v>1</v>
      </c>
      <c r="F272">
        <f>SUMIFS(Compras_Full[LitrosActivos],Compras_Full[customer_id],Clientes_Resumen[[#This Row],[id]])</f>
        <v>87.36</v>
      </c>
      <c r="G272">
        <f>COUNTIFS(Compras_Full[customer_id],Clientes_Resumen[[#This Row],[id]],Compras_Full[status],"ACTIVE")</f>
        <v>3</v>
      </c>
      <c r="H272" s="2">
        <f>_xlfn.MAXIFS(Compras_Full[Fecha],Compras_Full[customer_id],Clientes_Resumen[[#This Row],[id]],Compras_Full[status],"ACTIVE")</f>
        <v>46109</v>
      </c>
      <c r="I272">
        <f>IF(Clientes_Resumen[[#This Row],[Última compra]]=0,"",Corte-Clientes_Resumen[[#This Row],[Última compra]])</f>
        <v>206</v>
      </c>
      <c r="J272" t="str" cm="1">
        <f t="array" ref="J27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7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8.74</v>
      </c>
      <c r="L272">
        <f>ROUND(Clientes_Resumen[[#This Row],[points]]-Clientes_Resumen[[#This Row],[Saldo ledger]],2)</f>
        <v>0</v>
      </c>
    </row>
    <row r="273" spans="1:12" x14ac:dyDescent="0.3">
      <c r="A273">
        <v>275</v>
      </c>
      <c r="B273" t="s">
        <v>545</v>
      </c>
      <c r="C273" t="s">
        <v>546</v>
      </c>
      <c r="D273">
        <v>0</v>
      </c>
      <c r="E273">
        <v>0</v>
      </c>
      <c r="F273">
        <f>SUMIFS(Compras_Full[LitrosActivos],Compras_Full[customer_id],Clientes_Resumen[[#This Row],[id]])</f>
        <v>0</v>
      </c>
      <c r="G273">
        <f>COUNTIFS(Compras_Full[customer_id],Clientes_Resumen[[#This Row],[id]],Compras_Full[status],"ACTIVE")</f>
        <v>0</v>
      </c>
      <c r="H273" s="2">
        <f>_xlfn.MAXIFS(Compras_Full[Fecha],Compras_Full[customer_id],Clientes_Resumen[[#This Row],[id]],Compras_Full[status],"ACTIVE")</f>
        <v>0</v>
      </c>
      <c r="I273" t="str">
        <f>IF(Clientes_Resumen[[#This Row],[Última compra]]=0,"",Corte-Clientes_Resumen[[#This Row],[Última compra]])</f>
        <v/>
      </c>
      <c r="J273" t="str" cm="1">
        <f t="array" ref="J27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27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273">
        <f>ROUND(Clientes_Resumen[[#This Row],[points]]-Clientes_Resumen[[#This Row],[Saldo ledger]],2)</f>
        <v>0</v>
      </c>
    </row>
    <row r="274" spans="1:12" x14ac:dyDescent="0.3">
      <c r="A274">
        <v>276</v>
      </c>
      <c r="B274" t="s">
        <v>547</v>
      </c>
      <c r="C274" t="s">
        <v>548</v>
      </c>
      <c r="D274">
        <v>51.28</v>
      </c>
      <c r="E274">
        <v>1</v>
      </c>
      <c r="F274">
        <f>SUMIFS(Compras_Full[LitrosActivos],Compras_Full[customer_id],Clientes_Resumen[[#This Row],[id]])</f>
        <v>165.31</v>
      </c>
      <c r="G274">
        <f>COUNTIFS(Compras_Full[customer_id],Clientes_Resumen[[#This Row],[id]],Compras_Full[status],"ACTIVE")</f>
        <v>5</v>
      </c>
      <c r="H274" s="2">
        <f>_xlfn.MAXIFS(Compras_Full[Fecha],Compras_Full[customer_id],Clientes_Resumen[[#This Row],[id]],Compras_Full[status],"ACTIVE")</f>
        <v>46257</v>
      </c>
      <c r="I274">
        <f>IF(Clientes_Resumen[[#This Row],[Última compra]]=0,"",Corte-Clientes_Resumen[[#This Row],[Última compra]])</f>
        <v>58</v>
      </c>
      <c r="J274" t="str" cm="1">
        <f t="array" ref="J27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7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51.28</v>
      </c>
      <c r="L274">
        <f>ROUND(Clientes_Resumen[[#This Row],[points]]-Clientes_Resumen[[#This Row],[Saldo ledger]],2)</f>
        <v>0</v>
      </c>
    </row>
    <row r="275" spans="1:12" x14ac:dyDescent="0.3">
      <c r="A275">
        <v>277</v>
      </c>
      <c r="B275" t="s">
        <v>549</v>
      </c>
      <c r="C275" t="s">
        <v>550</v>
      </c>
      <c r="D275">
        <v>118.66</v>
      </c>
      <c r="E275">
        <v>1</v>
      </c>
      <c r="F275">
        <f>SUMIFS(Compras_Full[LitrosActivos],Compras_Full[customer_id],Clientes_Resumen[[#This Row],[id]])</f>
        <v>1111.5800000000002</v>
      </c>
      <c r="G275">
        <f>COUNTIFS(Compras_Full[customer_id],Clientes_Resumen[[#This Row],[id]],Compras_Full[status],"ACTIVE")</f>
        <v>11</v>
      </c>
      <c r="H275" s="2">
        <f>_xlfn.MAXIFS(Compras_Full[Fecha],Compras_Full[customer_id],Clientes_Resumen[[#This Row],[id]],Compras_Full[status],"ACTIVE")</f>
        <v>46290</v>
      </c>
      <c r="I275">
        <f>IF(Clientes_Resumen[[#This Row],[Última compra]]=0,"",Corte-Clientes_Resumen[[#This Row],[Última compra]])</f>
        <v>25</v>
      </c>
      <c r="J275" t="str" cm="1">
        <f t="array" ref="J27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7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111.16</v>
      </c>
      <c r="L275">
        <f>ROUND(Clientes_Resumen[[#This Row],[points]]-Clientes_Resumen[[#This Row],[Saldo ledger]],2)</f>
        <v>7.5</v>
      </c>
    </row>
    <row r="276" spans="1:12" x14ac:dyDescent="0.3">
      <c r="A276">
        <v>278</v>
      </c>
      <c r="B276" t="s">
        <v>551</v>
      </c>
      <c r="C276" t="s">
        <v>552</v>
      </c>
      <c r="D276">
        <v>58.82</v>
      </c>
      <c r="E276">
        <v>1</v>
      </c>
      <c r="F276">
        <f>SUMIFS(Compras_Full[LitrosActivos],Compras_Full[customer_id],Clientes_Resumen[[#This Row],[id]])</f>
        <v>588.21</v>
      </c>
      <c r="G276">
        <f>COUNTIFS(Compras_Full[customer_id],Clientes_Resumen[[#This Row],[id]],Compras_Full[status],"ACTIVE")</f>
        <v>3</v>
      </c>
      <c r="H276" s="2">
        <f>_xlfn.MAXIFS(Compras_Full[Fecha],Compras_Full[customer_id],Clientes_Resumen[[#This Row],[id]],Compras_Full[status],"ACTIVE")</f>
        <v>46231</v>
      </c>
      <c r="I276">
        <f>IF(Clientes_Resumen[[#This Row],[Última compra]]=0,"",Corte-Clientes_Resumen[[#This Row],[Última compra]])</f>
        <v>84</v>
      </c>
      <c r="J276" t="str" cm="1">
        <f t="array" ref="J27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7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58.820000000000007</v>
      </c>
      <c r="L276">
        <f>ROUND(Clientes_Resumen[[#This Row],[points]]-Clientes_Resumen[[#This Row],[Saldo ledger]],2)</f>
        <v>0</v>
      </c>
    </row>
    <row r="277" spans="1:12" x14ac:dyDescent="0.3">
      <c r="A277">
        <v>279</v>
      </c>
      <c r="B277" t="s">
        <v>553</v>
      </c>
      <c r="C277" t="s">
        <v>554</v>
      </c>
      <c r="D277">
        <v>387.35</v>
      </c>
      <c r="E277">
        <v>1</v>
      </c>
      <c r="F277">
        <f>SUMIFS(Compras_Full[LitrosActivos],Compras_Full[customer_id],Clientes_Resumen[[#This Row],[id]])</f>
        <v>3873.6099999999997</v>
      </c>
      <c r="G277">
        <f>COUNTIFS(Compras_Full[customer_id],Clientes_Resumen[[#This Row],[id]],Compras_Full[status],"ACTIVE")</f>
        <v>19</v>
      </c>
      <c r="H277" s="2">
        <f>_xlfn.MAXIFS(Compras_Full[Fecha],Compras_Full[customer_id],Clientes_Resumen[[#This Row],[id]],Compras_Full[status],"ACTIVE")</f>
        <v>46274</v>
      </c>
      <c r="I277">
        <f>IF(Clientes_Resumen[[#This Row],[Última compra]]=0,"",Corte-Clientes_Resumen[[#This Row],[Última compra]])</f>
        <v>41</v>
      </c>
      <c r="J277" t="str" cm="1">
        <f t="array" ref="J27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7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387.35</v>
      </c>
      <c r="L277">
        <f>ROUND(Clientes_Resumen[[#This Row],[points]]-Clientes_Resumen[[#This Row],[Saldo ledger]],2)</f>
        <v>0</v>
      </c>
    </row>
    <row r="278" spans="1:12" x14ac:dyDescent="0.3">
      <c r="A278">
        <v>280</v>
      </c>
      <c r="B278" t="s">
        <v>555</v>
      </c>
      <c r="C278" t="s">
        <v>556</v>
      </c>
      <c r="D278">
        <v>56.69</v>
      </c>
      <c r="E278">
        <v>1</v>
      </c>
      <c r="F278">
        <f>SUMIFS(Compras_Full[LitrosActivos],Compras_Full[customer_id],Clientes_Resumen[[#This Row],[id]])</f>
        <v>231.45000000000002</v>
      </c>
      <c r="G278">
        <f>COUNTIFS(Compras_Full[customer_id],Clientes_Resumen[[#This Row],[id]],Compras_Full[status],"ACTIVE")</f>
        <v>6</v>
      </c>
      <c r="H278" s="2">
        <f>_xlfn.MAXIFS(Compras_Full[Fecha],Compras_Full[customer_id],Clientes_Resumen[[#This Row],[id]],Compras_Full[status],"ACTIVE")</f>
        <v>46130</v>
      </c>
      <c r="I278">
        <f>IF(Clientes_Resumen[[#This Row],[Última compra]]=0,"",Corte-Clientes_Resumen[[#This Row],[Última compra]])</f>
        <v>185</v>
      </c>
      <c r="J278" t="str" cm="1">
        <f t="array" ref="J27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7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56.69</v>
      </c>
      <c r="L278">
        <f>ROUND(Clientes_Resumen[[#This Row],[points]]-Clientes_Resumen[[#This Row],[Saldo ledger]],2)</f>
        <v>0</v>
      </c>
    </row>
    <row r="279" spans="1:12" x14ac:dyDescent="0.3">
      <c r="A279">
        <v>281</v>
      </c>
      <c r="B279" t="s">
        <v>557</v>
      </c>
      <c r="C279" t="s">
        <v>558</v>
      </c>
      <c r="D279">
        <v>76.239999999999995</v>
      </c>
      <c r="E279">
        <v>0</v>
      </c>
      <c r="F279">
        <f>SUMIFS(Compras_Full[LitrosActivos],Compras_Full[customer_id],Clientes_Resumen[[#This Row],[id]])</f>
        <v>762.31999999999994</v>
      </c>
      <c r="G279">
        <f>COUNTIFS(Compras_Full[customer_id],Clientes_Resumen[[#This Row],[id]],Compras_Full[status],"ACTIVE")</f>
        <v>5</v>
      </c>
      <c r="H279" s="2">
        <f>_xlfn.MAXIFS(Compras_Full[Fecha],Compras_Full[customer_id],Clientes_Resumen[[#This Row],[id]],Compras_Full[status],"ACTIVE")</f>
        <v>46309</v>
      </c>
      <c r="I279">
        <f>IF(Clientes_Resumen[[#This Row],[Última compra]]=0,"",Corte-Clientes_Resumen[[#This Row],[Última compra]])</f>
        <v>6</v>
      </c>
      <c r="J279" t="str" cm="1">
        <f t="array" ref="J27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7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76.240000000000009</v>
      </c>
      <c r="L279">
        <f>ROUND(Clientes_Resumen[[#This Row],[points]]-Clientes_Resumen[[#This Row],[Saldo ledger]],2)</f>
        <v>0</v>
      </c>
    </row>
    <row r="280" spans="1:12" x14ac:dyDescent="0.3">
      <c r="A280">
        <v>282</v>
      </c>
      <c r="B280" t="s">
        <v>559</v>
      </c>
      <c r="C280" t="s">
        <v>560</v>
      </c>
      <c r="D280">
        <v>44.97</v>
      </c>
      <c r="E280">
        <v>1</v>
      </c>
      <c r="F280">
        <f>SUMIFS(Compras_Full[LitrosActivos],Compras_Full[customer_id],Clientes_Resumen[[#This Row],[id]])</f>
        <v>449.71000000000004</v>
      </c>
      <c r="G280">
        <f>COUNTIFS(Compras_Full[customer_id],Clientes_Resumen[[#This Row],[id]],Compras_Full[status],"ACTIVE")</f>
        <v>3</v>
      </c>
      <c r="H280" s="2">
        <f>_xlfn.MAXIFS(Compras_Full[Fecha],Compras_Full[customer_id],Clientes_Resumen[[#This Row],[id]],Compras_Full[status],"ACTIVE")</f>
        <v>46193</v>
      </c>
      <c r="I280">
        <f>IF(Clientes_Resumen[[#This Row],[Última compra]]=0,"",Corte-Clientes_Resumen[[#This Row],[Última compra]])</f>
        <v>122</v>
      </c>
      <c r="J280" t="str" cm="1">
        <f t="array" ref="J28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8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44.97</v>
      </c>
      <c r="L280">
        <f>ROUND(Clientes_Resumen[[#This Row],[points]]-Clientes_Resumen[[#This Row],[Saldo ledger]],2)</f>
        <v>0</v>
      </c>
    </row>
    <row r="281" spans="1:12" x14ac:dyDescent="0.3">
      <c r="A281">
        <v>283</v>
      </c>
      <c r="B281" t="s">
        <v>561</v>
      </c>
      <c r="C281" t="s">
        <v>562</v>
      </c>
      <c r="D281">
        <v>7.14</v>
      </c>
      <c r="E281">
        <v>1</v>
      </c>
      <c r="F281">
        <f>SUMIFS(Compras_Full[LitrosActivos],Compras_Full[customer_id],Clientes_Resumen[[#This Row],[id]])</f>
        <v>71.39</v>
      </c>
      <c r="G281">
        <f>COUNTIFS(Compras_Full[customer_id],Clientes_Resumen[[#This Row],[id]],Compras_Full[status],"ACTIVE")</f>
        <v>3</v>
      </c>
      <c r="H281" s="2">
        <f>_xlfn.MAXIFS(Compras_Full[Fecha],Compras_Full[customer_id],Clientes_Resumen[[#This Row],[id]],Compras_Full[status],"ACTIVE")</f>
        <v>46309</v>
      </c>
      <c r="I281">
        <f>IF(Clientes_Resumen[[#This Row],[Última compra]]=0,"",Corte-Clientes_Resumen[[#This Row],[Última compra]])</f>
        <v>6</v>
      </c>
      <c r="J281" t="str" cm="1">
        <f t="array" ref="J28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8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7.1400000000000006</v>
      </c>
      <c r="L281">
        <f>ROUND(Clientes_Resumen[[#This Row],[points]]-Clientes_Resumen[[#This Row],[Saldo ledger]],2)</f>
        <v>0</v>
      </c>
    </row>
    <row r="282" spans="1:12" x14ac:dyDescent="0.3">
      <c r="A282">
        <v>284</v>
      </c>
      <c r="B282" t="s">
        <v>563</v>
      </c>
      <c r="C282" t="s">
        <v>564</v>
      </c>
      <c r="D282">
        <v>1.91</v>
      </c>
      <c r="E282">
        <v>1</v>
      </c>
      <c r="F282">
        <f>SUMIFS(Compras_Full[LitrosActivos],Compras_Full[customer_id],Clientes_Resumen[[#This Row],[id]])</f>
        <v>19.100000000000001</v>
      </c>
      <c r="G282">
        <f>COUNTIFS(Compras_Full[customer_id],Clientes_Resumen[[#This Row],[id]],Compras_Full[status],"ACTIVE")</f>
        <v>1</v>
      </c>
      <c r="H282" s="2">
        <f>_xlfn.MAXIFS(Compras_Full[Fecha],Compras_Full[customer_id],Clientes_Resumen[[#This Row],[id]],Compras_Full[status],"ACTIVE")</f>
        <v>46294</v>
      </c>
      <c r="I282">
        <f>IF(Clientes_Resumen[[#This Row],[Última compra]]=0,"",Corte-Clientes_Resumen[[#This Row],[Última compra]])</f>
        <v>21</v>
      </c>
      <c r="J282" t="str" cm="1">
        <f t="array" ref="J28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8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1.91</v>
      </c>
      <c r="L282">
        <f>ROUND(Clientes_Resumen[[#This Row],[points]]-Clientes_Resumen[[#This Row],[Saldo ledger]],2)</f>
        <v>0</v>
      </c>
    </row>
    <row r="283" spans="1:12" x14ac:dyDescent="0.3">
      <c r="A283">
        <v>285</v>
      </c>
      <c r="B283" t="s">
        <v>565</v>
      </c>
      <c r="C283" t="s">
        <v>566</v>
      </c>
      <c r="D283">
        <v>35.799999999999997</v>
      </c>
      <c r="E283">
        <v>1</v>
      </c>
      <c r="F283">
        <f>SUMIFS(Compras_Full[LitrosActivos],Compras_Full[customer_id],Clientes_Resumen[[#This Row],[id]])</f>
        <v>908.70999999999981</v>
      </c>
      <c r="G283">
        <f>COUNTIFS(Compras_Full[customer_id],Clientes_Resumen[[#This Row],[id]],Compras_Full[status],"ACTIVE")</f>
        <v>30</v>
      </c>
      <c r="H283" s="2">
        <f>_xlfn.MAXIFS(Compras_Full[Fecha],Compras_Full[customer_id],Clientes_Resumen[[#This Row],[id]],Compras_Full[status],"ACTIVE")</f>
        <v>46312</v>
      </c>
      <c r="I283">
        <f>IF(Clientes_Resumen[[#This Row],[Última compra]]=0,"",Corte-Clientes_Resumen[[#This Row],[Última compra]])</f>
        <v>3</v>
      </c>
      <c r="J283" t="str" cm="1">
        <f t="array" ref="J28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8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35.799999999999983</v>
      </c>
      <c r="L283">
        <f>ROUND(Clientes_Resumen[[#This Row],[points]]-Clientes_Resumen[[#This Row],[Saldo ledger]],2)</f>
        <v>0</v>
      </c>
    </row>
    <row r="284" spans="1:12" x14ac:dyDescent="0.3">
      <c r="A284">
        <v>286</v>
      </c>
      <c r="B284" t="s">
        <v>567</v>
      </c>
      <c r="C284" t="s">
        <v>568</v>
      </c>
      <c r="D284">
        <v>0</v>
      </c>
      <c r="E284">
        <v>1</v>
      </c>
      <c r="F284">
        <f>SUMIFS(Compras_Full[LitrosActivos],Compras_Full[customer_id],Clientes_Resumen[[#This Row],[id]])</f>
        <v>0</v>
      </c>
      <c r="G284">
        <f>COUNTIFS(Compras_Full[customer_id],Clientes_Resumen[[#This Row],[id]],Compras_Full[status],"ACTIVE")</f>
        <v>0</v>
      </c>
      <c r="H284" s="2">
        <f>_xlfn.MAXIFS(Compras_Full[Fecha],Compras_Full[customer_id],Clientes_Resumen[[#This Row],[id]],Compras_Full[status],"ACTIVE")</f>
        <v>0</v>
      </c>
      <c r="I284" t="str">
        <f>IF(Clientes_Resumen[[#This Row],[Última compra]]=0,"",Corte-Clientes_Resumen[[#This Row],[Última compra]])</f>
        <v/>
      </c>
      <c r="J284" t="str" cm="1">
        <f t="array" ref="J28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28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284">
        <f>ROUND(Clientes_Resumen[[#This Row],[points]]-Clientes_Resumen[[#This Row],[Saldo ledger]],2)</f>
        <v>0</v>
      </c>
    </row>
    <row r="285" spans="1:12" x14ac:dyDescent="0.3">
      <c r="A285">
        <v>287</v>
      </c>
      <c r="B285" t="s">
        <v>569</v>
      </c>
      <c r="C285" t="s">
        <v>570</v>
      </c>
      <c r="D285">
        <v>6.53</v>
      </c>
      <c r="E285">
        <v>1</v>
      </c>
      <c r="F285">
        <f>SUMIFS(Compras_Full[LitrosActivos],Compras_Full[customer_id],Clientes_Resumen[[#This Row],[id]])</f>
        <v>65.209999999999994</v>
      </c>
      <c r="G285">
        <f>COUNTIFS(Compras_Full[customer_id],Clientes_Resumen[[#This Row],[id]],Compras_Full[status],"ACTIVE")</f>
        <v>3</v>
      </c>
      <c r="H285" s="2">
        <f>_xlfn.MAXIFS(Compras_Full[Fecha],Compras_Full[customer_id],Clientes_Resumen[[#This Row],[id]],Compras_Full[status],"ACTIVE")</f>
        <v>46034</v>
      </c>
      <c r="I285">
        <f>IF(Clientes_Resumen[[#This Row],[Última compra]]=0,"",Corte-Clientes_Resumen[[#This Row],[Última compra]])</f>
        <v>281</v>
      </c>
      <c r="J285" t="str" cm="1">
        <f t="array" ref="J28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8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6.5299999999999994</v>
      </c>
      <c r="L285">
        <f>ROUND(Clientes_Resumen[[#This Row],[points]]-Clientes_Resumen[[#This Row],[Saldo ledger]],2)</f>
        <v>0</v>
      </c>
    </row>
    <row r="286" spans="1:12" x14ac:dyDescent="0.3">
      <c r="A286">
        <v>288</v>
      </c>
      <c r="B286" t="s">
        <v>571</v>
      </c>
      <c r="C286" t="s">
        <v>572</v>
      </c>
      <c r="D286">
        <v>28.29</v>
      </c>
      <c r="E286">
        <v>1</v>
      </c>
      <c r="F286">
        <f>SUMIFS(Compras_Full[LitrosActivos],Compras_Full[customer_id],Clientes_Resumen[[#This Row],[id]])</f>
        <v>282.77</v>
      </c>
      <c r="G286">
        <f>COUNTIFS(Compras_Full[customer_id],Clientes_Resumen[[#This Row],[id]],Compras_Full[status],"ACTIVE")</f>
        <v>8</v>
      </c>
      <c r="H286" s="2">
        <f>_xlfn.MAXIFS(Compras_Full[Fecha],Compras_Full[customer_id],Clientes_Resumen[[#This Row],[id]],Compras_Full[status],"ACTIVE")</f>
        <v>46280</v>
      </c>
      <c r="I286">
        <f>IF(Clientes_Resumen[[#This Row],[Última compra]]=0,"",Corte-Clientes_Resumen[[#This Row],[Última compra]])</f>
        <v>35</v>
      </c>
      <c r="J286" t="str" cm="1">
        <f t="array" ref="J28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8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28.29</v>
      </c>
      <c r="L286">
        <f>ROUND(Clientes_Resumen[[#This Row],[points]]-Clientes_Resumen[[#This Row],[Saldo ledger]],2)</f>
        <v>0</v>
      </c>
    </row>
    <row r="287" spans="1:12" x14ac:dyDescent="0.3">
      <c r="A287">
        <v>289</v>
      </c>
      <c r="B287" t="s">
        <v>573</v>
      </c>
      <c r="C287" t="s">
        <v>574</v>
      </c>
      <c r="D287">
        <v>41.73</v>
      </c>
      <c r="E287">
        <v>1</v>
      </c>
      <c r="F287">
        <f>SUMIFS(Compras_Full[LitrosActivos],Compras_Full[customer_id],Clientes_Resumen[[#This Row],[id]])</f>
        <v>342.25</v>
      </c>
      <c r="G287">
        <f>COUNTIFS(Compras_Full[customer_id],Clientes_Resumen[[#This Row],[id]],Compras_Full[status],"ACTIVE")</f>
        <v>3</v>
      </c>
      <c r="H287" s="2">
        <f>_xlfn.MAXIFS(Compras_Full[Fecha],Compras_Full[customer_id],Clientes_Resumen[[#This Row],[id]],Compras_Full[status],"ACTIVE")</f>
        <v>46245</v>
      </c>
      <c r="I287">
        <f>IF(Clientes_Resumen[[#This Row],[Última compra]]=0,"",Corte-Clientes_Resumen[[#This Row],[Última compra]])</f>
        <v>70</v>
      </c>
      <c r="J287" t="str" cm="1">
        <f t="array" ref="J28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28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34.230000000000004</v>
      </c>
      <c r="L287">
        <f>ROUND(Clientes_Resumen[[#This Row],[points]]-Clientes_Resumen[[#This Row],[Saldo ledger]],2)</f>
        <v>7.5</v>
      </c>
    </row>
    <row r="288" spans="1:12" x14ac:dyDescent="0.3">
      <c r="A288">
        <v>290</v>
      </c>
      <c r="B288" t="s">
        <v>575</v>
      </c>
      <c r="C288" t="s">
        <v>576</v>
      </c>
      <c r="D288">
        <v>37.76</v>
      </c>
      <c r="E288">
        <v>1</v>
      </c>
      <c r="F288">
        <f>SUMIFS(Compras_Full[LitrosActivos],Compras_Full[customer_id],Clientes_Resumen[[#This Row],[id]])</f>
        <v>233.17000000000002</v>
      </c>
      <c r="G288">
        <f>COUNTIFS(Compras_Full[customer_id],Clientes_Resumen[[#This Row],[id]],Compras_Full[status],"ACTIVE")</f>
        <v>8</v>
      </c>
      <c r="H288" s="2">
        <f>_xlfn.MAXIFS(Compras_Full[Fecha],Compras_Full[customer_id],Clientes_Resumen[[#This Row],[id]],Compras_Full[status],"ACTIVE")</f>
        <v>46186</v>
      </c>
      <c r="I288">
        <f>IF(Clientes_Resumen[[#This Row],[Última compra]]=0,"",Corte-Clientes_Resumen[[#This Row],[Última compra]])</f>
        <v>129</v>
      </c>
      <c r="J288" t="str" cm="1">
        <f t="array" ref="J28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8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37.760000000000005</v>
      </c>
      <c r="L288">
        <f>ROUND(Clientes_Resumen[[#This Row],[points]]-Clientes_Resumen[[#This Row],[Saldo ledger]],2)</f>
        <v>0</v>
      </c>
    </row>
    <row r="289" spans="1:12" x14ac:dyDescent="0.3">
      <c r="A289">
        <v>291</v>
      </c>
      <c r="B289" t="s">
        <v>577</v>
      </c>
      <c r="C289" t="s">
        <v>578</v>
      </c>
      <c r="D289">
        <v>2.4700000000000002</v>
      </c>
      <c r="E289">
        <v>1</v>
      </c>
      <c r="F289">
        <f>SUMIFS(Compras_Full[LitrosActivos],Compras_Full[customer_id],Clientes_Resumen[[#This Row],[id]])</f>
        <v>24.68</v>
      </c>
      <c r="G289">
        <f>COUNTIFS(Compras_Full[customer_id],Clientes_Resumen[[#This Row],[id]],Compras_Full[status],"ACTIVE")</f>
        <v>1</v>
      </c>
      <c r="H289" s="2">
        <f>_xlfn.MAXIFS(Compras_Full[Fecha],Compras_Full[customer_id],Clientes_Resumen[[#This Row],[id]],Compras_Full[status],"ACTIVE")</f>
        <v>46268</v>
      </c>
      <c r="I289">
        <f>IF(Clientes_Resumen[[#This Row],[Última compra]]=0,"",Corte-Clientes_Resumen[[#This Row],[Última compra]])</f>
        <v>47</v>
      </c>
      <c r="J289" t="str" cm="1">
        <f t="array" ref="J28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8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2.4700000000000002</v>
      </c>
      <c r="L289">
        <f>ROUND(Clientes_Resumen[[#This Row],[points]]-Clientes_Resumen[[#This Row],[Saldo ledger]],2)</f>
        <v>0</v>
      </c>
    </row>
    <row r="290" spans="1:12" x14ac:dyDescent="0.3">
      <c r="A290">
        <v>292</v>
      </c>
      <c r="B290" t="s">
        <v>579</v>
      </c>
      <c r="C290" t="s">
        <v>580</v>
      </c>
      <c r="D290">
        <v>1.87</v>
      </c>
      <c r="E290">
        <v>1</v>
      </c>
      <c r="F290">
        <f>SUMIFS(Compras_Full[LitrosActivos],Compras_Full[customer_id],Clientes_Resumen[[#This Row],[id]])</f>
        <v>18.66</v>
      </c>
      <c r="G290">
        <f>COUNTIFS(Compras_Full[customer_id],Clientes_Resumen[[#This Row],[id]],Compras_Full[status],"ACTIVE")</f>
        <v>1</v>
      </c>
      <c r="H290" s="2">
        <f>_xlfn.MAXIFS(Compras_Full[Fecha],Compras_Full[customer_id],Clientes_Resumen[[#This Row],[id]],Compras_Full[status],"ACTIVE")</f>
        <v>46162</v>
      </c>
      <c r="I290">
        <f>IF(Clientes_Resumen[[#This Row],[Última compra]]=0,"",Corte-Clientes_Resumen[[#This Row],[Última compra]])</f>
        <v>153</v>
      </c>
      <c r="J290" t="str" cm="1">
        <f t="array" ref="J29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9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1.87</v>
      </c>
      <c r="L290">
        <f>ROUND(Clientes_Resumen[[#This Row],[points]]-Clientes_Resumen[[#This Row],[Saldo ledger]],2)</f>
        <v>0</v>
      </c>
    </row>
    <row r="291" spans="1:12" x14ac:dyDescent="0.3">
      <c r="A291">
        <v>293</v>
      </c>
      <c r="B291" t="s">
        <v>581</v>
      </c>
      <c r="C291" t="s">
        <v>582</v>
      </c>
      <c r="D291">
        <v>37.99</v>
      </c>
      <c r="E291">
        <v>1</v>
      </c>
      <c r="F291">
        <f>SUMIFS(Compras_Full[LitrosActivos],Compras_Full[customer_id],Clientes_Resumen[[#This Row],[id]])</f>
        <v>639.07000000000005</v>
      </c>
      <c r="G291">
        <f>COUNTIFS(Compras_Full[customer_id],Clientes_Resumen[[#This Row],[id]],Compras_Full[status],"ACTIVE")</f>
        <v>20</v>
      </c>
      <c r="H291" s="2">
        <f>_xlfn.MAXIFS(Compras_Full[Fecha],Compras_Full[customer_id],Clientes_Resumen[[#This Row],[id]],Compras_Full[status],"ACTIVE")</f>
        <v>46308</v>
      </c>
      <c r="I291">
        <f>IF(Clientes_Resumen[[#This Row],[Última compra]]=0,"",Corte-Clientes_Resumen[[#This Row],[Última compra]])</f>
        <v>7</v>
      </c>
      <c r="J291" t="str" cm="1">
        <f t="array" ref="J29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9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37.990000000000009</v>
      </c>
      <c r="L291">
        <f>ROUND(Clientes_Resumen[[#This Row],[points]]-Clientes_Resumen[[#This Row],[Saldo ledger]],2)</f>
        <v>0</v>
      </c>
    </row>
    <row r="292" spans="1:12" x14ac:dyDescent="0.3">
      <c r="A292">
        <v>294</v>
      </c>
      <c r="B292" t="s">
        <v>583</v>
      </c>
      <c r="C292" t="s">
        <v>584</v>
      </c>
      <c r="D292">
        <v>10.5</v>
      </c>
      <c r="E292">
        <v>1</v>
      </c>
      <c r="F292">
        <f>SUMIFS(Compras_Full[LitrosActivos],Compras_Full[customer_id],Clientes_Resumen[[#This Row],[id]])</f>
        <v>105.11000000000001</v>
      </c>
      <c r="G292">
        <f>COUNTIFS(Compras_Full[customer_id],Clientes_Resumen[[#This Row],[id]],Compras_Full[status],"ACTIVE")</f>
        <v>4</v>
      </c>
      <c r="H292" s="2">
        <f>_xlfn.MAXIFS(Compras_Full[Fecha],Compras_Full[customer_id],Clientes_Resumen[[#This Row],[id]],Compras_Full[status],"ACTIVE")</f>
        <v>46307</v>
      </c>
      <c r="I292">
        <f>IF(Clientes_Resumen[[#This Row],[Última compra]]=0,"",Corte-Clientes_Resumen[[#This Row],[Última compra]])</f>
        <v>8</v>
      </c>
      <c r="J292" t="str" cm="1">
        <f t="array" ref="J29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9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10.5</v>
      </c>
      <c r="L292">
        <f>ROUND(Clientes_Resumen[[#This Row],[points]]-Clientes_Resumen[[#This Row],[Saldo ledger]],2)</f>
        <v>0</v>
      </c>
    </row>
    <row r="293" spans="1:12" x14ac:dyDescent="0.3">
      <c r="A293">
        <v>295</v>
      </c>
      <c r="B293" t="s">
        <v>585</v>
      </c>
      <c r="C293" t="s">
        <v>586</v>
      </c>
      <c r="D293">
        <v>2.7</v>
      </c>
      <c r="E293">
        <v>1</v>
      </c>
      <c r="F293">
        <f>SUMIFS(Compras_Full[LitrosActivos],Compras_Full[customer_id],Clientes_Resumen[[#This Row],[id]])</f>
        <v>27</v>
      </c>
      <c r="G293">
        <f>COUNTIFS(Compras_Full[customer_id],Clientes_Resumen[[#This Row],[id]],Compras_Full[status],"ACTIVE")</f>
        <v>1</v>
      </c>
      <c r="H293" s="2">
        <f>_xlfn.MAXIFS(Compras_Full[Fecha],Compras_Full[customer_id],Clientes_Resumen[[#This Row],[id]],Compras_Full[status],"ACTIVE")</f>
        <v>46267</v>
      </c>
      <c r="I293">
        <f>IF(Clientes_Resumen[[#This Row],[Última compra]]=0,"",Corte-Clientes_Resumen[[#This Row],[Última compra]])</f>
        <v>48</v>
      </c>
      <c r="J293" t="str" cm="1">
        <f t="array" ref="J29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31-60</v>
      </c>
      <c r="K29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2.7</v>
      </c>
      <c r="L293">
        <f>ROUND(Clientes_Resumen[[#This Row],[points]]-Clientes_Resumen[[#This Row],[Saldo ledger]],2)</f>
        <v>0</v>
      </c>
    </row>
    <row r="294" spans="1:12" x14ac:dyDescent="0.3">
      <c r="A294">
        <v>296</v>
      </c>
      <c r="B294" t="s">
        <v>587</v>
      </c>
      <c r="C294" t="s">
        <v>588</v>
      </c>
      <c r="D294">
        <v>60.48</v>
      </c>
      <c r="E294">
        <v>1</v>
      </c>
      <c r="F294">
        <f>SUMIFS(Compras_Full[LitrosActivos],Compras_Full[customer_id],Clientes_Resumen[[#This Row],[id]])</f>
        <v>420.28999999999996</v>
      </c>
      <c r="G294">
        <f>COUNTIFS(Compras_Full[customer_id],Clientes_Resumen[[#This Row],[id]],Compras_Full[status],"ACTIVE")</f>
        <v>5</v>
      </c>
      <c r="H294" s="2">
        <f>_xlfn.MAXIFS(Compras_Full[Fecha],Compras_Full[customer_id],Clientes_Resumen[[#This Row],[id]],Compras_Full[status],"ACTIVE")</f>
        <v>46053</v>
      </c>
      <c r="I294">
        <f>IF(Clientes_Resumen[[#This Row],[Última compra]]=0,"",Corte-Clientes_Resumen[[#This Row],[Última compra]])</f>
        <v>262</v>
      </c>
      <c r="J294" t="str" cm="1">
        <f t="array" ref="J294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94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60.480000000000004</v>
      </c>
      <c r="L294">
        <f>ROUND(Clientes_Resumen[[#This Row],[points]]-Clientes_Resumen[[#This Row],[Saldo ledger]],2)</f>
        <v>0</v>
      </c>
    </row>
    <row r="295" spans="1:12" x14ac:dyDescent="0.3">
      <c r="A295">
        <v>297</v>
      </c>
      <c r="B295" t="s">
        <v>589</v>
      </c>
      <c r="C295" t="s">
        <v>590</v>
      </c>
      <c r="D295">
        <v>165.41</v>
      </c>
      <c r="E295">
        <v>1</v>
      </c>
      <c r="F295">
        <f>SUMIFS(Compras_Full[LitrosActivos],Compras_Full[customer_id],Clientes_Resumen[[#This Row],[id]])</f>
        <v>1654.1200000000001</v>
      </c>
      <c r="G295">
        <f>COUNTIFS(Compras_Full[customer_id],Clientes_Resumen[[#This Row],[id]],Compras_Full[status],"ACTIVE")</f>
        <v>20</v>
      </c>
      <c r="H295" s="2">
        <f>_xlfn.MAXIFS(Compras_Full[Fecha],Compras_Full[customer_id],Clientes_Resumen[[#This Row],[id]],Compras_Full[status],"ACTIVE")</f>
        <v>46304</v>
      </c>
      <c r="I295">
        <f>IF(Clientes_Resumen[[#This Row],[Última compra]]=0,"",Corte-Clientes_Resumen[[#This Row],[Última compra]])</f>
        <v>11</v>
      </c>
      <c r="J295" t="str" cm="1">
        <f t="array" ref="J295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95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165.41000000000003</v>
      </c>
      <c r="L295">
        <f>ROUND(Clientes_Resumen[[#This Row],[points]]-Clientes_Resumen[[#This Row],[Saldo ledger]],2)</f>
        <v>0</v>
      </c>
    </row>
    <row r="296" spans="1:12" x14ac:dyDescent="0.3">
      <c r="A296">
        <v>298</v>
      </c>
      <c r="B296" t="s">
        <v>591</v>
      </c>
      <c r="C296" t="s">
        <v>592</v>
      </c>
      <c r="D296">
        <v>0</v>
      </c>
      <c r="E296">
        <v>1</v>
      </c>
      <c r="F296">
        <f>SUMIFS(Compras_Full[LitrosActivos],Compras_Full[customer_id],Clientes_Resumen[[#This Row],[id]])</f>
        <v>0</v>
      </c>
      <c r="G296">
        <f>COUNTIFS(Compras_Full[customer_id],Clientes_Resumen[[#This Row],[id]],Compras_Full[status],"ACTIVE")</f>
        <v>0</v>
      </c>
      <c r="H296" s="2">
        <f>_xlfn.MAXIFS(Compras_Full[Fecha],Compras_Full[customer_id],Clientes_Resumen[[#This Row],[id]],Compras_Full[status],"ACTIVE")</f>
        <v>0</v>
      </c>
      <c r="I296" t="str">
        <f>IF(Clientes_Resumen[[#This Row],[Última compra]]=0,"",Corte-Clientes_Resumen[[#This Row],[Última compra]])</f>
        <v/>
      </c>
      <c r="J296" t="str" cm="1">
        <f t="array" ref="J296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Sin compras</v>
      </c>
      <c r="K296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0</v>
      </c>
      <c r="L296">
        <f>ROUND(Clientes_Resumen[[#This Row],[points]]-Clientes_Resumen[[#This Row],[Saldo ledger]],2)</f>
        <v>0</v>
      </c>
    </row>
    <row r="297" spans="1:12" x14ac:dyDescent="0.3">
      <c r="A297">
        <v>299</v>
      </c>
      <c r="B297" t="s">
        <v>593</v>
      </c>
      <c r="C297" t="s">
        <v>594</v>
      </c>
      <c r="D297">
        <v>54.99</v>
      </c>
      <c r="E297">
        <v>1</v>
      </c>
      <c r="F297">
        <f>SUMIFS(Compras_Full[LitrosActivos],Compras_Full[customer_id],Clientes_Resumen[[#This Row],[id]])</f>
        <v>549.85</v>
      </c>
      <c r="G297">
        <f>COUNTIFS(Compras_Full[customer_id],Clientes_Resumen[[#This Row],[id]],Compras_Full[status],"ACTIVE")</f>
        <v>5</v>
      </c>
      <c r="H297" s="2">
        <f>_xlfn.MAXIFS(Compras_Full[Fecha],Compras_Full[customer_id],Clientes_Resumen[[#This Row],[id]],Compras_Full[status],"ACTIVE")</f>
        <v>46289</v>
      </c>
      <c r="I297">
        <f>IF(Clientes_Resumen[[#This Row],[Última compra]]=0,"",Corte-Clientes_Resumen[[#This Row],[Última compra]])</f>
        <v>26</v>
      </c>
      <c r="J297" t="str" cm="1">
        <f t="array" ref="J297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Activo</v>
      </c>
      <c r="K297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54.99</v>
      </c>
      <c r="L297">
        <f>ROUND(Clientes_Resumen[[#This Row],[points]]-Clientes_Resumen[[#This Row],[Saldo ledger]],2)</f>
        <v>0</v>
      </c>
    </row>
    <row r="298" spans="1:12" x14ac:dyDescent="0.3">
      <c r="A298">
        <v>300</v>
      </c>
      <c r="B298" t="s">
        <v>595</v>
      </c>
      <c r="C298" t="s">
        <v>596</v>
      </c>
      <c r="D298">
        <v>39.119999999999997</v>
      </c>
      <c r="E298">
        <v>1</v>
      </c>
      <c r="F298">
        <f>SUMIFS(Compras_Full[LitrosActivos],Compras_Full[customer_id],Clientes_Resumen[[#This Row],[id]])</f>
        <v>391.24</v>
      </c>
      <c r="G298">
        <f>COUNTIFS(Compras_Full[customer_id],Clientes_Resumen[[#This Row],[id]],Compras_Full[status],"ACTIVE")</f>
        <v>5</v>
      </c>
      <c r="H298" s="2">
        <f>_xlfn.MAXIFS(Compras_Full[Fecha],Compras_Full[customer_id],Clientes_Resumen[[#This Row],[id]],Compras_Full[status],"ACTIVE")</f>
        <v>46119</v>
      </c>
      <c r="I298">
        <f>IF(Clientes_Resumen[[#This Row],[Última compra]]=0,"",Corte-Clientes_Resumen[[#This Row],[Última compra]])</f>
        <v>196</v>
      </c>
      <c r="J298" t="str" cm="1">
        <f t="array" ref="J298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98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39.119999999999997</v>
      </c>
      <c r="L298">
        <f>ROUND(Clientes_Resumen[[#This Row],[points]]-Clientes_Resumen[[#This Row],[Saldo ledger]],2)</f>
        <v>0</v>
      </c>
    </row>
    <row r="299" spans="1:12" x14ac:dyDescent="0.3">
      <c r="A299">
        <v>301</v>
      </c>
      <c r="B299" t="s">
        <v>597</v>
      </c>
      <c r="C299" t="s">
        <v>598</v>
      </c>
      <c r="D299">
        <v>20.059999999999999</v>
      </c>
      <c r="E299">
        <v>1</v>
      </c>
      <c r="F299">
        <f>SUMIFS(Compras_Full[LitrosActivos],Compras_Full[customer_id],Clientes_Resumen[[#This Row],[id]])</f>
        <v>200.55</v>
      </c>
      <c r="G299">
        <f>COUNTIFS(Compras_Full[customer_id],Clientes_Resumen[[#This Row],[id]],Compras_Full[status],"ACTIVE")</f>
        <v>2</v>
      </c>
      <c r="H299" s="2">
        <f>_xlfn.MAXIFS(Compras_Full[Fecha],Compras_Full[customer_id],Clientes_Resumen[[#This Row],[id]],Compras_Full[status],"ACTIVE")</f>
        <v>46143</v>
      </c>
      <c r="I299">
        <f>IF(Clientes_Resumen[[#This Row],[Última compra]]=0,"",Corte-Clientes_Resumen[[#This Row],[Última compra]])</f>
        <v>172</v>
      </c>
      <c r="J299" t="str" cm="1">
        <f t="array" ref="J299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299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20.060000000000002</v>
      </c>
      <c r="L299">
        <f>ROUND(Clientes_Resumen[[#This Row],[points]]-Clientes_Resumen[[#This Row],[Saldo ledger]],2)</f>
        <v>0</v>
      </c>
    </row>
    <row r="300" spans="1:12" x14ac:dyDescent="0.3">
      <c r="A300">
        <v>302</v>
      </c>
      <c r="B300" t="s">
        <v>599</v>
      </c>
      <c r="C300" t="s">
        <v>600</v>
      </c>
      <c r="D300">
        <v>8.69</v>
      </c>
      <c r="E300">
        <v>1</v>
      </c>
      <c r="F300">
        <f>SUMIFS(Compras_Full[LitrosActivos],Compras_Full[customer_id],Clientes_Resumen[[#This Row],[id]])</f>
        <v>86.81</v>
      </c>
      <c r="G300">
        <f>COUNTIFS(Compras_Full[customer_id],Clientes_Resumen[[#This Row],[id]],Compras_Full[status],"ACTIVE")</f>
        <v>3</v>
      </c>
      <c r="H300" s="2">
        <f>_xlfn.MAXIFS(Compras_Full[Fecha],Compras_Full[customer_id],Clientes_Resumen[[#This Row],[id]],Compras_Full[status],"ACTIVE")</f>
        <v>46204</v>
      </c>
      <c r="I300">
        <f>IF(Clientes_Resumen[[#This Row],[Última compra]]=0,"",Corte-Clientes_Resumen[[#This Row],[Última compra]])</f>
        <v>111</v>
      </c>
      <c r="J300" t="str" cm="1">
        <f t="array" ref="J300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300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8.69</v>
      </c>
      <c r="L300">
        <f>ROUND(Clientes_Resumen[[#This Row],[points]]-Clientes_Resumen[[#This Row],[Saldo ledger]],2)</f>
        <v>0</v>
      </c>
    </row>
    <row r="301" spans="1:12" x14ac:dyDescent="0.3">
      <c r="A301">
        <v>303</v>
      </c>
      <c r="B301" t="s">
        <v>601</v>
      </c>
      <c r="C301" t="s">
        <v>602</v>
      </c>
      <c r="D301">
        <v>5.1100000000000003</v>
      </c>
      <c r="E301">
        <v>1</v>
      </c>
      <c r="F301">
        <f>SUMIFS(Compras_Full[LitrosActivos],Compras_Full[customer_id],Clientes_Resumen[[#This Row],[id]])</f>
        <v>51.02</v>
      </c>
      <c r="G301">
        <f>COUNTIFS(Compras_Full[customer_id],Clientes_Resumen[[#This Row],[id]],Compras_Full[status],"ACTIVE")</f>
        <v>2</v>
      </c>
      <c r="H301" s="2">
        <f>_xlfn.MAXIFS(Compras_Full[Fecha],Compras_Full[customer_id],Clientes_Resumen[[#This Row],[id]],Compras_Full[status],"ACTIVE")</f>
        <v>46218</v>
      </c>
      <c r="I301">
        <f>IF(Clientes_Resumen[[#This Row],[Última compra]]=0,"",Corte-Clientes_Resumen[[#This Row],[Última compra]])</f>
        <v>97</v>
      </c>
      <c r="J301" t="str" cm="1">
        <f t="array" ref="J301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301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5.1099999999999994</v>
      </c>
      <c r="L301">
        <f>ROUND(Clientes_Resumen[[#This Row],[points]]-Clientes_Resumen[[#This Row],[Saldo ledger]],2)</f>
        <v>0</v>
      </c>
    </row>
    <row r="302" spans="1:12" x14ac:dyDescent="0.3">
      <c r="A302">
        <v>304</v>
      </c>
      <c r="B302" t="s">
        <v>603</v>
      </c>
      <c r="C302" t="s">
        <v>604</v>
      </c>
      <c r="D302">
        <v>24.02</v>
      </c>
      <c r="E302">
        <v>1</v>
      </c>
      <c r="F302">
        <f>SUMIFS(Compras_Full[LitrosActivos],Compras_Full[customer_id],Clientes_Resumen[[#This Row],[id]])</f>
        <v>240.26</v>
      </c>
      <c r="G302">
        <f>COUNTIFS(Compras_Full[customer_id],Clientes_Resumen[[#This Row],[id]],Compras_Full[status],"ACTIVE")</f>
        <v>7</v>
      </c>
      <c r="H302" s="2">
        <f>_xlfn.MAXIFS(Compras_Full[Fecha],Compras_Full[customer_id],Clientes_Resumen[[#This Row],[id]],Compras_Full[status],"ACTIVE")</f>
        <v>46198</v>
      </c>
      <c r="I302">
        <f>IF(Clientes_Resumen[[#This Row],[Última compra]]=0,"",Corte-Clientes_Resumen[[#This Row],[Última compra]])</f>
        <v>117</v>
      </c>
      <c r="J302" t="str" cm="1">
        <f t="array" ref="J302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90+</v>
      </c>
      <c r="K302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24.02</v>
      </c>
      <c r="L302">
        <f>ROUND(Clientes_Resumen[[#This Row],[points]]-Clientes_Resumen[[#This Row],[Saldo ledger]],2)</f>
        <v>0</v>
      </c>
    </row>
    <row r="303" spans="1:12" x14ac:dyDescent="0.3">
      <c r="A303">
        <v>305</v>
      </c>
      <c r="B303" t="s">
        <v>605</v>
      </c>
      <c r="C303" t="s">
        <v>606</v>
      </c>
      <c r="D303">
        <v>2.92</v>
      </c>
      <c r="E303">
        <v>1</v>
      </c>
      <c r="F303">
        <f>SUMIFS(Compras_Full[LitrosActivos],Compras_Full[customer_id],Clientes_Resumen[[#This Row],[id]])</f>
        <v>29.22</v>
      </c>
      <c r="G303">
        <f>COUNTIFS(Compras_Full[customer_id],Clientes_Resumen[[#This Row],[id]],Compras_Full[status],"ACTIVE")</f>
        <v>1</v>
      </c>
      <c r="H303" s="2">
        <f>_xlfn.MAXIFS(Compras_Full[Fecha],Compras_Full[customer_id],Clientes_Resumen[[#This Row],[id]],Compras_Full[status],"ACTIVE")</f>
        <v>46241</v>
      </c>
      <c r="I303">
        <f>IF(Clientes_Resumen[[#This Row],[Última compra]]=0,"",Corte-Clientes_Resumen[[#This Row],[Última compra]])</f>
        <v>74</v>
      </c>
      <c r="J303" t="str" cm="1">
        <f t="array" ref="J303">IF(Clientes_Resumen[[#This Row],[Días sin comprar]]="","Sin compras",_xlfn.IFS(Clientes_Resumen[[#This Row],[Días sin comprar]]&gt;90,"90+",Clientes_Resumen[[#This Row],[Días sin comprar]]&gt;60,"61-90",Clientes_Resumen[[#This Row],[Días sin comprar]]&gt;30,"31-60",TRUE,"Activo"))</f>
        <v>61-90</v>
      </c>
      <c r="K303">
        <f>SUMIFS(Movimientos[points],Movimientos[customer_id],Clientes_Resumen[[#This Row],[id]],Movimientos[type],"EARNED")-SUMIFS(Movimientos[points],Movimientos[customer_id],Clientes_Resumen[[#This Row],[id]],Movimientos[type],"REDEEMED")+SUMIFS(Movimientos[points],Movimientos[customer_id],Clientes_Resumen[[#This Row],[id]],Movimientos[type],"ADJUSTMENT")</f>
        <v>2.92</v>
      </c>
      <c r="L303">
        <f>ROUND(Clientes_Resumen[[#This Row],[points]]-Clientes_Resumen[[#This Row],[Saldo ledger]],2)</f>
        <v>0</v>
      </c>
    </row>
  </sheetData>
  <phoneticPr fontId="1" type="noConversion"/>
  <conditionalFormatting sqref="L4:L303">
    <cfRule type="expression" dxfId="1" priority="1">
      <formula>ABS(L4)&gt;0.005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showGridLines="0" workbookViewId="0"/>
  </sheetViews>
  <sheetFormatPr baseColWidth="10" defaultColWidth="8.88671875" defaultRowHeight="14.4" x14ac:dyDescent="0.3"/>
  <cols>
    <col min="1" max="1" width="32" customWidth="1"/>
    <col min="2" max="3" width="26" customWidth="1"/>
    <col min="4" max="4" width="14" customWidth="1"/>
  </cols>
  <sheetData>
    <row r="1" spans="1:4" ht="21" x14ac:dyDescent="0.4">
      <c r="A1" s="3" t="s">
        <v>792</v>
      </c>
    </row>
    <row r="2" spans="1:4" x14ac:dyDescent="0.3">
      <c r="A2" t="s">
        <v>793</v>
      </c>
    </row>
    <row r="3" spans="1:4" x14ac:dyDescent="0.3">
      <c r="A3" s="9" t="s">
        <v>794</v>
      </c>
      <c r="B3" s="9" t="s">
        <v>795</v>
      </c>
      <c r="C3" s="9" t="s">
        <v>796</v>
      </c>
      <c r="D3" s="9" t="s">
        <v>797</v>
      </c>
    </row>
    <row r="4" spans="1:4" x14ac:dyDescent="0.3">
      <c r="A4" s="4" t="s">
        <v>798</v>
      </c>
      <c r="B4" s="5" t="s">
        <v>268</v>
      </c>
      <c r="C4" t="s">
        <v>799</v>
      </c>
    </row>
    <row r="5" spans="1:4" x14ac:dyDescent="0.3">
      <c r="A5" s="4" t="s">
        <v>800</v>
      </c>
      <c r="B5" s="6" t="str">
        <f>_xlfn.XLOOKUP($B$4,Clientes[user],Clientes[name],"No encontrado")</f>
        <v>Guadalupe Castillo Rangel</v>
      </c>
      <c r="C5" s="6" t="str">
        <f>IFERROR(INDEX(Clientes[name],MATCH($B$4,Clientes[user],0)),"No encontrado")</f>
        <v>Guadalupe Castillo Rangel</v>
      </c>
      <c r="D5" s="6" t="str">
        <f t="shared" ref="D5:D16" si="0">IF(B5=C5,"Sí","No")</f>
        <v>Sí</v>
      </c>
    </row>
    <row r="6" spans="1:4" x14ac:dyDescent="0.3">
      <c r="A6" s="4" t="s">
        <v>801</v>
      </c>
      <c r="B6" s="6">
        <f>_xlfn.XLOOKUP($B$4,Clientes[user],Clientes[id],"")</f>
        <v>136</v>
      </c>
      <c r="C6" s="6">
        <f>IFERROR(INDEX(Clientes[id],MATCH($B$4,Clientes[user],0)),"")</f>
        <v>136</v>
      </c>
      <c r="D6" s="6" t="str">
        <f t="shared" si="0"/>
        <v>Sí</v>
      </c>
    </row>
    <row r="7" spans="1:4" x14ac:dyDescent="0.3">
      <c r="A7" s="4" t="s">
        <v>802</v>
      </c>
      <c r="B7" s="6" t="str">
        <f>IFERROR(IF(_xlfn.XLOOKUP($B$4,Clientes[user],Clientes[active])=1,"Activo","Baja"),"")</f>
        <v>Activo</v>
      </c>
      <c r="C7" s="6" t="str">
        <f>IFERROR(IF(INDEX(Clientes[active],MATCH($B$4,Clientes[user],0))=1,"Activo","Baja"),"")</f>
        <v>Activo</v>
      </c>
      <c r="D7" s="6" t="str">
        <f t="shared" si="0"/>
        <v>Sí</v>
      </c>
    </row>
    <row r="8" spans="1:4" x14ac:dyDescent="0.3">
      <c r="A8" s="4" t="s">
        <v>803</v>
      </c>
      <c r="B8" s="7">
        <f>_xlfn.XLOOKUP($B$4,Clientes_Resumen[user],Clientes_Resumen[points],"")</f>
        <v>39.72</v>
      </c>
      <c r="C8" s="7">
        <f>IFERROR(INDEX(Clientes_Resumen[points],MATCH($B$4,Clientes_Resumen[user],0)),"")</f>
        <v>39.72</v>
      </c>
      <c r="D8" s="6" t="str">
        <f t="shared" si="0"/>
        <v>Sí</v>
      </c>
    </row>
    <row r="9" spans="1:4" x14ac:dyDescent="0.3">
      <c r="A9" s="4" t="s">
        <v>804</v>
      </c>
      <c r="B9" s="7">
        <f>_xlfn.XLOOKUP($B$4,Clientes_Resumen[user],Clientes_Resumen[Saldo ledger],"")</f>
        <v>24.720000000000056</v>
      </c>
      <c r="C9" s="7">
        <f>IFERROR(INDEX(Clientes_Resumen[Saldo ledger],MATCH($B$4,Clientes_Resumen[user],0)),"")</f>
        <v>24.720000000000056</v>
      </c>
      <c r="D9" s="6" t="str">
        <f t="shared" si="0"/>
        <v>Sí</v>
      </c>
    </row>
    <row r="10" spans="1:4" x14ac:dyDescent="0.3">
      <c r="A10" s="4" t="s">
        <v>790</v>
      </c>
      <c r="B10" s="7">
        <f>IFERROR(ROUND(B8-B9,2),"")</f>
        <v>15</v>
      </c>
      <c r="C10" s="7">
        <f>IFERROR(ROUND(C8-C9,2),"")</f>
        <v>15</v>
      </c>
      <c r="D10" s="6" t="str">
        <f t="shared" si="0"/>
        <v>Sí</v>
      </c>
    </row>
    <row r="11" spans="1:4" x14ac:dyDescent="0.3">
      <c r="A11" s="4" t="s">
        <v>805</v>
      </c>
      <c r="B11" s="6" t="str">
        <f>IF(B10="","",IF(B10=0,"Conciliado","INCONSISTENCIA"))</f>
        <v>INCONSISTENCIA</v>
      </c>
      <c r="C11" s="6" t="str">
        <f>IF(C10="","",IF(C10=0,"Conciliado","INCONSISTENCIA"))</f>
        <v>INCONSISTENCIA</v>
      </c>
      <c r="D11" s="6" t="str">
        <f t="shared" si="0"/>
        <v>Sí</v>
      </c>
    </row>
    <row r="12" spans="1:4" x14ac:dyDescent="0.3">
      <c r="A12" s="4" t="s">
        <v>806</v>
      </c>
      <c r="B12" s="7">
        <f>_xlfn.XLOOKUP($B$4,Clientes_Resumen[user],Clientes_Resumen[Litros],"")</f>
        <v>5183.6000000000004</v>
      </c>
      <c r="C12" s="7">
        <f>IFERROR(INDEX(Clientes_Resumen[Litros],MATCH($B$4,Clientes_Resumen[user],0)),"")</f>
        <v>5183.6000000000004</v>
      </c>
      <c r="D12" s="6" t="str">
        <f t="shared" si="0"/>
        <v>Sí</v>
      </c>
    </row>
    <row r="13" spans="1:4" x14ac:dyDescent="0.3">
      <c r="A13" s="4" t="s">
        <v>807</v>
      </c>
      <c r="B13" s="6">
        <f>_xlfn.XLOOKUP($B$4,Clientes_Resumen[user],Clientes_Resumen[Compras],"")</f>
        <v>51</v>
      </c>
      <c r="C13" s="6">
        <f>IFERROR(INDEX(Clientes_Resumen[Compras],MATCH($B$4,Clientes_Resumen[user],0)),"")</f>
        <v>51</v>
      </c>
      <c r="D13" s="6" t="str">
        <f t="shared" si="0"/>
        <v>Sí</v>
      </c>
    </row>
    <row r="14" spans="1:4" x14ac:dyDescent="0.3">
      <c r="A14" s="4" t="s">
        <v>786</v>
      </c>
      <c r="B14" s="8">
        <f>IFERROR(IF(_xlfn.XLOOKUP($B$4,Clientes_Resumen[user],Clientes_Resumen[Última compra])=0,"Sin compras",_xlfn.XLOOKUP($B$4,Clientes_Resumen[user],Clientes_Resumen[Última compra])),"")</f>
        <v>46301</v>
      </c>
      <c r="C14" s="8">
        <f>IFERROR(IF(INDEX(Clientes_Resumen[Última compra],MATCH($B$4,Clientes_Resumen[user],0))=0,"Sin compras",INDEX(Clientes_Resumen[Última compra],MATCH($B$4,Clientes_Resumen[user],0))),"")</f>
        <v>46301</v>
      </c>
      <c r="D14" s="6" t="str">
        <f t="shared" si="0"/>
        <v>Sí</v>
      </c>
    </row>
    <row r="15" spans="1:4" x14ac:dyDescent="0.3">
      <c r="A15" s="4" t="s">
        <v>787</v>
      </c>
      <c r="B15" s="6">
        <f>_xlfn.XLOOKUP($B$4,Clientes_Resumen[user],Clientes_Resumen[Días sin comprar],"")</f>
        <v>14</v>
      </c>
      <c r="C15" s="6">
        <f>IFERROR(INDEX(Clientes_Resumen[Días sin comprar],MATCH($B$4,Clientes_Resumen[user],0)),"")</f>
        <v>14</v>
      </c>
      <c r="D15" s="6" t="str">
        <f t="shared" si="0"/>
        <v>Sí</v>
      </c>
    </row>
    <row r="16" spans="1:4" x14ac:dyDescent="0.3">
      <c r="A16" s="4" t="s">
        <v>788</v>
      </c>
      <c r="B16" s="6" t="str">
        <f>_xlfn.XLOOKUP($B$4,Clientes_Resumen[user],Clientes_Resumen[Bucket],"")</f>
        <v>Activo</v>
      </c>
      <c r="C16" s="6" t="str">
        <f>IFERROR(INDEX(Clientes_Resumen[Bucket],MATCH($B$4,Clientes_Resumen[user],0)),"")</f>
        <v>Activo</v>
      </c>
      <c r="D16" s="6" t="str">
        <f t="shared" si="0"/>
        <v>Sí</v>
      </c>
    </row>
  </sheetData>
  <conditionalFormatting sqref="B10:C11">
    <cfRule type="expression" dxfId="0" priority="1">
      <formula>AND($B$10&lt;&gt;"",$B$10&lt;&gt;0)</formula>
    </cfRule>
  </conditionalFormatting>
  <dataValidations count="1">
    <dataValidation type="list" allowBlank="1" showInputMessage="1" showErrorMessage="1" sqref="B4" xr:uid="{00000000-0002-0000-0700-000000000000}">
      <formula1>ListaClientes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A3C8-E5A4-4A6F-9783-BC74B039C094}">
  <dimension ref="A1:P21"/>
  <sheetViews>
    <sheetView showGridLines="0" tabSelected="1" zoomScale="100" zoomScaleNormal="100" workbookViewId="0">
      <selection activeCell="A1" sqref="A1"/>
    </sheetView>
  </sheetViews>
  <sheetFormatPr baseColWidth="10" defaultRowHeight="14.4" x14ac:dyDescent="0.3"/>
  <cols>
    <col min="1" max="16" width="11.5" customWidth="1"/>
    <col min="17" max="17" width="3" customWidth="1"/>
    <col min="18" max="24" width="11.5" customWidth="1"/>
  </cols>
  <sheetData>
    <row r="1">
      <c r="A1" s="3" t="s">
        <v>825</v>
      </c>
    </row>
    <row r="2" ht="18" customHeight="1">
      <c r="A2" s="18" t="s">
        <v>826</v>
      </c>
      <c r="B2" s="23"/>
      <c r="C2" s="18" t="s">
        <v>807</v>
      </c>
      <c r="D2" s="23"/>
      <c r="E2" s="18" t="s">
        <v>827</v>
      </c>
      <c r="F2" s="23"/>
      <c r="G2" s="18" t="s">
        <v>828</v>
      </c>
      <c r="H2" s="23"/>
      <c r="I2" s="18" t="s">
        <v>829</v>
      </c>
      <c r="J2" s="23"/>
    </row>
    <row r="3" ht="30" customHeight="1">
      <c r="A3" s="19">
        <f>SUM(Compras_Full[LitrosActivos])</f>
        <v>240757.31</v>
      </c>
      <c r="B3" s="23"/>
      <c r="C3" s="19">
        <f>COUNTIFS(Compras_Full[status],"ACTIVE")</f>
        <v>2881</v>
      </c>
      <c r="D3" s="23"/>
      <c r="E3" s="20">
        <f>SUM(Compras_Full[Cancelada])/SUM(Compras_Full[Compra])</f>
        <v>0.03966666666666667</v>
      </c>
      <c r="F3" s="23"/>
      <c r="G3" s="20">
        <f>SUM(Movimientos[PtsCanjeados])/SUM(Movimientos[PtsEmitidos])</f>
        <v>0.40810991488979542</v>
      </c>
      <c r="H3" s="23"/>
      <c r="I3" s="21">
        <f>'Clientes_Resumen'!G1</f>
        <v>6</v>
      </c>
      <c r="J3" s="23"/>
    </row>
    <row r="21">
      <c r="A21" s="22" t="s">
        <v>817</v>
      </c>
    </row>
  </sheetData>
  <mergeCells count="10">
    <mergeCell ref="A2:B2"/>
    <mergeCell ref="C2:D2"/>
    <mergeCell ref="E2:F2"/>
    <mergeCell ref="G2:H2"/>
    <mergeCell ref="I2:J2"/>
    <mergeCell ref="A3:B3"/>
    <mergeCell ref="C3:D3"/>
    <mergeCell ref="E3:F3"/>
    <mergeCell ref="G3:H3"/>
    <mergeCell ref="I3:J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54CA-A740-4D48-96B2-485F8372EFEF}">
  <dimension ref="A1:R17"/>
  <sheetViews>
    <sheetView workbookViewId="0"/>
  </sheetViews>
  <sheetFormatPr baseColWidth="10" defaultRowHeight="14.4" x14ac:dyDescent="0.3"/>
  <sheetData>
    <row r="1" spans="1:18" x14ac:dyDescent="0.3">
      <c r="A1" s="17"/>
    </row>
    <row r="3" spans="1:18" x14ac:dyDescent="0.3">
      <c r="A3" s="10" t="s">
        <v>808</v>
      </c>
      <c r="B3" t="s">
        <v>810</v>
      </c>
      <c r="D3" s="10" t="s">
        <v>808</v>
      </c>
      <c r="E3" t="s">
        <v>811</v>
      </c>
      <c r="F3" t="s">
        <v>812</v>
      </c>
      <c r="G3" s="13" t="s">
        <v>813</v>
      </c>
      <c r="I3" s="10" t="s">
        <v>808</v>
      </c>
      <c r="J3" t="s">
        <v>815</v>
      </c>
      <c r="K3" t="s">
        <v>814</v>
      </c>
      <c r="L3" s="13" t="s">
        <v>816</v>
      </c>
      <c r="N3" s="10" t="s">
        <v>808</v>
      </c>
      <c r="O3" t="s">
        <v>810</v>
      </c>
      <c r="Q3" s="10" t="s">
        <v>808</v>
      </c>
      <c r="R3" t="s">
        <v>823</v>
      </c>
    </row>
    <row r="4" spans="1:18" x14ac:dyDescent="0.3">
      <c r="A4" s="11" t="s">
        <v>624</v>
      </c>
      <c r="B4" s="12">
        <v>7645.2600000000029</v>
      </c>
      <c r="D4" s="11" t="s">
        <v>624</v>
      </c>
      <c r="E4">
        <v>89</v>
      </c>
      <c r="F4">
        <v>2</v>
      </c>
      <c r="G4" s="13">
        <v>2.247191011235955E-2</v>
      </c>
      <c r="I4" s="11" t="s">
        <v>624</v>
      </c>
      <c r="J4">
        <v>80</v>
      </c>
      <c r="K4">
        <v>778.00999999999988</v>
      </c>
      <c r="L4" s="13">
        <v>0.10282644181951391</v>
      </c>
      <c r="N4" s="11" t="s">
        <v>779</v>
      </c>
      <c r="O4">
        <v>59310.999999999993</v>
      </c>
      <c r="Q4" s="11" t="s">
        <v>821</v>
      </c>
      <c r="R4">
        <v>90</v>
      </c>
    </row>
    <row r="5" spans="1:18" x14ac:dyDescent="0.3">
      <c r="A5" s="11" t="s">
        <v>630</v>
      </c>
      <c r="B5" s="12">
        <v>25016.310000000023</v>
      </c>
      <c r="D5" s="11" t="s">
        <v>630</v>
      </c>
      <c r="E5">
        <v>293</v>
      </c>
      <c r="F5">
        <v>13</v>
      </c>
      <c r="G5" s="13">
        <v>4.4368600682593858E-2</v>
      </c>
      <c r="I5" s="11" t="s">
        <v>630</v>
      </c>
      <c r="J5">
        <v>588.31000000000006</v>
      </c>
      <c r="K5">
        <v>2548.0300000000025</v>
      </c>
      <c r="L5" s="13">
        <v>0.23088817635585118</v>
      </c>
      <c r="N5" s="11" t="s">
        <v>778</v>
      </c>
      <c r="O5">
        <v>59938.579999999994</v>
      </c>
      <c r="Q5" s="11" t="s">
        <v>818</v>
      </c>
      <c r="R5">
        <v>52</v>
      </c>
    </row>
    <row r="6" spans="1:18" x14ac:dyDescent="0.3">
      <c r="A6" s="11" t="s">
        <v>633</v>
      </c>
      <c r="B6" s="12">
        <v>29977.680000000008</v>
      </c>
      <c r="D6" s="11" t="s">
        <v>633</v>
      </c>
      <c r="E6">
        <v>368</v>
      </c>
      <c r="F6">
        <v>8</v>
      </c>
      <c r="G6" s="13">
        <v>2.1739130434782608E-2</v>
      </c>
      <c r="I6" s="11" t="s">
        <v>633</v>
      </c>
      <c r="J6">
        <v>796.58000000000015</v>
      </c>
      <c r="K6">
        <v>2991.8999999999996</v>
      </c>
      <c r="L6" s="13">
        <v>0.26624552959657749</v>
      </c>
      <c r="N6" s="11" t="s">
        <v>776</v>
      </c>
      <c r="O6">
        <v>66033.250000000029</v>
      </c>
      <c r="Q6" s="11" t="s">
        <v>819</v>
      </c>
      <c r="R6">
        <v>37</v>
      </c>
    </row>
    <row r="7" spans="1:18" x14ac:dyDescent="0.3">
      <c r="A7" s="11" t="s">
        <v>634</v>
      </c>
      <c r="B7" s="12">
        <v>28299.129999999986</v>
      </c>
      <c r="D7" s="11" t="s">
        <v>634</v>
      </c>
      <c r="E7">
        <v>335</v>
      </c>
      <c r="F7">
        <v>23</v>
      </c>
      <c r="G7" s="13">
        <v>6.8656716417910449E-2</v>
      </c>
      <c r="I7" s="11" t="s">
        <v>634</v>
      </c>
      <c r="J7">
        <v>766.21999999999991</v>
      </c>
      <c r="K7">
        <v>2941.4400000000019</v>
      </c>
      <c r="L7" s="13">
        <v>0.26049145996518691</v>
      </c>
      <c r="N7" s="11" t="s">
        <v>777</v>
      </c>
      <c r="O7">
        <v>55474.480000000047</v>
      </c>
      <c r="Q7" s="11" t="s">
        <v>820</v>
      </c>
      <c r="R7">
        <v>101</v>
      </c>
    </row>
    <row r="8" spans="1:18" x14ac:dyDescent="0.3">
      <c r="A8" s="11" t="s">
        <v>635</v>
      </c>
      <c r="B8" s="12">
        <v>20808.899999999994</v>
      </c>
      <c r="D8" s="11" t="s">
        <v>635</v>
      </c>
      <c r="E8">
        <v>282</v>
      </c>
      <c r="F8">
        <v>13</v>
      </c>
      <c r="G8" s="13">
        <v>4.6099290780141841E-2</v>
      </c>
      <c r="I8" s="11" t="s">
        <v>635</v>
      </c>
      <c r="J8">
        <v>802.25999999999988</v>
      </c>
      <c r="K8">
        <v>2066.9699999999989</v>
      </c>
      <c r="L8" s="13">
        <v>0.38813335462053167</v>
      </c>
      <c r="N8" s="14" t="s">
        <v>809</v>
      </c>
      <c r="O8">
        <v>240757.31000000006</v>
      </c>
      <c r="Q8" s="11" t="s">
        <v>822</v>
      </c>
      <c r="R8">
        <v>20</v>
      </c>
    </row>
    <row r="9" spans="1:18" x14ac:dyDescent="0.3">
      <c r="A9" s="11" t="s">
        <v>636</v>
      </c>
      <c r="B9" s="12">
        <v>18721.380000000012</v>
      </c>
      <c r="D9" s="11" t="s">
        <v>636</v>
      </c>
      <c r="E9">
        <v>243</v>
      </c>
      <c r="F9">
        <v>9</v>
      </c>
      <c r="G9" s="13">
        <v>3.7037037037037035E-2</v>
      </c>
      <c r="I9" s="11" t="s">
        <v>636</v>
      </c>
      <c r="J9">
        <v>709.62999999999988</v>
      </c>
      <c r="K9">
        <v>1874.6699999999992</v>
      </c>
      <c r="L9" s="13">
        <v>0.37853595566152987</v>
      </c>
      <c r="Q9" s="11" t="s">
        <v>809</v>
      </c>
      <c r="R9">
        <v>300</v>
      </c>
    </row>
    <row r="10" spans="1:18" x14ac:dyDescent="0.3">
      <c r="A10" s="11" t="s">
        <v>637</v>
      </c>
      <c r="B10" s="12">
        <v>17000.989999999998</v>
      </c>
      <c r="D10" s="11" t="s">
        <v>637</v>
      </c>
      <c r="E10">
        <v>204</v>
      </c>
      <c r="F10">
        <v>3</v>
      </c>
      <c r="G10" s="13">
        <v>1.4705882352941176E-2</v>
      </c>
      <c r="I10" s="11" t="s">
        <v>637</v>
      </c>
      <c r="J10">
        <v>824.56999999999994</v>
      </c>
      <c r="K10">
        <v>1632.4699999999996</v>
      </c>
      <c r="L10" s="13">
        <v>0.50510575998333818</v>
      </c>
    </row>
    <row r="11" spans="1:18" x14ac:dyDescent="0.3">
      <c r="A11" s="11" t="s">
        <v>638</v>
      </c>
      <c r="B11" s="12">
        <v>18441.689999999999</v>
      </c>
      <c r="D11" s="11" t="s">
        <v>638</v>
      </c>
      <c r="E11">
        <v>212</v>
      </c>
      <c r="F11">
        <v>9</v>
      </c>
      <c r="G11" s="13">
        <v>4.2452830188679243E-2</v>
      </c>
      <c r="I11" s="11" t="s">
        <v>638</v>
      </c>
      <c r="J11">
        <v>813.41000000000008</v>
      </c>
      <c r="K11">
        <v>1840.9299999999996</v>
      </c>
      <c r="L11" s="13">
        <v>0.44184732716616071</v>
      </c>
    </row>
    <row r="12" spans="1:18" x14ac:dyDescent="0.3">
      <c r="A12" s="11" t="s">
        <v>639</v>
      </c>
      <c r="B12" s="12">
        <v>16257.210000000008</v>
      </c>
      <c r="D12" s="11" t="s">
        <v>639</v>
      </c>
      <c r="E12">
        <v>200</v>
      </c>
      <c r="F12">
        <v>9</v>
      </c>
      <c r="G12" s="13">
        <v>4.4999999999999998E-2</v>
      </c>
      <c r="I12" s="11" t="s">
        <v>639</v>
      </c>
      <c r="J12">
        <v>965.03</v>
      </c>
      <c r="K12">
        <v>1602.56</v>
      </c>
      <c r="L12" s="13">
        <v>0.60218026158146964</v>
      </c>
    </row>
    <row r="13" spans="1:18" x14ac:dyDescent="0.3">
      <c r="A13" s="11" t="s">
        <v>640</v>
      </c>
      <c r="B13" s="12">
        <v>15337.689999999999</v>
      </c>
      <c r="D13" s="11" t="s">
        <v>640</v>
      </c>
      <c r="E13">
        <v>210</v>
      </c>
      <c r="F13">
        <v>11</v>
      </c>
      <c r="G13" s="13">
        <v>5.2380952380952382E-2</v>
      </c>
      <c r="I13" s="11" t="s">
        <v>640</v>
      </c>
      <c r="J13">
        <v>826.17999999999984</v>
      </c>
      <c r="K13">
        <v>1549.3299999999988</v>
      </c>
      <c r="L13" s="13">
        <v>0.53324985638953648</v>
      </c>
    </row>
    <row r="14" spans="1:18" x14ac:dyDescent="0.3">
      <c r="A14" s="11" t="s">
        <v>641</v>
      </c>
      <c r="B14" s="12">
        <v>15928.589999999997</v>
      </c>
      <c r="D14" s="11" t="s">
        <v>641</v>
      </c>
      <c r="E14">
        <v>207</v>
      </c>
      <c r="F14">
        <v>8</v>
      </c>
      <c r="G14" s="13">
        <v>3.864734299516908E-2</v>
      </c>
      <c r="I14" s="11" t="s">
        <v>641</v>
      </c>
      <c r="J14">
        <v>812.06999999999994</v>
      </c>
      <c r="K14">
        <v>1575.1300000000003</v>
      </c>
      <c r="L14" s="13">
        <v>0.51555744605207177</v>
      </c>
    </row>
    <row r="15" spans="1:18" x14ac:dyDescent="0.3">
      <c r="A15" s="11" t="s">
        <v>642</v>
      </c>
      <c r="B15" s="12">
        <v>15648.86</v>
      </c>
      <c r="D15" s="11" t="s">
        <v>642</v>
      </c>
      <c r="E15">
        <v>214</v>
      </c>
      <c r="F15">
        <v>8</v>
      </c>
      <c r="G15" s="13">
        <v>3.7383177570093455E-2</v>
      </c>
      <c r="I15" s="11" t="s">
        <v>642</v>
      </c>
      <c r="J15">
        <v>1076.1099999999999</v>
      </c>
      <c r="K15">
        <v>1535.0300000000007</v>
      </c>
      <c r="L15" s="13">
        <v>0.7010351589219751</v>
      </c>
    </row>
    <row r="16" spans="1:18" x14ac:dyDescent="0.3">
      <c r="A16" s="11" t="s">
        <v>643</v>
      </c>
      <c r="B16" s="12">
        <v>11673.620000000003</v>
      </c>
      <c r="D16" s="11" t="s">
        <v>643</v>
      </c>
      <c r="E16">
        <v>143</v>
      </c>
      <c r="F16">
        <v>3</v>
      </c>
      <c r="G16" s="13">
        <v>2.097902097902098E-2</v>
      </c>
      <c r="I16" s="11" t="s">
        <v>643</v>
      </c>
      <c r="J16">
        <v>756.1099999999999</v>
      </c>
      <c r="K16">
        <v>1117.0499999999997</v>
      </c>
      <c r="L16" s="13">
        <v>0.67688107067723025</v>
      </c>
    </row>
    <row r="17" spans="1:12" x14ac:dyDescent="0.3">
      <c r="A17" s="11" t="s">
        <v>809</v>
      </c>
      <c r="B17" s="12">
        <v>240757.31000000006</v>
      </c>
      <c r="D17" s="11" t="s">
        <v>809</v>
      </c>
      <c r="E17">
        <v>3000</v>
      </c>
      <c r="F17">
        <v>119</v>
      </c>
      <c r="G17" s="13">
        <v>3.966666666666667E-2</v>
      </c>
      <c r="I17" s="11" t="s">
        <v>809</v>
      </c>
      <c r="J17">
        <v>9816.48</v>
      </c>
      <c r="K17">
        <v>24053.52</v>
      </c>
      <c r="L17" s="13">
        <v>0.40810991488979542</v>
      </c>
    </row>
  </sheetData>
  <pageMargins left="0.7" right="0.7" top="0.75" bottom="0.75" header="0.3" footer="0.3"/>
  <pageSetup orientation="portrait"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38B8-FD62-440F-B67C-1CDE4AF09EDD}">
  <dimension ref="A1:C301"/>
  <sheetViews>
    <sheetView topLeftCell="B269" workbookViewId="0">
      <selection activeCell="F286" sqref="F286"/>
    </sheetView>
  </sheetViews>
  <sheetFormatPr baseColWidth="10" defaultRowHeight="14.4" x14ac:dyDescent="0.3"/>
  <cols>
    <col min="3" max="3" width="11.5546875" style="16"/>
  </cols>
  <sheetData>
    <row r="1" spans="1:3" x14ac:dyDescent="0.3">
      <c r="A1" t="s">
        <v>830</v>
      </c>
      <c r="B1" t="s">
        <v>784</v>
      </c>
      <c r="C1" s="16" t="s">
        <v>831</v>
      </c>
    </row>
    <row r="2" spans="1:3" x14ac:dyDescent="0.3">
      <c r="A2">
        <v>1</v>
      </c>
      <c r="B2">
        <f>LARGE(Clientes_Resumen[Litros],A2)</f>
        <v>22406.609999999993</v>
      </c>
      <c r="C2" s="16">
        <f>SUM($B$2:B2)/SUM($B$2:$B$301)</f>
        <v>9.306720531144004E-2</v>
      </c>
    </row>
    <row r="3" spans="1:3" x14ac:dyDescent="0.3">
      <c r="A3">
        <v>2</v>
      </c>
      <c r="B3">
        <f>LARGE(Clientes_Resumen[Litros],A3)</f>
        <v>10395.98</v>
      </c>
      <c r="C3" s="16">
        <f>SUM($B$2:B3)/SUM($B$2:$B$301)</f>
        <v>0.1362475349138933</v>
      </c>
    </row>
    <row r="4" spans="1:3" x14ac:dyDescent="0.3">
      <c r="A4">
        <v>3</v>
      </c>
      <c r="B4">
        <f>LARGE(Clientes_Resumen[Litros],A4)</f>
        <v>9109.409999999998</v>
      </c>
      <c r="C4" s="16">
        <f>SUM($B$2:B4)/SUM($B$2:$B$301)</f>
        <v>0.17408401846656302</v>
      </c>
    </row>
    <row r="5" spans="1:3" x14ac:dyDescent="0.3">
      <c r="A5">
        <v>4</v>
      </c>
      <c r="B5">
        <f>LARGE(Clientes_Resumen[Litros],A5)</f>
        <v>8016.3600000000042</v>
      </c>
      <c r="C5" s="16">
        <f>SUM($B$2:B5)/SUM($B$2:$B$301)</f>
        <v>0.20738045295488663</v>
      </c>
    </row>
    <row r="6" spans="1:3" x14ac:dyDescent="0.3">
      <c r="A6">
        <v>5</v>
      </c>
      <c r="B6">
        <f>LARGE(Clientes_Resumen[Litros],A6)</f>
        <v>5183.6000000000004</v>
      </c>
      <c r="C6" s="16">
        <f>SUM($B$2:B6)/SUM($B$2:$B$301)</f>
        <v>0.2289108480236802</v>
      </c>
    </row>
    <row r="7" spans="1:3" x14ac:dyDescent="0.3">
      <c r="A7">
        <v>6</v>
      </c>
      <c r="B7">
        <f>LARGE(Clientes_Resumen[Litros],A7)</f>
        <v>4896.5499999999993</v>
      </c>
      <c r="C7" s="16">
        <f>SUM($B$2:B7)/SUM($B$2:$B$301)</f>
        <v>0.24924896361402302</v>
      </c>
    </row>
    <row r="8" spans="1:3" x14ac:dyDescent="0.3">
      <c r="A8">
        <v>7</v>
      </c>
      <c r="B8">
        <f>LARGE(Clientes_Resumen[Litros],A8)</f>
        <v>4498.8300000000008</v>
      </c>
      <c r="C8" s="16">
        <f>SUM($B$2:B8)/SUM($B$2:$B$301)</f>
        <v>0.26793512520969798</v>
      </c>
    </row>
    <row r="9" spans="1:3" x14ac:dyDescent="0.3">
      <c r="A9">
        <v>8</v>
      </c>
      <c r="B9">
        <f>LARGE(Clientes_Resumen[Litros],A9)</f>
        <v>4465.58</v>
      </c>
      <c r="C9" s="16">
        <f>SUM($B$2:B9)/SUM($B$2:$B$301)</f>
        <v>0.28648318092605402</v>
      </c>
    </row>
    <row r="10" spans="1:3" x14ac:dyDescent="0.3">
      <c r="A10">
        <v>9</v>
      </c>
      <c r="B10">
        <f>LARGE(Clientes_Resumen[Litros],A10)</f>
        <v>4463.4900000000007</v>
      </c>
      <c r="C10" s="16">
        <f>SUM($B$2:B10)/SUM($B$2:$B$301)</f>
        <v>0.30502255570142434</v>
      </c>
    </row>
    <row r="11" spans="1:3" x14ac:dyDescent="0.3">
      <c r="A11">
        <v>10</v>
      </c>
      <c r="B11">
        <f>LARGE(Clientes_Resumen[Litros],A11)</f>
        <v>3873.6099999999997</v>
      </c>
      <c r="C11" s="16">
        <f>SUM($B$2:B11)/SUM($B$2:$B$301)</f>
        <v>0.32111182833867052</v>
      </c>
    </row>
    <row r="12" spans="1:3" x14ac:dyDescent="0.3">
      <c r="A12">
        <v>11</v>
      </c>
      <c r="B12">
        <f>LARGE(Clientes_Resumen[Litros],A12)</f>
        <v>3568.4100000000003</v>
      </c>
      <c r="C12" s="16">
        <f>SUM($B$2:B12)/SUM($B$2:$B$301)</f>
        <v>0.33593343437837919</v>
      </c>
    </row>
    <row r="13" spans="1:3" x14ac:dyDescent="0.3">
      <c r="A13">
        <v>12</v>
      </c>
      <c r="B13">
        <f>LARGE(Clientes_Resumen[Litros],A13)</f>
        <v>3443.1600000000012</v>
      </c>
      <c r="C13" s="16">
        <f>SUM($B$2:B13)/SUM($B$2:$B$301)</f>
        <v>0.35023480699298437</v>
      </c>
    </row>
    <row r="14" spans="1:3" x14ac:dyDescent="0.3">
      <c r="A14">
        <v>13</v>
      </c>
      <c r="B14">
        <f>LARGE(Clientes_Resumen[Litros],A14)</f>
        <v>3382.38</v>
      </c>
      <c r="C14" s="16">
        <f>SUM($B$2:B14)/SUM($B$2:$B$301)</f>
        <v>0.36428372621375488</v>
      </c>
    </row>
    <row r="15" spans="1:3" x14ac:dyDescent="0.3">
      <c r="A15">
        <v>14</v>
      </c>
      <c r="B15">
        <f>LARGE(Clientes_Resumen[Litros],A15)</f>
        <v>3267.2999999999997</v>
      </c>
      <c r="C15" s="16">
        <f>SUM($B$2:B15)/SUM($B$2:$B$301)</f>
        <v>0.37785465371747223</v>
      </c>
    </row>
    <row r="16" spans="1:3" x14ac:dyDescent="0.3">
      <c r="A16">
        <v>15</v>
      </c>
      <c r="B16">
        <f>LARGE(Clientes_Resumen[Litros],A16)</f>
        <v>2944.73</v>
      </c>
      <c r="C16" s="16">
        <f>SUM($B$2:B16)/SUM($B$2:$B$301)</f>
        <v>0.39008576728158373</v>
      </c>
    </row>
    <row r="17" spans="1:3" x14ac:dyDescent="0.3">
      <c r="A17">
        <v>16</v>
      </c>
      <c r="B17">
        <f>LARGE(Clientes_Resumen[Litros],A17)</f>
        <v>2834.0800000000004</v>
      </c>
      <c r="C17" s="16">
        <f>SUM($B$2:B17)/SUM($B$2:$B$301)</f>
        <v>0.40185728940068371</v>
      </c>
    </row>
    <row r="18" spans="1:3" x14ac:dyDescent="0.3">
      <c r="A18">
        <v>17</v>
      </c>
      <c r="B18">
        <f>LARGE(Clientes_Resumen[Litros],A18)</f>
        <v>2779.92</v>
      </c>
      <c r="C18" s="16">
        <f>SUM($B$2:B18)/SUM($B$2:$B$301)</f>
        <v>0.4134038546950044</v>
      </c>
    </row>
    <row r="19" spans="1:3" x14ac:dyDescent="0.3">
      <c r="A19">
        <v>18</v>
      </c>
      <c r="B19">
        <f>LARGE(Clientes_Resumen[Litros],A19)</f>
        <v>2744.1200000000003</v>
      </c>
      <c r="C19" s="16">
        <f>SUM($B$2:B19)/SUM($B$2:$B$301)</f>
        <v>0.42480172253129145</v>
      </c>
    </row>
    <row r="20" spans="1:3" x14ac:dyDescent="0.3">
      <c r="A20">
        <v>19</v>
      </c>
      <c r="B20">
        <f>LARGE(Clientes_Resumen[Litros],A20)</f>
        <v>2697.9399999999996</v>
      </c>
      <c r="C20" s="16">
        <f>SUM($B$2:B20)/SUM($B$2:$B$301)</f>
        <v>0.4360077789538358</v>
      </c>
    </row>
    <row r="21" spans="1:3" x14ac:dyDescent="0.3">
      <c r="A21">
        <v>20</v>
      </c>
      <c r="B21">
        <f>LARGE(Clientes_Resumen[Litros],A21)</f>
        <v>2620.8400000000006</v>
      </c>
      <c r="C21" s="16">
        <f>SUM($B$2:B21)/SUM($B$2:$B$301)</f>
        <v>0.44689359587877153</v>
      </c>
    </row>
    <row r="22" spans="1:3" x14ac:dyDescent="0.3">
      <c r="A22">
        <v>21</v>
      </c>
      <c r="B22">
        <f>LARGE(Clientes_Resumen[Litros],A22)</f>
        <v>2617.0900000000006</v>
      </c>
      <c r="C22" s="16">
        <f>SUM($B$2:B22)/SUM($B$2:$B$301)</f>
        <v>0.45776383695265627</v>
      </c>
    </row>
    <row r="23" spans="1:3" x14ac:dyDescent="0.3">
      <c r="A23">
        <v>22</v>
      </c>
      <c r="B23">
        <f>LARGE(Clientes_Resumen[Litros],A23)</f>
        <v>2407.3900000000008</v>
      </c>
      <c r="C23" s="16">
        <f>SUM($B$2:B23)/SUM($B$2:$B$301)</f>
        <v>0.46776307643576898</v>
      </c>
    </row>
    <row r="24" spans="1:3" x14ac:dyDescent="0.3">
      <c r="A24">
        <v>23</v>
      </c>
      <c r="B24">
        <f>LARGE(Clientes_Resumen[Litros],A24)</f>
        <v>2233.4300000000003</v>
      </c>
      <c r="C24" s="16">
        <f>SUM($B$2:B24)/SUM($B$2:$B$301)</f>
        <v>0.47703976257252634</v>
      </c>
    </row>
    <row r="25" spans="1:3" x14ac:dyDescent="0.3">
      <c r="A25">
        <v>24</v>
      </c>
      <c r="B25">
        <f>LARGE(Clientes_Resumen[Litros],A25)</f>
        <v>2198.5099999999998</v>
      </c>
      <c r="C25" s="16">
        <f>SUM($B$2:B25)/SUM($B$2:$B$301)</f>
        <v>0.48617140638429679</v>
      </c>
    </row>
    <row r="26" spans="1:3" x14ac:dyDescent="0.3">
      <c r="A26">
        <v>25</v>
      </c>
      <c r="B26">
        <f>LARGE(Clientes_Resumen[Litros],A26)</f>
        <v>2160.8000000000002</v>
      </c>
      <c r="C26" s="16">
        <f>SUM($B$2:B26)/SUM($B$2:$B$301)</f>
        <v>0.49514641943789839</v>
      </c>
    </row>
    <row r="27" spans="1:3" x14ac:dyDescent="0.3">
      <c r="A27">
        <v>26</v>
      </c>
      <c r="B27">
        <f>LARGE(Clientes_Resumen[Litros],A27)</f>
        <v>2068.71</v>
      </c>
      <c r="C27" s="16">
        <f>SUM($B$2:B27)/SUM($B$2:$B$301)</f>
        <v>0.50373893112529022</v>
      </c>
    </row>
    <row r="28" spans="1:3" x14ac:dyDescent="0.3">
      <c r="A28">
        <v>27</v>
      </c>
      <c r="B28">
        <f>LARGE(Clientes_Resumen[Litros],A28)</f>
        <v>2046.8600000000004</v>
      </c>
      <c r="C28" s="16">
        <f>SUM($B$2:B28)/SUM($B$2:$B$301)</f>
        <v>0.51224068752055807</v>
      </c>
    </row>
    <row r="29" spans="1:3" x14ac:dyDescent="0.3">
      <c r="A29">
        <v>28</v>
      </c>
      <c r="B29">
        <f>LARGE(Clientes_Resumen[Litros],A29)</f>
        <v>2006.48</v>
      </c>
      <c r="C29" s="16">
        <f>SUM($B$2:B29)/SUM($B$2:$B$301)</f>
        <v>0.52057472315170883</v>
      </c>
    </row>
    <row r="30" spans="1:3" x14ac:dyDescent="0.3">
      <c r="A30">
        <v>29</v>
      </c>
      <c r="B30">
        <f>LARGE(Clientes_Resumen[Litros],A30)</f>
        <v>1991.3199999999997</v>
      </c>
      <c r="C30" s="16">
        <f>SUM($B$2:B30)/SUM($B$2:$B$301)</f>
        <v>0.52884579080901062</v>
      </c>
    </row>
    <row r="31" spans="1:3" x14ac:dyDescent="0.3">
      <c r="A31">
        <v>30</v>
      </c>
      <c r="B31">
        <f>LARGE(Clientes_Resumen[Litros],A31)</f>
        <v>1942.45</v>
      </c>
      <c r="C31" s="16">
        <f>SUM($B$2:B31)/SUM($B$2:$B$301)</f>
        <v>0.5369138739754159</v>
      </c>
    </row>
    <row r="32" spans="1:3" x14ac:dyDescent="0.3">
      <c r="A32">
        <v>31</v>
      </c>
      <c r="B32">
        <f>LARGE(Clientes_Resumen[Litros],A32)</f>
        <v>1941.43</v>
      </c>
      <c r="C32" s="16">
        <f>SUM($B$2:B32)/SUM($B$2:$B$301)</f>
        <v>0.54497772051033522</v>
      </c>
    </row>
    <row r="33" spans="1:3" x14ac:dyDescent="0.3">
      <c r="A33">
        <v>32</v>
      </c>
      <c r="B33">
        <f>LARGE(Clientes_Resumen[Litros],A33)</f>
        <v>1923.8600000000001</v>
      </c>
      <c r="C33" s="16">
        <f>SUM($B$2:B33)/SUM($B$2:$B$301)</f>
        <v>0.55296858899113022</v>
      </c>
    </row>
    <row r="34" spans="1:3" x14ac:dyDescent="0.3">
      <c r="A34">
        <v>33</v>
      </c>
      <c r="B34">
        <f>LARGE(Clientes_Resumen[Litros],A34)</f>
        <v>1883.8200000000002</v>
      </c>
      <c r="C34" s="16">
        <f>SUM($B$2:B34)/SUM($B$2:$B$301)</f>
        <v>0.56079314891830345</v>
      </c>
    </row>
    <row r="35" spans="1:3" x14ac:dyDescent="0.3">
      <c r="A35">
        <v>34</v>
      </c>
      <c r="B35">
        <f>LARGE(Clientes_Resumen[Litros],A35)</f>
        <v>1716.47</v>
      </c>
      <c r="C35" s="16">
        <f>SUM($B$2:B35)/SUM($B$2:$B$301)</f>
        <v>0.56792261053257387</v>
      </c>
    </row>
    <row r="36" spans="1:3" x14ac:dyDescent="0.3">
      <c r="A36">
        <v>35</v>
      </c>
      <c r="B36">
        <f>LARGE(Clientes_Resumen[Litros],A36)</f>
        <v>1699.05</v>
      </c>
      <c r="C36" s="16">
        <f>SUM($B$2:B36)/SUM($B$2:$B$301)</f>
        <v>0.57497971712676188</v>
      </c>
    </row>
    <row r="37" spans="1:3" x14ac:dyDescent="0.3">
      <c r="A37">
        <v>36</v>
      </c>
      <c r="B37">
        <f>LARGE(Clientes_Resumen[Litros],A37)</f>
        <v>1664.81</v>
      </c>
      <c r="C37" s="16">
        <f>SUM($B$2:B37)/SUM($B$2:$B$301)</f>
        <v>0.58189460581695374</v>
      </c>
    </row>
    <row r="38" spans="1:3" x14ac:dyDescent="0.3">
      <c r="A38">
        <v>37</v>
      </c>
      <c r="B38">
        <f>LARGE(Clientes_Resumen[Litros],A38)</f>
        <v>1654.1200000000001</v>
      </c>
      <c r="C38" s="16">
        <f>SUM($B$2:B38)/SUM($B$2:$B$301)</f>
        <v>0.58876509294774948</v>
      </c>
    </row>
    <row r="39" spans="1:3" x14ac:dyDescent="0.3">
      <c r="A39">
        <v>38</v>
      </c>
      <c r="B39">
        <f>LARGE(Clientes_Resumen[Litros],A39)</f>
        <v>1636.1599999999999</v>
      </c>
      <c r="C39" s="16">
        <f>SUM($B$2:B39)/SUM($B$2:$B$301)</f>
        <v>0.59556098213591158</v>
      </c>
    </row>
    <row r="40" spans="1:3" x14ac:dyDescent="0.3">
      <c r="A40">
        <v>39</v>
      </c>
      <c r="B40">
        <f>LARGE(Clientes_Resumen[Litros],A40)</f>
        <v>1550.98</v>
      </c>
      <c r="C40" s="16">
        <f>SUM($B$2:B40)/SUM($B$2:$B$301)</f>
        <v>0.60200307105940065</v>
      </c>
    </row>
    <row r="41" spans="1:3" x14ac:dyDescent="0.3">
      <c r="A41">
        <v>40</v>
      </c>
      <c r="B41">
        <f>LARGE(Clientes_Resumen[Litros],A41)</f>
        <v>1523.0800000000002</v>
      </c>
      <c r="C41" s="16">
        <f>SUM($B$2:B41)/SUM($B$2:$B$301)</f>
        <v>0.60832927565107009</v>
      </c>
    </row>
    <row r="42" spans="1:3" x14ac:dyDescent="0.3">
      <c r="A42">
        <v>41</v>
      </c>
      <c r="B42">
        <f>LARGE(Clientes_Resumen[Litros],A42)</f>
        <v>1438.36</v>
      </c>
      <c r="C42" s="16">
        <f>SUM($B$2:B42)/SUM($B$2:$B$301)</f>
        <v>0.61430359061579531</v>
      </c>
    </row>
    <row r="43" spans="1:3" x14ac:dyDescent="0.3">
      <c r="A43">
        <v>42</v>
      </c>
      <c r="B43">
        <f>LARGE(Clientes_Resumen[Litros],A43)</f>
        <v>1414.16</v>
      </c>
      <c r="C43" s="16">
        <f>SUM($B$2:B43)/SUM($B$2:$B$301)</f>
        <v>0.62017738942173817</v>
      </c>
    </row>
    <row r="44" spans="1:3" x14ac:dyDescent="0.3">
      <c r="A44">
        <v>43</v>
      </c>
      <c r="B44">
        <f>LARGE(Clientes_Resumen[Litros],A44)</f>
        <v>1380.56</v>
      </c>
      <c r="C44" s="16">
        <f>SUM($B$2:B44)/SUM($B$2:$B$301)</f>
        <v>0.6259116286022639</v>
      </c>
    </row>
    <row r="45" spans="1:3" x14ac:dyDescent="0.3">
      <c r="A45">
        <v>44</v>
      </c>
      <c r="B45">
        <f>LARGE(Clientes_Resumen[Litros],A45)</f>
        <v>1335.78</v>
      </c>
      <c r="C45" s="16">
        <f>SUM($B$2:B45)/SUM($B$2:$B$301)</f>
        <v>0.63145987135343939</v>
      </c>
    </row>
    <row r="46" spans="1:3" x14ac:dyDescent="0.3">
      <c r="A46">
        <v>45</v>
      </c>
      <c r="B46">
        <f>LARGE(Clientes_Resumen[Litros],A46)</f>
        <v>1335.3799999999999</v>
      </c>
      <c r="C46" s="16">
        <f>SUM($B$2:B46)/SUM($B$2:$B$301)</f>
        <v>0.63700645268050271</v>
      </c>
    </row>
    <row r="47" spans="1:3" x14ac:dyDescent="0.3">
      <c r="A47">
        <v>46</v>
      </c>
      <c r="B47">
        <f>LARGE(Clientes_Resumen[Litros],A47)</f>
        <v>1270.2699999999998</v>
      </c>
      <c r="C47" s="16">
        <f>SUM($B$2:B47)/SUM($B$2:$B$301)</f>
        <v>0.64228259569771784</v>
      </c>
    </row>
    <row r="48" spans="1:3" x14ac:dyDescent="0.3">
      <c r="A48">
        <v>47</v>
      </c>
      <c r="B48">
        <f>LARGE(Clientes_Resumen[Litros],A48)</f>
        <v>1252.31</v>
      </c>
      <c r="C48" s="16">
        <f>SUM($B$2:B48)/SUM($B$2:$B$301)</f>
        <v>0.64748414077229943</v>
      </c>
    </row>
    <row r="49" spans="1:3" x14ac:dyDescent="0.3">
      <c r="A49">
        <v>48</v>
      </c>
      <c r="B49">
        <f>LARGE(Clientes_Resumen[Litros],A49)</f>
        <v>1197.18</v>
      </c>
      <c r="C49" s="16">
        <f>SUM($B$2:B49)/SUM($B$2:$B$301)</f>
        <v>0.65245670006862977</v>
      </c>
    </row>
    <row r="50" spans="1:3" x14ac:dyDescent="0.3">
      <c r="A50">
        <v>49</v>
      </c>
      <c r="B50">
        <f>LARGE(Clientes_Resumen[Litros],A50)</f>
        <v>1187.4000000000001</v>
      </c>
      <c r="C50" s="16">
        <f>SUM($B$2:B50)/SUM($B$2:$B$301)</f>
        <v>0.6573886375454191</v>
      </c>
    </row>
    <row r="51" spans="1:3" x14ac:dyDescent="0.3">
      <c r="A51">
        <v>50</v>
      </c>
      <c r="B51">
        <f>LARGE(Clientes_Resumen[Litros],A51)</f>
        <v>1159.29</v>
      </c>
      <c r="C51" s="16">
        <f>SUM($B$2:B51)/SUM($B$2:$B$301)</f>
        <v>0.66220381844273024</v>
      </c>
    </row>
    <row r="52" spans="1:3" x14ac:dyDescent="0.3">
      <c r="A52">
        <v>51</v>
      </c>
      <c r="B52">
        <f>LARGE(Clientes_Resumen[Litros],A52)</f>
        <v>1155.3499999999999</v>
      </c>
      <c r="C52" s="16">
        <f>SUM($B$2:B52)/SUM($B$2:$B$301)</f>
        <v>0.66700263431253703</v>
      </c>
    </row>
    <row r="53" spans="1:3" x14ac:dyDescent="0.3">
      <c r="A53">
        <v>52</v>
      </c>
      <c r="B53">
        <f>LARGE(Clientes_Resumen[Litros],A53)</f>
        <v>1133.05</v>
      </c>
      <c r="C53" s="16">
        <f>SUM($B$2:B53)/SUM($B$2:$B$301)</f>
        <v>0.67170882578809388</v>
      </c>
    </row>
    <row r="54" spans="1:3" x14ac:dyDescent="0.3">
      <c r="A54">
        <v>53</v>
      </c>
      <c r="B54">
        <f>LARGE(Clientes_Resumen[Litros],A54)</f>
        <v>1111.5800000000002</v>
      </c>
      <c r="C54" s="16">
        <f>SUM($B$2:B54)/SUM($B$2:$B$301)</f>
        <v>0.67632584032443333</v>
      </c>
    </row>
    <row r="55" spans="1:3" x14ac:dyDescent="0.3">
      <c r="A55">
        <v>54</v>
      </c>
      <c r="B55">
        <f>LARGE(Clientes_Resumen[Litros],A55)</f>
        <v>1109.68</v>
      </c>
      <c r="C55" s="16">
        <f>SUM($B$2:B55)/SUM($B$2:$B$301)</f>
        <v>0.68093496309624035</v>
      </c>
    </row>
    <row r="56" spans="1:3" x14ac:dyDescent="0.3">
      <c r="A56">
        <v>55</v>
      </c>
      <c r="B56">
        <f>LARGE(Clientes_Resumen[Litros],A56)</f>
        <v>1101.29</v>
      </c>
      <c r="C56" s="16">
        <f>SUM($B$2:B56)/SUM($B$2:$B$301)</f>
        <v>0.68550923749729598</v>
      </c>
    </row>
    <row r="57" spans="1:3" x14ac:dyDescent="0.3">
      <c r="A57">
        <v>56</v>
      </c>
      <c r="B57">
        <f>LARGE(Clientes_Resumen[Litros],A57)</f>
        <v>1077.98</v>
      </c>
      <c r="C57" s="16">
        <f>SUM($B$2:B57)/SUM($B$2:$B$301)</f>
        <v>0.68998669240821853</v>
      </c>
    </row>
    <row r="58" spans="1:3" x14ac:dyDescent="0.3">
      <c r="A58">
        <v>57</v>
      </c>
      <c r="B58">
        <f>LARGE(Clientes_Resumen[Litros],A58)</f>
        <v>1058.8699999999999</v>
      </c>
      <c r="C58" s="16">
        <f>SUM($B$2:B58)/SUM($B$2:$B$301)</f>
        <v>0.69438477278218513</v>
      </c>
    </row>
    <row r="59" spans="1:3" x14ac:dyDescent="0.3">
      <c r="A59">
        <v>58</v>
      </c>
      <c r="B59">
        <f>LARGE(Clientes_Resumen[Litros],A59)</f>
        <v>1054.57</v>
      </c>
      <c r="C59" s="16">
        <f>SUM($B$2:B59)/SUM($B$2:$B$301)</f>
        <v>0.69876499284694671</v>
      </c>
    </row>
    <row r="60" spans="1:3" x14ac:dyDescent="0.3">
      <c r="A60">
        <v>59</v>
      </c>
      <c r="B60">
        <f>LARGE(Clientes_Resumen[Litros],A60)</f>
        <v>1053.8500000000001</v>
      </c>
      <c r="C60" s="16">
        <f>SUM($B$2:B60)/SUM($B$2:$B$301)</f>
        <v>0.70314222234830637</v>
      </c>
    </row>
    <row r="61" spans="1:3" x14ac:dyDescent="0.3">
      <c r="A61">
        <v>60</v>
      </c>
      <c r="B61">
        <f>LARGE(Clientes_Resumen[Litros],A61)</f>
        <v>1026.93</v>
      </c>
      <c r="C61" s="16">
        <f>SUM($B$2:B61)/SUM($B$2:$B$301)</f>
        <v>0.7074076380069213</v>
      </c>
    </row>
    <row r="62" spans="1:3" x14ac:dyDescent="0.3">
      <c r="A62">
        <v>61</v>
      </c>
      <c r="B62">
        <f>LARGE(Clientes_Resumen[Litros],A62)</f>
        <v>1020.31</v>
      </c>
      <c r="C62" s="16">
        <f>SUM($B$2:B62)/SUM($B$2:$B$301)</f>
        <v>0.71164555709648081</v>
      </c>
    </row>
    <row r="63" spans="1:3" x14ac:dyDescent="0.3">
      <c r="A63">
        <v>62</v>
      </c>
      <c r="B63">
        <f>LARGE(Clientes_Resumen[Litros],A63)</f>
        <v>1009.5200000000001</v>
      </c>
      <c r="C63" s="16">
        <f>SUM($B$2:B63)/SUM($B$2:$B$301)</f>
        <v>0.71583865927061618</v>
      </c>
    </row>
    <row r="64" spans="1:3" x14ac:dyDescent="0.3">
      <c r="A64">
        <v>63</v>
      </c>
      <c r="B64">
        <f>LARGE(Clientes_Resumen[Litros],A64)</f>
        <v>1002.1099999999998</v>
      </c>
      <c r="C64" s="16">
        <f>SUM($B$2:B64)/SUM($B$2:$B$301)</f>
        <v>0.72000098356307485</v>
      </c>
    </row>
    <row r="65" spans="1:3" x14ac:dyDescent="0.3">
      <c r="A65">
        <v>64</v>
      </c>
      <c r="B65">
        <f>LARGE(Clientes_Resumen[Litros],A65)</f>
        <v>978.41</v>
      </c>
      <c r="C65" s="16">
        <f>SUM($B$2:B65)/SUM($B$2:$B$301)</f>
        <v>0.72406486847689111</v>
      </c>
    </row>
    <row r="66" spans="1:3" x14ac:dyDescent="0.3">
      <c r="A66">
        <v>65</v>
      </c>
      <c r="B66">
        <f>LARGE(Clientes_Resumen[Litros],A66)</f>
        <v>950.67</v>
      </c>
      <c r="C66" s="16">
        <f>SUM($B$2:B66)/SUM($B$2:$B$301)</f>
        <v>0.72801353362853294</v>
      </c>
    </row>
    <row r="67" spans="1:3" x14ac:dyDescent="0.3">
      <c r="A67">
        <v>66</v>
      </c>
      <c r="B67">
        <f>LARGE(Clientes_Resumen[Litros],A67)</f>
        <v>950.1400000000001</v>
      </c>
      <c r="C67" s="16">
        <f>SUM($B$2:B67)/SUM($B$2:$B$301)</f>
        <v>0.73195999739322615</v>
      </c>
    </row>
    <row r="68" spans="1:3" x14ac:dyDescent="0.3">
      <c r="A68">
        <v>67</v>
      </c>
      <c r="B68">
        <f>LARGE(Clientes_Resumen[Litros],A68)</f>
        <v>924.67</v>
      </c>
      <c r="C68" s="16">
        <f>SUM($B$2:B68)/SUM($B$2:$B$301)</f>
        <v>0.73580066997758098</v>
      </c>
    </row>
    <row r="69" spans="1:3" x14ac:dyDescent="0.3">
      <c r="A69">
        <v>68</v>
      </c>
      <c r="B69">
        <f>LARGE(Clientes_Resumen[Litros],A69)</f>
        <v>908.70999999999981</v>
      </c>
      <c r="C69" s="16">
        <f>SUM($B$2:B69)/SUM($B$2:$B$301)</f>
        <v>0.7395750517398626</v>
      </c>
    </row>
    <row r="70" spans="1:3" x14ac:dyDescent="0.3">
      <c r="A70">
        <v>69</v>
      </c>
      <c r="B70">
        <f>LARGE(Clientes_Resumen[Litros],A70)</f>
        <v>905.53</v>
      </c>
      <c r="C70" s="16">
        <f>SUM($B$2:B70)/SUM($B$2:$B$301)</f>
        <v>0.74333622518045306</v>
      </c>
    </row>
    <row r="71" spans="1:3" x14ac:dyDescent="0.3">
      <c r="A71">
        <v>70</v>
      </c>
      <c r="B71">
        <f>LARGE(Clientes_Resumen[Litros],A71)</f>
        <v>894.13000000000011</v>
      </c>
      <c r="C71" s="16">
        <f>SUM($B$2:B71)/SUM($B$2:$B$301)</f>
        <v>0.74705004803384845</v>
      </c>
    </row>
    <row r="72" spans="1:3" x14ac:dyDescent="0.3">
      <c r="A72">
        <v>71</v>
      </c>
      <c r="B72">
        <f>LARGE(Clientes_Resumen[Litros],A72)</f>
        <v>890.64999999999986</v>
      </c>
      <c r="C72" s="16">
        <f>SUM($B$2:B72)/SUM($B$2:$B$301)</f>
        <v>0.75074941649746851</v>
      </c>
    </row>
    <row r="73" spans="1:3" x14ac:dyDescent="0.3">
      <c r="A73">
        <v>72</v>
      </c>
      <c r="B73">
        <f>LARGE(Clientes_Resumen[Litros],A73)</f>
        <v>883.4</v>
      </c>
      <c r="C73" s="16">
        <f>SUM($B$2:B73)/SUM($B$2:$B$301)</f>
        <v>0.75441867164905663</v>
      </c>
    </row>
    <row r="74" spans="1:3" x14ac:dyDescent="0.3">
      <c r="A74">
        <v>73</v>
      </c>
      <c r="B74">
        <f>LARGE(Clientes_Resumen[Litros],A74)</f>
        <v>881.18999999999994</v>
      </c>
      <c r="C74" s="16">
        <f>SUM($B$2:B74)/SUM($B$2:$B$301)</f>
        <v>0.75807874743242543</v>
      </c>
    </row>
    <row r="75" spans="1:3" x14ac:dyDescent="0.3">
      <c r="A75">
        <v>74</v>
      </c>
      <c r="B75">
        <f>LARGE(Clientes_Resumen[Litros],A75)</f>
        <v>871.73</v>
      </c>
      <c r="C75" s="16">
        <f>SUM($B$2:B75)/SUM($B$2:$B$301)</f>
        <v>0.76169953053554285</v>
      </c>
    </row>
    <row r="76" spans="1:3" x14ac:dyDescent="0.3">
      <c r="A76">
        <v>75</v>
      </c>
      <c r="B76">
        <f>LARGE(Clientes_Resumen[Litros],A76)</f>
        <v>815.06</v>
      </c>
      <c r="C76" s="16">
        <f>SUM($B$2:B76)/SUM($B$2:$B$301)</f>
        <v>0.76508493137757749</v>
      </c>
    </row>
    <row r="77" spans="1:3" x14ac:dyDescent="0.3">
      <c r="A77">
        <v>76</v>
      </c>
      <c r="B77">
        <f>LARGE(Clientes_Resumen[Litros],A77)</f>
        <v>808.9799999999999</v>
      </c>
      <c r="C77" s="16">
        <f>SUM($B$2:B77)/SUM($B$2:$B$301)</f>
        <v>0.76844507857310818</v>
      </c>
    </row>
    <row r="78" spans="1:3" x14ac:dyDescent="0.3">
      <c r="A78">
        <v>77</v>
      </c>
      <c r="B78">
        <f>LARGE(Clientes_Resumen[Litros],A78)</f>
        <v>802.00999999999988</v>
      </c>
      <c r="C78" s="16">
        <f>SUM($B$2:B78)/SUM($B$2:$B$301)</f>
        <v>0.77177627545348537</v>
      </c>
    </row>
    <row r="79" spans="1:3" x14ac:dyDescent="0.3">
      <c r="A79">
        <v>78</v>
      </c>
      <c r="B79">
        <f>LARGE(Clientes_Resumen[Litros],A79)</f>
        <v>794.3</v>
      </c>
      <c r="C79" s="16">
        <f>SUM($B$2:B79)/SUM($B$2:$B$301)</f>
        <v>0.7750754483841017</v>
      </c>
    </row>
    <row r="80" spans="1:3" x14ac:dyDescent="0.3">
      <c r="A80">
        <v>79</v>
      </c>
      <c r="B80">
        <f>LARGE(Clientes_Resumen[Litros],A80)</f>
        <v>778.55000000000007</v>
      </c>
      <c r="C80" s="16">
        <f>SUM($B$2:B80)/SUM($B$2:$B$301)</f>
        <v>0.77830920274030368</v>
      </c>
    </row>
    <row r="81" spans="1:3" x14ac:dyDescent="0.3">
      <c r="A81">
        <v>80</v>
      </c>
      <c r="B81">
        <f>LARGE(Clientes_Resumen[Litros],A81)</f>
        <v>777.24000000000012</v>
      </c>
      <c r="C81" s="16">
        <f>SUM($B$2:B81)/SUM($B$2:$B$301)</f>
        <v>0.78153751593253862</v>
      </c>
    </row>
    <row r="82" spans="1:3" x14ac:dyDescent="0.3">
      <c r="A82">
        <v>81</v>
      </c>
      <c r="B82">
        <f>LARGE(Clientes_Resumen[Litros],A82)</f>
        <v>762.31999999999994</v>
      </c>
      <c r="C82" s="16">
        <f>SUM($B$2:B82)/SUM($B$2:$B$301)</f>
        <v>0.784703858005392</v>
      </c>
    </row>
    <row r="83" spans="1:3" x14ac:dyDescent="0.3">
      <c r="A83">
        <v>82</v>
      </c>
      <c r="B83">
        <f>LARGE(Clientes_Resumen[Litros],A83)</f>
        <v>742.79000000000008</v>
      </c>
      <c r="C83" s="16">
        <f>SUM($B$2:B83)/SUM($B$2:$B$301)</f>
        <v>0.78778908104597178</v>
      </c>
    </row>
    <row r="84" spans="1:3" x14ac:dyDescent="0.3">
      <c r="A84">
        <v>83</v>
      </c>
      <c r="B84">
        <f>LARGE(Clientes_Resumen[Litros],A84)</f>
        <v>718.09</v>
      </c>
      <c r="C84" s="16">
        <f>SUM($B$2:B84)/SUM($B$2:$B$301)</f>
        <v>0.7907717111476289</v>
      </c>
    </row>
    <row r="85" spans="1:3" x14ac:dyDescent="0.3">
      <c r="A85">
        <v>84</v>
      </c>
      <c r="B85">
        <f>LARGE(Clientes_Resumen[Litros],A85)</f>
        <v>717.29000000000008</v>
      </c>
      <c r="C85" s="16">
        <f>SUM($B$2:B85)/SUM($B$2:$B$301)</f>
        <v>0.79375101840106188</v>
      </c>
    </row>
    <row r="86" spans="1:3" x14ac:dyDescent="0.3">
      <c r="A86">
        <v>85</v>
      </c>
      <c r="B86">
        <f>LARGE(Clientes_Resumen[Litros],A86)</f>
        <v>700.83000000000015</v>
      </c>
      <c r="C86" s="16">
        <f>SUM($B$2:B86)/SUM($B$2:$B$301)</f>
        <v>0.79666195805228157</v>
      </c>
    </row>
    <row r="87" spans="1:3" x14ac:dyDescent="0.3">
      <c r="A87">
        <v>86</v>
      </c>
      <c r="B87">
        <f>LARGE(Clientes_Resumen[Litros],A87)</f>
        <v>694.43</v>
      </c>
      <c r="C87" s="16">
        <f>SUM($B$2:B87)/SUM($B$2:$B$301)</f>
        <v>0.79954631491770756</v>
      </c>
    </row>
    <row r="88" spans="1:3" x14ac:dyDescent="0.3">
      <c r="A88">
        <v>87</v>
      </c>
      <c r="B88">
        <f>LARGE(Clientes_Resumen[Litros],A88)</f>
        <v>692.18000000000006</v>
      </c>
      <c r="C88" s="16">
        <f>SUM($B$2:B88)/SUM($B$2:$B$301)</f>
        <v>0.80242132627250295</v>
      </c>
    </row>
    <row r="89" spans="1:3" x14ac:dyDescent="0.3">
      <c r="A89">
        <v>88</v>
      </c>
      <c r="B89">
        <f>LARGE(Clientes_Resumen[Litros],A89)</f>
        <v>685.34</v>
      </c>
      <c r="C89" s="16">
        <f>SUM($B$2:B89)/SUM($B$2:$B$301)</f>
        <v>0.80526792727498131</v>
      </c>
    </row>
    <row r="90" spans="1:3" x14ac:dyDescent="0.3">
      <c r="A90">
        <v>89</v>
      </c>
      <c r="B90">
        <f>LARGE(Clientes_Resumen[Litros],A90)</f>
        <v>680.44999999999993</v>
      </c>
      <c r="C90" s="16">
        <f>SUM($B$2:B90)/SUM($B$2:$B$301)</f>
        <v>0.80809421736768927</v>
      </c>
    </row>
    <row r="91" spans="1:3" x14ac:dyDescent="0.3">
      <c r="A91">
        <v>90</v>
      </c>
      <c r="B91">
        <f>LARGE(Clientes_Resumen[Litros],A91)</f>
        <v>665.60000000000014</v>
      </c>
      <c r="C91" s="16">
        <f>SUM($B$2:B91)/SUM($B$2:$B$301)</f>
        <v>0.81085882709023527</v>
      </c>
    </row>
    <row r="92" spans="1:3" x14ac:dyDescent="0.3">
      <c r="A92">
        <v>91</v>
      </c>
      <c r="B92">
        <f>LARGE(Clientes_Resumen[Litros],A92)</f>
        <v>660.24</v>
      </c>
      <c r="C92" s="16">
        <f>SUM($B$2:B92)/SUM($B$2:$B$301)</f>
        <v>0.81360117372967888</v>
      </c>
    </row>
    <row r="93" spans="1:3" x14ac:dyDescent="0.3">
      <c r="A93">
        <v>92</v>
      </c>
      <c r="B93">
        <f>LARGE(Clientes_Resumen[Litros],A93)</f>
        <v>651.71</v>
      </c>
      <c r="C93" s="16">
        <f>SUM($B$2:B93)/SUM($B$2:$B$301)</f>
        <v>0.8163080904999318</v>
      </c>
    </row>
    <row r="94" spans="1:3" x14ac:dyDescent="0.3">
      <c r="A94">
        <v>93</v>
      </c>
      <c r="B94">
        <f>LARGE(Clientes_Resumen[Litros],A94)</f>
        <v>651.24</v>
      </c>
      <c r="C94" s="16">
        <f>SUM($B$2:B94)/SUM($B$2:$B$301)</f>
        <v>0.81901305509685307</v>
      </c>
    </row>
    <row r="95" spans="1:3" x14ac:dyDescent="0.3">
      <c r="A95">
        <v>94</v>
      </c>
      <c r="B95">
        <f>LARGE(Clientes_Resumen[Litros],A95)</f>
        <v>642.24</v>
      </c>
      <c r="C95" s="16">
        <f>SUM($B$2:B95)/SUM($B$2:$B$301)</f>
        <v>0.82168063765125188</v>
      </c>
    </row>
    <row r="96" spans="1:3" x14ac:dyDescent="0.3">
      <c r="A96">
        <v>95</v>
      </c>
      <c r="B96">
        <f>LARGE(Clientes_Resumen[Litros],A96)</f>
        <v>640.97</v>
      </c>
      <c r="C96" s="16">
        <f>SUM($B$2:B96)/SUM($B$2:$B$301)</f>
        <v>0.82434294518409479</v>
      </c>
    </row>
    <row r="97" spans="1:3" x14ac:dyDescent="0.3">
      <c r="A97">
        <v>96</v>
      </c>
      <c r="B97">
        <f>LARGE(Clientes_Resumen[Litros],A97)</f>
        <v>639.07000000000005</v>
      </c>
      <c r="C97" s="16">
        <f>SUM($B$2:B97)/SUM($B$2:$B$301)</f>
        <v>0.82699736095240528</v>
      </c>
    </row>
    <row r="98" spans="1:3" x14ac:dyDescent="0.3">
      <c r="A98">
        <v>97</v>
      </c>
      <c r="B98">
        <f>LARGE(Clientes_Resumen[Litros],A98)</f>
        <v>627.37</v>
      </c>
      <c r="C98" s="16">
        <f>SUM($B$2:B98)/SUM($B$2:$B$301)</f>
        <v>0.82960318006543654</v>
      </c>
    </row>
    <row r="99" spans="1:3" x14ac:dyDescent="0.3">
      <c r="A99">
        <v>98</v>
      </c>
      <c r="B99">
        <f>LARGE(Clientes_Resumen[Litros],A99)</f>
        <v>611.21</v>
      </c>
      <c r="C99" s="16">
        <f>SUM($B$2:B99)/SUM($B$2:$B$301)</f>
        <v>0.83214187764433867</v>
      </c>
    </row>
    <row r="100" spans="1:3" x14ac:dyDescent="0.3">
      <c r="A100">
        <v>99</v>
      </c>
      <c r="B100">
        <f>LARGE(Clientes_Resumen[Litros],A100)</f>
        <v>594.96</v>
      </c>
      <c r="C100" s="16">
        <f>SUM($B$2:B100)/SUM($B$2:$B$301)</f>
        <v>0.83461307986868649</v>
      </c>
    </row>
    <row r="101" spans="1:3" x14ac:dyDescent="0.3">
      <c r="A101">
        <v>100</v>
      </c>
      <c r="B101">
        <f>LARGE(Clientes_Resumen[Litros],A101)</f>
        <v>594.74</v>
      </c>
      <c r="C101" s="16">
        <f>SUM($B$2:B101)/SUM($B$2:$B$301)</f>
        <v>0.83708336830977259</v>
      </c>
    </row>
    <row r="102" spans="1:3" x14ac:dyDescent="0.3">
      <c r="A102">
        <v>101</v>
      </c>
      <c r="B102">
        <f>LARGE(Clientes_Resumen[Litros],A102)</f>
        <v>591.12</v>
      </c>
      <c r="C102" s="16">
        <f>SUM($B$2:B102)/SUM($B$2:$B$301)</f>
        <v>0.83953862086264419</v>
      </c>
    </row>
    <row r="103" spans="1:3" x14ac:dyDescent="0.3">
      <c r="A103">
        <v>102</v>
      </c>
      <c r="B103">
        <f>LARGE(Clientes_Resumen[Litros],A103)</f>
        <v>588.21</v>
      </c>
      <c r="C103" s="16">
        <f>SUM($B$2:B103)/SUM($B$2:$B$301)</f>
        <v>0.84198178655510025</v>
      </c>
    </row>
    <row r="104" spans="1:3" x14ac:dyDescent="0.3">
      <c r="A104">
        <v>103</v>
      </c>
      <c r="B104">
        <f>LARGE(Clientes_Resumen[Litros],A104)</f>
        <v>583.62000000000012</v>
      </c>
      <c r="C104" s="16">
        <f>SUM($B$2:B104)/SUM($B$2:$B$301)</f>
        <v>0.84440588740586975</v>
      </c>
    </row>
    <row r="105" spans="1:3" x14ac:dyDescent="0.3">
      <c r="A105">
        <v>104</v>
      </c>
      <c r="B105">
        <f>LARGE(Clientes_Resumen[Litros],A105)</f>
        <v>577.70000000000005</v>
      </c>
      <c r="C105" s="16">
        <f>SUM($B$2:B105)/SUM($B$2:$B$301)</f>
        <v>0.84680539917978026</v>
      </c>
    </row>
    <row r="106" spans="1:3" x14ac:dyDescent="0.3">
      <c r="A106">
        <v>105</v>
      </c>
      <c r="B106">
        <f>LARGE(Clientes_Resumen[Litros],A106)</f>
        <v>577.34999999999991</v>
      </c>
      <c r="C106" s="16">
        <f>SUM($B$2:B106)/SUM($B$2:$B$301)</f>
        <v>0.8492034572075926</v>
      </c>
    </row>
    <row r="107" spans="1:3" x14ac:dyDescent="0.3">
      <c r="A107">
        <v>106</v>
      </c>
      <c r="B107">
        <f>LARGE(Clientes_Resumen[Litros],A107)</f>
        <v>570.27</v>
      </c>
      <c r="C107" s="16">
        <f>SUM($B$2:B107)/SUM($B$2:$B$301)</f>
        <v>0.8515721080286206</v>
      </c>
    </row>
    <row r="108" spans="1:3" x14ac:dyDescent="0.3">
      <c r="A108">
        <v>107</v>
      </c>
      <c r="B108">
        <f>LARGE(Clientes_Resumen[Litros],A108)</f>
        <v>563.90000000000009</v>
      </c>
      <c r="C108" s="16">
        <f>SUM($B$2:B108)/SUM($B$2:$B$301)</f>
        <v>0.85391430067066332</v>
      </c>
    </row>
    <row r="109" spans="1:3" x14ac:dyDescent="0.3">
      <c r="A109">
        <v>108</v>
      </c>
      <c r="B109">
        <f>LARGE(Clientes_Resumen[Litros],A109)</f>
        <v>562.58999999999992</v>
      </c>
      <c r="C109" s="16">
        <f>SUM($B$2:B109)/SUM($B$2:$B$301)</f>
        <v>0.85625105214873887</v>
      </c>
    </row>
    <row r="110" spans="1:3" x14ac:dyDescent="0.3">
      <c r="A110">
        <v>109</v>
      </c>
      <c r="B110">
        <f>LARGE(Clientes_Resumen[Litros],A110)</f>
        <v>549.85</v>
      </c>
      <c r="C110" s="16">
        <f>SUM($B$2:B110)/SUM($B$2:$B$301)</f>
        <v>0.85853488726884386</v>
      </c>
    </row>
    <row r="111" spans="1:3" x14ac:dyDescent="0.3">
      <c r="A111">
        <v>110</v>
      </c>
      <c r="B111">
        <f>LARGE(Clientes_Resumen[Litros],A111)</f>
        <v>541.57000000000005</v>
      </c>
      <c r="C111" s="16">
        <f>SUM($B$2:B111)/SUM($B$2:$B$301)</f>
        <v>0.86078433090982831</v>
      </c>
    </row>
    <row r="112" spans="1:3" x14ac:dyDescent="0.3">
      <c r="A112">
        <v>111</v>
      </c>
      <c r="B112">
        <f>LARGE(Clientes_Resumen[Litros],A112)</f>
        <v>529.33000000000004</v>
      </c>
      <c r="C112" s="16">
        <f>SUM($B$2:B112)/SUM($B$2:$B$301)</f>
        <v>0.86298293497298206</v>
      </c>
    </row>
    <row r="113" spans="1:3" x14ac:dyDescent="0.3">
      <c r="A113">
        <v>112</v>
      </c>
      <c r="B113">
        <f>LARGE(Clientes_Resumen[Litros],A113)</f>
        <v>513.59</v>
      </c>
      <c r="C113" s="16">
        <f>SUM($B$2:B113)/SUM($B$2:$B$301)</f>
        <v>0.86511616199732455</v>
      </c>
    </row>
    <row r="114" spans="1:3" x14ac:dyDescent="0.3">
      <c r="A114">
        <v>113</v>
      </c>
      <c r="B114">
        <f>LARGE(Clientes_Resumen[Litros],A114)</f>
        <v>511.24999999999994</v>
      </c>
      <c r="C114" s="16">
        <f>SUM($B$2:B114)/SUM($B$2:$B$301)</f>
        <v>0.86723966969061128</v>
      </c>
    </row>
    <row r="115" spans="1:3" x14ac:dyDescent="0.3">
      <c r="A115">
        <v>114</v>
      </c>
      <c r="B115">
        <f>LARGE(Clientes_Resumen[Litros],A115)</f>
        <v>508.74</v>
      </c>
      <c r="C115" s="16">
        <f>SUM($B$2:B115)/SUM($B$2:$B$301)</f>
        <v>0.86935275194759443</v>
      </c>
    </row>
    <row r="116" spans="1:3" x14ac:dyDescent="0.3">
      <c r="A116">
        <v>115</v>
      </c>
      <c r="B116">
        <f>LARGE(Clientes_Resumen[Litros],A116)</f>
        <v>490.20999999999992</v>
      </c>
      <c r="C116" s="16">
        <f>SUM($B$2:B116)/SUM($B$2:$B$301)</f>
        <v>0.87138886873258414</v>
      </c>
    </row>
    <row r="117" spans="1:3" x14ac:dyDescent="0.3">
      <c r="A117">
        <v>116</v>
      </c>
      <c r="B117">
        <f>LARGE(Clientes_Resumen[Litros],A117)</f>
        <v>489.05</v>
      </c>
      <c r="C117" s="16">
        <f>SUM($B$2:B117)/SUM($B$2:$B$301)</f>
        <v>0.87342016738764883</v>
      </c>
    </row>
    <row r="118" spans="1:3" x14ac:dyDescent="0.3">
      <c r="A118">
        <v>117</v>
      </c>
      <c r="B118">
        <f>LARGE(Clientes_Resumen[Litros],A118)</f>
        <v>484.71000000000004</v>
      </c>
      <c r="C118" s="16">
        <f>SUM($B$2:B118)/SUM($B$2:$B$301)</f>
        <v>0.87543343959109721</v>
      </c>
    </row>
    <row r="119" spans="1:3" x14ac:dyDescent="0.3">
      <c r="A119">
        <v>118</v>
      </c>
      <c r="B119">
        <f>LARGE(Clientes_Resumen[Litros],A119)</f>
        <v>476.94</v>
      </c>
      <c r="C119" s="16">
        <f>SUM($B$2:B119)/SUM($B$2:$B$301)</f>
        <v>0.87741443863116786</v>
      </c>
    </row>
    <row r="120" spans="1:3" x14ac:dyDescent="0.3">
      <c r="A120">
        <v>119</v>
      </c>
      <c r="B120">
        <f>LARGE(Clientes_Resumen[Litros],A120)</f>
        <v>470.57</v>
      </c>
      <c r="C120" s="16">
        <f>SUM($B$2:B120)/SUM($B$2:$B$301)</f>
        <v>0.87936897949225323</v>
      </c>
    </row>
    <row r="121" spans="1:3" x14ac:dyDescent="0.3">
      <c r="A121">
        <v>120</v>
      </c>
      <c r="B121">
        <f>LARGE(Clientes_Resumen[Litros],A121)</f>
        <v>455.11</v>
      </c>
      <c r="C121" s="16">
        <f>SUM($B$2:B121)/SUM($B$2:$B$301)</f>
        <v>0.8812593063114057</v>
      </c>
    </row>
    <row r="122" spans="1:3" x14ac:dyDescent="0.3">
      <c r="A122">
        <v>121</v>
      </c>
      <c r="B122">
        <f>LARGE(Clientes_Resumen[Litros],A122)</f>
        <v>449.71000000000004</v>
      </c>
      <c r="C122" s="16">
        <f>SUM($B$2:B122)/SUM($B$2:$B$301)</f>
        <v>0.88312720390504462</v>
      </c>
    </row>
    <row r="123" spans="1:3" x14ac:dyDescent="0.3">
      <c r="A123">
        <v>122</v>
      </c>
      <c r="B123">
        <f>LARGE(Clientes_Resumen[Litros],A123)</f>
        <v>446.21</v>
      </c>
      <c r="C123" s="16">
        <f>SUM($B$2:B123)/SUM($B$2:$B$301)</f>
        <v>0.88498056403770264</v>
      </c>
    </row>
    <row r="124" spans="1:3" x14ac:dyDescent="0.3">
      <c r="A124">
        <v>123</v>
      </c>
      <c r="B124">
        <f>LARGE(Clientes_Resumen[Litros],A124)</f>
        <v>444.67</v>
      </c>
      <c r="C124" s="16">
        <f>SUM($B$2:B124)/SUM($B$2:$B$301)</f>
        <v>0.88682752768752915</v>
      </c>
    </row>
    <row r="125" spans="1:3" x14ac:dyDescent="0.3">
      <c r="A125">
        <v>124</v>
      </c>
      <c r="B125">
        <f>LARGE(Clientes_Resumen[Litros],A125)</f>
        <v>429.05000000000007</v>
      </c>
      <c r="C125" s="16">
        <f>SUM($B$2:B125)/SUM($B$2:$B$301)</f>
        <v>0.88860961272577788</v>
      </c>
    </row>
    <row r="126" spans="1:3" x14ac:dyDescent="0.3">
      <c r="A126">
        <v>125</v>
      </c>
      <c r="B126">
        <f>LARGE(Clientes_Resumen[Litros],A126)</f>
        <v>425.13</v>
      </c>
      <c r="C126" s="16">
        <f>SUM($B$2:B126)/SUM($B$2:$B$301)</f>
        <v>0.89037541580772794</v>
      </c>
    </row>
    <row r="127" spans="1:3" x14ac:dyDescent="0.3">
      <c r="A127">
        <v>126</v>
      </c>
      <c r="B127">
        <f>LARGE(Clientes_Resumen[Litros],A127)</f>
        <v>420.28999999999996</v>
      </c>
      <c r="C127" s="16">
        <f>SUM($B$2:B127)/SUM($B$2:$B$301)</f>
        <v>0.89212111565792152</v>
      </c>
    </row>
    <row r="128" spans="1:3" x14ac:dyDescent="0.3">
      <c r="A128">
        <v>127</v>
      </c>
      <c r="B128">
        <f>LARGE(Clientes_Resumen[Litros],A128)</f>
        <v>410.49</v>
      </c>
      <c r="C128" s="16">
        <f>SUM($B$2:B128)/SUM($B$2:$B$301)</f>
        <v>0.89382611061736839</v>
      </c>
    </row>
    <row r="129" spans="1:3" x14ac:dyDescent="0.3">
      <c r="A129">
        <v>128</v>
      </c>
      <c r="B129">
        <f>LARGE(Clientes_Resumen[Litros],A129)</f>
        <v>404.8</v>
      </c>
      <c r="C129" s="16">
        <f>SUM($B$2:B129)/SUM($B$2:$B$301)</f>
        <v>0.89550747181882051</v>
      </c>
    </row>
    <row r="130" spans="1:3" x14ac:dyDescent="0.3">
      <c r="A130">
        <v>129</v>
      </c>
      <c r="B130">
        <f>LARGE(Clientes_Resumen[Litros],A130)</f>
        <v>399.14</v>
      </c>
      <c r="C130" s="16">
        <f>SUM($B$2:B130)/SUM($B$2:$B$301)</f>
        <v>0.89716532386908643</v>
      </c>
    </row>
    <row r="131" spans="1:3" x14ac:dyDescent="0.3">
      <c r="A131">
        <v>130</v>
      </c>
      <c r="B131">
        <f>LARGE(Clientes_Resumen[Litros],A131)</f>
        <v>391.24</v>
      </c>
      <c r="C131" s="16">
        <f>SUM($B$2:B131)/SUM($B$2:$B$301)</f>
        <v>0.89879036279313818</v>
      </c>
    </row>
    <row r="132" spans="1:3" x14ac:dyDescent="0.3">
      <c r="A132">
        <v>131</v>
      </c>
      <c r="B132">
        <f>LARGE(Clientes_Resumen[Litros],A132)</f>
        <v>390.92999999999995</v>
      </c>
      <c r="C132" s="16">
        <f>SUM($B$2:B132)/SUM($B$2:$B$301)</f>
        <v>0.90041411411350303</v>
      </c>
    </row>
    <row r="133" spans="1:3" x14ac:dyDescent="0.3">
      <c r="A133">
        <v>132</v>
      </c>
      <c r="B133">
        <f>LARGE(Clientes_Resumen[Litros],A133)</f>
        <v>386.41</v>
      </c>
      <c r="C133" s="16">
        <f>SUM($B$2:B133)/SUM($B$2:$B$301)</f>
        <v>0.90201909134140112</v>
      </c>
    </row>
    <row r="134" spans="1:3" x14ac:dyDescent="0.3">
      <c r="A134">
        <v>133</v>
      </c>
      <c r="B134">
        <f>LARGE(Clientes_Resumen[Litros],A134)</f>
        <v>384</v>
      </c>
      <c r="C134" s="16">
        <f>SUM($B$2:B134)/SUM($B$2:$B$301)</f>
        <v>0.90361405848902376</v>
      </c>
    </row>
    <row r="135" spans="1:3" x14ac:dyDescent="0.3">
      <c r="A135">
        <v>134</v>
      </c>
      <c r="B135">
        <f>LARGE(Clientes_Resumen[Litros],A135)</f>
        <v>380.06000000000006</v>
      </c>
      <c r="C135" s="16">
        <f>SUM($B$2:B135)/SUM($B$2:$B$301)</f>
        <v>0.90519266060914216</v>
      </c>
    </row>
    <row r="136" spans="1:3" x14ac:dyDescent="0.3">
      <c r="A136">
        <v>135</v>
      </c>
      <c r="B136">
        <f>LARGE(Clientes_Resumen[Litros],A136)</f>
        <v>370.53999999999996</v>
      </c>
      <c r="C136" s="16">
        <f>SUM($B$2:B136)/SUM($B$2:$B$301)</f>
        <v>0.90673172083539244</v>
      </c>
    </row>
    <row r="137" spans="1:3" x14ac:dyDescent="0.3">
      <c r="A137">
        <v>136</v>
      </c>
      <c r="B137">
        <f>LARGE(Clientes_Resumen[Litros],A137)</f>
        <v>359.34000000000003</v>
      </c>
      <c r="C137" s="16">
        <f>SUM($B$2:B137)/SUM($B$2:$B$301)</f>
        <v>0.90822426118650368</v>
      </c>
    </row>
    <row r="138" spans="1:3" x14ac:dyDescent="0.3">
      <c r="A138">
        <v>137</v>
      </c>
      <c r="B138">
        <f>LARGE(Clientes_Resumen[Litros],A138)</f>
        <v>352.62</v>
      </c>
      <c r="C138" s="16">
        <f>SUM($B$2:B138)/SUM($B$2:$B$301)</f>
        <v>0.90968888961253158</v>
      </c>
    </row>
    <row r="139" spans="1:3" x14ac:dyDescent="0.3">
      <c r="A139">
        <v>138</v>
      </c>
      <c r="B139">
        <f>LARGE(Clientes_Resumen[Litros],A139)</f>
        <v>350.31</v>
      </c>
      <c r="C139" s="16">
        <f>SUM($B$2:B139)/SUM($B$2:$B$301)</f>
        <v>0.91114392331431193</v>
      </c>
    </row>
    <row r="140" spans="1:3" x14ac:dyDescent="0.3">
      <c r="A140">
        <v>139</v>
      </c>
      <c r="B140">
        <f>LARGE(Clientes_Resumen[Litros],A140)</f>
        <v>347.77</v>
      </c>
      <c r="C140" s="16">
        <f>SUM($B$2:B140)/SUM($B$2:$B$301)</f>
        <v>0.91258840697298049</v>
      </c>
    </row>
    <row r="141" spans="1:3" x14ac:dyDescent="0.3">
      <c r="A141">
        <v>140</v>
      </c>
      <c r="B141">
        <f>LARGE(Clientes_Resumen[Litros],A141)</f>
        <v>342.25</v>
      </c>
      <c r="C141" s="16">
        <f>SUM($B$2:B141)/SUM($B$2:$B$301)</f>
        <v>0.91400996297890202</v>
      </c>
    </row>
    <row r="142" spans="1:3" x14ac:dyDescent="0.3">
      <c r="A142">
        <v>141</v>
      </c>
      <c r="B142">
        <f>LARGE(Clientes_Resumen[Litros],A142)</f>
        <v>332.52000000000004</v>
      </c>
      <c r="C142" s="16">
        <f>SUM($B$2:B142)/SUM($B$2:$B$301)</f>
        <v>0.91539110484329644</v>
      </c>
    </row>
    <row r="143" spans="1:3" x14ac:dyDescent="0.3">
      <c r="A143">
        <v>142</v>
      </c>
      <c r="B143">
        <f>LARGE(Clientes_Resumen[Litros],A143)</f>
        <v>325.37</v>
      </c>
      <c r="C143" s="16">
        <f>SUM($B$2:B143)/SUM($B$2:$B$301)</f>
        <v>0.91674254875168693</v>
      </c>
    </row>
    <row r="144" spans="1:3" x14ac:dyDescent="0.3">
      <c r="A144">
        <v>143</v>
      </c>
      <c r="B144">
        <f>LARGE(Clientes_Resumen[Litros],A144)</f>
        <v>325.10999999999996</v>
      </c>
      <c r="C144" s="16">
        <f>SUM($B$2:B144)/SUM($B$2:$B$301)</f>
        <v>0.91809291273440463</v>
      </c>
    </row>
    <row r="145" spans="1:3" x14ac:dyDescent="0.3">
      <c r="A145">
        <v>144</v>
      </c>
      <c r="B145">
        <f>LARGE(Clientes_Resumen[Litros],A145)</f>
        <v>323.33</v>
      </c>
      <c r="C145" s="16">
        <f>SUM($B$2:B145)/SUM($B$2:$B$301)</f>
        <v>0.9194358833798234</v>
      </c>
    </row>
    <row r="146" spans="1:3" x14ac:dyDescent="0.3">
      <c r="A146">
        <v>145</v>
      </c>
      <c r="B146">
        <f>LARGE(Clientes_Resumen[Litros],A146)</f>
        <v>321.7</v>
      </c>
      <c r="C146" s="16">
        <f>SUM($B$2:B146)/SUM($B$2:$B$301)</f>
        <v>0.92077208372198538</v>
      </c>
    </row>
    <row r="147" spans="1:3" x14ac:dyDescent="0.3">
      <c r="A147">
        <v>146</v>
      </c>
      <c r="B147">
        <f>LARGE(Clientes_Resumen[Litros],A147)</f>
        <v>320.70999999999998</v>
      </c>
      <c r="C147" s="16">
        <f>SUM($B$2:B147)/SUM($B$2:$B$301)</f>
        <v>0.92210417203946993</v>
      </c>
    </row>
    <row r="148" spans="1:3" x14ac:dyDescent="0.3">
      <c r="A148">
        <v>147</v>
      </c>
      <c r="B148">
        <f>LARGE(Clientes_Resumen[Litros],A148)</f>
        <v>307.77999999999997</v>
      </c>
      <c r="C148" s="16">
        <f>SUM($B$2:B148)/SUM($B$2:$B$301)</f>
        <v>0.92338255482253062</v>
      </c>
    </row>
    <row r="149" spans="1:3" x14ac:dyDescent="0.3">
      <c r="A149">
        <v>148</v>
      </c>
      <c r="B149">
        <f>LARGE(Clientes_Resumen[Litros],A149)</f>
        <v>307.26</v>
      </c>
      <c r="C149" s="16">
        <f>SUM($B$2:B149)/SUM($B$2:$B$301)</f>
        <v>0.92465877775424554</v>
      </c>
    </row>
    <row r="150" spans="1:3" x14ac:dyDescent="0.3">
      <c r="A150">
        <v>149</v>
      </c>
      <c r="B150">
        <f>LARGE(Clientes_Resumen[Litros],A150)</f>
        <v>299.23</v>
      </c>
      <c r="C150" s="16">
        <f>SUM($B$2:B150)/SUM($B$2:$B$301)</f>
        <v>0.92590164759690996</v>
      </c>
    </row>
    <row r="151" spans="1:3" x14ac:dyDescent="0.3">
      <c r="A151">
        <v>150</v>
      </c>
      <c r="B151">
        <f>LARGE(Clientes_Resumen[Litros],A151)</f>
        <v>294.60000000000002</v>
      </c>
      <c r="C151" s="16">
        <f>SUM($B$2:B151)/SUM($B$2:$B$301)</f>
        <v>0.92712528645547676</v>
      </c>
    </row>
    <row r="152" spans="1:3" x14ac:dyDescent="0.3">
      <c r="A152">
        <v>151</v>
      </c>
      <c r="B152">
        <f>LARGE(Clientes_Resumen[Litros],A152)</f>
        <v>293.60000000000002</v>
      </c>
      <c r="C152" s="16">
        <f>SUM($B$2:B152)/SUM($B$2:$B$301)</f>
        <v>0.92834477175376329</v>
      </c>
    </row>
    <row r="153" spans="1:3" x14ac:dyDescent="0.3">
      <c r="A153">
        <v>152</v>
      </c>
      <c r="B153">
        <f>LARGE(Clientes_Resumen[Litros],A153)</f>
        <v>290.89</v>
      </c>
      <c r="C153" s="16">
        <f>SUM($B$2:B153)/SUM($B$2:$B$301)</f>
        <v>0.92955300090369031</v>
      </c>
    </row>
    <row r="154" spans="1:3" x14ac:dyDescent="0.3">
      <c r="A154">
        <v>153</v>
      </c>
      <c r="B154">
        <f>LARGE(Clientes_Resumen[Litros],A154)</f>
        <v>288.25</v>
      </c>
      <c r="C154" s="16">
        <f>SUM($B$2:B154)/SUM($B$2:$B$301)</f>
        <v>0.9307502646544773</v>
      </c>
    </row>
    <row r="155" spans="1:3" x14ac:dyDescent="0.3">
      <c r="A155">
        <v>154</v>
      </c>
      <c r="B155">
        <f>LARGE(Clientes_Resumen[Litros],A155)</f>
        <v>284.60000000000002</v>
      </c>
      <c r="C155" s="16">
        <f>SUM($B$2:B155)/SUM($B$2:$B$301)</f>
        <v>0.93193236791024137</v>
      </c>
    </row>
    <row r="156" spans="1:3" x14ac:dyDescent="0.3">
      <c r="A156">
        <v>155</v>
      </c>
      <c r="B156">
        <f>LARGE(Clientes_Resumen[Litros],A156)</f>
        <v>282.77</v>
      </c>
      <c r="C156" s="16">
        <f>SUM($B$2:B156)/SUM($B$2:$B$301)</f>
        <v>0.93310687015069249</v>
      </c>
    </row>
    <row r="157" spans="1:3" x14ac:dyDescent="0.3">
      <c r="A157">
        <v>156</v>
      </c>
      <c r="B157">
        <f>LARGE(Clientes_Resumen[Litros],A157)</f>
        <v>277.92</v>
      </c>
      <c r="C157" s="16">
        <f>SUM($B$2:B157)/SUM($B$2:$B$301)</f>
        <v>0.9342612276237845</v>
      </c>
    </row>
    <row r="158" spans="1:3" x14ac:dyDescent="0.3">
      <c r="A158">
        <v>157</v>
      </c>
      <c r="B158">
        <f>LARGE(Clientes_Resumen[Litros],A158)</f>
        <v>274.04999999999995</v>
      </c>
      <c r="C158" s="16">
        <f>SUM($B$2:B158)/SUM($B$2:$B$301)</f>
        <v>0.93539951081859174</v>
      </c>
    </row>
    <row r="159" spans="1:3" x14ac:dyDescent="0.3">
      <c r="A159">
        <v>158</v>
      </c>
      <c r="B159">
        <f>LARGE(Clientes_Resumen[Litros],A159)</f>
        <v>270.99</v>
      </c>
      <c r="C159" s="16">
        <f>SUM($B$2:B159)/SUM($B$2:$B$301)</f>
        <v>0.93652508411894131</v>
      </c>
    </row>
    <row r="160" spans="1:3" x14ac:dyDescent="0.3">
      <c r="A160">
        <v>159</v>
      </c>
      <c r="B160">
        <f>LARGE(Clientes_Resumen[Litros],A160)</f>
        <v>263.92</v>
      </c>
      <c r="C160" s="16">
        <f>SUM($B$2:B160)/SUM($B$2:$B$301)</f>
        <v>0.93762129174810949</v>
      </c>
    </row>
    <row r="161" spans="1:3" x14ac:dyDescent="0.3">
      <c r="A161">
        <v>160</v>
      </c>
      <c r="B161">
        <f>LARGE(Clientes_Resumen[Litros],A161)</f>
        <v>262.99</v>
      </c>
      <c r="C161" s="16">
        <f>SUM($B$2:B161)/SUM($B$2:$B$301)</f>
        <v>0.93871363656621698</v>
      </c>
    </row>
    <row r="162" spans="1:3" x14ac:dyDescent="0.3">
      <c r="A162">
        <v>161</v>
      </c>
      <c r="B162">
        <f>LARGE(Clientes_Resumen[Litros],A162)</f>
        <v>259.69</v>
      </c>
      <c r="C162" s="16">
        <f>SUM($B$2:B162)/SUM($B$2:$B$301)</f>
        <v>0.9397922746353996</v>
      </c>
    </row>
    <row r="163" spans="1:3" x14ac:dyDescent="0.3">
      <c r="A163">
        <v>162</v>
      </c>
      <c r="B163">
        <f>LARGE(Clientes_Resumen[Litros],A163)</f>
        <v>253.95</v>
      </c>
      <c r="C163" s="16">
        <f>SUM($B$2:B163)/SUM($B$2:$B$301)</f>
        <v>0.94084707126857348</v>
      </c>
    </row>
    <row r="164" spans="1:3" x14ac:dyDescent="0.3">
      <c r="A164">
        <v>163</v>
      </c>
      <c r="B164">
        <f>LARGE(Clientes_Resumen[Litros],A164)</f>
        <v>253.64000000000001</v>
      </c>
      <c r="C164" s="16">
        <f>SUM($B$2:B164)/SUM($B$2:$B$301)</f>
        <v>0.94190058029806056</v>
      </c>
    </row>
    <row r="165" spans="1:3" x14ac:dyDescent="0.3">
      <c r="A165">
        <v>164</v>
      </c>
      <c r="B165">
        <f>LARGE(Clientes_Resumen[Litros],A165)</f>
        <v>248.24</v>
      </c>
      <c r="C165" s="16">
        <f>SUM($B$2:B165)/SUM($B$2:$B$301)</f>
        <v>0.94293166010203411</v>
      </c>
    </row>
    <row r="166" spans="1:3" x14ac:dyDescent="0.3">
      <c r="A166">
        <v>165</v>
      </c>
      <c r="B166">
        <f>LARGE(Clientes_Resumen[Litros],A166)</f>
        <v>245.25</v>
      </c>
      <c r="C166" s="16">
        <f>SUM($B$2:B166)/SUM($B$2:$B$301)</f>
        <v>0.94395032076076957</v>
      </c>
    </row>
    <row r="167" spans="1:3" x14ac:dyDescent="0.3">
      <c r="A167">
        <v>166</v>
      </c>
      <c r="B167">
        <f>LARGE(Clientes_Resumen[Litros],A167)</f>
        <v>242.01999999999998</v>
      </c>
      <c r="C167" s="16">
        <f>SUM($B$2:B167)/SUM($B$2:$B$301)</f>
        <v>0.94495556541979986</v>
      </c>
    </row>
    <row r="168" spans="1:3" x14ac:dyDescent="0.3">
      <c r="A168">
        <v>167</v>
      </c>
      <c r="B168">
        <f>LARGE(Clientes_Resumen[Litros],A168)</f>
        <v>241.26999999999998</v>
      </c>
      <c r="C168" s="16">
        <f>SUM($B$2:B168)/SUM($B$2:$B$301)</f>
        <v>0.94595769490861992</v>
      </c>
    </row>
    <row r="169" spans="1:3" x14ac:dyDescent="0.3">
      <c r="A169">
        <v>168</v>
      </c>
      <c r="B169">
        <f>LARGE(Clientes_Resumen[Litros],A169)</f>
        <v>241.1</v>
      </c>
      <c r="C169" s="16">
        <f>SUM($B$2:B169)/SUM($B$2:$B$301)</f>
        <v>0.94695911829219237</v>
      </c>
    </row>
    <row r="170" spans="1:3" x14ac:dyDescent="0.3">
      <c r="A170">
        <v>169</v>
      </c>
      <c r="B170">
        <f>LARGE(Clientes_Resumen[Litros],A170)</f>
        <v>240.26</v>
      </c>
      <c r="C170" s="16">
        <f>SUM($B$2:B170)/SUM($B$2:$B$301)</f>
        <v>0.94795705268512942</v>
      </c>
    </row>
    <row r="171" spans="1:3" x14ac:dyDescent="0.3">
      <c r="A171">
        <v>170</v>
      </c>
      <c r="B171">
        <f>LARGE(Clientes_Resumen[Litros],A171)</f>
        <v>238.20999999999998</v>
      </c>
      <c r="C171" s="16">
        <f>SUM($B$2:B171)/SUM($B$2:$B$301)</f>
        <v>0.94894647227949191</v>
      </c>
    </row>
    <row r="172" spans="1:3" x14ac:dyDescent="0.3">
      <c r="A172">
        <v>171</v>
      </c>
      <c r="B172">
        <f>LARGE(Clientes_Resumen[Litros],A172)</f>
        <v>233.17000000000002</v>
      </c>
      <c r="C172" s="16">
        <f>SUM($B$2:B172)/SUM($B$2:$B$301)</f>
        <v>0.94991495793004188</v>
      </c>
    </row>
    <row r="173" spans="1:3" x14ac:dyDescent="0.3">
      <c r="A173">
        <v>172</v>
      </c>
      <c r="B173">
        <f>LARGE(Clientes_Resumen[Litros],A173)</f>
        <v>231.45000000000002</v>
      </c>
      <c r="C173" s="16">
        <f>SUM($B$2:B173)/SUM($B$2:$B$301)</f>
        <v>0.95087629945690977</v>
      </c>
    </row>
    <row r="174" spans="1:3" x14ac:dyDescent="0.3">
      <c r="A174">
        <v>173</v>
      </c>
      <c r="B174">
        <f>LARGE(Clientes_Resumen[Litros],A174)</f>
        <v>227.06</v>
      </c>
      <c r="C174" s="16">
        <f>SUM($B$2:B174)/SUM($B$2:$B$301)</f>
        <v>0.95181940685414723</v>
      </c>
    </row>
    <row r="175" spans="1:3" x14ac:dyDescent="0.3">
      <c r="A175">
        <v>174</v>
      </c>
      <c r="B175">
        <f>LARGE(Clientes_Resumen[Litros],A175)</f>
        <v>220.14</v>
      </c>
      <c r="C175" s="16">
        <f>SUM($B$2:B175)/SUM($B$2:$B$301)</f>
        <v>0.95273377161424533</v>
      </c>
    </row>
    <row r="176" spans="1:3" x14ac:dyDescent="0.3">
      <c r="A176">
        <v>175</v>
      </c>
      <c r="B176">
        <f>LARGE(Clientes_Resumen[Litros],A176)</f>
        <v>219.69</v>
      </c>
      <c r="C176" s="16">
        <f>SUM($B$2:B176)/SUM($B$2:$B$301)</f>
        <v>0.95364626727221735</v>
      </c>
    </row>
    <row r="177" spans="1:3" x14ac:dyDescent="0.3">
      <c r="A177">
        <v>176</v>
      </c>
      <c r="B177">
        <f>LARGE(Clientes_Resumen[Litros],A177)</f>
        <v>216.06</v>
      </c>
      <c r="C177" s="16">
        <f>SUM($B$2:B177)/SUM($B$2:$B$301)</f>
        <v>0.95454368550637181</v>
      </c>
    </row>
    <row r="178" spans="1:3" x14ac:dyDescent="0.3">
      <c r="A178">
        <v>177</v>
      </c>
      <c r="B178">
        <f>LARGE(Clientes_Resumen[Litros],A178)</f>
        <v>210.26000000000002</v>
      </c>
      <c r="C178" s="16">
        <f>SUM($B$2:B178)/SUM($B$2:$B$301)</f>
        <v>0.95541701309090088</v>
      </c>
    </row>
    <row r="179" spans="1:3" x14ac:dyDescent="0.3">
      <c r="A179">
        <v>178</v>
      </c>
      <c r="B179">
        <f>LARGE(Clientes_Resumen[Litros],A179)</f>
        <v>207.44</v>
      </c>
      <c r="C179" s="16">
        <f>SUM($B$2:B179)/SUM($B$2:$B$301)</f>
        <v>0.95627862763543958</v>
      </c>
    </row>
    <row r="180" spans="1:3" x14ac:dyDescent="0.3">
      <c r="A180">
        <v>179</v>
      </c>
      <c r="B180">
        <f>LARGE(Clientes_Resumen[Litros],A180)</f>
        <v>204.32999999999998</v>
      </c>
      <c r="C180" s="16">
        <f>SUM($B$2:B180)/SUM($B$2:$B$301)</f>
        <v>0.95712732460750649</v>
      </c>
    </row>
    <row r="181" spans="1:3" x14ac:dyDescent="0.3">
      <c r="A181">
        <v>180</v>
      </c>
      <c r="B181">
        <f>LARGE(Clientes_Resumen[Litros],A181)</f>
        <v>204.01</v>
      </c>
      <c r="C181" s="16">
        <f>SUM($B$2:B181)/SUM($B$2:$B$301)</f>
        <v>0.95797469244028388</v>
      </c>
    </row>
    <row r="182" spans="1:3" x14ac:dyDescent="0.3">
      <c r="A182">
        <v>181</v>
      </c>
      <c r="B182">
        <f>LARGE(Clientes_Resumen[Litros],A182)</f>
        <v>200.55</v>
      </c>
      <c r="C182" s="16">
        <f>SUM($B$2:B182)/SUM($B$2:$B$301)</f>
        <v>0.95880768895449142</v>
      </c>
    </row>
    <row r="183" spans="1:3" x14ac:dyDescent="0.3">
      <c r="A183">
        <v>182</v>
      </c>
      <c r="B183">
        <f>LARGE(Clientes_Resumen[Litros],A183)</f>
        <v>199.85</v>
      </c>
      <c r="C183" s="16">
        <f>SUM($B$2:B183)/SUM($B$2:$B$301)</f>
        <v>0.95963777797650285</v>
      </c>
    </row>
    <row r="184" spans="1:3" x14ac:dyDescent="0.3">
      <c r="A184">
        <v>183</v>
      </c>
      <c r="B184">
        <f>LARGE(Clientes_Resumen[Litros],A184)</f>
        <v>197.81</v>
      </c>
      <c r="C184" s="16">
        <f>SUM($B$2:B184)/SUM($B$2:$B$301)</f>
        <v>0.96045939373554257</v>
      </c>
    </row>
    <row r="185" spans="1:3" x14ac:dyDescent="0.3">
      <c r="A185">
        <v>184</v>
      </c>
      <c r="B185">
        <f>LARGE(Clientes_Resumen[Litros],A185)</f>
        <v>194.52</v>
      </c>
      <c r="C185" s="16">
        <f>SUM($B$2:B185)/SUM($B$2:$B$301)</f>
        <v>0.96126734428126015</v>
      </c>
    </row>
    <row r="186" spans="1:3" x14ac:dyDescent="0.3">
      <c r="A186">
        <v>185</v>
      </c>
      <c r="B186">
        <f>LARGE(Clientes_Resumen[Litros],A186)</f>
        <v>191.29999999999998</v>
      </c>
      <c r="C186" s="16">
        <f>SUM($B$2:B186)/SUM($B$2:$B$301)</f>
        <v>0.96206192036287519</v>
      </c>
    </row>
    <row r="187" spans="1:3" x14ac:dyDescent="0.3">
      <c r="A187">
        <v>186</v>
      </c>
      <c r="B187">
        <f>LARGE(Clientes_Resumen[Litros],A187)</f>
        <v>190.58</v>
      </c>
      <c r="C187" s="16">
        <f>SUM($B$2:B187)/SUM($B$2:$B$301)</f>
        <v>0.96285350588108842</v>
      </c>
    </row>
    <row r="188" spans="1:3" x14ac:dyDescent="0.3">
      <c r="A188">
        <v>187</v>
      </c>
      <c r="B188">
        <f>LARGE(Clientes_Resumen[Litros],A188)</f>
        <v>185.62</v>
      </c>
      <c r="C188" s="16">
        <f>SUM($B$2:B188)/SUM($B$2:$B$301)</f>
        <v>0.96362448974031167</v>
      </c>
    </row>
    <row r="189" spans="1:3" x14ac:dyDescent="0.3">
      <c r="A189">
        <v>188</v>
      </c>
      <c r="B189">
        <f>LARGE(Clientes_Resumen[Litros],A189)</f>
        <v>184.39000000000001</v>
      </c>
      <c r="C189" s="16">
        <f>SUM($B$2:B189)/SUM($B$2:$B$301)</f>
        <v>0.96439036472039019</v>
      </c>
    </row>
    <row r="190" spans="1:3" x14ac:dyDescent="0.3">
      <c r="A190">
        <v>189</v>
      </c>
      <c r="B190">
        <f>LARGE(Clientes_Resumen[Litros],A190)</f>
        <v>183.95</v>
      </c>
      <c r="C190" s="16">
        <f>SUM($B$2:B190)/SUM($B$2:$B$301)</f>
        <v>0.96515441213394548</v>
      </c>
    </row>
    <row r="191" spans="1:3" x14ac:dyDescent="0.3">
      <c r="A191">
        <v>190</v>
      </c>
      <c r="B191">
        <f>LARGE(Clientes_Resumen[Litros],A191)</f>
        <v>181.70999999999998</v>
      </c>
      <c r="C191" s="16">
        <f>SUM($B$2:B191)/SUM($B$2:$B$301)</f>
        <v>0.96590915557247281</v>
      </c>
    </row>
    <row r="192" spans="1:3" x14ac:dyDescent="0.3">
      <c r="A192">
        <v>191</v>
      </c>
      <c r="B192">
        <f>LARGE(Clientes_Resumen[Litros],A192)</f>
        <v>177.26</v>
      </c>
      <c r="C192" s="16">
        <f>SUM($B$2:B192)/SUM($B$2:$B$301)</f>
        <v>0.96664541566775297</v>
      </c>
    </row>
    <row r="193" spans="1:3" x14ac:dyDescent="0.3">
      <c r="A193">
        <v>192</v>
      </c>
      <c r="B193">
        <f>LARGE(Clientes_Resumen[Litros],A193)</f>
        <v>177.08</v>
      </c>
      <c r="C193" s="16">
        <f>SUM($B$2:B193)/SUM($B$2:$B$301)</f>
        <v>0.96738092812218268</v>
      </c>
    </row>
    <row r="194" spans="1:3" x14ac:dyDescent="0.3">
      <c r="A194">
        <v>193</v>
      </c>
      <c r="B194">
        <f>LARGE(Clientes_Resumen[Litros],A194)</f>
        <v>176.25</v>
      </c>
      <c r="C194" s="16">
        <f>SUM($B$2:B194)/SUM($B$2:$B$301)</f>
        <v>0.96811299312157983</v>
      </c>
    </row>
    <row r="195" spans="1:3" x14ac:dyDescent="0.3">
      <c r="A195">
        <v>194</v>
      </c>
      <c r="B195">
        <f>LARGE(Clientes_Resumen[Litros],A195)</f>
        <v>174.46</v>
      </c>
      <c r="C195" s="16">
        <f>SUM($B$2:B195)/SUM($B$2:$B$301)</f>
        <v>0.96883762324807521</v>
      </c>
    </row>
    <row r="196" spans="1:3" x14ac:dyDescent="0.3">
      <c r="A196">
        <v>195</v>
      </c>
      <c r="B196">
        <f>LARGE(Clientes_Resumen[Litros],A196)</f>
        <v>174.24</v>
      </c>
      <c r="C196" s="16">
        <f>SUM($B$2:B196)/SUM($B$2:$B$301)</f>
        <v>0.96956133959130897</v>
      </c>
    </row>
    <row r="197" spans="1:3" x14ac:dyDescent="0.3">
      <c r="A197">
        <v>196</v>
      </c>
      <c r="B197">
        <f>LARGE(Clientes_Resumen[Litros],A197)</f>
        <v>172.15</v>
      </c>
      <c r="C197" s="16">
        <f>SUM($B$2:B197)/SUM($B$2:$B$301)</f>
        <v>0.9702763749935569</v>
      </c>
    </row>
    <row r="198" spans="1:3" x14ac:dyDescent="0.3">
      <c r="A198">
        <v>197</v>
      </c>
      <c r="B198">
        <f>LARGE(Clientes_Resumen[Litros],A198)</f>
        <v>165.93</v>
      </c>
      <c r="C198" s="16">
        <f>SUM($B$2:B198)/SUM($B$2:$B$301)</f>
        <v>0.97096557525086158</v>
      </c>
    </row>
    <row r="199" spans="1:3" x14ac:dyDescent="0.3">
      <c r="A199">
        <v>198</v>
      </c>
      <c r="B199">
        <f>LARGE(Clientes_Resumen[Litros],A199)</f>
        <v>165.31</v>
      </c>
      <c r="C199" s="16">
        <f>SUM($B$2:B199)/SUM($B$2:$B$301)</f>
        <v>0.97165220030079258</v>
      </c>
    </row>
    <row r="200" spans="1:3" x14ac:dyDescent="0.3">
      <c r="A200">
        <v>199</v>
      </c>
      <c r="B200">
        <f>LARGE(Clientes_Resumen[Litros],A200)</f>
        <v>162.49</v>
      </c>
      <c r="C200" s="16">
        <f>SUM($B$2:B200)/SUM($B$2:$B$301)</f>
        <v>0.97232711231073321</v>
      </c>
    </row>
    <row r="201" spans="1:3" x14ac:dyDescent="0.3">
      <c r="A201">
        <v>200</v>
      </c>
      <c r="B201">
        <f>LARGE(Clientes_Resumen[Litros],A201)</f>
        <v>160.5</v>
      </c>
      <c r="C201" s="16">
        <f>SUM($B$2:B201)/SUM($B$2:$B$301)</f>
        <v>0.97299375873571614</v>
      </c>
    </row>
    <row r="202" spans="1:3" x14ac:dyDescent="0.3">
      <c r="A202">
        <v>201</v>
      </c>
      <c r="B202">
        <f>LARGE(Clientes_Resumen[Litros],A202)</f>
        <v>159.66999999999999</v>
      </c>
      <c r="C202" s="16">
        <f>SUM($B$2:B202)/SUM($B$2:$B$301)</f>
        <v>0.9736569577056664</v>
      </c>
    </row>
    <row r="203" spans="1:3" x14ac:dyDescent="0.3">
      <c r="A203">
        <v>202</v>
      </c>
      <c r="B203">
        <f>LARGE(Clientes_Resumen[Litros],A203)</f>
        <v>156.41999999999999</v>
      </c>
      <c r="C203" s="16">
        <f>SUM($B$2:B203)/SUM($B$2:$B$301)</f>
        <v>0.97430665760470592</v>
      </c>
    </row>
    <row r="204" spans="1:3" x14ac:dyDescent="0.3">
      <c r="A204">
        <v>203</v>
      </c>
      <c r="B204">
        <f>LARGE(Clientes_Resumen[Litros],A204)</f>
        <v>151.03</v>
      </c>
      <c r="C204" s="16">
        <f>SUM($B$2:B204)/SUM($B$2:$B$301)</f>
        <v>0.97493396981383462</v>
      </c>
    </row>
    <row r="205" spans="1:3" x14ac:dyDescent="0.3">
      <c r="A205">
        <v>204</v>
      </c>
      <c r="B205">
        <f>LARGE(Clientes_Resumen[Litros],A205)</f>
        <v>150.86000000000001</v>
      </c>
      <c r="C205" s="16">
        <f>SUM($B$2:B205)/SUM($B$2:$B$301)</f>
        <v>0.97556057591771572</v>
      </c>
    </row>
    <row r="206" spans="1:3" x14ac:dyDescent="0.3">
      <c r="A206">
        <v>205</v>
      </c>
      <c r="B206">
        <f>LARGE(Clientes_Resumen[Litros],A206)</f>
        <v>150.36000000000001</v>
      </c>
      <c r="C206" s="16">
        <f>SUM($B$2:B206)/SUM($B$2:$B$301)</f>
        <v>0.97618510524145663</v>
      </c>
    </row>
    <row r="207" spans="1:3" x14ac:dyDescent="0.3">
      <c r="A207">
        <v>206</v>
      </c>
      <c r="B207">
        <f>LARGE(Clientes_Resumen[Litros],A207)</f>
        <v>147.27000000000001</v>
      </c>
      <c r="C207" s="16">
        <f>SUM($B$2:B207)/SUM($B$2:$B$301)</f>
        <v>0.97679680006393155</v>
      </c>
    </row>
    <row r="208" spans="1:3" x14ac:dyDescent="0.3">
      <c r="A208">
        <v>207</v>
      </c>
      <c r="B208">
        <f>LARGE(Clientes_Resumen[Litros],A208)</f>
        <v>147.22999999999999</v>
      </c>
      <c r="C208" s="16">
        <f>SUM($B$2:B208)/SUM($B$2:$B$301)</f>
        <v>0.97740832874399541</v>
      </c>
    </row>
    <row r="209" spans="1:3" x14ac:dyDescent="0.3">
      <c r="A209">
        <v>208</v>
      </c>
      <c r="B209">
        <f>LARGE(Clientes_Resumen[Litros],A209)</f>
        <v>147.04999999999998</v>
      </c>
      <c r="C209" s="16">
        <f>SUM($B$2:B209)/SUM($B$2:$B$301)</f>
        <v>0.97801910978320861</v>
      </c>
    </row>
    <row r="210" spans="1:3" x14ac:dyDescent="0.3">
      <c r="A210">
        <v>209</v>
      </c>
      <c r="B210">
        <f>LARGE(Clientes_Resumen[Litros],A210)</f>
        <v>146.75</v>
      </c>
      <c r="C210" s="16">
        <f>SUM($B$2:B210)/SUM($B$2:$B$301)</f>
        <v>0.97862864475433786</v>
      </c>
    </row>
    <row r="211" spans="1:3" x14ac:dyDescent="0.3">
      <c r="A211">
        <v>210</v>
      </c>
      <c r="B211">
        <f>LARGE(Clientes_Resumen[Litros],A211)</f>
        <v>145.13</v>
      </c>
      <c r="C211" s="16">
        <f>SUM($B$2:B211)/SUM($B$2:$B$301)</f>
        <v>0.97923145095781305</v>
      </c>
    </row>
    <row r="212" spans="1:3" x14ac:dyDescent="0.3">
      <c r="A212">
        <v>211</v>
      </c>
      <c r="B212">
        <f>LARGE(Clientes_Resumen[Litros],A212)</f>
        <v>137.02000000000001</v>
      </c>
      <c r="C212" s="16">
        <f>SUM($B$2:B212)/SUM($B$2:$B$301)</f>
        <v>0.97980057178741531</v>
      </c>
    </row>
    <row r="213" spans="1:3" x14ac:dyDescent="0.3">
      <c r="A213">
        <v>212</v>
      </c>
      <c r="B213">
        <f>LARGE(Clientes_Resumen[Litros],A213)</f>
        <v>134.88</v>
      </c>
      <c r="C213" s="16">
        <f>SUM($B$2:B213)/SUM($B$2:$B$301)</f>
        <v>0.98036080399801773</v>
      </c>
    </row>
    <row r="214" spans="1:3" x14ac:dyDescent="0.3">
      <c r="A214">
        <v>213</v>
      </c>
      <c r="B214">
        <f>LARGE(Clientes_Resumen[Litros],A214)</f>
        <v>134.32999999999998</v>
      </c>
      <c r="C214" s="16">
        <f>SUM($B$2:B214)/SUM($B$2:$B$301)</f>
        <v>0.98091875175046594</v>
      </c>
    </row>
    <row r="215" spans="1:3" x14ac:dyDescent="0.3">
      <c r="A215">
        <v>214</v>
      </c>
      <c r="B215">
        <f>LARGE(Clientes_Resumen[Litros],A215)</f>
        <v>125.99</v>
      </c>
      <c r="C215" s="16">
        <f>SUM($B$2:B215)/SUM($B$2:$B$301)</f>
        <v>0.98144205881017688</v>
      </c>
    </row>
    <row r="216" spans="1:3" x14ac:dyDescent="0.3">
      <c r="A216">
        <v>215</v>
      </c>
      <c r="B216">
        <f>LARGE(Clientes_Resumen[Litros],A216)</f>
        <v>120.88</v>
      </c>
      <c r="C216" s="16">
        <f>SUM($B$2:B216)/SUM($B$2:$B$301)</f>
        <v>0.98194414117685558</v>
      </c>
    </row>
    <row r="217" spans="1:3" x14ac:dyDescent="0.3">
      <c r="A217">
        <v>216</v>
      </c>
      <c r="B217">
        <f>LARGE(Clientes_Resumen[Litros],A217)</f>
        <v>118.23</v>
      </c>
      <c r="C217" s="16">
        <f>SUM($B$2:B217)/SUM($B$2:$B$301)</f>
        <v>0.98243521660879163</v>
      </c>
    </row>
    <row r="218" spans="1:3" x14ac:dyDescent="0.3">
      <c r="A218">
        <v>217</v>
      </c>
      <c r="B218">
        <f>LARGE(Clientes_Resumen[Litros],A218)</f>
        <v>115.00999999999999</v>
      </c>
      <c r="C218" s="16">
        <f>SUM($B$2:B218)/SUM($B$2:$B$301)</f>
        <v>0.98291291757662513</v>
      </c>
    </row>
    <row r="219" spans="1:3" x14ac:dyDescent="0.3">
      <c r="A219">
        <v>218</v>
      </c>
      <c r="B219">
        <f>LARGE(Clientes_Resumen[Litros],A219)</f>
        <v>113.58000000000001</v>
      </c>
      <c r="C219" s="16">
        <f>SUM($B$2:B219)/SUM($B$2:$B$301)</f>
        <v>0.98338467895325787</v>
      </c>
    </row>
    <row r="220" spans="1:3" x14ac:dyDescent="0.3">
      <c r="A220">
        <v>219</v>
      </c>
      <c r="B220">
        <f>LARGE(Clientes_Resumen[Litros],A220)</f>
        <v>113.47999999999999</v>
      </c>
      <c r="C220" s="16">
        <f>SUM($B$2:B220)/SUM($B$2:$B$301)</f>
        <v>0.98385602497386271</v>
      </c>
    </row>
    <row r="221" spans="1:3" x14ac:dyDescent="0.3">
      <c r="A221">
        <v>220</v>
      </c>
      <c r="B221">
        <f>LARGE(Clientes_Resumen[Litros],A221)</f>
        <v>111.30000000000001</v>
      </c>
      <c r="C221" s="16">
        <f>SUM($B$2:B221)/SUM($B$2:$B$301)</f>
        <v>0.98431831623305632</v>
      </c>
    </row>
    <row r="222" spans="1:3" x14ac:dyDescent="0.3">
      <c r="A222">
        <v>221</v>
      </c>
      <c r="B222">
        <f>LARGE(Clientes_Resumen[Litros],A222)</f>
        <v>110.50999999999999</v>
      </c>
      <c r="C222" s="16">
        <f>SUM($B$2:B222)/SUM($B$2:$B$301)</f>
        <v>0.98477732617962876</v>
      </c>
    </row>
    <row r="223" spans="1:3" x14ac:dyDescent="0.3">
      <c r="A223">
        <v>222</v>
      </c>
      <c r="B223">
        <f>LARGE(Clientes_Resumen[Litros],A223)</f>
        <v>108.38</v>
      </c>
      <c r="C223" s="16">
        <f>SUM($B$2:B223)/SUM($B$2:$B$301)</f>
        <v>0.98522748904280411</v>
      </c>
    </row>
    <row r="224" spans="1:3" x14ac:dyDescent="0.3">
      <c r="A224">
        <v>223</v>
      </c>
      <c r="B224">
        <f>LARGE(Clientes_Resumen[Litros],A224)</f>
        <v>108.38</v>
      </c>
      <c r="C224" s="16">
        <f>SUM($B$2:B224)/SUM($B$2:$B$301)</f>
        <v>0.98567765190597956</v>
      </c>
    </row>
    <row r="225" spans="1:3" x14ac:dyDescent="0.3">
      <c r="A225">
        <v>224</v>
      </c>
      <c r="B225">
        <f>LARGE(Clientes_Resumen[Litros],A225)</f>
        <v>107.69</v>
      </c>
      <c r="C225" s="16">
        <f>SUM($B$2:B225)/SUM($B$2:$B$301)</f>
        <v>0.98612494881256152</v>
      </c>
    </row>
    <row r="226" spans="1:3" x14ac:dyDescent="0.3">
      <c r="A226">
        <v>225</v>
      </c>
      <c r="B226">
        <f>LARGE(Clientes_Resumen[Litros],A226)</f>
        <v>106.43</v>
      </c>
      <c r="C226" s="16">
        <f>SUM($B$2:B226)/SUM($B$2:$B$301)</f>
        <v>0.98656701223319032</v>
      </c>
    </row>
    <row r="227" spans="1:3" x14ac:dyDescent="0.3">
      <c r="A227">
        <v>226</v>
      </c>
      <c r="B227">
        <f>LARGE(Clientes_Resumen[Litros],A227)</f>
        <v>105.11000000000001</v>
      </c>
      <c r="C227" s="16">
        <f>SUM($B$2:B227)/SUM($B$2:$B$301)</f>
        <v>0.98700359295424922</v>
      </c>
    </row>
    <row r="228" spans="1:3" x14ac:dyDescent="0.3">
      <c r="A228">
        <v>227</v>
      </c>
      <c r="B228">
        <f>LARGE(Clientes_Resumen[Litros],A228)</f>
        <v>101.71000000000001</v>
      </c>
      <c r="C228" s="16">
        <f>SUM($B$2:B228)/SUM($B$2:$B$301)</f>
        <v>0.98742605157035512</v>
      </c>
    </row>
    <row r="229" spans="1:3" x14ac:dyDescent="0.3">
      <c r="A229">
        <v>228</v>
      </c>
      <c r="B229">
        <f>LARGE(Clientes_Resumen[Litros],A229)</f>
        <v>99.48</v>
      </c>
      <c r="C229" s="16">
        <f>SUM($B$2:B229)/SUM($B$2:$B$301)</f>
        <v>0.98783924774703613</v>
      </c>
    </row>
    <row r="230" spans="1:3" x14ac:dyDescent="0.3">
      <c r="A230">
        <v>229</v>
      </c>
      <c r="B230">
        <f>LARGE(Clientes_Resumen[Litros],A230)</f>
        <v>98.47</v>
      </c>
      <c r="C230" s="16">
        <f>SUM($B$2:B230)/SUM($B$2:$B$301)</f>
        <v>0.98824824882783413</v>
      </c>
    </row>
    <row r="231" spans="1:3" x14ac:dyDescent="0.3">
      <c r="A231">
        <v>230</v>
      </c>
      <c r="B231">
        <f>LARGE(Clientes_Resumen[Litros],A231)</f>
        <v>96.73</v>
      </c>
      <c r="C231" s="16">
        <f>SUM($B$2:B231)/SUM($B$2:$B$301)</f>
        <v>0.98865002271374436</v>
      </c>
    </row>
    <row r="232" spans="1:3" x14ac:dyDescent="0.3">
      <c r="A232">
        <v>231</v>
      </c>
      <c r="B232">
        <f>LARGE(Clientes_Resumen[Litros],A232)</f>
        <v>94.31</v>
      </c>
      <c r="C232" s="16">
        <f>SUM($B$2:B232)/SUM($B$2:$B$301)</f>
        <v>0.98904174498377639</v>
      </c>
    </row>
    <row r="233" spans="1:3" x14ac:dyDescent="0.3">
      <c r="A233">
        <v>232</v>
      </c>
      <c r="B233">
        <f>LARGE(Clientes_Resumen[Litros],A233)</f>
        <v>92.87</v>
      </c>
      <c r="C233" s="16">
        <f>SUM($B$2:B233)/SUM($B$2:$B$301)</f>
        <v>0.98942748612700482</v>
      </c>
    </row>
    <row r="234" spans="1:3" x14ac:dyDescent="0.3">
      <c r="A234">
        <v>233</v>
      </c>
      <c r="B234">
        <f>LARGE(Clientes_Resumen[Litros],A234)</f>
        <v>91.01</v>
      </c>
      <c r="C234" s="16">
        <f>SUM($B$2:B234)/SUM($B$2:$B$301)</f>
        <v>0.98980550164811198</v>
      </c>
    </row>
    <row r="235" spans="1:3" x14ac:dyDescent="0.3">
      <c r="A235">
        <v>234</v>
      </c>
      <c r="B235">
        <f>LARGE(Clientes_Resumen[Litros],A235)</f>
        <v>90.95</v>
      </c>
      <c r="C235" s="16">
        <f>SUM($B$2:B235)/SUM($B$2:$B$301)</f>
        <v>0.9901832679556023</v>
      </c>
    </row>
    <row r="236" spans="1:3" x14ac:dyDescent="0.3">
      <c r="A236">
        <v>235</v>
      </c>
      <c r="B236">
        <f>LARGE(Clientes_Resumen[Litros],A236)</f>
        <v>87.99</v>
      </c>
      <c r="C236" s="16">
        <f>SUM($B$2:B236)/SUM($B$2:$B$301)</f>
        <v>0.99054873972466295</v>
      </c>
    </row>
    <row r="237" spans="1:3" x14ac:dyDescent="0.3">
      <c r="A237">
        <v>236</v>
      </c>
      <c r="B237">
        <f>LARGE(Clientes_Resumen[Litros],A237)</f>
        <v>87.71</v>
      </c>
      <c r="C237" s="16">
        <f>SUM($B$2:B237)/SUM($B$2:$B$301)</f>
        <v>0.99091304849684525</v>
      </c>
    </row>
    <row r="238" spans="1:3" x14ac:dyDescent="0.3">
      <c r="A238">
        <v>237</v>
      </c>
      <c r="B238">
        <f>LARGE(Clientes_Resumen[Litros],A238)</f>
        <v>87.36</v>
      </c>
      <c r="C238" s="16">
        <f>SUM($B$2:B238)/SUM($B$2:$B$301)</f>
        <v>0.99127590352292927</v>
      </c>
    </row>
    <row r="239" spans="1:3" x14ac:dyDescent="0.3">
      <c r="A239">
        <v>238</v>
      </c>
      <c r="B239">
        <f>LARGE(Clientes_Resumen[Litros],A239)</f>
        <v>86.81</v>
      </c>
      <c r="C239" s="16">
        <f>SUM($B$2:B239)/SUM($B$2:$B$301)</f>
        <v>0.99163647409085931</v>
      </c>
    </row>
    <row r="240" spans="1:3" x14ac:dyDescent="0.3">
      <c r="A240">
        <v>239</v>
      </c>
      <c r="B240">
        <f>LARGE(Clientes_Resumen[Litros],A240)</f>
        <v>84.3</v>
      </c>
      <c r="C240" s="16">
        <f>SUM($B$2:B240)/SUM($B$2:$B$301)</f>
        <v>0.99198661922248577</v>
      </c>
    </row>
    <row r="241" spans="1:3" x14ac:dyDescent="0.3">
      <c r="A241">
        <v>240</v>
      </c>
      <c r="B241">
        <f>LARGE(Clientes_Resumen[Litros],A241)</f>
        <v>82.39</v>
      </c>
      <c r="C241" s="16">
        <f>SUM($B$2:B241)/SUM($B$2:$B$301)</f>
        <v>0.99232883105397707</v>
      </c>
    </row>
    <row r="242" spans="1:3" x14ac:dyDescent="0.3">
      <c r="A242">
        <v>241</v>
      </c>
      <c r="B242">
        <f>LARGE(Clientes_Resumen[Litros],A242)</f>
        <v>74.62</v>
      </c>
      <c r="C242" s="16">
        <f>SUM($B$2:B242)/SUM($B$2:$B$301)</f>
        <v>0.99263876972209064</v>
      </c>
    </row>
    <row r="243" spans="1:3" x14ac:dyDescent="0.3">
      <c r="A243">
        <v>242</v>
      </c>
      <c r="B243">
        <f>LARGE(Clientes_Resumen[Litros],A243)</f>
        <v>71.39</v>
      </c>
      <c r="C243" s="16">
        <f>SUM($B$2:B243)/SUM($B$2:$B$301)</f>
        <v>0.99293529239049894</v>
      </c>
    </row>
    <row r="244" spans="1:3" x14ac:dyDescent="0.3">
      <c r="A244">
        <v>243</v>
      </c>
      <c r="B244">
        <f>LARGE(Clientes_Resumen[Litros],A244)</f>
        <v>69.180000000000007</v>
      </c>
      <c r="C244" s="16">
        <f>SUM($B$2:B244)/SUM($B$2:$B$301)</f>
        <v>0.99322263569068781</v>
      </c>
    </row>
    <row r="245" spans="1:3" x14ac:dyDescent="0.3">
      <c r="A245">
        <v>244</v>
      </c>
      <c r="B245">
        <f>LARGE(Clientes_Resumen[Litros],A245)</f>
        <v>68.98</v>
      </c>
      <c r="C245" s="16">
        <f>SUM($B$2:B245)/SUM($B$2:$B$301)</f>
        <v>0.99350914827882064</v>
      </c>
    </row>
    <row r="246" spans="1:3" x14ac:dyDescent="0.3">
      <c r="A246">
        <v>245</v>
      </c>
      <c r="B246">
        <f>LARGE(Clientes_Resumen[Litros],A246)</f>
        <v>68.900000000000006</v>
      </c>
      <c r="C246" s="16">
        <f>SUM($B$2:B246)/SUM($B$2:$B$301)</f>
        <v>0.99379532858213104</v>
      </c>
    </row>
    <row r="247" spans="1:3" x14ac:dyDescent="0.3">
      <c r="A247">
        <v>246</v>
      </c>
      <c r="B247">
        <f>LARGE(Clientes_Resumen[Litros],A247)</f>
        <v>67.02</v>
      </c>
      <c r="C247" s="16">
        <f>SUM($B$2:B247)/SUM($B$2:$B$301)</f>
        <v>0.9940737001921145</v>
      </c>
    </row>
    <row r="248" spans="1:3" x14ac:dyDescent="0.3">
      <c r="A248">
        <v>247</v>
      </c>
      <c r="B248">
        <f>LARGE(Clientes_Resumen[Litros],A248)</f>
        <v>66.81</v>
      </c>
      <c r="C248" s="16">
        <f>SUM($B$2:B248)/SUM($B$2:$B$301)</f>
        <v>0.99435119955443918</v>
      </c>
    </row>
    <row r="249" spans="1:3" x14ac:dyDescent="0.3">
      <c r="A249">
        <v>248</v>
      </c>
      <c r="B249">
        <f>LARGE(Clientes_Resumen[Litros],A249)</f>
        <v>65.209999999999994</v>
      </c>
      <c r="C249" s="16">
        <f>SUM($B$2:B249)/SUM($B$2:$B$301)</f>
        <v>0.99462205322031538</v>
      </c>
    </row>
    <row r="250" spans="1:3" x14ac:dyDescent="0.3">
      <c r="A250">
        <v>249</v>
      </c>
      <c r="B250">
        <f>LARGE(Clientes_Resumen[Litros],A250)</f>
        <v>64.66</v>
      </c>
      <c r="C250" s="16">
        <f>SUM($B$2:B250)/SUM($B$2:$B$301)</f>
        <v>0.9948906224280375</v>
      </c>
    </row>
    <row r="251" spans="1:3" x14ac:dyDescent="0.3">
      <c r="A251">
        <v>250</v>
      </c>
      <c r="B251">
        <f>LARGE(Clientes_Resumen[Litros],A251)</f>
        <v>62.66</v>
      </c>
      <c r="C251" s="16">
        <f>SUM($B$2:B251)/SUM($B$2:$B$301)</f>
        <v>0.99515088451519906</v>
      </c>
    </row>
    <row r="252" spans="1:3" x14ac:dyDescent="0.3">
      <c r="A252">
        <v>251</v>
      </c>
      <c r="B252">
        <f>LARGE(Clientes_Resumen[Litros],A252)</f>
        <v>62.6</v>
      </c>
      <c r="C252" s="16">
        <f>SUM($B$2:B252)/SUM($B$2:$B$301)</f>
        <v>0.99541089738874378</v>
      </c>
    </row>
    <row r="253" spans="1:3" x14ac:dyDescent="0.3">
      <c r="A253">
        <v>252</v>
      </c>
      <c r="B253">
        <f>LARGE(Clientes_Resumen[Litros],A253)</f>
        <v>60.52</v>
      </c>
      <c r="C253" s="16">
        <f>SUM($B$2:B253)/SUM($B$2:$B$301)</f>
        <v>0.99566227085690551</v>
      </c>
    </row>
    <row r="254" spans="1:3" x14ac:dyDescent="0.3">
      <c r="A254">
        <v>253</v>
      </c>
      <c r="B254">
        <f>LARGE(Clientes_Resumen[Litros],A254)</f>
        <v>60.209999999999994</v>
      </c>
      <c r="C254" s="16">
        <f>SUM($B$2:B254)/SUM($B$2:$B$301)</f>
        <v>0.99591235672138045</v>
      </c>
    </row>
    <row r="255" spans="1:3" x14ac:dyDescent="0.3">
      <c r="A255">
        <v>254</v>
      </c>
      <c r="B255">
        <f>LARGE(Clientes_Resumen[Litros],A255)</f>
        <v>57.92</v>
      </c>
      <c r="C255" s="16">
        <f>SUM($B$2:B255)/SUM($B$2:$B$301)</f>
        <v>0.99615293093281354</v>
      </c>
    </row>
    <row r="256" spans="1:3" x14ac:dyDescent="0.3">
      <c r="A256">
        <v>255</v>
      </c>
      <c r="B256">
        <f>LARGE(Clientes_Resumen[Litros],A256)</f>
        <v>57.77</v>
      </c>
      <c r="C256" s="16">
        <f>SUM($B$2:B256)/SUM($B$2:$B$301)</f>
        <v>0.99639288211020449</v>
      </c>
    </row>
    <row r="257" spans="1:3" x14ac:dyDescent="0.3">
      <c r="A257">
        <v>256</v>
      </c>
      <c r="B257">
        <f>LARGE(Clientes_Resumen[Litros],A257)</f>
        <v>56.19</v>
      </c>
      <c r="C257" s="16">
        <f>SUM($B$2:B257)/SUM($B$2:$B$301)</f>
        <v>0.99662627066235276</v>
      </c>
    </row>
    <row r="258" spans="1:3" x14ac:dyDescent="0.3">
      <c r="A258">
        <v>257</v>
      </c>
      <c r="B258">
        <f>LARGE(Clientes_Resumen[Litros],A258)</f>
        <v>55.91</v>
      </c>
      <c r="C258" s="16">
        <f>SUM($B$2:B258)/SUM($B$2:$B$301)</f>
        <v>0.99685849621762257</v>
      </c>
    </row>
    <row r="259" spans="1:3" x14ac:dyDescent="0.3">
      <c r="A259">
        <v>258</v>
      </c>
      <c r="B259">
        <f>LARGE(Clientes_Resumen[Litros],A259)</f>
        <v>51.84</v>
      </c>
      <c r="C259" s="16">
        <f>SUM($B$2:B259)/SUM($B$2:$B$301)</f>
        <v>0.99707381678255158</v>
      </c>
    </row>
    <row r="260" spans="1:3" x14ac:dyDescent="0.3">
      <c r="A260">
        <v>259</v>
      </c>
      <c r="B260">
        <f>LARGE(Clientes_Resumen[Litros],A260)</f>
        <v>51.39</v>
      </c>
      <c r="C260" s="16">
        <f>SUM($B$2:B260)/SUM($B$2:$B$301)</f>
        <v>0.99728726824535452</v>
      </c>
    </row>
    <row r="261" spans="1:3" x14ac:dyDescent="0.3">
      <c r="A261">
        <v>260</v>
      </c>
      <c r="B261">
        <f>LARGE(Clientes_Resumen[Litros],A261)</f>
        <v>51.02</v>
      </c>
      <c r="C261" s="16">
        <f>SUM($B$2:B261)/SUM($B$2:$B$301)</f>
        <v>0.99749918289085371</v>
      </c>
    </row>
    <row r="262" spans="1:3" x14ac:dyDescent="0.3">
      <c r="A262">
        <v>261</v>
      </c>
      <c r="B262">
        <f>LARGE(Clientes_Resumen[Litros],A262)</f>
        <v>47.36</v>
      </c>
      <c r="C262" s="16">
        <f>SUM($B$2:B262)/SUM($B$2:$B$301)</f>
        <v>0.99769589550572713</v>
      </c>
    </row>
    <row r="263" spans="1:3" x14ac:dyDescent="0.3">
      <c r="A263">
        <v>262</v>
      </c>
      <c r="B263">
        <f>LARGE(Clientes_Resumen[Litros],A263)</f>
        <v>44.07</v>
      </c>
      <c r="C263" s="16">
        <f>SUM($B$2:B263)/SUM($B$2:$B$301)</f>
        <v>0.99787894290727852</v>
      </c>
    </row>
    <row r="264" spans="1:3" x14ac:dyDescent="0.3">
      <c r="A264">
        <v>263</v>
      </c>
      <c r="B264">
        <f>LARGE(Clientes_Resumen[Litros],A264)</f>
        <v>43.35</v>
      </c>
      <c r="C264" s="16">
        <f>SUM($B$2:B264)/SUM($B$2:$B$301)</f>
        <v>0.99805899974542822</v>
      </c>
    </row>
    <row r="265" spans="1:3" x14ac:dyDescent="0.3">
      <c r="A265">
        <v>264</v>
      </c>
      <c r="B265">
        <f>LARGE(Clientes_Resumen[Litros],A265)</f>
        <v>41.16</v>
      </c>
      <c r="C265" s="16">
        <f>SUM($B$2:B265)/SUM($B$2:$B$301)</f>
        <v>0.99822996028656397</v>
      </c>
    </row>
    <row r="266" spans="1:3" x14ac:dyDescent="0.3">
      <c r="A266">
        <v>265</v>
      </c>
      <c r="B266">
        <f>LARGE(Clientes_Resumen[Litros],A266)</f>
        <v>40.619999999999997</v>
      </c>
      <c r="C266" s="16">
        <f>SUM($B$2:B266)/SUM($B$2:$B$301)</f>
        <v>0.99839867790514847</v>
      </c>
    </row>
    <row r="267" spans="1:3" x14ac:dyDescent="0.3">
      <c r="A267">
        <v>266</v>
      </c>
      <c r="B267">
        <f>LARGE(Clientes_Resumen[Litros],A267)</f>
        <v>40.590000000000003</v>
      </c>
      <c r="C267" s="16">
        <f>SUM($B$2:B267)/SUM($B$2:$B$301)</f>
        <v>0.99856727091692443</v>
      </c>
    </row>
    <row r="268" spans="1:3" x14ac:dyDescent="0.3">
      <c r="A268">
        <v>267</v>
      </c>
      <c r="B268">
        <f>LARGE(Clientes_Resumen[Litros],A268)</f>
        <v>29.22</v>
      </c>
      <c r="C268" s="16">
        <f>SUM($B$2:B268)/SUM($B$2:$B$301)</f>
        <v>0.99868863794831386</v>
      </c>
    </row>
    <row r="269" spans="1:3" x14ac:dyDescent="0.3">
      <c r="A269">
        <v>268</v>
      </c>
      <c r="B269">
        <f>LARGE(Clientes_Resumen[Litros],A269)</f>
        <v>29</v>
      </c>
      <c r="C269" s="16">
        <f>SUM($B$2:B269)/SUM($B$2:$B$301)</f>
        <v>0.99880909119644168</v>
      </c>
    </row>
    <row r="270" spans="1:3" x14ac:dyDescent="0.3">
      <c r="A270">
        <v>269</v>
      </c>
      <c r="B270">
        <f>LARGE(Clientes_Resumen[Litros],A270)</f>
        <v>28.32</v>
      </c>
      <c r="C270" s="16">
        <f>SUM($B$2:B270)/SUM($B$2:$B$301)</f>
        <v>0.99892672002357885</v>
      </c>
    </row>
    <row r="271" spans="1:3" x14ac:dyDescent="0.3">
      <c r="A271">
        <v>270</v>
      </c>
      <c r="B271">
        <f>LARGE(Clientes_Resumen[Litros],A271)</f>
        <v>27.85</v>
      </c>
      <c r="C271" s="16">
        <f>SUM($B$2:B271)/SUM($B$2:$B$301)</f>
        <v>0.99904239667738426</v>
      </c>
    </row>
    <row r="272" spans="1:3" x14ac:dyDescent="0.3">
      <c r="A272">
        <v>271</v>
      </c>
      <c r="B272">
        <f>LARGE(Clientes_Resumen[Litros],A272)</f>
        <v>27.38</v>
      </c>
      <c r="C272" s="16">
        <f>SUM($B$2:B272)/SUM($B$2:$B$301)</f>
        <v>0.99915612115785801</v>
      </c>
    </row>
    <row r="273" spans="1:3" x14ac:dyDescent="0.3">
      <c r="A273">
        <v>272</v>
      </c>
      <c r="B273">
        <f>LARGE(Clientes_Resumen[Litros],A273)</f>
        <v>27</v>
      </c>
      <c r="C273" s="16">
        <f>SUM($B$2:B273)/SUM($B$2:$B$301)</f>
        <v>0.99926826728542528</v>
      </c>
    </row>
    <row r="274" spans="1:3" x14ac:dyDescent="0.3">
      <c r="A274">
        <v>273</v>
      </c>
      <c r="B274">
        <f>LARGE(Clientes_Resumen[Litros],A274)</f>
        <v>24.71</v>
      </c>
      <c r="C274" s="16">
        <f>SUM($B$2:B274)/SUM($B$2:$B$301)</f>
        <v>0.99937090175995058</v>
      </c>
    </row>
    <row r="275" spans="1:3" x14ac:dyDescent="0.3">
      <c r="A275">
        <v>274</v>
      </c>
      <c r="B275">
        <f>LARGE(Clientes_Resumen[Litros],A275)</f>
        <v>24.68</v>
      </c>
      <c r="C275" s="16">
        <f>SUM($B$2:B275)/SUM($B$2:$B$301)</f>
        <v>0.99947341162766756</v>
      </c>
    </row>
    <row r="276" spans="1:3" x14ac:dyDescent="0.3">
      <c r="A276">
        <v>275</v>
      </c>
      <c r="B276">
        <f>LARGE(Clientes_Resumen[Litros],A276)</f>
        <v>23.7</v>
      </c>
      <c r="C276" s="16">
        <f>SUM($B$2:B276)/SUM($B$2:$B$301)</f>
        <v>0.99957185100630996</v>
      </c>
    </row>
    <row r="277" spans="1:3" x14ac:dyDescent="0.3">
      <c r="A277">
        <v>276</v>
      </c>
      <c r="B277">
        <f>LARGE(Clientes_Resumen[Litros],A277)</f>
        <v>23.44</v>
      </c>
      <c r="C277" s="16">
        <f>SUM($B$2:B277)/SUM($B$2:$B$301)</f>
        <v>0.99966921045927948</v>
      </c>
    </row>
    <row r="278" spans="1:3" x14ac:dyDescent="0.3">
      <c r="A278">
        <v>277</v>
      </c>
      <c r="B278">
        <f>LARGE(Clientes_Resumen[Litros],A278)</f>
        <v>21.2</v>
      </c>
      <c r="C278" s="16">
        <f>SUM($B$2:B278)/SUM($B$2:$B$301)</f>
        <v>0.99975726593722114</v>
      </c>
    </row>
    <row r="279" spans="1:3" x14ac:dyDescent="0.3">
      <c r="A279">
        <v>278</v>
      </c>
      <c r="B279">
        <f>LARGE(Clientes_Resumen[Litros],A279)</f>
        <v>20.68</v>
      </c>
      <c r="C279" s="16">
        <f>SUM($B$2:B279)/SUM($B$2:$B$301)</f>
        <v>0.99984316156381703</v>
      </c>
    </row>
    <row r="280" spans="1:3" x14ac:dyDescent="0.3">
      <c r="A280">
        <v>279</v>
      </c>
      <c r="B280">
        <f>LARGE(Clientes_Resumen[Litros],A280)</f>
        <v>19.100000000000001</v>
      </c>
      <c r="C280" s="16">
        <f>SUM($B$2:B280)/SUM($B$2:$B$301)</f>
        <v>0.99992249456517024</v>
      </c>
    </row>
    <row r="281" spans="1:3" x14ac:dyDescent="0.3">
      <c r="A281">
        <v>280</v>
      </c>
      <c r="B281">
        <f>LARGE(Clientes_Resumen[Litros],A281)</f>
        <v>18.66</v>
      </c>
      <c r="C281" s="16">
        <f>SUM($B$2:B281)/SUM($B$2:$B$301)</f>
        <v>1</v>
      </c>
    </row>
    <row r="282" spans="1:3" x14ac:dyDescent="0.3">
      <c r="A282">
        <v>281</v>
      </c>
      <c r="B282">
        <f>LARGE(Clientes_Resumen[Litros],A282)</f>
        <v>0</v>
      </c>
      <c r="C282" s="16">
        <f>SUM($B$2:B282)/SUM($B$2:$B$301)</f>
        <v>1</v>
      </c>
    </row>
    <row r="283" spans="1:3" x14ac:dyDescent="0.3">
      <c r="A283">
        <v>282</v>
      </c>
      <c r="B283">
        <f>LARGE(Clientes_Resumen[Litros],A283)</f>
        <v>0</v>
      </c>
      <c r="C283" s="16">
        <f>SUM($B$2:B283)/SUM($B$2:$B$301)</f>
        <v>1</v>
      </c>
    </row>
    <row r="284" spans="1:3" x14ac:dyDescent="0.3">
      <c r="A284">
        <v>283</v>
      </c>
      <c r="B284">
        <f>LARGE(Clientes_Resumen[Litros],A284)</f>
        <v>0</v>
      </c>
      <c r="C284" s="16">
        <f>SUM($B$2:B284)/SUM($B$2:$B$301)</f>
        <v>1</v>
      </c>
    </row>
    <row r="285" spans="1:3" x14ac:dyDescent="0.3">
      <c r="A285">
        <v>284</v>
      </c>
      <c r="B285">
        <f>LARGE(Clientes_Resumen[Litros],A285)</f>
        <v>0</v>
      </c>
      <c r="C285" s="16">
        <f>SUM($B$2:B285)/SUM($B$2:$B$301)</f>
        <v>1</v>
      </c>
    </row>
    <row r="286" spans="1:3" x14ac:dyDescent="0.3">
      <c r="A286">
        <v>285</v>
      </c>
      <c r="B286">
        <f>LARGE(Clientes_Resumen[Litros],A286)</f>
        <v>0</v>
      </c>
      <c r="C286" s="16">
        <f>SUM($B$2:B286)/SUM($B$2:$B$301)</f>
        <v>1</v>
      </c>
    </row>
    <row r="287" spans="1:3" x14ac:dyDescent="0.3">
      <c r="A287">
        <v>286</v>
      </c>
      <c r="B287">
        <f>LARGE(Clientes_Resumen[Litros],A287)</f>
        <v>0</v>
      </c>
      <c r="C287" s="16">
        <f>SUM($B$2:B287)/SUM($B$2:$B$301)</f>
        <v>1</v>
      </c>
    </row>
    <row r="288" spans="1:3" x14ac:dyDescent="0.3">
      <c r="A288">
        <v>287</v>
      </c>
      <c r="B288">
        <f>LARGE(Clientes_Resumen[Litros],A288)</f>
        <v>0</v>
      </c>
      <c r="C288" s="16">
        <f>SUM($B$2:B288)/SUM($B$2:$B$301)</f>
        <v>1</v>
      </c>
    </row>
    <row r="289" spans="1:3" x14ac:dyDescent="0.3">
      <c r="A289">
        <v>288</v>
      </c>
      <c r="B289">
        <f>LARGE(Clientes_Resumen[Litros],A289)</f>
        <v>0</v>
      </c>
      <c r="C289" s="16">
        <f>SUM($B$2:B289)/SUM($B$2:$B$301)</f>
        <v>1</v>
      </c>
    </row>
    <row r="290" spans="1:3" x14ac:dyDescent="0.3">
      <c r="A290">
        <v>289</v>
      </c>
      <c r="B290">
        <f>LARGE(Clientes_Resumen[Litros],A290)</f>
        <v>0</v>
      </c>
      <c r="C290" s="16">
        <f>SUM($B$2:B290)/SUM($B$2:$B$301)</f>
        <v>1</v>
      </c>
    </row>
    <row r="291" spans="1:3" x14ac:dyDescent="0.3">
      <c r="A291">
        <v>290</v>
      </c>
      <c r="B291">
        <f>LARGE(Clientes_Resumen[Litros],A291)</f>
        <v>0</v>
      </c>
      <c r="C291" s="16">
        <f>SUM($B$2:B291)/SUM($B$2:$B$301)</f>
        <v>1</v>
      </c>
    </row>
    <row r="292" spans="1:3" x14ac:dyDescent="0.3">
      <c r="A292">
        <v>291</v>
      </c>
      <c r="B292">
        <f>LARGE(Clientes_Resumen[Litros],A292)</f>
        <v>0</v>
      </c>
      <c r="C292" s="16">
        <f>SUM($B$2:B292)/SUM($B$2:$B$301)</f>
        <v>1</v>
      </c>
    </row>
    <row r="293" spans="1:3" x14ac:dyDescent="0.3">
      <c r="A293">
        <v>292</v>
      </c>
      <c r="B293">
        <f>LARGE(Clientes_Resumen[Litros],A293)</f>
        <v>0</v>
      </c>
      <c r="C293" s="16">
        <f>SUM($B$2:B293)/SUM($B$2:$B$301)</f>
        <v>1</v>
      </c>
    </row>
    <row r="294" spans="1:3" x14ac:dyDescent="0.3">
      <c r="A294">
        <v>293</v>
      </c>
      <c r="B294">
        <f>LARGE(Clientes_Resumen[Litros],A294)</f>
        <v>0</v>
      </c>
      <c r="C294" s="16">
        <f>SUM($B$2:B294)/SUM($B$2:$B$301)</f>
        <v>1</v>
      </c>
    </row>
    <row r="295" spans="1:3" x14ac:dyDescent="0.3">
      <c r="A295">
        <v>294</v>
      </c>
      <c r="B295">
        <f>LARGE(Clientes_Resumen[Litros],A295)</f>
        <v>0</v>
      </c>
      <c r="C295" s="16">
        <f>SUM($B$2:B295)/SUM($B$2:$B$301)</f>
        <v>1</v>
      </c>
    </row>
    <row r="296" spans="1:3" x14ac:dyDescent="0.3">
      <c r="A296">
        <v>295</v>
      </c>
      <c r="B296">
        <f>LARGE(Clientes_Resumen[Litros],A296)</f>
        <v>0</v>
      </c>
      <c r="C296" s="16">
        <f>SUM($B$2:B296)/SUM($B$2:$B$301)</f>
        <v>1</v>
      </c>
    </row>
    <row r="297" spans="1:3" x14ac:dyDescent="0.3">
      <c r="A297">
        <v>296</v>
      </c>
      <c r="B297">
        <f>LARGE(Clientes_Resumen[Litros],A297)</f>
        <v>0</v>
      </c>
      <c r="C297" s="16">
        <f>SUM($B$2:B297)/SUM($B$2:$B$301)</f>
        <v>1</v>
      </c>
    </row>
    <row r="298" spans="1:3" x14ac:dyDescent="0.3">
      <c r="A298">
        <v>297</v>
      </c>
      <c r="B298">
        <f>LARGE(Clientes_Resumen[Litros],A298)</f>
        <v>0</v>
      </c>
      <c r="C298" s="16">
        <f>SUM($B$2:B298)/SUM($B$2:$B$301)</f>
        <v>1</v>
      </c>
    </row>
    <row r="299" spans="1:3" x14ac:dyDescent="0.3">
      <c r="A299">
        <v>298</v>
      </c>
      <c r="B299">
        <f>LARGE(Clientes_Resumen[Litros],A299)</f>
        <v>0</v>
      </c>
      <c r="C299" s="16">
        <f>SUM($B$2:B299)/SUM($B$2:$B$301)</f>
        <v>1</v>
      </c>
    </row>
    <row r="300" spans="1:3" x14ac:dyDescent="0.3">
      <c r="A300">
        <v>299</v>
      </c>
      <c r="B300">
        <f>LARGE(Clientes_Resumen[Litros],A300)</f>
        <v>0</v>
      </c>
      <c r="C300" s="16">
        <f>SUM($B$2:B300)/SUM($B$2:$B$301)</f>
        <v>1</v>
      </c>
    </row>
    <row r="301" spans="1:3" x14ac:dyDescent="0.3">
      <c r="A301">
        <v>300</v>
      </c>
      <c r="B301">
        <f>LARGE(Clientes_Resumen[Litros],A301)</f>
        <v>0</v>
      </c>
      <c r="C301" s="16">
        <f>SUM($B$2:B301)/SUM($B$2:$B$301)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9A0E20-260D-4EF3-8163-F62D821AFB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Calendario</vt:lpstr>
      <vt:lpstr>Compras_Full</vt:lpstr>
      <vt:lpstr>Movimientos</vt:lpstr>
      <vt:lpstr>Clientes</vt:lpstr>
      <vt:lpstr>Clientes_Resumen</vt:lpstr>
      <vt:lpstr>Ficha_Cliente</vt:lpstr>
      <vt:lpstr>Dashboard</vt:lpstr>
      <vt:lpstr>Tablas</vt:lpstr>
      <vt:lpstr>Pareto</vt:lpstr>
      <vt:lpstr>Corte</vt:lpstr>
      <vt:lpstr>ListaClientes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Esau Rivera Roman</dc:creator>
  <cp:lastModifiedBy>Miguel Esau Rivera Roman</cp:lastModifiedBy>
  <dcterms:created xsi:type="dcterms:W3CDTF">2026-10-21T02:47:52Z</dcterms:created>
  <dcterms:modified xsi:type="dcterms:W3CDTF">2026-10-21T08:09:59Z</dcterms:modified>
</cp:coreProperties>
</file>